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905"/>
  <workbookPr filterPrivacy="1" autoCompressPictures="0"/>
  <bookViews>
    <workbookView xWindow="2860" yWindow="-200" windowWidth="42020" windowHeight="19260" tabRatio="934" firstSheet="6" activeTab="12"/>
  </bookViews>
  <sheets>
    <sheet name="1990" sheetId="4" r:id="rId1"/>
    <sheet name="1995" sheetId="2" r:id="rId2"/>
    <sheet name="2001" sheetId="1" r:id="rId3"/>
    <sheet name="2000-10" sheetId="7" r:id="rId4"/>
    <sheet name="2000-20" sheetId="9" r:id="rId5"/>
    <sheet name="2000-30" sheetId="10" r:id="rId6"/>
    <sheet name="2000-40" sheetId="11" r:id="rId7"/>
    <sheet name="2000-50" sheetId="12" r:id="rId8"/>
    <sheet name="2000-60" sheetId="13" r:id="rId9"/>
    <sheet name="2000-70" sheetId="14" r:id="rId10"/>
    <sheet name="2000-80" sheetId="15" r:id="rId11"/>
    <sheet name="2000-90" sheetId="16" r:id="rId12"/>
    <sheet name="Summary-2000" sheetId="8" r:id="rId13"/>
    <sheet name="Interval Circuities" sheetId="17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Beta">'Summary-2000'!$B$55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" i="17" l="1"/>
  <c r="L2" i="17"/>
  <c r="M2" i="17"/>
  <c r="N2" i="17"/>
  <c r="B53" i="17"/>
  <c r="C53" i="17"/>
  <c r="D53" i="17"/>
  <c r="E53" i="17"/>
  <c r="F53" i="17"/>
  <c r="G53" i="17"/>
  <c r="H53" i="17"/>
  <c r="I53" i="17"/>
  <c r="J53" i="17"/>
  <c r="O2" i="17"/>
  <c r="P2" i="17"/>
  <c r="Q2" i="17"/>
  <c r="R2" i="17"/>
  <c r="S2" i="17"/>
  <c r="X53" i="17" a="1"/>
  <c r="Y53" i="17"/>
  <c r="K53" i="17"/>
  <c r="L53" i="17"/>
  <c r="M53" i="17"/>
  <c r="N53" i="17"/>
  <c r="O53" i="17"/>
  <c r="P53" i="17"/>
  <c r="Q53" i="17"/>
  <c r="R53" i="17"/>
  <c r="S53" i="17"/>
  <c r="T53" i="17" a="1"/>
  <c r="T53" i="17"/>
  <c r="B52" i="17"/>
  <c r="C52" i="17"/>
  <c r="D52" i="17"/>
  <c r="E52" i="17"/>
  <c r="F52" i="17"/>
  <c r="G52" i="17"/>
  <c r="H52" i="17"/>
  <c r="I52" i="17"/>
  <c r="J52" i="17"/>
  <c r="X52" i="17" a="1"/>
  <c r="X52" i="17"/>
  <c r="K52" i="17"/>
  <c r="L52" i="17"/>
  <c r="M52" i="17"/>
  <c r="N52" i="17"/>
  <c r="O52" i="17"/>
  <c r="P52" i="17"/>
  <c r="Q52" i="17"/>
  <c r="R52" i="17"/>
  <c r="S52" i="17"/>
  <c r="T52" i="17" a="1"/>
  <c r="U52" i="17"/>
  <c r="V52" i="17"/>
  <c r="B51" i="17"/>
  <c r="C51" i="17"/>
  <c r="D51" i="17"/>
  <c r="E51" i="17"/>
  <c r="F51" i="17"/>
  <c r="G51" i="17"/>
  <c r="H51" i="17"/>
  <c r="I51" i="17"/>
  <c r="J51" i="17"/>
  <c r="X51" i="17" a="1"/>
  <c r="X51" i="17"/>
  <c r="Y51" i="17"/>
  <c r="K51" i="17"/>
  <c r="L51" i="17"/>
  <c r="M51" i="17"/>
  <c r="N51" i="17"/>
  <c r="O51" i="17"/>
  <c r="P51" i="17"/>
  <c r="Q51" i="17"/>
  <c r="R51" i="17"/>
  <c r="S51" i="17"/>
  <c r="T51" i="17" a="1"/>
  <c r="T51" i="17"/>
  <c r="B50" i="17"/>
  <c r="C50" i="17"/>
  <c r="D50" i="17"/>
  <c r="E50" i="17"/>
  <c r="F50" i="17"/>
  <c r="G50" i="17"/>
  <c r="H50" i="17"/>
  <c r="I50" i="17"/>
  <c r="J50" i="17"/>
  <c r="X50" i="17" a="1"/>
  <c r="X50" i="17"/>
  <c r="K50" i="17"/>
  <c r="L50" i="17"/>
  <c r="M50" i="17"/>
  <c r="N50" i="17"/>
  <c r="O50" i="17"/>
  <c r="P50" i="17"/>
  <c r="Q50" i="17"/>
  <c r="R50" i="17"/>
  <c r="S50" i="17"/>
  <c r="T50" i="17" a="1"/>
  <c r="T50" i="17"/>
  <c r="B49" i="17"/>
  <c r="C49" i="17"/>
  <c r="D49" i="17"/>
  <c r="E49" i="17"/>
  <c r="F49" i="17"/>
  <c r="G49" i="17"/>
  <c r="H49" i="17"/>
  <c r="I49" i="17"/>
  <c r="J49" i="17"/>
  <c r="X49" i="17" a="1"/>
  <c r="X49" i="17"/>
  <c r="Y49" i="17"/>
  <c r="K49" i="17"/>
  <c r="L49" i="17"/>
  <c r="M49" i="17"/>
  <c r="N49" i="17"/>
  <c r="O49" i="17"/>
  <c r="P49" i="17"/>
  <c r="Q49" i="17"/>
  <c r="R49" i="17"/>
  <c r="S49" i="17"/>
  <c r="T49" i="17" a="1"/>
  <c r="T49" i="17"/>
  <c r="B48" i="17"/>
  <c r="C48" i="17"/>
  <c r="D48" i="17"/>
  <c r="E48" i="17"/>
  <c r="F48" i="17"/>
  <c r="G48" i="17"/>
  <c r="H48" i="17"/>
  <c r="I48" i="17"/>
  <c r="J48" i="17"/>
  <c r="X48" i="17" a="1"/>
  <c r="X48" i="17"/>
  <c r="Y48" i="17"/>
  <c r="K48" i="17"/>
  <c r="L48" i="17"/>
  <c r="M48" i="17"/>
  <c r="N48" i="17"/>
  <c r="O48" i="17"/>
  <c r="P48" i="17"/>
  <c r="Q48" i="17"/>
  <c r="R48" i="17"/>
  <c r="S48" i="17"/>
  <c r="T48" i="17" a="1"/>
  <c r="T48" i="17"/>
  <c r="U48" i="17"/>
  <c r="V48" i="17"/>
  <c r="B47" i="17"/>
  <c r="C47" i="17"/>
  <c r="D47" i="17"/>
  <c r="E47" i="17"/>
  <c r="F47" i="17"/>
  <c r="G47" i="17"/>
  <c r="H47" i="17"/>
  <c r="I47" i="17"/>
  <c r="J47" i="17"/>
  <c r="X47" i="17" a="1"/>
  <c r="X47" i="17"/>
  <c r="Y47" i="17"/>
  <c r="K47" i="17"/>
  <c r="L47" i="17"/>
  <c r="M47" i="17"/>
  <c r="N47" i="17"/>
  <c r="O47" i="17"/>
  <c r="P47" i="17"/>
  <c r="Q47" i="17"/>
  <c r="R47" i="17"/>
  <c r="S47" i="17"/>
  <c r="T47" i="17" a="1"/>
  <c r="U47" i="17"/>
  <c r="V47" i="17"/>
  <c r="T47" i="17"/>
  <c r="B46" i="17"/>
  <c r="C46" i="17"/>
  <c r="D46" i="17"/>
  <c r="E46" i="17"/>
  <c r="F46" i="17"/>
  <c r="G46" i="17"/>
  <c r="H46" i="17"/>
  <c r="I46" i="17"/>
  <c r="J46" i="17"/>
  <c r="X46" i="17" a="1"/>
  <c r="X46" i="17"/>
  <c r="Y46" i="17"/>
  <c r="K46" i="17"/>
  <c r="L46" i="17"/>
  <c r="M46" i="17"/>
  <c r="N46" i="17"/>
  <c r="O46" i="17"/>
  <c r="P46" i="17"/>
  <c r="Q46" i="17"/>
  <c r="R46" i="17"/>
  <c r="S46" i="17"/>
  <c r="T46" i="17" a="1"/>
  <c r="T46" i="17"/>
  <c r="U46" i="17"/>
  <c r="V46" i="17"/>
  <c r="B45" i="17"/>
  <c r="C45" i="17"/>
  <c r="D45" i="17"/>
  <c r="E45" i="17"/>
  <c r="F45" i="17"/>
  <c r="G45" i="17"/>
  <c r="H45" i="17"/>
  <c r="I45" i="17"/>
  <c r="J45" i="17"/>
  <c r="X45" i="17" a="1"/>
  <c r="Y45" i="17"/>
  <c r="X45" i="17"/>
  <c r="K45" i="17"/>
  <c r="L45" i="17"/>
  <c r="M45" i="17"/>
  <c r="N45" i="17"/>
  <c r="O45" i="17"/>
  <c r="P45" i="17"/>
  <c r="Q45" i="17"/>
  <c r="R45" i="17"/>
  <c r="S45" i="17"/>
  <c r="T45" i="17" a="1"/>
  <c r="T45" i="17"/>
  <c r="B44" i="17"/>
  <c r="C44" i="17"/>
  <c r="D44" i="17"/>
  <c r="E44" i="17"/>
  <c r="F44" i="17"/>
  <c r="G44" i="17"/>
  <c r="H44" i="17"/>
  <c r="I44" i="17"/>
  <c r="J44" i="17"/>
  <c r="X44" i="17" a="1"/>
  <c r="X44" i="17"/>
  <c r="K44" i="17"/>
  <c r="L44" i="17"/>
  <c r="M44" i="17"/>
  <c r="N44" i="17"/>
  <c r="O44" i="17"/>
  <c r="P44" i="17"/>
  <c r="Q44" i="17"/>
  <c r="R44" i="17"/>
  <c r="S44" i="17"/>
  <c r="T44" i="17" a="1"/>
  <c r="U44" i="17"/>
  <c r="V44" i="17"/>
  <c r="B43" i="17"/>
  <c r="C43" i="17"/>
  <c r="D43" i="17"/>
  <c r="E43" i="17"/>
  <c r="F43" i="17"/>
  <c r="G43" i="17"/>
  <c r="H43" i="17"/>
  <c r="I43" i="17"/>
  <c r="J43" i="17"/>
  <c r="X43" i="17" a="1"/>
  <c r="X43" i="17"/>
  <c r="Y43" i="17"/>
  <c r="K43" i="17"/>
  <c r="L43" i="17"/>
  <c r="M43" i="17"/>
  <c r="N43" i="17"/>
  <c r="O43" i="17"/>
  <c r="P43" i="17"/>
  <c r="Q43" i="17"/>
  <c r="R43" i="17"/>
  <c r="S43" i="17"/>
  <c r="T43" i="17" a="1"/>
  <c r="T43" i="17"/>
  <c r="B42" i="17"/>
  <c r="C42" i="17"/>
  <c r="D42" i="17"/>
  <c r="E42" i="17"/>
  <c r="F42" i="17"/>
  <c r="G42" i="17"/>
  <c r="H42" i="17"/>
  <c r="I42" i="17"/>
  <c r="J42" i="17"/>
  <c r="X42" i="17" a="1"/>
  <c r="X42" i="17"/>
  <c r="K42" i="17"/>
  <c r="L42" i="17"/>
  <c r="M42" i="17"/>
  <c r="N42" i="17"/>
  <c r="O42" i="17"/>
  <c r="P42" i="17"/>
  <c r="Q42" i="17"/>
  <c r="R42" i="17"/>
  <c r="S42" i="17"/>
  <c r="T42" i="17" a="1"/>
  <c r="T42" i="17"/>
  <c r="B41" i="17"/>
  <c r="C41" i="17"/>
  <c r="D41" i="17"/>
  <c r="E41" i="17"/>
  <c r="F41" i="17"/>
  <c r="G41" i="17"/>
  <c r="H41" i="17"/>
  <c r="I41" i="17"/>
  <c r="J41" i="17"/>
  <c r="X41" i="17" a="1"/>
  <c r="X41" i="17"/>
  <c r="Y41" i="17"/>
  <c r="K41" i="17"/>
  <c r="L41" i="17"/>
  <c r="M41" i="17"/>
  <c r="N41" i="17"/>
  <c r="O41" i="17"/>
  <c r="P41" i="17"/>
  <c r="Q41" i="17"/>
  <c r="R41" i="17"/>
  <c r="S41" i="17"/>
  <c r="T41" i="17" a="1"/>
  <c r="T41" i="17"/>
  <c r="B40" i="17"/>
  <c r="C40" i="17"/>
  <c r="D40" i="17"/>
  <c r="E40" i="17"/>
  <c r="F40" i="17"/>
  <c r="G40" i="17"/>
  <c r="H40" i="17"/>
  <c r="I40" i="17"/>
  <c r="J40" i="17"/>
  <c r="X40" i="17" a="1"/>
  <c r="X40" i="17"/>
  <c r="Y40" i="17"/>
  <c r="K40" i="17"/>
  <c r="L40" i="17"/>
  <c r="M40" i="17"/>
  <c r="N40" i="17"/>
  <c r="O40" i="17"/>
  <c r="P40" i="17"/>
  <c r="Q40" i="17"/>
  <c r="R40" i="17"/>
  <c r="S40" i="17"/>
  <c r="T40" i="17" a="1"/>
  <c r="T40" i="17"/>
  <c r="U40" i="17"/>
  <c r="V40" i="17"/>
  <c r="B39" i="17"/>
  <c r="C39" i="17"/>
  <c r="D39" i="17"/>
  <c r="E39" i="17"/>
  <c r="F39" i="17"/>
  <c r="G39" i="17"/>
  <c r="H39" i="17"/>
  <c r="I39" i="17"/>
  <c r="J39" i="17"/>
  <c r="X39" i="17" a="1"/>
  <c r="X39" i="17"/>
  <c r="Y39" i="17"/>
  <c r="K39" i="17"/>
  <c r="L39" i="17"/>
  <c r="M39" i="17"/>
  <c r="N39" i="17"/>
  <c r="O39" i="17"/>
  <c r="P39" i="17"/>
  <c r="Q39" i="17"/>
  <c r="R39" i="17"/>
  <c r="S39" i="17"/>
  <c r="T39" i="17" a="1"/>
  <c r="U39" i="17"/>
  <c r="V39" i="17"/>
  <c r="T39" i="17"/>
  <c r="B38" i="17"/>
  <c r="C38" i="17"/>
  <c r="D38" i="17"/>
  <c r="E38" i="17"/>
  <c r="F38" i="17"/>
  <c r="G38" i="17"/>
  <c r="H38" i="17"/>
  <c r="I38" i="17"/>
  <c r="J38" i="17"/>
  <c r="X38" i="17" a="1"/>
  <c r="X38" i="17"/>
  <c r="Y38" i="17"/>
  <c r="K38" i="17"/>
  <c r="L38" i="17"/>
  <c r="M38" i="17"/>
  <c r="N38" i="17"/>
  <c r="O38" i="17"/>
  <c r="P38" i="17"/>
  <c r="Q38" i="17"/>
  <c r="R38" i="17"/>
  <c r="S38" i="17"/>
  <c r="T38" i="17" a="1"/>
  <c r="T38" i="17"/>
  <c r="U38" i="17"/>
  <c r="V38" i="17"/>
  <c r="B37" i="17"/>
  <c r="C37" i="17"/>
  <c r="D37" i="17"/>
  <c r="E37" i="17"/>
  <c r="F37" i="17"/>
  <c r="G37" i="17"/>
  <c r="H37" i="17"/>
  <c r="I37" i="17"/>
  <c r="J37" i="17"/>
  <c r="X37" i="17" a="1"/>
  <c r="Y37" i="17"/>
  <c r="X37" i="17"/>
  <c r="K37" i="17"/>
  <c r="L37" i="17"/>
  <c r="M37" i="17"/>
  <c r="N37" i="17"/>
  <c r="O37" i="17"/>
  <c r="P37" i="17"/>
  <c r="Q37" i="17"/>
  <c r="R37" i="17"/>
  <c r="S37" i="17"/>
  <c r="T37" i="17" a="1"/>
  <c r="T37" i="17"/>
  <c r="B36" i="17"/>
  <c r="C36" i="17"/>
  <c r="D36" i="17"/>
  <c r="E36" i="17"/>
  <c r="F36" i="17"/>
  <c r="G36" i="17"/>
  <c r="H36" i="17"/>
  <c r="I36" i="17"/>
  <c r="J36" i="17"/>
  <c r="X36" i="17" a="1"/>
  <c r="X36" i="17"/>
  <c r="K36" i="17"/>
  <c r="L36" i="17"/>
  <c r="M36" i="17"/>
  <c r="N36" i="17"/>
  <c r="O36" i="17"/>
  <c r="P36" i="17"/>
  <c r="Q36" i="17"/>
  <c r="R36" i="17"/>
  <c r="S36" i="17"/>
  <c r="T36" i="17" a="1"/>
  <c r="U36" i="17"/>
  <c r="V36" i="17"/>
  <c r="T36" i="17"/>
  <c r="B35" i="17"/>
  <c r="C35" i="17"/>
  <c r="D35" i="17"/>
  <c r="E35" i="17"/>
  <c r="F35" i="17"/>
  <c r="G35" i="17"/>
  <c r="H35" i="17"/>
  <c r="I35" i="17"/>
  <c r="J35" i="17"/>
  <c r="X35" i="17" a="1"/>
  <c r="X35" i="17"/>
  <c r="Y35" i="17"/>
  <c r="K35" i="17"/>
  <c r="L35" i="17"/>
  <c r="M35" i="17"/>
  <c r="N35" i="17"/>
  <c r="O35" i="17"/>
  <c r="P35" i="17"/>
  <c r="Q35" i="17"/>
  <c r="R35" i="17"/>
  <c r="S35" i="17"/>
  <c r="T35" i="17" a="1"/>
  <c r="T35" i="17"/>
  <c r="B34" i="17"/>
  <c r="C34" i="17"/>
  <c r="D34" i="17"/>
  <c r="E34" i="17"/>
  <c r="F34" i="17"/>
  <c r="G34" i="17"/>
  <c r="H34" i="17"/>
  <c r="I34" i="17"/>
  <c r="J34" i="17"/>
  <c r="X34" i="17" a="1"/>
  <c r="X34" i="17"/>
  <c r="K34" i="17"/>
  <c r="L34" i="17"/>
  <c r="M34" i="17"/>
  <c r="N34" i="17"/>
  <c r="O34" i="17"/>
  <c r="P34" i="17"/>
  <c r="Q34" i="17"/>
  <c r="R34" i="17"/>
  <c r="S34" i="17"/>
  <c r="T34" i="17" a="1"/>
  <c r="T34" i="17"/>
  <c r="B33" i="17"/>
  <c r="C33" i="17"/>
  <c r="D33" i="17"/>
  <c r="E33" i="17"/>
  <c r="F33" i="17"/>
  <c r="G33" i="17"/>
  <c r="H33" i="17"/>
  <c r="I33" i="17"/>
  <c r="J33" i="17"/>
  <c r="X33" i="17" a="1"/>
  <c r="X33" i="17"/>
  <c r="Y33" i="17"/>
  <c r="K33" i="17"/>
  <c r="L33" i="17"/>
  <c r="M33" i="17"/>
  <c r="N33" i="17"/>
  <c r="O33" i="17"/>
  <c r="P33" i="17"/>
  <c r="Q33" i="17"/>
  <c r="R33" i="17"/>
  <c r="S33" i="17"/>
  <c r="T33" i="17" a="1"/>
  <c r="T33" i="17"/>
  <c r="B32" i="17"/>
  <c r="C32" i="17"/>
  <c r="D32" i="17"/>
  <c r="E32" i="17"/>
  <c r="F32" i="17"/>
  <c r="G32" i="17"/>
  <c r="H32" i="17"/>
  <c r="I32" i="17"/>
  <c r="J32" i="17"/>
  <c r="X32" i="17" a="1"/>
  <c r="X32" i="17"/>
  <c r="Y32" i="17"/>
  <c r="K32" i="17"/>
  <c r="L32" i="17"/>
  <c r="M32" i="17"/>
  <c r="N32" i="17"/>
  <c r="O32" i="17"/>
  <c r="P32" i="17"/>
  <c r="Q32" i="17"/>
  <c r="R32" i="17"/>
  <c r="S32" i="17"/>
  <c r="T32" i="17" a="1"/>
  <c r="T32" i="17"/>
  <c r="B31" i="17"/>
  <c r="C31" i="17"/>
  <c r="D31" i="17"/>
  <c r="E31" i="17"/>
  <c r="F31" i="17"/>
  <c r="G31" i="17"/>
  <c r="H31" i="17"/>
  <c r="I31" i="17"/>
  <c r="J31" i="17"/>
  <c r="X31" i="17" a="1"/>
  <c r="X31" i="17"/>
  <c r="Y31" i="17"/>
  <c r="K31" i="17"/>
  <c r="L31" i="17"/>
  <c r="M31" i="17"/>
  <c r="N31" i="17"/>
  <c r="O31" i="17"/>
  <c r="P31" i="17"/>
  <c r="Q31" i="17"/>
  <c r="R31" i="17"/>
  <c r="S31" i="17"/>
  <c r="T31" i="17" a="1"/>
  <c r="U31" i="17"/>
  <c r="V31" i="17"/>
  <c r="T31" i="17"/>
  <c r="B30" i="17"/>
  <c r="C30" i="17"/>
  <c r="D30" i="17"/>
  <c r="E30" i="17"/>
  <c r="F30" i="17"/>
  <c r="G30" i="17"/>
  <c r="H30" i="17"/>
  <c r="I30" i="17"/>
  <c r="J30" i="17"/>
  <c r="X30" i="17" a="1"/>
  <c r="X30" i="17"/>
  <c r="Y30" i="17"/>
  <c r="K30" i="17"/>
  <c r="L30" i="17"/>
  <c r="M30" i="17"/>
  <c r="N30" i="17"/>
  <c r="O30" i="17"/>
  <c r="P30" i="17"/>
  <c r="Q30" i="17"/>
  <c r="R30" i="17"/>
  <c r="S30" i="17"/>
  <c r="T30" i="17" a="1"/>
  <c r="T30" i="17"/>
  <c r="B29" i="17"/>
  <c r="C29" i="17"/>
  <c r="D29" i="17"/>
  <c r="E29" i="17"/>
  <c r="F29" i="17"/>
  <c r="G29" i="17"/>
  <c r="H29" i="17"/>
  <c r="I29" i="17"/>
  <c r="J29" i="17"/>
  <c r="X29" i="17" a="1"/>
  <c r="Y29" i="17"/>
  <c r="X29" i="17"/>
  <c r="K29" i="17"/>
  <c r="L29" i="17"/>
  <c r="M29" i="17"/>
  <c r="N29" i="17"/>
  <c r="O29" i="17"/>
  <c r="P29" i="17"/>
  <c r="Q29" i="17"/>
  <c r="R29" i="17"/>
  <c r="S29" i="17"/>
  <c r="T29" i="17" a="1"/>
  <c r="T29" i="17"/>
  <c r="B28" i="17"/>
  <c r="C28" i="17"/>
  <c r="D28" i="17"/>
  <c r="E28" i="17"/>
  <c r="F28" i="17"/>
  <c r="G28" i="17"/>
  <c r="H28" i="17"/>
  <c r="I28" i="17"/>
  <c r="J28" i="17"/>
  <c r="X28" i="17" a="1"/>
  <c r="X28" i="17"/>
  <c r="K28" i="17"/>
  <c r="L28" i="17"/>
  <c r="M28" i="17"/>
  <c r="N28" i="17"/>
  <c r="O28" i="17"/>
  <c r="P28" i="17"/>
  <c r="Q28" i="17"/>
  <c r="R28" i="17"/>
  <c r="S28" i="17"/>
  <c r="T28" i="17" a="1"/>
  <c r="U28" i="17"/>
  <c r="V28" i="17"/>
  <c r="T28" i="17"/>
  <c r="B27" i="17"/>
  <c r="C27" i="17"/>
  <c r="D27" i="17"/>
  <c r="E27" i="17"/>
  <c r="F27" i="17"/>
  <c r="G27" i="17"/>
  <c r="H27" i="17"/>
  <c r="I27" i="17"/>
  <c r="J27" i="17"/>
  <c r="X27" i="17" a="1"/>
  <c r="X27" i="17"/>
  <c r="K27" i="17"/>
  <c r="L27" i="17"/>
  <c r="M27" i="17"/>
  <c r="N27" i="17"/>
  <c r="O27" i="17"/>
  <c r="P27" i="17"/>
  <c r="Q27" i="17"/>
  <c r="R27" i="17"/>
  <c r="S27" i="17"/>
  <c r="T27" i="17" a="1"/>
  <c r="T27" i="17"/>
  <c r="B26" i="17"/>
  <c r="C26" i="17"/>
  <c r="D26" i="17"/>
  <c r="E26" i="17"/>
  <c r="F26" i="17"/>
  <c r="G26" i="17"/>
  <c r="H26" i="17"/>
  <c r="I26" i="17"/>
  <c r="J26" i="17"/>
  <c r="X26" i="17" a="1"/>
  <c r="X26" i="17"/>
  <c r="K26" i="17"/>
  <c r="L26" i="17"/>
  <c r="M26" i="17"/>
  <c r="N26" i="17"/>
  <c r="O26" i="17"/>
  <c r="P26" i="17"/>
  <c r="Q26" i="17"/>
  <c r="R26" i="17"/>
  <c r="S26" i="17"/>
  <c r="T26" i="17" a="1"/>
  <c r="T26" i="17"/>
  <c r="B25" i="17"/>
  <c r="C25" i="17"/>
  <c r="D25" i="17"/>
  <c r="E25" i="17"/>
  <c r="F25" i="17"/>
  <c r="G25" i="17"/>
  <c r="H25" i="17"/>
  <c r="I25" i="17"/>
  <c r="J25" i="17"/>
  <c r="X25" i="17" a="1"/>
  <c r="X25" i="17"/>
  <c r="Y25" i="17"/>
  <c r="K25" i="17"/>
  <c r="L25" i="17"/>
  <c r="M25" i="17"/>
  <c r="N25" i="17"/>
  <c r="O25" i="17"/>
  <c r="P25" i="17"/>
  <c r="Q25" i="17"/>
  <c r="R25" i="17"/>
  <c r="S25" i="17"/>
  <c r="T25" i="17" a="1"/>
  <c r="T25" i="17"/>
  <c r="B24" i="17"/>
  <c r="C24" i="17"/>
  <c r="D24" i="17"/>
  <c r="E24" i="17"/>
  <c r="F24" i="17"/>
  <c r="G24" i="17"/>
  <c r="H24" i="17"/>
  <c r="I24" i="17"/>
  <c r="J24" i="17"/>
  <c r="X24" i="17" a="1"/>
  <c r="X24" i="17"/>
  <c r="Y24" i="17"/>
  <c r="K24" i="17"/>
  <c r="L24" i="17"/>
  <c r="M24" i="17"/>
  <c r="N24" i="17"/>
  <c r="O24" i="17"/>
  <c r="P24" i="17"/>
  <c r="Q24" i="17"/>
  <c r="R24" i="17"/>
  <c r="S24" i="17"/>
  <c r="T24" i="17" a="1"/>
  <c r="T24" i="17"/>
  <c r="B23" i="17"/>
  <c r="C23" i="17"/>
  <c r="D23" i="17"/>
  <c r="E23" i="17"/>
  <c r="F23" i="17"/>
  <c r="G23" i="17"/>
  <c r="H23" i="17"/>
  <c r="I23" i="17"/>
  <c r="J23" i="17"/>
  <c r="X23" i="17" a="1"/>
  <c r="X23" i="17"/>
  <c r="Y23" i="17"/>
  <c r="K23" i="17"/>
  <c r="L23" i="17"/>
  <c r="M23" i="17"/>
  <c r="N23" i="17"/>
  <c r="O23" i="17"/>
  <c r="P23" i="17"/>
  <c r="Q23" i="17"/>
  <c r="R23" i="17"/>
  <c r="S23" i="17"/>
  <c r="T23" i="17" a="1"/>
  <c r="U23" i="17"/>
  <c r="V23" i="17"/>
  <c r="T23" i="17"/>
  <c r="B22" i="17"/>
  <c r="C22" i="17"/>
  <c r="D22" i="17"/>
  <c r="E22" i="17"/>
  <c r="F22" i="17"/>
  <c r="G22" i="17"/>
  <c r="H22" i="17"/>
  <c r="I22" i="17"/>
  <c r="J22" i="17"/>
  <c r="X22" i="17" a="1"/>
  <c r="X22" i="17"/>
  <c r="Y22" i="17"/>
  <c r="K22" i="17"/>
  <c r="L22" i="17"/>
  <c r="M22" i="17"/>
  <c r="N22" i="17"/>
  <c r="O22" i="17"/>
  <c r="P22" i="17"/>
  <c r="Q22" i="17"/>
  <c r="R22" i="17"/>
  <c r="S22" i="17"/>
  <c r="T22" i="17" a="1"/>
  <c r="T22" i="17"/>
  <c r="B21" i="17"/>
  <c r="C21" i="17"/>
  <c r="D21" i="17"/>
  <c r="E21" i="17"/>
  <c r="F21" i="17"/>
  <c r="G21" i="17"/>
  <c r="H21" i="17"/>
  <c r="I21" i="17"/>
  <c r="J21" i="17"/>
  <c r="X21" i="17" a="1"/>
  <c r="Y21" i="17"/>
  <c r="X21" i="17"/>
  <c r="K21" i="17"/>
  <c r="L21" i="17"/>
  <c r="M21" i="17"/>
  <c r="N21" i="17"/>
  <c r="O21" i="17"/>
  <c r="P21" i="17"/>
  <c r="Q21" i="17"/>
  <c r="R21" i="17"/>
  <c r="S21" i="17"/>
  <c r="T21" i="17" a="1"/>
  <c r="T21" i="17"/>
  <c r="B20" i="17"/>
  <c r="C20" i="17"/>
  <c r="D20" i="17"/>
  <c r="E20" i="17"/>
  <c r="F20" i="17"/>
  <c r="G20" i="17"/>
  <c r="H20" i="17"/>
  <c r="I20" i="17"/>
  <c r="J20" i="17"/>
  <c r="X20" i="17" a="1"/>
  <c r="X20" i="17"/>
  <c r="K20" i="17"/>
  <c r="L20" i="17"/>
  <c r="M20" i="17"/>
  <c r="N20" i="17"/>
  <c r="O20" i="17"/>
  <c r="P20" i="17"/>
  <c r="Q20" i="17"/>
  <c r="R20" i="17"/>
  <c r="S20" i="17"/>
  <c r="T20" i="17" a="1"/>
  <c r="U20" i="17"/>
  <c r="V20" i="17"/>
  <c r="T20" i="17"/>
  <c r="B19" i="17"/>
  <c r="C19" i="17"/>
  <c r="D19" i="17"/>
  <c r="E19" i="17"/>
  <c r="F19" i="17"/>
  <c r="G19" i="17"/>
  <c r="H19" i="17"/>
  <c r="I19" i="17"/>
  <c r="J19" i="17"/>
  <c r="X19" i="17" a="1"/>
  <c r="X19" i="17"/>
  <c r="K19" i="17"/>
  <c r="L19" i="17"/>
  <c r="M19" i="17"/>
  <c r="N19" i="17"/>
  <c r="O19" i="17"/>
  <c r="P19" i="17"/>
  <c r="Q19" i="17"/>
  <c r="R19" i="17"/>
  <c r="S19" i="17"/>
  <c r="T19" i="17" a="1"/>
  <c r="T19" i="17"/>
  <c r="B18" i="17"/>
  <c r="C18" i="17"/>
  <c r="D18" i="17"/>
  <c r="E18" i="17"/>
  <c r="F18" i="17"/>
  <c r="G18" i="17"/>
  <c r="H18" i="17"/>
  <c r="I18" i="17"/>
  <c r="J18" i="17"/>
  <c r="X18" i="17" a="1"/>
  <c r="X18" i="17"/>
  <c r="K18" i="17"/>
  <c r="L18" i="17"/>
  <c r="M18" i="17"/>
  <c r="N18" i="17"/>
  <c r="O18" i="17"/>
  <c r="P18" i="17"/>
  <c r="Q18" i="17"/>
  <c r="R18" i="17"/>
  <c r="S18" i="17"/>
  <c r="T18" i="17" a="1"/>
  <c r="T18" i="17"/>
  <c r="B17" i="17"/>
  <c r="C17" i="17"/>
  <c r="D17" i="17"/>
  <c r="E17" i="17"/>
  <c r="F17" i="17"/>
  <c r="G17" i="17"/>
  <c r="H17" i="17"/>
  <c r="I17" i="17"/>
  <c r="J17" i="17"/>
  <c r="X17" i="17" a="1"/>
  <c r="X17" i="17"/>
  <c r="Y17" i="17"/>
  <c r="K17" i="17"/>
  <c r="L17" i="17"/>
  <c r="M17" i="17"/>
  <c r="N17" i="17"/>
  <c r="O17" i="17"/>
  <c r="P17" i="17"/>
  <c r="Q17" i="17"/>
  <c r="R17" i="17"/>
  <c r="S17" i="17"/>
  <c r="T17" i="17" a="1"/>
  <c r="T17" i="17"/>
  <c r="B16" i="17"/>
  <c r="C16" i="17"/>
  <c r="D16" i="17"/>
  <c r="E16" i="17"/>
  <c r="F16" i="17"/>
  <c r="G16" i="17"/>
  <c r="H16" i="17"/>
  <c r="I16" i="17"/>
  <c r="J16" i="17"/>
  <c r="X16" i="17" a="1"/>
  <c r="X16" i="17"/>
  <c r="Y16" i="17"/>
  <c r="K16" i="17"/>
  <c r="L16" i="17"/>
  <c r="M16" i="17"/>
  <c r="N16" i="17"/>
  <c r="O16" i="17"/>
  <c r="P16" i="17"/>
  <c r="Q16" i="17"/>
  <c r="R16" i="17"/>
  <c r="S16" i="17"/>
  <c r="T16" i="17" a="1"/>
  <c r="T16" i="17"/>
  <c r="B15" i="17"/>
  <c r="C15" i="17"/>
  <c r="D15" i="17"/>
  <c r="E15" i="17"/>
  <c r="F15" i="17"/>
  <c r="G15" i="17"/>
  <c r="H15" i="17"/>
  <c r="I15" i="17"/>
  <c r="J15" i="17"/>
  <c r="X15" i="17" a="1"/>
  <c r="X15" i="17"/>
  <c r="Y15" i="17"/>
  <c r="K15" i="17"/>
  <c r="L15" i="17"/>
  <c r="M15" i="17"/>
  <c r="N15" i="17"/>
  <c r="O15" i="17"/>
  <c r="P15" i="17"/>
  <c r="Q15" i="17"/>
  <c r="R15" i="17"/>
  <c r="S15" i="17"/>
  <c r="T15" i="17" a="1"/>
  <c r="U15" i="17"/>
  <c r="V15" i="17"/>
  <c r="T15" i="17"/>
  <c r="B14" i="17"/>
  <c r="C14" i="17"/>
  <c r="D14" i="17"/>
  <c r="E14" i="17"/>
  <c r="F14" i="17"/>
  <c r="G14" i="17"/>
  <c r="H14" i="17"/>
  <c r="I14" i="17"/>
  <c r="J14" i="17"/>
  <c r="X14" i="17" a="1"/>
  <c r="X14" i="17"/>
  <c r="Y14" i="17"/>
  <c r="K14" i="17"/>
  <c r="L14" i="17"/>
  <c r="M14" i="17"/>
  <c r="N14" i="17"/>
  <c r="O14" i="17"/>
  <c r="P14" i="17"/>
  <c r="Q14" i="17"/>
  <c r="R14" i="17"/>
  <c r="S14" i="17"/>
  <c r="T14" i="17" a="1"/>
  <c r="T14" i="17"/>
  <c r="B13" i="17"/>
  <c r="C13" i="17"/>
  <c r="D13" i="17"/>
  <c r="E13" i="17"/>
  <c r="F13" i="17"/>
  <c r="G13" i="17"/>
  <c r="H13" i="17"/>
  <c r="I13" i="17"/>
  <c r="J13" i="17"/>
  <c r="X13" i="17" a="1"/>
  <c r="Y13" i="17"/>
  <c r="X13" i="17"/>
  <c r="K13" i="17"/>
  <c r="L13" i="17"/>
  <c r="M13" i="17"/>
  <c r="N13" i="17"/>
  <c r="O13" i="17"/>
  <c r="P13" i="17"/>
  <c r="Q13" i="17"/>
  <c r="R13" i="17"/>
  <c r="S13" i="17"/>
  <c r="T13" i="17" a="1"/>
  <c r="T13" i="17"/>
  <c r="B12" i="17"/>
  <c r="C12" i="17"/>
  <c r="D12" i="17"/>
  <c r="E12" i="17"/>
  <c r="F12" i="17"/>
  <c r="G12" i="17"/>
  <c r="H12" i="17"/>
  <c r="I12" i="17"/>
  <c r="J12" i="17"/>
  <c r="X12" i="17" a="1"/>
  <c r="X12" i="17"/>
  <c r="K12" i="17"/>
  <c r="L12" i="17"/>
  <c r="M12" i="17"/>
  <c r="N12" i="17"/>
  <c r="O12" i="17"/>
  <c r="P12" i="17"/>
  <c r="Q12" i="17"/>
  <c r="R12" i="17"/>
  <c r="S12" i="17"/>
  <c r="T12" i="17" a="1"/>
  <c r="U12" i="17"/>
  <c r="V12" i="17"/>
  <c r="T12" i="17"/>
  <c r="B11" i="17"/>
  <c r="C11" i="17"/>
  <c r="D11" i="17"/>
  <c r="E11" i="17"/>
  <c r="F11" i="17"/>
  <c r="G11" i="17"/>
  <c r="H11" i="17"/>
  <c r="I11" i="17"/>
  <c r="J11" i="17"/>
  <c r="X11" i="17" a="1"/>
  <c r="X11" i="17"/>
  <c r="Y11" i="17"/>
  <c r="K11" i="17"/>
  <c r="L11" i="17"/>
  <c r="M11" i="17"/>
  <c r="N11" i="17"/>
  <c r="O11" i="17"/>
  <c r="P11" i="17"/>
  <c r="Q11" i="17"/>
  <c r="R11" i="17"/>
  <c r="S11" i="17"/>
  <c r="T11" i="17" a="1"/>
  <c r="T11" i="17"/>
  <c r="B10" i="17"/>
  <c r="C10" i="17"/>
  <c r="D10" i="17"/>
  <c r="E10" i="17"/>
  <c r="F10" i="17"/>
  <c r="G10" i="17"/>
  <c r="H10" i="17"/>
  <c r="I10" i="17"/>
  <c r="J10" i="17"/>
  <c r="X10" i="17" a="1"/>
  <c r="X10" i="17"/>
  <c r="K10" i="17"/>
  <c r="L10" i="17"/>
  <c r="M10" i="17"/>
  <c r="N10" i="17"/>
  <c r="O10" i="17"/>
  <c r="P10" i="17"/>
  <c r="Q10" i="17"/>
  <c r="R10" i="17"/>
  <c r="S10" i="17"/>
  <c r="T10" i="17" a="1"/>
  <c r="U10" i="17"/>
  <c r="V10" i="17"/>
  <c r="T10" i="17"/>
  <c r="B9" i="17"/>
  <c r="C9" i="17"/>
  <c r="D9" i="17"/>
  <c r="E9" i="17"/>
  <c r="F9" i="17"/>
  <c r="G9" i="17"/>
  <c r="H9" i="17"/>
  <c r="I9" i="17"/>
  <c r="J9" i="17"/>
  <c r="X9" i="17" a="1"/>
  <c r="X9" i="17"/>
  <c r="Y9" i="17"/>
  <c r="K9" i="17"/>
  <c r="L9" i="17"/>
  <c r="M9" i="17"/>
  <c r="N9" i="17"/>
  <c r="O9" i="17"/>
  <c r="P9" i="17"/>
  <c r="Q9" i="17"/>
  <c r="R9" i="17"/>
  <c r="S9" i="17"/>
  <c r="T9" i="17" a="1"/>
  <c r="T9" i="17"/>
  <c r="B8" i="17"/>
  <c r="C8" i="17"/>
  <c r="D8" i="17"/>
  <c r="E8" i="17"/>
  <c r="F8" i="17"/>
  <c r="G8" i="17"/>
  <c r="H8" i="17"/>
  <c r="I8" i="17"/>
  <c r="J8" i="17"/>
  <c r="X8" i="17" a="1"/>
  <c r="X8" i="17"/>
  <c r="Y8" i="17"/>
  <c r="K8" i="17"/>
  <c r="L8" i="17"/>
  <c r="M8" i="17"/>
  <c r="N8" i="17"/>
  <c r="O8" i="17"/>
  <c r="P8" i="17"/>
  <c r="Q8" i="17"/>
  <c r="R8" i="17"/>
  <c r="S8" i="17"/>
  <c r="T8" i="17" a="1"/>
  <c r="U8" i="17"/>
  <c r="V8" i="17"/>
  <c r="B7" i="17"/>
  <c r="C7" i="17"/>
  <c r="D7" i="17"/>
  <c r="E7" i="17"/>
  <c r="F7" i="17"/>
  <c r="G7" i="17"/>
  <c r="H7" i="17"/>
  <c r="I7" i="17"/>
  <c r="J7" i="17"/>
  <c r="X7" i="17" a="1"/>
  <c r="X7" i="17"/>
  <c r="Y7" i="17"/>
  <c r="K7" i="17"/>
  <c r="L7" i="17"/>
  <c r="M7" i="17"/>
  <c r="N7" i="17"/>
  <c r="O7" i="17"/>
  <c r="P7" i="17"/>
  <c r="Q7" i="17"/>
  <c r="R7" i="17"/>
  <c r="S7" i="17"/>
  <c r="T7" i="17" a="1"/>
  <c r="U7" i="17"/>
  <c r="V7" i="17"/>
  <c r="T7" i="17"/>
  <c r="B6" i="17"/>
  <c r="C6" i="17"/>
  <c r="D6" i="17"/>
  <c r="E6" i="17"/>
  <c r="F6" i="17"/>
  <c r="G6" i="17"/>
  <c r="H6" i="17"/>
  <c r="I6" i="17"/>
  <c r="J6" i="17"/>
  <c r="X6" i="17" a="1"/>
  <c r="X6" i="17"/>
  <c r="Y6" i="17"/>
  <c r="K6" i="17"/>
  <c r="L6" i="17"/>
  <c r="M6" i="17"/>
  <c r="N6" i="17"/>
  <c r="O6" i="17"/>
  <c r="P6" i="17"/>
  <c r="Q6" i="17"/>
  <c r="R6" i="17"/>
  <c r="S6" i="17"/>
  <c r="T6" i="17" a="1"/>
  <c r="T6" i="17"/>
  <c r="B5" i="17"/>
  <c r="C5" i="17"/>
  <c r="D5" i="17"/>
  <c r="E5" i="17"/>
  <c r="F5" i="17"/>
  <c r="G5" i="17"/>
  <c r="H5" i="17"/>
  <c r="I5" i="17"/>
  <c r="J5" i="17"/>
  <c r="X5" i="17" a="1"/>
  <c r="Y5" i="17"/>
  <c r="X5" i="17"/>
  <c r="K5" i="17"/>
  <c r="L5" i="17"/>
  <c r="M5" i="17"/>
  <c r="N5" i="17"/>
  <c r="O5" i="17"/>
  <c r="P5" i="17"/>
  <c r="Q5" i="17"/>
  <c r="R5" i="17"/>
  <c r="S5" i="17"/>
  <c r="T5" i="17" a="1"/>
  <c r="U5" i="17"/>
  <c r="V5" i="17"/>
  <c r="T5" i="17"/>
  <c r="B4" i="17"/>
  <c r="C4" i="17"/>
  <c r="D4" i="17"/>
  <c r="E4" i="17"/>
  <c r="F4" i="17"/>
  <c r="G4" i="17"/>
  <c r="H4" i="17"/>
  <c r="I4" i="17"/>
  <c r="J4" i="17"/>
  <c r="X4" i="17" a="1"/>
  <c r="X4" i="17"/>
  <c r="K4" i="17"/>
  <c r="L4" i="17"/>
  <c r="M4" i="17"/>
  <c r="N4" i="17"/>
  <c r="O4" i="17"/>
  <c r="P4" i="17"/>
  <c r="Q4" i="17"/>
  <c r="R4" i="17"/>
  <c r="S4" i="17"/>
  <c r="T4" i="17" a="1"/>
  <c r="U4" i="17"/>
  <c r="V4" i="17"/>
  <c r="T4" i="17"/>
  <c r="B3" i="17"/>
  <c r="C3" i="17"/>
  <c r="D3" i="17"/>
  <c r="E3" i="17"/>
  <c r="F3" i="17"/>
  <c r="G3" i="17"/>
  <c r="H3" i="17"/>
  <c r="I3" i="17"/>
  <c r="J3" i="17"/>
  <c r="X3" i="17" a="1"/>
  <c r="Y3" i="17"/>
  <c r="X3" i="17"/>
  <c r="K3" i="17"/>
  <c r="L3" i="17"/>
  <c r="M3" i="17"/>
  <c r="N3" i="17"/>
  <c r="O3" i="17"/>
  <c r="P3" i="17"/>
  <c r="Q3" i="17"/>
  <c r="R3" i="17"/>
  <c r="S3" i="17"/>
  <c r="T3" i="17" a="1"/>
  <c r="T3" i="17"/>
  <c r="U9" i="17"/>
  <c r="V9" i="17"/>
  <c r="Y10" i="17"/>
  <c r="U17" i="17"/>
  <c r="V17" i="17"/>
  <c r="Y18" i="17"/>
  <c r="U25" i="17"/>
  <c r="V25" i="17"/>
  <c r="Y26" i="17"/>
  <c r="U33" i="17"/>
  <c r="V33" i="17"/>
  <c r="Y34" i="17"/>
  <c r="U41" i="17"/>
  <c r="V41" i="17"/>
  <c r="Y42" i="17"/>
  <c r="T44" i="17"/>
  <c r="U49" i="17"/>
  <c r="V49" i="17"/>
  <c r="Y50" i="17"/>
  <c r="T52" i="17"/>
  <c r="X53" i="17"/>
  <c r="U6" i="17"/>
  <c r="V6" i="17"/>
  <c r="U14" i="17"/>
  <c r="V14" i="17"/>
  <c r="U22" i="17"/>
  <c r="V22" i="17"/>
  <c r="U30" i="17"/>
  <c r="V30" i="17"/>
  <c r="U3" i="17"/>
  <c r="V3" i="17"/>
  <c r="Y4" i="17"/>
  <c r="U11" i="17"/>
  <c r="V11" i="17"/>
  <c r="Y12" i="17"/>
  <c r="U19" i="17"/>
  <c r="V19" i="17"/>
  <c r="Y20" i="17"/>
  <c r="U27" i="17"/>
  <c r="V27" i="17"/>
  <c r="Y28" i="17"/>
  <c r="U35" i="17"/>
  <c r="V35" i="17"/>
  <c r="Y36" i="17"/>
  <c r="U43" i="17"/>
  <c r="V43" i="17"/>
  <c r="Y44" i="17"/>
  <c r="U51" i="17"/>
  <c r="V51" i="17"/>
  <c r="Y52" i="17"/>
  <c r="T8" i="17"/>
  <c r="U16" i="17"/>
  <c r="V16" i="17"/>
  <c r="U24" i="17"/>
  <c r="V24" i="17"/>
  <c r="U32" i="17"/>
  <c r="V32" i="17"/>
  <c r="U13" i="17"/>
  <c r="V13" i="17"/>
  <c r="U21" i="17"/>
  <c r="V21" i="17"/>
  <c r="U29" i="17"/>
  <c r="V29" i="17"/>
  <c r="U37" i="17"/>
  <c r="V37" i="17"/>
  <c r="U45" i="17"/>
  <c r="V45" i="17"/>
  <c r="U53" i="17"/>
  <c r="V53" i="17"/>
  <c r="U18" i="17"/>
  <c r="V18" i="17"/>
  <c r="Y19" i="17"/>
  <c r="U26" i="17"/>
  <c r="V26" i="17"/>
  <c r="Y27" i="17"/>
  <c r="U34" i="17"/>
  <c r="V34" i="17"/>
  <c r="U42" i="17"/>
  <c r="V42" i="17"/>
  <c r="U50" i="17"/>
  <c r="V50" i="17"/>
  <c r="E5" i="11"/>
  <c r="E3" i="9"/>
  <c r="E3" i="10"/>
  <c r="E3" i="11"/>
  <c r="E3" i="12"/>
  <c r="E4" i="9"/>
  <c r="E4" i="10"/>
  <c r="E4" i="11"/>
  <c r="E4" i="13"/>
  <c r="E4" i="15"/>
  <c r="E5" i="9"/>
  <c r="E5" i="10"/>
  <c r="E5" i="12"/>
  <c r="E5" i="13"/>
  <c r="E6" i="10"/>
  <c r="E6" i="11"/>
  <c r="E6" i="12"/>
  <c r="E6" i="13"/>
  <c r="E7" i="9"/>
  <c r="E7" i="10"/>
  <c r="E7" i="11"/>
  <c r="E7" i="12"/>
  <c r="E7" i="13"/>
  <c r="E7" i="15"/>
  <c r="E8" i="9"/>
  <c r="E8" i="10"/>
  <c r="E8" i="11"/>
  <c r="E8" i="12"/>
  <c r="E8" i="13"/>
  <c r="E9" i="9"/>
  <c r="E9" i="10"/>
  <c r="E9" i="11"/>
  <c r="E9" i="12"/>
  <c r="E10" i="9"/>
  <c r="E10" i="10"/>
  <c r="E10" i="11"/>
  <c r="E10" i="12"/>
  <c r="E10" i="13"/>
  <c r="E10" i="14"/>
  <c r="E11" i="9"/>
  <c r="E11" i="10"/>
  <c r="E11" i="11"/>
  <c r="E11" i="12"/>
  <c r="E11" i="13"/>
  <c r="E11" i="14"/>
  <c r="E12" i="9"/>
  <c r="E12" i="10"/>
  <c r="E12" i="11"/>
  <c r="E12" i="12"/>
  <c r="E12" i="13"/>
  <c r="E12" i="14"/>
  <c r="E13" i="9"/>
  <c r="E13" i="10"/>
  <c r="E13" i="11"/>
  <c r="E13" i="12"/>
  <c r="E13" i="13"/>
  <c r="E13" i="14"/>
  <c r="E14" i="9"/>
  <c r="E14" i="10"/>
  <c r="E14" i="11"/>
  <c r="E14" i="12"/>
  <c r="E15" i="9"/>
  <c r="E15" i="10"/>
  <c r="E15" i="11"/>
  <c r="E15" i="12"/>
  <c r="E15" i="15"/>
  <c r="E16" i="9"/>
  <c r="E16" i="10"/>
  <c r="E16" i="11"/>
  <c r="E16" i="13"/>
  <c r="E17" i="9"/>
  <c r="E17" i="10"/>
  <c r="E17" i="11"/>
  <c r="E17" i="12"/>
  <c r="E17" i="13"/>
  <c r="E17" i="14"/>
  <c r="E17" i="15"/>
  <c r="E18" i="9"/>
  <c r="E18" i="10"/>
  <c r="E18" i="11"/>
  <c r="E18" i="12"/>
  <c r="E18" i="13"/>
  <c r="E18" i="14"/>
  <c r="E18" i="15"/>
  <c r="E19" i="9"/>
  <c r="E19" i="10"/>
  <c r="E19" i="11"/>
  <c r="E19" i="12"/>
  <c r="E19" i="13"/>
  <c r="E19" i="14"/>
  <c r="E19" i="15"/>
  <c r="E20" i="9"/>
  <c r="E20" i="10"/>
  <c r="E20" i="11"/>
  <c r="E20" i="12"/>
  <c r="E20" i="13"/>
  <c r="E20" i="14"/>
  <c r="E20" i="15"/>
  <c r="E21" i="9"/>
  <c r="E21" i="10"/>
  <c r="E21" i="11"/>
  <c r="E21" i="12"/>
  <c r="E21" i="13"/>
  <c r="E21" i="14"/>
  <c r="E21" i="15"/>
  <c r="E22" i="9"/>
  <c r="E22" i="10"/>
  <c r="E22" i="11"/>
  <c r="E22" i="12"/>
  <c r="E22" i="13"/>
  <c r="E22" i="14"/>
  <c r="E22" i="15"/>
  <c r="E23" i="9"/>
  <c r="E23" i="10"/>
  <c r="E23" i="11"/>
  <c r="E23" i="12"/>
  <c r="E23" i="13"/>
  <c r="E23" i="14"/>
  <c r="E23" i="15"/>
  <c r="E24" i="9"/>
  <c r="E24" i="10"/>
  <c r="E24" i="11"/>
  <c r="E24" i="12"/>
  <c r="E24" i="13"/>
  <c r="E24" i="14"/>
  <c r="E25" i="9"/>
  <c r="E25" i="10"/>
  <c r="E25" i="11"/>
  <c r="E25" i="12"/>
  <c r="E25" i="13"/>
  <c r="E25" i="14"/>
  <c r="E25" i="15"/>
  <c r="E26" i="9"/>
  <c r="E26" i="10"/>
  <c r="E26" i="11"/>
  <c r="E26" i="12"/>
  <c r="E26" i="13"/>
  <c r="E26" i="14"/>
  <c r="E26" i="15"/>
  <c r="E27" i="9"/>
  <c r="E27" i="10"/>
  <c r="E27" i="11"/>
  <c r="E27" i="12"/>
  <c r="E27" i="13"/>
  <c r="E27" i="14"/>
  <c r="E27" i="16"/>
  <c r="E28" i="9"/>
  <c r="E28" i="10"/>
  <c r="E28" i="11"/>
  <c r="E28" i="13"/>
  <c r="E28" i="14"/>
  <c r="E28" i="15"/>
  <c r="E29" i="9"/>
  <c r="E29" i="10"/>
  <c r="E29" i="11"/>
  <c r="E29" i="12"/>
  <c r="E29" i="13"/>
  <c r="E29" i="14"/>
  <c r="E29" i="15"/>
  <c r="E30" i="9"/>
  <c r="E30" i="10"/>
  <c r="E30" i="11"/>
  <c r="E30" i="12"/>
  <c r="E30" i="13"/>
  <c r="E30" i="14"/>
  <c r="E30" i="15"/>
  <c r="E30" i="16"/>
  <c r="E31" i="9"/>
  <c r="E31" i="10"/>
  <c r="E31" i="11"/>
  <c r="E31" i="12"/>
  <c r="E31" i="13"/>
  <c r="E31" i="14"/>
  <c r="E31" i="15"/>
  <c r="E32" i="9"/>
  <c r="E32" i="10"/>
  <c r="E32" i="11"/>
  <c r="E32" i="12"/>
  <c r="E32" i="13"/>
  <c r="E32" i="14"/>
  <c r="E32" i="15"/>
  <c r="E33" i="9"/>
  <c r="E33" i="10"/>
  <c r="E33" i="11"/>
  <c r="E33" i="12"/>
  <c r="E33" i="13"/>
  <c r="E33" i="15"/>
  <c r="E34" i="9"/>
  <c r="E34" i="10"/>
  <c r="E34" i="11"/>
  <c r="E34" i="12"/>
  <c r="E34" i="13"/>
  <c r="E34" i="14"/>
  <c r="E34" i="15"/>
  <c r="E35" i="9"/>
  <c r="E35" i="10"/>
  <c r="E35" i="11"/>
  <c r="E35" i="12"/>
  <c r="E35" i="13"/>
  <c r="E35" i="14"/>
  <c r="E35" i="15"/>
  <c r="E36" i="9"/>
  <c r="E36" i="10"/>
  <c r="E36" i="11"/>
  <c r="E36" i="12"/>
  <c r="E36" i="13"/>
  <c r="E36" i="14"/>
  <c r="E36" i="15"/>
  <c r="E37" i="9"/>
  <c r="E37" i="10"/>
  <c r="E37" i="11"/>
  <c r="E37" i="12"/>
  <c r="E37" i="13"/>
  <c r="E37" i="14"/>
  <c r="E37" i="15"/>
  <c r="E38" i="9"/>
  <c r="E38" i="10"/>
  <c r="E38" i="11"/>
  <c r="E38" i="12"/>
  <c r="E38" i="13"/>
  <c r="E38" i="14"/>
  <c r="E38" i="15"/>
  <c r="E39" i="9"/>
  <c r="E39" i="10"/>
  <c r="E39" i="11"/>
  <c r="E39" i="12"/>
  <c r="E39" i="13"/>
  <c r="E39" i="14"/>
  <c r="E39" i="15"/>
  <c r="E40" i="9"/>
  <c r="E40" i="10"/>
  <c r="E40" i="11"/>
  <c r="E40" i="12"/>
  <c r="E40" i="13"/>
  <c r="E40" i="14"/>
  <c r="E40" i="15"/>
  <c r="E41" i="9"/>
  <c r="E41" i="10"/>
  <c r="E41" i="11"/>
  <c r="E41" i="13"/>
  <c r="E41" i="14"/>
  <c r="E41" i="15"/>
  <c r="E42" i="9"/>
  <c r="E42" i="10"/>
  <c r="E42" i="11"/>
  <c r="E42" i="12"/>
  <c r="E42" i="13"/>
  <c r="E42" i="14"/>
  <c r="E42" i="15"/>
  <c r="E42" i="16"/>
  <c r="E43" i="9"/>
  <c r="E43" i="10"/>
  <c r="E43" i="11"/>
  <c r="E43" i="12"/>
  <c r="E43" i="13"/>
  <c r="E43" i="14"/>
  <c r="E43" i="15"/>
  <c r="E44" i="9"/>
  <c r="E44" i="10"/>
  <c r="E44" i="11"/>
  <c r="E44" i="12"/>
  <c r="E44" i="13"/>
  <c r="E44" i="14"/>
  <c r="E44" i="15"/>
  <c r="E44" i="16"/>
  <c r="E45" i="9"/>
  <c r="E45" i="10"/>
  <c r="E45" i="11"/>
  <c r="E45" i="12"/>
  <c r="E45" i="13"/>
  <c r="E45" i="14"/>
  <c r="E45" i="15"/>
  <c r="E46" i="9"/>
  <c r="E46" i="10"/>
  <c r="E46" i="11"/>
  <c r="E46" i="12"/>
  <c r="E46" i="13"/>
  <c r="E46" i="14"/>
  <c r="E46" i="15"/>
  <c r="E47" i="9"/>
  <c r="E47" i="10"/>
  <c r="E47" i="11"/>
  <c r="E47" i="12"/>
  <c r="E47" i="13"/>
  <c r="E47" i="14"/>
  <c r="E47" i="15"/>
  <c r="E47" i="16"/>
  <c r="E48" i="9"/>
  <c r="E48" i="10"/>
  <c r="E48" i="11"/>
  <c r="E48" i="12"/>
  <c r="E48" i="13"/>
  <c r="E48" i="14"/>
  <c r="E48" i="15"/>
  <c r="E48" i="16"/>
  <c r="E49" i="9"/>
  <c r="E49" i="10"/>
  <c r="E49" i="11"/>
  <c r="E49" i="12"/>
  <c r="E49" i="13"/>
  <c r="E49" i="14"/>
  <c r="E49" i="15"/>
  <c r="E49" i="16"/>
  <c r="E50" i="9"/>
  <c r="E50" i="10"/>
  <c r="E50" i="11"/>
  <c r="E50" i="12"/>
  <c r="E50" i="13"/>
  <c r="E50" i="14"/>
  <c r="E50" i="15"/>
  <c r="E50" i="16"/>
  <c r="E51" i="9"/>
  <c r="E51" i="10"/>
  <c r="E51" i="11"/>
  <c r="E51" i="12"/>
  <c r="E51" i="13"/>
  <c r="E51" i="14"/>
  <c r="E51" i="15"/>
  <c r="E52" i="9"/>
  <c r="E52" i="10"/>
  <c r="E52" i="11"/>
  <c r="E52" i="12"/>
  <c r="E52" i="13"/>
  <c r="E52" i="14"/>
  <c r="E52" i="15"/>
  <c r="E52" i="16"/>
  <c r="E53" i="9"/>
  <c r="E53" i="10"/>
  <c r="E53" i="11"/>
  <c r="E53" i="12"/>
  <c r="E53" i="13"/>
  <c r="E53" i="14"/>
  <c r="E53" i="15"/>
  <c r="E53" i="16"/>
  <c r="E53" i="7"/>
  <c r="E34" i="7"/>
  <c r="E33" i="7"/>
  <c r="E32" i="7"/>
  <c r="E31" i="7"/>
  <c r="E6" i="14"/>
  <c r="E26" i="16"/>
  <c r="E25" i="16"/>
  <c r="E24" i="16"/>
  <c r="E46" i="16"/>
  <c r="E45" i="16"/>
  <c r="E27" i="15"/>
  <c r="E14" i="13"/>
  <c r="E6" i="16"/>
  <c r="E14" i="16"/>
  <c r="E22" i="16"/>
  <c r="E38" i="16"/>
  <c r="E3" i="15"/>
  <c r="E12" i="15"/>
  <c r="E9" i="14"/>
  <c r="E33" i="14"/>
  <c r="E5" i="16"/>
  <c r="E13" i="16"/>
  <c r="E21" i="16"/>
  <c r="E29" i="16"/>
  <c r="E37" i="16"/>
  <c r="E11" i="15"/>
  <c r="E8" i="14"/>
  <c r="E16" i="14"/>
  <c r="E4" i="7"/>
  <c r="E45" i="7"/>
  <c r="E12" i="7"/>
  <c r="E52" i="7"/>
  <c r="E19" i="7"/>
  <c r="E10" i="7"/>
  <c r="E42" i="7"/>
  <c r="E17" i="7"/>
  <c r="E49" i="7"/>
  <c r="E16" i="7"/>
  <c r="E40" i="7"/>
  <c r="E48" i="7"/>
  <c r="E6" i="7"/>
  <c r="E15" i="7"/>
  <c r="E23" i="7"/>
  <c r="E39" i="7"/>
  <c r="E47" i="7"/>
  <c r="E8" i="15"/>
  <c r="E4" i="16"/>
  <c r="E12" i="16"/>
  <c r="E20" i="16"/>
  <c r="E28" i="16"/>
  <c r="E36" i="16"/>
  <c r="E10" i="15"/>
  <c r="E7" i="14"/>
  <c r="E15" i="14"/>
  <c r="E41" i="12"/>
  <c r="E37" i="7"/>
  <c r="F37" i="7"/>
  <c r="E3" i="7"/>
  <c r="E20" i="7"/>
  <c r="E44" i="7"/>
  <c r="E11" i="7"/>
  <c r="F11" i="7"/>
  <c r="E27" i="7"/>
  <c r="E26" i="7"/>
  <c r="E9" i="7"/>
  <c r="E25" i="7"/>
  <c r="F25" i="7"/>
  <c r="E41" i="7"/>
  <c r="E8" i="7"/>
  <c r="E24" i="7"/>
  <c r="E5" i="7"/>
  <c r="F5" i="7"/>
  <c r="E14" i="7"/>
  <c r="E22" i="7"/>
  <c r="E30" i="7"/>
  <c r="E38" i="7"/>
  <c r="F38" i="7"/>
  <c r="A1" i="7"/>
  <c r="G38" i="7"/>
  <c r="H38" i="7"/>
  <c r="E46" i="7"/>
  <c r="E7" i="7"/>
  <c r="E3" i="16"/>
  <c r="E11" i="16"/>
  <c r="E19" i="16"/>
  <c r="E35" i="16"/>
  <c r="E43" i="16"/>
  <c r="E51" i="16"/>
  <c r="E9" i="15"/>
  <c r="E14" i="14"/>
  <c r="E3" i="13"/>
  <c r="E16" i="12"/>
  <c r="B16" i="12"/>
  <c r="F16" i="12"/>
  <c r="E10" i="16"/>
  <c r="E18" i="16"/>
  <c r="E34" i="16"/>
  <c r="E16" i="15"/>
  <c r="E24" i="15"/>
  <c r="E5" i="14"/>
  <c r="E6" i="9"/>
  <c r="E9" i="16"/>
  <c r="E17" i="16"/>
  <c r="E33" i="16"/>
  <c r="E41" i="16"/>
  <c r="B41" i="16"/>
  <c r="F41" i="16"/>
  <c r="E6" i="15"/>
  <c r="B6" i="15"/>
  <c r="F6" i="15"/>
  <c r="E4" i="14"/>
  <c r="E9" i="13"/>
  <c r="E21" i="7"/>
  <c r="F21" i="7"/>
  <c r="G21" i="7"/>
  <c r="H21" i="7"/>
  <c r="O21" i="7"/>
  <c r="Q21" i="7"/>
  <c r="R21" i="7"/>
  <c r="B20" i="8"/>
  <c r="L20" i="8"/>
  <c r="E28" i="7"/>
  <c r="E35" i="7"/>
  <c r="E43" i="7"/>
  <c r="E51" i="7"/>
  <c r="F51" i="7"/>
  <c r="G51" i="7"/>
  <c r="H51" i="7"/>
  <c r="E8" i="16"/>
  <c r="E16" i="16"/>
  <c r="E32" i="16"/>
  <c r="E40" i="16"/>
  <c r="E5" i="15"/>
  <c r="B5" i="15"/>
  <c r="F5" i="15"/>
  <c r="E14" i="15"/>
  <c r="E3" i="14"/>
  <c r="E13" i="7"/>
  <c r="F13" i="7"/>
  <c r="E29" i="7"/>
  <c r="F29" i="7"/>
  <c r="E36" i="7"/>
  <c r="E18" i="7"/>
  <c r="E50" i="7"/>
  <c r="E7" i="16"/>
  <c r="B7" i="16"/>
  <c r="F7" i="16"/>
  <c r="E15" i="16"/>
  <c r="E23" i="16"/>
  <c r="E31" i="16"/>
  <c r="B31" i="16"/>
  <c r="F31" i="16"/>
  <c r="E39" i="16"/>
  <c r="E13" i="15"/>
  <c r="E15" i="13"/>
  <c r="E4" i="12"/>
  <c r="E28" i="12"/>
  <c r="P50" i="7"/>
  <c r="P50" i="16"/>
  <c r="P47" i="7"/>
  <c r="P47" i="10"/>
  <c r="P36" i="7"/>
  <c r="P36" i="11"/>
  <c r="P33" i="7"/>
  <c r="P33" i="12"/>
  <c r="P26" i="7"/>
  <c r="P26" i="12"/>
  <c r="P13" i="7"/>
  <c r="P13" i="15"/>
  <c r="P10" i="7"/>
  <c r="P10" i="16"/>
  <c r="P9" i="7"/>
  <c r="P53" i="16"/>
  <c r="P52" i="16"/>
  <c r="P51" i="16"/>
  <c r="P49" i="16"/>
  <c r="P48" i="16"/>
  <c r="P46" i="16"/>
  <c r="P45" i="16"/>
  <c r="P44" i="16"/>
  <c r="P43" i="16"/>
  <c r="P42" i="16"/>
  <c r="P41" i="16"/>
  <c r="P40" i="16"/>
  <c r="P39" i="16"/>
  <c r="P38" i="16"/>
  <c r="P37" i="16"/>
  <c r="P35" i="16"/>
  <c r="P34" i="16"/>
  <c r="P33" i="16"/>
  <c r="P32" i="16"/>
  <c r="P31" i="16"/>
  <c r="P30" i="16"/>
  <c r="P29" i="16"/>
  <c r="P28" i="16"/>
  <c r="P27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2" i="16"/>
  <c r="P11" i="16"/>
  <c r="P9" i="16"/>
  <c r="P8" i="16"/>
  <c r="P7" i="16"/>
  <c r="P6" i="16"/>
  <c r="P5" i="16"/>
  <c r="P4" i="16"/>
  <c r="P3" i="16"/>
  <c r="P53" i="15"/>
  <c r="P52" i="15"/>
  <c r="P51" i="15"/>
  <c r="P50" i="15"/>
  <c r="P49" i="15"/>
  <c r="P48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2" i="15"/>
  <c r="P11" i="15"/>
  <c r="P10" i="15"/>
  <c r="P9" i="15"/>
  <c r="P8" i="15"/>
  <c r="P7" i="15"/>
  <c r="P6" i="15"/>
  <c r="P5" i="15"/>
  <c r="P4" i="15"/>
  <c r="P3" i="15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53" i="13"/>
  <c r="P52" i="13"/>
  <c r="P51" i="13"/>
  <c r="P50" i="13"/>
  <c r="P49" i="13"/>
  <c r="P48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2" i="12"/>
  <c r="P31" i="12"/>
  <c r="P30" i="12"/>
  <c r="P29" i="12"/>
  <c r="P28" i="12"/>
  <c r="P27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9" i="12"/>
  <c r="P8" i="12"/>
  <c r="P7" i="12"/>
  <c r="P6" i="12"/>
  <c r="P5" i="12"/>
  <c r="P4" i="12"/>
  <c r="P3" i="12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2" i="11"/>
  <c r="P11" i="11"/>
  <c r="P10" i="11"/>
  <c r="P9" i="11"/>
  <c r="P8" i="11"/>
  <c r="P7" i="11"/>
  <c r="P6" i="11"/>
  <c r="P5" i="11"/>
  <c r="P4" i="11"/>
  <c r="P3" i="11"/>
  <c r="P53" i="10"/>
  <c r="P52" i="10"/>
  <c r="P51" i="10"/>
  <c r="P50" i="10"/>
  <c r="P49" i="10"/>
  <c r="P48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J30" i="10"/>
  <c r="O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J6" i="10"/>
  <c r="O6" i="10"/>
  <c r="P5" i="10"/>
  <c r="J5" i="10"/>
  <c r="O5" i="10"/>
  <c r="P4" i="10"/>
  <c r="P3" i="10"/>
  <c r="J3" i="10"/>
  <c r="O3" i="10"/>
  <c r="B3" i="10"/>
  <c r="J4" i="10"/>
  <c r="O4" i="10"/>
  <c r="B4" i="10"/>
  <c r="F4" i="10"/>
  <c r="B5" i="10"/>
  <c r="F5" i="10"/>
  <c r="B6" i="10"/>
  <c r="F6" i="10"/>
  <c r="J7" i="10"/>
  <c r="B7" i="10"/>
  <c r="F7" i="10"/>
  <c r="J8" i="10"/>
  <c r="O8" i="10"/>
  <c r="B8" i="10"/>
  <c r="F8" i="10"/>
  <c r="J9" i="10"/>
  <c r="B9" i="10"/>
  <c r="J10" i="10"/>
  <c r="B10" i="10"/>
  <c r="F10" i="10"/>
  <c r="J11" i="10"/>
  <c r="O11" i="10"/>
  <c r="B11" i="10"/>
  <c r="J12" i="10"/>
  <c r="O12" i="10"/>
  <c r="B12" i="10"/>
  <c r="F12" i="10"/>
  <c r="J13" i="10"/>
  <c r="B13" i="10"/>
  <c r="F13" i="10"/>
  <c r="J14" i="10"/>
  <c r="B14" i="10"/>
  <c r="F14" i="10"/>
  <c r="J15" i="10"/>
  <c r="O15" i="10"/>
  <c r="B15" i="10"/>
  <c r="F15" i="10"/>
  <c r="J16" i="10"/>
  <c r="O16" i="10"/>
  <c r="B16" i="10"/>
  <c r="F16" i="10"/>
  <c r="J17" i="10"/>
  <c r="B17" i="10"/>
  <c r="J18" i="10"/>
  <c r="B18" i="10"/>
  <c r="F18" i="10"/>
  <c r="J19" i="10"/>
  <c r="O19" i="10"/>
  <c r="B19" i="10"/>
  <c r="J20" i="10"/>
  <c r="O20" i="10"/>
  <c r="B20" i="10"/>
  <c r="F20" i="10"/>
  <c r="J21" i="10"/>
  <c r="B21" i="10"/>
  <c r="F21" i="10"/>
  <c r="J22" i="10"/>
  <c r="B22" i="10"/>
  <c r="F22" i="10"/>
  <c r="J23" i="10"/>
  <c r="O23" i="10"/>
  <c r="B23" i="10"/>
  <c r="F23" i="10"/>
  <c r="J24" i="10"/>
  <c r="O24" i="10"/>
  <c r="B24" i="10"/>
  <c r="F24" i="10"/>
  <c r="J25" i="10"/>
  <c r="B25" i="10"/>
  <c r="J26" i="10"/>
  <c r="B26" i="10"/>
  <c r="F26" i="10"/>
  <c r="J27" i="10"/>
  <c r="O27" i="10"/>
  <c r="B27" i="10"/>
  <c r="J28" i="10"/>
  <c r="O28" i="10"/>
  <c r="B28" i="10"/>
  <c r="F28" i="10"/>
  <c r="J29" i="10"/>
  <c r="O29" i="10"/>
  <c r="B29" i="10"/>
  <c r="F29" i="10"/>
  <c r="B30" i="10"/>
  <c r="F30" i="10"/>
  <c r="J31" i="10"/>
  <c r="B31" i="10"/>
  <c r="F31" i="10"/>
  <c r="J32" i="10"/>
  <c r="O32" i="10"/>
  <c r="B32" i="10"/>
  <c r="F32" i="10"/>
  <c r="J33" i="10"/>
  <c r="B33" i="10"/>
  <c r="J34" i="10"/>
  <c r="B34" i="10"/>
  <c r="F34" i="10"/>
  <c r="J35" i="10"/>
  <c r="O35" i="10"/>
  <c r="B35" i="10"/>
  <c r="J36" i="10"/>
  <c r="O36" i="10"/>
  <c r="B36" i="10"/>
  <c r="F36" i="10"/>
  <c r="J37" i="10"/>
  <c r="O37" i="10"/>
  <c r="B37" i="10"/>
  <c r="F37" i="10"/>
  <c r="J38" i="10"/>
  <c r="B38" i="10"/>
  <c r="F38" i="10"/>
  <c r="J39" i="10"/>
  <c r="O39" i="10"/>
  <c r="B39" i="10"/>
  <c r="F39" i="10"/>
  <c r="J40" i="10"/>
  <c r="O40" i="10"/>
  <c r="B40" i="10"/>
  <c r="F40" i="10"/>
  <c r="J41" i="10"/>
  <c r="O41" i="10"/>
  <c r="B41" i="10"/>
  <c r="J42" i="10"/>
  <c r="O42" i="10"/>
  <c r="B42" i="10"/>
  <c r="F42" i="10"/>
  <c r="J43" i="10"/>
  <c r="O43" i="10"/>
  <c r="B43" i="10"/>
  <c r="J44" i="10"/>
  <c r="O44" i="10"/>
  <c r="B44" i="10"/>
  <c r="F44" i="10"/>
  <c r="J45" i="10"/>
  <c r="O45" i="10"/>
  <c r="B45" i="10"/>
  <c r="F45" i="10"/>
  <c r="J46" i="10"/>
  <c r="O46" i="10"/>
  <c r="B46" i="10"/>
  <c r="F46" i="10"/>
  <c r="J47" i="10"/>
  <c r="B47" i="10"/>
  <c r="F47" i="10"/>
  <c r="J48" i="10"/>
  <c r="O48" i="10"/>
  <c r="B48" i="10"/>
  <c r="F48" i="10"/>
  <c r="J49" i="10"/>
  <c r="O49" i="10"/>
  <c r="B49" i="10"/>
  <c r="J50" i="10"/>
  <c r="O50" i="10"/>
  <c r="B50" i="10"/>
  <c r="F50" i="10"/>
  <c r="J51" i="10"/>
  <c r="B51" i="10"/>
  <c r="J52" i="10"/>
  <c r="O52" i="10"/>
  <c r="B52" i="10"/>
  <c r="F52" i="10"/>
  <c r="J53" i="10"/>
  <c r="O53" i="10"/>
  <c r="B53" i="10"/>
  <c r="F53" i="10"/>
  <c r="J3" i="11"/>
  <c r="O3" i="11"/>
  <c r="B3" i="11"/>
  <c r="F3" i="11"/>
  <c r="J4" i="11"/>
  <c r="O4" i="11"/>
  <c r="B4" i="11"/>
  <c r="F4" i="11"/>
  <c r="J5" i="11"/>
  <c r="O5" i="11"/>
  <c r="B5" i="11"/>
  <c r="F5" i="11"/>
  <c r="J6" i="11"/>
  <c r="O6" i="11"/>
  <c r="B6" i="11"/>
  <c r="J7" i="11"/>
  <c r="O7" i="11"/>
  <c r="B7" i="11"/>
  <c r="F7" i="11"/>
  <c r="J8" i="11"/>
  <c r="O8" i="11"/>
  <c r="B8" i="11"/>
  <c r="J9" i="11"/>
  <c r="O9" i="11"/>
  <c r="B9" i="11"/>
  <c r="F9" i="11"/>
  <c r="J10" i="11"/>
  <c r="O10" i="11"/>
  <c r="B10" i="11"/>
  <c r="F10" i="11"/>
  <c r="J11" i="11"/>
  <c r="O11" i="11"/>
  <c r="B11" i="11"/>
  <c r="F11" i="11"/>
  <c r="J12" i="11"/>
  <c r="O12" i="11"/>
  <c r="B12" i="11"/>
  <c r="F12" i="11"/>
  <c r="J13" i="11"/>
  <c r="B13" i="11"/>
  <c r="F13" i="11"/>
  <c r="J14" i="11"/>
  <c r="O14" i="11"/>
  <c r="B14" i="11"/>
  <c r="J15" i="11"/>
  <c r="O15" i="11"/>
  <c r="B15" i="11"/>
  <c r="F15" i="11"/>
  <c r="J16" i="11"/>
  <c r="O16" i="11"/>
  <c r="B16" i="11"/>
  <c r="J17" i="11"/>
  <c r="O17" i="11"/>
  <c r="B17" i="11"/>
  <c r="F17" i="11"/>
  <c r="J18" i="11"/>
  <c r="O18" i="11"/>
  <c r="B18" i="11"/>
  <c r="F18" i="11"/>
  <c r="J19" i="11"/>
  <c r="O19" i="11"/>
  <c r="B19" i="11"/>
  <c r="F19" i="11"/>
  <c r="J20" i="11"/>
  <c r="O20" i="11"/>
  <c r="B20" i="11"/>
  <c r="F20" i="11"/>
  <c r="J21" i="11"/>
  <c r="O21" i="11"/>
  <c r="B21" i="11"/>
  <c r="F21" i="11"/>
  <c r="J22" i="11"/>
  <c r="O22" i="11"/>
  <c r="B22" i="11"/>
  <c r="J23" i="11"/>
  <c r="O23" i="11"/>
  <c r="B23" i="11"/>
  <c r="F23" i="11"/>
  <c r="J24" i="11"/>
  <c r="O24" i="11"/>
  <c r="B24" i="11"/>
  <c r="J25" i="11"/>
  <c r="O25" i="11"/>
  <c r="B25" i="11"/>
  <c r="F25" i="11"/>
  <c r="J26" i="11"/>
  <c r="O26" i="11"/>
  <c r="B26" i="11"/>
  <c r="F26" i="11"/>
  <c r="J27" i="11"/>
  <c r="O27" i="11"/>
  <c r="B27" i="11"/>
  <c r="F27" i="11"/>
  <c r="J28" i="11"/>
  <c r="O28" i="11"/>
  <c r="B28" i="11"/>
  <c r="F28" i="11"/>
  <c r="J29" i="11"/>
  <c r="O29" i="11"/>
  <c r="B29" i="11"/>
  <c r="F29" i="11"/>
  <c r="J30" i="11"/>
  <c r="O30" i="11"/>
  <c r="B30" i="11"/>
  <c r="J31" i="11"/>
  <c r="O31" i="11"/>
  <c r="B31" i="11"/>
  <c r="F31" i="11"/>
  <c r="J32" i="11"/>
  <c r="O32" i="11"/>
  <c r="B32" i="11"/>
  <c r="J33" i="11"/>
  <c r="O33" i="11"/>
  <c r="B33" i="11"/>
  <c r="F33" i="11"/>
  <c r="J34" i="11"/>
  <c r="O34" i="11"/>
  <c r="B34" i="11"/>
  <c r="F34" i="11"/>
  <c r="J35" i="11"/>
  <c r="O35" i="11"/>
  <c r="B35" i="11"/>
  <c r="F35" i="11"/>
  <c r="J36" i="11"/>
  <c r="B36" i="11"/>
  <c r="F36" i="11"/>
  <c r="J37" i="11"/>
  <c r="O37" i="11"/>
  <c r="B37" i="11"/>
  <c r="F37" i="11"/>
  <c r="J38" i="11"/>
  <c r="O38" i="11"/>
  <c r="B38" i="11"/>
  <c r="J39" i="11"/>
  <c r="O39" i="11"/>
  <c r="B39" i="11"/>
  <c r="F39" i="11"/>
  <c r="J40" i="11"/>
  <c r="O40" i="11"/>
  <c r="B40" i="11"/>
  <c r="J41" i="11"/>
  <c r="O41" i="11"/>
  <c r="B41" i="11"/>
  <c r="F41" i="11"/>
  <c r="J42" i="11"/>
  <c r="O42" i="11"/>
  <c r="B42" i="11"/>
  <c r="F42" i="11"/>
  <c r="J43" i="11"/>
  <c r="O43" i="11"/>
  <c r="B43" i="11"/>
  <c r="F43" i="11"/>
  <c r="J44" i="11"/>
  <c r="O44" i="11"/>
  <c r="B44" i="11"/>
  <c r="F44" i="11"/>
  <c r="J45" i="11"/>
  <c r="O45" i="11"/>
  <c r="B45" i="11"/>
  <c r="F45" i="11"/>
  <c r="J46" i="11"/>
  <c r="O46" i="11"/>
  <c r="B46" i="11"/>
  <c r="J47" i="11"/>
  <c r="O47" i="11"/>
  <c r="B47" i="11"/>
  <c r="F47" i="11"/>
  <c r="J48" i="11"/>
  <c r="O48" i="11"/>
  <c r="B48" i="11"/>
  <c r="J49" i="11"/>
  <c r="O49" i="11"/>
  <c r="B49" i="11"/>
  <c r="F49" i="11"/>
  <c r="J50" i="11"/>
  <c r="O50" i="11"/>
  <c r="B50" i="11"/>
  <c r="F50" i="11"/>
  <c r="J51" i="11"/>
  <c r="O51" i="11"/>
  <c r="B51" i="11"/>
  <c r="F51" i="11"/>
  <c r="J52" i="11"/>
  <c r="O52" i="11"/>
  <c r="B52" i="11"/>
  <c r="F52" i="11"/>
  <c r="J53" i="11"/>
  <c r="O53" i="11"/>
  <c r="B53" i="11"/>
  <c r="F53" i="11"/>
  <c r="J3" i="12"/>
  <c r="O3" i="12"/>
  <c r="B3" i="12"/>
  <c r="J4" i="12"/>
  <c r="O4" i="12"/>
  <c r="B4" i="12"/>
  <c r="J5" i="12"/>
  <c r="O5" i="12"/>
  <c r="B5" i="12"/>
  <c r="J6" i="12"/>
  <c r="O6" i="12"/>
  <c r="B6" i="12"/>
  <c r="F6" i="12"/>
  <c r="J7" i="12"/>
  <c r="O7" i="12"/>
  <c r="B7" i="12"/>
  <c r="F7" i="12"/>
  <c r="J8" i="12"/>
  <c r="O8" i="12"/>
  <c r="B8" i="12"/>
  <c r="J9" i="12"/>
  <c r="O9" i="12"/>
  <c r="B9" i="12"/>
  <c r="F9" i="12"/>
  <c r="J10" i="12"/>
  <c r="B10" i="12"/>
  <c r="F10" i="12"/>
  <c r="J11" i="12"/>
  <c r="O11" i="12"/>
  <c r="B11" i="12"/>
  <c r="J12" i="12"/>
  <c r="O12" i="12"/>
  <c r="B12" i="12"/>
  <c r="J13" i="12"/>
  <c r="O13" i="12"/>
  <c r="B13" i="12"/>
  <c r="J14" i="12"/>
  <c r="O14" i="12"/>
  <c r="B14" i="12"/>
  <c r="F14" i="12"/>
  <c r="J15" i="12"/>
  <c r="O15" i="12"/>
  <c r="B15" i="12"/>
  <c r="J16" i="12"/>
  <c r="O16" i="12"/>
  <c r="J17" i="12"/>
  <c r="O17" i="12"/>
  <c r="B17" i="12"/>
  <c r="J18" i="12"/>
  <c r="O18" i="12"/>
  <c r="B18" i="12"/>
  <c r="F18" i="12"/>
  <c r="J19" i="12"/>
  <c r="O19" i="12"/>
  <c r="B19" i="12"/>
  <c r="J20" i="12"/>
  <c r="O20" i="12"/>
  <c r="B20" i="12"/>
  <c r="F20" i="12"/>
  <c r="J21" i="12"/>
  <c r="O21" i="12"/>
  <c r="B21" i="12"/>
  <c r="F21" i="12"/>
  <c r="J22" i="12"/>
  <c r="O22" i="12"/>
  <c r="B22" i="12"/>
  <c r="F22" i="12"/>
  <c r="J23" i="12"/>
  <c r="O23" i="12"/>
  <c r="B23" i="12"/>
  <c r="J24" i="12"/>
  <c r="O24" i="12"/>
  <c r="B24" i="12"/>
  <c r="J25" i="12"/>
  <c r="O25" i="12"/>
  <c r="B25" i="12"/>
  <c r="F25" i="12"/>
  <c r="J26" i="12"/>
  <c r="B26" i="12"/>
  <c r="J27" i="12"/>
  <c r="O27" i="12"/>
  <c r="B27" i="12"/>
  <c r="F27" i="12"/>
  <c r="J28" i="12"/>
  <c r="O28" i="12"/>
  <c r="B28" i="12"/>
  <c r="J29" i="12"/>
  <c r="O29" i="12"/>
  <c r="B29" i="12"/>
  <c r="F29" i="12"/>
  <c r="J30" i="12"/>
  <c r="O30" i="12"/>
  <c r="B30" i="12"/>
  <c r="J31" i="12"/>
  <c r="O31" i="12"/>
  <c r="B31" i="12"/>
  <c r="F31" i="12"/>
  <c r="J32" i="12"/>
  <c r="O32" i="12"/>
  <c r="B32" i="12"/>
  <c r="J33" i="12"/>
  <c r="B33" i="12"/>
  <c r="F33" i="12"/>
  <c r="J34" i="12"/>
  <c r="O34" i="12"/>
  <c r="B34" i="12"/>
  <c r="F34" i="12"/>
  <c r="J35" i="12"/>
  <c r="O35" i="12"/>
  <c r="B35" i="12"/>
  <c r="F35" i="12"/>
  <c r="J36" i="12"/>
  <c r="O36" i="12"/>
  <c r="B36" i="12"/>
  <c r="F36" i="12"/>
  <c r="J37" i="12"/>
  <c r="O37" i="12"/>
  <c r="B37" i="12"/>
  <c r="F37" i="12"/>
  <c r="J38" i="12"/>
  <c r="O38" i="12"/>
  <c r="B38" i="12"/>
  <c r="F38" i="12"/>
  <c r="J39" i="12"/>
  <c r="O39" i="12"/>
  <c r="B39" i="12"/>
  <c r="F39" i="12"/>
  <c r="J40" i="12"/>
  <c r="O40" i="12"/>
  <c r="B40" i="12"/>
  <c r="F40" i="12"/>
  <c r="J41" i="12"/>
  <c r="O41" i="12"/>
  <c r="B41" i="12"/>
  <c r="F41" i="12"/>
  <c r="J42" i="12"/>
  <c r="O42" i="12"/>
  <c r="B42" i="12"/>
  <c r="F42" i="12"/>
  <c r="J43" i="12"/>
  <c r="O43" i="12"/>
  <c r="B43" i="12"/>
  <c r="F43" i="12"/>
  <c r="J44" i="12"/>
  <c r="O44" i="12"/>
  <c r="B44" i="12"/>
  <c r="F44" i="12"/>
  <c r="J45" i="12"/>
  <c r="O45" i="12"/>
  <c r="B45" i="12"/>
  <c r="F45" i="12"/>
  <c r="J46" i="12"/>
  <c r="O46" i="12"/>
  <c r="B46" i="12"/>
  <c r="F46" i="12"/>
  <c r="J47" i="12"/>
  <c r="O47" i="12"/>
  <c r="B47" i="12"/>
  <c r="F47" i="12"/>
  <c r="J48" i="12"/>
  <c r="O48" i="12"/>
  <c r="B48" i="12"/>
  <c r="F48" i="12"/>
  <c r="J49" i="12"/>
  <c r="O49" i="12"/>
  <c r="B49" i="12"/>
  <c r="F49" i="12"/>
  <c r="J50" i="12"/>
  <c r="O50" i="12"/>
  <c r="B50" i="12"/>
  <c r="J51" i="12"/>
  <c r="O51" i="12"/>
  <c r="B51" i="12"/>
  <c r="J52" i="12"/>
  <c r="O52" i="12"/>
  <c r="B52" i="12"/>
  <c r="J53" i="12"/>
  <c r="O53" i="12"/>
  <c r="B53" i="12"/>
  <c r="F53" i="12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3" i="9"/>
  <c r="K53" i="16"/>
  <c r="J53" i="16"/>
  <c r="K52" i="16"/>
  <c r="J52" i="16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O5" i="16"/>
  <c r="K4" i="16"/>
  <c r="J4" i="16"/>
  <c r="K3" i="16"/>
  <c r="J3" i="16"/>
  <c r="K53" i="15"/>
  <c r="J53" i="15"/>
  <c r="K52" i="15"/>
  <c r="J52" i="15"/>
  <c r="K51" i="15"/>
  <c r="J51" i="15"/>
  <c r="K50" i="15"/>
  <c r="J50" i="15"/>
  <c r="K49" i="15"/>
  <c r="J49" i="15"/>
  <c r="K48" i="15"/>
  <c r="J48" i="15"/>
  <c r="K47" i="15"/>
  <c r="J47" i="15"/>
  <c r="K46" i="15"/>
  <c r="J46" i="15"/>
  <c r="K45" i="15"/>
  <c r="J45" i="15"/>
  <c r="K44" i="15"/>
  <c r="J44" i="15"/>
  <c r="K43" i="15"/>
  <c r="J43" i="15"/>
  <c r="K42" i="15"/>
  <c r="J42" i="15"/>
  <c r="K41" i="15"/>
  <c r="J41" i="15"/>
  <c r="K40" i="15"/>
  <c r="J40" i="15"/>
  <c r="K39" i="15"/>
  <c r="J39" i="15"/>
  <c r="K38" i="15"/>
  <c r="J38" i="15"/>
  <c r="K37" i="15"/>
  <c r="J37" i="15"/>
  <c r="K36" i="15"/>
  <c r="J36" i="15"/>
  <c r="K35" i="15"/>
  <c r="J35" i="15"/>
  <c r="K34" i="15"/>
  <c r="J34" i="15"/>
  <c r="K33" i="15"/>
  <c r="J33" i="15"/>
  <c r="K32" i="15"/>
  <c r="J32" i="15"/>
  <c r="K31" i="15"/>
  <c r="J31" i="15"/>
  <c r="K30" i="15"/>
  <c r="J30" i="15"/>
  <c r="K29" i="15"/>
  <c r="J29" i="15"/>
  <c r="K28" i="15"/>
  <c r="J28" i="15"/>
  <c r="K27" i="15"/>
  <c r="J27" i="15"/>
  <c r="K26" i="15"/>
  <c r="J26" i="15"/>
  <c r="K25" i="15"/>
  <c r="J25" i="15"/>
  <c r="K24" i="15"/>
  <c r="J24" i="15"/>
  <c r="K23" i="15"/>
  <c r="J23" i="15"/>
  <c r="K22" i="15"/>
  <c r="J22" i="15"/>
  <c r="K21" i="15"/>
  <c r="J21" i="15"/>
  <c r="K20" i="15"/>
  <c r="J20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O8" i="15"/>
  <c r="K7" i="15"/>
  <c r="J7" i="15"/>
  <c r="K6" i="15"/>
  <c r="J6" i="15"/>
  <c r="K5" i="15"/>
  <c r="J5" i="15"/>
  <c r="K4" i="15"/>
  <c r="J4" i="15"/>
  <c r="O4" i="15"/>
  <c r="K3" i="15"/>
  <c r="J3" i="15"/>
  <c r="K53" i="14"/>
  <c r="J53" i="14"/>
  <c r="K52" i="14"/>
  <c r="J52" i="14"/>
  <c r="K51" i="14"/>
  <c r="J51" i="14"/>
  <c r="K50" i="14"/>
  <c r="J50" i="14"/>
  <c r="K49" i="14"/>
  <c r="J49" i="14"/>
  <c r="K48" i="14"/>
  <c r="J48" i="14"/>
  <c r="K47" i="14"/>
  <c r="J47" i="14"/>
  <c r="K46" i="14"/>
  <c r="J46" i="14"/>
  <c r="K45" i="14"/>
  <c r="J45" i="14"/>
  <c r="K44" i="14"/>
  <c r="J44" i="14"/>
  <c r="K43" i="14"/>
  <c r="J43" i="14"/>
  <c r="K42" i="14"/>
  <c r="J42" i="14"/>
  <c r="K41" i="14"/>
  <c r="J41" i="14"/>
  <c r="K40" i="14"/>
  <c r="J40" i="14"/>
  <c r="K39" i="14"/>
  <c r="J39" i="14"/>
  <c r="K38" i="14"/>
  <c r="J38" i="14"/>
  <c r="K37" i="14"/>
  <c r="J37" i="14"/>
  <c r="K36" i="14"/>
  <c r="J36" i="14"/>
  <c r="K35" i="14"/>
  <c r="J35" i="14"/>
  <c r="K34" i="14"/>
  <c r="J34" i="14"/>
  <c r="K33" i="14"/>
  <c r="J33" i="14"/>
  <c r="K32" i="14"/>
  <c r="J32" i="14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O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O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O14" i="13"/>
  <c r="K13" i="13"/>
  <c r="J13" i="13"/>
  <c r="K12" i="13"/>
  <c r="J12" i="13"/>
  <c r="K11" i="13"/>
  <c r="J11" i="13"/>
  <c r="K10" i="13"/>
  <c r="J10" i="13"/>
  <c r="O10" i="13"/>
  <c r="K9" i="13"/>
  <c r="J9" i="13"/>
  <c r="K8" i="13"/>
  <c r="J8" i="13"/>
  <c r="K7" i="13"/>
  <c r="J7" i="13"/>
  <c r="K6" i="13"/>
  <c r="J6" i="13"/>
  <c r="O6" i="13"/>
  <c r="K5" i="13"/>
  <c r="J5" i="13"/>
  <c r="K4" i="13"/>
  <c r="J4" i="13"/>
  <c r="K3" i="13"/>
  <c r="J3" i="13"/>
  <c r="O3" i="13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53" i="9"/>
  <c r="J53" i="9"/>
  <c r="K52" i="9"/>
  <c r="J52" i="9"/>
  <c r="K51" i="9"/>
  <c r="J51" i="9"/>
  <c r="K50" i="9"/>
  <c r="J50" i="9"/>
  <c r="K49" i="9"/>
  <c r="J49" i="9"/>
  <c r="O49" i="9"/>
  <c r="K48" i="9"/>
  <c r="J48" i="9"/>
  <c r="K47" i="9"/>
  <c r="J47" i="9"/>
  <c r="K46" i="9"/>
  <c r="J46" i="9"/>
  <c r="K45" i="9"/>
  <c r="J45" i="9"/>
  <c r="K44" i="9"/>
  <c r="J44" i="9"/>
  <c r="K43" i="9"/>
  <c r="J43" i="9"/>
  <c r="K42" i="9"/>
  <c r="J42" i="9"/>
  <c r="K41" i="9"/>
  <c r="J41" i="9"/>
  <c r="K40" i="9"/>
  <c r="J40" i="9"/>
  <c r="K39" i="9"/>
  <c r="J39" i="9"/>
  <c r="K38" i="9"/>
  <c r="J38" i="9"/>
  <c r="K37" i="9"/>
  <c r="J37" i="9"/>
  <c r="O37" i="9"/>
  <c r="K36" i="9"/>
  <c r="J36" i="9"/>
  <c r="K35" i="9"/>
  <c r="J35" i="9"/>
  <c r="K34" i="9"/>
  <c r="J34" i="9"/>
  <c r="K33" i="9"/>
  <c r="J33" i="9"/>
  <c r="K32" i="9"/>
  <c r="J32" i="9"/>
  <c r="K31" i="9"/>
  <c r="J31" i="9"/>
  <c r="O31" i="9"/>
  <c r="K30" i="9"/>
  <c r="J30" i="9"/>
  <c r="K29" i="9"/>
  <c r="J29" i="9"/>
  <c r="K28" i="9"/>
  <c r="J28" i="9"/>
  <c r="K27" i="9"/>
  <c r="J27" i="9"/>
  <c r="K26" i="9"/>
  <c r="J26" i="9"/>
  <c r="K25" i="9"/>
  <c r="J25" i="9"/>
  <c r="K24" i="9"/>
  <c r="J24" i="9"/>
  <c r="K23" i="9"/>
  <c r="J23" i="9"/>
  <c r="K22" i="9"/>
  <c r="J22" i="9"/>
  <c r="K21" i="9"/>
  <c r="J21" i="9"/>
  <c r="K20" i="9"/>
  <c r="J20" i="9"/>
  <c r="K19" i="9"/>
  <c r="J19" i="9"/>
  <c r="K18" i="9"/>
  <c r="J18" i="9"/>
  <c r="K17" i="9"/>
  <c r="J17" i="9"/>
  <c r="K16" i="9"/>
  <c r="J16" i="9"/>
  <c r="K15" i="9"/>
  <c r="J15" i="9"/>
  <c r="O15" i="9"/>
  <c r="K14" i="9"/>
  <c r="J14" i="9"/>
  <c r="K13" i="9"/>
  <c r="J13" i="9"/>
  <c r="K12" i="9"/>
  <c r="J12" i="9"/>
  <c r="K11" i="9"/>
  <c r="J11" i="9"/>
  <c r="K10" i="9"/>
  <c r="J10" i="9"/>
  <c r="K9" i="9"/>
  <c r="J9" i="9"/>
  <c r="K8" i="9"/>
  <c r="J8" i="9"/>
  <c r="K7" i="9"/>
  <c r="J7" i="9"/>
  <c r="O7" i="9"/>
  <c r="K6" i="9"/>
  <c r="J6" i="9"/>
  <c r="K5" i="9"/>
  <c r="J5" i="9"/>
  <c r="K4" i="9"/>
  <c r="J4" i="9"/>
  <c r="K3" i="9"/>
  <c r="J3" i="9"/>
  <c r="C53" i="16"/>
  <c r="B53" i="16"/>
  <c r="C52" i="16"/>
  <c r="B52" i="16"/>
  <c r="F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F33" i="16"/>
  <c r="C32" i="16"/>
  <c r="B32" i="16"/>
  <c r="C31" i="16"/>
  <c r="C30" i="16"/>
  <c r="B30" i="16"/>
  <c r="C29" i="16"/>
  <c r="B29" i="16"/>
  <c r="C28" i="16"/>
  <c r="B28" i="16"/>
  <c r="F28" i="16"/>
  <c r="C27" i="16"/>
  <c r="B27" i="16"/>
  <c r="C26" i="16"/>
  <c r="B26" i="16"/>
  <c r="C25" i="16"/>
  <c r="B25" i="16"/>
  <c r="C24" i="16"/>
  <c r="B24" i="16"/>
  <c r="C23" i="16"/>
  <c r="B23" i="16"/>
  <c r="F23" i="16"/>
  <c r="C22" i="16"/>
  <c r="B22" i="16"/>
  <c r="C21" i="16"/>
  <c r="B21" i="16"/>
  <c r="F21" i="16"/>
  <c r="B20" i="16"/>
  <c r="F20" i="16"/>
  <c r="C20" i="16"/>
  <c r="C19" i="16"/>
  <c r="B19" i="16"/>
  <c r="C18" i="16"/>
  <c r="B18" i="16"/>
  <c r="C17" i="16"/>
  <c r="B17" i="16"/>
  <c r="F17" i="16"/>
  <c r="C16" i="16"/>
  <c r="B16" i="16"/>
  <c r="C15" i="16"/>
  <c r="B15" i="16"/>
  <c r="C14" i="16"/>
  <c r="B14" i="16"/>
  <c r="C13" i="16"/>
  <c r="B13" i="16"/>
  <c r="F13" i="16"/>
  <c r="C12" i="16"/>
  <c r="B12" i="16"/>
  <c r="F12" i="16"/>
  <c r="C11" i="16"/>
  <c r="B11" i="16"/>
  <c r="C10" i="16"/>
  <c r="B10" i="16"/>
  <c r="C9" i="16"/>
  <c r="B9" i="16"/>
  <c r="C8" i="16"/>
  <c r="B8" i="16"/>
  <c r="C7" i="16"/>
  <c r="C6" i="16"/>
  <c r="B6" i="16"/>
  <c r="C5" i="16"/>
  <c r="B5" i="16"/>
  <c r="C4" i="16"/>
  <c r="B4" i="16"/>
  <c r="F4" i="16"/>
  <c r="C3" i="16"/>
  <c r="B3" i="16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B42" i="15"/>
  <c r="F42" i="15"/>
  <c r="C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F36" i="15"/>
  <c r="C35" i="15"/>
  <c r="B35" i="15"/>
  <c r="C34" i="15"/>
  <c r="B34" i="15"/>
  <c r="B33" i="15"/>
  <c r="F33" i="15"/>
  <c r="C33" i="15"/>
  <c r="C32" i="15"/>
  <c r="B32" i="15"/>
  <c r="C31" i="15"/>
  <c r="B31" i="15"/>
  <c r="C30" i="15"/>
  <c r="B30" i="15"/>
  <c r="F30" i="15"/>
  <c r="C29" i="15"/>
  <c r="B29" i="15"/>
  <c r="C28" i="15"/>
  <c r="B28" i="15"/>
  <c r="C27" i="15"/>
  <c r="B27" i="15"/>
  <c r="C26" i="15"/>
  <c r="B26" i="15"/>
  <c r="F26" i="15"/>
  <c r="C25" i="15"/>
  <c r="B25" i="15"/>
  <c r="C24" i="15"/>
  <c r="B24" i="15"/>
  <c r="F24" i="15"/>
  <c r="C23" i="15"/>
  <c r="B23" i="15"/>
  <c r="C22" i="15"/>
  <c r="B22" i="15"/>
  <c r="C21" i="15"/>
  <c r="B21" i="15"/>
  <c r="C20" i="15"/>
  <c r="B20" i="15"/>
  <c r="C19" i="15"/>
  <c r="B19" i="15"/>
  <c r="F19" i="15"/>
  <c r="C18" i="15"/>
  <c r="B18" i="15"/>
  <c r="C17" i="15"/>
  <c r="B17" i="15"/>
  <c r="F17" i="15"/>
  <c r="C16" i="15"/>
  <c r="B16" i="15"/>
  <c r="C15" i="15"/>
  <c r="B15" i="15"/>
  <c r="F15" i="15"/>
  <c r="C14" i="15"/>
  <c r="B14" i="15"/>
  <c r="C13" i="15"/>
  <c r="B13" i="15"/>
  <c r="F13" i="15"/>
  <c r="C12" i="15"/>
  <c r="B12" i="15"/>
  <c r="F12" i="15"/>
  <c r="C11" i="15"/>
  <c r="B11" i="15"/>
  <c r="F11" i="15"/>
  <c r="C10" i="15"/>
  <c r="B10" i="15"/>
  <c r="F10" i="15"/>
  <c r="C9" i="15"/>
  <c r="B9" i="15"/>
  <c r="C8" i="15"/>
  <c r="B8" i="15"/>
  <c r="F8" i="15"/>
  <c r="C7" i="15"/>
  <c r="B7" i="15"/>
  <c r="F7" i="15"/>
  <c r="C6" i="15"/>
  <c r="C5" i="15"/>
  <c r="C4" i="15"/>
  <c r="B4" i="15"/>
  <c r="F4" i="15"/>
  <c r="C3" i="15"/>
  <c r="B3" i="15"/>
  <c r="F3" i="15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B45" i="14"/>
  <c r="F45" i="14"/>
  <c r="C45" i="14"/>
  <c r="C44" i="14"/>
  <c r="B44" i="14"/>
  <c r="F44" i="14"/>
  <c r="A1" i="14"/>
  <c r="G44" i="14"/>
  <c r="H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F34" i="14"/>
  <c r="C33" i="14"/>
  <c r="B33" i="14"/>
  <c r="C32" i="14"/>
  <c r="B32" i="14"/>
  <c r="F32" i="14"/>
  <c r="C31" i="14"/>
  <c r="B31" i="14"/>
  <c r="C30" i="14"/>
  <c r="B30" i="14"/>
  <c r="C29" i="14"/>
  <c r="B29" i="14"/>
  <c r="C28" i="14"/>
  <c r="B28" i="14"/>
  <c r="C27" i="14"/>
  <c r="B27" i="14"/>
  <c r="F27" i="14"/>
  <c r="B26" i="14"/>
  <c r="F26" i="14"/>
  <c r="C26" i="14"/>
  <c r="C25" i="14"/>
  <c r="B25" i="14"/>
  <c r="C24" i="14"/>
  <c r="B24" i="14"/>
  <c r="F24" i="14"/>
  <c r="B23" i="14"/>
  <c r="F23" i="14"/>
  <c r="C23" i="14"/>
  <c r="C22" i="14"/>
  <c r="B22" i="14"/>
  <c r="F22" i="14"/>
  <c r="B21" i="14"/>
  <c r="F21" i="14"/>
  <c r="C21" i="14"/>
  <c r="C20" i="14"/>
  <c r="B20" i="14"/>
  <c r="C19" i="14"/>
  <c r="B19" i="14"/>
  <c r="C18" i="14"/>
  <c r="B18" i="14"/>
  <c r="C17" i="14"/>
  <c r="B17" i="14"/>
  <c r="C16" i="14"/>
  <c r="B16" i="14"/>
  <c r="F16" i="14"/>
  <c r="C15" i="14"/>
  <c r="B15" i="14"/>
  <c r="F15" i="14"/>
  <c r="C14" i="14"/>
  <c r="B14" i="14"/>
  <c r="F14" i="14"/>
  <c r="G14" i="14"/>
  <c r="H14" i="14"/>
  <c r="O14" i="14"/>
  <c r="Q14" i="14"/>
  <c r="R14" i="14"/>
  <c r="H13" i="8"/>
  <c r="C13" i="14"/>
  <c r="B13" i="14"/>
  <c r="C12" i="14"/>
  <c r="B12" i="14"/>
  <c r="C11" i="14"/>
  <c r="B11" i="14"/>
  <c r="C10" i="14"/>
  <c r="B10" i="14"/>
  <c r="F10" i="14"/>
  <c r="C9" i="14"/>
  <c r="B9" i="14"/>
  <c r="C8" i="14"/>
  <c r="B8" i="14"/>
  <c r="C7" i="14"/>
  <c r="B7" i="14"/>
  <c r="C6" i="14"/>
  <c r="B6" i="14"/>
  <c r="F6" i="14"/>
  <c r="C5" i="14"/>
  <c r="B5" i="14"/>
  <c r="F5" i="14"/>
  <c r="C4" i="14"/>
  <c r="B4" i="14"/>
  <c r="C3" i="14"/>
  <c r="B3" i="14"/>
  <c r="F3" i="14"/>
  <c r="C53" i="13"/>
  <c r="B53" i="13"/>
  <c r="F53" i="13"/>
  <c r="C52" i="13"/>
  <c r="B52" i="13"/>
  <c r="C51" i="13"/>
  <c r="B51" i="13"/>
  <c r="C50" i="13"/>
  <c r="B50" i="13"/>
  <c r="C49" i="13"/>
  <c r="B49" i="13"/>
  <c r="C48" i="13"/>
  <c r="B48" i="13"/>
  <c r="F48" i="13"/>
  <c r="C47" i="13"/>
  <c r="B47" i="13"/>
  <c r="C46" i="13"/>
  <c r="B46" i="13"/>
  <c r="C45" i="13"/>
  <c r="B45" i="13"/>
  <c r="F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F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F31" i="13"/>
  <c r="C30" i="13"/>
  <c r="B30" i="13"/>
  <c r="F30" i="13"/>
  <c r="C29" i="13"/>
  <c r="B29" i="13"/>
  <c r="F29" i="13"/>
  <c r="C28" i="13"/>
  <c r="B28" i="13"/>
  <c r="F28" i="13"/>
  <c r="C27" i="13"/>
  <c r="B27" i="13"/>
  <c r="C26" i="13"/>
  <c r="B26" i="13"/>
  <c r="C25" i="13"/>
  <c r="B25" i="13"/>
  <c r="F25" i="13"/>
  <c r="C24" i="13"/>
  <c r="B24" i="13"/>
  <c r="C23" i="13"/>
  <c r="B23" i="13"/>
  <c r="C22" i="13"/>
  <c r="B22" i="13"/>
  <c r="F22" i="13"/>
  <c r="B21" i="13"/>
  <c r="F21" i="13"/>
  <c r="C21" i="13"/>
  <c r="C20" i="13"/>
  <c r="B20" i="13"/>
  <c r="F20" i="13"/>
  <c r="C19" i="13"/>
  <c r="B19" i="13"/>
  <c r="B18" i="13"/>
  <c r="F18" i="13"/>
  <c r="C18" i="13"/>
  <c r="C17" i="13"/>
  <c r="B17" i="13"/>
  <c r="C16" i="13"/>
  <c r="B16" i="13"/>
  <c r="C15" i="13"/>
  <c r="B15" i="13"/>
  <c r="F15" i="13"/>
  <c r="C14" i="13"/>
  <c r="B14" i="13"/>
  <c r="F14" i="13"/>
  <c r="C13" i="13"/>
  <c r="B13" i="13"/>
  <c r="C12" i="13"/>
  <c r="B12" i="13"/>
  <c r="C11" i="13"/>
  <c r="B11" i="13"/>
  <c r="F11" i="13"/>
  <c r="B10" i="13"/>
  <c r="F10" i="13"/>
  <c r="C10" i="13"/>
  <c r="C9" i="13"/>
  <c r="B9" i="13"/>
  <c r="F9" i="13"/>
  <c r="C8" i="13"/>
  <c r="B8" i="13"/>
  <c r="B7" i="13"/>
  <c r="F7" i="13"/>
  <c r="C7" i="13"/>
  <c r="C6" i="13"/>
  <c r="B6" i="13"/>
  <c r="F6" i="13"/>
  <c r="C5" i="13"/>
  <c r="B5" i="13"/>
  <c r="F5" i="13"/>
  <c r="C4" i="13"/>
  <c r="B4" i="13"/>
  <c r="F4" i="13"/>
  <c r="C3" i="13"/>
  <c r="B3" i="13"/>
  <c r="F3" i="13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53" i="9"/>
  <c r="B53" i="9"/>
  <c r="F53" i="9"/>
  <c r="C52" i="9"/>
  <c r="B52" i="9"/>
  <c r="C51" i="9"/>
  <c r="B51" i="9"/>
  <c r="F51" i="9"/>
  <c r="C50" i="9"/>
  <c r="B50" i="9"/>
  <c r="C49" i="9"/>
  <c r="B49" i="9"/>
  <c r="C48" i="9"/>
  <c r="B48" i="9"/>
  <c r="C47" i="9"/>
  <c r="B47" i="9"/>
  <c r="C46" i="9"/>
  <c r="B46" i="9"/>
  <c r="F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F38" i="9"/>
  <c r="C37" i="9"/>
  <c r="B37" i="9"/>
  <c r="F37" i="9"/>
  <c r="C36" i="9"/>
  <c r="B36" i="9"/>
  <c r="C35" i="9"/>
  <c r="B35" i="9"/>
  <c r="F35" i="9"/>
  <c r="C34" i="9"/>
  <c r="B34" i="9"/>
  <c r="C33" i="9"/>
  <c r="B33" i="9"/>
  <c r="C32" i="9"/>
  <c r="B32" i="9"/>
  <c r="C31" i="9"/>
  <c r="B31" i="9"/>
  <c r="C30" i="9"/>
  <c r="B30" i="9"/>
  <c r="C29" i="9"/>
  <c r="B29" i="9"/>
  <c r="F29" i="9"/>
  <c r="C28" i="9"/>
  <c r="B28" i="9"/>
  <c r="C27" i="9"/>
  <c r="B27" i="9"/>
  <c r="F27" i="9"/>
  <c r="C26" i="9"/>
  <c r="B26" i="9"/>
  <c r="F26" i="9"/>
  <c r="C25" i="9"/>
  <c r="B25" i="9"/>
  <c r="F25" i="9"/>
  <c r="C24" i="9"/>
  <c r="B24" i="9"/>
  <c r="C23" i="9"/>
  <c r="B23" i="9"/>
  <c r="F23" i="9"/>
  <c r="C22" i="9"/>
  <c r="B22" i="9"/>
  <c r="F22" i="9"/>
  <c r="C21" i="9"/>
  <c r="B21" i="9"/>
  <c r="C20" i="9"/>
  <c r="B20" i="9"/>
  <c r="F20" i="9"/>
  <c r="B19" i="9"/>
  <c r="F19" i="9"/>
  <c r="C19" i="9"/>
  <c r="C18" i="9"/>
  <c r="B18" i="9"/>
  <c r="F18" i="9"/>
  <c r="C17" i="9"/>
  <c r="B17" i="9"/>
  <c r="F17" i="9"/>
  <c r="C16" i="9"/>
  <c r="B16" i="9"/>
  <c r="F16" i="9"/>
  <c r="C15" i="9"/>
  <c r="B15" i="9"/>
  <c r="C14" i="9"/>
  <c r="B14" i="9"/>
  <c r="C13" i="9"/>
  <c r="B13" i="9"/>
  <c r="F13" i="9"/>
  <c r="C12" i="9"/>
  <c r="B12" i="9"/>
  <c r="F12" i="9"/>
  <c r="C11" i="9"/>
  <c r="B11" i="9"/>
  <c r="C10" i="9"/>
  <c r="B10" i="9"/>
  <c r="C9" i="9"/>
  <c r="B9" i="9"/>
  <c r="F9" i="9"/>
  <c r="B8" i="9"/>
  <c r="F8" i="9"/>
  <c r="C8" i="9"/>
  <c r="C7" i="9"/>
  <c r="B7" i="9"/>
  <c r="C6" i="9"/>
  <c r="B6" i="9"/>
  <c r="C5" i="9"/>
  <c r="B5" i="9"/>
  <c r="F5" i="9"/>
  <c r="C4" i="9"/>
  <c r="B4" i="9"/>
  <c r="F4" i="9"/>
  <c r="C3" i="9"/>
  <c r="B3" i="9"/>
  <c r="O3" i="9"/>
  <c r="F3" i="7"/>
  <c r="D46" i="7"/>
  <c r="O3" i="7"/>
  <c r="O3" i="14"/>
  <c r="O3" i="15"/>
  <c r="F3" i="16"/>
  <c r="O3" i="16"/>
  <c r="O4" i="9"/>
  <c r="F4" i="7"/>
  <c r="O4" i="7"/>
  <c r="O4" i="13"/>
  <c r="F4" i="14"/>
  <c r="O4" i="14"/>
  <c r="O4" i="16"/>
  <c r="O5" i="9"/>
  <c r="O5" i="7"/>
  <c r="O5" i="13"/>
  <c r="O5" i="14"/>
  <c r="O5" i="15"/>
  <c r="F6" i="7"/>
  <c r="O6" i="7"/>
  <c r="O6" i="14"/>
  <c r="O6" i="15"/>
  <c r="F6" i="16"/>
  <c r="O6" i="16"/>
  <c r="F7" i="7"/>
  <c r="O7" i="7"/>
  <c r="O7" i="13"/>
  <c r="F7" i="14"/>
  <c r="O7" i="14"/>
  <c r="O7" i="15"/>
  <c r="O7" i="16"/>
  <c r="O8" i="9"/>
  <c r="F8" i="7"/>
  <c r="O8" i="7"/>
  <c r="O8" i="13"/>
  <c r="F8" i="14"/>
  <c r="O8" i="14"/>
  <c r="F8" i="16"/>
  <c r="O8" i="16"/>
  <c r="O9" i="9"/>
  <c r="F9" i="7"/>
  <c r="O9" i="7"/>
  <c r="O9" i="13"/>
  <c r="O9" i="14"/>
  <c r="O9" i="15"/>
  <c r="O9" i="16"/>
  <c r="F10" i="9"/>
  <c r="O10" i="9"/>
  <c r="F10" i="7"/>
  <c r="O10" i="7"/>
  <c r="O10" i="14"/>
  <c r="O10" i="15"/>
  <c r="F10" i="16"/>
  <c r="O11" i="9"/>
  <c r="O11" i="7"/>
  <c r="O11" i="13"/>
  <c r="F11" i="14"/>
  <c r="O11" i="14"/>
  <c r="O11" i="15"/>
  <c r="F11" i="16"/>
  <c r="O11" i="16"/>
  <c r="O12" i="9"/>
  <c r="F12" i="7"/>
  <c r="O12" i="7"/>
  <c r="F12" i="13"/>
  <c r="O12" i="13"/>
  <c r="O12" i="14"/>
  <c r="O12" i="15"/>
  <c r="O12" i="16"/>
  <c r="O13" i="9"/>
  <c r="O13" i="7"/>
  <c r="O13" i="13"/>
  <c r="O13" i="14"/>
  <c r="O13" i="15"/>
  <c r="O14" i="9"/>
  <c r="F14" i="7"/>
  <c r="O14" i="7"/>
  <c r="F14" i="15"/>
  <c r="O14" i="15"/>
  <c r="O14" i="16"/>
  <c r="F15" i="9"/>
  <c r="F15" i="7"/>
  <c r="G15" i="7"/>
  <c r="H15" i="7"/>
  <c r="O15" i="7"/>
  <c r="O15" i="13"/>
  <c r="O15" i="15"/>
  <c r="O15" i="16"/>
  <c r="O16" i="9"/>
  <c r="F16" i="7"/>
  <c r="O16" i="7"/>
  <c r="O16" i="13"/>
  <c r="O16" i="14"/>
  <c r="F16" i="15"/>
  <c r="O16" i="15"/>
  <c r="F16" i="16"/>
  <c r="O16" i="16"/>
  <c r="O17" i="9"/>
  <c r="F17" i="7"/>
  <c r="O17" i="7"/>
  <c r="O17" i="13"/>
  <c r="F17" i="14"/>
  <c r="O17" i="14"/>
  <c r="O17" i="15"/>
  <c r="O17" i="16"/>
  <c r="O18" i="9"/>
  <c r="F18" i="7"/>
  <c r="O18" i="7"/>
  <c r="O18" i="13"/>
  <c r="O18" i="14"/>
  <c r="O18" i="15"/>
  <c r="O18" i="16"/>
  <c r="O19" i="9"/>
  <c r="F19" i="7"/>
  <c r="O19" i="7"/>
  <c r="F19" i="13"/>
  <c r="O19" i="13"/>
  <c r="F19" i="14"/>
  <c r="G19" i="14"/>
  <c r="H19" i="14"/>
  <c r="O19" i="14"/>
  <c r="O19" i="15"/>
  <c r="F19" i="16"/>
  <c r="O19" i="16"/>
  <c r="O20" i="9"/>
  <c r="F20" i="7"/>
  <c r="O20" i="7"/>
  <c r="O20" i="13"/>
  <c r="F20" i="14"/>
  <c r="O20" i="14"/>
  <c r="F20" i="15"/>
  <c r="O20" i="15"/>
  <c r="O20" i="16"/>
  <c r="O21" i="9"/>
  <c r="O21" i="13"/>
  <c r="O21" i="14"/>
  <c r="F21" i="15"/>
  <c r="O21" i="15"/>
  <c r="O21" i="16"/>
  <c r="F22" i="7"/>
  <c r="G22" i="7"/>
  <c r="H22" i="7"/>
  <c r="O22" i="7"/>
  <c r="O22" i="13"/>
  <c r="O22" i="14"/>
  <c r="F22" i="15"/>
  <c r="O22" i="15"/>
  <c r="O22" i="16"/>
  <c r="O23" i="9"/>
  <c r="F23" i="7"/>
  <c r="G23" i="7"/>
  <c r="H23" i="7"/>
  <c r="O23" i="7"/>
  <c r="O23" i="13"/>
  <c r="O23" i="14"/>
  <c r="F23" i="15"/>
  <c r="O23" i="15"/>
  <c r="O23" i="16"/>
  <c r="F24" i="9"/>
  <c r="O24" i="9"/>
  <c r="F24" i="7"/>
  <c r="O24" i="7"/>
  <c r="O24" i="13"/>
  <c r="O24" i="14"/>
  <c r="O24" i="15"/>
  <c r="F24" i="16"/>
  <c r="O24" i="16"/>
  <c r="O25" i="9"/>
  <c r="O25" i="7"/>
  <c r="O25" i="13"/>
  <c r="F25" i="14"/>
  <c r="O25" i="14"/>
  <c r="O25" i="15"/>
  <c r="O25" i="16"/>
  <c r="O26" i="9"/>
  <c r="F26" i="7"/>
  <c r="G26" i="7"/>
  <c r="H26" i="7"/>
  <c r="O26" i="7"/>
  <c r="Q26" i="7"/>
  <c r="R26" i="7"/>
  <c r="B25" i="8"/>
  <c r="L25" i="8"/>
  <c r="F26" i="13"/>
  <c r="O26" i="14"/>
  <c r="O26" i="15"/>
  <c r="F26" i="16"/>
  <c r="O27" i="9"/>
  <c r="F27" i="7"/>
  <c r="O27" i="7"/>
  <c r="F27" i="13"/>
  <c r="O27" i="13"/>
  <c r="O27" i="14"/>
  <c r="F27" i="15"/>
  <c r="O27" i="15"/>
  <c r="F27" i="16"/>
  <c r="O27" i="16"/>
  <c r="F28" i="9"/>
  <c r="O28" i="9"/>
  <c r="F28" i="7"/>
  <c r="O28" i="7"/>
  <c r="O28" i="13"/>
  <c r="F28" i="14"/>
  <c r="O28" i="14"/>
  <c r="F28" i="15"/>
  <c r="O28" i="15"/>
  <c r="O28" i="16"/>
  <c r="O29" i="9"/>
  <c r="O29" i="7"/>
  <c r="O29" i="13"/>
  <c r="O29" i="14"/>
  <c r="F29" i="15"/>
  <c r="O29" i="15"/>
  <c r="F29" i="16"/>
  <c r="O29" i="16"/>
  <c r="O30" i="9"/>
  <c r="F30" i="7"/>
  <c r="G30" i="7"/>
  <c r="H30" i="7"/>
  <c r="O30" i="7"/>
  <c r="Q30" i="7"/>
  <c r="R30" i="7"/>
  <c r="B29" i="8"/>
  <c r="L29" i="8"/>
  <c r="O30" i="13"/>
  <c r="F30" i="14"/>
  <c r="O30" i="14"/>
  <c r="O30" i="15"/>
  <c r="F30" i="16"/>
  <c r="O30" i="16"/>
  <c r="F31" i="9"/>
  <c r="F31" i="7"/>
  <c r="O31" i="7"/>
  <c r="O31" i="13"/>
  <c r="F31" i="14"/>
  <c r="O31" i="14"/>
  <c r="F31" i="15"/>
  <c r="O31" i="15"/>
  <c r="O31" i="16"/>
  <c r="F32" i="9"/>
  <c r="O32" i="9"/>
  <c r="F32" i="7"/>
  <c r="O32" i="7"/>
  <c r="O32" i="13"/>
  <c r="O32" i="14"/>
  <c r="F32" i="15"/>
  <c r="O32" i="15"/>
  <c r="F32" i="16"/>
  <c r="O32" i="16"/>
  <c r="F33" i="9"/>
  <c r="O33" i="9"/>
  <c r="F33" i="7"/>
  <c r="O33" i="7"/>
  <c r="O33" i="13"/>
  <c r="F33" i="14"/>
  <c r="G33" i="14"/>
  <c r="H33" i="14"/>
  <c r="O33" i="14"/>
  <c r="O33" i="16"/>
  <c r="F34" i="9"/>
  <c r="O34" i="9"/>
  <c r="F34" i="7"/>
  <c r="O34" i="7"/>
  <c r="F34" i="13"/>
  <c r="O34" i="13"/>
  <c r="O34" i="14"/>
  <c r="O34" i="15"/>
  <c r="F34" i="16"/>
  <c r="O34" i="16"/>
  <c r="O35" i="9"/>
  <c r="F35" i="7"/>
  <c r="O35" i="7"/>
  <c r="O35" i="13"/>
  <c r="F35" i="14"/>
  <c r="G35" i="14"/>
  <c r="H35" i="14"/>
  <c r="O35" i="14"/>
  <c r="O35" i="15"/>
  <c r="F35" i="16"/>
  <c r="O35" i="16"/>
  <c r="F36" i="9"/>
  <c r="O36" i="9"/>
  <c r="F36" i="7"/>
  <c r="O36" i="7"/>
  <c r="F36" i="13"/>
  <c r="O36" i="13"/>
  <c r="O36" i="15"/>
  <c r="F36" i="16"/>
  <c r="O37" i="7"/>
  <c r="O37" i="13"/>
  <c r="O37" i="14"/>
  <c r="O37" i="15"/>
  <c r="F37" i="16"/>
  <c r="O37" i="16"/>
  <c r="O38" i="9"/>
  <c r="O38" i="7"/>
  <c r="F38" i="13"/>
  <c r="O38" i="13"/>
  <c r="F38" i="14"/>
  <c r="O38" i="14"/>
  <c r="F38" i="15"/>
  <c r="O38" i="15"/>
  <c r="F38" i="16"/>
  <c r="O38" i="16"/>
  <c r="F39" i="9"/>
  <c r="O39" i="9"/>
  <c r="F39" i="7"/>
  <c r="O39" i="7"/>
  <c r="F39" i="13"/>
  <c r="O39" i="13"/>
  <c r="F39" i="14"/>
  <c r="G39" i="14"/>
  <c r="H39" i="14"/>
  <c r="O39" i="14"/>
  <c r="F39" i="15"/>
  <c r="O39" i="15"/>
  <c r="O39" i="16"/>
  <c r="F40" i="9"/>
  <c r="O40" i="9"/>
  <c r="F40" i="7"/>
  <c r="G40" i="7"/>
  <c r="H40" i="7"/>
  <c r="O40" i="7"/>
  <c r="O40" i="13"/>
  <c r="F40" i="14"/>
  <c r="G40" i="14"/>
  <c r="H40" i="14"/>
  <c r="O40" i="14"/>
  <c r="F40" i="15"/>
  <c r="O40" i="15"/>
  <c r="O40" i="16"/>
  <c r="F41" i="9"/>
  <c r="O41" i="9"/>
  <c r="F41" i="7"/>
  <c r="G41" i="7"/>
  <c r="H41" i="7"/>
  <c r="O41" i="7"/>
  <c r="Q41" i="7"/>
  <c r="R41" i="7"/>
  <c r="B40" i="8"/>
  <c r="L40" i="8"/>
  <c r="F41" i="13"/>
  <c r="A1" i="13"/>
  <c r="G41" i="13"/>
  <c r="H41" i="13"/>
  <c r="O41" i="13"/>
  <c r="F41" i="14"/>
  <c r="G41" i="14"/>
  <c r="H41" i="14"/>
  <c r="O41" i="14"/>
  <c r="F41" i="15"/>
  <c r="O41" i="15"/>
  <c r="O41" i="16"/>
  <c r="F42" i="9"/>
  <c r="O42" i="9"/>
  <c r="F42" i="7"/>
  <c r="O42" i="7"/>
  <c r="F42" i="13"/>
  <c r="O42" i="13"/>
  <c r="F42" i="14"/>
  <c r="O42" i="14"/>
  <c r="O42" i="15"/>
  <c r="F42" i="16"/>
  <c r="O42" i="16"/>
  <c r="O43" i="9"/>
  <c r="F43" i="7"/>
  <c r="G43" i="7"/>
  <c r="H43" i="7"/>
  <c r="O43" i="7"/>
  <c r="O43" i="13"/>
  <c r="F43" i="14"/>
  <c r="G43" i="14"/>
  <c r="H43" i="14"/>
  <c r="O43" i="14"/>
  <c r="F43" i="15"/>
  <c r="O43" i="15"/>
  <c r="F43" i="16"/>
  <c r="O43" i="16"/>
  <c r="O44" i="9"/>
  <c r="F44" i="7"/>
  <c r="G44" i="7"/>
  <c r="H44" i="7"/>
  <c r="O44" i="7"/>
  <c r="O44" i="13"/>
  <c r="O44" i="14"/>
  <c r="F44" i="15"/>
  <c r="A1" i="15"/>
  <c r="G44" i="15"/>
  <c r="H44" i="15"/>
  <c r="I44" i="15"/>
  <c r="L44" i="15"/>
  <c r="M44" i="15"/>
  <c r="O44" i="15"/>
  <c r="F44" i="16"/>
  <c r="O44" i="16"/>
  <c r="O45" i="9"/>
  <c r="F45" i="7"/>
  <c r="O45" i="7"/>
  <c r="O45" i="13"/>
  <c r="O45" i="14"/>
  <c r="F45" i="15"/>
  <c r="O45" i="15"/>
  <c r="F45" i="16"/>
  <c r="O45" i="16"/>
  <c r="O46" i="9"/>
  <c r="F46" i="7"/>
  <c r="G46" i="7"/>
  <c r="H46" i="7"/>
  <c r="O46" i="7"/>
  <c r="O46" i="13"/>
  <c r="F46" i="14"/>
  <c r="G46" i="14"/>
  <c r="H46" i="14"/>
  <c r="O46" i="14"/>
  <c r="F46" i="15"/>
  <c r="O46" i="15"/>
  <c r="F46" i="16"/>
  <c r="O46" i="16"/>
  <c r="F47" i="9"/>
  <c r="O47" i="9"/>
  <c r="F47" i="7"/>
  <c r="O47" i="7"/>
  <c r="F47" i="13"/>
  <c r="F47" i="14"/>
  <c r="G47" i="14"/>
  <c r="H47" i="14"/>
  <c r="O47" i="14"/>
  <c r="F47" i="15"/>
  <c r="F47" i="16"/>
  <c r="F48" i="9"/>
  <c r="O48" i="9"/>
  <c r="F48" i="7"/>
  <c r="G48" i="7"/>
  <c r="H48" i="7"/>
  <c r="I48" i="7"/>
  <c r="L48" i="7"/>
  <c r="M48" i="7"/>
  <c r="O48" i="7"/>
  <c r="O48" i="13"/>
  <c r="F48" i="14"/>
  <c r="O48" i="14"/>
  <c r="F48" i="15"/>
  <c r="O48" i="15"/>
  <c r="F48" i="16"/>
  <c r="O48" i="16"/>
  <c r="F49" i="9"/>
  <c r="F49" i="7"/>
  <c r="O49" i="7"/>
  <c r="F49" i="13"/>
  <c r="O49" i="13"/>
  <c r="F49" i="14"/>
  <c r="G49" i="14"/>
  <c r="H49" i="14"/>
  <c r="O49" i="14"/>
  <c r="F49" i="15"/>
  <c r="O49" i="15"/>
  <c r="F49" i="16"/>
  <c r="O49" i="16"/>
  <c r="F50" i="9"/>
  <c r="O50" i="9"/>
  <c r="F50" i="7"/>
  <c r="O50" i="7"/>
  <c r="O50" i="13"/>
  <c r="F50" i="14"/>
  <c r="G50" i="14"/>
  <c r="H50" i="14"/>
  <c r="O50" i="14"/>
  <c r="F50" i="15"/>
  <c r="O50" i="15"/>
  <c r="F50" i="16"/>
  <c r="O51" i="9"/>
  <c r="O51" i="7"/>
  <c r="F51" i="13"/>
  <c r="O51" i="13"/>
  <c r="F51" i="14"/>
  <c r="G51" i="14"/>
  <c r="H51" i="14"/>
  <c r="O51" i="14"/>
  <c r="F51" i="15"/>
  <c r="O51" i="15"/>
  <c r="F51" i="16"/>
  <c r="O51" i="16"/>
  <c r="F52" i="9"/>
  <c r="O52" i="9"/>
  <c r="F52" i="7"/>
  <c r="G52" i="7"/>
  <c r="H52" i="7"/>
  <c r="O52" i="7"/>
  <c r="F52" i="13"/>
  <c r="O52" i="13"/>
  <c r="F52" i="14"/>
  <c r="G52" i="14"/>
  <c r="H52" i="14"/>
  <c r="O52" i="14"/>
  <c r="F52" i="15"/>
  <c r="O52" i="15"/>
  <c r="O52" i="16"/>
  <c r="O53" i="9"/>
  <c r="F53" i="7"/>
  <c r="O53" i="7"/>
  <c r="O53" i="13"/>
  <c r="O53" i="14"/>
  <c r="F53" i="15"/>
  <c r="O53" i="15"/>
  <c r="F53" i="16"/>
  <c r="A1" i="16"/>
  <c r="G53" i="16"/>
  <c r="H53" i="16"/>
  <c r="O53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53" i="15"/>
  <c r="I52" i="15"/>
  <c r="I51" i="15"/>
  <c r="I50" i="15"/>
  <c r="I49" i="15"/>
  <c r="I48" i="15"/>
  <c r="I47" i="15"/>
  <c r="I46" i="15"/>
  <c r="I45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AF55" i="8"/>
  <c r="AE55" i="8"/>
  <c r="AD55" i="8"/>
  <c r="AC55" i="8"/>
  <c r="AB55" i="8"/>
  <c r="AA55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25" i="8"/>
  <c r="AG25" i="8"/>
  <c r="Z40" i="8"/>
  <c r="AG40" i="8"/>
  <c r="AG1" i="8"/>
  <c r="X54" i="8"/>
  <c r="Z3" i="8"/>
  <c r="AG3" i="8"/>
  <c r="Z4" i="8"/>
  <c r="AG4" i="8"/>
  <c r="Z5" i="8"/>
  <c r="AG5" i="8"/>
  <c r="Z6" i="8"/>
  <c r="AG6" i="8"/>
  <c r="Z7" i="8"/>
  <c r="AG7" i="8"/>
  <c r="Z8" i="8"/>
  <c r="AG8" i="8"/>
  <c r="Z9" i="8"/>
  <c r="AG9" i="8"/>
  <c r="Z10" i="8"/>
  <c r="AG10" i="8"/>
  <c r="Z11" i="8"/>
  <c r="AG11" i="8"/>
  <c r="Z12" i="8"/>
  <c r="AG12" i="8"/>
  <c r="Z13" i="8"/>
  <c r="AG13" i="8"/>
  <c r="Z14" i="8"/>
  <c r="AG14" i="8"/>
  <c r="Z15" i="8"/>
  <c r="AG15" i="8"/>
  <c r="Z16" i="8"/>
  <c r="AG16" i="8"/>
  <c r="Z17" i="8"/>
  <c r="AG17" i="8"/>
  <c r="Z18" i="8"/>
  <c r="AG18" i="8"/>
  <c r="Z19" i="8"/>
  <c r="AG19" i="8"/>
  <c r="Z20" i="8"/>
  <c r="AG20" i="8"/>
  <c r="Z21" i="8"/>
  <c r="AG21" i="8"/>
  <c r="Z22" i="8"/>
  <c r="AG22" i="8"/>
  <c r="Z23" i="8"/>
  <c r="AG23" i="8"/>
  <c r="Z24" i="8"/>
  <c r="AG24" i="8"/>
  <c r="Z26" i="8"/>
  <c r="AG26" i="8"/>
  <c r="Z27" i="8"/>
  <c r="AG27" i="8"/>
  <c r="Z28" i="8"/>
  <c r="AG28" i="8"/>
  <c r="Z29" i="8"/>
  <c r="AG29" i="8"/>
  <c r="Z30" i="8"/>
  <c r="AG30" i="8"/>
  <c r="Z31" i="8"/>
  <c r="AG31" i="8"/>
  <c r="Z32" i="8"/>
  <c r="AG32" i="8"/>
  <c r="Z33" i="8"/>
  <c r="AG33" i="8"/>
  <c r="Z34" i="8"/>
  <c r="AG34" i="8"/>
  <c r="Z35" i="8"/>
  <c r="AG35" i="8"/>
  <c r="Z36" i="8"/>
  <c r="AG36" i="8"/>
  <c r="Z37" i="8"/>
  <c r="AG37" i="8"/>
  <c r="Z38" i="8"/>
  <c r="AG38" i="8"/>
  <c r="Z39" i="8"/>
  <c r="AG39" i="8"/>
  <c r="Z41" i="8"/>
  <c r="AG41" i="8"/>
  <c r="Z42" i="8"/>
  <c r="AG42" i="8"/>
  <c r="Z43" i="8"/>
  <c r="AG43" i="8"/>
  <c r="Z44" i="8"/>
  <c r="AG44" i="8"/>
  <c r="Z45" i="8"/>
  <c r="AG45" i="8"/>
  <c r="Z46" i="8"/>
  <c r="AG46" i="8"/>
  <c r="Z47" i="8"/>
  <c r="AG47" i="8"/>
  <c r="Z48" i="8"/>
  <c r="AG48" i="8"/>
  <c r="Z49" i="8"/>
  <c r="AG49" i="8"/>
  <c r="Z50" i="8"/>
  <c r="AG50" i="8"/>
  <c r="Z51" i="8"/>
  <c r="AG51" i="8"/>
  <c r="Z52" i="8"/>
  <c r="AG52" i="8"/>
  <c r="Z2" i="8"/>
  <c r="AG2" i="8"/>
  <c r="A1" i="9"/>
  <c r="A1" i="10"/>
  <c r="D7" i="10"/>
  <c r="A1" i="11"/>
  <c r="A1" i="12"/>
  <c r="G37" i="13"/>
  <c r="H37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53" i="7"/>
  <c r="I52" i="7"/>
  <c r="I51" i="7"/>
  <c r="I50" i="7"/>
  <c r="I49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N22" i="4"/>
  <c r="E53" i="4"/>
  <c r="F53" i="4"/>
  <c r="G53" i="4"/>
  <c r="N53" i="4"/>
  <c r="E52" i="4"/>
  <c r="F52" i="4"/>
  <c r="G52" i="4"/>
  <c r="N52" i="4"/>
  <c r="E51" i="4"/>
  <c r="F51" i="4"/>
  <c r="G51" i="4"/>
  <c r="N51" i="4"/>
  <c r="P51" i="4"/>
  <c r="Q51" i="4"/>
  <c r="E50" i="4"/>
  <c r="F50" i="4"/>
  <c r="G50" i="4"/>
  <c r="N50" i="4"/>
  <c r="E49" i="4"/>
  <c r="F49" i="4"/>
  <c r="G49" i="4"/>
  <c r="N49" i="4"/>
  <c r="N48" i="4"/>
  <c r="E48" i="4"/>
  <c r="F48" i="4"/>
  <c r="G48" i="4"/>
  <c r="P48" i="4"/>
  <c r="Q48" i="4"/>
  <c r="E47" i="4"/>
  <c r="F47" i="4"/>
  <c r="G47" i="4"/>
  <c r="N47" i="4"/>
  <c r="E46" i="4"/>
  <c r="F46" i="4"/>
  <c r="G46" i="4"/>
  <c r="N46" i="4"/>
  <c r="E45" i="4"/>
  <c r="F45" i="4"/>
  <c r="G45" i="4"/>
  <c r="N45" i="4"/>
  <c r="E44" i="4"/>
  <c r="F44" i="4"/>
  <c r="G44" i="4"/>
  <c r="N44" i="4"/>
  <c r="P44" i="4"/>
  <c r="Q44" i="4"/>
  <c r="E43" i="4"/>
  <c r="F43" i="4"/>
  <c r="G43" i="4"/>
  <c r="N43" i="4"/>
  <c r="E42" i="4"/>
  <c r="F42" i="4"/>
  <c r="G42" i="4"/>
  <c r="N42" i="4"/>
  <c r="E41" i="4"/>
  <c r="F41" i="4"/>
  <c r="G41" i="4"/>
  <c r="N41" i="4"/>
  <c r="E40" i="4"/>
  <c r="F40" i="4"/>
  <c r="G40" i="4"/>
  <c r="N40" i="4"/>
  <c r="P40" i="4"/>
  <c r="Q40" i="4"/>
  <c r="E39" i="4"/>
  <c r="F39" i="4"/>
  <c r="G39" i="4"/>
  <c r="N39" i="4"/>
  <c r="P39" i="4"/>
  <c r="Q39" i="4"/>
  <c r="E38" i="4"/>
  <c r="F38" i="4"/>
  <c r="G38" i="4"/>
  <c r="N38" i="4"/>
  <c r="E37" i="4"/>
  <c r="F37" i="4"/>
  <c r="G37" i="4"/>
  <c r="N37" i="4"/>
  <c r="E36" i="4"/>
  <c r="F36" i="4"/>
  <c r="G36" i="4"/>
  <c r="N36" i="4"/>
  <c r="P36" i="4"/>
  <c r="Q36" i="4"/>
  <c r="E35" i="4"/>
  <c r="F35" i="4"/>
  <c r="G35" i="4"/>
  <c r="N35" i="4"/>
  <c r="E34" i="4"/>
  <c r="F34" i="4"/>
  <c r="G34" i="4"/>
  <c r="N34" i="4"/>
  <c r="E33" i="4"/>
  <c r="F33" i="4"/>
  <c r="G33" i="4"/>
  <c r="N33" i="4"/>
  <c r="E32" i="4"/>
  <c r="F32" i="4"/>
  <c r="G32" i="4"/>
  <c r="N32" i="4"/>
  <c r="E31" i="4"/>
  <c r="F31" i="4"/>
  <c r="G31" i="4"/>
  <c r="N31" i="4"/>
  <c r="E30" i="4"/>
  <c r="F30" i="4"/>
  <c r="G30" i="4"/>
  <c r="N30" i="4"/>
  <c r="P30" i="4"/>
  <c r="Q30" i="4"/>
  <c r="E29" i="4"/>
  <c r="F29" i="4"/>
  <c r="G29" i="4"/>
  <c r="N29" i="4"/>
  <c r="E28" i="4"/>
  <c r="F28" i="4"/>
  <c r="G28" i="4"/>
  <c r="N28" i="4"/>
  <c r="P28" i="4"/>
  <c r="Q28" i="4"/>
  <c r="E27" i="4"/>
  <c r="F27" i="4"/>
  <c r="G27" i="4"/>
  <c r="N27" i="4"/>
  <c r="P27" i="4"/>
  <c r="Q27" i="4"/>
  <c r="E26" i="4"/>
  <c r="F26" i="4"/>
  <c r="G26" i="4"/>
  <c r="N26" i="4"/>
  <c r="E25" i="4"/>
  <c r="F25" i="4"/>
  <c r="G25" i="4"/>
  <c r="N25" i="4"/>
  <c r="E24" i="4"/>
  <c r="F24" i="4"/>
  <c r="G24" i="4"/>
  <c r="N24" i="4"/>
  <c r="P24" i="4"/>
  <c r="Q24" i="4"/>
  <c r="E23" i="4"/>
  <c r="F23" i="4"/>
  <c r="G23" i="4"/>
  <c r="N23" i="4"/>
  <c r="P23" i="4"/>
  <c r="Q23" i="4"/>
  <c r="E22" i="4"/>
  <c r="F22" i="4"/>
  <c r="G22" i="4"/>
  <c r="E21" i="4"/>
  <c r="F21" i="4"/>
  <c r="G21" i="4"/>
  <c r="N21" i="4"/>
  <c r="E20" i="4"/>
  <c r="F20" i="4"/>
  <c r="G20" i="4"/>
  <c r="N20" i="4"/>
  <c r="E19" i="4"/>
  <c r="F19" i="4"/>
  <c r="G19" i="4"/>
  <c r="N19" i="4"/>
  <c r="P19" i="4"/>
  <c r="Q19" i="4"/>
  <c r="E18" i="4"/>
  <c r="F18" i="4"/>
  <c r="G18" i="4"/>
  <c r="N18" i="4"/>
  <c r="E17" i="4"/>
  <c r="F17" i="4"/>
  <c r="G17" i="4"/>
  <c r="N17" i="4"/>
  <c r="E16" i="4"/>
  <c r="F16" i="4"/>
  <c r="G16" i="4"/>
  <c r="O16" i="4"/>
  <c r="N16" i="4"/>
  <c r="E15" i="4"/>
  <c r="F15" i="4"/>
  <c r="G15" i="4"/>
  <c r="N15" i="4"/>
  <c r="E14" i="4"/>
  <c r="F14" i="4"/>
  <c r="G14" i="4"/>
  <c r="N14" i="4"/>
  <c r="E13" i="4"/>
  <c r="F13" i="4"/>
  <c r="G13" i="4"/>
  <c r="N13" i="4"/>
  <c r="E12" i="4"/>
  <c r="F12" i="4"/>
  <c r="G12" i="4"/>
  <c r="N12" i="4"/>
  <c r="E11" i="4"/>
  <c r="F11" i="4"/>
  <c r="G11" i="4"/>
  <c r="N11" i="4"/>
  <c r="E10" i="4"/>
  <c r="F10" i="4"/>
  <c r="G10" i="4"/>
  <c r="N10" i="4"/>
  <c r="E9" i="4"/>
  <c r="F9" i="4"/>
  <c r="G9" i="4"/>
  <c r="N9" i="4"/>
  <c r="E8" i="4"/>
  <c r="F8" i="4"/>
  <c r="G8" i="4"/>
  <c r="N8" i="4"/>
  <c r="E7" i="4"/>
  <c r="F7" i="4"/>
  <c r="G7" i="4"/>
  <c r="N7" i="4"/>
  <c r="E6" i="4"/>
  <c r="F6" i="4"/>
  <c r="G6" i="4"/>
  <c r="N6" i="4"/>
  <c r="P6" i="4"/>
  <c r="Q6" i="4"/>
  <c r="E5" i="4"/>
  <c r="F5" i="4"/>
  <c r="G5" i="4"/>
  <c r="N5" i="4"/>
  <c r="E4" i="4"/>
  <c r="F4" i="4"/>
  <c r="G4" i="4"/>
  <c r="N4" i="4"/>
  <c r="E3" i="4"/>
  <c r="F3" i="4"/>
  <c r="G3" i="4"/>
  <c r="N3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K19" i="4"/>
  <c r="L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L2" i="4"/>
  <c r="E53" i="2"/>
  <c r="F53" i="2"/>
  <c r="G53" i="2"/>
  <c r="N53" i="2"/>
  <c r="E52" i="2"/>
  <c r="F52" i="2"/>
  <c r="G52" i="2"/>
  <c r="N52" i="2"/>
  <c r="E51" i="2"/>
  <c r="F51" i="2"/>
  <c r="G51" i="2"/>
  <c r="N51" i="2"/>
  <c r="E50" i="2"/>
  <c r="F50" i="2"/>
  <c r="G50" i="2"/>
  <c r="O50" i="2"/>
  <c r="N50" i="2"/>
  <c r="E49" i="2"/>
  <c r="F49" i="2"/>
  <c r="G49" i="2"/>
  <c r="O49" i="2"/>
  <c r="N49" i="2"/>
  <c r="E48" i="2"/>
  <c r="F48" i="2"/>
  <c r="G48" i="2"/>
  <c r="N48" i="2"/>
  <c r="E47" i="2"/>
  <c r="F47" i="2"/>
  <c r="G47" i="2"/>
  <c r="O47" i="2"/>
  <c r="N47" i="2"/>
  <c r="E46" i="2"/>
  <c r="F46" i="2"/>
  <c r="G46" i="2"/>
  <c r="N46" i="2"/>
  <c r="E45" i="2"/>
  <c r="F45" i="2"/>
  <c r="G45" i="2"/>
  <c r="N45" i="2"/>
  <c r="E44" i="2"/>
  <c r="F44" i="2"/>
  <c r="G44" i="2"/>
  <c r="N44" i="2"/>
  <c r="E43" i="2"/>
  <c r="F43" i="2"/>
  <c r="G43" i="2"/>
  <c r="N43" i="2"/>
  <c r="E42" i="2"/>
  <c r="F42" i="2"/>
  <c r="G42" i="2"/>
  <c r="N42" i="2"/>
  <c r="P42" i="2"/>
  <c r="Q42" i="2"/>
  <c r="E41" i="2"/>
  <c r="F41" i="2"/>
  <c r="G41" i="2"/>
  <c r="N41" i="2"/>
  <c r="E40" i="2"/>
  <c r="F40" i="2"/>
  <c r="G40" i="2"/>
  <c r="N40" i="2"/>
  <c r="E39" i="2"/>
  <c r="F39" i="2"/>
  <c r="G39" i="2"/>
  <c r="N39" i="2"/>
  <c r="E38" i="2"/>
  <c r="F38" i="2"/>
  <c r="G38" i="2"/>
  <c r="N38" i="2"/>
  <c r="E37" i="2"/>
  <c r="F37" i="2"/>
  <c r="G37" i="2"/>
  <c r="N37" i="2"/>
  <c r="P37" i="2"/>
  <c r="Q37" i="2"/>
  <c r="E36" i="2"/>
  <c r="F36" i="2"/>
  <c r="G36" i="2"/>
  <c r="O36" i="2"/>
  <c r="N36" i="2"/>
  <c r="E35" i="2"/>
  <c r="F35" i="2"/>
  <c r="G35" i="2"/>
  <c r="N35" i="2"/>
  <c r="E34" i="2"/>
  <c r="F34" i="2"/>
  <c r="G34" i="2"/>
  <c r="N34" i="2"/>
  <c r="P34" i="2"/>
  <c r="Q34" i="2"/>
  <c r="E33" i="2"/>
  <c r="F33" i="2"/>
  <c r="G33" i="2"/>
  <c r="O33" i="2"/>
  <c r="N33" i="2"/>
  <c r="E32" i="2"/>
  <c r="F32" i="2"/>
  <c r="G32" i="2"/>
  <c r="N32" i="2"/>
  <c r="E31" i="2"/>
  <c r="F31" i="2"/>
  <c r="G31" i="2"/>
  <c r="N31" i="2"/>
  <c r="E30" i="2"/>
  <c r="F30" i="2"/>
  <c r="G30" i="2"/>
  <c r="N30" i="2"/>
  <c r="P30" i="2"/>
  <c r="Q30" i="2"/>
  <c r="E29" i="2"/>
  <c r="F29" i="2"/>
  <c r="G29" i="2"/>
  <c r="N29" i="2"/>
  <c r="E28" i="2"/>
  <c r="F28" i="2"/>
  <c r="G28" i="2"/>
  <c r="N28" i="2"/>
  <c r="E27" i="2"/>
  <c r="F27" i="2"/>
  <c r="G27" i="2"/>
  <c r="N27" i="2"/>
  <c r="E26" i="2"/>
  <c r="F26" i="2"/>
  <c r="G26" i="2"/>
  <c r="O26" i="2"/>
  <c r="N26" i="2"/>
  <c r="E25" i="2"/>
  <c r="F25" i="2"/>
  <c r="G25" i="2"/>
  <c r="N25" i="2"/>
  <c r="P25" i="2"/>
  <c r="Q25" i="2"/>
  <c r="E24" i="2"/>
  <c r="F24" i="2"/>
  <c r="G24" i="2"/>
  <c r="N24" i="2"/>
  <c r="E23" i="2"/>
  <c r="F23" i="2"/>
  <c r="G23" i="2"/>
  <c r="N23" i="2"/>
  <c r="E22" i="2"/>
  <c r="F22" i="2"/>
  <c r="G22" i="2"/>
  <c r="N22" i="2"/>
  <c r="E21" i="2"/>
  <c r="F21" i="2"/>
  <c r="G21" i="2"/>
  <c r="N21" i="2"/>
  <c r="E20" i="2"/>
  <c r="F20" i="2"/>
  <c r="G20" i="2"/>
  <c r="N20" i="2"/>
  <c r="E19" i="2"/>
  <c r="F19" i="2"/>
  <c r="G19" i="2"/>
  <c r="N19" i="2"/>
  <c r="E18" i="2"/>
  <c r="F18" i="2"/>
  <c r="G18" i="2"/>
  <c r="N18" i="2"/>
  <c r="E17" i="2"/>
  <c r="F17" i="2"/>
  <c r="G17" i="2"/>
  <c r="N17" i="2"/>
  <c r="E16" i="2"/>
  <c r="F16" i="2"/>
  <c r="G16" i="2"/>
  <c r="N16" i="2"/>
  <c r="E15" i="2"/>
  <c r="F15" i="2"/>
  <c r="G15" i="2"/>
  <c r="N15" i="2"/>
  <c r="E14" i="2"/>
  <c r="F14" i="2"/>
  <c r="G14" i="2"/>
  <c r="N14" i="2"/>
  <c r="P14" i="2"/>
  <c r="Q14" i="2"/>
  <c r="E13" i="2"/>
  <c r="F13" i="2"/>
  <c r="G13" i="2"/>
  <c r="O13" i="2"/>
  <c r="N13" i="2"/>
  <c r="E12" i="2"/>
  <c r="F12" i="2"/>
  <c r="G12" i="2"/>
  <c r="N12" i="2"/>
  <c r="E11" i="2"/>
  <c r="F11" i="2"/>
  <c r="G11" i="2"/>
  <c r="N11" i="2"/>
  <c r="E10" i="2"/>
  <c r="F10" i="2"/>
  <c r="G10" i="2"/>
  <c r="O10" i="2"/>
  <c r="N10" i="2"/>
  <c r="E9" i="2"/>
  <c r="F9" i="2"/>
  <c r="G9" i="2"/>
  <c r="O9" i="2"/>
  <c r="N9" i="2"/>
  <c r="E8" i="2"/>
  <c r="F8" i="2"/>
  <c r="G8" i="2"/>
  <c r="N8" i="2"/>
  <c r="E7" i="2"/>
  <c r="F7" i="2"/>
  <c r="G7" i="2"/>
  <c r="N7" i="2"/>
  <c r="E6" i="2"/>
  <c r="F6" i="2"/>
  <c r="G6" i="2"/>
  <c r="N6" i="2"/>
  <c r="E5" i="2"/>
  <c r="F5" i="2"/>
  <c r="G5" i="2"/>
  <c r="N5" i="2"/>
  <c r="E4" i="2"/>
  <c r="F4" i="2"/>
  <c r="G4" i="2"/>
  <c r="N4" i="2"/>
  <c r="P4" i="2"/>
  <c r="Q4" i="2"/>
  <c r="E3" i="2"/>
  <c r="F3" i="2"/>
  <c r="G3" i="2"/>
  <c r="N3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L2" i="2"/>
  <c r="E23" i="1"/>
  <c r="F23" i="1"/>
  <c r="G23" i="1"/>
  <c r="N23" i="1"/>
  <c r="E52" i="1"/>
  <c r="F52" i="1"/>
  <c r="G52" i="1"/>
  <c r="N52" i="1"/>
  <c r="E35" i="1"/>
  <c r="F35" i="1"/>
  <c r="G35" i="1"/>
  <c r="N35" i="1"/>
  <c r="E31" i="1"/>
  <c r="F31" i="1"/>
  <c r="G31" i="1"/>
  <c r="N31" i="1"/>
  <c r="E3" i="1"/>
  <c r="F3" i="1"/>
  <c r="G3" i="1"/>
  <c r="N3" i="1"/>
  <c r="E17" i="1"/>
  <c r="F17" i="1"/>
  <c r="G17" i="1"/>
  <c r="N17" i="1"/>
  <c r="E4" i="1"/>
  <c r="F4" i="1"/>
  <c r="G4" i="1"/>
  <c r="N4" i="1"/>
  <c r="E41" i="1"/>
  <c r="F41" i="1"/>
  <c r="G41" i="1"/>
  <c r="N41" i="1"/>
  <c r="E44" i="1"/>
  <c r="F44" i="1"/>
  <c r="G44" i="1"/>
  <c r="N44" i="1"/>
  <c r="E38" i="1"/>
  <c r="F38" i="1"/>
  <c r="G38" i="1"/>
  <c r="N38" i="1"/>
  <c r="E8" i="1"/>
  <c r="F8" i="1"/>
  <c r="G8" i="1"/>
  <c r="N8" i="1"/>
  <c r="E51" i="1"/>
  <c r="F51" i="1"/>
  <c r="G51" i="1"/>
  <c r="K51" i="1"/>
  <c r="L51" i="1"/>
  <c r="N51" i="1"/>
  <c r="E24" i="1"/>
  <c r="F24" i="1"/>
  <c r="G24" i="1"/>
  <c r="N24" i="1"/>
  <c r="E34" i="1"/>
  <c r="F34" i="1"/>
  <c r="G34" i="1"/>
  <c r="N34" i="1"/>
  <c r="E20" i="1"/>
  <c r="F20" i="1"/>
  <c r="G20" i="1"/>
  <c r="N20" i="1"/>
  <c r="E14" i="1"/>
  <c r="F14" i="1"/>
  <c r="G14" i="1"/>
  <c r="N14" i="1"/>
  <c r="E27" i="1"/>
  <c r="F27" i="1"/>
  <c r="G27" i="1"/>
  <c r="N27" i="1"/>
  <c r="E21" i="1"/>
  <c r="F21" i="1"/>
  <c r="G21" i="1"/>
  <c r="N21" i="1"/>
  <c r="E28" i="1"/>
  <c r="F28" i="1"/>
  <c r="G28" i="1"/>
  <c r="N28" i="1"/>
  <c r="E10" i="1"/>
  <c r="F10" i="1"/>
  <c r="G10" i="1"/>
  <c r="K10" i="1"/>
  <c r="L10" i="1"/>
  <c r="O10" i="1"/>
  <c r="N10" i="1"/>
  <c r="E49" i="1"/>
  <c r="F49" i="1"/>
  <c r="G49" i="1"/>
  <c r="N49" i="1"/>
  <c r="E37" i="1"/>
  <c r="F37" i="1"/>
  <c r="G37" i="1"/>
  <c r="N37" i="1"/>
  <c r="E40" i="1"/>
  <c r="F40" i="1"/>
  <c r="G40" i="1"/>
  <c r="N40" i="1"/>
  <c r="E30" i="1"/>
  <c r="F30" i="1"/>
  <c r="G30" i="1"/>
  <c r="N30" i="1"/>
  <c r="E47" i="1"/>
  <c r="F47" i="1"/>
  <c r="G47" i="1"/>
  <c r="K47" i="1"/>
  <c r="L47" i="1"/>
  <c r="O47" i="1"/>
  <c r="N47" i="1"/>
  <c r="E9" i="1"/>
  <c r="F9" i="1"/>
  <c r="G9" i="1"/>
  <c r="O9" i="1"/>
  <c r="N9" i="1"/>
  <c r="E18" i="1"/>
  <c r="F18" i="1"/>
  <c r="G18" i="1"/>
  <c r="N18" i="1"/>
  <c r="E13" i="1"/>
  <c r="F13" i="1"/>
  <c r="G13" i="1"/>
  <c r="O13" i="1"/>
  <c r="N13" i="1"/>
  <c r="E39" i="1"/>
  <c r="F39" i="1"/>
  <c r="G39" i="1"/>
  <c r="N39" i="1"/>
  <c r="E42" i="1"/>
  <c r="F42" i="1"/>
  <c r="G42" i="1"/>
  <c r="N42" i="1"/>
  <c r="E45" i="1"/>
  <c r="F45" i="1"/>
  <c r="G45" i="1"/>
  <c r="N45" i="1"/>
  <c r="E36" i="1"/>
  <c r="F36" i="1"/>
  <c r="G36" i="1"/>
  <c r="O36" i="1"/>
  <c r="N36" i="1"/>
  <c r="E7" i="1"/>
  <c r="F7" i="1"/>
  <c r="G7" i="1"/>
  <c r="N7" i="1"/>
  <c r="E53" i="1"/>
  <c r="F53" i="1"/>
  <c r="G53" i="1"/>
  <c r="N53" i="1"/>
  <c r="E12" i="1"/>
  <c r="F12" i="1"/>
  <c r="G12" i="1"/>
  <c r="N12" i="1"/>
  <c r="E6" i="1"/>
  <c r="F6" i="1"/>
  <c r="G6" i="1"/>
  <c r="N6" i="1"/>
  <c r="E15" i="1"/>
  <c r="F15" i="1"/>
  <c r="G15" i="1"/>
  <c r="N15" i="1"/>
  <c r="E43" i="1"/>
  <c r="F43" i="1"/>
  <c r="G43" i="1"/>
  <c r="N43" i="1"/>
  <c r="E22" i="1"/>
  <c r="F22" i="1"/>
  <c r="G22" i="1"/>
  <c r="N22" i="1"/>
  <c r="P22" i="1"/>
  <c r="Q22" i="1"/>
  <c r="E48" i="1"/>
  <c r="F48" i="1"/>
  <c r="G48" i="1"/>
  <c r="K48" i="1"/>
  <c r="L48" i="1"/>
  <c r="N48" i="1"/>
  <c r="E46" i="1"/>
  <c r="F46" i="1"/>
  <c r="G46" i="1"/>
  <c r="N46" i="1"/>
  <c r="E16" i="1"/>
  <c r="F16" i="1"/>
  <c r="G16" i="1"/>
  <c r="N16" i="1"/>
  <c r="E29" i="1"/>
  <c r="F29" i="1"/>
  <c r="G29" i="1"/>
  <c r="N29" i="1"/>
  <c r="E11" i="1"/>
  <c r="F11" i="1"/>
  <c r="G11" i="1"/>
  <c r="N11" i="1"/>
  <c r="E5" i="1"/>
  <c r="F5" i="1"/>
  <c r="G5" i="1"/>
  <c r="N5" i="1"/>
  <c r="E32" i="1"/>
  <c r="F32" i="1"/>
  <c r="G32" i="1"/>
  <c r="N32" i="1"/>
  <c r="E25" i="1"/>
  <c r="F25" i="1"/>
  <c r="G25" i="1"/>
  <c r="N25" i="1"/>
  <c r="P25" i="1"/>
  <c r="Q25" i="1"/>
  <c r="E33" i="1"/>
  <c r="F33" i="1"/>
  <c r="G33" i="1"/>
  <c r="O33" i="1"/>
  <c r="N33" i="1"/>
  <c r="E50" i="1"/>
  <c r="F50" i="1"/>
  <c r="G50" i="1"/>
  <c r="O50" i="1"/>
  <c r="N50" i="1"/>
  <c r="E19" i="1"/>
  <c r="F19" i="1"/>
  <c r="G19" i="1"/>
  <c r="N19" i="1"/>
  <c r="E26" i="1"/>
  <c r="F26" i="1"/>
  <c r="G26" i="1"/>
  <c r="K26" i="1"/>
  <c r="L26" i="1"/>
  <c r="O26" i="1"/>
  <c r="N26" i="1"/>
  <c r="Q2" i="1"/>
  <c r="L2" i="1"/>
  <c r="F15" i="16"/>
  <c r="G41" i="16"/>
  <c r="H41" i="16"/>
  <c r="F4" i="12"/>
  <c r="F5" i="16"/>
  <c r="G5" i="16"/>
  <c r="H5" i="16"/>
  <c r="Q5" i="16"/>
  <c r="R5" i="16"/>
  <c r="J4" i="8"/>
  <c r="L26" i="7"/>
  <c r="M26" i="7"/>
  <c r="G49" i="15"/>
  <c r="H49" i="15"/>
  <c r="K27" i="4"/>
  <c r="L27" i="4"/>
  <c r="K51" i="4"/>
  <c r="L51" i="4"/>
  <c r="K13" i="2"/>
  <c r="L13" i="2"/>
  <c r="P17" i="2"/>
  <c r="Q17" i="2"/>
  <c r="P21" i="2"/>
  <c r="Q21" i="2"/>
  <c r="P16" i="4"/>
  <c r="Q16" i="4"/>
  <c r="P31" i="4"/>
  <c r="Q31" i="4"/>
  <c r="P38" i="4"/>
  <c r="Q38" i="4"/>
  <c r="L22" i="7"/>
  <c r="M22" i="7"/>
  <c r="G53" i="7"/>
  <c r="H53" i="7"/>
  <c r="G47" i="7"/>
  <c r="H47" i="7"/>
  <c r="Q47" i="7"/>
  <c r="R47" i="7"/>
  <c r="B46" i="8"/>
  <c r="L46" i="8"/>
  <c r="G44" i="16"/>
  <c r="H44" i="16"/>
  <c r="G34" i="7"/>
  <c r="H34" i="7"/>
  <c r="Q34" i="7"/>
  <c r="R34" i="7"/>
  <c r="B33" i="8"/>
  <c r="L33" i="8"/>
  <c r="G33" i="7"/>
  <c r="H33" i="7"/>
  <c r="G30" i="16"/>
  <c r="H30" i="16"/>
  <c r="G27" i="15"/>
  <c r="H27" i="15"/>
  <c r="G22" i="14"/>
  <c r="H22" i="14"/>
  <c r="G36" i="15"/>
  <c r="H36" i="15"/>
  <c r="Q36" i="15"/>
  <c r="R36" i="15"/>
  <c r="I35" i="8"/>
  <c r="O14" i="10"/>
  <c r="O7" i="10"/>
  <c r="O31" i="10"/>
  <c r="O50" i="16"/>
  <c r="G40" i="15"/>
  <c r="H40" i="15"/>
  <c r="G36" i="16"/>
  <c r="H36" i="16"/>
  <c r="Q22" i="7"/>
  <c r="R22" i="7"/>
  <c r="B21" i="8"/>
  <c r="L21" i="8"/>
  <c r="G15" i="13"/>
  <c r="H15" i="13"/>
  <c r="G4" i="16"/>
  <c r="H4" i="16"/>
  <c r="Q4" i="16"/>
  <c r="R4" i="16"/>
  <c r="J3" i="8"/>
  <c r="O22" i="10"/>
  <c r="O38" i="10"/>
  <c r="G37" i="16"/>
  <c r="H37" i="16"/>
  <c r="G27" i="16"/>
  <c r="H27" i="16"/>
  <c r="K34" i="2"/>
  <c r="L34" i="2"/>
  <c r="P52" i="2"/>
  <c r="Q52" i="2"/>
  <c r="P3" i="4"/>
  <c r="Q3" i="4"/>
  <c r="K22" i="4"/>
  <c r="L22" i="4"/>
  <c r="G45" i="7"/>
  <c r="H45" i="7"/>
  <c r="G42" i="7"/>
  <c r="H42" i="7"/>
  <c r="G31" i="7"/>
  <c r="H31" i="7"/>
  <c r="G25" i="7"/>
  <c r="H25" i="7"/>
  <c r="Q25" i="7"/>
  <c r="R25" i="7"/>
  <c r="B24" i="8"/>
  <c r="L24" i="8"/>
  <c r="G15" i="14"/>
  <c r="H15" i="14"/>
  <c r="G3" i="13"/>
  <c r="H3" i="13"/>
  <c r="G45" i="13"/>
  <c r="H45" i="13"/>
  <c r="G24" i="14"/>
  <c r="H24" i="14"/>
  <c r="O21" i="10"/>
  <c r="G53" i="15"/>
  <c r="H53" i="15"/>
  <c r="G49" i="16"/>
  <c r="H49" i="16"/>
  <c r="G46" i="16"/>
  <c r="H46" i="16"/>
  <c r="G21" i="16"/>
  <c r="H21" i="16"/>
  <c r="G22" i="15"/>
  <c r="H22" i="15"/>
  <c r="L22" i="15"/>
  <c r="M22" i="15"/>
  <c r="G16" i="7"/>
  <c r="H16" i="7"/>
  <c r="G11" i="7"/>
  <c r="H11" i="7"/>
  <c r="Q11" i="7"/>
  <c r="R11" i="7"/>
  <c r="B10" i="8"/>
  <c r="L10" i="8"/>
  <c r="G3" i="15"/>
  <c r="H3" i="15"/>
  <c r="O34" i="10"/>
  <c r="G47" i="16"/>
  <c r="H47" i="16"/>
  <c r="G7" i="7"/>
  <c r="H7" i="7"/>
  <c r="O13" i="10"/>
  <c r="O9" i="10"/>
  <c r="O17" i="10"/>
  <c r="O25" i="10"/>
  <c r="O33" i="10"/>
  <c r="G50" i="16"/>
  <c r="H50" i="16"/>
  <c r="G18" i="7"/>
  <c r="H18" i="7"/>
  <c r="L18" i="7"/>
  <c r="M18" i="7"/>
  <c r="G17" i="7"/>
  <c r="H17" i="7"/>
  <c r="Q17" i="7"/>
  <c r="R17" i="7"/>
  <c r="B16" i="8"/>
  <c r="L16" i="8"/>
  <c r="G9" i="7"/>
  <c r="H9" i="7"/>
  <c r="Q9" i="7"/>
  <c r="R9" i="7"/>
  <c r="B8" i="8"/>
  <c r="L8" i="8"/>
  <c r="G8" i="7"/>
  <c r="H8" i="7"/>
  <c r="Q8" i="7"/>
  <c r="R8" i="7"/>
  <c r="B7" i="8"/>
  <c r="L7" i="8"/>
  <c r="G6" i="7"/>
  <c r="H6" i="7"/>
  <c r="G31" i="13"/>
  <c r="H31" i="13"/>
  <c r="Q31" i="13"/>
  <c r="R31" i="13"/>
  <c r="G30" i="8"/>
  <c r="G17" i="15"/>
  <c r="H17" i="15"/>
  <c r="L17" i="15"/>
  <c r="M17" i="15"/>
  <c r="P36" i="16"/>
  <c r="O36" i="16"/>
  <c r="P9" i="2"/>
  <c r="Q9" i="2"/>
  <c r="P6" i="2"/>
  <c r="Q6" i="2"/>
  <c r="K6" i="2"/>
  <c r="L6" i="2"/>
  <c r="P35" i="4"/>
  <c r="Q35" i="4"/>
  <c r="K35" i="4"/>
  <c r="L35" i="4"/>
  <c r="P4" i="1"/>
  <c r="Q4" i="1"/>
  <c r="K4" i="1"/>
  <c r="L4" i="1"/>
  <c r="P7" i="4"/>
  <c r="Q7" i="4"/>
  <c r="K7" i="4"/>
  <c r="L7" i="4"/>
  <c r="P20" i="1"/>
  <c r="Q20" i="1"/>
  <c r="K20" i="1"/>
  <c r="L20" i="1"/>
  <c r="P31" i="1"/>
  <c r="Q31" i="1"/>
  <c r="K31" i="1"/>
  <c r="L31" i="1"/>
  <c r="P27" i="2"/>
  <c r="Q27" i="2"/>
  <c r="K27" i="2"/>
  <c r="L27" i="2"/>
  <c r="P12" i="4"/>
  <c r="Q12" i="4"/>
  <c r="K12" i="4"/>
  <c r="L12" i="4"/>
  <c r="K36" i="4"/>
  <c r="L36" i="4"/>
  <c r="P10" i="1"/>
  <c r="Q10" i="1"/>
  <c r="K20" i="4"/>
  <c r="L20" i="4"/>
  <c r="P52" i="4"/>
  <c r="Q52" i="4"/>
  <c r="P26" i="1"/>
  <c r="Q26" i="1"/>
  <c r="K45" i="4"/>
  <c r="L45" i="4"/>
  <c r="G52" i="15"/>
  <c r="H52" i="15"/>
  <c r="L52" i="15"/>
  <c r="M52" i="15"/>
  <c r="G48" i="16"/>
  <c r="H48" i="16"/>
  <c r="Q48" i="16"/>
  <c r="R48" i="16"/>
  <c r="J47" i="8"/>
  <c r="G47" i="13"/>
  <c r="H47" i="13"/>
  <c r="G43" i="16"/>
  <c r="H43" i="16"/>
  <c r="Q43" i="16"/>
  <c r="R43" i="16"/>
  <c r="J42" i="8"/>
  <c r="G35" i="16"/>
  <c r="H35" i="16"/>
  <c r="Q35" i="16"/>
  <c r="R35" i="16"/>
  <c r="J34" i="8"/>
  <c r="G32" i="15"/>
  <c r="H32" i="15"/>
  <c r="Q32" i="15"/>
  <c r="R32" i="15"/>
  <c r="I31" i="8"/>
  <c r="G30" i="14"/>
  <c r="H30" i="14"/>
  <c r="Q30" i="14"/>
  <c r="R30" i="14"/>
  <c r="H29" i="8"/>
  <c r="G20" i="15"/>
  <c r="H20" i="15"/>
  <c r="G19" i="7"/>
  <c r="H19" i="7"/>
  <c r="Q19" i="7"/>
  <c r="R19" i="7"/>
  <c r="B18" i="8"/>
  <c r="L18" i="8"/>
  <c r="G14" i="7"/>
  <c r="H14" i="7"/>
  <c r="G13" i="7"/>
  <c r="H13" i="7"/>
  <c r="G12" i="7"/>
  <c r="H12" i="7"/>
  <c r="L12" i="7"/>
  <c r="M12" i="7"/>
  <c r="G7" i="15"/>
  <c r="H7" i="15"/>
  <c r="Q7" i="15"/>
  <c r="R7" i="15"/>
  <c r="I6" i="8"/>
  <c r="G3" i="7"/>
  <c r="H3" i="7"/>
  <c r="D10" i="13"/>
  <c r="D17" i="13"/>
  <c r="D24" i="13"/>
  <c r="D28" i="13"/>
  <c r="D47" i="13"/>
  <c r="D7" i="14"/>
  <c r="D11" i="14"/>
  <c r="D19" i="14"/>
  <c r="D26" i="14"/>
  <c r="D41" i="14"/>
  <c r="D45" i="14"/>
  <c r="D12" i="15"/>
  <c r="G19" i="15"/>
  <c r="H19" i="15"/>
  <c r="D23" i="15"/>
  <c r="D27" i="15"/>
  <c r="D31" i="15"/>
  <c r="D38" i="15"/>
  <c r="D42" i="15"/>
  <c r="D6" i="16"/>
  <c r="D16" i="16"/>
  <c r="D20" i="16"/>
  <c r="G23" i="16"/>
  <c r="H23" i="16"/>
  <c r="D27" i="16"/>
  <c r="D31" i="16"/>
  <c r="D31" i="12"/>
  <c r="D29" i="12"/>
  <c r="D27" i="12"/>
  <c r="D18" i="12"/>
  <c r="D16" i="12"/>
  <c r="D14" i="12"/>
  <c r="O51" i="10"/>
  <c r="P48" i="1"/>
  <c r="Q48" i="1"/>
  <c r="P51" i="1"/>
  <c r="Q51" i="1"/>
  <c r="K42" i="2"/>
  <c r="L42" i="2"/>
  <c r="K11" i="4"/>
  <c r="L11" i="4"/>
  <c r="P20" i="4"/>
  <c r="Q20" i="4"/>
  <c r="Q48" i="7"/>
  <c r="R48" i="7"/>
  <c r="B47" i="8"/>
  <c r="L47" i="8"/>
  <c r="Q43" i="7"/>
  <c r="R43" i="7"/>
  <c r="B42" i="8"/>
  <c r="L42" i="8"/>
  <c r="G42" i="13"/>
  <c r="H42" i="13"/>
  <c r="G41" i="15"/>
  <c r="H41" i="15"/>
  <c r="G39" i="15"/>
  <c r="H39" i="15"/>
  <c r="Q39" i="15"/>
  <c r="R39" i="15"/>
  <c r="I38" i="8"/>
  <c r="G38" i="13"/>
  <c r="H38" i="13"/>
  <c r="G34" i="13"/>
  <c r="H34" i="13"/>
  <c r="Q33" i="14"/>
  <c r="R33" i="14"/>
  <c r="H32" i="8"/>
  <c r="G29" i="16"/>
  <c r="H29" i="16"/>
  <c r="G26" i="16"/>
  <c r="H26" i="16"/>
  <c r="G21" i="15"/>
  <c r="H21" i="15"/>
  <c r="G17" i="14"/>
  <c r="H17" i="14"/>
  <c r="Q15" i="7"/>
  <c r="R15" i="7"/>
  <c r="B14" i="8"/>
  <c r="L14" i="8"/>
  <c r="G11" i="14"/>
  <c r="H11" i="14"/>
  <c r="Q11" i="14"/>
  <c r="R11" i="14"/>
  <c r="H10" i="8"/>
  <c r="G8" i="16"/>
  <c r="H8" i="16"/>
  <c r="Q8" i="16"/>
  <c r="R8" i="16"/>
  <c r="J7" i="8"/>
  <c r="G6" i="13"/>
  <c r="H6" i="13"/>
  <c r="D13" i="13"/>
  <c r="G20" i="13"/>
  <c r="H20" i="13"/>
  <c r="D35" i="13"/>
  <c r="D39" i="13"/>
  <c r="D43" i="13"/>
  <c r="D50" i="13"/>
  <c r="G3" i="14"/>
  <c r="H3" i="14"/>
  <c r="D22" i="14"/>
  <c r="D29" i="14"/>
  <c r="D33" i="14"/>
  <c r="D37" i="14"/>
  <c r="D48" i="14"/>
  <c r="D52" i="14"/>
  <c r="G8" i="15"/>
  <c r="H8" i="15"/>
  <c r="Q8" i="15"/>
  <c r="R8" i="15"/>
  <c r="I7" i="8"/>
  <c r="G11" i="15"/>
  <c r="H11" i="15"/>
  <c r="G15" i="15"/>
  <c r="H15" i="15"/>
  <c r="Q15" i="15"/>
  <c r="R15" i="15"/>
  <c r="I14" i="8"/>
  <c r="D34" i="15"/>
  <c r="D45" i="15"/>
  <c r="D49" i="15"/>
  <c r="D53" i="15"/>
  <c r="D9" i="16"/>
  <c r="D34" i="16"/>
  <c r="D38" i="16"/>
  <c r="D42" i="16"/>
  <c r="D46" i="16"/>
  <c r="D50" i="16"/>
  <c r="D25" i="12"/>
  <c r="G9" i="12"/>
  <c r="H9" i="12"/>
  <c r="Q9" i="12"/>
  <c r="R9" i="12"/>
  <c r="F8" i="8"/>
  <c r="O10" i="10"/>
  <c r="O18" i="10"/>
  <c r="O26" i="10"/>
  <c r="O47" i="10"/>
  <c r="G28" i="13"/>
  <c r="H28" i="13"/>
  <c r="Q28" i="13"/>
  <c r="R28" i="13"/>
  <c r="G27" i="8"/>
  <c r="G19" i="13"/>
  <c r="H19" i="13"/>
  <c r="G12" i="13"/>
  <c r="H12" i="13"/>
  <c r="G10" i="16"/>
  <c r="H10" i="16"/>
  <c r="O10" i="16"/>
  <c r="Q10" i="16"/>
  <c r="R10" i="16"/>
  <c r="J9" i="8"/>
  <c r="G9" i="13"/>
  <c r="H9" i="13"/>
  <c r="Q9" i="13"/>
  <c r="R9" i="13"/>
  <c r="G8" i="8"/>
  <c r="D16" i="13"/>
  <c r="D23" i="13"/>
  <c r="D27" i="13"/>
  <c r="D31" i="13"/>
  <c r="D46" i="13"/>
  <c r="G10" i="14"/>
  <c r="H10" i="14"/>
  <c r="Q10" i="14"/>
  <c r="R10" i="14"/>
  <c r="H9" i="8"/>
  <c r="D14" i="14"/>
  <c r="D18" i="14"/>
  <c r="D25" i="14"/>
  <c r="D40" i="14"/>
  <c r="D44" i="14"/>
  <c r="D4" i="15"/>
  <c r="D18" i="15"/>
  <c r="D22" i="15"/>
  <c r="G26" i="15"/>
  <c r="H26" i="15"/>
  <c r="Q26" i="15"/>
  <c r="R26" i="15"/>
  <c r="I25" i="8"/>
  <c r="G30" i="15"/>
  <c r="H30" i="15"/>
  <c r="G33" i="15"/>
  <c r="H33" i="15"/>
  <c r="L33" i="15"/>
  <c r="M33" i="15"/>
  <c r="D37" i="15"/>
  <c r="D41" i="15"/>
  <c r="D12" i="16"/>
  <c r="D19" i="16"/>
  <c r="D22" i="16"/>
  <c r="D26" i="16"/>
  <c r="D30" i="16"/>
  <c r="D52" i="12"/>
  <c r="D50" i="12"/>
  <c r="D23" i="12"/>
  <c r="D12" i="12"/>
  <c r="G7" i="12"/>
  <c r="H7" i="12"/>
  <c r="Q7" i="12"/>
  <c r="R7" i="12"/>
  <c r="F6" i="8"/>
  <c r="O36" i="11"/>
  <c r="K3" i="4"/>
  <c r="L3" i="4"/>
  <c r="K24" i="4"/>
  <c r="L24" i="4"/>
  <c r="L25" i="7"/>
  <c r="M25" i="7"/>
  <c r="K16" i="4"/>
  <c r="L16" i="4"/>
  <c r="K52" i="4"/>
  <c r="L52" i="4"/>
  <c r="P11" i="4"/>
  <c r="Q11" i="4"/>
  <c r="G51" i="15"/>
  <c r="H51" i="15"/>
  <c r="F50" i="13"/>
  <c r="G50" i="13"/>
  <c r="H50" i="13"/>
  <c r="F46" i="13"/>
  <c r="G46" i="13"/>
  <c r="H46" i="13"/>
  <c r="G42" i="14"/>
  <c r="H42" i="14"/>
  <c r="G39" i="7"/>
  <c r="H39" i="7"/>
  <c r="G38" i="14"/>
  <c r="H38" i="14"/>
  <c r="Q38" i="14"/>
  <c r="R38" i="14"/>
  <c r="H37" i="8"/>
  <c r="F35" i="13"/>
  <c r="G35" i="13"/>
  <c r="H35" i="13"/>
  <c r="G32" i="7"/>
  <c r="H32" i="7"/>
  <c r="Q32" i="7"/>
  <c r="R32" i="7"/>
  <c r="B31" i="8"/>
  <c r="L31" i="8"/>
  <c r="G23" i="15"/>
  <c r="H23" i="15"/>
  <c r="Q22" i="15"/>
  <c r="R22" i="15"/>
  <c r="I21" i="8"/>
  <c r="G20" i="7"/>
  <c r="H20" i="7"/>
  <c r="F18" i="14"/>
  <c r="G18" i="14"/>
  <c r="H18" i="14"/>
  <c r="G5" i="7"/>
  <c r="H5" i="7"/>
  <c r="L5" i="7"/>
  <c r="M5" i="7"/>
  <c r="G5" i="13"/>
  <c r="H5" i="13"/>
  <c r="D12" i="13"/>
  <c r="D19" i="13"/>
  <c r="D34" i="13"/>
  <c r="D38" i="13"/>
  <c r="D42" i="13"/>
  <c r="D49" i="13"/>
  <c r="G53" i="13"/>
  <c r="H53" i="13"/>
  <c r="D6" i="14"/>
  <c r="D28" i="14"/>
  <c r="D32" i="14"/>
  <c r="D36" i="14"/>
  <c r="D47" i="14"/>
  <c r="D51" i="14"/>
  <c r="D7" i="15"/>
  <c r="D11" i="15"/>
  <c r="D14" i="15"/>
  <c r="D44" i="15"/>
  <c r="D48" i="15"/>
  <c r="D52" i="15"/>
  <c r="D8" i="16"/>
  <c r="D15" i="16"/>
  <c r="G33" i="16"/>
  <c r="H33" i="16"/>
  <c r="D37" i="16"/>
  <c r="D41" i="16"/>
  <c r="D45" i="16"/>
  <c r="D49" i="16"/>
  <c r="D53" i="16"/>
  <c r="O6" i="9"/>
  <c r="O22" i="9"/>
  <c r="F52" i="12"/>
  <c r="F50" i="12"/>
  <c r="D48" i="12"/>
  <c r="D46" i="12"/>
  <c r="D44" i="12"/>
  <c r="D42" i="12"/>
  <c r="D40" i="12"/>
  <c r="D38" i="12"/>
  <c r="D36" i="12"/>
  <c r="D34" i="12"/>
  <c r="F23" i="12"/>
  <c r="D21" i="12"/>
  <c r="F12" i="12"/>
  <c r="G12" i="12"/>
  <c r="H12" i="12"/>
  <c r="D10" i="12"/>
  <c r="D5" i="12"/>
  <c r="P26" i="16"/>
  <c r="O26" i="16"/>
  <c r="O33" i="12"/>
  <c r="K47" i="2"/>
  <c r="L47" i="2"/>
  <c r="K44" i="4"/>
  <c r="L44" i="4"/>
  <c r="G52" i="13"/>
  <c r="H52" i="13"/>
  <c r="G33" i="9"/>
  <c r="H33" i="9"/>
  <c r="G14" i="15"/>
  <c r="H14" i="15"/>
  <c r="G13" i="15"/>
  <c r="H13" i="15"/>
  <c r="G11" i="16"/>
  <c r="H11" i="16"/>
  <c r="L11" i="16"/>
  <c r="M11" i="16"/>
  <c r="D8" i="13"/>
  <c r="D15" i="13"/>
  <c r="G18" i="13"/>
  <c r="H18" i="13"/>
  <c r="L18" i="13"/>
  <c r="M18" i="13"/>
  <c r="G22" i="13"/>
  <c r="H22" i="13"/>
  <c r="L22" i="13"/>
  <c r="M22" i="13"/>
  <c r="D26" i="13"/>
  <c r="D30" i="13"/>
  <c r="G48" i="13"/>
  <c r="H48" i="13"/>
  <c r="D9" i="14"/>
  <c r="D13" i="14"/>
  <c r="D17" i="14"/>
  <c r="D21" i="14"/>
  <c r="D24" i="14"/>
  <c r="D39" i="14"/>
  <c r="D43" i="14"/>
  <c r="D21" i="15"/>
  <c r="D25" i="15"/>
  <c r="D29" i="15"/>
  <c r="D33" i="15"/>
  <c r="D36" i="15"/>
  <c r="D40" i="15"/>
  <c r="G7" i="16"/>
  <c r="H7" i="16"/>
  <c r="D11" i="16"/>
  <c r="D18" i="16"/>
  <c r="D25" i="16"/>
  <c r="D29" i="16"/>
  <c r="D32" i="12"/>
  <c r="D30" i="12"/>
  <c r="D28" i="12"/>
  <c r="D26" i="12"/>
  <c r="D19" i="12"/>
  <c r="D17" i="12"/>
  <c r="D15" i="12"/>
  <c r="D3" i="12"/>
  <c r="O26" i="12"/>
  <c r="P13" i="4"/>
  <c r="Q13" i="4"/>
  <c r="G53" i="9"/>
  <c r="H53" i="9"/>
  <c r="L53" i="9"/>
  <c r="M53" i="9"/>
  <c r="G49" i="13"/>
  <c r="H49" i="13"/>
  <c r="G39" i="13"/>
  <c r="H39" i="13"/>
  <c r="Q39" i="13"/>
  <c r="R39" i="13"/>
  <c r="G38" i="8"/>
  <c r="G34" i="16"/>
  <c r="H34" i="16"/>
  <c r="Q20" i="13"/>
  <c r="R20" i="13"/>
  <c r="G19" i="8"/>
  <c r="G16" i="14"/>
  <c r="H16" i="14"/>
  <c r="G6" i="15"/>
  <c r="H6" i="15"/>
  <c r="G18" i="9"/>
  <c r="H18" i="9"/>
  <c r="Q18" i="9"/>
  <c r="R18" i="9"/>
  <c r="C17" i="8"/>
  <c r="D4" i="13"/>
  <c r="D11" i="13"/>
  <c r="D33" i="13"/>
  <c r="D41" i="13"/>
  <c r="D45" i="13"/>
  <c r="D52" i="13"/>
  <c r="G5" i="14"/>
  <c r="H5" i="14"/>
  <c r="G27" i="14"/>
  <c r="H27" i="14"/>
  <c r="Q27" i="14"/>
  <c r="R27" i="14"/>
  <c r="H26" i="8"/>
  <c r="D31" i="14"/>
  <c r="D35" i="14"/>
  <c r="D46" i="14"/>
  <c r="D50" i="14"/>
  <c r="D3" i="15"/>
  <c r="D6" i="15"/>
  <c r="G10" i="15"/>
  <c r="H10" i="15"/>
  <c r="Q10" i="15"/>
  <c r="R10" i="15"/>
  <c r="I9" i="8"/>
  <c r="D13" i="15"/>
  <c r="D17" i="15"/>
  <c r="D43" i="15"/>
  <c r="D47" i="15"/>
  <c r="D51" i="15"/>
  <c r="D4" i="16"/>
  <c r="D14" i="16"/>
  <c r="D21" i="16"/>
  <c r="D32" i="16"/>
  <c r="D36" i="16"/>
  <c r="D40" i="16"/>
  <c r="D44" i="16"/>
  <c r="D48" i="16"/>
  <c r="G52" i="16"/>
  <c r="H52" i="16"/>
  <c r="F32" i="12"/>
  <c r="F30" i="12"/>
  <c r="F28" i="12"/>
  <c r="F26" i="12"/>
  <c r="D24" i="12"/>
  <c r="F19" i="12"/>
  <c r="F17" i="12"/>
  <c r="F15" i="12"/>
  <c r="D13" i="12"/>
  <c r="D8" i="12"/>
  <c r="L52" i="14"/>
  <c r="M52" i="14"/>
  <c r="G48" i="15"/>
  <c r="H48" i="15"/>
  <c r="G45" i="16"/>
  <c r="H45" i="16"/>
  <c r="G43" i="15"/>
  <c r="H43" i="15"/>
  <c r="G42" i="16"/>
  <c r="H42" i="16"/>
  <c r="G36" i="13"/>
  <c r="H36" i="13"/>
  <c r="Q36" i="13"/>
  <c r="R36" i="13"/>
  <c r="G35" i="8"/>
  <c r="G32" i="14"/>
  <c r="H32" i="14"/>
  <c r="Q32" i="14"/>
  <c r="R32" i="14"/>
  <c r="H31" i="8"/>
  <c r="G31" i="15"/>
  <c r="H31" i="15"/>
  <c r="Q31" i="15"/>
  <c r="R31" i="15"/>
  <c r="I30" i="8"/>
  <c r="G30" i="13"/>
  <c r="H30" i="13"/>
  <c r="G28" i="15"/>
  <c r="H28" i="15"/>
  <c r="L28" i="15"/>
  <c r="M28" i="15"/>
  <c r="G26" i="13"/>
  <c r="H26" i="13"/>
  <c r="G25" i="14"/>
  <c r="H25" i="14"/>
  <c r="Q25" i="14"/>
  <c r="R25" i="14"/>
  <c r="H24" i="8"/>
  <c r="G24" i="16"/>
  <c r="H24" i="16"/>
  <c r="L24" i="16"/>
  <c r="M24" i="16"/>
  <c r="G21" i="13"/>
  <c r="H21" i="13"/>
  <c r="G20" i="14"/>
  <c r="H20" i="14"/>
  <c r="Q20" i="14"/>
  <c r="R20" i="14"/>
  <c r="H19" i="8"/>
  <c r="G13" i="16"/>
  <c r="H13" i="16"/>
  <c r="L13" i="16"/>
  <c r="M13" i="16"/>
  <c r="G10" i="7"/>
  <c r="H10" i="7"/>
  <c r="G14" i="13"/>
  <c r="H14" i="13"/>
  <c r="D18" i="13"/>
  <c r="G25" i="13"/>
  <c r="H25" i="13"/>
  <c r="G29" i="13"/>
  <c r="H29" i="13"/>
  <c r="L29" i="13"/>
  <c r="M29" i="13"/>
  <c r="D48" i="13"/>
  <c r="D8" i="14"/>
  <c r="D12" i="14"/>
  <c r="D16" i="14"/>
  <c r="D20" i="14"/>
  <c r="D38" i="14"/>
  <c r="D42" i="14"/>
  <c r="G12" i="15"/>
  <c r="H12" i="15"/>
  <c r="Q12" i="15"/>
  <c r="R12" i="15"/>
  <c r="I11" i="8"/>
  <c r="D20" i="15"/>
  <c r="G24" i="15"/>
  <c r="H24" i="15"/>
  <c r="D28" i="15"/>
  <c r="D32" i="15"/>
  <c r="D35" i="15"/>
  <c r="D39" i="15"/>
  <c r="D7" i="16"/>
  <c r="D10" i="16"/>
  <c r="G17" i="16"/>
  <c r="H17" i="16"/>
  <c r="G20" i="16"/>
  <c r="H20" i="16"/>
  <c r="Q20" i="16"/>
  <c r="R20" i="16"/>
  <c r="J19" i="8"/>
  <c r="D24" i="16"/>
  <c r="G28" i="16"/>
  <c r="H28" i="16"/>
  <c r="L28" i="16"/>
  <c r="M28" i="16"/>
  <c r="D53" i="12"/>
  <c r="D51" i="12"/>
  <c r="D49" i="12"/>
  <c r="F24" i="12"/>
  <c r="D22" i="12"/>
  <c r="F13" i="12"/>
  <c r="D11" i="12"/>
  <c r="F8" i="12"/>
  <c r="D6" i="12"/>
  <c r="P47" i="16"/>
  <c r="O47" i="16"/>
  <c r="K28" i="4"/>
  <c r="L28" i="4"/>
  <c r="L15" i="15"/>
  <c r="M15" i="15"/>
  <c r="G51" i="13"/>
  <c r="H51" i="13"/>
  <c r="G48" i="9"/>
  <c r="H48" i="9"/>
  <c r="Q48" i="9"/>
  <c r="R48" i="9"/>
  <c r="C47" i="8"/>
  <c r="G46" i="15"/>
  <c r="H46" i="15"/>
  <c r="G38" i="16"/>
  <c r="H38" i="16"/>
  <c r="L38" i="16"/>
  <c r="M38" i="16"/>
  <c r="G27" i="13"/>
  <c r="H27" i="13"/>
  <c r="Q27" i="13"/>
  <c r="R27" i="13"/>
  <c r="G26" i="8"/>
  <c r="G19" i="16"/>
  <c r="H19" i="16"/>
  <c r="G16" i="15"/>
  <c r="H16" i="15"/>
  <c r="G11" i="13"/>
  <c r="H11" i="13"/>
  <c r="Q11" i="13"/>
  <c r="R11" i="13"/>
  <c r="G10" i="8"/>
  <c r="F9" i="14"/>
  <c r="G8" i="14"/>
  <c r="H8" i="14"/>
  <c r="G6" i="16"/>
  <c r="H6" i="16"/>
  <c r="G5" i="15"/>
  <c r="H5" i="15"/>
  <c r="Q5" i="15"/>
  <c r="R5" i="15"/>
  <c r="I4" i="8"/>
  <c r="G4" i="14"/>
  <c r="H4" i="14"/>
  <c r="Q4" i="14"/>
  <c r="R4" i="14"/>
  <c r="H3" i="8"/>
  <c r="G3" i="16"/>
  <c r="H3" i="16"/>
  <c r="D3" i="13"/>
  <c r="D7" i="13"/>
  <c r="F13" i="13"/>
  <c r="D21" i="13"/>
  <c r="D32" i="13"/>
  <c r="D36" i="13"/>
  <c r="D40" i="13"/>
  <c r="D44" i="13"/>
  <c r="D51" i="13"/>
  <c r="D4" i="14"/>
  <c r="D23" i="14"/>
  <c r="D30" i="14"/>
  <c r="G34" i="14"/>
  <c r="H34" i="14"/>
  <c r="F37" i="14"/>
  <c r="G37" i="14"/>
  <c r="H37" i="14"/>
  <c r="D49" i="14"/>
  <c r="D53" i="14"/>
  <c r="D5" i="15"/>
  <c r="D9" i="15"/>
  <c r="D16" i="15"/>
  <c r="F34" i="15"/>
  <c r="G34" i="15"/>
  <c r="H34" i="15"/>
  <c r="L34" i="15"/>
  <c r="M34" i="15"/>
  <c r="D46" i="15"/>
  <c r="D50" i="15"/>
  <c r="D3" i="16"/>
  <c r="F9" i="16"/>
  <c r="G9" i="16"/>
  <c r="H9" i="16"/>
  <c r="D35" i="16"/>
  <c r="D39" i="16"/>
  <c r="D43" i="16"/>
  <c r="D47" i="16"/>
  <c r="D51" i="16"/>
  <c r="F51" i="12"/>
  <c r="G51" i="12"/>
  <c r="H51" i="12"/>
  <c r="D47" i="12"/>
  <c r="D45" i="12"/>
  <c r="D43" i="12"/>
  <c r="D41" i="12"/>
  <c r="D39" i="12"/>
  <c r="D37" i="12"/>
  <c r="D35" i="12"/>
  <c r="D33" i="12"/>
  <c r="D20" i="12"/>
  <c r="F11" i="12"/>
  <c r="D4" i="12"/>
  <c r="P47" i="15"/>
  <c r="O47" i="15"/>
  <c r="P45" i="1"/>
  <c r="Q45" i="1"/>
  <c r="K45" i="1"/>
  <c r="L45" i="1"/>
  <c r="P44" i="1"/>
  <c r="Q44" i="1"/>
  <c r="K44" i="1"/>
  <c r="L44" i="1"/>
  <c r="P5" i="1"/>
  <c r="Q5" i="1"/>
  <c r="K5" i="1"/>
  <c r="L5" i="1"/>
  <c r="K39" i="1"/>
  <c r="L39" i="1"/>
  <c r="P39" i="1"/>
  <c r="Q39" i="1"/>
  <c r="P40" i="1"/>
  <c r="Q40" i="1"/>
  <c r="K40" i="1"/>
  <c r="L40" i="1"/>
  <c r="P32" i="1"/>
  <c r="Q32" i="1"/>
  <c r="K32" i="1"/>
  <c r="L32" i="1"/>
  <c r="P42" i="1"/>
  <c r="Q42" i="1"/>
  <c r="K42" i="1"/>
  <c r="L42" i="1"/>
  <c r="P30" i="1"/>
  <c r="Q30" i="1"/>
  <c r="K30" i="1"/>
  <c r="L30" i="1"/>
  <c r="K50" i="1"/>
  <c r="L50" i="1"/>
  <c r="P50" i="1"/>
  <c r="Q50" i="1"/>
  <c r="K29" i="1"/>
  <c r="L29" i="1"/>
  <c r="P29" i="1"/>
  <c r="Q29" i="1"/>
  <c r="P15" i="1"/>
  <c r="Q15" i="1"/>
  <c r="K15" i="1"/>
  <c r="L15" i="1"/>
  <c r="K53" i="1"/>
  <c r="L53" i="1"/>
  <c r="P53" i="1"/>
  <c r="Q53" i="1"/>
  <c r="K18" i="1"/>
  <c r="L18" i="1"/>
  <c r="P18" i="1"/>
  <c r="Q18" i="1"/>
  <c r="K49" i="1"/>
  <c r="L49" i="1"/>
  <c r="P49" i="1"/>
  <c r="Q49" i="1"/>
  <c r="K10" i="2"/>
  <c r="L10" i="2"/>
  <c r="P10" i="2"/>
  <c r="Q10" i="2"/>
  <c r="P20" i="2"/>
  <c r="Q20" i="2"/>
  <c r="K20" i="2"/>
  <c r="L20" i="2"/>
  <c r="P15" i="4"/>
  <c r="Q15" i="4"/>
  <c r="K15" i="4"/>
  <c r="L15" i="4"/>
  <c r="P37" i="4"/>
  <c r="Q37" i="4"/>
  <c r="K37" i="4"/>
  <c r="L37" i="4"/>
  <c r="K17" i="1"/>
  <c r="L17" i="1"/>
  <c r="P17" i="1"/>
  <c r="Q17" i="1"/>
  <c r="K7" i="2"/>
  <c r="L7" i="2"/>
  <c r="P7" i="2"/>
  <c r="Q7" i="2"/>
  <c r="K16" i="2"/>
  <c r="L16" i="2"/>
  <c r="P16" i="2"/>
  <c r="Q16" i="2"/>
  <c r="P23" i="2"/>
  <c r="Q23" i="2"/>
  <c r="K23" i="2"/>
  <c r="L23" i="2"/>
  <c r="K38" i="2"/>
  <c r="L38" i="2"/>
  <c r="P38" i="2"/>
  <c r="Q38" i="2"/>
  <c r="P45" i="2"/>
  <c r="Q45" i="2"/>
  <c r="K45" i="2"/>
  <c r="L45" i="2"/>
  <c r="P51" i="2"/>
  <c r="Q51" i="2"/>
  <c r="K51" i="2"/>
  <c r="L51" i="2"/>
  <c r="P8" i="4"/>
  <c r="Q8" i="4"/>
  <c r="K8" i="4"/>
  <c r="L8" i="4"/>
  <c r="P26" i="4"/>
  <c r="Q26" i="4"/>
  <c r="K26" i="4"/>
  <c r="L26" i="4"/>
  <c r="K29" i="4"/>
  <c r="L29" i="4"/>
  <c r="P29" i="4"/>
  <c r="Q29" i="4"/>
  <c r="K19" i="2"/>
  <c r="L19" i="2"/>
  <c r="P19" i="2"/>
  <c r="Q19" i="2"/>
  <c r="K26" i="2"/>
  <c r="L26" i="2"/>
  <c r="P26" i="2"/>
  <c r="Q26" i="2"/>
  <c r="P14" i="4"/>
  <c r="Q14" i="4"/>
  <c r="K14" i="4"/>
  <c r="L14" i="4"/>
  <c r="K11" i="1"/>
  <c r="L11" i="1"/>
  <c r="P11" i="1"/>
  <c r="Q11" i="1"/>
  <c r="K43" i="1"/>
  <c r="L43" i="1"/>
  <c r="P43" i="1"/>
  <c r="Q43" i="1"/>
  <c r="K13" i="1"/>
  <c r="L13" i="1"/>
  <c r="P13" i="1"/>
  <c r="Q13" i="1"/>
  <c r="K37" i="1"/>
  <c r="L37" i="1"/>
  <c r="P37" i="1"/>
  <c r="Q37" i="1"/>
  <c r="P28" i="1"/>
  <c r="Q28" i="1"/>
  <c r="K28" i="1"/>
  <c r="L28" i="1"/>
  <c r="P35" i="1"/>
  <c r="Q35" i="1"/>
  <c r="K35" i="1"/>
  <c r="L35" i="1"/>
  <c r="K29" i="2"/>
  <c r="L29" i="2"/>
  <c r="P29" i="2"/>
  <c r="Q29" i="2"/>
  <c r="P46" i="1"/>
  <c r="Q46" i="1"/>
  <c r="K46" i="1"/>
  <c r="L46" i="1"/>
  <c r="P12" i="1"/>
  <c r="Q12" i="1"/>
  <c r="K12" i="1"/>
  <c r="L12" i="1"/>
  <c r="P36" i="1"/>
  <c r="Q36" i="1"/>
  <c r="K36" i="1"/>
  <c r="L36" i="1"/>
  <c r="K14" i="1"/>
  <c r="L14" i="1"/>
  <c r="P14" i="1"/>
  <c r="Q14" i="1"/>
  <c r="P24" i="1"/>
  <c r="Q24" i="1"/>
  <c r="K24" i="1"/>
  <c r="L24" i="1"/>
  <c r="K38" i="1"/>
  <c r="L38" i="1"/>
  <c r="P38" i="1"/>
  <c r="Q38" i="1"/>
  <c r="P12" i="2"/>
  <c r="Q12" i="2"/>
  <c r="K12" i="2"/>
  <c r="L12" i="2"/>
  <c r="K15" i="2"/>
  <c r="L15" i="2"/>
  <c r="P15" i="2"/>
  <c r="Q15" i="2"/>
  <c r="K35" i="2"/>
  <c r="L35" i="2"/>
  <c r="P35" i="2"/>
  <c r="Q35" i="2"/>
  <c r="K41" i="2"/>
  <c r="L41" i="2"/>
  <c r="P41" i="2"/>
  <c r="Q41" i="2"/>
  <c r="K44" i="2"/>
  <c r="L44" i="2"/>
  <c r="P44" i="2"/>
  <c r="Q44" i="2"/>
  <c r="P50" i="2"/>
  <c r="Q50" i="2"/>
  <c r="K50" i="2"/>
  <c r="L50" i="2"/>
  <c r="P34" i="4"/>
  <c r="Q34" i="4"/>
  <c r="K34" i="4"/>
  <c r="L34" i="4"/>
  <c r="K3" i="2"/>
  <c r="L3" i="2"/>
  <c r="P3" i="2"/>
  <c r="Q3" i="2"/>
  <c r="K22" i="2"/>
  <c r="L22" i="2"/>
  <c r="P22" i="2"/>
  <c r="Q22" i="2"/>
  <c r="P4" i="4"/>
  <c r="Q4" i="4"/>
  <c r="K4" i="4"/>
  <c r="L4" i="4"/>
  <c r="P10" i="4"/>
  <c r="Q10" i="4"/>
  <c r="K10" i="4"/>
  <c r="L10" i="4"/>
  <c r="P47" i="4"/>
  <c r="Q47" i="4"/>
  <c r="K47" i="4"/>
  <c r="L47" i="4"/>
  <c r="P34" i="1"/>
  <c r="Q34" i="1"/>
  <c r="K34" i="1"/>
  <c r="L34" i="1"/>
  <c r="P23" i="1"/>
  <c r="Q23" i="1"/>
  <c r="K23" i="1"/>
  <c r="L23" i="1"/>
  <c r="P18" i="2"/>
  <c r="Q18" i="2"/>
  <c r="K18" i="2"/>
  <c r="L18" i="2"/>
  <c r="P28" i="2"/>
  <c r="Q28" i="2"/>
  <c r="K28" i="2"/>
  <c r="L28" i="2"/>
  <c r="K31" i="2"/>
  <c r="L31" i="2"/>
  <c r="P31" i="2"/>
  <c r="Q31" i="2"/>
  <c r="K40" i="2"/>
  <c r="L40" i="2"/>
  <c r="P40" i="2"/>
  <c r="Q40" i="2"/>
  <c r="P43" i="2"/>
  <c r="Q43" i="2"/>
  <c r="K43" i="2"/>
  <c r="L43" i="2"/>
  <c r="K53" i="2"/>
  <c r="L53" i="2"/>
  <c r="P53" i="2"/>
  <c r="Q53" i="2"/>
  <c r="K6" i="1"/>
  <c r="L6" i="1"/>
  <c r="P6" i="1"/>
  <c r="Q6" i="1"/>
  <c r="P27" i="1"/>
  <c r="Q27" i="1"/>
  <c r="K27" i="1"/>
  <c r="L27" i="1"/>
  <c r="P7" i="1"/>
  <c r="Q7" i="1"/>
  <c r="K7" i="1"/>
  <c r="L7" i="1"/>
  <c r="P9" i="1"/>
  <c r="Q9" i="1"/>
  <c r="K9" i="1"/>
  <c r="L9" i="1"/>
  <c r="K8" i="1"/>
  <c r="L8" i="1"/>
  <c r="P8" i="1"/>
  <c r="Q8" i="1"/>
  <c r="P11" i="2"/>
  <c r="Q11" i="2"/>
  <c r="K11" i="2"/>
  <c r="L11" i="2"/>
  <c r="P46" i="2"/>
  <c r="Q46" i="2"/>
  <c r="K46" i="2"/>
  <c r="L46" i="2"/>
  <c r="K49" i="2"/>
  <c r="L49" i="2"/>
  <c r="P49" i="2"/>
  <c r="Q49" i="2"/>
  <c r="P43" i="4"/>
  <c r="Q43" i="4"/>
  <c r="K43" i="4"/>
  <c r="L43" i="4"/>
  <c r="P46" i="4"/>
  <c r="Q46" i="4"/>
  <c r="K46" i="4"/>
  <c r="L46" i="4"/>
  <c r="K49" i="4"/>
  <c r="L49" i="4"/>
  <c r="P49" i="4"/>
  <c r="Q49" i="4"/>
  <c r="P19" i="1"/>
  <c r="Q19" i="1"/>
  <c r="K19" i="1"/>
  <c r="L19" i="1"/>
  <c r="K16" i="1"/>
  <c r="L16" i="1"/>
  <c r="P16" i="1"/>
  <c r="Q16" i="1"/>
  <c r="K21" i="1"/>
  <c r="L21" i="1"/>
  <c r="P21" i="1"/>
  <c r="Q21" i="1"/>
  <c r="P41" i="1"/>
  <c r="Q41" i="1"/>
  <c r="K41" i="1"/>
  <c r="L41" i="1"/>
  <c r="P3" i="1"/>
  <c r="Q3" i="1"/>
  <c r="K3" i="1"/>
  <c r="L3" i="1"/>
  <c r="P52" i="1"/>
  <c r="Q52" i="1"/>
  <c r="K52" i="1"/>
  <c r="L52" i="1"/>
  <c r="P5" i="2"/>
  <c r="Q5" i="2"/>
  <c r="K5" i="2"/>
  <c r="L5" i="2"/>
  <c r="P8" i="2"/>
  <c r="Q8" i="2"/>
  <c r="K8" i="2"/>
  <c r="L8" i="2"/>
  <c r="K24" i="2"/>
  <c r="L24" i="2"/>
  <c r="P24" i="2"/>
  <c r="Q24" i="2"/>
  <c r="K33" i="2"/>
  <c r="L33" i="2"/>
  <c r="P33" i="2"/>
  <c r="Q33" i="2"/>
  <c r="K36" i="2"/>
  <c r="L36" i="2"/>
  <c r="P36" i="2"/>
  <c r="Q36" i="2"/>
  <c r="P39" i="2"/>
  <c r="Q39" i="2"/>
  <c r="K39" i="2"/>
  <c r="L39" i="2"/>
  <c r="K18" i="4"/>
  <c r="L18" i="4"/>
  <c r="P18" i="4"/>
  <c r="Q18" i="4"/>
  <c r="P21" i="4"/>
  <c r="Q21" i="4"/>
  <c r="K21" i="4"/>
  <c r="L21" i="4"/>
  <c r="P47" i="1"/>
  <c r="Q47" i="1"/>
  <c r="K21" i="2"/>
  <c r="L21" i="2"/>
  <c r="P13" i="2"/>
  <c r="Q13" i="2"/>
  <c r="K23" i="4"/>
  <c r="L23" i="4"/>
  <c r="K31" i="4"/>
  <c r="L31" i="4"/>
  <c r="K39" i="4"/>
  <c r="L39" i="4"/>
  <c r="P5" i="4"/>
  <c r="Q5" i="4"/>
  <c r="K5" i="4"/>
  <c r="L5" i="4"/>
  <c r="K9" i="4"/>
  <c r="L9" i="4"/>
  <c r="P9" i="4"/>
  <c r="Q9" i="4"/>
  <c r="K33" i="4"/>
  <c r="L33" i="4"/>
  <c r="P33" i="4"/>
  <c r="Q33" i="4"/>
  <c r="P53" i="4"/>
  <c r="Q53" i="4"/>
  <c r="K53" i="4"/>
  <c r="L53" i="4"/>
  <c r="K25" i="1"/>
  <c r="L25" i="1"/>
  <c r="K14" i="2"/>
  <c r="L14" i="2"/>
  <c r="K30" i="2"/>
  <c r="L30" i="2"/>
  <c r="K37" i="2"/>
  <c r="L37" i="2"/>
  <c r="K48" i="2"/>
  <c r="L48" i="2"/>
  <c r="P45" i="4"/>
  <c r="Q45" i="4"/>
  <c r="K22" i="1"/>
  <c r="L22" i="1"/>
  <c r="P33" i="1"/>
  <c r="Q33" i="1"/>
  <c r="P22" i="4"/>
  <c r="Q22" i="4"/>
  <c r="K25" i="2"/>
  <c r="L25" i="2"/>
  <c r="K33" i="1"/>
  <c r="L33" i="1"/>
  <c r="K4" i="2"/>
  <c r="L4" i="2"/>
  <c r="P48" i="2"/>
  <c r="Q48" i="2"/>
  <c r="K30" i="4"/>
  <c r="L30" i="4"/>
  <c r="K38" i="4"/>
  <c r="L38" i="4"/>
  <c r="K13" i="4"/>
  <c r="L13" i="4"/>
  <c r="K40" i="4"/>
  <c r="L40" i="4"/>
  <c r="K32" i="2"/>
  <c r="L32" i="2"/>
  <c r="P32" i="2"/>
  <c r="Q32" i="2"/>
  <c r="P42" i="4"/>
  <c r="Q42" i="4"/>
  <c r="K42" i="4"/>
  <c r="L42" i="4"/>
  <c r="P50" i="4"/>
  <c r="Q50" i="4"/>
  <c r="K50" i="4"/>
  <c r="L50" i="4"/>
  <c r="K9" i="2"/>
  <c r="L9" i="2"/>
  <c r="K17" i="4"/>
  <c r="L17" i="4"/>
  <c r="P47" i="2"/>
  <c r="Q47" i="2"/>
  <c r="K25" i="4"/>
  <c r="L25" i="4"/>
  <c r="P32" i="4"/>
  <c r="Q32" i="4"/>
  <c r="K32" i="4"/>
  <c r="L32" i="4"/>
  <c r="K17" i="2"/>
  <c r="L17" i="2"/>
  <c r="K52" i="2"/>
  <c r="L52" i="2"/>
  <c r="P17" i="4"/>
  <c r="Q17" i="4"/>
  <c r="P41" i="4"/>
  <c r="Q41" i="4"/>
  <c r="K41" i="4"/>
  <c r="L41" i="4"/>
  <c r="K6" i="4"/>
  <c r="L6" i="4"/>
  <c r="P25" i="4"/>
  <c r="Q25" i="4"/>
  <c r="K48" i="4"/>
  <c r="L48" i="4"/>
  <c r="L40" i="7"/>
  <c r="M40" i="7"/>
  <c r="L30" i="7"/>
  <c r="M30" i="7"/>
  <c r="G49" i="9"/>
  <c r="H49" i="9"/>
  <c r="G47" i="9"/>
  <c r="H47" i="9"/>
  <c r="G42" i="9"/>
  <c r="H42" i="9"/>
  <c r="G39" i="9"/>
  <c r="H39" i="9"/>
  <c r="G35" i="9"/>
  <c r="H35" i="9"/>
  <c r="G34" i="9"/>
  <c r="H34" i="9"/>
  <c r="G31" i="9"/>
  <c r="H31" i="9"/>
  <c r="Q24" i="16"/>
  <c r="R24" i="16"/>
  <c r="J23" i="8"/>
  <c r="G20" i="9"/>
  <c r="H20" i="9"/>
  <c r="G9" i="9"/>
  <c r="H9" i="9"/>
  <c r="D13" i="9"/>
  <c r="D20" i="9"/>
  <c r="D31" i="9"/>
  <c r="D35" i="9"/>
  <c r="D50" i="9"/>
  <c r="Q19" i="15"/>
  <c r="R19" i="15"/>
  <c r="I18" i="8"/>
  <c r="D53" i="11"/>
  <c r="D48" i="11"/>
  <c r="D41" i="11"/>
  <c r="G26" i="11"/>
  <c r="H26" i="11"/>
  <c r="D17" i="11"/>
  <c r="D5" i="11"/>
  <c r="D48" i="10"/>
  <c r="G45" i="10"/>
  <c r="H45" i="10"/>
  <c r="D36" i="10"/>
  <c r="G31" i="10"/>
  <c r="H31" i="10"/>
  <c r="D24" i="10"/>
  <c r="D12" i="10"/>
  <c r="D9" i="10"/>
  <c r="G52" i="9"/>
  <c r="H52" i="9"/>
  <c r="G41" i="9"/>
  <c r="H41" i="9"/>
  <c r="G4" i="9"/>
  <c r="H4" i="9"/>
  <c r="Q4" i="9"/>
  <c r="R4" i="9"/>
  <c r="C3" i="8"/>
  <c r="D16" i="9"/>
  <c r="D23" i="9"/>
  <c r="D27" i="9"/>
  <c r="D42" i="9"/>
  <c r="D46" i="9"/>
  <c r="L20" i="13"/>
  <c r="M20" i="13"/>
  <c r="G36" i="11"/>
  <c r="H36" i="11"/>
  <c r="D31" i="11"/>
  <c r="D24" i="11"/>
  <c r="D15" i="11"/>
  <c r="G12" i="11"/>
  <c r="H12" i="11"/>
  <c r="D3" i="11"/>
  <c r="D51" i="10"/>
  <c r="D43" i="10"/>
  <c r="D34" i="10"/>
  <c r="G29" i="10"/>
  <c r="H29" i="10"/>
  <c r="D22" i="10"/>
  <c r="D17" i="10"/>
  <c r="G7" i="10"/>
  <c r="H7" i="10"/>
  <c r="G27" i="9"/>
  <c r="H27" i="9"/>
  <c r="D5" i="9"/>
  <c r="D12" i="9"/>
  <c r="D30" i="9"/>
  <c r="D34" i="9"/>
  <c r="D38" i="9"/>
  <c r="D49" i="9"/>
  <c r="D53" i="9"/>
  <c r="D51" i="11"/>
  <c r="D46" i="11"/>
  <c r="D39" i="11"/>
  <c r="D29" i="11"/>
  <c r="D22" i="11"/>
  <c r="G10" i="11"/>
  <c r="H10" i="11"/>
  <c r="D46" i="10"/>
  <c r="D41" i="10"/>
  <c r="D27" i="10"/>
  <c r="D20" i="10"/>
  <c r="G15" i="10"/>
  <c r="H15" i="10"/>
  <c r="D10" i="10"/>
  <c r="G5" i="10"/>
  <c r="H5" i="10"/>
  <c r="L41" i="7"/>
  <c r="M41" i="7"/>
  <c r="Q30" i="15"/>
  <c r="R30" i="15"/>
  <c r="I29" i="8"/>
  <c r="S29" i="8"/>
  <c r="D8" i="9"/>
  <c r="D15" i="9"/>
  <c r="D19" i="9"/>
  <c r="G26" i="9"/>
  <c r="H26" i="9"/>
  <c r="L26" i="9"/>
  <c r="M26" i="9"/>
  <c r="D41" i="9"/>
  <c r="D45" i="9"/>
  <c r="D49" i="11"/>
  <c r="G44" i="11"/>
  <c r="H44" i="11"/>
  <c r="G34" i="11"/>
  <c r="H34" i="11"/>
  <c r="D27" i="11"/>
  <c r="G20" i="11"/>
  <c r="H20" i="11"/>
  <c r="D13" i="11"/>
  <c r="D8" i="11"/>
  <c r="D52" i="10"/>
  <c r="G39" i="10"/>
  <c r="H39" i="10"/>
  <c r="D32" i="10"/>
  <c r="D18" i="10"/>
  <c r="G13" i="10"/>
  <c r="H13" i="10"/>
  <c r="D3" i="10"/>
  <c r="D11" i="9"/>
  <c r="F11" i="9"/>
  <c r="G11" i="9"/>
  <c r="H11" i="9"/>
  <c r="L41" i="15"/>
  <c r="M41" i="15"/>
  <c r="G40" i="9"/>
  <c r="H40" i="9"/>
  <c r="G23" i="9"/>
  <c r="H23" i="9"/>
  <c r="Q18" i="7"/>
  <c r="R18" i="7"/>
  <c r="B17" i="8"/>
  <c r="L17" i="8"/>
  <c r="Q12" i="7"/>
  <c r="R12" i="7"/>
  <c r="B11" i="8"/>
  <c r="L11" i="8"/>
  <c r="L9" i="16"/>
  <c r="M9" i="16"/>
  <c r="D4" i="9"/>
  <c r="D22" i="9"/>
  <c r="D33" i="9"/>
  <c r="D37" i="9"/>
  <c r="D48" i="9"/>
  <c r="D52" i="9"/>
  <c r="Q22" i="13"/>
  <c r="R22" i="13"/>
  <c r="G21" i="8"/>
  <c r="G42" i="11"/>
  <c r="H42" i="11"/>
  <c r="D37" i="11"/>
  <c r="D32" i="11"/>
  <c r="D25" i="11"/>
  <c r="G18" i="11"/>
  <c r="H18" i="11"/>
  <c r="D6" i="11"/>
  <c r="D49" i="10"/>
  <c r="D44" i="10"/>
  <c r="G37" i="10"/>
  <c r="H37" i="10"/>
  <c r="D30" i="10"/>
  <c r="D25" i="10"/>
  <c r="D8" i="10"/>
  <c r="D7" i="9"/>
  <c r="F7" i="9"/>
  <c r="G7" i="9"/>
  <c r="H7" i="9"/>
  <c r="D14" i="9"/>
  <c r="F14" i="9"/>
  <c r="G14" i="9"/>
  <c r="H14" i="9"/>
  <c r="Q14" i="9"/>
  <c r="R14" i="9"/>
  <c r="C13" i="8"/>
  <c r="G51" i="9"/>
  <c r="H51" i="9"/>
  <c r="Q51" i="9"/>
  <c r="R51" i="9"/>
  <c r="C50" i="8"/>
  <c r="L49" i="13"/>
  <c r="M49" i="13"/>
  <c r="G32" i="9"/>
  <c r="H32" i="9"/>
  <c r="Q32" i="9"/>
  <c r="R32" i="9"/>
  <c r="C31" i="8"/>
  <c r="D18" i="9"/>
  <c r="D25" i="9"/>
  <c r="D29" i="9"/>
  <c r="D40" i="9"/>
  <c r="D44" i="9"/>
  <c r="G52" i="11"/>
  <c r="H52" i="11"/>
  <c r="D47" i="11"/>
  <c r="D40" i="11"/>
  <c r="D23" i="11"/>
  <c r="D16" i="11"/>
  <c r="D11" i="11"/>
  <c r="G4" i="11"/>
  <c r="H4" i="11"/>
  <c r="G47" i="10"/>
  <c r="H47" i="10"/>
  <c r="D42" i="10"/>
  <c r="D35" i="10"/>
  <c r="D28" i="10"/>
  <c r="G23" i="10"/>
  <c r="H23" i="10"/>
  <c r="D16" i="10"/>
  <c r="D11" i="10"/>
  <c r="D6" i="10"/>
  <c r="F21" i="9"/>
  <c r="G21" i="9"/>
  <c r="H21" i="9"/>
  <c r="D21" i="9"/>
  <c r="G37" i="9"/>
  <c r="H37" i="9"/>
  <c r="G28" i="9"/>
  <c r="H28" i="9"/>
  <c r="G24" i="9"/>
  <c r="H24" i="9"/>
  <c r="D3" i="9"/>
  <c r="D10" i="9"/>
  <c r="G13" i="9"/>
  <c r="H13" i="9"/>
  <c r="Q13" i="9"/>
  <c r="R13" i="9"/>
  <c r="C12" i="8"/>
  <c r="D32" i="9"/>
  <c r="D36" i="9"/>
  <c r="D47" i="9"/>
  <c r="D51" i="9"/>
  <c r="Q25" i="13"/>
  <c r="R25" i="13"/>
  <c r="G24" i="8"/>
  <c r="Q28" i="16"/>
  <c r="R28" i="16"/>
  <c r="J27" i="8"/>
  <c r="D45" i="11"/>
  <c r="D35" i="11"/>
  <c r="D30" i="11"/>
  <c r="D21" i="11"/>
  <c r="D14" i="11"/>
  <c r="D9" i="11"/>
  <c r="G53" i="10"/>
  <c r="H53" i="10"/>
  <c r="D50" i="10"/>
  <c r="D40" i="10"/>
  <c r="D26" i="10"/>
  <c r="G21" i="10"/>
  <c r="H21" i="10"/>
  <c r="D14" i="10"/>
  <c r="D4" i="10"/>
  <c r="G50" i="9"/>
  <c r="H50" i="9"/>
  <c r="G36" i="9"/>
  <c r="H36" i="9"/>
  <c r="Q36" i="9"/>
  <c r="R36" i="9"/>
  <c r="C35" i="8"/>
  <c r="G15" i="9"/>
  <c r="H15" i="9"/>
  <c r="D6" i="9"/>
  <c r="D17" i="9"/>
  <c r="D24" i="9"/>
  <c r="D28" i="9"/>
  <c r="D39" i="9"/>
  <c r="D43" i="9"/>
  <c r="G50" i="11"/>
  <c r="H50" i="11"/>
  <c r="D43" i="11"/>
  <c r="D38" i="11"/>
  <c r="D33" i="11"/>
  <c r="G28" i="11"/>
  <c r="H28" i="11"/>
  <c r="D19" i="11"/>
  <c r="D7" i="11"/>
  <c r="D38" i="10"/>
  <c r="D33" i="10"/>
  <c r="D19" i="10"/>
  <c r="G46" i="9"/>
  <c r="H46" i="9"/>
  <c r="Q18" i="13"/>
  <c r="R18" i="13"/>
  <c r="G17" i="8"/>
  <c r="D5" i="7"/>
  <c r="D13" i="7"/>
  <c r="D21" i="7"/>
  <c r="D29" i="7"/>
  <c r="D37" i="7"/>
  <c r="D45" i="7"/>
  <c r="D53" i="7"/>
  <c r="D26" i="9"/>
  <c r="D15" i="10"/>
  <c r="D23" i="10"/>
  <c r="D31" i="10"/>
  <c r="D39" i="10"/>
  <c r="D47" i="10"/>
  <c r="D4" i="11"/>
  <c r="D12" i="11"/>
  <c r="D20" i="11"/>
  <c r="D28" i="11"/>
  <c r="D36" i="11"/>
  <c r="D44" i="11"/>
  <c r="D52" i="11"/>
  <c r="D9" i="12"/>
  <c r="D6" i="13"/>
  <c r="D14" i="13"/>
  <c r="D22" i="13"/>
  <c r="D3" i="14"/>
  <c r="D27" i="14"/>
  <c r="D8" i="15"/>
  <c r="D24" i="15"/>
  <c r="D5" i="16"/>
  <c r="D13" i="16"/>
  <c r="G38" i="9"/>
  <c r="H38" i="9"/>
  <c r="G21" i="14"/>
  <c r="H21" i="14"/>
  <c r="D4" i="7"/>
  <c r="D12" i="7"/>
  <c r="D20" i="7"/>
  <c r="D28" i="7"/>
  <c r="D36" i="7"/>
  <c r="D44" i="7"/>
  <c r="D52" i="7"/>
  <c r="D9" i="9"/>
  <c r="D5" i="13"/>
  <c r="D29" i="13"/>
  <c r="D37" i="13"/>
  <c r="D53" i="13"/>
  <c r="D10" i="14"/>
  <c r="D34" i="14"/>
  <c r="D15" i="15"/>
  <c r="D28" i="16"/>
  <c r="D52" i="16"/>
  <c r="L11" i="13"/>
  <c r="M11" i="13"/>
  <c r="G51" i="16"/>
  <c r="H51" i="16"/>
  <c r="G48" i="14"/>
  <c r="H48" i="14"/>
  <c r="L48" i="14"/>
  <c r="M48" i="14"/>
  <c r="G47" i="15"/>
  <c r="H47" i="15"/>
  <c r="F44" i="13"/>
  <c r="G44" i="13"/>
  <c r="H44" i="13"/>
  <c r="F43" i="13"/>
  <c r="G43" i="13"/>
  <c r="H43" i="13"/>
  <c r="Q43" i="13"/>
  <c r="R43" i="13"/>
  <c r="G42" i="8"/>
  <c r="F40" i="16"/>
  <c r="G40" i="16"/>
  <c r="H40" i="16"/>
  <c r="G38" i="15"/>
  <c r="H38" i="15"/>
  <c r="L38" i="15"/>
  <c r="M38" i="15"/>
  <c r="G35" i="7"/>
  <c r="H35" i="7"/>
  <c r="G31" i="14"/>
  <c r="H31" i="14"/>
  <c r="G24" i="7"/>
  <c r="H24" i="7"/>
  <c r="F23" i="13"/>
  <c r="G23" i="13"/>
  <c r="H23" i="13"/>
  <c r="L23" i="13"/>
  <c r="M23" i="13"/>
  <c r="F3" i="9"/>
  <c r="G3" i="9"/>
  <c r="H3" i="9"/>
  <c r="F6" i="9"/>
  <c r="G6" i="9"/>
  <c r="H6" i="9"/>
  <c r="Q6" i="9"/>
  <c r="R6" i="9"/>
  <c r="C5" i="8"/>
  <c r="F30" i="9"/>
  <c r="G30" i="9"/>
  <c r="H30" i="9"/>
  <c r="Q30" i="9"/>
  <c r="R30" i="9"/>
  <c r="C29" i="8"/>
  <c r="M29" i="8"/>
  <c r="F8" i="13"/>
  <c r="G8" i="13"/>
  <c r="H8" i="13"/>
  <c r="L8" i="13"/>
  <c r="M8" i="13"/>
  <c r="F24" i="13"/>
  <c r="G24" i="13"/>
  <c r="H24" i="13"/>
  <c r="F9" i="15"/>
  <c r="G9" i="15"/>
  <c r="H9" i="15"/>
  <c r="F18" i="15"/>
  <c r="G18" i="15"/>
  <c r="H18" i="15"/>
  <c r="L18" i="15"/>
  <c r="M18" i="15"/>
  <c r="F25" i="15"/>
  <c r="G25" i="15"/>
  <c r="H25" i="15"/>
  <c r="F22" i="16"/>
  <c r="G22" i="16"/>
  <c r="H22" i="16"/>
  <c r="F25" i="16"/>
  <c r="G25" i="16"/>
  <c r="H25" i="16"/>
  <c r="F39" i="16"/>
  <c r="G39" i="16"/>
  <c r="H39" i="16"/>
  <c r="P13" i="11"/>
  <c r="O13" i="11"/>
  <c r="P10" i="12"/>
  <c r="O10" i="12"/>
  <c r="P47" i="13"/>
  <c r="O47" i="13"/>
  <c r="P36" i="14"/>
  <c r="O36" i="14"/>
  <c r="P33" i="15"/>
  <c r="O33" i="15"/>
  <c r="Q33" i="15"/>
  <c r="R33" i="15"/>
  <c r="I32" i="8"/>
  <c r="S32" i="8"/>
  <c r="D3" i="7"/>
  <c r="D11" i="7"/>
  <c r="D19" i="7"/>
  <c r="D27" i="7"/>
  <c r="D35" i="7"/>
  <c r="D43" i="7"/>
  <c r="D51" i="7"/>
  <c r="D5" i="10"/>
  <c r="D13" i="10"/>
  <c r="D21" i="10"/>
  <c r="D29" i="10"/>
  <c r="D37" i="10"/>
  <c r="D45" i="10"/>
  <c r="D53" i="10"/>
  <c r="D10" i="11"/>
  <c r="D18" i="11"/>
  <c r="D26" i="11"/>
  <c r="D34" i="11"/>
  <c r="D42" i="11"/>
  <c r="D50" i="11"/>
  <c r="D7" i="12"/>
  <c r="D20" i="13"/>
  <c r="D30" i="15"/>
  <c r="L15" i="7"/>
  <c r="M15" i="7"/>
  <c r="L12" i="15"/>
  <c r="M12" i="15"/>
  <c r="G50" i="15"/>
  <c r="H50" i="15"/>
  <c r="G50" i="7"/>
  <c r="H50" i="7"/>
  <c r="G49" i="7"/>
  <c r="H49" i="7"/>
  <c r="L49" i="7"/>
  <c r="M49" i="7"/>
  <c r="G45" i="15"/>
  <c r="H45" i="15"/>
  <c r="F45" i="9"/>
  <c r="G45" i="9"/>
  <c r="H45" i="9"/>
  <c r="F44" i="9"/>
  <c r="G44" i="9"/>
  <c r="H44" i="9"/>
  <c r="L44" i="9"/>
  <c r="M44" i="9"/>
  <c r="F43" i="9"/>
  <c r="G43" i="9"/>
  <c r="H43" i="9"/>
  <c r="F37" i="15"/>
  <c r="G37" i="15"/>
  <c r="H37" i="15"/>
  <c r="L37" i="15"/>
  <c r="M37" i="15"/>
  <c r="G37" i="7"/>
  <c r="H37" i="7"/>
  <c r="Q37" i="7"/>
  <c r="R37" i="7"/>
  <c r="B36" i="8"/>
  <c r="L36" i="8"/>
  <c r="F36" i="14"/>
  <c r="G36" i="14"/>
  <c r="H36" i="14"/>
  <c r="G36" i="7"/>
  <c r="H36" i="7"/>
  <c r="L36" i="7"/>
  <c r="M36" i="7"/>
  <c r="F35" i="15"/>
  <c r="G35" i="15"/>
  <c r="H35" i="15"/>
  <c r="G32" i="16"/>
  <c r="H32" i="16"/>
  <c r="Q32" i="16"/>
  <c r="R32" i="16"/>
  <c r="J31" i="8"/>
  <c r="T31" i="8"/>
  <c r="G29" i="15"/>
  <c r="H29" i="15"/>
  <c r="Q29" i="15"/>
  <c r="R29" i="15"/>
  <c r="I28" i="8"/>
  <c r="G29" i="7"/>
  <c r="H29" i="7"/>
  <c r="G28" i="14"/>
  <c r="H28" i="14"/>
  <c r="L28" i="14"/>
  <c r="M28" i="14"/>
  <c r="G28" i="7"/>
  <c r="H28" i="7"/>
  <c r="G27" i="7"/>
  <c r="H27" i="7"/>
  <c r="F18" i="16"/>
  <c r="G18" i="16"/>
  <c r="H18" i="16"/>
  <c r="G16" i="16"/>
  <c r="H16" i="16"/>
  <c r="G10" i="9"/>
  <c r="H10" i="9"/>
  <c r="G7" i="14"/>
  <c r="H7" i="14"/>
  <c r="Q7" i="14"/>
  <c r="R7" i="14"/>
  <c r="H6" i="8"/>
  <c r="S6" i="8"/>
  <c r="G4" i="7"/>
  <c r="H4" i="7"/>
  <c r="F17" i="13"/>
  <c r="G17" i="13"/>
  <c r="H17" i="13"/>
  <c r="F33" i="13"/>
  <c r="G33" i="13"/>
  <c r="H33" i="13"/>
  <c r="F40" i="13"/>
  <c r="G40" i="13"/>
  <c r="H40" i="13"/>
  <c r="Q40" i="13"/>
  <c r="R40" i="13"/>
  <c r="G39" i="8"/>
  <c r="F13" i="14"/>
  <c r="G13" i="14"/>
  <c r="H13" i="14"/>
  <c r="Q13" i="14"/>
  <c r="R13" i="14"/>
  <c r="H12" i="8"/>
  <c r="F53" i="14"/>
  <c r="G53" i="14"/>
  <c r="H53" i="14"/>
  <c r="G53" i="12"/>
  <c r="H53" i="12"/>
  <c r="Q53" i="12"/>
  <c r="R53" i="12"/>
  <c r="F52" i="8"/>
  <c r="G49" i="12"/>
  <c r="H49" i="12"/>
  <c r="G47" i="12"/>
  <c r="H47" i="12"/>
  <c r="G45" i="12"/>
  <c r="H45" i="12"/>
  <c r="L45" i="12"/>
  <c r="M45" i="12"/>
  <c r="G43" i="12"/>
  <c r="H43" i="12"/>
  <c r="G41" i="12"/>
  <c r="H41" i="12"/>
  <c r="L41" i="12"/>
  <c r="M41" i="12"/>
  <c r="G39" i="12"/>
  <c r="H39" i="12"/>
  <c r="G37" i="12"/>
  <c r="H37" i="12"/>
  <c r="G35" i="12"/>
  <c r="H35" i="12"/>
  <c r="G33" i="12"/>
  <c r="H33" i="12"/>
  <c r="G31" i="12"/>
  <c r="H31" i="12"/>
  <c r="G29" i="12"/>
  <c r="H29" i="12"/>
  <c r="G27" i="12"/>
  <c r="H27" i="12"/>
  <c r="G25" i="12"/>
  <c r="H25" i="12"/>
  <c r="G23" i="12"/>
  <c r="H23" i="12"/>
  <c r="G21" i="12"/>
  <c r="H21" i="12"/>
  <c r="G19" i="12"/>
  <c r="H19" i="12"/>
  <c r="G17" i="12"/>
  <c r="H17" i="12"/>
  <c r="G15" i="12"/>
  <c r="H15" i="12"/>
  <c r="G13" i="12"/>
  <c r="H13" i="12"/>
  <c r="G11" i="12"/>
  <c r="H11" i="12"/>
  <c r="F5" i="12"/>
  <c r="G5" i="12"/>
  <c r="H5" i="12"/>
  <c r="F3" i="12"/>
  <c r="G3" i="12"/>
  <c r="H3" i="12"/>
  <c r="F48" i="11"/>
  <c r="G48" i="11"/>
  <c r="H48" i="11"/>
  <c r="F46" i="11"/>
  <c r="G46" i="11"/>
  <c r="H46" i="11"/>
  <c r="F40" i="11"/>
  <c r="G40" i="11"/>
  <c r="H40" i="11"/>
  <c r="F38" i="11"/>
  <c r="G38" i="11"/>
  <c r="H38" i="11"/>
  <c r="F32" i="11"/>
  <c r="G32" i="11"/>
  <c r="H32" i="11"/>
  <c r="F30" i="11"/>
  <c r="G30" i="11"/>
  <c r="H30" i="11"/>
  <c r="F24" i="11"/>
  <c r="G24" i="11"/>
  <c r="H24" i="11"/>
  <c r="F22" i="11"/>
  <c r="G22" i="11"/>
  <c r="H22" i="11"/>
  <c r="F16" i="11"/>
  <c r="G16" i="11"/>
  <c r="H16" i="11"/>
  <c r="F14" i="11"/>
  <c r="G14" i="11"/>
  <c r="H14" i="11"/>
  <c r="F8" i="11"/>
  <c r="G8" i="11"/>
  <c r="H8" i="11"/>
  <c r="F6" i="11"/>
  <c r="G6" i="11"/>
  <c r="H6" i="11"/>
  <c r="F51" i="10"/>
  <c r="G51" i="10"/>
  <c r="H51" i="10"/>
  <c r="F49" i="10"/>
  <c r="G49" i="10"/>
  <c r="H49" i="10"/>
  <c r="F43" i="10"/>
  <c r="G43" i="10"/>
  <c r="H43" i="10"/>
  <c r="F41" i="10"/>
  <c r="G41" i="10"/>
  <c r="H41" i="10"/>
  <c r="F35" i="10"/>
  <c r="G35" i="10"/>
  <c r="H35" i="10"/>
  <c r="F33" i="10"/>
  <c r="G33" i="10"/>
  <c r="H33" i="10"/>
  <c r="F27" i="10"/>
  <c r="G27" i="10"/>
  <c r="H27" i="10"/>
  <c r="F25" i="10"/>
  <c r="G25" i="10"/>
  <c r="H25" i="10"/>
  <c r="F19" i="10"/>
  <c r="G19" i="10"/>
  <c r="H19" i="10"/>
  <c r="F17" i="10"/>
  <c r="G17" i="10"/>
  <c r="H17" i="10"/>
  <c r="F11" i="10"/>
  <c r="G11" i="10"/>
  <c r="H11" i="10"/>
  <c r="F9" i="10"/>
  <c r="G9" i="10"/>
  <c r="H9" i="10"/>
  <c r="F3" i="10"/>
  <c r="G3" i="10"/>
  <c r="H3" i="10"/>
  <c r="P13" i="16"/>
  <c r="O13" i="16"/>
  <c r="Q13" i="16"/>
  <c r="R13" i="16"/>
  <c r="J12" i="8"/>
  <c r="D10" i="7"/>
  <c r="D18" i="7"/>
  <c r="D26" i="7"/>
  <c r="D34" i="7"/>
  <c r="D42" i="7"/>
  <c r="D50" i="7"/>
  <c r="Q11" i="16"/>
  <c r="R11" i="16"/>
  <c r="J10" i="8"/>
  <c r="G19" i="9"/>
  <c r="H19" i="9"/>
  <c r="G22" i="9"/>
  <c r="H22" i="9"/>
  <c r="L22" i="9"/>
  <c r="M22" i="9"/>
  <c r="G10" i="13"/>
  <c r="H10" i="13"/>
  <c r="G6" i="14"/>
  <c r="H6" i="14"/>
  <c r="Q6" i="14"/>
  <c r="R6" i="14"/>
  <c r="H5" i="8"/>
  <c r="G23" i="14"/>
  <c r="H23" i="14"/>
  <c r="Q23" i="14"/>
  <c r="R23" i="14"/>
  <c r="H22" i="8"/>
  <c r="G45" i="14"/>
  <c r="H45" i="14"/>
  <c r="Q45" i="14"/>
  <c r="R45" i="14"/>
  <c r="H44" i="8"/>
  <c r="G42" i="15"/>
  <c r="H42" i="15"/>
  <c r="G15" i="16"/>
  <c r="H15" i="16"/>
  <c r="G31" i="16"/>
  <c r="H31" i="16"/>
  <c r="Q31" i="16"/>
  <c r="R31" i="16"/>
  <c r="J30" i="8"/>
  <c r="T30" i="8"/>
  <c r="D9" i="7"/>
  <c r="D17" i="7"/>
  <c r="D25" i="7"/>
  <c r="D33" i="7"/>
  <c r="D41" i="7"/>
  <c r="D49" i="7"/>
  <c r="D15" i="14"/>
  <c r="D17" i="16"/>
  <c r="D33" i="16"/>
  <c r="G17" i="9"/>
  <c r="H17" i="9"/>
  <c r="L17" i="9"/>
  <c r="M17" i="9"/>
  <c r="G5" i="9"/>
  <c r="H5" i="9"/>
  <c r="G8" i="9"/>
  <c r="H8" i="9"/>
  <c r="G29" i="9"/>
  <c r="H29" i="9"/>
  <c r="G7" i="13"/>
  <c r="H7" i="13"/>
  <c r="G13" i="13"/>
  <c r="H13" i="13"/>
  <c r="G26" i="14"/>
  <c r="H26" i="14"/>
  <c r="L26" i="14"/>
  <c r="M26" i="14"/>
  <c r="G4" i="15"/>
  <c r="H4" i="15"/>
  <c r="L4" i="15"/>
  <c r="M4" i="15"/>
  <c r="G12" i="16"/>
  <c r="H12" i="16"/>
  <c r="D8" i="7"/>
  <c r="D16" i="7"/>
  <c r="D24" i="7"/>
  <c r="D32" i="7"/>
  <c r="D40" i="7"/>
  <c r="D48" i="7"/>
  <c r="D9" i="13"/>
  <c r="D25" i="13"/>
  <c r="D19" i="15"/>
  <c r="G25" i="9"/>
  <c r="H25" i="9"/>
  <c r="L25" i="9"/>
  <c r="M25" i="9"/>
  <c r="G16" i="9"/>
  <c r="H16" i="9"/>
  <c r="Q16" i="9"/>
  <c r="R16" i="9"/>
  <c r="C15" i="8"/>
  <c r="G12" i="9"/>
  <c r="H12" i="9"/>
  <c r="G9" i="14"/>
  <c r="H9" i="14"/>
  <c r="L9" i="14"/>
  <c r="M9" i="14"/>
  <c r="F16" i="13"/>
  <c r="G16" i="13"/>
  <c r="H16" i="13"/>
  <c r="Q16" i="13"/>
  <c r="R16" i="13"/>
  <c r="G15" i="8"/>
  <c r="F32" i="13"/>
  <c r="G32" i="13"/>
  <c r="H32" i="13"/>
  <c r="L32" i="13"/>
  <c r="M32" i="13"/>
  <c r="F12" i="14"/>
  <c r="G12" i="14"/>
  <c r="H12" i="14"/>
  <c r="F29" i="14"/>
  <c r="G29" i="14"/>
  <c r="H29" i="14"/>
  <c r="L29" i="14"/>
  <c r="M29" i="14"/>
  <c r="D7" i="7"/>
  <c r="D15" i="7"/>
  <c r="D23" i="7"/>
  <c r="D31" i="7"/>
  <c r="D39" i="7"/>
  <c r="D47" i="7"/>
  <c r="D5" i="14"/>
  <c r="D10" i="15"/>
  <c r="D26" i="15"/>
  <c r="D23" i="16"/>
  <c r="G4" i="13"/>
  <c r="H4" i="13"/>
  <c r="F14" i="16"/>
  <c r="G14" i="16"/>
  <c r="H14" i="16"/>
  <c r="Q14" i="16"/>
  <c r="R14" i="16"/>
  <c r="J13" i="8"/>
  <c r="G52" i="12"/>
  <c r="H52" i="12"/>
  <c r="L52" i="12"/>
  <c r="M52" i="12"/>
  <c r="G50" i="12"/>
  <c r="H50" i="12"/>
  <c r="L50" i="12"/>
  <c r="M50" i="12"/>
  <c r="G48" i="12"/>
  <c r="H48" i="12"/>
  <c r="G46" i="12"/>
  <c r="H46" i="12"/>
  <c r="G44" i="12"/>
  <c r="H44" i="12"/>
  <c r="Q44" i="12"/>
  <c r="R44" i="12"/>
  <c r="F43" i="8"/>
  <c r="G42" i="12"/>
  <c r="H42" i="12"/>
  <c r="Q42" i="12"/>
  <c r="R42" i="12"/>
  <c r="F41" i="8"/>
  <c r="G40" i="12"/>
  <c r="H40" i="12"/>
  <c r="G38" i="12"/>
  <c r="H38" i="12"/>
  <c r="G36" i="12"/>
  <c r="H36" i="12"/>
  <c r="G34" i="12"/>
  <c r="H34" i="12"/>
  <c r="G32" i="12"/>
  <c r="H32" i="12"/>
  <c r="G30" i="12"/>
  <c r="H30" i="12"/>
  <c r="G28" i="12"/>
  <c r="H28" i="12"/>
  <c r="G26" i="12"/>
  <c r="H26" i="12"/>
  <c r="G24" i="12"/>
  <c r="H24" i="12"/>
  <c r="G22" i="12"/>
  <c r="H22" i="12"/>
  <c r="G20" i="12"/>
  <c r="H20" i="12"/>
  <c r="G18" i="12"/>
  <c r="H18" i="12"/>
  <c r="G16" i="12"/>
  <c r="H16" i="12"/>
  <c r="G14" i="12"/>
  <c r="H14" i="12"/>
  <c r="G10" i="12"/>
  <c r="H10" i="12"/>
  <c r="G8" i="12"/>
  <c r="H8" i="12"/>
  <c r="G6" i="12"/>
  <c r="H6" i="12"/>
  <c r="G4" i="12"/>
  <c r="H4" i="12"/>
  <c r="G53" i="11"/>
  <c r="H53" i="11"/>
  <c r="Q53" i="11"/>
  <c r="R53" i="11"/>
  <c r="E52" i="8"/>
  <c r="G51" i="11"/>
  <c r="H51" i="11"/>
  <c r="G49" i="11"/>
  <c r="H49" i="11"/>
  <c r="Q49" i="11"/>
  <c r="R49" i="11"/>
  <c r="E48" i="8"/>
  <c r="G47" i="11"/>
  <c r="H47" i="11"/>
  <c r="Q47" i="11"/>
  <c r="R47" i="11"/>
  <c r="E46" i="8"/>
  <c r="G45" i="11"/>
  <c r="H45" i="11"/>
  <c r="Q45" i="11"/>
  <c r="R45" i="11"/>
  <c r="E44" i="8"/>
  <c r="G43" i="11"/>
  <c r="H43" i="11"/>
  <c r="Q43" i="11"/>
  <c r="R43" i="11"/>
  <c r="E42" i="8"/>
  <c r="G41" i="11"/>
  <c r="H41" i="11"/>
  <c r="G39" i="11"/>
  <c r="H39" i="11"/>
  <c r="Q39" i="11"/>
  <c r="R39" i="11"/>
  <c r="E38" i="8"/>
  <c r="G37" i="11"/>
  <c r="H37" i="11"/>
  <c r="Q37" i="11"/>
  <c r="R37" i="11"/>
  <c r="E36" i="8"/>
  <c r="G35" i="11"/>
  <c r="H35" i="11"/>
  <c r="Q35" i="11"/>
  <c r="R35" i="11"/>
  <c r="E34" i="8"/>
  <c r="G33" i="11"/>
  <c r="H33" i="11"/>
  <c r="Q33" i="11"/>
  <c r="R33" i="11"/>
  <c r="E32" i="8"/>
  <c r="G31" i="11"/>
  <c r="H31" i="11"/>
  <c r="Q31" i="11"/>
  <c r="R31" i="11"/>
  <c r="E30" i="8"/>
  <c r="G29" i="11"/>
  <c r="H29" i="11"/>
  <c r="Q29" i="11"/>
  <c r="R29" i="11"/>
  <c r="E28" i="8"/>
  <c r="G27" i="11"/>
  <c r="H27" i="11"/>
  <c r="Q27" i="11"/>
  <c r="R27" i="11"/>
  <c r="E26" i="8"/>
  <c r="G25" i="11"/>
  <c r="H25" i="11"/>
  <c r="Q25" i="11"/>
  <c r="R25" i="11"/>
  <c r="E24" i="8"/>
  <c r="G23" i="11"/>
  <c r="H23" i="11"/>
  <c r="Q23" i="11"/>
  <c r="R23" i="11"/>
  <c r="E22" i="8"/>
  <c r="G21" i="11"/>
  <c r="H21" i="11"/>
  <c r="G19" i="11"/>
  <c r="H19" i="11"/>
  <c r="Q19" i="11"/>
  <c r="R19" i="11"/>
  <c r="E18" i="8"/>
  <c r="G17" i="11"/>
  <c r="H17" i="11"/>
  <c r="Q17" i="11"/>
  <c r="R17" i="11"/>
  <c r="E16" i="8"/>
  <c r="G15" i="11"/>
  <c r="H15" i="11"/>
  <c r="Q15" i="11"/>
  <c r="R15" i="11"/>
  <c r="E14" i="8"/>
  <c r="G13" i="11"/>
  <c r="H13" i="11"/>
  <c r="L13" i="11"/>
  <c r="M13" i="11"/>
  <c r="G11" i="11"/>
  <c r="H11" i="11"/>
  <c r="Q11" i="11"/>
  <c r="R11" i="11"/>
  <c r="E10" i="8"/>
  <c r="G9" i="11"/>
  <c r="H9" i="11"/>
  <c r="Q9" i="11"/>
  <c r="R9" i="11"/>
  <c r="E8" i="8"/>
  <c r="G7" i="11"/>
  <c r="H7" i="11"/>
  <c r="G5" i="11"/>
  <c r="H5" i="11"/>
  <c r="Q5" i="11"/>
  <c r="R5" i="11"/>
  <c r="E4" i="8"/>
  <c r="G3" i="11"/>
  <c r="H3" i="11"/>
  <c r="G52" i="10"/>
  <c r="H52" i="10"/>
  <c r="G50" i="10"/>
  <c r="H50" i="10"/>
  <c r="G48" i="10"/>
  <c r="H48" i="10"/>
  <c r="G46" i="10"/>
  <c r="H46" i="10"/>
  <c r="G44" i="10"/>
  <c r="H44" i="10"/>
  <c r="G42" i="10"/>
  <c r="H42" i="10"/>
  <c r="G40" i="10"/>
  <c r="H40" i="10"/>
  <c r="G38" i="10"/>
  <c r="H38" i="10"/>
  <c r="G36" i="10"/>
  <c r="H36" i="10"/>
  <c r="G34" i="10"/>
  <c r="H34" i="10"/>
  <c r="G32" i="10"/>
  <c r="H32" i="10"/>
  <c r="G30" i="10"/>
  <c r="H30" i="10"/>
  <c r="G28" i="10"/>
  <c r="H28" i="10"/>
  <c r="G26" i="10"/>
  <c r="H26" i="10"/>
  <c r="G24" i="10"/>
  <c r="H24" i="10"/>
  <c r="G22" i="10"/>
  <c r="H22" i="10"/>
  <c r="G20" i="10"/>
  <c r="H20" i="10"/>
  <c r="G18" i="10"/>
  <c r="H18" i="10"/>
  <c r="G16" i="10"/>
  <c r="H16" i="10"/>
  <c r="G14" i="10"/>
  <c r="H14" i="10"/>
  <c r="G12" i="10"/>
  <c r="H12" i="10"/>
  <c r="G10" i="10"/>
  <c r="H10" i="10"/>
  <c r="G8" i="10"/>
  <c r="H8" i="10"/>
  <c r="G6" i="10"/>
  <c r="H6" i="10"/>
  <c r="G4" i="10"/>
  <c r="H4" i="10"/>
  <c r="D6" i="7"/>
  <c r="D14" i="7"/>
  <c r="D22" i="7"/>
  <c r="D30" i="7"/>
  <c r="D38" i="7"/>
  <c r="Q9" i="16"/>
  <c r="R9" i="16"/>
  <c r="J8" i="8"/>
  <c r="Q29" i="16"/>
  <c r="R29" i="16"/>
  <c r="J28" i="8"/>
  <c r="L29" i="16"/>
  <c r="M29" i="16"/>
  <c r="Q33" i="16"/>
  <c r="R33" i="16"/>
  <c r="J32" i="8"/>
  <c r="L33" i="16"/>
  <c r="M33" i="16"/>
  <c r="L10" i="16"/>
  <c r="M10" i="16"/>
  <c r="L43" i="16"/>
  <c r="M43" i="16"/>
  <c r="Q6" i="15"/>
  <c r="R6" i="15"/>
  <c r="I5" i="8"/>
  <c r="L6" i="15"/>
  <c r="M6" i="15"/>
  <c r="Q51" i="15"/>
  <c r="R51" i="15"/>
  <c r="I50" i="8"/>
  <c r="L51" i="15"/>
  <c r="M51" i="15"/>
  <c r="L5" i="15"/>
  <c r="M5" i="15"/>
  <c r="Q24" i="15"/>
  <c r="R24" i="15"/>
  <c r="I23" i="8"/>
  <c r="T23" i="8"/>
  <c r="L24" i="15"/>
  <c r="M24" i="15"/>
  <c r="Q14" i="15"/>
  <c r="R14" i="15"/>
  <c r="I13" i="8"/>
  <c r="L14" i="15"/>
  <c r="M14" i="15"/>
  <c r="Q13" i="15"/>
  <c r="R13" i="15"/>
  <c r="I12" i="8"/>
  <c r="L13" i="15"/>
  <c r="M13" i="15"/>
  <c r="Q23" i="15"/>
  <c r="R23" i="15"/>
  <c r="I22" i="8"/>
  <c r="L23" i="15"/>
  <c r="M23" i="15"/>
  <c r="L30" i="15"/>
  <c r="M30" i="15"/>
  <c r="Q44" i="15"/>
  <c r="R44" i="15"/>
  <c r="I43" i="8"/>
  <c r="L8" i="15"/>
  <c r="M8" i="15"/>
  <c r="Q28" i="15"/>
  <c r="R28" i="15"/>
  <c r="I27" i="8"/>
  <c r="T27" i="8"/>
  <c r="L19" i="15"/>
  <c r="M19" i="15"/>
  <c r="L20" i="14"/>
  <c r="M20" i="14"/>
  <c r="L27" i="14"/>
  <c r="M27" i="14"/>
  <c r="Q35" i="14"/>
  <c r="R35" i="14"/>
  <c r="H34" i="8"/>
  <c r="L35" i="14"/>
  <c r="M35" i="14"/>
  <c r="Q16" i="14"/>
  <c r="R16" i="14"/>
  <c r="H15" i="8"/>
  <c r="L16" i="14"/>
  <c r="M16" i="14"/>
  <c r="Q52" i="14"/>
  <c r="R52" i="14"/>
  <c r="H51" i="8"/>
  <c r="L11" i="14"/>
  <c r="M11" i="14"/>
  <c r="R19" i="8"/>
  <c r="L32" i="14"/>
  <c r="M32" i="14"/>
  <c r="Q17" i="14"/>
  <c r="R17" i="14"/>
  <c r="H16" i="8"/>
  <c r="L17" i="14"/>
  <c r="M17" i="14"/>
  <c r="Q22" i="14"/>
  <c r="R22" i="14"/>
  <c r="H21" i="8"/>
  <c r="R21" i="8"/>
  <c r="L22" i="14"/>
  <c r="M22" i="14"/>
  <c r="Q8" i="14"/>
  <c r="R8" i="14"/>
  <c r="H7" i="8"/>
  <c r="S7" i="8"/>
  <c r="L8" i="14"/>
  <c r="M8" i="14"/>
  <c r="Q31" i="14"/>
  <c r="R31" i="14"/>
  <c r="H30" i="8"/>
  <c r="S30" i="8"/>
  <c r="L31" i="14"/>
  <c r="M31" i="14"/>
  <c r="L4" i="14"/>
  <c r="M4" i="14"/>
  <c r="S9" i="8"/>
  <c r="L10" i="14"/>
  <c r="M10" i="14"/>
  <c r="S31" i="8"/>
  <c r="L53" i="13"/>
  <c r="M53" i="13"/>
  <c r="Q53" i="13"/>
  <c r="R53" i="13"/>
  <c r="G52" i="8"/>
  <c r="Q52" i="8"/>
  <c r="Q46" i="13"/>
  <c r="R46" i="13"/>
  <c r="G45" i="8"/>
  <c r="L46" i="13"/>
  <c r="M46" i="13"/>
  <c r="Q47" i="13"/>
  <c r="R47" i="13"/>
  <c r="G46" i="8"/>
  <c r="L47" i="13"/>
  <c r="M47" i="13"/>
  <c r="Q30" i="13"/>
  <c r="R30" i="13"/>
  <c r="G29" i="8"/>
  <c r="R29" i="8"/>
  <c r="L30" i="13"/>
  <c r="M30" i="13"/>
  <c r="R26" i="8"/>
  <c r="L53" i="12"/>
  <c r="M53" i="12"/>
  <c r="L37" i="9"/>
  <c r="M37" i="9"/>
  <c r="Q37" i="9"/>
  <c r="R37" i="9"/>
  <c r="C36" i="8"/>
  <c r="Q26" i="9"/>
  <c r="R26" i="9"/>
  <c r="C25" i="8"/>
  <c r="M25" i="8"/>
  <c r="Q9" i="9"/>
  <c r="R9" i="9"/>
  <c r="C8" i="8"/>
  <c r="M8" i="8"/>
  <c r="L9" i="9"/>
  <c r="M9" i="9"/>
  <c r="Q52" i="9"/>
  <c r="R52" i="9"/>
  <c r="C51" i="8"/>
  <c r="L52" i="9"/>
  <c r="M52" i="9"/>
  <c r="Q28" i="9"/>
  <c r="R28" i="9"/>
  <c r="C27" i="8"/>
  <c r="L28" i="9"/>
  <c r="M28" i="9"/>
  <c r="Q33" i="9"/>
  <c r="R33" i="9"/>
  <c r="C32" i="8"/>
  <c r="L33" i="9"/>
  <c r="M33" i="9"/>
  <c r="L18" i="9"/>
  <c r="M18" i="9"/>
  <c r="Q51" i="14"/>
  <c r="R51" i="14"/>
  <c r="H50" i="8"/>
  <c r="L51" i="14"/>
  <c r="M51" i="14"/>
  <c r="Q50" i="14"/>
  <c r="R50" i="14"/>
  <c r="H49" i="8"/>
  <c r="L50" i="14"/>
  <c r="M50" i="14"/>
  <c r="Q50" i="7"/>
  <c r="R50" i="7"/>
  <c r="B49" i="8"/>
  <c r="L49" i="8"/>
  <c r="L50" i="7"/>
  <c r="M50" i="7"/>
  <c r="Q49" i="15"/>
  <c r="R49" i="15"/>
  <c r="I48" i="8"/>
  <c r="L49" i="15"/>
  <c r="M49" i="15"/>
  <c r="Q47" i="16"/>
  <c r="R47" i="16"/>
  <c r="J46" i="8"/>
  <c r="L47" i="16"/>
  <c r="M47" i="16"/>
  <c r="L46" i="15"/>
  <c r="M46" i="15"/>
  <c r="Q46" i="15"/>
  <c r="R46" i="15"/>
  <c r="I45" i="8"/>
  <c r="L44" i="7"/>
  <c r="M44" i="7"/>
  <c r="Q44" i="7"/>
  <c r="R44" i="7"/>
  <c r="B43" i="8"/>
  <c r="L43" i="8"/>
  <c r="L42" i="16"/>
  <c r="M42" i="16"/>
  <c r="Q42" i="16"/>
  <c r="R42" i="16"/>
  <c r="J41" i="8"/>
  <c r="Q31" i="9"/>
  <c r="R31" i="9"/>
  <c r="C30" i="8"/>
  <c r="L31" i="9"/>
  <c r="M31" i="9"/>
  <c r="Q28" i="14"/>
  <c r="R28" i="14"/>
  <c r="H27" i="8"/>
  <c r="R27" i="8"/>
  <c r="Q21" i="15"/>
  <c r="R21" i="15"/>
  <c r="I20" i="8"/>
  <c r="L21" i="15"/>
  <c r="M21" i="15"/>
  <c r="Q20" i="15"/>
  <c r="R20" i="15"/>
  <c r="I19" i="8"/>
  <c r="S19" i="8"/>
  <c r="L20" i="15"/>
  <c r="M20" i="15"/>
  <c r="Q19" i="16"/>
  <c r="R19" i="16"/>
  <c r="J18" i="8"/>
  <c r="L19" i="16"/>
  <c r="M19" i="16"/>
  <c r="Q6" i="13"/>
  <c r="R6" i="13"/>
  <c r="G5" i="8"/>
  <c r="L6" i="13"/>
  <c r="M6" i="13"/>
  <c r="L53" i="16"/>
  <c r="M53" i="16"/>
  <c r="Q53" i="16"/>
  <c r="R53" i="16"/>
  <c r="J52" i="8"/>
  <c r="L51" i="7"/>
  <c r="M51" i="7"/>
  <c r="Q51" i="7"/>
  <c r="R51" i="7"/>
  <c r="B50" i="8"/>
  <c r="L50" i="8"/>
  <c r="Q49" i="9"/>
  <c r="R49" i="9"/>
  <c r="C48" i="8"/>
  <c r="L49" i="9"/>
  <c r="M49" i="9"/>
  <c r="L45" i="16"/>
  <c r="M45" i="16"/>
  <c r="Q45" i="16"/>
  <c r="R45" i="16"/>
  <c r="J44" i="8"/>
  <c r="L44" i="14"/>
  <c r="M44" i="14"/>
  <c r="Q44" i="14"/>
  <c r="R44" i="14"/>
  <c r="H43" i="8"/>
  <c r="Q41" i="16"/>
  <c r="R41" i="16"/>
  <c r="J40" i="8"/>
  <c r="L41" i="16"/>
  <c r="M41" i="16"/>
  <c r="Q39" i="14"/>
  <c r="R39" i="14"/>
  <c r="H38" i="8"/>
  <c r="R38" i="8"/>
  <c r="L39" i="14"/>
  <c r="M39" i="14"/>
  <c r="Q39" i="7"/>
  <c r="R39" i="7"/>
  <c r="B38" i="8"/>
  <c r="L38" i="8"/>
  <c r="L39" i="7"/>
  <c r="M39" i="7"/>
  <c r="Q34" i="9"/>
  <c r="R34" i="9"/>
  <c r="C33" i="8"/>
  <c r="M33" i="8"/>
  <c r="L34" i="9"/>
  <c r="M34" i="9"/>
  <c r="Q27" i="16"/>
  <c r="R27" i="16"/>
  <c r="J26" i="8"/>
  <c r="L27" i="16"/>
  <c r="M27" i="16"/>
  <c r="Q27" i="9"/>
  <c r="R27" i="9"/>
  <c r="C26" i="8"/>
  <c r="L27" i="9"/>
  <c r="M27" i="9"/>
  <c r="Q15" i="13"/>
  <c r="R15" i="13"/>
  <c r="G14" i="8"/>
  <c r="L15" i="13"/>
  <c r="M15" i="13"/>
  <c r="Q14" i="7"/>
  <c r="R14" i="7"/>
  <c r="B13" i="8"/>
  <c r="L13" i="8"/>
  <c r="L14" i="7"/>
  <c r="M14" i="7"/>
  <c r="Q53" i="7"/>
  <c r="R53" i="7"/>
  <c r="B52" i="8"/>
  <c r="L52" i="8"/>
  <c r="L53" i="7"/>
  <c r="M53" i="7"/>
  <c r="Q52" i="15"/>
  <c r="R52" i="15"/>
  <c r="I51" i="8"/>
  <c r="Q50" i="15"/>
  <c r="R50" i="15"/>
  <c r="I49" i="8"/>
  <c r="L50" i="15"/>
  <c r="M50" i="15"/>
  <c r="Q45" i="13"/>
  <c r="R45" i="13"/>
  <c r="G44" i="8"/>
  <c r="L45" i="13"/>
  <c r="M45" i="13"/>
  <c r="Q45" i="9"/>
  <c r="R45" i="9"/>
  <c r="C44" i="8"/>
  <c r="L45" i="9"/>
  <c r="M45" i="9"/>
  <c r="Q43" i="9"/>
  <c r="R43" i="9"/>
  <c r="C42" i="8"/>
  <c r="M42" i="8"/>
  <c r="L43" i="9"/>
  <c r="M43" i="9"/>
  <c r="Q42" i="13"/>
  <c r="R42" i="13"/>
  <c r="G41" i="8"/>
  <c r="L42" i="13"/>
  <c r="M42" i="13"/>
  <c r="Q41" i="14"/>
  <c r="R41" i="14"/>
  <c r="H40" i="8"/>
  <c r="L41" i="14"/>
  <c r="M41" i="14"/>
  <c r="Q41" i="9"/>
  <c r="R41" i="9"/>
  <c r="C40" i="8"/>
  <c r="M40" i="8"/>
  <c r="L41" i="9"/>
  <c r="M41" i="9"/>
  <c r="Q35" i="15"/>
  <c r="R35" i="15"/>
  <c r="I34" i="8"/>
  <c r="L35" i="15"/>
  <c r="M35" i="15"/>
  <c r="Q26" i="13"/>
  <c r="R26" i="13"/>
  <c r="G25" i="8"/>
  <c r="L26" i="13"/>
  <c r="M26" i="13"/>
  <c r="L21" i="16"/>
  <c r="M21" i="16"/>
  <c r="Q21" i="16"/>
  <c r="R21" i="16"/>
  <c r="J20" i="8"/>
  <c r="Q19" i="13"/>
  <c r="R19" i="13"/>
  <c r="G18" i="8"/>
  <c r="L19" i="13"/>
  <c r="M19" i="13"/>
  <c r="Q16" i="7"/>
  <c r="R16" i="7"/>
  <c r="B15" i="8"/>
  <c r="L15" i="8"/>
  <c r="L16" i="7"/>
  <c r="M16" i="7"/>
  <c r="Q15" i="9"/>
  <c r="R15" i="9"/>
  <c r="C14" i="8"/>
  <c r="M14" i="8"/>
  <c r="L15" i="9"/>
  <c r="M15" i="9"/>
  <c r="Q12" i="13"/>
  <c r="R12" i="13"/>
  <c r="G11" i="8"/>
  <c r="L12" i="13"/>
  <c r="M12" i="13"/>
  <c r="L4" i="9"/>
  <c r="M4" i="9"/>
  <c r="Q38" i="9"/>
  <c r="R38" i="9"/>
  <c r="C37" i="8"/>
  <c r="L38" i="9"/>
  <c r="M38" i="9"/>
  <c r="L46" i="9"/>
  <c r="M46" i="9"/>
  <c r="Q46" i="9"/>
  <c r="R46" i="9"/>
  <c r="C45" i="8"/>
  <c r="Q8" i="13"/>
  <c r="R8" i="13"/>
  <c r="G7" i="8"/>
  <c r="Q24" i="13"/>
  <c r="R24" i="13"/>
  <c r="G23" i="8"/>
  <c r="L24" i="13"/>
  <c r="M24" i="13"/>
  <c r="L40" i="13"/>
  <c r="M40" i="13"/>
  <c r="L48" i="13"/>
  <c r="M48" i="13"/>
  <c r="Q48" i="13"/>
  <c r="R48" i="13"/>
  <c r="G47" i="8"/>
  <c r="Q5" i="14"/>
  <c r="R5" i="14"/>
  <c r="H4" i="8"/>
  <c r="L5" i="14"/>
  <c r="M5" i="14"/>
  <c r="Q21" i="14"/>
  <c r="R21" i="14"/>
  <c r="H20" i="8"/>
  <c r="L21" i="14"/>
  <c r="M21" i="14"/>
  <c r="Q53" i="14"/>
  <c r="R53" i="14"/>
  <c r="H52" i="8"/>
  <c r="L53" i="14"/>
  <c r="M53" i="14"/>
  <c r="Q42" i="15"/>
  <c r="R42" i="15"/>
  <c r="I41" i="8"/>
  <c r="L42" i="15"/>
  <c r="M42" i="15"/>
  <c r="Q7" i="16"/>
  <c r="R7" i="16"/>
  <c r="J6" i="8"/>
  <c r="T6" i="8"/>
  <c r="L7" i="16"/>
  <c r="M7" i="16"/>
  <c r="Q15" i="16"/>
  <c r="R15" i="16"/>
  <c r="J14" i="8"/>
  <c r="T14" i="8"/>
  <c r="L15" i="16"/>
  <c r="M15" i="16"/>
  <c r="Q23" i="16"/>
  <c r="R23" i="16"/>
  <c r="J22" i="8"/>
  <c r="L23" i="16"/>
  <c r="M23" i="16"/>
  <c r="L31" i="16"/>
  <c r="M31" i="16"/>
  <c r="Q39" i="16"/>
  <c r="R39" i="16"/>
  <c r="J38" i="8"/>
  <c r="T38" i="8"/>
  <c r="L39" i="16"/>
  <c r="M39" i="16"/>
  <c r="Q52" i="13"/>
  <c r="R52" i="13"/>
  <c r="G51" i="8"/>
  <c r="L52" i="13"/>
  <c r="M52" i="13"/>
  <c r="Q49" i="16"/>
  <c r="R49" i="16"/>
  <c r="J48" i="8"/>
  <c r="L49" i="16"/>
  <c r="M49" i="16"/>
  <c r="Q49" i="7"/>
  <c r="R49" i="7"/>
  <c r="B48" i="8"/>
  <c r="L48" i="8"/>
  <c r="Q48" i="15"/>
  <c r="R48" i="15"/>
  <c r="I47" i="8"/>
  <c r="L48" i="15"/>
  <c r="M48" i="15"/>
  <c r="M47" i="8"/>
  <c r="Q46" i="16"/>
  <c r="R46" i="16"/>
  <c r="J45" i="8"/>
  <c r="L46" i="16"/>
  <c r="M46" i="16"/>
  <c r="L43" i="13"/>
  <c r="M43" i="13"/>
  <c r="Q42" i="9"/>
  <c r="R42" i="9"/>
  <c r="C41" i="8"/>
  <c r="L42" i="9"/>
  <c r="M42" i="9"/>
  <c r="L40" i="14"/>
  <c r="M40" i="14"/>
  <c r="Q40" i="14"/>
  <c r="R40" i="14"/>
  <c r="H39" i="8"/>
  <c r="Q37" i="13"/>
  <c r="R37" i="13"/>
  <c r="G36" i="8"/>
  <c r="L37" i="13"/>
  <c r="M37" i="13"/>
  <c r="L36" i="16"/>
  <c r="M36" i="16"/>
  <c r="Q36" i="16"/>
  <c r="R36" i="16"/>
  <c r="J35" i="8"/>
  <c r="T35" i="8"/>
  <c r="L34" i="16"/>
  <c r="M34" i="16"/>
  <c r="Q34" i="16"/>
  <c r="R34" i="16"/>
  <c r="J33" i="8"/>
  <c r="Q31" i="7"/>
  <c r="R31" i="7"/>
  <c r="B30" i="8"/>
  <c r="L30" i="8"/>
  <c r="L31" i="7"/>
  <c r="M31" i="7"/>
  <c r="Q15" i="14"/>
  <c r="R15" i="14"/>
  <c r="H14" i="8"/>
  <c r="S14" i="8"/>
  <c r="L15" i="14"/>
  <c r="M15" i="14"/>
  <c r="Q11" i="9"/>
  <c r="R11" i="9"/>
  <c r="C10" i="8"/>
  <c r="M10" i="8"/>
  <c r="L11" i="9"/>
  <c r="M11" i="9"/>
  <c r="Q52" i="16"/>
  <c r="R52" i="16"/>
  <c r="J51" i="8"/>
  <c r="L52" i="16"/>
  <c r="M52" i="16"/>
  <c r="Q52" i="7"/>
  <c r="R52" i="7"/>
  <c r="B51" i="8"/>
  <c r="L51" i="8"/>
  <c r="L52" i="7"/>
  <c r="M52" i="7"/>
  <c r="Q47" i="14"/>
  <c r="R47" i="14"/>
  <c r="H46" i="8"/>
  <c r="L47" i="14"/>
  <c r="M47" i="14"/>
  <c r="Q46" i="7"/>
  <c r="R46" i="7"/>
  <c r="B45" i="8"/>
  <c r="L45" i="8"/>
  <c r="L46" i="7"/>
  <c r="M46" i="7"/>
  <c r="Q45" i="7"/>
  <c r="R45" i="7"/>
  <c r="B44" i="8"/>
  <c r="L44" i="8"/>
  <c r="L45" i="7"/>
  <c r="M45" i="7"/>
  <c r="Q37" i="16"/>
  <c r="R37" i="16"/>
  <c r="J36" i="8"/>
  <c r="L37" i="16"/>
  <c r="M37" i="16"/>
  <c r="L32" i="16"/>
  <c r="M32" i="16"/>
  <c r="Q27" i="7"/>
  <c r="R27" i="7"/>
  <c r="B26" i="8"/>
  <c r="L26" i="8"/>
  <c r="L27" i="7"/>
  <c r="M27" i="7"/>
  <c r="Q21" i="13"/>
  <c r="R21" i="13"/>
  <c r="G20" i="8"/>
  <c r="L21" i="13"/>
  <c r="M21" i="13"/>
  <c r="Q19" i="14"/>
  <c r="R19" i="14"/>
  <c r="H18" i="8"/>
  <c r="L19" i="14"/>
  <c r="M19" i="14"/>
  <c r="Q17" i="16"/>
  <c r="R17" i="16"/>
  <c r="J16" i="8"/>
  <c r="L17" i="16"/>
  <c r="M17" i="16"/>
  <c r="Q4" i="15"/>
  <c r="R4" i="15"/>
  <c r="I3" i="8"/>
  <c r="S3" i="8"/>
  <c r="T7" i="8"/>
  <c r="Q49" i="14"/>
  <c r="R49" i="14"/>
  <c r="H48" i="8"/>
  <c r="L49" i="14"/>
  <c r="M49" i="14"/>
  <c r="Q47" i="9"/>
  <c r="R47" i="9"/>
  <c r="C46" i="8"/>
  <c r="M46" i="8"/>
  <c r="L47" i="9"/>
  <c r="M47" i="9"/>
  <c r="Q44" i="9"/>
  <c r="R44" i="9"/>
  <c r="C43" i="8"/>
  <c r="Q43" i="14"/>
  <c r="R43" i="14"/>
  <c r="H42" i="8"/>
  <c r="L43" i="14"/>
  <c r="M43" i="14"/>
  <c r="L42" i="14"/>
  <c r="M42" i="14"/>
  <c r="Q42" i="14"/>
  <c r="R42" i="14"/>
  <c r="H41" i="8"/>
  <c r="Q40" i="15"/>
  <c r="R40" i="15"/>
  <c r="I39" i="8"/>
  <c r="L40" i="15"/>
  <c r="M40" i="15"/>
  <c r="Q38" i="16"/>
  <c r="R38" i="16"/>
  <c r="J37" i="8"/>
  <c r="Q38" i="13"/>
  <c r="R38" i="13"/>
  <c r="G37" i="8"/>
  <c r="L38" i="13"/>
  <c r="M38" i="13"/>
  <c r="Q35" i="13"/>
  <c r="R35" i="13"/>
  <c r="G34" i="8"/>
  <c r="L35" i="13"/>
  <c r="M35" i="13"/>
  <c r="Q35" i="9"/>
  <c r="R35" i="9"/>
  <c r="C34" i="8"/>
  <c r="L35" i="9"/>
  <c r="M35" i="9"/>
  <c r="Q34" i="13"/>
  <c r="R34" i="13"/>
  <c r="G33" i="8"/>
  <c r="L34" i="13"/>
  <c r="M34" i="13"/>
  <c r="Q30" i="16"/>
  <c r="R30" i="16"/>
  <c r="J29" i="8"/>
  <c r="L30" i="16"/>
  <c r="M30" i="16"/>
  <c r="Q24" i="9"/>
  <c r="R24" i="9"/>
  <c r="C23" i="8"/>
  <c r="L24" i="9"/>
  <c r="M24" i="9"/>
  <c r="Q23" i="7"/>
  <c r="R23" i="7"/>
  <c r="B22" i="8"/>
  <c r="L22" i="8"/>
  <c r="L23" i="7"/>
  <c r="M23" i="7"/>
  <c r="Q18" i="14"/>
  <c r="R18" i="14"/>
  <c r="H17" i="8"/>
  <c r="R17" i="8"/>
  <c r="L18" i="14"/>
  <c r="M18" i="14"/>
  <c r="Q16" i="15"/>
  <c r="R16" i="15"/>
  <c r="I15" i="8"/>
  <c r="S15" i="8"/>
  <c r="L16" i="15"/>
  <c r="M16" i="15"/>
  <c r="Q13" i="7"/>
  <c r="R13" i="7"/>
  <c r="B12" i="8"/>
  <c r="L12" i="8"/>
  <c r="L13" i="7"/>
  <c r="M13" i="7"/>
  <c r="Q11" i="15"/>
  <c r="R11" i="15"/>
  <c r="I10" i="8"/>
  <c r="S10" i="8"/>
  <c r="L11" i="15"/>
  <c r="M11" i="15"/>
  <c r="L53" i="15"/>
  <c r="M53" i="15"/>
  <c r="Q53" i="15"/>
  <c r="R53" i="15"/>
  <c r="I52" i="8"/>
  <c r="Q51" i="13"/>
  <c r="R51" i="13"/>
  <c r="G50" i="8"/>
  <c r="L51" i="13"/>
  <c r="M51" i="13"/>
  <c r="L50" i="9"/>
  <c r="M50" i="9"/>
  <c r="Q50" i="9"/>
  <c r="R50" i="9"/>
  <c r="C49" i="8"/>
  <c r="Q47" i="15"/>
  <c r="R47" i="15"/>
  <c r="I46" i="8"/>
  <c r="L47" i="15"/>
  <c r="M47" i="15"/>
  <c r="Q46" i="14"/>
  <c r="R46" i="14"/>
  <c r="H45" i="8"/>
  <c r="L46" i="14"/>
  <c r="M46" i="14"/>
  <c r="L45" i="15"/>
  <c r="M45" i="15"/>
  <c r="Q45" i="15"/>
  <c r="R45" i="15"/>
  <c r="I44" i="8"/>
  <c r="Q42" i="7"/>
  <c r="R42" i="7"/>
  <c r="B41" i="8"/>
  <c r="L41" i="8"/>
  <c r="L42" i="7"/>
  <c r="M42" i="7"/>
  <c r="L36" i="14"/>
  <c r="M36" i="14"/>
  <c r="Q36" i="14"/>
  <c r="R36" i="14"/>
  <c r="H35" i="8"/>
  <c r="R35" i="8"/>
  <c r="L32" i="7"/>
  <c r="M32" i="7"/>
  <c r="Q27" i="15"/>
  <c r="R27" i="15"/>
  <c r="I26" i="8"/>
  <c r="S26" i="8"/>
  <c r="L27" i="15"/>
  <c r="M27" i="15"/>
  <c r="Q20" i="7"/>
  <c r="R20" i="7"/>
  <c r="B19" i="8"/>
  <c r="L19" i="8"/>
  <c r="L20" i="7"/>
  <c r="M20" i="7"/>
  <c r="Q7" i="7"/>
  <c r="R7" i="7"/>
  <c r="B6" i="8"/>
  <c r="L6" i="8"/>
  <c r="L7" i="7"/>
  <c r="M7" i="7"/>
  <c r="L50" i="16"/>
  <c r="M50" i="16"/>
  <c r="Q50" i="16"/>
  <c r="R50" i="16"/>
  <c r="J49" i="8"/>
  <c r="Q51" i="16"/>
  <c r="R51" i="16"/>
  <c r="J50" i="8"/>
  <c r="T50" i="8"/>
  <c r="L51" i="16"/>
  <c r="M51" i="16"/>
  <c r="Q50" i="13"/>
  <c r="R50" i="13"/>
  <c r="G49" i="8"/>
  <c r="L50" i="13"/>
  <c r="M50" i="13"/>
  <c r="L44" i="16"/>
  <c r="M44" i="16"/>
  <c r="Q44" i="16"/>
  <c r="R44" i="16"/>
  <c r="J43" i="8"/>
  <c r="T43" i="8"/>
  <c r="Q44" i="13"/>
  <c r="R44" i="13"/>
  <c r="G43" i="8"/>
  <c r="Q43" i="8"/>
  <c r="L44" i="13"/>
  <c r="M44" i="13"/>
  <c r="Q43" i="15"/>
  <c r="R43" i="15"/>
  <c r="I42" i="8"/>
  <c r="L43" i="15"/>
  <c r="M43" i="15"/>
  <c r="Q41" i="13"/>
  <c r="R41" i="13"/>
  <c r="G40" i="8"/>
  <c r="L41" i="13"/>
  <c r="M41" i="13"/>
  <c r="Q40" i="16"/>
  <c r="R40" i="16"/>
  <c r="J39" i="8"/>
  <c r="L40" i="16"/>
  <c r="M40" i="16"/>
  <c r="Q40" i="9"/>
  <c r="R40" i="9"/>
  <c r="C39" i="8"/>
  <c r="L40" i="9"/>
  <c r="M40" i="9"/>
  <c r="Q39" i="9"/>
  <c r="R39" i="9"/>
  <c r="C38" i="8"/>
  <c r="L39" i="9"/>
  <c r="M39" i="9"/>
  <c r="Q38" i="7"/>
  <c r="R38" i="7"/>
  <c r="B37" i="8"/>
  <c r="L37" i="8"/>
  <c r="L38" i="7"/>
  <c r="M38" i="7"/>
  <c r="Q35" i="7"/>
  <c r="R35" i="7"/>
  <c r="B34" i="8"/>
  <c r="L34" i="8"/>
  <c r="L35" i="7"/>
  <c r="M35" i="7"/>
  <c r="Q34" i="14"/>
  <c r="R34" i="14"/>
  <c r="H33" i="8"/>
  <c r="L34" i="14"/>
  <c r="M34" i="14"/>
  <c r="Q24" i="14"/>
  <c r="R24" i="14"/>
  <c r="H23" i="8"/>
  <c r="L24" i="14"/>
  <c r="M24" i="14"/>
  <c r="Q16" i="16"/>
  <c r="R16" i="16"/>
  <c r="J15" i="8"/>
  <c r="L16" i="16"/>
  <c r="M16" i="16"/>
  <c r="Q5" i="13"/>
  <c r="R5" i="13"/>
  <c r="G4" i="8"/>
  <c r="L5" i="13"/>
  <c r="M5" i="13"/>
  <c r="T32" i="8"/>
  <c r="M17" i="8"/>
  <c r="L30" i="9"/>
  <c r="M30" i="9"/>
  <c r="L10" i="15"/>
  <c r="M10" i="15"/>
  <c r="L26" i="15"/>
  <c r="M26" i="15"/>
  <c r="L21" i="7"/>
  <c r="M21" i="7"/>
  <c r="L37" i="7"/>
  <c r="M37" i="7"/>
  <c r="L16" i="9"/>
  <c r="M16" i="9"/>
  <c r="L32" i="9"/>
  <c r="M32" i="9"/>
  <c r="L48" i="9"/>
  <c r="M48" i="9"/>
  <c r="L28" i="13"/>
  <c r="M28" i="13"/>
  <c r="L36" i="13"/>
  <c r="M36" i="13"/>
  <c r="L25" i="14"/>
  <c r="M25" i="14"/>
  <c r="L33" i="14"/>
  <c r="M33" i="14"/>
  <c r="L36" i="15"/>
  <c r="M36" i="15"/>
  <c r="Q53" i="9"/>
  <c r="R53" i="9"/>
  <c r="C52" i="8"/>
  <c r="Q49" i="13"/>
  <c r="R49" i="13"/>
  <c r="G48" i="8"/>
  <c r="Q48" i="14"/>
  <c r="R48" i="14"/>
  <c r="H47" i="8"/>
  <c r="Q41" i="15"/>
  <c r="R41" i="15"/>
  <c r="I40" i="8"/>
  <c r="Q29" i="13"/>
  <c r="R29" i="13"/>
  <c r="G28" i="8"/>
  <c r="L43" i="7"/>
  <c r="M43" i="7"/>
  <c r="L14" i="9"/>
  <c r="M14" i="9"/>
  <c r="L34" i="7"/>
  <c r="M34" i="7"/>
  <c r="L13" i="9"/>
  <c r="M13" i="9"/>
  <c r="L25" i="13"/>
  <c r="M25" i="13"/>
  <c r="L14" i="14"/>
  <c r="M14" i="14"/>
  <c r="L30" i="14"/>
  <c r="M30" i="14"/>
  <c r="L38" i="14"/>
  <c r="M38" i="14"/>
  <c r="L20" i="16"/>
  <c r="M20" i="16"/>
  <c r="L27" i="13"/>
  <c r="M27" i="13"/>
  <c r="L48" i="16"/>
  <c r="M48" i="16"/>
  <c r="Q29" i="14"/>
  <c r="R29" i="14"/>
  <c r="H28" i="8"/>
  <c r="L32" i="15"/>
  <c r="M32" i="15"/>
  <c r="Q40" i="7"/>
  <c r="R40" i="7"/>
  <c r="B39" i="8"/>
  <c r="L39" i="8"/>
  <c r="R10" i="8"/>
  <c r="Q26" i="16"/>
  <c r="R26" i="16"/>
  <c r="J25" i="8"/>
  <c r="L26" i="16"/>
  <c r="M26" i="16"/>
  <c r="L42" i="12"/>
  <c r="M42" i="12"/>
  <c r="L8" i="16"/>
  <c r="M8" i="16"/>
  <c r="R24" i="8"/>
  <c r="S13" i="8"/>
  <c r="L39" i="13"/>
  <c r="M39" i="13"/>
  <c r="L7" i="15"/>
  <c r="M7" i="15"/>
  <c r="L31" i="15"/>
  <c r="M31" i="15"/>
  <c r="L39" i="15"/>
  <c r="M39" i="15"/>
  <c r="L35" i="16"/>
  <c r="M35" i="16"/>
  <c r="Q3" i="7"/>
  <c r="R3" i="7"/>
  <c r="B2" i="8"/>
  <c r="L3" i="7"/>
  <c r="M3" i="7"/>
  <c r="L3" i="11"/>
  <c r="M3" i="11"/>
  <c r="Q3" i="11"/>
  <c r="R3" i="11"/>
  <c r="E2" i="8"/>
  <c r="Q3" i="16"/>
  <c r="R3" i="16"/>
  <c r="J2" i="8"/>
  <c r="L3" i="16"/>
  <c r="M3" i="16"/>
  <c r="L3" i="13"/>
  <c r="M3" i="13"/>
  <c r="Q3" i="13"/>
  <c r="R3" i="13"/>
  <c r="G2" i="8"/>
  <c r="Q3" i="9"/>
  <c r="R3" i="9"/>
  <c r="C2" i="8"/>
  <c r="L3" i="9"/>
  <c r="M3" i="9"/>
  <c r="Q3" i="14"/>
  <c r="R3" i="14"/>
  <c r="H2" i="8"/>
  <c r="L3" i="14"/>
  <c r="M3" i="14"/>
  <c r="Q3" i="12"/>
  <c r="R3" i="12"/>
  <c r="F2" i="8"/>
  <c r="L3" i="12"/>
  <c r="M3" i="12"/>
  <c r="L3" i="10"/>
  <c r="M3" i="10"/>
  <c r="Q3" i="10"/>
  <c r="R3" i="10"/>
  <c r="D2" i="8"/>
  <c r="Q3" i="15"/>
  <c r="R3" i="15"/>
  <c r="I2" i="8"/>
  <c r="L3" i="15"/>
  <c r="M3" i="15"/>
  <c r="Q5" i="7"/>
  <c r="R5" i="7"/>
  <c r="B4" i="8"/>
  <c r="L4" i="8"/>
  <c r="L19" i="7"/>
  <c r="M19" i="7"/>
  <c r="L17" i="7"/>
  <c r="M17" i="7"/>
  <c r="L43" i="11"/>
  <c r="M43" i="11"/>
  <c r="S21" i="8"/>
  <c r="L9" i="12"/>
  <c r="M9" i="12"/>
  <c r="S5" i="8"/>
  <c r="M49" i="8"/>
  <c r="L47" i="7"/>
  <c r="M47" i="7"/>
  <c r="L4" i="16"/>
  <c r="M4" i="16"/>
  <c r="T9" i="8"/>
  <c r="T4" i="8"/>
  <c r="M41" i="8"/>
  <c r="L36" i="9"/>
  <c r="M36" i="9"/>
  <c r="S12" i="8"/>
  <c r="L29" i="15"/>
  <c r="M29" i="15"/>
  <c r="L13" i="14"/>
  <c r="M13" i="14"/>
  <c r="Q41" i="12"/>
  <c r="R41" i="12"/>
  <c r="F40" i="8"/>
  <c r="Q38" i="15"/>
  <c r="R38" i="15"/>
  <c r="I37" i="8"/>
  <c r="S37" i="8"/>
  <c r="T18" i="8"/>
  <c r="L49" i="11"/>
  <c r="M49" i="11"/>
  <c r="P8" i="8"/>
  <c r="L45" i="14"/>
  <c r="M45" i="14"/>
  <c r="L51" i="9"/>
  <c r="M51" i="9"/>
  <c r="Q36" i="7"/>
  <c r="R36" i="7"/>
  <c r="B35" i="8"/>
  <c r="L35" i="8"/>
  <c r="R46" i="8"/>
  <c r="L45" i="11"/>
  <c r="M45" i="11"/>
  <c r="T25" i="8"/>
  <c r="P52" i="8"/>
  <c r="M51" i="8"/>
  <c r="R15" i="8"/>
  <c r="S22" i="8"/>
  <c r="L5" i="16"/>
  <c r="M5" i="16"/>
  <c r="L11" i="7"/>
  <c r="M11" i="7"/>
  <c r="R47" i="8"/>
  <c r="Q25" i="9"/>
  <c r="R25" i="9"/>
  <c r="C24" i="8"/>
  <c r="M24" i="8"/>
  <c r="Q17" i="9"/>
  <c r="R17" i="9"/>
  <c r="C16" i="8"/>
  <c r="M16" i="8"/>
  <c r="L6" i="9"/>
  <c r="M6" i="9"/>
  <c r="L53" i="11"/>
  <c r="M53" i="11"/>
  <c r="L47" i="11"/>
  <c r="M47" i="11"/>
  <c r="L33" i="11"/>
  <c r="M33" i="11"/>
  <c r="L31" i="11"/>
  <c r="M31" i="11"/>
  <c r="L17" i="11"/>
  <c r="M17" i="11"/>
  <c r="L15" i="11"/>
  <c r="M15" i="11"/>
  <c r="Q45" i="12"/>
  <c r="R45" i="12"/>
  <c r="F44" i="8"/>
  <c r="P44" i="8"/>
  <c r="L44" i="12"/>
  <c r="M44" i="12"/>
  <c r="R42" i="8"/>
  <c r="Q32" i="13"/>
  <c r="R32" i="13"/>
  <c r="G31" i="8"/>
  <c r="L31" i="13"/>
  <c r="M31" i="13"/>
  <c r="R23" i="8"/>
  <c r="R18" i="8"/>
  <c r="R5" i="8"/>
  <c r="L37" i="14"/>
  <c r="M37" i="14"/>
  <c r="Q37" i="14"/>
  <c r="R37" i="14"/>
  <c r="H36" i="8"/>
  <c r="S34" i="8"/>
  <c r="R30" i="8"/>
  <c r="Q9" i="14"/>
  <c r="R9" i="14"/>
  <c r="H8" i="8"/>
  <c r="R8" i="8"/>
  <c r="L7" i="14"/>
  <c r="M7" i="14"/>
  <c r="L6" i="14"/>
  <c r="M6" i="14"/>
  <c r="T51" i="8"/>
  <c r="S43" i="8"/>
  <c r="T29" i="8"/>
  <c r="Q18" i="15"/>
  <c r="R18" i="15"/>
  <c r="I17" i="8"/>
  <c r="S17" i="8"/>
  <c r="Q17" i="15"/>
  <c r="R17" i="15"/>
  <c r="I16" i="8"/>
  <c r="S16" i="8"/>
  <c r="L9" i="7"/>
  <c r="M9" i="7"/>
  <c r="Q6" i="7"/>
  <c r="R6" i="7"/>
  <c r="B5" i="8"/>
  <c r="L5" i="8"/>
  <c r="L6" i="7"/>
  <c r="M6" i="7"/>
  <c r="L7" i="12"/>
  <c r="M7" i="12"/>
  <c r="Q8" i="8"/>
  <c r="Q33" i="7"/>
  <c r="R33" i="7"/>
  <c r="B32" i="8"/>
  <c r="L32" i="8"/>
  <c r="L33" i="7"/>
  <c r="M33" i="7"/>
  <c r="M50" i="8"/>
  <c r="L29" i="11"/>
  <c r="M29" i="11"/>
  <c r="Q22" i="9"/>
  <c r="R22" i="9"/>
  <c r="C21" i="8"/>
  <c r="M21" i="8"/>
  <c r="Q41" i="8"/>
  <c r="L27" i="11"/>
  <c r="M27" i="11"/>
  <c r="Q23" i="13"/>
  <c r="R23" i="13"/>
  <c r="G22" i="8"/>
  <c r="R22" i="8"/>
  <c r="L8" i="7"/>
  <c r="M8" i="7"/>
  <c r="Q40" i="8"/>
  <c r="R45" i="8"/>
  <c r="Q26" i="14"/>
  <c r="R26" i="14"/>
  <c r="H25" i="8"/>
  <c r="R25" i="8"/>
  <c r="Q37" i="15"/>
  <c r="R37" i="15"/>
  <c r="I36" i="8"/>
  <c r="T36" i="8"/>
  <c r="L35" i="11"/>
  <c r="M35" i="11"/>
  <c r="M15" i="8"/>
  <c r="R44" i="8"/>
  <c r="L23" i="14"/>
  <c r="M23" i="14"/>
  <c r="Q6" i="16"/>
  <c r="R6" i="16"/>
  <c r="J5" i="8"/>
  <c r="T5" i="8"/>
  <c r="L6" i="16"/>
  <c r="M6" i="16"/>
  <c r="Q10" i="7"/>
  <c r="R10" i="7"/>
  <c r="B9" i="8"/>
  <c r="L9" i="8"/>
  <c r="L10" i="7"/>
  <c r="M10" i="7"/>
  <c r="T20" i="8"/>
  <c r="S50" i="8"/>
  <c r="L23" i="11"/>
  <c r="M23" i="11"/>
  <c r="Q14" i="13"/>
  <c r="R14" i="13"/>
  <c r="G13" i="8"/>
  <c r="R13" i="8"/>
  <c r="L14" i="13"/>
  <c r="M14" i="13"/>
  <c r="R39" i="8"/>
  <c r="T10" i="8"/>
  <c r="T22" i="8"/>
  <c r="Q34" i="15"/>
  <c r="R34" i="15"/>
  <c r="I33" i="8"/>
  <c r="L19" i="11"/>
  <c r="M19" i="11"/>
  <c r="L37" i="11"/>
  <c r="M37" i="11"/>
  <c r="L9" i="13"/>
  <c r="M9" i="13"/>
  <c r="M13" i="8"/>
  <c r="T39" i="8"/>
  <c r="L16" i="13"/>
  <c r="M16" i="13"/>
  <c r="S51" i="8"/>
  <c r="L5" i="11"/>
  <c r="M5" i="11"/>
  <c r="Q13" i="11"/>
  <c r="R13" i="11"/>
  <c r="E12" i="8"/>
  <c r="T12" i="8"/>
  <c r="T49" i="8"/>
  <c r="L25" i="11"/>
  <c r="M25" i="11"/>
  <c r="T28" i="8"/>
  <c r="Q14" i="10"/>
  <c r="R14" i="10"/>
  <c r="D13" i="8"/>
  <c r="N13" i="8"/>
  <c r="L14" i="10"/>
  <c r="M14" i="10"/>
  <c r="Q30" i="10"/>
  <c r="R30" i="10"/>
  <c r="D29" i="8"/>
  <c r="N29" i="8"/>
  <c r="L30" i="10"/>
  <c r="M30" i="10"/>
  <c r="Q46" i="10"/>
  <c r="R46" i="10"/>
  <c r="D45" i="8"/>
  <c r="N45" i="8"/>
  <c r="L46" i="10"/>
  <c r="M46" i="10"/>
  <c r="Q8" i="12"/>
  <c r="R8" i="12"/>
  <c r="F7" i="8"/>
  <c r="Q7" i="8"/>
  <c r="L8" i="12"/>
  <c r="M8" i="12"/>
  <c r="Q24" i="12"/>
  <c r="R24" i="12"/>
  <c r="F23" i="8"/>
  <c r="L24" i="12"/>
  <c r="M24" i="12"/>
  <c r="Q40" i="12"/>
  <c r="R40" i="12"/>
  <c r="F39" i="8"/>
  <c r="L40" i="12"/>
  <c r="M40" i="12"/>
  <c r="Q4" i="13"/>
  <c r="R4" i="13"/>
  <c r="G3" i="8"/>
  <c r="L4" i="13"/>
  <c r="M4" i="13"/>
  <c r="Q10" i="13"/>
  <c r="R10" i="13"/>
  <c r="G9" i="8"/>
  <c r="L10" i="13"/>
  <c r="M10" i="13"/>
  <c r="Q25" i="10"/>
  <c r="R25" i="10"/>
  <c r="D24" i="8"/>
  <c r="L25" i="10"/>
  <c r="M25" i="10"/>
  <c r="Q6" i="11"/>
  <c r="R6" i="11"/>
  <c r="E5" i="8"/>
  <c r="L6" i="11"/>
  <c r="M6" i="11"/>
  <c r="Q38" i="11"/>
  <c r="R38" i="11"/>
  <c r="E37" i="8"/>
  <c r="L38" i="11"/>
  <c r="M38" i="11"/>
  <c r="Q15" i="12"/>
  <c r="R15" i="12"/>
  <c r="F14" i="8"/>
  <c r="P14" i="8"/>
  <c r="L15" i="12"/>
  <c r="M15" i="12"/>
  <c r="Q31" i="12"/>
  <c r="R31" i="12"/>
  <c r="F30" i="8"/>
  <c r="L31" i="12"/>
  <c r="M31" i="12"/>
  <c r="Q47" i="12"/>
  <c r="R47" i="12"/>
  <c r="F46" i="8"/>
  <c r="L47" i="12"/>
  <c r="M47" i="12"/>
  <c r="Q17" i="13"/>
  <c r="R17" i="13"/>
  <c r="G16" i="8"/>
  <c r="L17" i="13"/>
  <c r="M17" i="13"/>
  <c r="Q22" i="16"/>
  <c r="R22" i="16"/>
  <c r="J21" i="8"/>
  <c r="T21" i="8"/>
  <c r="L22" i="16"/>
  <c r="M22" i="16"/>
  <c r="Q4" i="11"/>
  <c r="R4" i="11"/>
  <c r="E3" i="8"/>
  <c r="L4" i="11"/>
  <c r="M4" i="11"/>
  <c r="Q20" i="11"/>
  <c r="R20" i="11"/>
  <c r="E19" i="8"/>
  <c r="L20" i="11"/>
  <c r="M20" i="11"/>
  <c r="Q15" i="10"/>
  <c r="R15" i="10"/>
  <c r="D14" i="8"/>
  <c r="L15" i="10"/>
  <c r="M15" i="10"/>
  <c r="Q36" i="11"/>
  <c r="R36" i="11"/>
  <c r="E35" i="8"/>
  <c r="L36" i="11"/>
  <c r="M36" i="11"/>
  <c r="L14" i="16"/>
  <c r="M14" i="16"/>
  <c r="Q12" i="10"/>
  <c r="R12" i="10"/>
  <c r="D11" i="8"/>
  <c r="L12" i="10"/>
  <c r="M12" i="10"/>
  <c r="Q28" i="10"/>
  <c r="R28" i="10"/>
  <c r="D27" i="8"/>
  <c r="N27" i="8"/>
  <c r="L28" i="10"/>
  <c r="M28" i="10"/>
  <c r="Q44" i="10"/>
  <c r="R44" i="10"/>
  <c r="D43" i="8"/>
  <c r="L44" i="10"/>
  <c r="M44" i="10"/>
  <c r="Q41" i="11"/>
  <c r="R41" i="11"/>
  <c r="E40" i="8"/>
  <c r="L41" i="11"/>
  <c r="M41" i="11"/>
  <c r="Q6" i="12"/>
  <c r="R6" i="12"/>
  <c r="F5" i="8"/>
  <c r="L6" i="12"/>
  <c r="M6" i="12"/>
  <c r="Q22" i="12"/>
  <c r="R22" i="12"/>
  <c r="F21" i="8"/>
  <c r="L22" i="12"/>
  <c r="M22" i="12"/>
  <c r="Q38" i="12"/>
  <c r="R38" i="12"/>
  <c r="F37" i="8"/>
  <c r="L38" i="12"/>
  <c r="M38" i="12"/>
  <c r="Q19" i="10"/>
  <c r="R19" i="10"/>
  <c r="D18" i="8"/>
  <c r="L19" i="10"/>
  <c r="M19" i="10"/>
  <c r="Q51" i="10"/>
  <c r="R51" i="10"/>
  <c r="D50" i="8"/>
  <c r="L51" i="10"/>
  <c r="M51" i="10"/>
  <c r="Q32" i="11"/>
  <c r="R32" i="11"/>
  <c r="E31" i="8"/>
  <c r="L32" i="11"/>
  <c r="M32" i="11"/>
  <c r="Q13" i="12"/>
  <c r="R13" i="12"/>
  <c r="F12" i="8"/>
  <c r="L13" i="12"/>
  <c r="M13" i="12"/>
  <c r="Q29" i="12"/>
  <c r="R29" i="12"/>
  <c r="F28" i="8"/>
  <c r="P28" i="8"/>
  <c r="L29" i="12"/>
  <c r="M29" i="12"/>
  <c r="Q33" i="13"/>
  <c r="R33" i="13"/>
  <c r="G32" i="8"/>
  <c r="L33" i="13"/>
  <c r="M33" i="13"/>
  <c r="L28" i="7"/>
  <c r="M28" i="7"/>
  <c r="Q28" i="7"/>
  <c r="R28" i="7"/>
  <c r="B27" i="8"/>
  <c r="L27" i="8"/>
  <c r="L25" i="16"/>
  <c r="M25" i="16"/>
  <c r="Q25" i="16"/>
  <c r="R25" i="16"/>
  <c r="J24" i="8"/>
  <c r="Q21" i="10"/>
  <c r="R21" i="10"/>
  <c r="D20" i="8"/>
  <c r="L21" i="10"/>
  <c r="M21" i="10"/>
  <c r="Q21" i="9"/>
  <c r="R21" i="9"/>
  <c r="C20" i="8"/>
  <c r="M20" i="8"/>
  <c r="L21" i="9"/>
  <c r="M21" i="9"/>
  <c r="Q47" i="10"/>
  <c r="R47" i="10"/>
  <c r="D46" i="8"/>
  <c r="L47" i="10"/>
  <c r="M47" i="10"/>
  <c r="Q29" i="10"/>
  <c r="R29" i="10"/>
  <c r="D28" i="8"/>
  <c r="L29" i="10"/>
  <c r="M29" i="10"/>
  <c r="Q45" i="10"/>
  <c r="R45" i="10"/>
  <c r="D44" i="8"/>
  <c r="L45" i="10"/>
  <c r="M45" i="10"/>
  <c r="Q10" i="10"/>
  <c r="R10" i="10"/>
  <c r="D9" i="8"/>
  <c r="L10" i="10"/>
  <c r="M10" i="10"/>
  <c r="Q26" i="10"/>
  <c r="R26" i="10"/>
  <c r="D25" i="8"/>
  <c r="N25" i="8"/>
  <c r="L26" i="10"/>
  <c r="M26" i="10"/>
  <c r="Q42" i="10"/>
  <c r="R42" i="10"/>
  <c r="D41" i="8"/>
  <c r="N41" i="8"/>
  <c r="L42" i="10"/>
  <c r="M42" i="10"/>
  <c r="Q7" i="11"/>
  <c r="R7" i="11"/>
  <c r="E6" i="8"/>
  <c r="L7" i="11"/>
  <c r="M7" i="11"/>
  <c r="Q4" i="12"/>
  <c r="R4" i="12"/>
  <c r="F3" i="8"/>
  <c r="L4" i="12"/>
  <c r="M4" i="12"/>
  <c r="Q20" i="12"/>
  <c r="R20" i="12"/>
  <c r="F19" i="8"/>
  <c r="L20" i="12"/>
  <c r="M20" i="12"/>
  <c r="Q36" i="12"/>
  <c r="R36" i="12"/>
  <c r="F35" i="8"/>
  <c r="L36" i="12"/>
  <c r="M36" i="12"/>
  <c r="Q5" i="9"/>
  <c r="R5" i="9"/>
  <c r="C4" i="8"/>
  <c r="M4" i="8"/>
  <c r="L5" i="9"/>
  <c r="M5" i="9"/>
  <c r="Q17" i="10"/>
  <c r="R17" i="10"/>
  <c r="D16" i="8"/>
  <c r="L17" i="10"/>
  <c r="M17" i="10"/>
  <c r="Q49" i="10"/>
  <c r="R49" i="10"/>
  <c r="D48" i="8"/>
  <c r="O48" i="8"/>
  <c r="L49" i="10"/>
  <c r="M49" i="10"/>
  <c r="Q30" i="11"/>
  <c r="R30" i="11"/>
  <c r="E29" i="8"/>
  <c r="O29" i="8"/>
  <c r="L30" i="11"/>
  <c r="M30" i="11"/>
  <c r="Q11" i="12"/>
  <c r="R11" i="12"/>
  <c r="F10" i="8"/>
  <c r="L11" i="12"/>
  <c r="M11" i="12"/>
  <c r="Q27" i="12"/>
  <c r="R27" i="12"/>
  <c r="F26" i="8"/>
  <c r="L27" i="12"/>
  <c r="M27" i="12"/>
  <c r="Q43" i="12"/>
  <c r="R43" i="12"/>
  <c r="F42" i="8"/>
  <c r="P42" i="8"/>
  <c r="L43" i="12"/>
  <c r="M43" i="12"/>
  <c r="Q28" i="11"/>
  <c r="R28" i="11"/>
  <c r="E27" i="8"/>
  <c r="L28" i="11"/>
  <c r="M28" i="11"/>
  <c r="Q52" i="11"/>
  <c r="R52" i="11"/>
  <c r="E51" i="8"/>
  <c r="L52" i="11"/>
  <c r="M52" i="11"/>
  <c r="Q37" i="10"/>
  <c r="R37" i="10"/>
  <c r="D36" i="8"/>
  <c r="O36" i="8"/>
  <c r="L37" i="10"/>
  <c r="M37" i="10"/>
  <c r="Q42" i="11"/>
  <c r="R42" i="11"/>
  <c r="E41" i="8"/>
  <c r="L42" i="11"/>
  <c r="M42" i="11"/>
  <c r="Q5" i="10"/>
  <c r="R5" i="10"/>
  <c r="D4" i="8"/>
  <c r="L5" i="10"/>
  <c r="M5" i="10"/>
  <c r="Q20" i="9"/>
  <c r="R20" i="9"/>
  <c r="C19" i="8"/>
  <c r="L20" i="9"/>
  <c r="M20" i="9"/>
  <c r="M31" i="8"/>
  <c r="Q8" i="10"/>
  <c r="R8" i="10"/>
  <c r="D7" i="8"/>
  <c r="L8" i="10"/>
  <c r="M8" i="10"/>
  <c r="Q24" i="10"/>
  <c r="R24" i="10"/>
  <c r="D23" i="8"/>
  <c r="L24" i="10"/>
  <c r="M24" i="10"/>
  <c r="Q40" i="10"/>
  <c r="R40" i="10"/>
  <c r="D39" i="8"/>
  <c r="N39" i="8"/>
  <c r="L40" i="10"/>
  <c r="M40" i="10"/>
  <c r="Q21" i="11"/>
  <c r="R21" i="11"/>
  <c r="E20" i="8"/>
  <c r="L21" i="11"/>
  <c r="M21" i="11"/>
  <c r="Q18" i="12"/>
  <c r="R18" i="12"/>
  <c r="F17" i="8"/>
  <c r="L18" i="12"/>
  <c r="M18" i="12"/>
  <c r="Q34" i="12"/>
  <c r="R34" i="12"/>
  <c r="F33" i="8"/>
  <c r="Q33" i="8"/>
  <c r="L34" i="12"/>
  <c r="M34" i="12"/>
  <c r="Q12" i="16"/>
  <c r="R12" i="16"/>
  <c r="J11" i="8"/>
  <c r="T11" i="8"/>
  <c r="L12" i="16"/>
  <c r="M12" i="16"/>
  <c r="Q8" i="9"/>
  <c r="R8" i="9"/>
  <c r="C7" i="8"/>
  <c r="M7" i="8"/>
  <c r="L8" i="9"/>
  <c r="M8" i="9"/>
  <c r="Q11" i="10"/>
  <c r="R11" i="10"/>
  <c r="D10" i="8"/>
  <c r="L11" i="10"/>
  <c r="M11" i="10"/>
  <c r="Q43" i="10"/>
  <c r="R43" i="10"/>
  <c r="D42" i="8"/>
  <c r="L43" i="10"/>
  <c r="M43" i="10"/>
  <c r="Q24" i="11"/>
  <c r="R24" i="11"/>
  <c r="E23" i="8"/>
  <c r="L24" i="11"/>
  <c r="M24" i="11"/>
  <c r="Q5" i="12"/>
  <c r="R5" i="12"/>
  <c r="F4" i="8"/>
  <c r="P4" i="8"/>
  <c r="L5" i="12"/>
  <c r="M5" i="12"/>
  <c r="Q25" i="12"/>
  <c r="R25" i="12"/>
  <c r="F24" i="8"/>
  <c r="L25" i="12"/>
  <c r="M25" i="12"/>
  <c r="Q18" i="16"/>
  <c r="R18" i="16"/>
  <c r="J17" i="8"/>
  <c r="L18" i="16"/>
  <c r="M18" i="16"/>
  <c r="Q10" i="11"/>
  <c r="R10" i="11"/>
  <c r="E9" i="8"/>
  <c r="L10" i="11"/>
  <c r="M10" i="11"/>
  <c r="Q31" i="10"/>
  <c r="R31" i="10"/>
  <c r="D30" i="8"/>
  <c r="L31" i="10"/>
  <c r="M31" i="10"/>
  <c r="Q6" i="10"/>
  <c r="R6" i="10"/>
  <c r="D5" i="8"/>
  <c r="N5" i="8"/>
  <c r="L6" i="10"/>
  <c r="M6" i="10"/>
  <c r="Q22" i="10"/>
  <c r="R22" i="10"/>
  <c r="D21" i="8"/>
  <c r="N21" i="8"/>
  <c r="L22" i="10"/>
  <c r="M22" i="10"/>
  <c r="Q38" i="10"/>
  <c r="R38" i="10"/>
  <c r="D37" i="8"/>
  <c r="N37" i="8"/>
  <c r="L38" i="10"/>
  <c r="M38" i="10"/>
  <c r="Q51" i="11"/>
  <c r="R51" i="11"/>
  <c r="E50" i="8"/>
  <c r="O50" i="8"/>
  <c r="L51" i="11"/>
  <c r="M51" i="11"/>
  <c r="Q16" i="12"/>
  <c r="R16" i="12"/>
  <c r="F15" i="8"/>
  <c r="L16" i="12"/>
  <c r="M16" i="12"/>
  <c r="Q32" i="12"/>
  <c r="R32" i="12"/>
  <c r="F31" i="8"/>
  <c r="L32" i="12"/>
  <c r="M32" i="12"/>
  <c r="Q48" i="12"/>
  <c r="R48" i="12"/>
  <c r="F47" i="8"/>
  <c r="L48" i="12"/>
  <c r="M48" i="12"/>
  <c r="Q12" i="14"/>
  <c r="R12" i="14"/>
  <c r="H11" i="8"/>
  <c r="L12" i="14"/>
  <c r="M12" i="14"/>
  <c r="Q29" i="9"/>
  <c r="R29" i="9"/>
  <c r="C28" i="8"/>
  <c r="L29" i="9"/>
  <c r="M29" i="9"/>
  <c r="Q9" i="10"/>
  <c r="R9" i="10"/>
  <c r="D8" i="8"/>
  <c r="L9" i="10"/>
  <c r="M9" i="10"/>
  <c r="Q41" i="10"/>
  <c r="R41" i="10"/>
  <c r="D40" i="8"/>
  <c r="N40" i="8"/>
  <c r="L41" i="10"/>
  <c r="M41" i="10"/>
  <c r="Q22" i="11"/>
  <c r="R22" i="11"/>
  <c r="E21" i="8"/>
  <c r="L22" i="11"/>
  <c r="M22" i="11"/>
  <c r="Q23" i="12"/>
  <c r="R23" i="12"/>
  <c r="F22" i="8"/>
  <c r="P22" i="8"/>
  <c r="L23" i="12"/>
  <c r="M23" i="12"/>
  <c r="Q39" i="12"/>
  <c r="R39" i="12"/>
  <c r="F38" i="8"/>
  <c r="L39" i="12"/>
  <c r="M39" i="12"/>
  <c r="Q39" i="10"/>
  <c r="R39" i="10"/>
  <c r="D38" i="8"/>
  <c r="O38" i="8"/>
  <c r="L39" i="10"/>
  <c r="M39" i="10"/>
  <c r="Q7" i="10"/>
  <c r="R7" i="10"/>
  <c r="D6" i="8"/>
  <c r="L7" i="10"/>
  <c r="M7" i="10"/>
  <c r="Q12" i="11"/>
  <c r="R12" i="11"/>
  <c r="E11" i="8"/>
  <c r="L12" i="11"/>
  <c r="M12" i="11"/>
  <c r="R33" i="8"/>
  <c r="Q39" i="8"/>
  <c r="Q4" i="10"/>
  <c r="R4" i="10"/>
  <c r="D3" i="8"/>
  <c r="N3" i="8"/>
  <c r="L4" i="10"/>
  <c r="M4" i="10"/>
  <c r="Q20" i="10"/>
  <c r="R20" i="10"/>
  <c r="D19" i="8"/>
  <c r="L20" i="10"/>
  <c r="M20" i="10"/>
  <c r="Q36" i="10"/>
  <c r="R36" i="10"/>
  <c r="D35" i="8"/>
  <c r="N35" i="8"/>
  <c r="L36" i="10"/>
  <c r="M36" i="10"/>
  <c r="Q52" i="10"/>
  <c r="R52" i="10"/>
  <c r="D51" i="8"/>
  <c r="N51" i="8"/>
  <c r="L52" i="10"/>
  <c r="M52" i="10"/>
  <c r="Q14" i="12"/>
  <c r="R14" i="12"/>
  <c r="F13" i="8"/>
  <c r="L14" i="12"/>
  <c r="M14" i="12"/>
  <c r="Q30" i="12"/>
  <c r="R30" i="12"/>
  <c r="F29" i="8"/>
  <c r="Q29" i="8"/>
  <c r="L30" i="12"/>
  <c r="M30" i="12"/>
  <c r="Q46" i="12"/>
  <c r="R46" i="12"/>
  <c r="F45" i="8"/>
  <c r="Q45" i="8"/>
  <c r="L46" i="12"/>
  <c r="M46" i="12"/>
  <c r="Q7" i="13"/>
  <c r="R7" i="13"/>
  <c r="G6" i="8"/>
  <c r="L7" i="13"/>
  <c r="M7" i="13"/>
  <c r="Q35" i="10"/>
  <c r="R35" i="10"/>
  <c r="D34" i="8"/>
  <c r="L35" i="10"/>
  <c r="M35" i="10"/>
  <c r="Q16" i="11"/>
  <c r="R16" i="11"/>
  <c r="E15" i="8"/>
  <c r="L16" i="11"/>
  <c r="M16" i="11"/>
  <c r="Q48" i="11"/>
  <c r="R48" i="11"/>
  <c r="E47" i="8"/>
  <c r="L48" i="11"/>
  <c r="M48" i="11"/>
  <c r="Q21" i="12"/>
  <c r="R21" i="12"/>
  <c r="F20" i="8"/>
  <c r="L21" i="12"/>
  <c r="M21" i="12"/>
  <c r="Q37" i="12"/>
  <c r="R37" i="12"/>
  <c r="F36" i="8"/>
  <c r="P36" i="8"/>
  <c r="L37" i="12"/>
  <c r="M37" i="12"/>
  <c r="Q10" i="9"/>
  <c r="R10" i="9"/>
  <c r="C9" i="8"/>
  <c r="M9" i="8"/>
  <c r="L10" i="9"/>
  <c r="M10" i="9"/>
  <c r="Q9" i="15"/>
  <c r="R9" i="15"/>
  <c r="I8" i="8"/>
  <c r="S8" i="8"/>
  <c r="L9" i="15"/>
  <c r="M9" i="15"/>
  <c r="Q53" i="10"/>
  <c r="R53" i="10"/>
  <c r="D52" i="8"/>
  <c r="O52" i="8"/>
  <c r="L53" i="10"/>
  <c r="M53" i="10"/>
  <c r="Q23" i="10"/>
  <c r="R23" i="10"/>
  <c r="D22" i="8"/>
  <c r="L23" i="10"/>
  <c r="M23" i="10"/>
  <c r="Q44" i="11"/>
  <c r="R44" i="11"/>
  <c r="E43" i="8"/>
  <c r="L44" i="11"/>
  <c r="M44" i="11"/>
  <c r="Q26" i="11"/>
  <c r="R26" i="11"/>
  <c r="E25" i="8"/>
  <c r="L26" i="11"/>
  <c r="M26" i="11"/>
  <c r="T48" i="8"/>
  <c r="Q52" i="12"/>
  <c r="R52" i="12"/>
  <c r="F51" i="8"/>
  <c r="Q18" i="10"/>
  <c r="R18" i="10"/>
  <c r="D17" i="8"/>
  <c r="N17" i="8"/>
  <c r="L18" i="10"/>
  <c r="M18" i="10"/>
  <c r="Q34" i="10"/>
  <c r="R34" i="10"/>
  <c r="D33" i="8"/>
  <c r="N33" i="8"/>
  <c r="L34" i="10"/>
  <c r="M34" i="10"/>
  <c r="Q50" i="10"/>
  <c r="R50" i="10"/>
  <c r="D49" i="8"/>
  <c r="N49" i="8"/>
  <c r="L50" i="10"/>
  <c r="M50" i="10"/>
  <c r="Q12" i="12"/>
  <c r="R12" i="12"/>
  <c r="F11" i="8"/>
  <c r="L12" i="12"/>
  <c r="M12" i="12"/>
  <c r="Q28" i="12"/>
  <c r="R28" i="12"/>
  <c r="F27" i="8"/>
  <c r="L28" i="12"/>
  <c r="M28" i="12"/>
  <c r="Q13" i="13"/>
  <c r="R13" i="13"/>
  <c r="G12" i="8"/>
  <c r="AF51" i="8"/>
  <c r="L13" i="13"/>
  <c r="M13" i="13"/>
  <c r="Q19" i="9"/>
  <c r="R19" i="9"/>
  <c r="C18" i="8"/>
  <c r="M18" i="8"/>
  <c r="L19" i="9"/>
  <c r="M19" i="9"/>
  <c r="Q33" i="10"/>
  <c r="R33" i="10"/>
  <c r="D32" i="8"/>
  <c r="L33" i="10"/>
  <c r="M33" i="10"/>
  <c r="Q14" i="11"/>
  <c r="R14" i="11"/>
  <c r="E13" i="8"/>
  <c r="O13" i="8"/>
  <c r="L14" i="11"/>
  <c r="M14" i="11"/>
  <c r="Q46" i="11"/>
  <c r="R46" i="11"/>
  <c r="E45" i="8"/>
  <c r="O45" i="8"/>
  <c r="L46" i="11"/>
  <c r="M46" i="11"/>
  <c r="Q19" i="12"/>
  <c r="R19" i="12"/>
  <c r="F18" i="8"/>
  <c r="P18" i="8"/>
  <c r="L19" i="12"/>
  <c r="M19" i="12"/>
  <c r="Q35" i="12"/>
  <c r="R35" i="12"/>
  <c r="F34" i="8"/>
  <c r="P34" i="8"/>
  <c r="L35" i="12"/>
  <c r="M35" i="12"/>
  <c r="Q51" i="12"/>
  <c r="R51" i="12"/>
  <c r="F50" i="8"/>
  <c r="L51" i="12"/>
  <c r="M51" i="12"/>
  <c r="Q24" i="7"/>
  <c r="R24" i="7"/>
  <c r="B23" i="8"/>
  <c r="L23" i="8"/>
  <c r="L24" i="7"/>
  <c r="M24" i="7"/>
  <c r="Q50" i="11"/>
  <c r="R50" i="11"/>
  <c r="E49" i="8"/>
  <c r="O49" i="8"/>
  <c r="L50" i="11"/>
  <c r="M50" i="11"/>
  <c r="Q18" i="11"/>
  <c r="R18" i="11"/>
  <c r="E17" i="8"/>
  <c r="L18" i="11"/>
  <c r="M18" i="11"/>
  <c r="Q34" i="11"/>
  <c r="R34" i="11"/>
  <c r="E33" i="8"/>
  <c r="L34" i="11"/>
  <c r="M34" i="11"/>
  <c r="M38" i="8"/>
  <c r="Q47" i="8"/>
  <c r="L11" i="11"/>
  <c r="M11" i="11"/>
  <c r="L9" i="11"/>
  <c r="M9" i="11"/>
  <c r="Q50" i="12"/>
  <c r="R50" i="12"/>
  <c r="F49" i="8"/>
  <c r="Q16" i="10"/>
  <c r="R16" i="10"/>
  <c r="D15" i="8"/>
  <c r="N15" i="8"/>
  <c r="L16" i="10"/>
  <c r="M16" i="10"/>
  <c r="Q32" i="10"/>
  <c r="R32" i="10"/>
  <c r="D31" i="8"/>
  <c r="N31" i="8"/>
  <c r="L32" i="10"/>
  <c r="M32" i="10"/>
  <c r="Q48" i="10"/>
  <c r="R48" i="10"/>
  <c r="D47" i="8"/>
  <c r="N47" i="8"/>
  <c r="L48" i="10"/>
  <c r="M48" i="10"/>
  <c r="Q10" i="12"/>
  <c r="R10" i="12"/>
  <c r="F9" i="8"/>
  <c r="L10" i="12"/>
  <c r="M10" i="12"/>
  <c r="Q26" i="12"/>
  <c r="R26" i="12"/>
  <c r="F25" i="8"/>
  <c r="Q25" i="8"/>
  <c r="L26" i="12"/>
  <c r="M26" i="12"/>
  <c r="Q12" i="9"/>
  <c r="R12" i="9"/>
  <c r="C11" i="8"/>
  <c r="M11" i="8"/>
  <c r="L12" i="9"/>
  <c r="M12" i="9"/>
  <c r="Q27" i="10"/>
  <c r="R27" i="10"/>
  <c r="D26" i="8"/>
  <c r="O26" i="8"/>
  <c r="L27" i="10"/>
  <c r="M27" i="10"/>
  <c r="Q8" i="11"/>
  <c r="R8" i="11"/>
  <c r="E7" i="8"/>
  <c r="O7" i="8"/>
  <c r="L8" i="11"/>
  <c r="M8" i="11"/>
  <c r="Q40" i="11"/>
  <c r="R40" i="11"/>
  <c r="E39" i="8"/>
  <c r="O39" i="8"/>
  <c r="L40" i="11"/>
  <c r="M40" i="11"/>
  <c r="Q17" i="12"/>
  <c r="R17" i="12"/>
  <c r="F16" i="8"/>
  <c r="P16" i="8"/>
  <c r="L17" i="12"/>
  <c r="M17" i="12"/>
  <c r="Q33" i="12"/>
  <c r="R33" i="12"/>
  <c r="F32" i="8"/>
  <c r="P32" i="8"/>
  <c r="L33" i="12"/>
  <c r="M33" i="12"/>
  <c r="Q49" i="12"/>
  <c r="R49" i="12"/>
  <c r="F48" i="8"/>
  <c r="P48" i="8"/>
  <c r="L49" i="12"/>
  <c r="M49" i="12"/>
  <c r="Q4" i="7"/>
  <c r="R4" i="7"/>
  <c r="B3" i="8"/>
  <c r="L3" i="8"/>
  <c r="L4" i="7"/>
  <c r="M4" i="7"/>
  <c r="Q29" i="7"/>
  <c r="R29" i="7"/>
  <c r="B28" i="8"/>
  <c r="L28" i="8"/>
  <c r="L29" i="7"/>
  <c r="M29" i="7"/>
  <c r="Q25" i="15"/>
  <c r="R25" i="15"/>
  <c r="I24" i="8"/>
  <c r="S24" i="8"/>
  <c r="L25" i="15"/>
  <c r="M25" i="15"/>
  <c r="Q7" i="9"/>
  <c r="R7" i="9"/>
  <c r="C6" i="8"/>
  <c r="L7" i="9"/>
  <c r="M7" i="9"/>
  <c r="Q23" i="9"/>
  <c r="R23" i="9"/>
  <c r="C22" i="8"/>
  <c r="M22" i="8"/>
  <c r="L23" i="9"/>
  <c r="M23" i="9"/>
  <c r="Q13" i="10"/>
  <c r="R13" i="10"/>
  <c r="D12" i="8"/>
  <c r="AC23" i="8"/>
  <c r="L13" i="10"/>
  <c r="M13" i="10"/>
  <c r="Q28" i="8"/>
  <c r="Q42" i="8"/>
  <c r="R52" i="8"/>
  <c r="Q23" i="8"/>
  <c r="L39" i="11"/>
  <c r="M39" i="11"/>
  <c r="T13" i="8"/>
  <c r="P41" i="8"/>
  <c r="T33" i="8"/>
  <c r="T19" i="8"/>
  <c r="T15" i="8"/>
  <c r="T34" i="8"/>
  <c r="T44" i="8"/>
  <c r="S38" i="8"/>
  <c r="R7" i="8"/>
  <c r="R16" i="8"/>
  <c r="S39" i="8"/>
  <c r="S49" i="8"/>
  <c r="S40" i="8"/>
  <c r="S18" i="8"/>
  <c r="S46" i="8"/>
  <c r="S27" i="8"/>
  <c r="S45" i="8"/>
  <c r="S2" i="8"/>
  <c r="R28" i="8"/>
  <c r="R14" i="8"/>
  <c r="R41" i="8"/>
  <c r="Q44" i="8"/>
  <c r="M36" i="8"/>
  <c r="N43" i="8"/>
  <c r="M43" i="8"/>
  <c r="N48" i="8"/>
  <c r="M48" i="8"/>
  <c r="R48" i="8"/>
  <c r="M12" i="8"/>
  <c r="S42" i="8"/>
  <c r="S41" i="8"/>
  <c r="T26" i="8"/>
  <c r="R34" i="8"/>
  <c r="M30" i="8"/>
  <c r="T46" i="8"/>
  <c r="R50" i="8"/>
  <c r="M52" i="8"/>
  <c r="N52" i="8"/>
  <c r="N23" i="8"/>
  <c r="S28" i="8"/>
  <c r="M26" i="8"/>
  <c r="S47" i="8"/>
  <c r="R4" i="8"/>
  <c r="R40" i="8"/>
  <c r="R51" i="8"/>
  <c r="R49" i="8"/>
  <c r="T42" i="8"/>
  <c r="R20" i="8"/>
  <c r="M37" i="8"/>
  <c r="M44" i="8"/>
  <c r="R37" i="8"/>
  <c r="S52" i="8"/>
  <c r="M34" i="8"/>
  <c r="S23" i="8"/>
  <c r="R43" i="8"/>
  <c r="T52" i="8"/>
  <c r="M39" i="8"/>
  <c r="R2" i="8"/>
  <c r="S4" i="8"/>
  <c r="T47" i="8"/>
  <c r="T45" i="8"/>
  <c r="S33" i="8"/>
  <c r="S35" i="8"/>
  <c r="T40" i="8"/>
  <c r="S20" i="8"/>
  <c r="S48" i="8"/>
  <c r="N50" i="8"/>
  <c r="T3" i="8"/>
  <c r="S44" i="8"/>
  <c r="M35" i="8"/>
  <c r="M45" i="8"/>
  <c r="R31" i="8"/>
  <c r="T41" i="8"/>
  <c r="AA7" i="8"/>
  <c r="L2" i="8"/>
  <c r="M2" i="8"/>
  <c r="O2" i="8"/>
  <c r="AD24" i="8"/>
  <c r="P2" i="8"/>
  <c r="N2" i="8"/>
  <c r="AF19" i="8"/>
  <c r="AF27" i="8"/>
  <c r="AF9" i="8"/>
  <c r="AF17" i="8"/>
  <c r="AF52" i="8"/>
  <c r="AF7" i="8"/>
  <c r="Q2" i="8"/>
  <c r="AF3" i="8"/>
  <c r="AF16" i="8"/>
  <c r="AF24" i="8"/>
  <c r="T2" i="8"/>
  <c r="M23" i="8"/>
  <c r="AA51" i="8"/>
  <c r="AA34" i="8"/>
  <c r="AD52" i="8"/>
  <c r="AF15" i="8"/>
  <c r="AF35" i="8"/>
  <c r="AF40" i="8"/>
  <c r="AF13" i="8"/>
  <c r="AF33" i="8"/>
  <c r="AF6" i="8"/>
  <c r="AF48" i="8"/>
  <c r="AF21" i="8"/>
  <c r="AF10" i="8"/>
  <c r="AF49" i="8"/>
  <c r="AF14" i="8"/>
  <c r="AA42" i="8"/>
  <c r="AD7" i="8"/>
  <c r="AF47" i="8"/>
  <c r="AE31" i="8"/>
  <c r="AF29" i="8"/>
  <c r="AF18" i="8"/>
  <c r="AF28" i="8"/>
  <c r="AF30" i="8"/>
  <c r="AB42" i="8"/>
  <c r="T37" i="8"/>
  <c r="AF5" i="8"/>
  <c r="AF37" i="8"/>
  <c r="AF38" i="8"/>
  <c r="AE52" i="8"/>
  <c r="AF32" i="8"/>
  <c r="AF25" i="8"/>
  <c r="AF26" i="8"/>
  <c r="AF36" i="8"/>
  <c r="AC6" i="8"/>
  <c r="AF8" i="8"/>
  <c r="AF34" i="8"/>
  <c r="AF44" i="8"/>
  <c r="AF46" i="8"/>
  <c r="AF11" i="8"/>
  <c r="AC14" i="8"/>
  <c r="AD15" i="8"/>
  <c r="AB45" i="8"/>
  <c r="AA14" i="8"/>
  <c r="AD18" i="8"/>
  <c r="AA29" i="8"/>
  <c r="AC4" i="8"/>
  <c r="AB41" i="8"/>
  <c r="AF39" i="8"/>
  <c r="AF41" i="8"/>
  <c r="AF22" i="8"/>
  <c r="AC39" i="8"/>
  <c r="AB49" i="8"/>
  <c r="AC47" i="8"/>
  <c r="AE7" i="8"/>
  <c r="AA43" i="8"/>
  <c r="AB34" i="8"/>
  <c r="P9" i="8"/>
  <c r="AC9" i="8"/>
  <c r="AE42" i="8"/>
  <c r="AA49" i="8"/>
  <c r="AA37" i="8"/>
  <c r="P20" i="8"/>
  <c r="AE50" i="8"/>
  <c r="AB4" i="8"/>
  <c r="AA24" i="8"/>
  <c r="AA28" i="8"/>
  <c r="O27" i="8"/>
  <c r="AF23" i="8"/>
  <c r="AF12" i="8"/>
  <c r="AF43" i="8"/>
  <c r="AE41" i="8"/>
  <c r="AB52" i="8"/>
  <c r="AA44" i="8"/>
  <c r="P50" i="8"/>
  <c r="O9" i="8"/>
  <c r="AC36" i="8"/>
  <c r="AE51" i="8"/>
  <c r="AF42" i="8"/>
  <c r="AF2" i="8"/>
  <c r="AE5" i="8"/>
  <c r="AA32" i="8"/>
  <c r="AF45" i="8"/>
  <c r="AF50" i="8"/>
  <c r="AF31" i="8"/>
  <c r="AF20" i="8"/>
  <c r="AF4" i="8"/>
  <c r="AC31" i="8"/>
  <c r="AE13" i="8"/>
  <c r="AE28" i="8"/>
  <c r="N20" i="8"/>
  <c r="AB12" i="8"/>
  <c r="AB37" i="8"/>
  <c r="AA25" i="8"/>
  <c r="AA36" i="8"/>
  <c r="AC17" i="8"/>
  <c r="AE3" i="8"/>
  <c r="AE20" i="8"/>
  <c r="AB16" i="8"/>
  <c r="AA8" i="8"/>
  <c r="AA47" i="8"/>
  <c r="Q36" i="8"/>
  <c r="AB22" i="8"/>
  <c r="AA16" i="8"/>
  <c r="AA35" i="8"/>
  <c r="AA6" i="8"/>
  <c r="AB26" i="8"/>
  <c r="S36" i="8"/>
  <c r="AB51" i="8"/>
  <c r="AC37" i="8"/>
  <c r="AA50" i="8"/>
  <c r="AA52" i="8"/>
  <c r="AA22" i="8"/>
  <c r="AC12" i="8"/>
  <c r="AE21" i="8"/>
  <c r="AE39" i="8"/>
  <c r="AE25" i="8"/>
  <c r="AB30" i="8"/>
  <c r="AA40" i="8"/>
  <c r="AA9" i="8"/>
  <c r="AA13" i="8"/>
  <c r="P29" i="8"/>
  <c r="V29" i="8"/>
  <c r="AC28" i="8"/>
  <c r="AC18" i="8"/>
  <c r="AE47" i="8"/>
  <c r="AE33" i="8"/>
  <c r="AD16" i="8"/>
  <c r="AB33" i="8"/>
  <c r="AA17" i="8"/>
  <c r="AA27" i="8"/>
  <c r="AA21" i="8"/>
  <c r="M27" i="8"/>
  <c r="AB43" i="8"/>
  <c r="AB27" i="8"/>
  <c r="AB35" i="8"/>
  <c r="AB3" i="8"/>
  <c r="AB36" i="8"/>
  <c r="AB5" i="8"/>
  <c r="AB24" i="8"/>
  <c r="AB44" i="8"/>
  <c r="AB9" i="8"/>
  <c r="AB32" i="8"/>
  <c r="AB18" i="8"/>
  <c r="AB8" i="8"/>
  <c r="AB39" i="8"/>
  <c r="AB47" i="8"/>
  <c r="AB38" i="8"/>
  <c r="AB11" i="8"/>
  <c r="AB50" i="8"/>
  <c r="AB7" i="8"/>
  <c r="AB46" i="8"/>
  <c r="AB19" i="8"/>
  <c r="AB13" i="8"/>
  <c r="AB31" i="8"/>
  <c r="AB15" i="8"/>
  <c r="AB23" i="8"/>
  <c r="AC20" i="8"/>
  <c r="AC16" i="8"/>
  <c r="AC24" i="8"/>
  <c r="O41" i="8"/>
  <c r="AC2" i="8"/>
  <c r="AC10" i="8"/>
  <c r="N38" i="8"/>
  <c r="AC51" i="8"/>
  <c r="AC11" i="8"/>
  <c r="AC48" i="8"/>
  <c r="X29" i="8"/>
  <c r="AC8" i="8"/>
  <c r="AC25" i="8"/>
  <c r="AC22" i="8"/>
  <c r="AC33" i="8"/>
  <c r="AC27" i="8"/>
  <c r="AC34" i="8"/>
  <c r="AC44" i="8"/>
  <c r="AC26" i="8"/>
  <c r="AC30" i="8"/>
  <c r="AC7" i="8"/>
  <c r="AC41" i="8"/>
  <c r="AC38" i="8"/>
  <c r="AC35" i="8"/>
  <c r="AC45" i="8"/>
  <c r="AC19" i="8"/>
  <c r="AC52" i="8"/>
  <c r="AC15" i="8"/>
  <c r="AC49" i="8"/>
  <c r="AC46" i="8"/>
  <c r="AC43" i="8"/>
  <c r="AC29" i="8"/>
  <c r="O21" i="8"/>
  <c r="O20" i="8"/>
  <c r="O17" i="8"/>
  <c r="AC32" i="8"/>
  <c r="AC13" i="8"/>
  <c r="AC40" i="8"/>
  <c r="AC21" i="8"/>
  <c r="AC3" i="8"/>
  <c r="AC5" i="8"/>
  <c r="O11" i="8"/>
  <c r="AC42" i="8"/>
  <c r="AC50" i="8"/>
  <c r="P51" i="8"/>
  <c r="AD33" i="8"/>
  <c r="AD48" i="8"/>
  <c r="AD27" i="8"/>
  <c r="AD26" i="8"/>
  <c r="AD30" i="8"/>
  <c r="AD34" i="8"/>
  <c r="AD12" i="8"/>
  <c r="AD42" i="8"/>
  <c r="AD36" i="8"/>
  <c r="AD50" i="8"/>
  <c r="AD44" i="8"/>
  <c r="P37" i="8"/>
  <c r="AD8" i="8"/>
  <c r="AD2" i="8"/>
  <c r="AD47" i="8"/>
  <c r="AD25" i="8"/>
  <c r="AD10" i="8"/>
  <c r="AD17" i="8"/>
  <c r="AD35" i="8"/>
  <c r="AD3" i="8"/>
  <c r="AD22" i="8"/>
  <c r="AD5" i="8"/>
  <c r="P12" i="8"/>
  <c r="P11" i="8"/>
  <c r="AD23" i="8"/>
  <c r="AD41" i="8"/>
  <c r="AD43" i="8"/>
  <c r="AD45" i="8"/>
  <c r="AD31" i="8"/>
  <c r="AD49" i="8"/>
  <c r="AD14" i="8"/>
  <c r="AD38" i="8"/>
  <c r="AD11" i="8"/>
  <c r="AD13" i="8"/>
  <c r="AD46" i="8"/>
  <c r="AD19" i="8"/>
  <c r="AD37" i="8"/>
  <c r="P5" i="8"/>
  <c r="P3" i="8"/>
  <c r="AE30" i="8"/>
  <c r="AE17" i="8"/>
  <c r="AE38" i="8"/>
  <c r="Q37" i="8"/>
  <c r="AE6" i="8"/>
  <c r="AE14" i="8"/>
  <c r="AE22" i="8"/>
  <c r="AE45" i="8"/>
  <c r="AE10" i="8"/>
  <c r="AE36" i="8"/>
  <c r="AE4" i="8"/>
  <c r="AE24" i="8"/>
  <c r="AE18" i="8"/>
  <c r="AE44" i="8"/>
  <c r="AE9" i="8"/>
  <c r="AE48" i="8"/>
  <c r="Q22" i="8"/>
  <c r="Q20" i="8"/>
  <c r="AE8" i="8"/>
  <c r="AE32" i="8"/>
  <c r="AE40" i="8"/>
  <c r="AE19" i="8"/>
  <c r="AE27" i="8"/>
  <c r="AE29" i="8"/>
  <c r="AE26" i="8"/>
  <c r="AE15" i="8"/>
  <c r="AE49" i="8"/>
  <c r="AE46" i="8"/>
  <c r="AE35" i="8"/>
  <c r="AE37" i="8"/>
  <c r="AE34" i="8"/>
  <c r="AE23" i="8"/>
  <c r="AE12" i="8"/>
  <c r="AE2" i="8"/>
  <c r="AE43" i="8"/>
  <c r="AE16" i="8"/>
  <c r="Q14" i="8"/>
  <c r="AE11" i="8"/>
  <c r="Q5" i="8"/>
  <c r="R36" i="8"/>
  <c r="S25" i="8"/>
  <c r="T17" i="8"/>
  <c r="T16" i="8"/>
  <c r="T8" i="8"/>
  <c r="M32" i="8"/>
  <c r="AA2" i="8"/>
  <c r="AA45" i="8"/>
  <c r="AA30" i="8"/>
  <c r="AA15" i="8"/>
  <c r="AA10" i="8"/>
  <c r="AA3" i="8"/>
  <c r="AA4" i="8"/>
  <c r="AA38" i="8"/>
  <c r="AA23" i="8"/>
  <c r="M5" i="8"/>
  <c r="AD20" i="8"/>
  <c r="AD4" i="8"/>
  <c r="AD51" i="8"/>
  <c r="AD32" i="8"/>
  <c r="AD21" i="8"/>
  <c r="AB20" i="8"/>
  <c r="AB17" i="8"/>
  <c r="AB6" i="8"/>
  <c r="AB40" i="8"/>
  <c r="AB21" i="8"/>
  <c r="AB2" i="8"/>
  <c r="AA48" i="8"/>
  <c r="AA33" i="8"/>
  <c r="AA18" i="8"/>
  <c r="AA11" i="8"/>
  <c r="AA12" i="8"/>
  <c r="AA46" i="8"/>
  <c r="AA31" i="8"/>
  <c r="M6" i="8"/>
  <c r="AD39" i="8"/>
  <c r="AD28" i="8"/>
  <c r="AD9" i="8"/>
  <c r="AD6" i="8"/>
  <c r="AD40" i="8"/>
  <c r="AD29" i="8"/>
  <c r="AB28" i="8"/>
  <c r="AB25" i="8"/>
  <c r="AB14" i="8"/>
  <c r="AB48" i="8"/>
  <c r="AB29" i="8"/>
  <c r="AB10" i="8"/>
  <c r="AA41" i="8"/>
  <c r="AA26" i="8"/>
  <c r="AA19" i="8"/>
  <c r="AA20" i="8"/>
  <c r="AA5" i="8"/>
  <c r="AA39" i="8"/>
  <c r="N36" i="8"/>
  <c r="X36" i="8"/>
  <c r="Q34" i="8"/>
  <c r="N26" i="8"/>
  <c r="O23" i="8"/>
  <c r="P31" i="8"/>
  <c r="N12" i="8"/>
  <c r="O12" i="8"/>
  <c r="R12" i="8"/>
  <c r="Q12" i="8"/>
  <c r="Q26" i="8"/>
  <c r="P26" i="8"/>
  <c r="N16" i="8"/>
  <c r="O16" i="8"/>
  <c r="N28" i="8"/>
  <c r="O28" i="8"/>
  <c r="Q4" i="8"/>
  <c r="N9" i="8"/>
  <c r="R6" i="8"/>
  <c r="Q6" i="8"/>
  <c r="R11" i="8"/>
  <c r="S11" i="8"/>
  <c r="Q30" i="8"/>
  <c r="P30" i="8"/>
  <c r="N24" i="8"/>
  <c r="O24" i="8"/>
  <c r="N6" i="8"/>
  <c r="T24" i="8"/>
  <c r="Q48" i="8"/>
  <c r="V48" i="8"/>
  <c r="O3" i="8"/>
  <c r="P23" i="8"/>
  <c r="O30" i="8"/>
  <c r="N30" i="8"/>
  <c r="P19" i="8"/>
  <c r="Q19" i="8"/>
  <c r="N44" i="8"/>
  <c r="O44" i="8"/>
  <c r="O18" i="8"/>
  <c r="N18" i="8"/>
  <c r="O40" i="8"/>
  <c r="O34" i="8"/>
  <c r="N34" i="8"/>
  <c r="P13" i="8"/>
  <c r="Q13" i="8"/>
  <c r="P15" i="8"/>
  <c r="Q15" i="8"/>
  <c r="P46" i="8"/>
  <c r="Q46" i="8"/>
  <c r="N22" i="8"/>
  <c r="M28" i="8"/>
  <c r="O22" i="8"/>
  <c r="O19" i="8"/>
  <c r="O5" i="8"/>
  <c r="P39" i="8"/>
  <c r="V39" i="8"/>
  <c r="O32" i="8"/>
  <c r="N32" i="8"/>
  <c r="P24" i="8"/>
  <c r="Q24" i="8"/>
  <c r="N10" i="8"/>
  <c r="O10" i="8"/>
  <c r="N4" i="8"/>
  <c r="O4" i="8"/>
  <c r="P35" i="8"/>
  <c r="Q35" i="8"/>
  <c r="Q32" i="8"/>
  <c r="R32" i="8"/>
  <c r="M3" i="8"/>
  <c r="P17" i="8"/>
  <c r="N7" i="8"/>
  <c r="N11" i="8"/>
  <c r="O43" i="8"/>
  <c r="P43" i="8"/>
  <c r="Q38" i="8"/>
  <c r="P38" i="8"/>
  <c r="O8" i="8"/>
  <c r="N8" i="8"/>
  <c r="O14" i="8"/>
  <c r="N14" i="8"/>
  <c r="Q3" i="8"/>
  <c r="R3" i="8"/>
  <c r="P49" i="8"/>
  <c r="O15" i="8"/>
  <c r="Q51" i="8"/>
  <c r="Q31" i="8"/>
  <c r="Q16" i="8"/>
  <c r="X16" i="8"/>
  <c r="O37" i="8"/>
  <c r="X37" i="8"/>
  <c r="P27" i="8"/>
  <c r="Q27" i="8"/>
  <c r="O42" i="8"/>
  <c r="N42" i="8"/>
  <c r="N19" i="8"/>
  <c r="M19" i="8"/>
  <c r="Q10" i="8"/>
  <c r="P10" i="8"/>
  <c r="O6" i="8"/>
  <c r="P6" i="8"/>
  <c r="O46" i="8"/>
  <c r="N46" i="8"/>
  <c r="Q21" i="8"/>
  <c r="P21" i="8"/>
  <c r="O33" i="8"/>
  <c r="Q49" i="8"/>
  <c r="Q11" i="8"/>
  <c r="P33" i="8"/>
  <c r="O51" i="8"/>
  <c r="X51" i="8"/>
  <c r="P40" i="8"/>
  <c r="O31" i="8"/>
  <c r="P25" i="8"/>
  <c r="O25" i="8"/>
  <c r="Q9" i="8"/>
  <c r="R9" i="8"/>
  <c r="O47" i="8"/>
  <c r="P45" i="8"/>
  <c r="X45" i="8"/>
  <c r="Q50" i="8"/>
  <c r="X50" i="8"/>
  <c r="P47" i="8"/>
  <c r="Q18" i="8"/>
  <c r="Q17" i="8"/>
  <c r="O35" i="8"/>
  <c r="P7" i="8"/>
  <c r="X39" i="8"/>
  <c r="X27" i="8"/>
  <c r="X41" i="8"/>
  <c r="X20" i="8"/>
  <c r="X52" i="8"/>
  <c r="V41" i="8"/>
  <c r="V52" i="8"/>
  <c r="V20" i="8"/>
  <c r="V26" i="8"/>
  <c r="X28" i="8"/>
  <c r="AF63" i="8"/>
  <c r="AF71" i="8"/>
  <c r="AF79" i="8"/>
  <c r="AF87" i="8"/>
  <c r="AF95" i="8"/>
  <c r="AF103" i="8"/>
  <c r="AF58" i="8"/>
  <c r="AF66" i="8"/>
  <c r="AF74" i="8"/>
  <c r="AF82" i="8"/>
  <c r="AF90" i="8"/>
  <c r="AF98" i="8"/>
  <c r="AF56" i="8"/>
  <c r="AF61" i="8"/>
  <c r="AF69" i="8"/>
  <c r="AF77" i="8"/>
  <c r="AF85" i="8"/>
  <c r="AF93" i="8"/>
  <c r="AF101" i="8"/>
  <c r="AF64" i="8"/>
  <c r="AF72" i="8"/>
  <c r="AF80" i="8"/>
  <c r="AF88" i="8"/>
  <c r="AF96" i="8"/>
  <c r="AF104" i="8"/>
  <c r="AF59" i="8"/>
  <c r="AF67" i="8"/>
  <c r="AF75" i="8"/>
  <c r="AF83" i="8"/>
  <c r="AF91" i="8"/>
  <c r="AF99" i="8"/>
  <c r="AF62" i="8"/>
  <c r="AF70" i="8"/>
  <c r="AF78" i="8"/>
  <c r="AF86" i="8"/>
  <c r="AF94" i="8"/>
  <c r="AF102" i="8"/>
  <c r="AF57" i="8"/>
  <c r="AF65" i="8"/>
  <c r="AF73" i="8"/>
  <c r="AF81" i="8"/>
  <c r="AF89" i="8"/>
  <c r="AF97" i="8"/>
  <c r="AF105" i="8"/>
  <c r="AF60" i="8"/>
  <c r="AF68" i="8"/>
  <c r="AF76" i="8"/>
  <c r="AF84" i="8"/>
  <c r="AF92" i="8"/>
  <c r="AF100" i="8"/>
  <c r="AC61" i="8"/>
  <c r="AC96" i="8"/>
  <c r="V2" i="8"/>
  <c r="AA66" i="8"/>
  <c r="AA81" i="8"/>
  <c r="AA105" i="8"/>
  <c r="AA96" i="8"/>
  <c r="AA56" i="8"/>
  <c r="AA69" i="8"/>
  <c r="AA84" i="8"/>
  <c r="AA92" i="8"/>
  <c r="X2" i="8"/>
  <c r="AD57" i="8"/>
  <c r="AD73" i="8"/>
  <c r="AD97" i="8"/>
  <c r="AD60" i="8"/>
  <c r="AD63" i="8"/>
  <c r="AD79" i="8"/>
  <c r="AD87" i="8"/>
  <c r="AD95" i="8"/>
  <c r="AD103" i="8"/>
  <c r="AD74" i="8"/>
  <c r="AD77" i="8"/>
  <c r="AD85" i="8"/>
  <c r="AD93" i="8"/>
  <c r="AD59" i="8"/>
  <c r="AD78" i="8"/>
  <c r="AB75" i="8"/>
  <c r="AB83" i="8"/>
  <c r="AB62" i="8"/>
  <c r="AB97" i="8"/>
  <c r="AB60" i="8"/>
  <c r="AB76" i="8"/>
  <c r="AB84" i="8"/>
  <c r="AB74" i="8"/>
  <c r="AB77" i="8"/>
  <c r="AB85" i="8"/>
  <c r="AB104" i="8"/>
  <c r="AE95" i="8"/>
  <c r="AE58" i="8"/>
  <c r="AE67" i="8"/>
  <c r="AE75" i="8"/>
  <c r="V23" i="8"/>
  <c r="X31" i="8"/>
  <c r="V17" i="8"/>
  <c r="X44" i="8"/>
  <c r="X26" i="8"/>
  <c r="X18" i="8"/>
  <c r="X47" i="8"/>
  <c r="AA58" i="8"/>
  <c r="X12" i="8"/>
  <c r="X43" i="8"/>
  <c r="V38" i="8"/>
  <c r="X13" i="8"/>
  <c r="V49" i="8"/>
  <c r="AA67" i="8"/>
  <c r="AA75" i="8"/>
  <c r="AA77" i="8"/>
  <c r="AA59" i="8"/>
  <c r="AA100" i="8"/>
  <c r="AA63" i="8"/>
  <c r="AA93" i="8"/>
  <c r="AA86" i="8"/>
  <c r="AA64" i="8"/>
  <c r="AA98" i="8"/>
  <c r="AA83" i="8"/>
  <c r="AA62" i="8"/>
  <c r="AA74" i="8"/>
  <c r="AA70" i="8"/>
  <c r="AA82" i="8"/>
  <c r="AA94" i="8"/>
  <c r="AA57" i="8"/>
  <c r="AA91" i="8"/>
  <c r="AA104" i="8"/>
  <c r="AA89" i="8"/>
  <c r="AA85" i="8"/>
  <c r="AA97" i="8"/>
  <c r="AA78" i="8"/>
  <c r="AA71" i="8"/>
  <c r="AA90" i="8"/>
  <c r="AA79" i="8"/>
  <c r="AA72" i="8"/>
  <c r="AA68" i="8"/>
  <c r="AA102" i="8"/>
  <c r="AA95" i="8"/>
  <c r="AA80" i="8"/>
  <c r="AA65" i="8"/>
  <c r="AA99" i="8"/>
  <c r="AA101" i="8"/>
  <c r="AA60" i="8"/>
  <c r="AA87" i="8"/>
  <c r="AA76" i="8"/>
  <c r="AA61" i="8"/>
  <c r="AA103" i="8"/>
  <c r="AA88" i="8"/>
  <c r="AA73" i="8"/>
  <c r="AB94" i="8"/>
  <c r="AB82" i="8"/>
  <c r="AB105" i="8"/>
  <c r="AB72" i="8"/>
  <c r="AB93" i="8"/>
  <c r="AB71" i="8"/>
  <c r="AB86" i="8"/>
  <c r="AB63" i="8"/>
  <c r="AB58" i="8"/>
  <c r="AB59" i="8"/>
  <c r="AB67" i="8"/>
  <c r="AB98" i="8"/>
  <c r="AB91" i="8"/>
  <c r="AB79" i="8"/>
  <c r="AB87" i="8"/>
  <c r="AB99" i="8"/>
  <c r="AB102" i="8"/>
  <c r="AB57" i="8"/>
  <c r="AB95" i="8"/>
  <c r="AB101" i="8"/>
  <c r="AB56" i="8"/>
  <c r="AB65" i="8"/>
  <c r="AB61" i="8"/>
  <c r="AB92" i="8"/>
  <c r="AB81" i="8"/>
  <c r="AB70" i="8"/>
  <c r="AB90" i="8"/>
  <c r="AB64" i="8"/>
  <c r="AB68" i="8"/>
  <c r="AB80" i="8"/>
  <c r="AB103" i="8"/>
  <c r="AB73" i="8"/>
  <c r="AB88" i="8"/>
  <c r="AB69" i="8"/>
  <c r="AB96" i="8"/>
  <c r="AB66" i="8"/>
  <c r="AB100" i="8"/>
  <c r="AB89" i="8"/>
  <c r="AB78" i="8"/>
  <c r="V6" i="8"/>
  <c r="X3" i="8"/>
  <c r="V3" i="8"/>
  <c r="AC60" i="8"/>
  <c r="V46" i="8"/>
  <c r="V43" i="8"/>
  <c r="AC58" i="8"/>
  <c r="AC93" i="8"/>
  <c r="AC64" i="8"/>
  <c r="AC88" i="8"/>
  <c r="AC91" i="8"/>
  <c r="AC103" i="8"/>
  <c r="AC75" i="8"/>
  <c r="V37" i="8"/>
  <c r="X34" i="8"/>
  <c r="AC102" i="8"/>
  <c r="AC83" i="8"/>
  <c r="AC80" i="8"/>
  <c r="AC98" i="8"/>
  <c r="AC105" i="8"/>
  <c r="AC99" i="8"/>
  <c r="AC69" i="8"/>
  <c r="AC63" i="8"/>
  <c r="AC100" i="8"/>
  <c r="AC104" i="8"/>
  <c r="AC77" i="8"/>
  <c r="AC71" i="8"/>
  <c r="AC56" i="8"/>
  <c r="AC85" i="8"/>
  <c r="AC79" i="8"/>
  <c r="AC59" i="8"/>
  <c r="AC62" i="8"/>
  <c r="AC67" i="8"/>
  <c r="AC70" i="8"/>
  <c r="AC72" i="8"/>
  <c r="AC90" i="8"/>
  <c r="V28" i="8"/>
  <c r="AC94" i="8"/>
  <c r="AC89" i="8"/>
  <c r="AC66" i="8"/>
  <c r="AC97" i="8"/>
  <c r="AC81" i="8"/>
  <c r="AC84" i="8"/>
  <c r="AC78" i="8"/>
  <c r="AC74" i="8"/>
  <c r="AC92" i="8"/>
  <c r="AC86" i="8"/>
  <c r="AC101" i="8"/>
  <c r="AC82" i="8"/>
  <c r="X25" i="8"/>
  <c r="AC73" i="8"/>
  <c r="AC65" i="8"/>
  <c r="AC87" i="8"/>
  <c r="AC68" i="8"/>
  <c r="AC57" i="8"/>
  <c r="AC95" i="8"/>
  <c r="AC76" i="8"/>
  <c r="V7" i="8"/>
  <c r="V4" i="8"/>
  <c r="AD81" i="8"/>
  <c r="X46" i="8"/>
  <c r="X42" i="8"/>
  <c r="AD70" i="8"/>
  <c r="AD104" i="8"/>
  <c r="AD66" i="8"/>
  <c r="AD100" i="8"/>
  <c r="AD89" i="8"/>
  <c r="AD86" i="8"/>
  <c r="AD67" i="8"/>
  <c r="AD101" i="8"/>
  <c r="AD82" i="8"/>
  <c r="AD71" i="8"/>
  <c r="AD105" i="8"/>
  <c r="AD94" i="8"/>
  <c r="AD75" i="8"/>
  <c r="AD64" i="8"/>
  <c r="AD90" i="8"/>
  <c r="AD102" i="8"/>
  <c r="AD72" i="8"/>
  <c r="AD98" i="8"/>
  <c r="AD68" i="8"/>
  <c r="AD56" i="8"/>
  <c r="AD91" i="8"/>
  <c r="AD80" i="8"/>
  <c r="AD61" i="8"/>
  <c r="AD76" i="8"/>
  <c r="AD65" i="8"/>
  <c r="AD83" i="8"/>
  <c r="AD99" i="8"/>
  <c r="AD88" i="8"/>
  <c r="AD69" i="8"/>
  <c r="AD84" i="8"/>
  <c r="AD62" i="8"/>
  <c r="AD96" i="8"/>
  <c r="AD58" i="8"/>
  <c r="AD92" i="8"/>
  <c r="V40" i="8"/>
  <c r="X33" i="8"/>
  <c r="X23" i="8"/>
  <c r="V19" i="8"/>
  <c r="AE103" i="8"/>
  <c r="V45" i="8"/>
  <c r="AE85" i="8"/>
  <c r="V34" i="8"/>
  <c r="V27" i="8"/>
  <c r="V25" i="8"/>
  <c r="AE63" i="8"/>
  <c r="AE79" i="8"/>
  <c r="AE70" i="8"/>
  <c r="AE82" i="8"/>
  <c r="AE97" i="8"/>
  <c r="AE60" i="8"/>
  <c r="AE74" i="8"/>
  <c r="AE80" i="8"/>
  <c r="AE76" i="8"/>
  <c r="AE89" i="8"/>
  <c r="AE99" i="8"/>
  <c r="AE64" i="8"/>
  <c r="AE56" i="8"/>
  <c r="AE105" i="8"/>
  <c r="AE78" i="8"/>
  <c r="AE88" i="8"/>
  <c r="AE90" i="8"/>
  <c r="AE71" i="8"/>
  <c r="AE61" i="8"/>
  <c r="AE69" i="8"/>
  <c r="AE57" i="8"/>
  <c r="AE86" i="8"/>
  <c r="AE59" i="8"/>
  <c r="AE93" i="8"/>
  <c r="AE84" i="8"/>
  <c r="AE104" i="8"/>
  <c r="AE94" i="8"/>
  <c r="AE65" i="8"/>
  <c r="AE81" i="8"/>
  <c r="AE91" i="8"/>
  <c r="AE101" i="8"/>
  <c r="AE66" i="8"/>
  <c r="AE92" i="8"/>
  <c r="AE73" i="8"/>
  <c r="AE62" i="8"/>
  <c r="AE96" i="8"/>
  <c r="AE77" i="8"/>
  <c r="AE100" i="8"/>
  <c r="AE68" i="8"/>
  <c r="AE102" i="8"/>
  <c r="AE83" i="8"/>
  <c r="AE72" i="8"/>
  <c r="AE98" i="8"/>
  <c r="AE87" i="8"/>
  <c r="V14" i="8"/>
  <c r="V50" i="8"/>
  <c r="X48" i="8"/>
  <c r="V35" i="8"/>
  <c r="X15" i="8"/>
  <c r="V36" i="8"/>
  <c r="V16" i="8"/>
  <c r="V42" i="8"/>
  <c r="X6" i="8"/>
  <c r="X21" i="8"/>
  <c r="X19" i="8"/>
  <c r="X17" i="8"/>
  <c r="V44" i="8"/>
  <c r="V30" i="8"/>
  <c r="X35" i="8"/>
  <c r="V51" i="8"/>
  <c r="V8" i="8"/>
  <c r="V13" i="8"/>
  <c r="V31" i="8"/>
  <c r="V10" i="8"/>
  <c r="X7" i="8"/>
  <c r="X4" i="8"/>
  <c r="V47" i="8"/>
  <c r="X40" i="8"/>
  <c r="X14" i="8"/>
  <c r="V18" i="8"/>
  <c r="X22" i="8"/>
  <c r="V12" i="8"/>
  <c r="V33" i="8"/>
  <c r="V9" i="8"/>
  <c r="X49" i="8"/>
  <c r="V15" i="8"/>
  <c r="X8" i="8"/>
  <c r="V24" i="8"/>
  <c r="V21" i="8"/>
  <c r="X32" i="8"/>
  <c r="V11" i="8"/>
  <c r="X11" i="8"/>
  <c r="V32" i="8"/>
  <c r="X10" i="8"/>
  <c r="V22" i="8"/>
  <c r="X24" i="8"/>
  <c r="X30" i="8"/>
  <c r="X9" i="8"/>
  <c r="V5" i="8"/>
  <c r="X5" i="8"/>
  <c r="X38" i="8"/>
  <c r="Y41" i="8"/>
  <c r="Y10" i="8"/>
  <c r="Y19" i="8"/>
  <c r="Y20" i="8"/>
  <c r="Y38" i="8"/>
  <c r="Y8" i="8"/>
  <c r="Y26" i="8"/>
  <c r="Y30" i="8"/>
  <c r="Y23" i="8"/>
  <c r="Y33" i="8"/>
  <c r="Y4" i="8"/>
  <c r="Y18" i="8"/>
  <c r="Y31" i="8"/>
  <c r="Y9" i="8"/>
  <c r="Y3" i="8"/>
  <c r="Y11" i="8"/>
  <c r="Y15" i="8"/>
  <c r="Y32" i="8"/>
  <c r="Y12" i="8"/>
  <c r="Y34" i="8"/>
  <c r="Y35" i="8"/>
  <c r="Y46" i="8"/>
  <c r="Y24" i="8"/>
  <c r="Y28" i="8"/>
  <c r="Y50" i="8"/>
  <c r="Y21" i="8"/>
  <c r="Y44" i="8"/>
  <c r="Y29" i="8"/>
  <c r="Y14" i="8"/>
  <c r="Y48" i="8"/>
  <c r="Y16" i="8"/>
  <c r="Y27" i="8"/>
  <c r="Y39" i="8"/>
  <c r="Y13" i="8"/>
  <c r="Y43" i="8"/>
  <c r="Y6" i="8"/>
  <c r="Y17" i="8"/>
  <c r="Y52" i="8"/>
  <c r="Y22" i="8"/>
  <c r="Y7" i="8"/>
  <c r="Y49" i="8"/>
  <c r="Y5" i="8"/>
  <c r="Y42" i="8"/>
  <c r="Y47" i="8"/>
  <c r="Y36" i="8"/>
  <c r="Y40" i="8"/>
  <c r="Y51" i="8"/>
  <c r="Y2" i="8"/>
  <c r="Y37" i="8"/>
  <c r="Y25" i="8"/>
  <c r="Y45" i="8"/>
  <c r="Y97" i="8"/>
  <c r="AG97" i="8"/>
  <c r="Y90" i="8"/>
  <c r="AG90" i="8"/>
  <c r="Y76" i="8"/>
  <c r="AG76" i="8"/>
  <c r="Y59" i="8"/>
  <c r="AG59" i="8"/>
  <c r="Y61" i="8"/>
  <c r="AG61" i="8"/>
  <c r="Y78" i="8"/>
  <c r="AG78" i="8"/>
  <c r="Y91" i="8"/>
  <c r="AG91" i="8"/>
  <c r="Y70" i="8"/>
  <c r="AG70" i="8"/>
  <c r="Y93" i="8"/>
  <c r="AG93" i="8"/>
  <c r="Y63" i="8"/>
  <c r="AG63" i="8"/>
  <c r="Y65" i="8"/>
  <c r="AG65" i="8"/>
  <c r="Y67" i="8"/>
  <c r="AG67" i="8"/>
  <c r="Y62" i="8"/>
  <c r="AG62" i="8"/>
  <c r="Y82" i="8"/>
  <c r="AG82" i="8"/>
  <c r="Y103" i="8"/>
  <c r="AG103" i="8"/>
  <c r="Y88" i="8"/>
  <c r="AG88" i="8"/>
  <c r="Y75" i="8"/>
  <c r="AG75" i="8"/>
  <c r="Y98" i="8"/>
  <c r="AG98" i="8"/>
  <c r="Y66" i="8"/>
  <c r="AG66" i="8"/>
  <c r="Y80" i="8"/>
  <c r="AG80" i="8"/>
  <c r="Y86" i="8"/>
  <c r="AG86" i="8"/>
  <c r="Y84" i="8"/>
  <c r="AG84" i="8"/>
  <c r="Y69" i="8"/>
  <c r="AG69" i="8"/>
  <c r="Y105" i="8"/>
  <c r="AG105" i="8"/>
  <c r="Y95" i="8"/>
  <c r="AG95" i="8"/>
  <c r="Y60" i="8"/>
  <c r="AG60" i="8"/>
  <c r="Y79" i="8"/>
  <c r="AG79" i="8"/>
  <c r="Y64" i="8"/>
  <c r="AG64" i="8"/>
  <c r="Y102" i="8"/>
  <c r="AG102" i="8"/>
  <c r="Y83" i="8"/>
  <c r="AG83" i="8"/>
  <c r="Y100" i="8"/>
  <c r="AG100" i="8"/>
  <c r="Y68" i="8"/>
  <c r="AG68" i="8"/>
  <c r="Y85" i="8"/>
  <c r="AG85" i="8"/>
  <c r="Y56" i="8"/>
  <c r="AG56" i="8"/>
  <c r="Y74" i="8"/>
  <c r="AG74" i="8"/>
  <c r="Y99" i="8"/>
  <c r="AG99" i="8"/>
  <c r="Y101" i="8"/>
  <c r="AG101" i="8"/>
  <c r="Y58" i="8"/>
  <c r="AG58" i="8"/>
  <c r="Y71" i="8"/>
  <c r="AG71" i="8"/>
  <c r="Y73" i="8"/>
  <c r="AG73" i="8"/>
  <c r="Y94" i="8"/>
  <c r="AG94" i="8"/>
  <c r="Y92" i="8"/>
  <c r="AG92" i="8"/>
  <c r="Y77" i="8"/>
  <c r="AG77" i="8"/>
  <c r="Y96" i="8"/>
  <c r="AG96" i="8"/>
  <c r="Y81" i="8"/>
  <c r="AG81" i="8"/>
  <c r="Y87" i="8"/>
  <c r="AG87" i="8"/>
  <c r="Y104" i="8"/>
  <c r="AG104" i="8"/>
  <c r="Y72" i="8"/>
  <c r="AG72" i="8"/>
  <c r="Y89" i="8"/>
  <c r="AG89" i="8"/>
  <c r="Y57" i="8"/>
  <c r="AG57" i="8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Z3" i="17"/>
  <c r="Z4" i="17"/>
  <c r="Z5" i="17"/>
  <c r="Z6" i="17"/>
  <c r="Z7" i="17"/>
  <c r="Z8" i="17"/>
  <c r="Z9" i="17"/>
  <c r="Z10" i="17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Z43" i="17"/>
  <c r="Z44" i="17"/>
  <c r="Z45" i="17"/>
  <c r="Z46" i="17"/>
  <c r="Z47" i="17"/>
  <c r="Z48" i="17"/>
  <c r="Z49" i="17"/>
  <c r="Z50" i="17"/>
  <c r="Z51" i="17"/>
  <c r="Z52" i="17"/>
  <c r="Z53" i="17"/>
  <c r="Z54" i="17"/>
  <c r="AA3" i="17"/>
  <c r="AA4" i="17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B3" i="17"/>
  <c r="AB4" i="17"/>
  <c r="AB5" i="17"/>
  <c r="AB6" i="17"/>
  <c r="AB7" i="17"/>
  <c r="AB8" i="17"/>
  <c r="AB9" i="17"/>
  <c r="AB10" i="17"/>
  <c r="AB11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B38" i="17"/>
  <c r="AB39" i="17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</calcChain>
</file>

<file path=xl/sharedStrings.xml><?xml version="1.0" encoding="utf-8"?>
<sst xmlns="http://schemas.openxmlformats.org/spreadsheetml/2006/main" count="1782" uniqueCount="177">
  <si>
    <t>Network Speed (congested), Network Speed (freeflow), Population: TTI complete data 1982-2007 (calculated from 1990 values only)</t>
  </si>
  <si>
    <t>Employment: Census 1990, sum of responses to question P050. Travel Time to Work: Workers 16 years and over (American FactFinder)</t>
  </si>
  <si>
    <t>Inland Empire**</t>
    <phoneticPr fontId="21" type="noConversion"/>
  </si>
  <si>
    <t>San Jose**</t>
    <phoneticPr fontId="21" type="noConversion"/>
  </si>
  <si>
    <t>** Uses 1995 Employment</t>
    <phoneticPr fontId="21" type="noConversion"/>
  </si>
  <si>
    <t>Network Speed (congested), Network Speed (freeflow), Population: TTI complete data 1982-2007 (calculated from 2001 values only), FHWA data on highway usage in 2001</t>
  </si>
  <si>
    <t>Austin*</t>
  </si>
  <si>
    <t>Grand Rapids*</t>
  </si>
  <si>
    <t>Honolulu*</t>
  </si>
  <si>
    <t>Jacksonville*</t>
  </si>
  <si>
    <t>Las Vegas*</t>
  </si>
  <si>
    <t>Louisville*</t>
  </si>
  <si>
    <t>Memphis*</t>
  </si>
  <si>
    <t>Nashville*</t>
  </si>
  <si>
    <t>Oklahoma City*</t>
  </si>
  <si>
    <t>Raleigh*</t>
  </si>
  <si>
    <t>Area</t>
  </si>
  <si>
    <t>S_a</t>
  </si>
  <si>
    <t>S_n</t>
  </si>
  <si>
    <t>R_a</t>
  </si>
  <si>
    <t>Airline Radius [km]</t>
  </si>
  <si>
    <t>Average Airline Speed [km/h]</t>
  </si>
  <si>
    <t>A_30</t>
  </si>
  <si>
    <r>
      <t>Area covered in 30 mins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</si>
  <si>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D_UA</t>
  </si>
  <si>
    <r>
      <t>Urbanized area density [people/km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</si>
  <si>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Atlanta</t>
  </si>
  <si>
    <t>Austin</t>
  </si>
  <si>
    <t>Baltimore</t>
  </si>
  <si>
    <t>Boston</t>
  </si>
  <si>
    <t>Buffalo</t>
  </si>
  <si>
    <t>Charlotte</t>
  </si>
  <si>
    <t>Chicago</t>
  </si>
  <si>
    <t>Cincinnati</t>
  </si>
  <si>
    <t>Cleveland</t>
  </si>
  <si>
    <t>Columbus</t>
  </si>
  <si>
    <t>Denver</t>
  </si>
  <si>
    <t>Detroit</t>
  </si>
  <si>
    <t>Hartford</t>
  </si>
  <si>
    <t>Houston</t>
  </si>
  <si>
    <t>Indianapolis</t>
  </si>
  <si>
    <t>Jacksonville</t>
  </si>
  <si>
    <t>Louisville</t>
  </si>
  <si>
    <t>Memphis</t>
  </si>
  <si>
    <t>Milwaukee</t>
  </si>
  <si>
    <t>Minneapolis-St.Paul</t>
  </si>
  <si>
    <t>Nashville</t>
  </si>
  <si>
    <t>New Orleans</t>
  </si>
  <si>
    <t>Orlando</t>
  </si>
  <si>
    <t>Phoenix</t>
  </si>
  <si>
    <t>Pittsburgh</t>
  </si>
  <si>
    <t>Portland</t>
  </si>
  <si>
    <t>Providence</t>
  </si>
  <si>
    <t>Raleigh</t>
  </si>
  <si>
    <t>Sacramento</t>
  </si>
  <si>
    <t>Salt Lake City</t>
  </si>
  <si>
    <t>Seattle</t>
  </si>
  <si>
    <t>St. Louis</t>
  </si>
  <si>
    <t>Hampton Roads</t>
  </si>
  <si>
    <t>Washington</t>
  </si>
  <si>
    <t>Network Speed (congested) [km/h]</t>
  </si>
  <si>
    <t>Network Speed (freeflow) [km/h]</t>
  </si>
  <si>
    <t>Dallas-Fort Worth</t>
  </si>
  <si>
    <t>Las Vegas</t>
  </si>
  <si>
    <t>Los Angeles</t>
  </si>
  <si>
    <t>New York</t>
  </si>
  <si>
    <t>Oklahoma City</t>
  </si>
  <si>
    <t>Philadelphia</t>
  </si>
  <si>
    <t>San Antonio</t>
  </si>
  <si>
    <t>San Diego</t>
  </si>
  <si>
    <t>San Francisco</t>
  </si>
  <si>
    <t>Tampa Bay</t>
  </si>
  <si>
    <r>
      <t>San Jose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</si>
  <si>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1</t>
    </r>
  </si>
  <si>
    <t>Notes:</t>
  </si>
  <si>
    <t>Kansas City</t>
  </si>
  <si>
    <t>South Florida</t>
  </si>
  <si>
    <t>Accessibility</t>
  </si>
  <si>
    <r>
      <t>C</t>
    </r>
    <r>
      <rPr>
        <vertAlign val="superscript"/>
        <sz val="11"/>
        <color theme="1"/>
        <rFont val="Calibri"/>
        <family val="2"/>
        <scheme val="minor"/>
      </rPr>
      <t>2</t>
    </r>
  </si>
  <si>
    <t>Population</t>
  </si>
  <si>
    <t>Grand Rapids</t>
  </si>
  <si>
    <t>Honolulu</t>
  </si>
  <si>
    <t>Rochester</t>
  </si>
  <si>
    <r>
      <t>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</si>
  <si>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Area [km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]</t>
    </r>
  </si>
  <si>
    <t>Inland Empire</t>
  </si>
  <si>
    <t>San Jose</t>
  </si>
  <si>
    <r>
      <t>C</t>
    </r>
    <r>
      <rPr>
        <vertAlign val="superscript"/>
        <sz val="11"/>
        <color theme="1"/>
        <rFont val="Calibri"/>
        <family val="2"/>
        <scheme val="minor"/>
      </rPr>
      <t>1</t>
    </r>
  </si>
  <si>
    <t>Employment</t>
  </si>
  <si>
    <t>Employment Accessibility</t>
  </si>
  <si>
    <t>Employment Density</t>
  </si>
  <si>
    <t>Circuity [ ]</t>
  </si>
  <si>
    <t>.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</si>
  <si>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</si>
  <si>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r>
      <t>Urbanized Area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</si>
  <si>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Data Sources:</t>
  </si>
  <si>
    <t>Circuity: Networks are Census Tiger 2008 county-level shapefiles merged together, commute distances are from 1990 NPTS</t>
  </si>
  <si>
    <t>* Circuity is based on either 1995 or 2001 commute distance; 1990 commute distance not available</t>
  </si>
  <si>
    <t>Providence*</t>
  </si>
  <si>
    <t>* Circuitry is from 2001 commute distance; 1995 commute distance unavailable</t>
  </si>
  <si>
    <r>
      <t>Honolulu*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</si>
  <si>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Grand Rapids*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</si>
  <si>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Population from 1990 Census</t>
    </r>
  </si>
  <si>
    <t>Min EA, E</t>
    <phoneticPr fontId="21" type="noConversion"/>
  </si>
  <si>
    <t>MinPA,P</t>
    <phoneticPr fontId="21" type="noConversion"/>
  </si>
  <si>
    <t>Urbanized Area: Census 1990 Population and Housing Unit Counts (census.gov)</t>
  </si>
  <si>
    <t>Network Speed (congested), Network Speed (freeflow), Population: TTI complete data 1982-2007 (calculated from 1995 values only)</t>
  </si>
  <si>
    <t>Circuity: Networks are Census Tiger 2008 county-level shapefiles merged together, commute distances are from 1995 NPTS</t>
  </si>
  <si>
    <t>Employment: 1998 MSA Business Patterns (NAICS - from Censtats)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</si>
  <si>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Los Angeles-Inland Empire and San Francisco-San Jose were combined for the circuity analysis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</si>
  <si>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Circuity is from a sample of OD points with network distance matched to average commute distance</t>
    </r>
  </si>
  <si>
    <t>Circuity: Networks are Census Tiger 2008 county-level shapefiles merged together, commute distances are from 2001 NHTS</t>
  </si>
  <si>
    <t>Urbanized Area: Census 2000 Urbanized Area (census.gov)</t>
  </si>
  <si>
    <t>Employment: 2001 MSA Business Patterns (NAICS - from Censtats)</t>
  </si>
  <si>
    <r>
      <t>San Francisco</t>
    </r>
    <r>
      <rPr>
        <vertAlign val="superscript"/>
        <sz val="11"/>
        <color theme="1"/>
        <rFont val="Calibri"/>
        <family val="2"/>
        <scheme val="minor"/>
      </rPr>
      <t>1</t>
    </r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</si>
  <si>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Circuitry is from a sample of OD points with network distance matched to average commute distance</t>
    </r>
  </si>
  <si>
    <r>
      <t>C</t>
    </r>
    <r>
      <rPr>
        <vertAlign val="superscript"/>
        <sz val="11"/>
        <color theme="1"/>
        <rFont val="Calibri"/>
        <family val="2"/>
        <scheme val="minor"/>
      </rPr>
      <t>3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</si>
  <si>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Los Angeles-Inland Empire and Baltimore-Washington used the same average commute distance, as they were grouped together in the NHTS data</t>
    </r>
  </si>
  <si>
    <r>
      <t>Washington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</si>
  <si>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Baltimore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</si>
  <si>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Inland Empire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</si>
  <si>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Los Angeles</t>
    </r>
    <r>
      <rPr>
        <vertAlign val="superscript"/>
        <sz val="11"/>
        <color theme="1"/>
        <rFont val="Calibri"/>
        <family val="2"/>
        <scheme val="minor"/>
      </rPr>
      <t>2</t>
    </r>
  </si>
  <si>
    <t>S_f</t>
  </si>
  <si>
    <t>Pop</t>
  </si>
  <si>
    <t>MinA_P</t>
  </si>
  <si>
    <t>D_Emp</t>
  </si>
  <si>
    <t>Emp</t>
  </si>
  <si>
    <t>MinA_E</t>
  </si>
  <si>
    <t>A_E</t>
  </si>
  <si>
    <t>A_P</t>
  </si>
  <si>
    <t>Rank</t>
  </si>
  <si>
    <r>
      <t>Area covered in $A$1$ hrs [km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</si>
  <si>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A_X</t>
  </si>
  <si>
    <t>MinA_E(10)</t>
  </si>
  <si>
    <t>MinA_E(20)</t>
  </si>
  <si>
    <t>MinA_E(30)</t>
  </si>
  <si>
    <t>MinA_E(40)</t>
  </si>
  <si>
    <t>MinA_E(50)</t>
  </si>
  <si>
    <t>MinA_E(60)</t>
  </si>
  <si>
    <t>MinA_E(20-10)</t>
  </si>
  <si>
    <t>MinA_E(30-20)</t>
  </si>
  <si>
    <t>MinA_E(40-30)</t>
  </si>
  <si>
    <t>MinA_E(50-40)</t>
  </si>
  <si>
    <t>MinA_E(60-50)</t>
  </si>
  <si>
    <t>SUM</t>
  </si>
  <si>
    <t>Beta</t>
  </si>
  <si>
    <t>Weighted Employment Accessibility</t>
  </si>
  <si>
    <t>Source of Beta: Levinson, David and Ajay Kumar (1995) A Multi-modal Trip Distribution Model. Transportation Research Record #1466: 124-131.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</si>
  <si>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San Francisco-San Jose were combined for the circuity analysis</t>
    </r>
  </si>
  <si>
    <t>TIME COHORT</t>
  </si>
  <si>
    <t>Weighted Average</t>
  </si>
  <si>
    <t>MinA_E(70)</t>
  </si>
  <si>
    <t>MinA_E(80)</t>
  </si>
  <si>
    <t>MinA_E(90)</t>
  </si>
  <si>
    <t>MinA_E(70-60)</t>
  </si>
  <si>
    <t>MinA_E(80-70)</t>
  </si>
  <si>
    <t>MinA_E(90-80)</t>
  </si>
  <si>
    <t>10 min Distance [m]</t>
  </si>
  <si>
    <t>90 min Distance [m]</t>
  </si>
  <si>
    <t>80 min Distance [m]</t>
  </si>
  <si>
    <t>70 min Distance [m]</t>
  </si>
  <si>
    <t>60 min Distance [m]</t>
  </si>
  <si>
    <t>50 min Distance [m]</t>
  </si>
  <si>
    <t>40 min Distance [m]</t>
  </si>
  <si>
    <t>30 min Distance [m]</t>
  </si>
  <si>
    <t>20 min Distance [m]</t>
  </si>
  <si>
    <t>Rochester, NY</t>
  </si>
  <si>
    <t>Time Threshold Circuities</t>
  </si>
  <si>
    <t>Zeta</t>
  </si>
  <si>
    <t>Y-Intercept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</si>
  <si>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</si>
  <si>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Mean rsq</t>
  </si>
  <si>
    <t>ln(C)-ln(t)</t>
  </si>
  <si>
    <t>C-ln(t)</t>
  </si>
  <si>
    <t>ln(C)-t</t>
  </si>
  <si>
    <t>C-t</t>
  </si>
  <si>
    <t>ln(Time Threshold Circuities)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</si>
</sst>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0"/>
    <numFmt numFmtId="165" formatCode="0.00000"/>
  </numFmts>
  <fonts count="4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1"/>
      <color rgb="FF275E94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09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7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51" borderId="0" applyNumberFormat="0" applyBorder="0" applyAlignment="0" applyProtection="0"/>
    <xf numFmtId="0" fontId="27" fillId="35" borderId="0" applyNumberFormat="0" applyBorder="0" applyAlignment="0" applyProtection="0"/>
    <xf numFmtId="0" fontId="28" fillId="52" borderId="10" applyNumberFormat="0" applyAlignment="0" applyProtection="0"/>
    <xf numFmtId="0" fontId="29" fillId="53" borderId="11" applyNumberFormat="0" applyAlignment="0" applyProtection="0"/>
    <xf numFmtId="0" fontId="30" fillId="0" borderId="0" applyNumberFormat="0" applyFill="0" applyBorder="0" applyAlignment="0" applyProtection="0"/>
    <xf numFmtId="0" fontId="31" fillId="36" borderId="0" applyNumberFormat="0" applyBorder="0" applyAlignment="0" applyProtection="0"/>
    <xf numFmtId="0" fontId="32" fillId="0" borderId="12" applyNumberFormat="0" applyFill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5" fillId="39" borderId="10" applyNumberFormat="0" applyAlignment="0" applyProtection="0"/>
    <xf numFmtId="0" fontId="36" fillId="0" borderId="15" applyNumberFormat="0" applyFill="0" applyAlignment="0" applyProtection="0"/>
    <xf numFmtId="0" fontId="37" fillId="54" borderId="0" applyNumberFormat="0" applyBorder="0" applyAlignment="0" applyProtection="0"/>
    <xf numFmtId="0" fontId="2" fillId="55" borderId="16" applyNumberFormat="0" applyFont="0" applyAlignment="0" applyProtection="0"/>
    <xf numFmtId="0" fontId="38" fillId="52" borderId="17" applyNumberFormat="0" applyAlignment="0" applyProtection="0"/>
    <xf numFmtId="0" fontId="39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Border="1"/>
    <xf numFmtId="0" fontId="0" fillId="0" borderId="0" xfId="0" applyBorder="1"/>
    <xf numFmtId="2" fontId="0" fillId="0" borderId="0" xfId="0" applyNumberFormat="1"/>
    <xf numFmtId="1" fontId="0" fillId="0" borderId="0" xfId="0" applyNumberFormat="1"/>
    <xf numFmtId="2" fontId="0" fillId="0" borderId="0" xfId="0" applyNumberFormat="1" applyFill="1"/>
    <xf numFmtId="0" fontId="0" fillId="0" borderId="0" xfId="0" applyBorder="1" applyAlignment="1">
      <alignment wrapText="1"/>
    </xf>
    <xf numFmtId="1" fontId="2" fillId="0" borderId="0" xfId="0" applyNumberFormat="1" applyFont="1"/>
    <xf numFmtId="1" fontId="0" fillId="0" borderId="0" xfId="0" applyNumberFormat="1" applyFont="1"/>
    <xf numFmtId="0" fontId="0" fillId="0" borderId="0" xfId="0" applyFont="1"/>
    <xf numFmtId="2" fontId="0" fillId="0" borderId="0" xfId="0" applyNumberFormat="1" applyAlignment="1">
      <alignment wrapText="1"/>
    </xf>
    <xf numFmtId="3" fontId="0" fillId="0" borderId="0" xfId="0" applyNumberFormat="1" applyFont="1"/>
    <xf numFmtId="3" fontId="0" fillId="0" borderId="0" xfId="0" applyNumberFormat="1"/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19" fillId="0" borderId="0" xfId="0" applyNumberFormat="1" applyFont="1" applyAlignment="1">
      <alignment wrapText="1"/>
    </xf>
    <xf numFmtId="3" fontId="19" fillId="0" borderId="0" xfId="0" applyNumberFormat="1" applyFont="1"/>
    <xf numFmtId="3" fontId="0" fillId="0" borderId="0" xfId="0" applyNumberFormat="1" applyAlignment="1">
      <alignment wrapText="1"/>
    </xf>
    <xf numFmtId="2" fontId="0" fillId="0" borderId="0" xfId="0" quotePrefix="1" applyNumberFormat="1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quotePrefix="1" applyNumberFormat="1" applyAlignment="1">
      <alignment horizontal="right"/>
    </xf>
    <xf numFmtId="3" fontId="22" fillId="0" borderId="0" xfId="0" applyNumberFormat="1" applyFont="1" applyAlignment="1">
      <alignment wrapText="1"/>
    </xf>
    <xf numFmtId="43" fontId="0" fillId="0" borderId="0" xfId="80" applyFont="1"/>
    <xf numFmtId="0" fontId="19" fillId="0" borderId="0" xfId="0" applyFont="1"/>
    <xf numFmtId="0" fontId="0" fillId="33" borderId="0" xfId="0" applyFill="1" applyAlignment="1">
      <alignment wrapText="1"/>
    </xf>
    <xf numFmtId="0" fontId="0" fillId="33" borderId="0" xfId="0" applyFill="1" applyBorder="1" applyAlignment="1">
      <alignment wrapText="1"/>
    </xf>
    <xf numFmtId="3" fontId="0" fillId="33" borderId="0" xfId="0" applyNumberFormat="1" applyFill="1" applyAlignment="1">
      <alignment wrapText="1"/>
    </xf>
    <xf numFmtId="1" fontId="2" fillId="33" borderId="0" xfId="0" applyNumberFormat="1" applyFont="1" applyFill="1"/>
    <xf numFmtId="164" fontId="0" fillId="0" borderId="0" xfId="0" applyNumberFormat="1" applyBorder="1"/>
    <xf numFmtId="0" fontId="0" fillId="0" borderId="0" xfId="0"/>
    <xf numFmtId="1" fontId="0" fillId="0" borderId="0" xfId="0" applyNumberFormat="1"/>
    <xf numFmtId="2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164" fontId="0" fillId="0" borderId="19" xfId="0" applyNumberFormat="1" applyBorder="1"/>
    <xf numFmtId="164" fontId="0" fillId="0" borderId="19" xfId="0" applyNumberFormat="1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Border="1"/>
    <xf numFmtId="0" fontId="0" fillId="0" borderId="26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Fill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1" xfId="0" applyNumberFormat="1" applyFill="1" applyBorder="1"/>
    <xf numFmtId="164" fontId="0" fillId="0" borderId="32" xfId="0" applyNumberFormat="1" applyFill="1" applyBorder="1"/>
    <xf numFmtId="164" fontId="0" fillId="0" borderId="33" xfId="0" applyNumberFormat="1" applyFill="1" applyBorder="1"/>
    <xf numFmtId="164" fontId="0" fillId="0" borderId="34" xfId="0" applyNumberFormat="1" applyFill="1" applyBorder="1"/>
    <xf numFmtId="164" fontId="0" fillId="0" borderId="35" xfId="0" applyNumberFormat="1" applyFill="1" applyBorder="1"/>
    <xf numFmtId="0" fontId="0" fillId="0" borderId="0" xfId="0"/>
    <xf numFmtId="164" fontId="0" fillId="0" borderId="30" xfId="0" applyNumberFormat="1" applyBorder="1"/>
    <xf numFmtId="164" fontId="0" fillId="0" borderId="32" xfId="0" applyNumberFormat="1" applyBorder="1"/>
    <xf numFmtId="164" fontId="0" fillId="0" borderId="37" xfId="0" applyNumberFormat="1" applyBorder="1"/>
    <xf numFmtId="164" fontId="0" fillId="0" borderId="36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1" xfId="0" applyNumberFormat="1" applyBorder="1"/>
    <xf numFmtId="164" fontId="0" fillId="0" borderId="19" xfId="0" applyNumberFormat="1" applyBorder="1"/>
    <xf numFmtId="164" fontId="0" fillId="0" borderId="33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165" fontId="0" fillId="0" borderId="0" xfId="0" applyNumberFormat="1"/>
    <xf numFmtId="164" fontId="0" fillId="0" borderId="38" xfId="0" applyNumberFormat="1" applyBorder="1"/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4" fontId="19" fillId="0" borderId="0" xfId="0" applyNumberFormat="1" applyFont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509">
    <cellStyle name="20% - Accent1" xfId="19" builtinId="30" customBuiltin="1"/>
    <cellStyle name="20% - Accent1 2" xfId="196"/>
    <cellStyle name="20% - Accent2" xfId="23" builtinId="34" customBuiltin="1"/>
    <cellStyle name="20% - Accent2 2" xfId="197"/>
    <cellStyle name="20% - Accent3" xfId="27" builtinId="38" customBuiltin="1"/>
    <cellStyle name="20% - Accent3 2" xfId="198"/>
    <cellStyle name="20% - Accent4" xfId="31" builtinId="42" customBuiltin="1"/>
    <cellStyle name="20% - Accent4 2" xfId="199"/>
    <cellStyle name="20% - Accent5" xfId="35" builtinId="46" customBuiltin="1"/>
    <cellStyle name="20% - Accent5 2" xfId="200"/>
    <cellStyle name="20% - Accent6" xfId="39" builtinId="50" customBuiltin="1"/>
    <cellStyle name="20% - Accent6 2" xfId="201"/>
    <cellStyle name="40% - Accent1" xfId="20" builtinId="31" customBuiltin="1"/>
    <cellStyle name="40% - Accent1 2" xfId="202"/>
    <cellStyle name="40% - Accent2" xfId="24" builtinId="35" customBuiltin="1"/>
    <cellStyle name="40% - Accent2 2" xfId="203"/>
    <cellStyle name="40% - Accent3" xfId="28" builtinId="39" customBuiltin="1"/>
    <cellStyle name="40% - Accent3 2" xfId="204"/>
    <cellStyle name="40% - Accent4" xfId="32" builtinId="43" customBuiltin="1"/>
    <cellStyle name="40% - Accent4 2" xfId="205"/>
    <cellStyle name="40% - Accent5" xfId="36" builtinId="47" customBuiltin="1"/>
    <cellStyle name="40% - Accent5 2" xfId="206"/>
    <cellStyle name="40% - Accent6" xfId="40" builtinId="51" customBuiltin="1"/>
    <cellStyle name="40% - Accent6 2" xfId="207"/>
    <cellStyle name="60% - Accent1" xfId="21" builtinId="32" customBuiltin="1"/>
    <cellStyle name="60% - Accent1 2" xfId="208"/>
    <cellStyle name="60% - Accent2" xfId="25" builtinId="36" customBuiltin="1"/>
    <cellStyle name="60% - Accent2 2" xfId="209"/>
    <cellStyle name="60% - Accent3" xfId="29" builtinId="40" customBuiltin="1"/>
    <cellStyle name="60% - Accent3 2" xfId="210"/>
    <cellStyle name="60% - Accent4" xfId="33" builtinId="44" customBuiltin="1"/>
    <cellStyle name="60% - Accent4 2" xfId="211"/>
    <cellStyle name="60% - Accent5" xfId="37" builtinId="48" customBuiltin="1"/>
    <cellStyle name="60% - Accent5 2" xfId="212"/>
    <cellStyle name="60% - Accent6" xfId="41" builtinId="52" customBuiltin="1"/>
    <cellStyle name="60% - Accent6 2" xfId="213"/>
    <cellStyle name="Accent1" xfId="18" builtinId="29" customBuiltin="1"/>
    <cellStyle name="Accent1 2" xfId="214"/>
    <cellStyle name="Accent2" xfId="22" builtinId="33" customBuiltin="1"/>
    <cellStyle name="Accent2 2" xfId="215"/>
    <cellStyle name="Accent3" xfId="26" builtinId="37" customBuiltin="1"/>
    <cellStyle name="Accent3 2" xfId="216"/>
    <cellStyle name="Accent4" xfId="30" builtinId="41" customBuiltin="1"/>
    <cellStyle name="Accent4 2" xfId="217"/>
    <cellStyle name="Accent5" xfId="34" builtinId="45" customBuiltin="1"/>
    <cellStyle name="Accent5 2" xfId="218"/>
    <cellStyle name="Accent6" xfId="38" builtinId="49" customBuiltin="1"/>
    <cellStyle name="Accent6 2" xfId="219"/>
    <cellStyle name="Bad" xfId="7" builtinId="27" customBuiltin="1"/>
    <cellStyle name="Bad 2" xfId="220"/>
    <cellStyle name="Calculation" xfId="11" builtinId="22" customBuiltin="1"/>
    <cellStyle name="Calculation 2" xfId="221"/>
    <cellStyle name="Check Cell" xfId="13" builtinId="23" customBuiltin="1"/>
    <cellStyle name="Check Cell 2" xfId="222"/>
    <cellStyle name="Comma" xfId="80" builtinId="3"/>
    <cellStyle name="Explanatory Text" xfId="16" builtinId="53" customBuiltin="1"/>
    <cellStyle name="Explanatory Text 2" xfId="223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250" builtinId="9" customBuiltin="1"/>
    <cellStyle name="Followed Hyperlink 2" xfId="252" hidden="1"/>
    <cellStyle name="Followed Hyperlink 2" xfId="244" hidden="1"/>
    <cellStyle name="Followed Hyperlink 2" xfId="247" hidden="1"/>
    <cellStyle name="Followed Hyperlink 2" xfId="286" hidden="1"/>
    <cellStyle name="Followed Hyperlink 2" xfId="280" hidden="1"/>
    <cellStyle name="Followed Hyperlink 2" xfId="283" hidden="1"/>
    <cellStyle name="Followed Hyperlink 2" xfId="302" hidden="1"/>
    <cellStyle name="Followed Hyperlink 2" xfId="296" hidden="1"/>
    <cellStyle name="Followed Hyperlink 2" xfId="299" hidden="1"/>
    <cellStyle name="Followed Hyperlink 2" xfId="318" hidden="1"/>
    <cellStyle name="Followed Hyperlink 2" xfId="312" hidden="1"/>
    <cellStyle name="Followed Hyperlink 2" xfId="315" hidden="1"/>
    <cellStyle name="Followed Hyperlink 2" xfId="334" hidden="1"/>
    <cellStyle name="Followed Hyperlink 2" xfId="328" hidden="1"/>
    <cellStyle name="Followed Hyperlink 2" xfId="331" hidden="1"/>
    <cellStyle name="Followed Hyperlink 2" xfId="350" hidden="1"/>
    <cellStyle name="Followed Hyperlink 2" xfId="344" hidden="1"/>
    <cellStyle name="Followed Hyperlink 2" xfId="347" hidden="1"/>
    <cellStyle name="Followed Hyperlink 2" xfId="366" hidden="1"/>
    <cellStyle name="Followed Hyperlink 2" xfId="360" hidden="1"/>
    <cellStyle name="Followed Hyperlink 2" xfId="363" hidden="1"/>
    <cellStyle name="Followed Hyperlink 2" xfId="382" hidden="1"/>
    <cellStyle name="Followed Hyperlink 2" xfId="376" hidden="1"/>
    <cellStyle name="Followed Hyperlink 2" xfId="379" hidden="1"/>
    <cellStyle name="Followed Hyperlink 2" xfId="398" hidden="1"/>
    <cellStyle name="Followed Hyperlink 2" xfId="392" hidden="1"/>
    <cellStyle name="Followed Hyperlink 2" xfId="395" hidden="1"/>
    <cellStyle name="Followed Hyperlink 2" xfId="414" hidden="1"/>
    <cellStyle name="Followed Hyperlink 2" xfId="408" hidden="1"/>
    <cellStyle name="Followed Hyperlink 2" xfId="411" hidden="1"/>
    <cellStyle name="Followed Hyperlink 2" xfId="432" hidden="1"/>
    <cellStyle name="Followed Hyperlink 2" xfId="426" hidden="1"/>
    <cellStyle name="Followed Hyperlink 2" xfId="429" hidden="1"/>
    <cellStyle name="Followed Hyperlink 2" xfId="450" hidden="1"/>
    <cellStyle name="Followed Hyperlink 2" xfId="444" hidden="1"/>
    <cellStyle name="Followed Hyperlink 2" xfId="447" hidden="1"/>
    <cellStyle name="Followed Hyperlink 2" xfId="472" hidden="1"/>
    <cellStyle name="Followed Hyperlink 2" xfId="466" hidden="1"/>
    <cellStyle name="Followed Hyperlink 2" xfId="469" hidden="1"/>
    <cellStyle name="Followed Hyperlink 2" xfId="488" hidden="1"/>
    <cellStyle name="Followed Hyperlink 2" xfId="482" hidden="1"/>
    <cellStyle name="Followed Hyperlink 2" xfId="485" hidden="1"/>
    <cellStyle name="Followed Hyperlink 2" xfId="504" hidden="1"/>
    <cellStyle name="Followed Hyperlink 2" xfId="498" hidden="1"/>
    <cellStyle name="Followed Hyperlink 2" xfId="501" hidden="1"/>
    <cellStyle name="Followed Hyperlink 3" xfId="254" hidden="1"/>
    <cellStyle name="Followed Hyperlink 3" xfId="242" hidden="1"/>
    <cellStyle name="Followed Hyperlink 3" xfId="248" hidden="1"/>
    <cellStyle name="Followed Hyperlink 3" xfId="288" hidden="1"/>
    <cellStyle name="Followed Hyperlink 3" xfId="278" hidden="1"/>
    <cellStyle name="Followed Hyperlink 3" xfId="284" hidden="1"/>
    <cellStyle name="Followed Hyperlink 3" xfId="304" hidden="1"/>
    <cellStyle name="Followed Hyperlink 3" xfId="294" hidden="1"/>
    <cellStyle name="Followed Hyperlink 3" xfId="300" hidden="1"/>
    <cellStyle name="Followed Hyperlink 3" xfId="320" hidden="1"/>
    <cellStyle name="Followed Hyperlink 3" xfId="310" hidden="1"/>
    <cellStyle name="Followed Hyperlink 3" xfId="316" hidden="1"/>
    <cellStyle name="Followed Hyperlink 3" xfId="336" hidden="1"/>
    <cellStyle name="Followed Hyperlink 3" xfId="326" hidden="1"/>
    <cellStyle name="Followed Hyperlink 3" xfId="332" hidden="1"/>
    <cellStyle name="Followed Hyperlink 3" xfId="352" hidden="1"/>
    <cellStyle name="Followed Hyperlink 3" xfId="342" hidden="1"/>
    <cellStyle name="Followed Hyperlink 3" xfId="348" hidden="1"/>
    <cellStyle name="Followed Hyperlink 3" xfId="368" hidden="1"/>
    <cellStyle name="Followed Hyperlink 3" xfId="358" hidden="1"/>
    <cellStyle name="Followed Hyperlink 3" xfId="364" hidden="1"/>
    <cellStyle name="Followed Hyperlink 3" xfId="384" hidden="1"/>
    <cellStyle name="Followed Hyperlink 3" xfId="374" hidden="1"/>
    <cellStyle name="Followed Hyperlink 3" xfId="380" hidden="1"/>
    <cellStyle name="Followed Hyperlink 3" xfId="400" hidden="1"/>
    <cellStyle name="Followed Hyperlink 3" xfId="390" hidden="1"/>
    <cellStyle name="Followed Hyperlink 3" xfId="396" hidden="1"/>
    <cellStyle name="Followed Hyperlink 3" xfId="416" hidden="1"/>
    <cellStyle name="Followed Hyperlink 3" xfId="406" hidden="1"/>
    <cellStyle name="Followed Hyperlink 3" xfId="412" hidden="1"/>
    <cellStyle name="Followed Hyperlink 3" xfId="434" hidden="1"/>
    <cellStyle name="Followed Hyperlink 3" xfId="424" hidden="1"/>
    <cellStyle name="Followed Hyperlink 3" xfId="430" hidden="1"/>
    <cellStyle name="Followed Hyperlink 3" xfId="452" hidden="1"/>
    <cellStyle name="Followed Hyperlink 3" xfId="442" hidden="1"/>
    <cellStyle name="Followed Hyperlink 3" xfId="448" hidden="1"/>
    <cellStyle name="Followed Hyperlink 3" xfId="474" hidden="1"/>
    <cellStyle name="Followed Hyperlink 3" xfId="464" hidden="1"/>
    <cellStyle name="Followed Hyperlink 3" xfId="470" hidden="1"/>
    <cellStyle name="Followed Hyperlink 3" xfId="490" hidden="1"/>
    <cellStyle name="Followed Hyperlink 3" xfId="480" hidden="1"/>
    <cellStyle name="Followed Hyperlink 3" xfId="486" hidden="1"/>
    <cellStyle name="Followed Hyperlink 3" xfId="506" hidden="1"/>
    <cellStyle name="Followed Hyperlink 3" xfId="496" hidden="1"/>
    <cellStyle name="Followed Hyperlink 3" xfId="502" hidden="1"/>
    <cellStyle name="Followed Hyperlink 4" xfId="256" hidden="1"/>
    <cellStyle name="Followed Hyperlink 4" xfId="246" hidden="1"/>
    <cellStyle name="Followed Hyperlink 4" xfId="241" hidden="1"/>
    <cellStyle name="Followed Hyperlink 4" xfId="290" hidden="1"/>
    <cellStyle name="Followed Hyperlink 4" xfId="282" hidden="1"/>
    <cellStyle name="Followed Hyperlink 4" xfId="277" hidden="1"/>
    <cellStyle name="Followed Hyperlink 4" xfId="306" hidden="1"/>
    <cellStyle name="Followed Hyperlink 4" xfId="298" hidden="1"/>
    <cellStyle name="Followed Hyperlink 4" xfId="293" hidden="1"/>
    <cellStyle name="Followed Hyperlink 4" xfId="322" hidden="1"/>
    <cellStyle name="Followed Hyperlink 4" xfId="314" hidden="1"/>
    <cellStyle name="Followed Hyperlink 4" xfId="309" hidden="1"/>
    <cellStyle name="Followed Hyperlink 4" xfId="338" hidden="1"/>
    <cellStyle name="Followed Hyperlink 4" xfId="330" hidden="1"/>
    <cellStyle name="Followed Hyperlink 4" xfId="325" hidden="1"/>
    <cellStyle name="Followed Hyperlink 4" xfId="354" hidden="1"/>
    <cellStyle name="Followed Hyperlink 4" xfId="346" hidden="1"/>
    <cellStyle name="Followed Hyperlink 4" xfId="341" hidden="1"/>
    <cellStyle name="Followed Hyperlink 4" xfId="370" hidden="1"/>
    <cellStyle name="Followed Hyperlink 4" xfId="362" hidden="1"/>
    <cellStyle name="Followed Hyperlink 4" xfId="357" hidden="1"/>
    <cellStyle name="Followed Hyperlink 4" xfId="386" hidden="1"/>
    <cellStyle name="Followed Hyperlink 4" xfId="378" hidden="1"/>
    <cellStyle name="Followed Hyperlink 4" xfId="373" hidden="1"/>
    <cellStyle name="Followed Hyperlink 4" xfId="402" hidden="1"/>
    <cellStyle name="Followed Hyperlink 4" xfId="394" hidden="1"/>
    <cellStyle name="Followed Hyperlink 4" xfId="389" hidden="1"/>
    <cellStyle name="Followed Hyperlink 4" xfId="418" hidden="1"/>
    <cellStyle name="Followed Hyperlink 4" xfId="410" hidden="1"/>
    <cellStyle name="Followed Hyperlink 4" xfId="405" hidden="1"/>
    <cellStyle name="Followed Hyperlink 4" xfId="436" hidden="1"/>
    <cellStyle name="Followed Hyperlink 4" xfId="428" hidden="1"/>
    <cellStyle name="Followed Hyperlink 4" xfId="423" hidden="1"/>
    <cellStyle name="Followed Hyperlink 4" xfId="454" hidden="1"/>
    <cellStyle name="Followed Hyperlink 4" xfId="446" hidden="1"/>
    <cellStyle name="Followed Hyperlink 4" xfId="441" hidden="1"/>
    <cellStyle name="Followed Hyperlink 4" xfId="476" hidden="1"/>
    <cellStyle name="Followed Hyperlink 4" xfId="468" hidden="1"/>
    <cellStyle name="Followed Hyperlink 4" xfId="463" hidden="1"/>
    <cellStyle name="Followed Hyperlink 4" xfId="492" hidden="1"/>
    <cellStyle name="Followed Hyperlink 4" xfId="484" hidden="1"/>
    <cellStyle name="Followed Hyperlink 4" xfId="479" hidden="1"/>
    <cellStyle name="Followed Hyperlink 4" xfId="508" hidden="1"/>
    <cellStyle name="Followed Hyperlink 4" xfId="500" hidden="1"/>
    <cellStyle name="Followed Hyperlink 4" xfId="495" hidden="1"/>
    <cellStyle name="Good" xfId="6" builtinId="26" customBuiltin="1"/>
    <cellStyle name="Good 2" xfId="224"/>
    <cellStyle name="Heading 1" xfId="2" builtinId="16" customBuiltin="1"/>
    <cellStyle name="Heading 1 2" xfId="225"/>
    <cellStyle name="Heading 2" xfId="3" builtinId="17" customBuiltin="1"/>
    <cellStyle name="Heading 2 2" xfId="226"/>
    <cellStyle name="Heading 3" xfId="4" builtinId="18" customBuiltin="1"/>
    <cellStyle name="Heading 3 2" xfId="227"/>
    <cellStyle name="Heading 4" xfId="5" builtinId="19" customBuiltin="1"/>
    <cellStyle name="Heading 4 2" xfId="228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249" builtinId="8" customBuiltin="1"/>
    <cellStyle name="Hyperlink 2" xfId="251" hidden="1"/>
    <cellStyle name="Hyperlink 2" xfId="240" hidden="1"/>
    <cellStyle name="Hyperlink 2" xfId="237" hidden="1"/>
    <cellStyle name="Hyperlink 2" xfId="285" hidden="1"/>
    <cellStyle name="Hyperlink 2" xfId="276" hidden="1"/>
    <cellStyle name="Hyperlink 2" xfId="273" hidden="1"/>
    <cellStyle name="Hyperlink 2" xfId="301" hidden="1"/>
    <cellStyle name="Hyperlink 2" xfId="292" hidden="1"/>
    <cellStyle name="Hyperlink 2" xfId="268" hidden="1"/>
    <cellStyle name="Hyperlink 2" xfId="317" hidden="1"/>
    <cellStyle name="Hyperlink 2" xfId="308" hidden="1"/>
    <cellStyle name="Hyperlink 2" xfId="258" hidden="1"/>
    <cellStyle name="Hyperlink 2" xfId="333" hidden="1"/>
    <cellStyle name="Hyperlink 2" xfId="324" hidden="1"/>
    <cellStyle name="Hyperlink 2" xfId="263" hidden="1"/>
    <cellStyle name="Hyperlink 2" xfId="349" hidden="1"/>
    <cellStyle name="Hyperlink 2" xfId="340" hidden="1"/>
    <cellStyle name="Hyperlink 2" xfId="259" hidden="1"/>
    <cellStyle name="Hyperlink 2" xfId="365" hidden="1"/>
    <cellStyle name="Hyperlink 2" xfId="356" hidden="1"/>
    <cellStyle name="Hyperlink 2" xfId="262" hidden="1"/>
    <cellStyle name="Hyperlink 2" xfId="381" hidden="1"/>
    <cellStyle name="Hyperlink 2" xfId="372" hidden="1"/>
    <cellStyle name="Hyperlink 2" xfId="264" hidden="1"/>
    <cellStyle name="Hyperlink 2" xfId="397" hidden="1"/>
    <cellStyle name="Hyperlink 2" xfId="388" hidden="1"/>
    <cellStyle name="Hyperlink 2" xfId="260" hidden="1"/>
    <cellStyle name="Hyperlink 2" xfId="413" hidden="1"/>
    <cellStyle name="Hyperlink 2" xfId="404" hidden="1"/>
    <cellStyle name="Hyperlink 2" xfId="261" hidden="1"/>
    <cellStyle name="Hyperlink 2" xfId="431" hidden="1"/>
    <cellStyle name="Hyperlink 2" xfId="422" hidden="1"/>
    <cellStyle name="Hyperlink 2" xfId="419" hidden="1"/>
    <cellStyle name="Hyperlink 2" xfId="449" hidden="1"/>
    <cellStyle name="Hyperlink 2" xfId="440" hidden="1"/>
    <cellStyle name="Hyperlink 2" xfId="437" hidden="1"/>
    <cellStyle name="Hyperlink 2" xfId="471" hidden="1"/>
    <cellStyle name="Hyperlink 2" xfId="462" hidden="1"/>
    <cellStyle name="Hyperlink 2" xfId="459" hidden="1"/>
    <cellStyle name="Hyperlink 2" xfId="487" hidden="1"/>
    <cellStyle name="Hyperlink 2" xfId="478" hidden="1"/>
    <cellStyle name="Hyperlink 2" xfId="457" hidden="1"/>
    <cellStyle name="Hyperlink 2" xfId="503" hidden="1"/>
    <cellStyle name="Hyperlink 2" xfId="494" hidden="1"/>
    <cellStyle name="Hyperlink 2" xfId="456" hidden="1"/>
    <cellStyle name="Hyperlink 3" xfId="253" hidden="1"/>
    <cellStyle name="Hyperlink 3" xfId="238" hidden="1"/>
    <cellStyle name="Hyperlink 3" xfId="239" hidden="1"/>
    <cellStyle name="Hyperlink 3" xfId="287" hidden="1"/>
    <cellStyle name="Hyperlink 3" xfId="274" hidden="1"/>
    <cellStyle name="Hyperlink 3" xfId="275" hidden="1"/>
    <cellStyle name="Hyperlink 3" xfId="303" hidden="1"/>
    <cellStyle name="Hyperlink 3" xfId="257" hidden="1"/>
    <cellStyle name="Hyperlink 3" xfId="291" hidden="1"/>
    <cellStyle name="Hyperlink 3" xfId="319" hidden="1"/>
    <cellStyle name="Hyperlink 3" xfId="265" hidden="1"/>
    <cellStyle name="Hyperlink 3" xfId="307" hidden="1"/>
    <cellStyle name="Hyperlink 3" xfId="335" hidden="1"/>
    <cellStyle name="Hyperlink 3" xfId="270" hidden="1"/>
    <cellStyle name="Hyperlink 3" xfId="323" hidden="1"/>
    <cellStyle name="Hyperlink 3" xfId="351" hidden="1"/>
    <cellStyle name="Hyperlink 3" xfId="266" hidden="1"/>
    <cellStyle name="Hyperlink 3" xfId="339" hidden="1"/>
    <cellStyle name="Hyperlink 3" xfId="367" hidden="1"/>
    <cellStyle name="Hyperlink 3" xfId="271" hidden="1"/>
    <cellStyle name="Hyperlink 3" xfId="355" hidden="1"/>
    <cellStyle name="Hyperlink 3" xfId="383" hidden="1"/>
    <cellStyle name="Hyperlink 3" xfId="267" hidden="1"/>
    <cellStyle name="Hyperlink 3" xfId="371" hidden="1"/>
    <cellStyle name="Hyperlink 3" xfId="399" hidden="1"/>
    <cellStyle name="Hyperlink 3" xfId="272" hidden="1"/>
    <cellStyle name="Hyperlink 3" xfId="387" hidden="1"/>
    <cellStyle name="Hyperlink 3" xfId="415" hidden="1"/>
    <cellStyle name="Hyperlink 3" xfId="269" hidden="1"/>
    <cellStyle name="Hyperlink 3" xfId="403" hidden="1"/>
    <cellStyle name="Hyperlink 3" xfId="433" hidden="1"/>
    <cellStyle name="Hyperlink 3" xfId="420" hidden="1"/>
    <cellStyle name="Hyperlink 3" xfId="421" hidden="1"/>
    <cellStyle name="Hyperlink 3" xfId="451" hidden="1"/>
    <cellStyle name="Hyperlink 3" xfId="438" hidden="1"/>
    <cellStyle name="Hyperlink 3" xfId="439" hidden="1"/>
    <cellStyle name="Hyperlink 3" xfId="473" hidden="1"/>
    <cellStyle name="Hyperlink 3" xfId="460" hidden="1"/>
    <cellStyle name="Hyperlink 3" xfId="461" hidden="1"/>
    <cellStyle name="Hyperlink 3" xfId="489" hidden="1"/>
    <cellStyle name="Hyperlink 3" xfId="455" hidden="1"/>
    <cellStyle name="Hyperlink 3" xfId="477" hidden="1"/>
    <cellStyle name="Hyperlink 3" xfId="505" hidden="1"/>
    <cellStyle name="Hyperlink 3" xfId="458" hidden="1"/>
    <cellStyle name="Hyperlink 3" xfId="493" hidden="1"/>
    <cellStyle name="Hyperlink 4" xfId="255" hidden="1"/>
    <cellStyle name="Hyperlink 4" xfId="243" hidden="1"/>
    <cellStyle name="Hyperlink 4" xfId="245" hidden="1"/>
    <cellStyle name="Hyperlink 4" xfId="289" hidden="1"/>
    <cellStyle name="Hyperlink 4" xfId="279" hidden="1"/>
    <cellStyle name="Hyperlink 4" xfId="281" hidden="1"/>
    <cellStyle name="Hyperlink 4" xfId="305" hidden="1"/>
    <cellStyle name="Hyperlink 4" xfId="295" hidden="1"/>
    <cellStyle name="Hyperlink 4" xfId="297" hidden="1"/>
    <cellStyle name="Hyperlink 4" xfId="321" hidden="1"/>
    <cellStyle name="Hyperlink 4" xfId="311" hidden="1"/>
    <cellStyle name="Hyperlink 4" xfId="313" hidden="1"/>
    <cellStyle name="Hyperlink 4" xfId="337" hidden="1"/>
    <cellStyle name="Hyperlink 4" xfId="327" hidden="1"/>
    <cellStyle name="Hyperlink 4" xfId="329" hidden="1"/>
    <cellStyle name="Hyperlink 4" xfId="353" hidden="1"/>
    <cellStyle name="Hyperlink 4" xfId="343" hidden="1"/>
    <cellStyle name="Hyperlink 4" xfId="345" hidden="1"/>
    <cellStyle name="Hyperlink 4" xfId="369" hidden="1"/>
    <cellStyle name="Hyperlink 4" xfId="359" hidden="1"/>
    <cellStyle name="Hyperlink 4" xfId="361" hidden="1"/>
    <cellStyle name="Hyperlink 4" xfId="385" hidden="1"/>
    <cellStyle name="Hyperlink 4" xfId="375" hidden="1"/>
    <cellStyle name="Hyperlink 4" xfId="377" hidden="1"/>
    <cellStyle name="Hyperlink 4" xfId="401" hidden="1"/>
    <cellStyle name="Hyperlink 4" xfId="391" hidden="1"/>
    <cellStyle name="Hyperlink 4" xfId="393" hidden="1"/>
    <cellStyle name="Hyperlink 4" xfId="417" hidden="1"/>
    <cellStyle name="Hyperlink 4" xfId="407" hidden="1"/>
    <cellStyle name="Hyperlink 4" xfId="409" hidden="1"/>
    <cellStyle name="Hyperlink 4" xfId="435" hidden="1"/>
    <cellStyle name="Hyperlink 4" xfId="425" hidden="1"/>
    <cellStyle name="Hyperlink 4" xfId="427" hidden="1"/>
    <cellStyle name="Hyperlink 4" xfId="453" hidden="1"/>
    <cellStyle name="Hyperlink 4" xfId="443" hidden="1"/>
    <cellStyle name="Hyperlink 4" xfId="445" hidden="1"/>
    <cellStyle name="Hyperlink 4" xfId="475" hidden="1"/>
    <cellStyle name="Hyperlink 4" xfId="465" hidden="1"/>
    <cellStyle name="Hyperlink 4" xfId="467" hidden="1"/>
    <cellStyle name="Hyperlink 4" xfId="491" hidden="1"/>
    <cellStyle name="Hyperlink 4" xfId="481" hidden="1"/>
    <cellStyle name="Hyperlink 4" xfId="483" hidden="1"/>
    <cellStyle name="Hyperlink 4" xfId="507" hidden="1"/>
    <cellStyle name="Hyperlink 4" xfId="497" hidden="1"/>
    <cellStyle name="Hyperlink 4" xfId="499" hidden="1"/>
    <cellStyle name="Input" xfId="9" builtinId="20" customBuiltin="1"/>
    <cellStyle name="Input 2" xfId="229"/>
    <cellStyle name="Linked Cell" xfId="12" builtinId="24" customBuiltin="1"/>
    <cellStyle name="Linked Cell 2" xfId="230"/>
    <cellStyle name="Neutral" xfId="8" builtinId="28" customBuiltin="1"/>
    <cellStyle name="Neutral 2" xfId="231"/>
    <cellStyle name="Normal" xfId="0" builtinId="0"/>
    <cellStyle name="Normal 2" xfId="195"/>
    <cellStyle name="Note" xfId="15" builtinId="10" customBuiltin="1"/>
    <cellStyle name="Note 2" xfId="232"/>
    <cellStyle name="Output" xfId="10" builtinId="21" customBuiltin="1"/>
    <cellStyle name="Output 2" xfId="233"/>
    <cellStyle name="Title" xfId="1" builtinId="15" customBuiltin="1"/>
    <cellStyle name="Title 2" xfId="234"/>
    <cellStyle name="Total" xfId="17" builtinId="25" customBuiltin="1"/>
    <cellStyle name="Total 2" xfId="235"/>
    <cellStyle name="Warning Text" xfId="14" builtinId="11" customBuiltin="1"/>
    <cellStyle name="Warning Text 2" xfId="23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63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1.xml"/><Relationship Id="rId66" Type="http://schemas.openxmlformats.org/officeDocument/2006/relationships/theme" Target="theme/theme1.xml"/><Relationship Id="rId67" Type="http://schemas.openxmlformats.org/officeDocument/2006/relationships/styles" Target="styles.xml"/><Relationship Id="rId68" Type="http://schemas.openxmlformats.org/officeDocument/2006/relationships/sharedStrings" Target="sharedStrings.xml"/><Relationship Id="rId69" Type="http://schemas.openxmlformats.org/officeDocument/2006/relationships/calcChain" Target="calcChain.xml"/><Relationship Id="rId50" Type="http://schemas.openxmlformats.org/officeDocument/2006/relationships/externalLink" Target="externalLinks/externalLink36.xml"/><Relationship Id="rId51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45.xml"/><Relationship Id="rId40" Type="http://schemas.openxmlformats.org/officeDocument/2006/relationships/externalLink" Target="externalLinks/externalLink26.xml"/><Relationship Id="rId41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2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externalLink" Target="externalLinks/externalLink8.xml"/><Relationship Id="rId23" Type="http://schemas.openxmlformats.org/officeDocument/2006/relationships/externalLink" Target="externalLinks/externalLink9.xml"/><Relationship Id="rId24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15.xml"/><Relationship Id="rId60" Type="http://schemas.openxmlformats.org/officeDocument/2006/relationships/externalLink" Target="externalLinks/externalLink46.xml"/><Relationship Id="rId61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48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tlanta,%20G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stin,%20T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ltimore,%20M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oston,%20M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uffalo,%20N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harlotte,%20N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hicago,%20I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incinnati,%20O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leveland,%20OH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lumbus,%20O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allas,%20TX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enver,%20C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etroit,%20M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and%20Rapids,%20M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ampton%20Roads,%20V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artford,%20C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onolulu,%20HI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ouston,%20TX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dianapolis,%20I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land%20Empi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acksonville,%20F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ansas%20City,%20MO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as%20Vegas,%20NV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os%20Angeles,%20C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Louisville,%20K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mphis,%20T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ilwaukee,%20WI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inneapolis,%20M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ashville,%20T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Orleans,%20L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York%20City,%20N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klahoma%20City,%20OK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rlando,%20F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Philadelphia,%20P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Phoenix,%20AZ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Pittsburgh,%20PA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Portland,%20O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Providence,%20RI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Raleigh,%20NC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Rochester,%20NY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Sacramento,%20C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Salt%20Lake%20City,%20UT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Antonio,%20TX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Diego,%20CA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Francisco,%20CA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San%20Jose,%20CA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Seattle,%20WA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Miami,%20FL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St.%20Louis,%20MO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Tampa%20Bay,%20F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Washington,%20D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1.3176983987201769</v>
          </cell>
        </row>
      </sheetData>
      <sheetData sheetId="1">
        <row r="14">
          <cell r="M14">
            <v>1.3041798798415318</v>
          </cell>
        </row>
        <row r="24">
          <cell r="K24">
            <v>1.3794149811619634</v>
          </cell>
          <cell r="L24">
            <v>1.3157020332333682</v>
          </cell>
          <cell r="M24">
            <v>1.277382171194746</v>
          </cell>
          <cell r="N24">
            <v>1.2522182557617958</v>
          </cell>
          <cell r="O24">
            <v>1.2343851268810277</v>
          </cell>
          <cell r="P24">
            <v>1.2220844387618242</v>
          </cell>
          <cell r="Q24">
            <v>1.2119364714264287</v>
          </cell>
          <cell r="R24">
            <v>1.2039045707227536</v>
          </cell>
          <cell r="S24">
            <v>1.197270048016269</v>
          </cell>
        </row>
      </sheetData>
      <sheetData sheetId="2">
        <row r="14">
          <cell r="K14">
            <v>1.2807571042817312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1.3822485406641993</v>
          </cell>
        </row>
      </sheetData>
      <sheetData sheetId="1">
        <row r="14">
          <cell r="M14">
            <v>1.3594015505526915</v>
          </cell>
        </row>
        <row r="24">
          <cell r="K24">
            <v>1.3965836559136842</v>
          </cell>
          <cell r="L24">
            <v>1.3828756291035995</v>
          </cell>
          <cell r="M24">
            <v>1.3559568799763722</v>
          </cell>
          <cell r="N24">
            <v>1.3340543253297621</v>
          </cell>
          <cell r="O24">
            <v>1.3146605064293353</v>
          </cell>
          <cell r="P24">
            <v>1.2986850640774117</v>
          </cell>
          <cell r="Q24">
            <v>1.2859272567065165</v>
          </cell>
          <cell r="R24">
            <v>1.275232209735718</v>
          </cell>
          <cell r="S24">
            <v>1.2676232456597074</v>
          </cell>
        </row>
      </sheetData>
      <sheetData sheetId="2">
        <row r="14">
          <cell r="K14">
            <v>1.3684381508690064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1.3161664975574106</v>
          </cell>
        </row>
      </sheetData>
      <sheetData sheetId="1">
        <row r="14">
          <cell r="M14">
            <v>1.2884528966868007</v>
          </cell>
        </row>
        <row r="24">
          <cell r="K24">
            <v>1.3553895308629194</v>
          </cell>
          <cell r="L24">
            <v>1.2950188214707048</v>
          </cell>
          <cell r="M24">
            <v>1.2629159984496836</v>
          </cell>
          <cell r="N24">
            <v>1.241973035714903</v>
          </cell>
          <cell r="O24">
            <v>1.2277641503228947</v>
          </cell>
          <cell r="P24">
            <v>1.219096781650074</v>
          </cell>
          <cell r="Q24">
            <v>1.2137406790089036</v>
          </cell>
          <cell r="R24">
            <v>1.2113349779208948</v>
          </cell>
          <cell r="S24">
            <v>1.2115601906349527</v>
          </cell>
        </row>
      </sheetData>
      <sheetData sheetId="2">
        <row r="14">
          <cell r="K14">
            <v>1.2894822675799416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1.2625869874976035</v>
          </cell>
        </row>
      </sheetData>
      <sheetData sheetId="1">
        <row r="14">
          <cell r="M14">
            <v>1.2757628369995242</v>
          </cell>
        </row>
        <row r="24">
          <cell r="K24">
            <v>1.3218966779948818</v>
          </cell>
          <cell r="L24">
            <v>1.2591049144229887</v>
          </cell>
          <cell r="M24">
            <v>1.224823473981425</v>
          </cell>
          <cell r="N24">
            <v>1.2083036736912636</v>
          </cell>
          <cell r="O24">
            <v>1.1981600358493794</v>
          </cell>
          <cell r="P24">
            <v>1.1922530135207596</v>
          </cell>
          <cell r="Q24">
            <v>1.1888351991034369</v>
          </cell>
          <cell r="R24">
            <v>1.1867711870318272</v>
          </cell>
          <cell r="S24">
            <v>1.1843400560567672</v>
          </cell>
        </row>
      </sheetData>
      <sheetData sheetId="2">
        <row r="14">
          <cell r="K14">
            <v>1.2711182010296465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1.2578441558348907</v>
          </cell>
        </row>
      </sheetData>
      <sheetData sheetId="1">
        <row r="14">
          <cell r="M14">
            <v>1.2560463761319964</v>
          </cell>
        </row>
        <row r="24">
          <cell r="K24">
            <v>1.2781328461764727</v>
          </cell>
          <cell r="L24">
            <v>1.2378136642204387</v>
          </cell>
          <cell r="M24">
            <v>1.2153632188052614</v>
          </cell>
          <cell r="N24">
            <v>1.2012191507795758</v>
          </cell>
          <cell r="O24">
            <v>1.1921182294652177</v>
          </cell>
          <cell r="P24">
            <v>1.1856225230260624</v>
          </cell>
          <cell r="Q24">
            <v>1.1808396571201218</v>
          </cell>
          <cell r="R24">
            <v>1.177150456163321</v>
          </cell>
          <cell r="S24">
            <v>1.1744390850186677</v>
          </cell>
        </row>
      </sheetData>
      <sheetData sheetId="2">
        <row r="14">
          <cell r="K14">
            <v>1.2362575760130783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1.2937899343558146</v>
          </cell>
        </row>
      </sheetData>
      <sheetData sheetId="1">
        <row r="14">
          <cell r="M14">
            <v>1.2996608173320829</v>
          </cell>
        </row>
        <row r="24">
          <cell r="K24">
            <v>1.3850358656052615</v>
          </cell>
          <cell r="L24">
            <v>1.3093507911063191</v>
          </cell>
          <cell r="M24">
            <v>1.2727722820087417</v>
          </cell>
          <cell r="N24">
            <v>1.2496185258545462</v>
          </cell>
          <cell r="O24">
            <v>1.2362160989566715</v>
          </cell>
          <cell r="P24">
            <v>1.2291117906328803</v>
          </cell>
          <cell r="Q24">
            <v>1.2247359431640967</v>
          </cell>
          <cell r="R24">
            <v>1.2142402320640244</v>
          </cell>
          <cell r="S24">
            <v>1.2206007378419359</v>
          </cell>
        </row>
      </sheetData>
      <sheetData sheetId="2">
        <row r="14">
          <cell r="M14">
            <v>1.2923792329731427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1.275007147828159</v>
          </cell>
        </row>
      </sheetData>
      <sheetData sheetId="1">
        <row r="14">
          <cell r="M14">
            <v>1.2572696710836337</v>
          </cell>
        </row>
        <row r="24">
          <cell r="K24">
            <v>1.3268247325815479</v>
          </cell>
          <cell r="L24">
            <v>1.2746829975191114</v>
          </cell>
          <cell r="M24">
            <v>1.2443638582661067</v>
          </cell>
          <cell r="N24">
            <v>1.2250744060553518</v>
          </cell>
          <cell r="O24">
            <v>1.2102128047420824</v>
          </cell>
          <cell r="P24">
            <v>1.1997053834772908</v>
          </cell>
          <cell r="Q24">
            <v>1.1909479168044974</v>
          </cell>
          <cell r="R24">
            <v>1.184717774513276</v>
          </cell>
          <cell r="S24">
            <v>1.1800793381164683</v>
          </cell>
        </row>
      </sheetData>
      <sheetData sheetId="2">
        <row r="14">
          <cell r="M14">
            <v>1.2664809012983005</v>
          </cell>
        </row>
      </sheetData>
      <sheetData sheetId="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1.3619637871060444</v>
          </cell>
        </row>
      </sheetData>
      <sheetData sheetId="1">
        <row r="14">
          <cell r="M14">
            <v>1.352340232177877</v>
          </cell>
        </row>
        <row r="24">
          <cell r="K24">
            <v>1.4218194575187977</v>
          </cell>
          <cell r="L24">
            <v>1.3361363092522838</v>
          </cell>
          <cell r="M24">
            <v>1.3079533981931</v>
          </cell>
          <cell r="N24">
            <v>1.2926910343618965</v>
          </cell>
          <cell r="O24">
            <v>1.278311142456642</v>
          </cell>
          <cell r="P24">
            <v>1.2714840664035174</v>
          </cell>
          <cell r="Q24">
            <v>1.2667491733231422</v>
          </cell>
          <cell r="R24">
            <v>1.264435337754819</v>
          </cell>
          <cell r="S24">
            <v>1.2610486496962503</v>
          </cell>
        </row>
      </sheetData>
      <sheetData sheetId="2">
        <row r="14">
          <cell r="M14">
            <v>1.346781828998644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1.243464159667574</v>
          </cell>
        </row>
      </sheetData>
      <sheetData sheetId="1">
        <row r="14">
          <cell r="M14">
            <v>1.2386711388791247</v>
          </cell>
        </row>
        <row r="24">
          <cell r="K24">
            <v>1.2874615484699874</v>
          </cell>
          <cell r="L24">
            <v>1.2240351976160513</v>
          </cell>
          <cell r="M24">
            <v>1.1963456562532266</v>
          </cell>
          <cell r="N24">
            <v>1.1805955763627878</v>
          </cell>
          <cell r="O24">
            <v>1.1707432163655211</v>
          </cell>
          <cell r="P24">
            <v>1.1653581060286888</v>
          </cell>
          <cell r="Q24">
            <v>1.1621016171922494</v>
          </cell>
          <cell r="R24">
            <v>1.15916441938689</v>
          </cell>
          <cell r="S24">
            <v>1.1569339520395503</v>
          </cell>
        </row>
      </sheetData>
      <sheetData sheetId="2">
        <row r="14">
          <cell r="M14">
            <v>1.2534594758359625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1.2812687539895762</v>
          </cell>
        </row>
      </sheetData>
      <sheetData sheetId="1">
        <row r="14">
          <cell r="M14">
            <v>1.2800899979738924</v>
          </cell>
        </row>
        <row r="24">
          <cell r="K24">
            <v>1.3211732291308345</v>
          </cell>
          <cell r="L24">
            <v>1.2660300919887804</v>
          </cell>
          <cell r="M24">
            <v>1.2318007117105125</v>
          </cell>
          <cell r="N24">
            <v>1.2124553551766681</v>
          </cell>
          <cell r="O24">
            <v>1.1995705003285038</v>
          </cell>
          <cell r="P24">
            <v>1.1898957814338935</v>
          </cell>
          <cell r="Q24">
            <v>1.183542306862122</v>
          </cell>
          <cell r="R24">
            <v>1.1788996888743091</v>
          </cell>
          <cell r="S24">
            <v>1.1759384342154522</v>
          </cell>
        </row>
      </sheetData>
      <sheetData sheetId="2">
        <row r="14">
          <cell r="M14">
            <v>1.2802489190189665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1.319105426942927</v>
          </cell>
        </row>
      </sheetData>
      <sheetData sheetId="1">
        <row r="14">
          <cell r="M14">
            <v>1.2979872607925949</v>
          </cell>
        </row>
        <row r="24">
          <cell r="K24">
            <v>1.3489383096006093</v>
          </cell>
          <cell r="L24">
            <v>1.3124304425407802</v>
          </cell>
          <cell r="M24">
            <v>1.2807382824125499</v>
          </cell>
          <cell r="N24">
            <v>1.2579633803655981</v>
          </cell>
          <cell r="O24">
            <v>1.2440120064290328</v>
          </cell>
          <cell r="P24">
            <v>1.2309440205397102</v>
          </cell>
          <cell r="Q24">
            <v>1.2193729675148768</v>
          </cell>
          <cell r="R24">
            <v>1.2091550470584023</v>
          </cell>
          <cell r="S24">
            <v>1.2002522476829509</v>
          </cell>
        </row>
      </sheetData>
      <sheetData sheetId="2">
        <row r="14">
          <cell r="M14">
            <v>1.2970009218776961</v>
          </cell>
        </row>
      </sheetData>
      <sheetData sheetId="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1.3741328750189923</v>
          </cell>
        </row>
      </sheetData>
      <sheetData sheetId="1">
        <row r="14">
          <cell r="M14">
            <v>1.3425914840966446</v>
          </cell>
        </row>
        <row r="24">
          <cell r="K24">
            <v>1.359087374496782</v>
          </cell>
          <cell r="L24">
            <v>1.3645121928036035</v>
          </cell>
          <cell r="M24">
            <v>1.3624170687198283</v>
          </cell>
          <cell r="N24">
            <v>1.3442031119981503</v>
          </cell>
          <cell r="O24">
            <v>1.3352477307392645</v>
          </cell>
          <cell r="P24">
            <v>1.3276568365990167</v>
          </cell>
          <cell r="Q24">
            <v>1.3202083793328145</v>
          </cell>
          <cell r="R24">
            <v>1.3134913106716788</v>
          </cell>
          <cell r="S24">
            <v>1.3104707921217478</v>
          </cell>
        </row>
      </sheetData>
      <sheetData sheetId="2">
        <row r="14">
          <cell r="M14">
            <v>1.3606698298113777</v>
          </cell>
        </row>
      </sheetData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1.2636376300485015</v>
          </cell>
        </row>
      </sheetData>
      <sheetData sheetId="1">
        <row r="14">
          <cell r="M14">
            <v>1.2625604761011948</v>
          </cell>
        </row>
        <row r="24">
          <cell r="K24">
            <v>1.3076805956202735</v>
          </cell>
          <cell r="L24">
            <v>1.2666607420839804</v>
          </cell>
          <cell r="M24">
            <v>1.2404706690512513</v>
          </cell>
          <cell r="N24">
            <v>1.2233122234408498</v>
          </cell>
          <cell r="O24">
            <v>1.2124781174465198</v>
          </cell>
          <cell r="P24">
            <v>1.2042531320189953</v>
          </cell>
          <cell r="Q24">
            <v>1.1988194858743704</v>
          </cell>
          <cell r="R24">
            <v>1.1948231585674078</v>
          </cell>
          <cell r="S24">
            <v>1.1919255954887613</v>
          </cell>
        </row>
      </sheetData>
      <sheetData sheetId="2">
        <row r="14">
          <cell r="M14">
            <v>1.2559987936287054</v>
          </cell>
        </row>
      </sheetData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1.2965218223033852</v>
          </cell>
        </row>
      </sheetData>
      <sheetData sheetId="1">
        <row r="14">
          <cell r="M14">
            <v>1.2937282455432477</v>
          </cell>
        </row>
        <row r="24">
          <cell r="K24">
            <v>1.333044375428845</v>
          </cell>
          <cell r="L24">
            <v>1.2972507514545506</v>
          </cell>
          <cell r="M24">
            <v>1.2691423531186306</v>
          </cell>
          <cell r="N24">
            <v>1.2540828830470812</v>
          </cell>
          <cell r="O24">
            <v>1.2450835724358407</v>
          </cell>
          <cell r="P24">
            <v>1.2399504797661269</v>
          </cell>
          <cell r="Q24">
            <v>1.2359442356366064</v>
          </cell>
          <cell r="R24">
            <v>1.2341094254813656</v>
          </cell>
          <cell r="S24">
            <v>1.2333929873842566</v>
          </cell>
        </row>
      </sheetData>
      <sheetData sheetId="2">
        <row r="14">
          <cell r="M14">
            <v>1.2986826132965654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1.367727470076618</v>
          </cell>
        </row>
      </sheetData>
      <sheetData sheetId="1">
        <row r="14">
          <cell r="M14">
            <v>1.3703528181909479</v>
          </cell>
        </row>
        <row r="24">
          <cell r="K24">
            <v>1.4488158168802765</v>
          </cell>
          <cell r="L24">
            <v>1.3772698461965009</v>
          </cell>
          <cell r="M24">
            <v>1.33286134896737</v>
          </cell>
          <cell r="N24">
            <v>1.3104065938842495</v>
          </cell>
          <cell r="O24">
            <v>1.3018592631885946</v>
          </cell>
          <cell r="P24">
            <v>1.3027672864567084</v>
          </cell>
          <cell r="Q24">
            <v>1.3090934331770356</v>
          </cell>
          <cell r="R24">
            <v>1.3145741534748603</v>
          </cell>
          <cell r="S24">
            <v>1.3216948690468169</v>
          </cell>
        </row>
      </sheetData>
      <sheetData sheetId="2">
        <row r="14">
          <cell r="M14">
            <v>1.3515468741706309</v>
          </cell>
        </row>
      </sheetData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1.2884912963976469</v>
          </cell>
        </row>
      </sheetData>
      <sheetData sheetId="1">
        <row r="14">
          <cell r="M14">
            <v>1.2902473351467056</v>
          </cell>
        </row>
        <row r="24">
          <cell r="K24">
            <v>1.3193656310596753</v>
          </cell>
          <cell r="L24">
            <v>1.2668320843698671</v>
          </cell>
          <cell r="M24">
            <v>1.2481884274968069</v>
          </cell>
          <cell r="N24">
            <v>1.2353693886062498</v>
          </cell>
          <cell r="O24">
            <v>1.2275720367568776</v>
          </cell>
          <cell r="P24">
            <v>1.2235905996964451</v>
          </cell>
          <cell r="Q24">
            <v>1.220435517139151</v>
          </cell>
          <cell r="R24">
            <v>1.219127930649105</v>
          </cell>
          <cell r="S24">
            <v>1.2189440766417452</v>
          </cell>
        </row>
      </sheetData>
      <sheetData sheetId="2">
        <row r="14">
          <cell r="M14">
            <v>1.2824877524395879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1.4352364311049759</v>
          </cell>
        </row>
      </sheetData>
      <sheetData sheetId="1">
        <row r="14">
          <cell r="M14">
            <v>1.4070046481503795</v>
          </cell>
        </row>
        <row r="24">
          <cell r="K24">
            <v>1.3897112960764897</v>
          </cell>
          <cell r="L24">
            <v>1.3789645464267373</v>
          </cell>
          <cell r="M24">
            <v>1.4345760151247269</v>
          </cell>
          <cell r="N24">
            <v>1.4385434202611773</v>
          </cell>
          <cell r="O24">
            <v>1.4430980214790774</v>
          </cell>
          <cell r="P24">
            <v>1.4504032271365455</v>
          </cell>
          <cell r="Q24">
            <v>1.4583947115917961</v>
          </cell>
          <cell r="R24">
            <v>1.4620608998697906</v>
          </cell>
          <cell r="S24">
            <v>1.4625638767711695</v>
          </cell>
        </row>
      </sheetData>
      <sheetData sheetId="2">
        <row r="14">
          <cell r="M14">
            <v>1.4201531954018773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1.346990060684963</v>
          </cell>
        </row>
      </sheetData>
      <sheetData sheetId="1">
        <row r="14">
          <cell r="M14">
            <v>1.3286757241969671</v>
          </cell>
        </row>
        <row r="24">
          <cell r="K24">
            <v>1.3702791459157309</v>
          </cell>
          <cell r="L24">
            <v>1.3591508074014103</v>
          </cell>
          <cell r="M24">
            <v>1.3256758820161785</v>
          </cell>
          <cell r="N24">
            <v>1.3021894411274739</v>
          </cell>
          <cell r="O24">
            <v>1.2854059986592492</v>
          </cell>
          <cell r="P24">
            <v>1.2697550623600664</v>
          </cell>
          <cell r="Q24">
            <v>1.2582598860553782</v>
          </cell>
          <cell r="R24">
            <v>1.2496789685528904</v>
          </cell>
          <cell r="S24">
            <v>1.2429210709119736</v>
          </cell>
        </row>
      </sheetData>
      <sheetData sheetId="2">
        <row r="14">
          <cell r="M14">
            <v>1.3380063582904949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1.2844550906426973</v>
          </cell>
        </row>
      </sheetData>
      <sheetData sheetId="1">
        <row r="14">
          <cell r="M14">
            <v>1.2915369082760655</v>
          </cell>
        </row>
        <row r="24">
          <cell r="K24">
            <v>1.3488678199601605</v>
          </cell>
          <cell r="L24">
            <v>1.2928614336114883</v>
          </cell>
          <cell r="M24">
            <v>1.2574853167659508</v>
          </cell>
          <cell r="N24">
            <v>1.2352371312880448</v>
          </cell>
          <cell r="O24">
            <v>1.2195803066681994</v>
          </cell>
          <cell r="P24">
            <v>1.2090913485990811</v>
          </cell>
          <cell r="Q24">
            <v>1.2012103014721891</v>
          </cell>
          <cell r="R24">
            <v>1.1955482791344592</v>
          </cell>
          <cell r="S24">
            <v>1.1911732672424977</v>
          </cell>
        </row>
      </sheetData>
      <sheetData sheetId="2">
        <row r="14">
          <cell r="M14">
            <v>1.2767133750012463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1.3675530233634587</v>
          </cell>
        </row>
      </sheetData>
      <sheetData sheetId="1">
        <row r="14">
          <cell r="M14">
            <v>1.3466069354789227</v>
          </cell>
        </row>
        <row r="24">
          <cell r="K24">
            <v>1.3681548557259369</v>
          </cell>
          <cell r="L24">
            <v>1.3832293494151615</v>
          </cell>
          <cell r="M24">
            <v>1.358982264831871</v>
          </cell>
          <cell r="N24">
            <v>1.3487422082338905</v>
          </cell>
          <cell r="O24">
            <v>1.3428497354800004</v>
          </cell>
          <cell r="P24">
            <v>1.3357289838271622</v>
          </cell>
          <cell r="Q24">
            <v>1.3290744574755469</v>
          </cell>
          <cell r="R24">
            <v>1.3211799054302493</v>
          </cell>
          <cell r="S24">
            <v>1.3180757902251596</v>
          </cell>
        </row>
      </sheetData>
      <sheetData sheetId="2">
        <row r="14">
          <cell r="M14">
            <v>1.3225845330212038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1.3616274063864398</v>
          </cell>
        </row>
      </sheetData>
      <sheetData sheetId="1">
        <row r="14">
          <cell r="M14">
            <v>1.38016965220282</v>
          </cell>
        </row>
        <row r="24">
          <cell r="K24">
            <v>1.4208874155489499</v>
          </cell>
          <cell r="L24">
            <v>1.3974871890605931</v>
          </cell>
          <cell r="M24">
            <v>1.3650878893320424</v>
          </cell>
          <cell r="N24">
            <v>1.3444632410423609</v>
          </cell>
          <cell r="O24">
            <v>1.3281521441278763</v>
          </cell>
          <cell r="P24">
            <v>1.3149776646779339</v>
          </cell>
          <cell r="Q24">
            <v>1.3068389112987391</v>
          </cell>
          <cell r="R24">
            <v>1.3007096204396755</v>
          </cell>
          <cell r="S24">
            <v>1.2965501526898231</v>
          </cell>
        </row>
      </sheetData>
      <sheetData sheetId="2">
        <row r="14">
          <cell r="M14">
            <v>1.3465324365046256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1.3187575174107784</v>
          </cell>
        </row>
      </sheetData>
      <sheetData sheetId="1">
        <row r="14">
          <cell r="M14">
            <v>1.3104852985223703</v>
          </cell>
        </row>
        <row r="24">
          <cell r="K24">
            <v>1.3468144074036565</v>
          </cell>
          <cell r="L24">
            <v>1.3100545868250937</v>
          </cell>
          <cell r="M24">
            <v>1.2891952834704137</v>
          </cell>
          <cell r="N24">
            <v>1.2721274780071143</v>
          </cell>
          <cell r="O24">
            <v>1.260951367742545</v>
          </cell>
          <cell r="P24">
            <v>1.2505370553354251</v>
          </cell>
          <cell r="Q24">
            <v>1.2430838792741741</v>
          </cell>
          <cell r="R24">
            <v>1.236981758474198</v>
          </cell>
          <cell r="S24">
            <v>1.2336222029544657</v>
          </cell>
        </row>
      </sheetData>
      <sheetData sheetId="2">
        <row r="14">
          <cell r="M14">
            <v>1.2938950406425029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1.3192781771865358</v>
          </cell>
        </row>
      </sheetData>
      <sheetData sheetId="1">
        <row r="14">
          <cell r="M14">
            <v>1.3294111740417367</v>
          </cell>
        </row>
        <row r="24">
          <cell r="K24">
            <v>1.3370217985664918</v>
          </cell>
          <cell r="L24">
            <v>1.3363866242621312</v>
          </cell>
          <cell r="M24">
            <v>1.3357992608385252</v>
          </cell>
          <cell r="N24">
            <v>1.3380426267568104</v>
          </cell>
          <cell r="O24">
            <v>1.3387178028445357</v>
          </cell>
          <cell r="P24">
            <v>1.3388863814804914</v>
          </cell>
          <cell r="Q24">
            <v>1.3374697435173433</v>
          </cell>
          <cell r="R24">
            <v>1.3364317768339691</v>
          </cell>
          <cell r="S24">
            <v>1.3361795601528677</v>
          </cell>
        </row>
      </sheetData>
      <sheetData sheetId="2">
        <row r="14">
          <cell r="M14">
            <v>1.3164783442303913</v>
          </cell>
        </row>
      </sheetData>
      <sheetData sheetId="3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1.3069694229918734</v>
          </cell>
        </row>
      </sheetData>
      <sheetData sheetId="1">
        <row r="14">
          <cell r="M14">
            <v>1.275870546891803</v>
          </cell>
        </row>
        <row r="24">
          <cell r="K24">
            <v>1.3204750649321098</v>
          </cell>
          <cell r="L24">
            <v>1.2842805673772817</v>
          </cell>
          <cell r="M24">
            <v>1.2561116913129733</v>
          </cell>
          <cell r="N24">
            <v>1.2435201666903379</v>
          </cell>
          <cell r="O24">
            <v>1.2352861702677442</v>
          </cell>
          <cell r="P24">
            <v>1.2308234563011322</v>
          </cell>
          <cell r="Q24">
            <v>1.2292552252506423</v>
          </cell>
          <cell r="R24">
            <v>1.2302944348754707</v>
          </cell>
          <cell r="S24">
            <v>1.2331588006074046</v>
          </cell>
        </row>
      </sheetData>
      <sheetData sheetId="2">
        <row r="14">
          <cell r="M14">
            <v>1.273631038348862</v>
          </cell>
        </row>
      </sheetData>
      <sheetData sheetId="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1.3581345772152313</v>
          </cell>
        </row>
      </sheetData>
      <sheetData sheetId="1">
        <row r="14">
          <cell r="M14">
            <v>1.3698274289231505</v>
          </cell>
        </row>
        <row r="24">
          <cell r="K24">
            <v>1.4104777673151672</v>
          </cell>
          <cell r="L24">
            <v>1.3638472371305759</v>
          </cell>
          <cell r="M24">
            <v>1.3315074307179493</v>
          </cell>
          <cell r="N24">
            <v>1.3133710009486699</v>
          </cell>
          <cell r="O24">
            <v>1.3023257892532003</v>
          </cell>
          <cell r="P24">
            <v>1.296112586143717</v>
          </cell>
          <cell r="Q24">
            <v>1.2944463386591094</v>
          </cell>
          <cell r="R24">
            <v>1.2954053626339028</v>
          </cell>
          <cell r="S24">
            <v>1.3000371072973886</v>
          </cell>
        </row>
      </sheetData>
      <sheetData sheetId="2">
        <row r="14">
          <cell r="M14">
            <v>1.3974135693660048</v>
          </cell>
        </row>
      </sheetData>
      <sheetData sheetId="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1.3305281509449185</v>
          </cell>
        </row>
      </sheetData>
      <sheetData sheetId="1">
        <row r="14">
          <cell r="M14">
            <v>1.3395982771030672</v>
          </cell>
        </row>
        <row r="24">
          <cell r="K24">
            <v>1.3956795616705349</v>
          </cell>
          <cell r="L24">
            <v>1.3532646739122924</v>
          </cell>
          <cell r="M24">
            <v>1.3251931697179655</v>
          </cell>
          <cell r="N24">
            <v>1.3040973992371134</v>
          </cell>
          <cell r="O24">
            <v>1.2855937423383883</v>
          </cell>
          <cell r="P24">
            <v>1.2742871207174382</v>
          </cell>
          <cell r="Q24">
            <v>1.2681540262370201</v>
          </cell>
          <cell r="R24">
            <v>1.2654725937451707</v>
          </cell>
          <cell r="S24">
            <v>1.264721877219898</v>
          </cell>
        </row>
      </sheetData>
      <sheetData sheetId="2">
        <row r="14">
          <cell r="M14">
            <v>1.3193642020009688</v>
          </cell>
        </row>
      </sheetData>
      <sheetData sheetId="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1.2378357921905436</v>
          </cell>
        </row>
      </sheetData>
      <sheetData sheetId="1">
        <row r="14">
          <cell r="M14">
            <v>1.2543575950391952</v>
          </cell>
        </row>
        <row r="24">
          <cell r="K24">
            <v>1.2891527648949177</v>
          </cell>
          <cell r="L24">
            <v>1.2361322131572663</v>
          </cell>
          <cell r="M24">
            <v>1.2090232904836757</v>
          </cell>
          <cell r="N24">
            <v>1.194758035210173</v>
          </cell>
          <cell r="O24">
            <v>1.1856457781021521</v>
          </cell>
          <cell r="P24">
            <v>1.1797064153855987</v>
          </cell>
          <cell r="Q24">
            <v>1.1757944886828606</v>
          </cell>
          <cell r="R24">
            <v>1.1738743598449186</v>
          </cell>
          <cell r="S24">
            <v>1.1739192330214512</v>
          </cell>
        </row>
      </sheetData>
      <sheetData sheetId="2">
        <row r="14">
          <cell r="M14">
            <v>1.2348247986798617</v>
          </cell>
        </row>
      </sheetData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1.3104939130605076</v>
          </cell>
        </row>
      </sheetData>
      <sheetData sheetId="1">
        <row r="14">
          <cell r="M14">
            <v>1.2903240285053357</v>
          </cell>
        </row>
        <row r="24">
          <cell r="K24">
            <v>1.3631972364714742</v>
          </cell>
          <cell r="L24">
            <v>1.2987721802626533</v>
          </cell>
          <cell r="M24">
            <v>1.2663204916847495</v>
          </cell>
          <cell r="N24">
            <v>1.2497082381994984</v>
          </cell>
          <cell r="O24">
            <v>1.236196286175002</v>
          </cell>
          <cell r="P24">
            <v>1.2276081587009786</v>
          </cell>
          <cell r="Q24">
            <v>1.2190258818005368</v>
          </cell>
          <cell r="R24">
            <v>1.2115563910021403</v>
          </cell>
          <cell r="S24">
            <v>1.2057332857453171</v>
          </cell>
        </row>
      </sheetData>
      <sheetData sheetId="2">
        <row r="14">
          <cell r="M14">
            <v>1.3006662698584941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1.3663109771332131</v>
          </cell>
        </row>
      </sheetData>
      <sheetData sheetId="1">
        <row r="14">
          <cell r="M14">
            <v>1.4143616306352653</v>
          </cell>
        </row>
        <row r="24">
          <cell r="K24">
            <v>1.4676806157574025</v>
          </cell>
          <cell r="L24">
            <v>1.4231432529786021</v>
          </cell>
          <cell r="M24">
            <v>1.3801075382586201</v>
          </cell>
          <cell r="N24">
            <v>1.3573621949948915</v>
          </cell>
          <cell r="O24">
            <v>1.3398349765569897</v>
          </cell>
          <cell r="P24">
            <v>1.3252661972176361</v>
          </cell>
          <cell r="Q24">
            <v>1.3121928723308884</v>
          </cell>
          <cell r="R24">
            <v>1.3016525744538432</v>
          </cell>
          <cell r="S24">
            <v>1.2927428976800106</v>
          </cell>
        </row>
      </sheetData>
      <sheetData sheetId="2">
        <row r="14">
          <cell r="M14">
            <v>1.3652019036795315</v>
          </cell>
        </row>
      </sheetData>
      <sheetData sheetId="3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1.3904185701339111</v>
          </cell>
        </row>
      </sheetData>
      <sheetData sheetId="1">
        <row r="14">
          <cell r="M14">
            <v>1.3628619070943169</v>
          </cell>
        </row>
        <row r="24">
          <cell r="K24">
            <v>1.3950623483411841</v>
          </cell>
          <cell r="L24">
            <v>1.3650398146680178</v>
          </cell>
          <cell r="M24">
            <v>1.3350927949246025</v>
          </cell>
          <cell r="N24">
            <v>1.3143268546747766</v>
          </cell>
          <cell r="O24">
            <v>1.3043409575027876</v>
          </cell>
          <cell r="P24">
            <v>1.3006707215343141</v>
          </cell>
          <cell r="Q24">
            <v>1.3071078254450557</v>
          </cell>
          <cell r="R24">
            <v>1.3214772641258683</v>
          </cell>
          <cell r="S24">
            <v>1.3330135876488414</v>
          </cell>
        </row>
      </sheetData>
      <sheetData sheetId="2">
        <row r="14">
          <cell r="M14">
            <v>1.3651717714607812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1.3000907483000184</v>
          </cell>
        </row>
      </sheetData>
      <sheetData sheetId="1">
        <row r="14">
          <cell r="M14">
            <v>1.2979863592894043</v>
          </cell>
        </row>
        <row r="24">
          <cell r="K24">
            <v>1.3553383712449574</v>
          </cell>
          <cell r="L24">
            <v>1.2991986539036269</v>
          </cell>
          <cell r="M24">
            <v>1.2662626287716936</v>
          </cell>
          <cell r="N24">
            <v>1.2498430790883075</v>
          </cell>
          <cell r="O24">
            <v>1.2369435869548919</v>
          </cell>
          <cell r="P24">
            <v>1.2267129939635493</v>
          </cell>
          <cell r="Q24">
            <v>1.2183813470006961</v>
          </cell>
          <cell r="R24">
            <v>1.2130954343370983</v>
          </cell>
          <cell r="S24">
            <v>1.2106142764802332</v>
          </cell>
        </row>
      </sheetData>
      <sheetData sheetId="2">
        <row r="14">
          <cell r="M14">
            <v>1.2926918455295733</v>
          </cell>
        </row>
      </sheetData>
      <sheetData sheetId="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1.3155578369348055</v>
          </cell>
        </row>
      </sheetData>
      <sheetData sheetId="1">
        <row r="14">
          <cell r="M14">
            <v>1.3148530420031499</v>
          </cell>
        </row>
        <row r="24">
          <cell r="K24">
            <v>1.3557576382913992</v>
          </cell>
          <cell r="L24">
            <v>1.3177275680450702</v>
          </cell>
          <cell r="M24">
            <v>1.2967907813321766</v>
          </cell>
          <cell r="N24">
            <v>1.2786718249910956</v>
          </cell>
          <cell r="O24">
            <v>1.2646048380286166</v>
          </cell>
          <cell r="P24">
            <v>1.2533188324747175</v>
          </cell>
          <cell r="Q24">
            <v>1.2445778552587923</v>
          </cell>
          <cell r="R24">
            <v>1.2377226598834135</v>
          </cell>
          <cell r="S24">
            <v>1.2328346506072771</v>
          </cell>
        </row>
      </sheetData>
      <sheetData sheetId="2">
        <row r="14">
          <cell r="M14">
            <v>1.297336317910232</v>
          </cell>
        </row>
      </sheetData>
      <sheetData sheetId="3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1.3795872253468273</v>
          </cell>
        </row>
      </sheetData>
      <sheetData sheetId="1">
        <row r="14">
          <cell r="M14">
            <v>1.3285757349498153</v>
          </cell>
        </row>
        <row r="24">
          <cell r="K24">
            <v>1.3729301491749999</v>
          </cell>
          <cell r="L24">
            <v>1.3367322675178506</v>
          </cell>
          <cell r="M24">
            <v>1.3124498405407798</v>
          </cell>
          <cell r="N24">
            <v>1.2956393515451121</v>
          </cell>
          <cell r="O24">
            <v>1.2845455265090662</v>
          </cell>
          <cell r="P24">
            <v>1.2777769397089942</v>
          </cell>
          <cell r="Q24">
            <v>1.2721723423067837</v>
          </cell>
          <cell r="R24">
            <v>1.2697044700607121</v>
          </cell>
          <cell r="S24">
            <v>1.2671796412298331</v>
          </cell>
        </row>
      </sheetData>
      <sheetData sheetId="2">
        <row r="14">
          <cell r="M14">
            <v>1.3583174319242723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1.2691430364308398</v>
          </cell>
        </row>
      </sheetData>
      <sheetData sheetId="1">
        <row r="14">
          <cell r="M14">
            <v>1.270589105185578</v>
          </cell>
        </row>
        <row r="24">
          <cell r="K24">
            <v>1.3170343911047411</v>
          </cell>
          <cell r="L24">
            <v>1.2522964899975129</v>
          </cell>
          <cell r="M24">
            <v>1.2192698044836818</v>
          </cell>
          <cell r="N24">
            <v>1.2017508186336832</v>
          </cell>
          <cell r="O24">
            <v>1.1904623684865012</v>
          </cell>
          <cell r="P24">
            <v>1.1821917542948417</v>
          </cell>
          <cell r="Q24">
            <v>1.1752189030826308</v>
          </cell>
          <cell r="R24">
            <v>1.1694593523593295</v>
          </cell>
          <cell r="S24">
            <v>1.1650001894224682</v>
          </cell>
        </row>
      </sheetData>
      <sheetData sheetId="2">
        <row r="14">
          <cell r="M14">
            <v>1.2539586923602402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1.3305116292877421</v>
          </cell>
        </row>
      </sheetData>
      <sheetData sheetId="1">
        <row r="14">
          <cell r="M14">
            <v>1.3383980523962744</v>
          </cell>
        </row>
        <row r="24">
          <cell r="K24">
            <v>1.3654756153734526</v>
          </cell>
          <cell r="L24">
            <v>1.3537969670023915</v>
          </cell>
          <cell r="M24">
            <v>1.3350077872231905</v>
          </cell>
          <cell r="N24">
            <v>1.3223138537990862</v>
          </cell>
          <cell r="O24">
            <v>1.3124725655296565</v>
          </cell>
          <cell r="P24">
            <v>1.3048098988433554</v>
          </cell>
          <cell r="Q24">
            <v>1.3000415167328212</v>
          </cell>
          <cell r="R24">
            <v>1.2966216191463009</v>
          </cell>
          <cell r="S24">
            <v>1.2935690740771228</v>
          </cell>
        </row>
      </sheetData>
      <sheetData sheetId="2">
        <row r="14">
          <cell r="M14">
            <v>1.3100982413481645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1.3743866676775569</v>
          </cell>
        </row>
      </sheetData>
      <sheetData sheetId="1">
        <row r="14">
          <cell r="M14">
            <v>1.3772498743519488</v>
          </cell>
        </row>
        <row r="24">
          <cell r="K24">
            <v>1.4225893665687803</v>
          </cell>
          <cell r="L24">
            <v>1.3407201231248913</v>
          </cell>
          <cell r="M24">
            <v>1.303232635642618</v>
          </cell>
          <cell r="N24">
            <v>1.2817842722978614</v>
          </cell>
          <cell r="O24">
            <v>1.2654254316691831</v>
          </cell>
          <cell r="P24">
            <v>1.2524970796019175</v>
          </cell>
          <cell r="Q24">
            <v>1.2428095550962583</v>
          </cell>
          <cell r="R24">
            <v>1.2358291642611903</v>
          </cell>
          <cell r="S24">
            <v>1.2304769714182997</v>
          </cell>
        </row>
      </sheetData>
      <sheetData sheetId="2">
        <row r="14">
          <cell r="M14">
            <v>1.3795878166286508</v>
          </cell>
        </row>
      </sheetData>
      <sheetData sheetId="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  <sheetName val="2000 (1)"/>
      <sheetName val="2000 (2)"/>
    </sheetNames>
    <sheetDataSet>
      <sheetData sheetId="0">
        <row r="14">
          <cell r="M14">
            <v>1.4841392357363499</v>
          </cell>
        </row>
      </sheetData>
      <sheetData sheetId="1">
        <row r="14">
          <cell r="M14">
            <v>1.4620719836811387</v>
          </cell>
        </row>
        <row r="24">
          <cell r="K24">
            <v>1.497231860923961</v>
          </cell>
          <cell r="L24">
            <v>1.497870250379743</v>
          </cell>
          <cell r="M24">
            <v>1.4641031792120254</v>
          </cell>
          <cell r="N24">
            <v>1.4488770189259779</v>
          </cell>
          <cell r="O24">
            <v>1.4341566094342491</v>
          </cell>
          <cell r="P24">
            <v>1.4225778372422739</v>
          </cell>
          <cell r="Q24">
            <v>1.416923050931576</v>
          </cell>
          <cell r="R24">
            <v>1.4127784794158622</v>
          </cell>
          <cell r="S24">
            <v>1.4115063877313381</v>
          </cell>
        </row>
      </sheetData>
      <sheetData sheetId="2">
        <row r="14">
          <cell r="M14">
            <v>1.4539961958494048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1.3216136747309144</v>
          </cell>
        </row>
      </sheetData>
      <sheetData sheetId="1">
        <row r="14">
          <cell r="M14">
            <v>1.2961120492235461</v>
          </cell>
        </row>
        <row r="24">
          <cell r="K24">
            <v>1.3248231024651607</v>
          </cell>
          <cell r="L24">
            <v>1.2799992729673748</v>
          </cell>
          <cell r="M24">
            <v>1.2557177280711931</v>
          </cell>
          <cell r="N24">
            <v>1.2418056503342398</v>
          </cell>
          <cell r="O24">
            <v>1.2289095956943288</v>
          </cell>
          <cell r="P24">
            <v>1.2268427061874936</v>
          </cell>
          <cell r="Q24">
            <v>1.2357077469651359</v>
          </cell>
          <cell r="R24">
            <v>1.2543582471342962</v>
          </cell>
          <cell r="S24">
            <v>1.2775150349767577</v>
          </cell>
        </row>
      </sheetData>
      <sheetData sheetId="2">
        <row r="14">
          <cell r="M14">
            <v>1.2961120492235461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1.2963510647983585</v>
          </cell>
        </row>
      </sheetData>
      <sheetData sheetId="1">
        <row r="14">
          <cell r="M14">
            <v>1.2871599595095473</v>
          </cell>
        </row>
        <row r="24">
          <cell r="K24">
            <v>1.3721700809670998</v>
          </cell>
          <cell r="L24">
            <v>1.303041771028012</v>
          </cell>
          <cell r="M24">
            <v>1.2616296466943198</v>
          </cell>
          <cell r="N24">
            <v>1.2359949913684607</v>
          </cell>
          <cell r="O24">
            <v>1.2183864320048754</v>
          </cell>
          <cell r="P24">
            <v>1.2062063895874686</v>
          </cell>
          <cell r="Q24">
            <v>1.1984192034035577</v>
          </cell>
          <cell r="R24">
            <v>1.1937612048010895</v>
          </cell>
          <cell r="S24">
            <v>1.1912350631549053</v>
          </cell>
        </row>
      </sheetData>
      <sheetData sheetId="2">
        <row r="14">
          <cell r="M14">
            <v>1.2666800633473712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1.28144896267015</v>
          </cell>
        </row>
      </sheetData>
      <sheetData sheetId="1">
        <row r="14">
          <cell r="M14">
            <v>1.266933912966496</v>
          </cell>
        </row>
        <row r="24">
          <cell r="K24">
            <v>1.2868299509717198</v>
          </cell>
          <cell r="L24">
            <v>1.2447690700796408</v>
          </cell>
          <cell r="M24">
            <v>1.2237660442513634</v>
          </cell>
          <cell r="N24">
            <v>1.2099790394559939</v>
          </cell>
          <cell r="O24">
            <v>1.2005095924358498</v>
          </cell>
          <cell r="P24">
            <v>1.1924475099044769</v>
          </cell>
          <cell r="Q24">
            <v>1.1879150051013052</v>
          </cell>
          <cell r="R24">
            <v>1.1840092169585228</v>
          </cell>
          <cell r="S24">
            <v>1.1828582702966295</v>
          </cell>
        </row>
      </sheetData>
      <sheetData sheetId="2">
        <row r="14">
          <cell r="M14">
            <v>1.2765807585924394</v>
          </cell>
        </row>
      </sheetData>
      <sheetData sheetId="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1.4109303052729205</v>
          </cell>
        </row>
      </sheetData>
      <sheetData sheetId="1">
        <row r="14">
          <cell r="M14">
            <v>1.4640115499904753</v>
          </cell>
        </row>
        <row r="24">
          <cell r="K24">
            <v>1.4784314673911618</v>
          </cell>
          <cell r="L24">
            <v>1.4715655044194689</v>
          </cell>
          <cell r="M24">
            <v>1.460694660423109</v>
          </cell>
          <cell r="N24">
            <v>1.4598012095586894</v>
          </cell>
          <cell r="O24">
            <v>1.4609362263196859</v>
          </cell>
          <cell r="P24">
            <v>1.4590868581547622</v>
          </cell>
          <cell r="Q24">
            <v>1.4543258899652016</v>
          </cell>
          <cell r="R24">
            <v>1.4448832015359987</v>
          </cell>
          <cell r="S24">
            <v>1.4368804320559494</v>
          </cell>
        </row>
      </sheetData>
      <sheetData sheetId="2">
        <row r="14">
          <cell r="M14">
            <v>1.4493642976425083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1.3779624603421401</v>
          </cell>
        </row>
      </sheetData>
      <sheetData sheetId="1">
        <row r="14">
          <cell r="M14">
            <v>1.4144540903839338</v>
          </cell>
        </row>
        <row r="24">
          <cell r="K24">
            <v>1.4171473677066153</v>
          </cell>
          <cell r="L24">
            <v>1.4264621343935362</v>
          </cell>
          <cell r="M24">
            <v>1.4182941706786207</v>
          </cell>
          <cell r="N24">
            <v>1.4209858227873893</v>
          </cell>
          <cell r="O24">
            <v>1.4267127699626749</v>
          </cell>
          <cell r="P24">
            <v>1.4326770952358594</v>
          </cell>
          <cell r="Q24">
            <v>1.4364702362674819</v>
          </cell>
          <cell r="R24">
            <v>1.4425243734765654</v>
          </cell>
          <cell r="S24">
            <v>1.4466148785585848</v>
          </cell>
        </row>
      </sheetData>
      <sheetData sheetId="2">
        <row r="14">
          <cell r="M14">
            <v>1.3408837884433804</v>
          </cell>
        </row>
      </sheetData>
      <sheetData sheetId="3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1.393587120634088</v>
          </cell>
        </row>
      </sheetData>
      <sheetData sheetId="1">
        <row r="14">
          <cell r="M14">
            <v>1.3835468354614362</v>
          </cell>
        </row>
        <row r="24">
          <cell r="K24">
            <v>1.4440798318595534</v>
          </cell>
          <cell r="L24">
            <v>1.4024849990694783</v>
          </cell>
          <cell r="M24">
            <v>1.3653202546365113</v>
          </cell>
          <cell r="N24">
            <v>1.3389842253117796</v>
          </cell>
          <cell r="O24">
            <v>1.3157998447651269</v>
          </cell>
          <cell r="P24">
            <v>1.2985411671488387</v>
          </cell>
          <cell r="Q24">
            <v>1.2836412305500746</v>
          </cell>
          <cell r="R24">
            <v>1.2726925163670118</v>
          </cell>
          <cell r="S24">
            <v>1.2640638332535699</v>
          </cell>
        </row>
      </sheetData>
      <sheetData sheetId="2">
        <row r="14">
          <cell r="M14">
            <v>1.4100303207133111</v>
          </cell>
        </row>
      </sheetData>
      <sheetData sheetId="3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1.4374109349619246</v>
          </cell>
        </row>
      </sheetData>
      <sheetData sheetId="1">
        <row r="14">
          <cell r="M14">
            <v>1.3986247204739248</v>
          </cell>
        </row>
        <row r="24">
          <cell r="K24">
            <v>1.4163798747179295</v>
          </cell>
          <cell r="L24">
            <v>1.4067389702269151</v>
          </cell>
          <cell r="M24">
            <v>1.3907117579567645</v>
          </cell>
          <cell r="N24">
            <v>1.3899334671917452</v>
          </cell>
          <cell r="O24">
            <v>1.3889482459828102</v>
          </cell>
          <cell r="P24">
            <v>1.3877001661275203</v>
          </cell>
          <cell r="Q24">
            <v>1.3854840987267374</v>
          </cell>
          <cell r="R24">
            <v>1.3854243472002545</v>
          </cell>
          <cell r="S24">
            <v>1.385095428346623</v>
          </cell>
        </row>
      </sheetData>
      <sheetData sheetId="2">
        <row r="14">
          <cell r="M14">
            <v>1.4106625766550487</v>
          </cell>
        </row>
      </sheetData>
      <sheetData sheetId="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1.4390084481761776</v>
          </cell>
        </row>
      </sheetData>
      <sheetData sheetId="1">
        <row r="14">
          <cell r="M14">
            <v>1.4023474219314278</v>
          </cell>
        </row>
        <row r="24">
          <cell r="K24">
            <v>1.4261474874002367</v>
          </cell>
          <cell r="L24">
            <v>1.4244562772079725</v>
          </cell>
          <cell r="M24">
            <v>1.414488153559522</v>
          </cell>
          <cell r="N24">
            <v>1.3996972613723737</v>
          </cell>
          <cell r="O24">
            <v>1.3789938650441405</v>
          </cell>
          <cell r="P24">
            <v>1.3646077790643381</v>
          </cell>
          <cell r="Q24">
            <v>1.3542857809644531</v>
          </cell>
          <cell r="R24">
            <v>1.3473357563058721</v>
          </cell>
          <cell r="S24">
            <v>1.3454145534970212</v>
          </cell>
        </row>
      </sheetData>
      <sheetData sheetId="2">
        <row r="14">
          <cell r="M14">
            <v>1.3849338083578158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1.4108419744823193</v>
          </cell>
        </row>
      </sheetData>
      <sheetData sheetId="1">
        <row r="14">
          <cell r="M14">
            <v>1.4302499945955576</v>
          </cell>
        </row>
        <row r="24">
          <cell r="K24">
            <v>1.4495576335346807</v>
          </cell>
          <cell r="L24">
            <v>1.422376165865789</v>
          </cell>
          <cell r="M24">
            <v>1.4093660178430478</v>
          </cell>
          <cell r="N24">
            <v>1.4076053621420885</v>
          </cell>
          <cell r="O24">
            <v>1.4123729863549019</v>
          </cell>
          <cell r="P24">
            <v>1.4170743509548436</v>
          </cell>
          <cell r="Q24">
            <v>1.4206037187584837</v>
          </cell>
          <cell r="R24">
            <v>1.4174729145652822</v>
          </cell>
          <cell r="S24">
            <v>1.4122178067631415</v>
          </cell>
        </row>
      </sheetData>
      <sheetData sheetId="2">
        <row r="14">
          <cell r="M14">
            <v>1.410118519775323</v>
          </cell>
        </row>
      </sheetData>
      <sheetData sheetId="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1.4647187418698198</v>
          </cell>
        </row>
      </sheetData>
      <sheetData sheetId="1">
        <row r="14">
          <cell r="M14">
            <v>1.3981429793924447</v>
          </cell>
        </row>
        <row r="24">
          <cell r="K24">
            <v>1.4004286301414794</v>
          </cell>
          <cell r="L24">
            <v>1.4007422925029942</v>
          </cell>
          <cell r="M24">
            <v>1.3977381955141213</v>
          </cell>
          <cell r="N24">
            <v>1.3923075737424608</v>
          </cell>
          <cell r="O24">
            <v>1.3905647350876666</v>
          </cell>
          <cell r="P24">
            <v>1.3860933513733014</v>
          </cell>
          <cell r="Q24">
            <v>1.3832680690468055</v>
          </cell>
          <cell r="R24">
            <v>1.380083662031049</v>
          </cell>
          <cell r="S24">
            <v>1.3781595015589834</v>
          </cell>
        </row>
      </sheetData>
      <sheetData sheetId="2">
        <row r="14">
          <cell r="M14">
            <v>1.4253642810323703</v>
          </cell>
        </row>
      </sheetData>
      <sheetData sheetId="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1.3072885619030394</v>
          </cell>
        </row>
      </sheetData>
      <sheetData sheetId="1">
        <row r="14">
          <cell r="M14">
            <v>1.2989787445282113</v>
          </cell>
        </row>
        <row r="24">
          <cell r="K24">
            <v>1.3347515525831062</v>
          </cell>
          <cell r="L24">
            <v>1.2747091913515094</v>
          </cell>
          <cell r="M24">
            <v>1.2547499477207007</v>
          </cell>
          <cell r="N24">
            <v>1.245572849470862</v>
          </cell>
          <cell r="O24">
            <v>1.2360454239245779</v>
          </cell>
          <cell r="P24">
            <v>1.230661832206752</v>
          </cell>
          <cell r="Q24">
            <v>1.2291219062835725</v>
          </cell>
          <cell r="R24">
            <v>1.2311570010379047</v>
          </cell>
          <cell r="S24">
            <v>1.2364001942053751</v>
          </cell>
        </row>
      </sheetData>
      <sheetData sheetId="2">
        <row r="14">
          <cell r="M14">
            <v>1.28865192044334</v>
          </cell>
        </row>
      </sheetData>
      <sheetData sheetId="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1.3893658169795642</v>
          </cell>
        </row>
      </sheetData>
      <sheetData sheetId="1">
        <row r="14">
          <cell r="M14">
            <v>1.3685794885949032</v>
          </cell>
        </row>
        <row r="24">
          <cell r="K24">
            <v>1.4418817166593685</v>
          </cell>
          <cell r="L24">
            <v>1.3893021075874425</v>
          </cell>
          <cell r="M24">
            <v>1.3531136975500511</v>
          </cell>
          <cell r="N24">
            <v>1.3350915399406345</v>
          </cell>
          <cell r="O24">
            <v>1.3198572141603853</v>
          </cell>
          <cell r="P24">
            <v>1.3131610835082415</v>
          </cell>
          <cell r="Q24">
            <v>1.3101087912686977</v>
          </cell>
          <cell r="R24">
            <v>1.3102948697881154</v>
          </cell>
          <cell r="S24">
            <v>1.3127942834324253</v>
          </cell>
        </row>
      </sheetData>
      <sheetData sheetId="2">
        <row r="14">
          <cell r="M14">
            <v>1.3799238719734837</v>
          </cell>
        </row>
      </sheetData>
      <sheetData sheetId="3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  <sheetName val="Circuity over Trip Distance"/>
    </sheetNames>
    <sheetDataSet>
      <sheetData sheetId="0">
        <row r="14">
          <cell r="M14">
            <v>1.3340039325474007</v>
          </cell>
        </row>
      </sheetData>
      <sheetData sheetId="1">
        <row r="14">
          <cell r="M14">
            <v>1.3172593601020712</v>
          </cell>
        </row>
        <row r="24">
          <cell r="K24">
            <v>1.367675641952371</v>
          </cell>
          <cell r="L24">
            <v>1.3180063184920632</v>
          </cell>
          <cell r="M24">
            <v>1.2927340358099582</v>
          </cell>
          <cell r="N24">
            <v>1.2774072560392229</v>
          </cell>
          <cell r="O24">
            <v>1.2631026062750048</v>
          </cell>
          <cell r="P24">
            <v>1.2530147875169688</v>
          </cell>
          <cell r="Q24">
            <v>1.2453125015229971</v>
          </cell>
          <cell r="R24">
            <v>1.2390870041430293</v>
          </cell>
          <cell r="S24">
            <v>1.2345635362029965</v>
          </cell>
        </row>
      </sheetData>
      <sheetData sheetId="2">
        <row r="14">
          <cell r="M14">
            <v>1.3126068093532064</v>
          </cell>
        </row>
      </sheetData>
      <sheetData sheetId="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2010"/>
      <sheetName val="2000"/>
      <sheetName val="1990"/>
    </sheetNames>
    <sheetDataSet>
      <sheetData sheetId="0">
        <row r="14">
          <cell r="M14">
            <v>1.3536483966537887</v>
          </cell>
        </row>
      </sheetData>
      <sheetData sheetId="1">
        <row r="14">
          <cell r="M14">
            <v>1.3489541256377759</v>
          </cell>
        </row>
        <row r="24">
          <cell r="K24">
            <v>1.4414267455336287</v>
          </cell>
          <cell r="L24">
            <v>1.3792302211610383</v>
          </cell>
          <cell r="M24">
            <v>1.3271067359638802</v>
          </cell>
          <cell r="N24">
            <v>1.2974146561291391</v>
          </cell>
          <cell r="O24">
            <v>1.2809627684955263</v>
          </cell>
          <cell r="P24">
            <v>1.271343586465266</v>
          </cell>
          <cell r="Q24">
            <v>1.2653662483066039</v>
          </cell>
          <cell r="R24">
            <v>1.2611691566316285</v>
          </cell>
          <cell r="S24">
            <v>1.2582503448808215</v>
          </cell>
        </row>
      </sheetData>
      <sheetData sheetId="2">
        <row r="14">
          <cell r="M14">
            <v>1.3705756283741308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sqref="A1:Q53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1.5" customWidth="1"/>
    <col min="10" max="10" width="10.83203125" style="13" customWidth="1"/>
    <col min="11" max="11" width="12" style="22" customWidth="1"/>
    <col min="12" max="12" width="12.6640625" style="22" customWidth="1"/>
    <col min="13" max="13" width="12.33203125" style="20" customWidth="1"/>
    <col min="14" max="14" width="12.33203125" customWidth="1"/>
    <col min="15" max="15" width="12" customWidth="1"/>
    <col min="16" max="16" width="12.5" style="22" customWidth="1"/>
    <col min="17" max="17" width="8.83203125" style="18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3" t="s">
        <v>79</v>
      </c>
      <c r="K1" s="21" t="s">
        <v>77</v>
      </c>
      <c r="L1" s="27" t="s">
        <v>104</v>
      </c>
      <c r="M1" s="19" t="s">
        <v>92</v>
      </c>
      <c r="N1" s="1" t="s">
        <v>90</v>
      </c>
      <c r="O1" s="1" t="s">
        <v>88</v>
      </c>
      <c r="P1" s="21" t="s">
        <v>89</v>
      </c>
      <c r="Q1" s="18" t="s">
        <v>103</v>
      </c>
    </row>
    <row r="2" spans="1:17" ht="16">
      <c r="A2" t="s">
        <v>16</v>
      </c>
      <c r="B2" s="18" t="s">
        <v>18</v>
      </c>
      <c r="C2" s="18"/>
      <c r="D2" s="3" t="s">
        <v>87</v>
      </c>
      <c r="E2" s="18" t="s">
        <v>17</v>
      </c>
      <c r="F2" s="18" t="s">
        <v>19</v>
      </c>
      <c r="G2" s="18" t="s">
        <v>22</v>
      </c>
      <c r="H2" s="18" t="s">
        <v>24</v>
      </c>
      <c r="L2" s="22">
        <f t="shared" ref="L2:L33" si="0">MIN(J2,K2)</f>
        <v>0</v>
      </c>
      <c r="M2" s="19" t="s">
        <v>92</v>
      </c>
      <c r="O2" s="18"/>
      <c r="Q2" s="13"/>
    </row>
    <row r="3" spans="1:17">
      <c r="A3" t="s">
        <v>26</v>
      </c>
      <c r="B3" s="4">
        <v>60.37546801014345</v>
      </c>
      <c r="C3" s="4">
        <v>63.997996090752061</v>
      </c>
      <c r="D3" s="2">
        <v>1.2804195867064025</v>
      </c>
      <c r="E3" s="4">
        <f t="shared" ref="E3:E34" si="1">B3/D3</f>
        <v>47.152877569958179</v>
      </c>
      <c r="F3" s="4">
        <f t="shared" ref="F3:F34" si="2">E3*0.5</f>
        <v>23.576438784979089</v>
      </c>
      <c r="G3" s="4">
        <f t="shared" ref="G3:G34" si="3">PI()*F3^2</f>
        <v>1746.2494566094686</v>
      </c>
      <c r="H3" s="4">
        <f t="shared" ref="H3:H34" si="4">J3/I3</f>
        <v>964.67391304347825</v>
      </c>
      <c r="I3" s="15">
        <v>2944</v>
      </c>
      <c r="J3" s="13">
        <v>2840000</v>
      </c>
      <c r="K3" s="22">
        <f t="shared" ref="K3:K34" si="5">G3*H3</f>
        <v>1684561.2964575037</v>
      </c>
      <c r="L3" s="22">
        <f t="shared" si="0"/>
        <v>1684561.2964575037</v>
      </c>
      <c r="M3" s="19" t="s">
        <v>92</v>
      </c>
      <c r="N3" s="18">
        <f t="shared" ref="N3:N34" si="6">O3/I3</f>
        <v>503.32235054347825</v>
      </c>
      <c r="O3" s="12">
        <v>1481781</v>
      </c>
      <c r="P3" s="22">
        <f t="shared" ref="P3:P34" si="7">G3*N3</f>
        <v>878926.3811359494</v>
      </c>
      <c r="Q3" s="13">
        <f t="shared" ref="Q3:Q34" si="8">MIN(P3,O3)</f>
        <v>878926.3811359494</v>
      </c>
    </row>
    <row r="4" spans="1:17">
      <c r="A4" s="18" t="s">
        <v>6</v>
      </c>
      <c r="B4" s="4">
        <v>63.478689145973746</v>
      </c>
      <c r="C4" s="4">
        <v>67.922197386191925</v>
      </c>
      <c r="D4" s="2">
        <v>1.3588386571923918</v>
      </c>
      <c r="E4" s="4">
        <f t="shared" si="1"/>
        <v>46.715398336644526</v>
      </c>
      <c r="F4" s="4">
        <f t="shared" si="2"/>
        <v>23.357699168322263</v>
      </c>
      <c r="G4" s="4">
        <f t="shared" si="3"/>
        <v>1713.9967500815412</v>
      </c>
      <c r="H4" s="4">
        <f t="shared" si="4"/>
        <v>932.86219081272088</v>
      </c>
      <c r="I4" s="15">
        <v>707.5</v>
      </c>
      <c r="J4" s="13">
        <v>660000</v>
      </c>
      <c r="K4" s="22">
        <f t="shared" si="5"/>
        <v>1598922.7633269501</v>
      </c>
      <c r="L4" s="22">
        <f t="shared" si="0"/>
        <v>660000</v>
      </c>
      <c r="M4" s="19" t="s">
        <v>92</v>
      </c>
      <c r="N4" s="18">
        <f t="shared" si="6"/>
        <v>571.04734982332161</v>
      </c>
      <c r="O4" s="12">
        <v>404016</v>
      </c>
      <c r="P4" s="22">
        <f t="shared" si="7"/>
        <v>978773.3017398502</v>
      </c>
      <c r="Q4" s="13">
        <f t="shared" si="8"/>
        <v>404016</v>
      </c>
    </row>
    <row r="5" spans="1:17">
      <c r="A5" t="s">
        <v>28</v>
      </c>
      <c r="B5" s="4">
        <v>60.37745029626894</v>
      </c>
      <c r="C5" s="4">
        <v>64.603871817007771</v>
      </c>
      <c r="D5" s="2">
        <v>1.2525850225273614</v>
      </c>
      <c r="E5" s="4">
        <f t="shared" si="1"/>
        <v>48.202277059360306</v>
      </c>
      <c r="F5" s="4">
        <f t="shared" si="2"/>
        <v>24.101138529680153</v>
      </c>
      <c r="G5" s="4">
        <f t="shared" si="3"/>
        <v>1824.8408347940676</v>
      </c>
      <c r="H5" s="4">
        <f t="shared" si="4"/>
        <v>1296.8393613554904</v>
      </c>
      <c r="I5" s="15">
        <v>1534.5</v>
      </c>
      <c r="J5" s="13">
        <v>1990000</v>
      </c>
      <c r="K5" s="22">
        <f t="shared" si="5"/>
        <v>2366525.4227697584</v>
      </c>
      <c r="L5" s="22">
        <f t="shared" si="0"/>
        <v>1990000</v>
      </c>
      <c r="M5" s="19" t="s">
        <v>92</v>
      </c>
      <c r="N5" s="18">
        <f t="shared" si="6"/>
        <v>776.67839687194521</v>
      </c>
      <c r="O5" s="12">
        <v>1191813</v>
      </c>
      <c r="P5" s="22">
        <f t="shared" si="7"/>
        <v>1417314.4541143186</v>
      </c>
      <c r="Q5" s="13">
        <f t="shared" si="8"/>
        <v>1191813</v>
      </c>
    </row>
    <row r="6" spans="1:17">
      <c r="A6" t="s">
        <v>29</v>
      </c>
      <c r="B6" s="4">
        <v>61.541690600746875</v>
      </c>
      <c r="C6" s="4">
        <v>67.695859660821569</v>
      </c>
      <c r="D6" s="2">
        <v>1.2423920941272546</v>
      </c>
      <c r="E6" s="4">
        <f t="shared" si="1"/>
        <v>49.534837586018426</v>
      </c>
      <c r="F6" s="4">
        <f t="shared" si="2"/>
        <v>24.767418793009213</v>
      </c>
      <c r="G6" s="4">
        <f t="shared" si="3"/>
        <v>1927.1315793004212</v>
      </c>
      <c r="H6" s="4">
        <f t="shared" si="4"/>
        <v>1563.9892556970801</v>
      </c>
      <c r="I6" s="15">
        <v>2308.1999999999998</v>
      </c>
      <c r="J6" s="13">
        <v>3610000</v>
      </c>
      <c r="K6" s="22">
        <f t="shared" si="5"/>
        <v>3014013.0843404043</v>
      </c>
      <c r="L6" s="22">
        <f t="shared" si="0"/>
        <v>3014013.0843404043</v>
      </c>
      <c r="M6" s="19" t="s">
        <v>92</v>
      </c>
      <c r="N6" s="18">
        <f t="shared" si="6"/>
        <v>927.87323455506464</v>
      </c>
      <c r="O6" s="12">
        <v>2141717</v>
      </c>
      <c r="P6" s="22">
        <f t="shared" si="7"/>
        <v>1788133.8118986918</v>
      </c>
      <c r="Q6" s="13">
        <f t="shared" si="8"/>
        <v>1788133.8118986918</v>
      </c>
    </row>
    <row r="7" spans="1:17">
      <c r="A7" t="s">
        <v>30</v>
      </c>
      <c r="B7" s="4">
        <v>73.27659816495958</v>
      </c>
      <c r="C7" s="4">
        <v>76.207662091557978</v>
      </c>
      <c r="D7" s="2">
        <v>1.2197720965912831</v>
      </c>
      <c r="E7" s="4">
        <f t="shared" si="1"/>
        <v>60.074007570541141</v>
      </c>
      <c r="F7" s="4">
        <f t="shared" si="2"/>
        <v>30.037003785270571</v>
      </c>
      <c r="G7" s="4">
        <f t="shared" si="3"/>
        <v>2834.4127391488555</v>
      </c>
      <c r="H7" s="4">
        <f t="shared" si="4"/>
        <v>1440.1622718052738</v>
      </c>
      <c r="I7" s="15">
        <v>739.5</v>
      </c>
      <c r="J7" s="13">
        <v>1065000</v>
      </c>
      <c r="K7" s="22">
        <f t="shared" si="5"/>
        <v>4082014.2896464248</v>
      </c>
      <c r="L7" s="22">
        <f t="shared" si="0"/>
        <v>1065000</v>
      </c>
      <c r="M7" s="19" t="s">
        <v>92</v>
      </c>
      <c r="N7" s="18">
        <f t="shared" si="6"/>
        <v>718.21771467207577</v>
      </c>
      <c r="O7" s="12">
        <v>531122</v>
      </c>
      <c r="P7" s="22">
        <f t="shared" si="7"/>
        <v>2035725.4399489095</v>
      </c>
      <c r="Q7" s="13">
        <f t="shared" si="8"/>
        <v>531122</v>
      </c>
    </row>
    <row r="8" spans="1:17">
      <c r="A8" t="s">
        <v>31</v>
      </c>
      <c r="B8" s="4">
        <v>66.908176577055386</v>
      </c>
      <c r="C8" s="4">
        <v>71.591748937449267</v>
      </c>
      <c r="D8" s="2">
        <v>1.2963499404090038</v>
      </c>
      <c r="E8" s="4">
        <f t="shared" si="1"/>
        <v>51.612743204157958</v>
      </c>
      <c r="F8" s="4">
        <f t="shared" si="2"/>
        <v>25.806371602078979</v>
      </c>
      <c r="G8" s="4">
        <f t="shared" si="3"/>
        <v>2092.2027375551288</v>
      </c>
      <c r="H8" s="4">
        <f t="shared" si="4"/>
        <v>862.48203162434118</v>
      </c>
      <c r="I8" s="15">
        <v>626.1</v>
      </c>
      <c r="J8" s="13">
        <v>540000</v>
      </c>
      <c r="K8" s="22">
        <f t="shared" si="5"/>
        <v>1804487.2676565559</v>
      </c>
      <c r="L8" s="22">
        <f t="shared" si="0"/>
        <v>540000</v>
      </c>
      <c r="M8" s="19" t="s">
        <v>92</v>
      </c>
      <c r="N8" s="18">
        <f t="shared" si="6"/>
        <v>966.06931800031941</v>
      </c>
      <c r="O8" s="12">
        <v>604856</v>
      </c>
      <c r="P8" s="22">
        <f t="shared" si="7"/>
        <v>2021212.8717882845</v>
      </c>
      <c r="Q8" s="13">
        <f t="shared" si="8"/>
        <v>604856</v>
      </c>
    </row>
    <row r="9" spans="1:17">
      <c r="A9" t="s">
        <v>32</v>
      </c>
      <c r="B9" s="4">
        <v>59.830534500000006</v>
      </c>
      <c r="C9" s="4">
        <v>64.616977260000013</v>
      </c>
      <c r="D9" s="2">
        <v>1.230649613698569</v>
      </c>
      <c r="E9" s="4">
        <f t="shared" si="1"/>
        <v>48.617034315873674</v>
      </c>
      <c r="F9" s="4">
        <f t="shared" si="2"/>
        <v>24.308517157936837</v>
      </c>
      <c r="G9" s="4">
        <f t="shared" si="3"/>
        <v>1856.3796855386527</v>
      </c>
      <c r="H9" s="4">
        <f t="shared" si="4"/>
        <v>1830.0112091232515</v>
      </c>
      <c r="I9" s="18">
        <v>4103.8</v>
      </c>
      <c r="J9" s="13">
        <v>7510000</v>
      </c>
      <c r="K9" s="22">
        <f t="shared" si="5"/>
        <v>3397195.6329244315</v>
      </c>
      <c r="L9" s="22">
        <f t="shared" si="0"/>
        <v>3397195.6329244315</v>
      </c>
      <c r="M9" s="19" t="s">
        <v>92</v>
      </c>
      <c r="N9" s="18">
        <f t="shared" si="6"/>
        <v>936.04391052195524</v>
      </c>
      <c r="O9" s="12">
        <v>3841337</v>
      </c>
      <c r="P9" s="22">
        <f t="shared" si="7"/>
        <v>1737652.9002651181</v>
      </c>
      <c r="Q9" s="13">
        <f t="shared" si="8"/>
        <v>1737652.9002651181</v>
      </c>
    </row>
    <row r="10" spans="1:17">
      <c r="A10" t="s">
        <v>33</v>
      </c>
      <c r="B10" s="4">
        <v>67.518821168909824</v>
      </c>
      <c r="C10" s="4">
        <v>74.270703285800806</v>
      </c>
      <c r="D10" s="2">
        <v>1.3292592058969801</v>
      </c>
      <c r="E10" s="4">
        <f t="shared" si="1"/>
        <v>50.794322784733566</v>
      </c>
      <c r="F10" s="4">
        <f t="shared" si="2"/>
        <v>25.397161392366783</v>
      </c>
      <c r="G10" s="4">
        <f t="shared" si="3"/>
        <v>2026.3769200605248</v>
      </c>
      <c r="H10" s="4">
        <f t="shared" si="4"/>
        <v>860.24750980984004</v>
      </c>
      <c r="I10" s="15">
        <v>1325.2</v>
      </c>
      <c r="J10" s="13">
        <v>1140000</v>
      </c>
      <c r="K10" s="22">
        <f t="shared" si="5"/>
        <v>1743185.6994181997</v>
      </c>
      <c r="L10" s="22">
        <f t="shared" si="0"/>
        <v>1140000</v>
      </c>
      <c r="M10" s="19" t="s">
        <v>92</v>
      </c>
      <c r="N10" s="18">
        <f t="shared" si="6"/>
        <v>613.31572592816178</v>
      </c>
      <c r="O10" s="12">
        <v>812766</v>
      </c>
      <c r="P10" s="22">
        <f t="shared" si="7"/>
        <v>1242808.8317309935</v>
      </c>
      <c r="Q10" s="13">
        <f t="shared" si="8"/>
        <v>812766</v>
      </c>
    </row>
    <row r="11" spans="1:17">
      <c r="A11" t="s">
        <v>34</v>
      </c>
      <c r="B11" s="4">
        <v>70.270147843682068</v>
      </c>
      <c r="C11" s="4">
        <v>77.297162628050287</v>
      </c>
      <c r="D11" s="2">
        <v>1.2049847148423478</v>
      </c>
      <c r="E11" s="4">
        <f t="shared" si="1"/>
        <v>58.316215117198183</v>
      </c>
      <c r="F11" s="4">
        <f t="shared" si="2"/>
        <v>29.158107558599092</v>
      </c>
      <c r="G11" s="4">
        <f t="shared" si="3"/>
        <v>2670.9671087876127</v>
      </c>
      <c r="H11" s="4">
        <f t="shared" si="4"/>
        <v>1068.6095931997572</v>
      </c>
      <c r="I11" s="15">
        <v>1647</v>
      </c>
      <c r="J11" s="13">
        <v>1760000</v>
      </c>
      <c r="K11" s="22">
        <f t="shared" si="5"/>
        <v>2854221.0755714625</v>
      </c>
      <c r="L11" s="22">
        <f t="shared" si="0"/>
        <v>1760000</v>
      </c>
      <c r="M11" s="19" t="s">
        <v>92</v>
      </c>
      <c r="N11" s="18">
        <f t="shared" si="6"/>
        <v>754.15846994535514</v>
      </c>
      <c r="O11" s="12">
        <v>1242099</v>
      </c>
      <c r="P11" s="22">
        <f t="shared" si="7"/>
        <v>2014332.4680376349</v>
      </c>
      <c r="Q11" s="13">
        <f t="shared" si="8"/>
        <v>1242099</v>
      </c>
    </row>
    <row r="12" spans="1:17">
      <c r="A12" t="s">
        <v>35</v>
      </c>
      <c r="B12" s="4">
        <v>67.725932932724078</v>
      </c>
      <c r="C12" s="4">
        <v>77.20756354330544</v>
      </c>
      <c r="D12" s="2">
        <v>1.2627799319268018</v>
      </c>
      <c r="E12" s="4">
        <f t="shared" si="1"/>
        <v>53.632411491830609</v>
      </c>
      <c r="F12" s="4">
        <f t="shared" si="2"/>
        <v>26.816205745915305</v>
      </c>
      <c r="G12" s="4">
        <f t="shared" si="3"/>
        <v>2259.1472078628776</v>
      </c>
      <c r="H12" s="4">
        <f t="shared" si="4"/>
        <v>973.91693719914929</v>
      </c>
      <c r="I12" s="15">
        <v>893.3</v>
      </c>
      <c r="J12" s="13">
        <v>870000</v>
      </c>
      <c r="K12" s="22">
        <f t="shared" si="5"/>
        <v>2200221.7293638238</v>
      </c>
      <c r="L12" s="22">
        <f t="shared" si="0"/>
        <v>870000</v>
      </c>
      <c r="M12" s="19" t="s">
        <v>92</v>
      </c>
      <c r="N12" s="18">
        <f t="shared" si="6"/>
        <v>758.82570245158411</v>
      </c>
      <c r="O12" s="12">
        <v>677859</v>
      </c>
      <c r="P12" s="22">
        <f t="shared" si="7"/>
        <v>1714298.9669480829</v>
      </c>
      <c r="Q12" s="13">
        <f t="shared" si="8"/>
        <v>677859</v>
      </c>
    </row>
    <row r="13" spans="1:17">
      <c r="A13" t="s">
        <v>62</v>
      </c>
      <c r="B13" s="4">
        <v>66.03146949483623</v>
      </c>
      <c r="C13" s="4">
        <v>76.596504614010016</v>
      </c>
      <c r="D13" s="2">
        <v>1.3065070711215105</v>
      </c>
      <c r="E13" s="4">
        <f t="shared" si="1"/>
        <v>50.540460862683716</v>
      </c>
      <c r="F13" s="4">
        <f t="shared" si="2"/>
        <v>25.270230431341858</v>
      </c>
      <c r="G13" s="4">
        <f t="shared" si="3"/>
        <v>2006.1725185764426</v>
      </c>
      <c r="H13" s="4">
        <f t="shared" si="4"/>
        <v>869.56521739130437</v>
      </c>
      <c r="I13" s="15">
        <v>3737.5</v>
      </c>
      <c r="J13" s="13">
        <v>3250000</v>
      </c>
      <c r="K13" s="22">
        <f t="shared" si="5"/>
        <v>1744497.842240385</v>
      </c>
      <c r="L13" s="22">
        <f t="shared" si="0"/>
        <v>1744497.842240385</v>
      </c>
      <c r="M13" s="19" t="s">
        <v>92</v>
      </c>
      <c r="N13" s="18">
        <f t="shared" si="6"/>
        <v>528.85779264214045</v>
      </c>
      <c r="O13" s="12">
        <v>1976606</v>
      </c>
      <c r="P13" s="22">
        <f t="shared" si="7"/>
        <v>1060979.9698336609</v>
      </c>
      <c r="Q13" s="13">
        <f t="shared" si="8"/>
        <v>1060979.9698336609</v>
      </c>
    </row>
    <row r="14" spans="1:17">
      <c r="A14" s="18" t="s">
        <v>36</v>
      </c>
      <c r="B14" s="4">
        <v>65.002140793217592</v>
      </c>
      <c r="C14" s="4">
        <v>76.052504728064577</v>
      </c>
      <c r="D14" s="2">
        <v>1.3654162762477409</v>
      </c>
      <c r="E14" s="4">
        <f t="shared" si="1"/>
        <v>47.606097806192857</v>
      </c>
      <c r="F14" s="4">
        <f t="shared" si="2"/>
        <v>23.803048903096428</v>
      </c>
      <c r="G14" s="4">
        <f t="shared" si="3"/>
        <v>1779.9797042937471</v>
      </c>
      <c r="H14" s="4">
        <f t="shared" si="4"/>
        <v>1329.5186805789297</v>
      </c>
      <c r="I14" s="15">
        <v>1188.4000000000001</v>
      </c>
      <c r="J14" s="13">
        <v>1580000</v>
      </c>
      <c r="K14" s="22">
        <f t="shared" si="5"/>
        <v>2366516.2679098961</v>
      </c>
      <c r="L14" s="22">
        <f t="shared" si="0"/>
        <v>1580000</v>
      </c>
      <c r="M14" s="19" t="s">
        <v>92</v>
      </c>
      <c r="N14" s="18">
        <f t="shared" si="6"/>
        <v>811.94210703466842</v>
      </c>
      <c r="O14" s="12">
        <v>964912</v>
      </c>
      <c r="P14" s="22">
        <f t="shared" si="7"/>
        <v>1445240.4715832111</v>
      </c>
      <c r="Q14" s="13">
        <f t="shared" si="8"/>
        <v>964912</v>
      </c>
    </row>
    <row r="15" spans="1:17">
      <c r="A15" t="s">
        <v>37</v>
      </c>
      <c r="B15" s="4">
        <v>59.740126684000487</v>
      </c>
      <c r="C15" s="4">
        <v>69.895948220280573</v>
      </c>
      <c r="D15" s="2">
        <v>1.2288145856552757</v>
      </c>
      <c r="E15" s="4">
        <f t="shared" si="1"/>
        <v>48.616062489316533</v>
      </c>
      <c r="F15" s="4">
        <f t="shared" si="2"/>
        <v>24.308031244658267</v>
      </c>
      <c r="G15" s="4">
        <f t="shared" si="3"/>
        <v>1856.3054703557366</v>
      </c>
      <c r="H15" s="4">
        <f t="shared" si="4"/>
        <v>1369.2488100986411</v>
      </c>
      <c r="I15" s="15">
        <v>2899.4</v>
      </c>
      <c r="J15" s="13">
        <v>3970000</v>
      </c>
      <c r="K15" s="22">
        <f t="shared" si="5"/>
        <v>2541744.0564641906</v>
      </c>
      <c r="L15" s="22">
        <f t="shared" si="0"/>
        <v>2541744.0564641906</v>
      </c>
      <c r="M15" s="19" t="s">
        <v>92</v>
      </c>
      <c r="N15" s="18">
        <f t="shared" si="6"/>
        <v>717.34841691384418</v>
      </c>
      <c r="O15" s="12">
        <v>2079880</v>
      </c>
      <c r="P15" s="22">
        <f t="shared" si="7"/>
        <v>1331617.7904681966</v>
      </c>
      <c r="Q15" s="13">
        <f t="shared" si="8"/>
        <v>1331617.7904681966</v>
      </c>
    </row>
    <row r="16" spans="1:17" ht="16">
      <c r="A16" s="18" t="s">
        <v>101</v>
      </c>
      <c r="B16" s="24">
        <v>70.939381203745498</v>
      </c>
      <c r="C16" s="24">
        <v>83.70846982041968</v>
      </c>
      <c r="D16" s="2">
        <v>1.2825248470877721</v>
      </c>
      <c r="E16" s="4">
        <f t="shared" si="1"/>
        <v>55.312286046408751</v>
      </c>
      <c r="F16" s="4">
        <f t="shared" si="2"/>
        <v>27.656143023204375</v>
      </c>
      <c r="G16" s="4">
        <f t="shared" si="3"/>
        <v>2402.8856159318534</v>
      </c>
      <c r="H16" s="4">
        <f t="shared" si="4"/>
        <v>1190.58976132826</v>
      </c>
      <c r="I16" s="15">
        <v>578.20000000000005</v>
      </c>
      <c r="J16" s="26">
        <v>688399</v>
      </c>
      <c r="K16" s="22">
        <f t="shared" si="5"/>
        <v>2860851.0119714146</v>
      </c>
      <c r="L16" s="22">
        <f t="shared" si="0"/>
        <v>688399</v>
      </c>
      <c r="M16" s="19" t="s">
        <v>92</v>
      </c>
      <c r="N16" s="18">
        <f t="shared" si="6"/>
        <v>693.86025596679349</v>
      </c>
      <c r="O16" s="12">
        <f>337335+63855</f>
        <v>401190</v>
      </c>
      <c r="P16" s="22">
        <f t="shared" si="7"/>
        <v>1667266.8285294021</v>
      </c>
      <c r="Q16" s="13">
        <f t="shared" si="8"/>
        <v>401190</v>
      </c>
    </row>
    <row r="17" spans="1:17">
      <c r="A17" t="s">
        <v>58</v>
      </c>
      <c r="B17" s="4">
        <v>64.898649256812377</v>
      </c>
      <c r="C17" s="4">
        <v>85.666217018992342</v>
      </c>
      <c r="D17" s="2">
        <v>1.3571400798530551</v>
      </c>
      <c r="E17" s="4">
        <f t="shared" si="1"/>
        <v>47.820155207441303</v>
      </c>
      <c r="F17" s="4">
        <f t="shared" si="2"/>
        <v>23.910077603720651</v>
      </c>
      <c r="G17" s="4">
        <f t="shared" si="3"/>
        <v>1796.0227936051338</v>
      </c>
      <c r="H17" s="4">
        <f t="shared" si="4"/>
        <v>770.84181744138687</v>
      </c>
      <c r="I17" s="14">
        <v>1718.9</v>
      </c>
      <c r="J17" s="13">
        <v>1325000</v>
      </c>
      <c r="K17" s="22">
        <f t="shared" si="5"/>
        <v>1384449.4743887382</v>
      </c>
      <c r="L17" s="22">
        <f t="shared" si="0"/>
        <v>1325000</v>
      </c>
      <c r="M17" s="19" t="s">
        <v>92</v>
      </c>
      <c r="N17" s="18">
        <f t="shared" si="6"/>
        <v>406.65483739600904</v>
      </c>
      <c r="O17" s="12">
        <v>698999</v>
      </c>
      <c r="P17" s="22">
        <f t="shared" si="7"/>
        <v>730361.35709302162</v>
      </c>
      <c r="Q17" s="13">
        <f t="shared" si="8"/>
        <v>698999</v>
      </c>
    </row>
    <row r="18" spans="1:17">
      <c r="A18" t="s">
        <v>38</v>
      </c>
      <c r="B18" s="4">
        <v>70.550117521710789</v>
      </c>
      <c r="C18" s="4">
        <v>84.660141026052941</v>
      </c>
      <c r="D18" s="2">
        <v>1.3223701939914507</v>
      </c>
      <c r="E18" s="4">
        <f t="shared" si="1"/>
        <v>53.351261123605532</v>
      </c>
      <c r="F18" s="4">
        <f t="shared" si="2"/>
        <v>26.675630561802766</v>
      </c>
      <c r="G18" s="4">
        <f t="shared" si="3"/>
        <v>2235.523610029873</v>
      </c>
      <c r="H18" s="4">
        <f t="shared" si="4"/>
        <v>1320.2112337974077</v>
      </c>
      <c r="I18" s="14">
        <v>624.9</v>
      </c>
      <c r="J18" s="13">
        <v>825000</v>
      </c>
      <c r="K18" s="22">
        <f t="shared" si="5"/>
        <v>2951363.3833807735</v>
      </c>
      <c r="L18" s="22">
        <f t="shared" si="0"/>
        <v>825000</v>
      </c>
      <c r="M18" s="19" t="s">
        <v>92</v>
      </c>
      <c r="N18" s="18">
        <f t="shared" si="6"/>
        <v>899.29428708593377</v>
      </c>
      <c r="O18" s="12">
        <v>561969</v>
      </c>
      <c r="P18" s="22">
        <f t="shared" si="7"/>
        <v>2010393.6111455876</v>
      </c>
      <c r="Q18" s="13">
        <f t="shared" si="8"/>
        <v>561969</v>
      </c>
    </row>
    <row r="19" spans="1:17" ht="16">
      <c r="A19" s="18" t="s">
        <v>100</v>
      </c>
      <c r="B19" s="24">
        <v>61.851770964117151</v>
      </c>
      <c r="C19" s="24">
        <v>73.60360744729941</v>
      </c>
      <c r="D19" s="2">
        <v>1.3847021462356206</v>
      </c>
      <c r="E19" s="4">
        <f t="shared" si="1"/>
        <v>44.667924529664496</v>
      </c>
      <c r="F19" s="4">
        <f t="shared" si="2"/>
        <v>22.333962264832248</v>
      </c>
      <c r="G19" s="4">
        <f t="shared" si="3"/>
        <v>1567.0448581636026</v>
      </c>
      <c r="H19" s="4">
        <f t="shared" si="4"/>
        <v>2328.0373051224947</v>
      </c>
      <c r="I19" s="14">
        <v>359.2</v>
      </c>
      <c r="J19" s="26">
        <v>836231</v>
      </c>
      <c r="K19" s="22">
        <f t="shared" si="5"/>
        <v>3648138.8886052552</v>
      </c>
      <c r="L19" s="22">
        <f t="shared" si="0"/>
        <v>836231</v>
      </c>
      <c r="M19" s="19" t="s">
        <v>92</v>
      </c>
      <c r="N19" s="18">
        <f t="shared" si="6"/>
        <v>1218.0345211581291</v>
      </c>
      <c r="O19" s="12">
        <v>437518</v>
      </c>
      <c r="P19" s="22">
        <f t="shared" si="7"/>
        <v>1908714.733446612</v>
      </c>
      <c r="Q19" s="13">
        <f t="shared" si="8"/>
        <v>437518</v>
      </c>
    </row>
    <row r="20" spans="1:17">
      <c r="A20" t="s">
        <v>39</v>
      </c>
      <c r="B20" s="25">
        <v>61.865929871835121</v>
      </c>
      <c r="C20" s="25">
        <v>73.620456547483784</v>
      </c>
      <c r="D20" s="2">
        <v>1.3197846089200058</v>
      </c>
      <c r="E20" s="4">
        <f t="shared" si="1"/>
        <v>46.875777648642746</v>
      </c>
      <c r="F20" s="4">
        <f t="shared" si="2"/>
        <v>23.437888824321373</v>
      </c>
      <c r="G20" s="4">
        <f t="shared" si="3"/>
        <v>1725.7856459540355</v>
      </c>
      <c r="H20" s="4">
        <f t="shared" si="4"/>
        <v>951.03794313448986</v>
      </c>
      <c r="I20" s="14">
        <v>3049.3</v>
      </c>
      <c r="J20" s="13">
        <v>2900000</v>
      </c>
      <c r="K20" s="22">
        <f t="shared" si="5"/>
        <v>1641287.6310191529</v>
      </c>
      <c r="L20" s="22">
        <f t="shared" si="0"/>
        <v>1641287.6310191529</v>
      </c>
      <c r="M20" s="19" t="s">
        <v>92</v>
      </c>
      <c r="N20" s="18">
        <f t="shared" si="6"/>
        <v>577.11474764700097</v>
      </c>
      <c r="O20" s="12">
        <v>1759796</v>
      </c>
      <c r="P20" s="22">
        <f t="shared" si="7"/>
        <v>995976.34755757975</v>
      </c>
      <c r="Q20" s="13">
        <f t="shared" si="8"/>
        <v>995976.34755757975</v>
      </c>
    </row>
    <row r="21" spans="1:17">
      <c r="A21" t="s">
        <v>40</v>
      </c>
      <c r="B21" s="25">
        <v>66.181816591922129</v>
      </c>
      <c r="C21" s="25">
        <v>78.094543578468105</v>
      </c>
      <c r="D21" s="2">
        <v>1.2722485093794627</v>
      </c>
      <c r="E21" s="4">
        <f t="shared" si="1"/>
        <v>52.019567013839314</v>
      </c>
      <c r="F21" s="4">
        <f t="shared" si="2"/>
        <v>26.009783506919657</v>
      </c>
      <c r="G21" s="4">
        <f t="shared" si="3"/>
        <v>2125.3151957907353</v>
      </c>
      <c r="H21" s="4">
        <f t="shared" si="4"/>
        <v>778.16205533596838</v>
      </c>
      <c r="I21" s="14">
        <v>1214.4000000000001</v>
      </c>
      <c r="J21" s="13">
        <v>945000</v>
      </c>
      <c r="K21" s="22">
        <f t="shared" si="5"/>
        <v>1653839.6409932845</v>
      </c>
      <c r="L21" s="22">
        <f t="shared" si="0"/>
        <v>945000</v>
      </c>
      <c r="M21" s="19" t="s">
        <v>92</v>
      </c>
      <c r="N21" s="18">
        <f t="shared" si="6"/>
        <v>514.63356389986825</v>
      </c>
      <c r="O21" s="12">
        <v>624971</v>
      </c>
      <c r="P21" s="22">
        <f t="shared" si="7"/>
        <v>1093758.5336203324</v>
      </c>
      <c r="Q21" s="13">
        <f t="shared" si="8"/>
        <v>624971</v>
      </c>
    </row>
    <row r="22" spans="1:17">
      <c r="A22" s="18" t="s">
        <v>2</v>
      </c>
      <c r="B22" s="25">
        <v>65.10221093956217</v>
      </c>
      <c r="C22" s="25">
        <v>72.914476252309626</v>
      </c>
      <c r="D22" s="2">
        <v>1.3359338217910093</v>
      </c>
      <c r="E22" s="4">
        <f t="shared" si="1"/>
        <v>48.73161370544792</v>
      </c>
      <c r="F22" s="4">
        <f t="shared" si="2"/>
        <v>24.36580685272396</v>
      </c>
      <c r="G22" s="4">
        <f t="shared" si="3"/>
        <v>1865.1401334153175</v>
      </c>
      <c r="H22" s="4">
        <f t="shared" si="4"/>
        <v>1078.3820073850286</v>
      </c>
      <c r="I22" s="14">
        <v>1191.5999999999999</v>
      </c>
      <c r="J22" s="13">
        <v>1285000</v>
      </c>
      <c r="K22" s="22">
        <f t="shared" si="5"/>
        <v>2011333.56112679</v>
      </c>
      <c r="L22" s="22">
        <f t="shared" si="0"/>
        <v>1285000</v>
      </c>
      <c r="M22" s="19" t="s">
        <v>92</v>
      </c>
      <c r="N22" s="18">
        <f t="shared" si="6"/>
        <v>643.63293051359517</v>
      </c>
      <c r="O22" s="13">
        <v>766953</v>
      </c>
      <c r="P22" s="22">
        <f t="shared" si="7"/>
        <v>1200465.6098886186</v>
      </c>
      <c r="Q22" s="13">
        <f t="shared" si="8"/>
        <v>766953</v>
      </c>
    </row>
    <row r="23" spans="1:17">
      <c r="A23" s="18" t="s">
        <v>9</v>
      </c>
      <c r="B23" s="24">
        <v>55.540281389808555</v>
      </c>
      <c r="C23" s="24">
        <v>57.206489831502807</v>
      </c>
      <c r="D23" s="2">
        <v>1.367147891752108</v>
      </c>
      <c r="E23" s="4">
        <f t="shared" si="1"/>
        <v>40.6249256023277</v>
      </c>
      <c r="F23" s="4">
        <f t="shared" si="2"/>
        <v>20.31246280116385</v>
      </c>
      <c r="G23" s="4">
        <f t="shared" si="3"/>
        <v>1296.2090181843553</v>
      </c>
      <c r="H23" s="4">
        <f t="shared" si="4"/>
        <v>547.57015742642022</v>
      </c>
      <c r="I23" s="14">
        <v>1314.9</v>
      </c>
      <c r="J23" s="13">
        <v>720000</v>
      </c>
      <c r="K23" s="22">
        <f t="shared" si="5"/>
        <v>709765.37614475295</v>
      </c>
      <c r="L23" s="22">
        <f t="shared" si="0"/>
        <v>709765.37614475295</v>
      </c>
      <c r="M23" s="19" t="s">
        <v>92</v>
      </c>
      <c r="N23" s="18">
        <f t="shared" si="6"/>
        <v>337.57852308160312</v>
      </c>
      <c r="O23" s="12">
        <v>443882</v>
      </c>
      <c r="P23" s="22">
        <f t="shared" si="7"/>
        <v>437572.32596372953</v>
      </c>
      <c r="Q23" s="13">
        <f t="shared" si="8"/>
        <v>437572.32596372953</v>
      </c>
    </row>
    <row r="24" spans="1:17">
      <c r="A24" t="s">
        <v>75</v>
      </c>
      <c r="B24" s="25">
        <v>63.219918440805898</v>
      </c>
      <c r="C24" s="25">
        <v>65.116515994030081</v>
      </c>
      <c r="D24" s="2">
        <v>1.2881189492290259</v>
      </c>
      <c r="E24" s="4">
        <f t="shared" si="1"/>
        <v>49.079255047559649</v>
      </c>
      <c r="F24" s="4">
        <f t="shared" si="2"/>
        <v>24.539627523779824</v>
      </c>
      <c r="G24" s="4">
        <f t="shared" si="3"/>
        <v>1891.8461070296405</v>
      </c>
      <c r="H24" s="4">
        <f t="shared" si="4"/>
        <v>587.90735391009071</v>
      </c>
      <c r="I24" s="14">
        <v>1973.1</v>
      </c>
      <c r="J24" s="13">
        <v>1160000</v>
      </c>
      <c r="K24" s="22">
        <f t="shared" si="5"/>
        <v>1112230.2387889023</v>
      </c>
      <c r="L24" s="22">
        <f t="shared" si="0"/>
        <v>1112230.2387889023</v>
      </c>
      <c r="M24" s="19" t="s">
        <v>92</v>
      </c>
      <c r="N24" s="18">
        <f t="shared" si="6"/>
        <v>390.91227003192949</v>
      </c>
      <c r="O24" s="12">
        <v>771309</v>
      </c>
      <c r="P24" s="22">
        <f t="shared" si="7"/>
        <v>739545.85625002545</v>
      </c>
      <c r="Q24" s="13">
        <f t="shared" si="8"/>
        <v>739545.85625002545</v>
      </c>
    </row>
    <row r="25" spans="1:17">
      <c r="A25" s="18" t="s">
        <v>10</v>
      </c>
      <c r="B25" s="24">
        <v>58.291697709553844</v>
      </c>
      <c r="C25" s="24">
        <v>60.040448640840452</v>
      </c>
      <c r="D25" s="2">
        <v>1.3334070755044698</v>
      </c>
      <c r="E25" s="4">
        <f t="shared" si="1"/>
        <v>43.716355477940049</v>
      </c>
      <c r="F25" s="4">
        <f t="shared" si="2"/>
        <v>21.858177738970024</v>
      </c>
      <c r="G25" s="4">
        <f t="shared" si="3"/>
        <v>1500.9899309019161</v>
      </c>
      <c r="H25" s="4">
        <f t="shared" si="4"/>
        <v>1175.4827875734677</v>
      </c>
      <c r="I25" s="14">
        <v>595.5</v>
      </c>
      <c r="J25" s="13">
        <v>700000</v>
      </c>
      <c r="K25" s="22">
        <f t="shared" si="5"/>
        <v>1764387.8280962911</v>
      </c>
      <c r="L25" s="22">
        <f t="shared" si="0"/>
        <v>700000</v>
      </c>
      <c r="M25" s="19" t="s">
        <v>92</v>
      </c>
      <c r="N25" s="18">
        <f t="shared" si="6"/>
        <v>623.22082283795135</v>
      </c>
      <c r="O25" s="12">
        <v>371128</v>
      </c>
      <c r="P25" s="22">
        <f t="shared" si="7"/>
        <v>935448.17980817182</v>
      </c>
      <c r="Q25" s="13">
        <f t="shared" si="8"/>
        <v>371128</v>
      </c>
    </row>
    <row r="26" spans="1:17">
      <c r="A26" t="s">
        <v>64</v>
      </c>
      <c r="B26" s="25">
        <v>48.116227796764051</v>
      </c>
      <c r="C26" s="25">
        <v>49.559714630666974</v>
      </c>
      <c r="D26" s="2">
        <v>1.2467601620257738</v>
      </c>
      <c r="E26" s="4">
        <f t="shared" si="1"/>
        <v>38.593010317704845</v>
      </c>
      <c r="F26" s="4">
        <f t="shared" si="2"/>
        <v>19.296505158852423</v>
      </c>
      <c r="G26" s="4">
        <f t="shared" si="3"/>
        <v>1169.7880823300036</v>
      </c>
      <c r="H26" s="4">
        <f t="shared" si="4"/>
        <v>2243.0420521281399</v>
      </c>
      <c r="I26" s="14">
        <v>5091.3</v>
      </c>
      <c r="J26" s="13">
        <v>11420000</v>
      </c>
      <c r="K26" s="22">
        <f t="shared" si="5"/>
        <v>2623883.8607445327</v>
      </c>
      <c r="L26" s="22">
        <f t="shared" si="0"/>
        <v>2623883.8607445327</v>
      </c>
      <c r="M26" s="19" t="s">
        <v>92</v>
      </c>
      <c r="N26" s="18">
        <f t="shared" si="6"/>
        <v>1337.3878970007659</v>
      </c>
      <c r="O26" s="12">
        <v>6809043</v>
      </c>
      <c r="P26" s="22">
        <f t="shared" si="7"/>
        <v>1564460.4233638823</v>
      </c>
      <c r="Q26" s="13">
        <f t="shared" si="8"/>
        <v>1564460.4233638823</v>
      </c>
    </row>
    <row r="27" spans="1:17">
      <c r="A27" s="18" t="s">
        <v>11</v>
      </c>
      <c r="B27" s="24">
        <v>62.487212851553508</v>
      </c>
      <c r="C27" s="24">
        <v>64.986701365615659</v>
      </c>
      <c r="D27" s="2">
        <v>1.3589321966589822</v>
      </c>
      <c r="E27" s="4">
        <f t="shared" si="1"/>
        <v>45.982583240857885</v>
      </c>
      <c r="F27" s="4">
        <f t="shared" si="2"/>
        <v>22.991291620428942</v>
      </c>
      <c r="G27" s="4">
        <f t="shared" si="3"/>
        <v>1660.6442756553129</v>
      </c>
      <c r="H27" s="4">
        <f t="shared" si="4"/>
        <v>1106.8597977589507</v>
      </c>
      <c r="I27" s="14">
        <v>731.8</v>
      </c>
      <c r="J27" s="13">
        <v>810000</v>
      </c>
      <c r="K27" s="22">
        <f t="shared" si="5"/>
        <v>1838100.3871013988</v>
      </c>
      <c r="L27" s="22">
        <f t="shared" si="0"/>
        <v>810000</v>
      </c>
      <c r="M27" s="19" t="s">
        <v>92</v>
      </c>
      <c r="N27" s="18">
        <f t="shared" si="6"/>
        <v>610.65318393003554</v>
      </c>
      <c r="O27" s="12">
        <v>446876</v>
      </c>
      <c r="P27" s="22">
        <f t="shared" si="7"/>
        <v>1014077.7143041044</v>
      </c>
      <c r="Q27" s="13">
        <f t="shared" si="8"/>
        <v>446876</v>
      </c>
    </row>
    <row r="28" spans="1:17">
      <c r="A28" s="18" t="s">
        <v>12</v>
      </c>
      <c r="B28" s="24">
        <v>65.308032205055966</v>
      </c>
      <c r="C28" s="24">
        <v>67.920353493258204</v>
      </c>
      <c r="D28" s="2">
        <v>1.3312259917708142</v>
      </c>
      <c r="E28" s="4">
        <f t="shared" si="1"/>
        <v>49.058561513047358</v>
      </c>
      <c r="F28" s="4">
        <f t="shared" si="2"/>
        <v>24.529280756523679</v>
      </c>
      <c r="G28" s="4">
        <f t="shared" si="3"/>
        <v>1890.2511060713719</v>
      </c>
      <c r="H28" s="4">
        <f t="shared" si="4"/>
        <v>973.62164609985291</v>
      </c>
      <c r="I28" s="14">
        <v>883.3</v>
      </c>
      <c r="J28" s="13">
        <v>860000</v>
      </c>
      <c r="K28" s="22">
        <f t="shared" si="5"/>
        <v>1840389.3934352768</v>
      </c>
      <c r="L28" s="22">
        <f t="shared" si="0"/>
        <v>860000</v>
      </c>
      <c r="M28" s="19" t="s">
        <v>92</v>
      </c>
      <c r="N28" s="18">
        <f t="shared" si="6"/>
        <v>507.45726253820902</v>
      </c>
      <c r="O28" s="12">
        <v>448237</v>
      </c>
      <c r="P28" s="22">
        <f t="shared" si="7"/>
        <v>959221.65179680008</v>
      </c>
      <c r="Q28" s="13">
        <f t="shared" si="8"/>
        <v>448237</v>
      </c>
    </row>
    <row r="29" spans="1:17">
      <c r="A29" t="s">
        <v>44</v>
      </c>
      <c r="B29" s="25">
        <v>64.485521071986952</v>
      </c>
      <c r="C29" s="25">
        <v>67.064941914866438</v>
      </c>
      <c r="D29" s="2">
        <v>1.2176020802066099</v>
      </c>
      <c r="E29" s="4">
        <f t="shared" si="1"/>
        <v>52.961079912942225</v>
      </c>
      <c r="F29" s="4">
        <f t="shared" si="2"/>
        <v>26.480539956471112</v>
      </c>
      <c r="G29" s="4">
        <f t="shared" si="3"/>
        <v>2202.944447604692</v>
      </c>
      <c r="H29" s="4">
        <f t="shared" si="4"/>
        <v>927.60180995475116</v>
      </c>
      <c r="I29" s="14">
        <v>1326</v>
      </c>
      <c r="J29" s="13">
        <v>1230000</v>
      </c>
      <c r="K29" s="22">
        <f t="shared" si="5"/>
        <v>2043455.2568278818</v>
      </c>
      <c r="L29" s="22">
        <f t="shared" si="0"/>
        <v>1230000</v>
      </c>
      <c r="M29" s="19" t="s">
        <v>92</v>
      </c>
      <c r="N29" s="18">
        <f t="shared" si="6"/>
        <v>582.76923076923072</v>
      </c>
      <c r="O29" s="12">
        <v>772752</v>
      </c>
      <c r="P29" s="22">
        <f t="shared" si="7"/>
        <v>1283808.2411579343</v>
      </c>
      <c r="Q29" s="13">
        <f t="shared" si="8"/>
        <v>772752</v>
      </c>
    </row>
    <row r="30" spans="1:17">
      <c r="A30" t="s">
        <v>45</v>
      </c>
      <c r="B30" s="25">
        <v>63.564185114523426</v>
      </c>
      <c r="C30" s="25">
        <v>66.106752519104361</v>
      </c>
      <c r="D30" s="2">
        <v>1.2446763567855696</v>
      </c>
      <c r="E30" s="4">
        <f t="shared" si="1"/>
        <v>51.068845943760572</v>
      </c>
      <c r="F30" s="4">
        <f t="shared" si="2"/>
        <v>25.534422971880286</v>
      </c>
      <c r="G30" s="4">
        <f t="shared" si="3"/>
        <v>2048.3396363329475</v>
      </c>
      <c r="H30" s="4">
        <f t="shared" si="4"/>
        <v>730.08608477716029</v>
      </c>
      <c r="I30" s="14">
        <v>2753.1</v>
      </c>
      <c r="J30" s="13">
        <v>2010000</v>
      </c>
      <c r="K30" s="22">
        <f t="shared" si="5"/>
        <v>1495464.265384194</v>
      </c>
      <c r="L30" s="22">
        <f t="shared" si="0"/>
        <v>1495464.265384194</v>
      </c>
      <c r="M30" s="19" t="s">
        <v>92</v>
      </c>
      <c r="N30" s="18">
        <f t="shared" si="6"/>
        <v>474.96422214957687</v>
      </c>
      <c r="O30" s="12">
        <v>1307624</v>
      </c>
      <c r="P30" s="22">
        <f t="shared" si="7"/>
        <v>972888.04206902557</v>
      </c>
      <c r="Q30" s="13">
        <f t="shared" si="8"/>
        <v>972888.04206902557</v>
      </c>
    </row>
    <row r="31" spans="1:17">
      <c r="A31" s="18" t="s">
        <v>13</v>
      </c>
      <c r="B31" s="24">
        <v>63.734436519319452</v>
      </c>
      <c r="C31" s="24">
        <v>66.283813980092233</v>
      </c>
      <c r="D31" s="2">
        <v>1.353332701277282</v>
      </c>
      <c r="E31" s="4">
        <f t="shared" si="1"/>
        <v>47.094433215990847</v>
      </c>
      <c r="F31" s="4">
        <f t="shared" si="2"/>
        <v>23.547216607995423</v>
      </c>
      <c r="G31" s="4">
        <f t="shared" si="3"/>
        <v>1741.9233082308549</v>
      </c>
      <c r="H31" s="4">
        <f t="shared" si="4"/>
        <v>451.20587765532662</v>
      </c>
      <c r="I31" s="14">
        <v>1252.2</v>
      </c>
      <c r="J31" s="13">
        <v>565000</v>
      </c>
      <c r="K31" s="22">
        <f t="shared" si="5"/>
        <v>785966.03509857296</v>
      </c>
      <c r="L31" s="22">
        <f t="shared" si="0"/>
        <v>565000</v>
      </c>
      <c r="M31" s="19" t="s">
        <v>92</v>
      </c>
      <c r="N31" s="18">
        <f t="shared" si="6"/>
        <v>395.8768567321514</v>
      </c>
      <c r="O31" s="12">
        <v>495717</v>
      </c>
      <c r="P31" s="22">
        <f t="shared" si="7"/>
        <v>689587.12393090129</v>
      </c>
      <c r="Q31" s="13">
        <f t="shared" si="8"/>
        <v>495717</v>
      </c>
    </row>
    <row r="32" spans="1:17">
      <c r="A32" t="s">
        <v>47</v>
      </c>
      <c r="B32" s="25">
        <v>62.636693012318808</v>
      </c>
      <c r="C32" s="25">
        <v>65.142160732811561</v>
      </c>
      <c r="D32" s="2">
        <v>1.3461921883034873</v>
      </c>
      <c r="E32" s="4">
        <f t="shared" si="1"/>
        <v>46.528789541748488</v>
      </c>
      <c r="F32" s="4">
        <f t="shared" si="2"/>
        <v>23.264394770874244</v>
      </c>
      <c r="G32" s="4">
        <f t="shared" si="3"/>
        <v>1700.3306763226824</v>
      </c>
      <c r="H32" s="4">
        <f t="shared" si="4"/>
        <v>1501.072194424589</v>
      </c>
      <c r="I32" s="14">
        <v>699.5</v>
      </c>
      <c r="J32" s="13">
        <v>1050000</v>
      </c>
      <c r="K32" s="22">
        <f t="shared" si="5"/>
        <v>2552319.0995551343</v>
      </c>
      <c r="L32" s="22">
        <f t="shared" si="0"/>
        <v>1050000</v>
      </c>
      <c r="M32" s="19" t="s">
        <v>92</v>
      </c>
      <c r="N32" s="18">
        <f t="shared" si="6"/>
        <v>735.84846318799146</v>
      </c>
      <c r="O32" s="12">
        <v>514726</v>
      </c>
      <c r="P32" s="22">
        <f t="shared" si="7"/>
        <v>1251185.715083444</v>
      </c>
      <c r="Q32" s="13">
        <f t="shared" si="8"/>
        <v>514726</v>
      </c>
    </row>
    <row r="33" spans="1:17">
      <c r="A33" t="s">
        <v>65</v>
      </c>
      <c r="B33" s="25">
        <v>59.42988867805861</v>
      </c>
      <c r="C33" s="25">
        <v>62.40138311196155</v>
      </c>
      <c r="D33" s="2">
        <v>1.2603547141344449</v>
      </c>
      <c r="E33" s="4">
        <f t="shared" si="1"/>
        <v>47.153303757722199</v>
      </c>
      <c r="F33" s="4">
        <f t="shared" si="2"/>
        <v>23.576651878861099</v>
      </c>
      <c r="G33" s="4">
        <f t="shared" si="3"/>
        <v>1746.2810234428421</v>
      </c>
      <c r="H33" s="4">
        <f t="shared" si="4"/>
        <v>2072.7310590777161</v>
      </c>
      <c r="I33" s="14">
        <v>7683.1</v>
      </c>
      <c r="J33" s="13">
        <v>15925000</v>
      </c>
      <c r="K33" s="22">
        <f t="shared" si="5"/>
        <v>3619570.9151679999</v>
      </c>
      <c r="L33" s="22">
        <f t="shared" si="0"/>
        <v>3619570.9151679999</v>
      </c>
      <c r="M33" s="19" t="s">
        <v>92</v>
      </c>
      <c r="N33" s="18">
        <f t="shared" si="6"/>
        <v>1112.8936236675299</v>
      </c>
      <c r="O33" s="12">
        <v>8550473</v>
      </c>
      <c r="P33" s="22">
        <f t="shared" si="7"/>
        <v>1943425.0161211472</v>
      </c>
      <c r="Q33" s="13">
        <f t="shared" si="8"/>
        <v>1943425.0161211472</v>
      </c>
    </row>
    <row r="34" spans="1:17">
      <c r="A34" s="18" t="s">
        <v>14</v>
      </c>
      <c r="B34" s="24">
        <v>69.714425398287744</v>
      </c>
      <c r="C34" s="24">
        <v>72.503002414219253</v>
      </c>
      <c r="D34" s="2">
        <v>1.2964577542802127</v>
      </c>
      <c r="E34" s="4">
        <f t="shared" si="1"/>
        <v>53.773001988015309</v>
      </c>
      <c r="F34" s="4">
        <f t="shared" si="2"/>
        <v>26.886500994007655</v>
      </c>
      <c r="G34" s="4">
        <f t="shared" si="3"/>
        <v>2271.0068617956299</v>
      </c>
      <c r="H34" s="4">
        <f t="shared" si="4"/>
        <v>411.8665313675163</v>
      </c>
      <c r="I34" s="14">
        <v>1675.3</v>
      </c>
      <c r="J34" s="13">
        <v>690000</v>
      </c>
      <c r="K34" s="22">
        <f t="shared" si="5"/>
        <v>935351.71887959458</v>
      </c>
      <c r="L34" s="22">
        <f t="shared" ref="L34:L53" si="9">MIN(J34,K34)</f>
        <v>690000</v>
      </c>
      <c r="M34" s="19" t="s">
        <v>92</v>
      </c>
      <c r="N34" s="18">
        <f t="shared" si="6"/>
        <v>268.68143019160749</v>
      </c>
      <c r="O34" s="12">
        <v>450122</v>
      </c>
      <c r="P34" s="22">
        <f t="shared" si="7"/>
        <v>610177.37160220416</v>
      </c>
      <c r="Q34" s="13">
        <f t="shared" si="8"/>
        <v>450122</v>
      </c>
    </row>
    <row r="35" spans="1:17">
      <c r="A35" t="s">
        <v>48</v>
      </c>
      <c r="B35" s="25">
        <v>58.78311324728174</v>
      </c>
      <c r="C35" s="25">
        <v>61.722268909645827</v>
      </c>
      <c r="D35" s="2">
        <v>1.3350685041643267</v>
      </c>
      <c r="E35" s="4">
        <f t="shared" ref="E35:E53" si="10">B35/D35</f>
        <v>44.030035210872171</v>
      </c>
      <c r="F35" s="4">
        <f t="shared" ref="F35:F53" si="11">E35*0.5</f>
        <v>22.015017605436086</v>
      </c>
      <c r="G35" s="4">
        <f t="shared" ref="G35:G53" si="12">PI()*F35^2</f>
        <v>1522.6074376082047</v>
      </c>
      <c r="H35" s="4">
        <f t="shared" ref="H35:H53" si="13">J35/I35</f>
        <v>841.40495059191858</v>
      </c>
      <c r="I35" s="14">
        <v>1022.1</v>
      </c>
      <c r="J35" s="13">
        <v>860000</v>
      </c>
      <c r="K35" s="22">
        <f t="shared" ref="K35:K53" si="14">G35*H35</f>
        <v>1281129.4358116193</v>
      </c>
      <c r="L35" s="22">
        <f t="shared" si="9"/>
        <v>860000</v>
      </c>
      <c r="M35" s="19" t="s">
        <v>92</v>
      </c>
      <c r="N35" s="18">
        <f t="shared" ref="N35:N53" si="15">O35/I35</f>
        <v>545.39477546228352</v>
      </c>
      <c r="O35" s="12">
        <v>557448</v>
      </c>
      <c r="P35" s="22">
        <f t="shared" ref="P35:P53" si="16">G35*N35</f>
        <v>830422.14155152964</v>
      </c>
      <c r="Q35" s="13">
        <f t="shared" ref="Q35:Q53" si="17">MIN(P35,O35)</f>
        <v>557448</v>
      </c>
    </row>
    <row r="36" spans="1:17">
      <c r="A36" t="s">
        <v>67</v>
      </c>
      <c r="B36" s="25">
        <v>63.176257053555211</v>
      </c>
      <c r="C36" s="25">
        <v>66.966832476768531</v>
      </c>
      <c r="D36" s="2">
        <v>1.21284552512981</v>
      </c>
      <c r="E36" s="4">
        <f t="shared" si="10"/>
        <v>52.089285687716497</v>
      </c>
      <c r="F36" s="4">
        <f t="shared" si="11"/>
        <v>26.044642843858249</v>
      </c>
      <c r="G36" s="4">
        <f t="shared" si="12"/>
        <v>2131.0158757446693</v>
      </c>
      <c r="H36" s="4">
        <f t="shared" si="13"/>
        <v>1518.9201737803867</v>
      </c>
      <c r="I36" s="14">
        <v>3015.3</v>
      </c>
      <c r="J36" s="13">
        <v>4580000</v>
      </c>
      <c r="K36" s="22">
        <f t="shared" si="14"/>
        <v>3236843.0043148561</v>
      </c>
      <c r="L36" s="22">
        <f t="shared" si="9"/>
        <v>3236843.0043148561</v>
      </c>
      <c r="M36" s="19" t="s">
        <v>92</v>
      </c>
      <c r="N36" s="18">
        <f t="shared" si="15"/>
        <v>926.91175007461936</v>
      </c>
      <c r="O36" s="12">
        <v>2794917</v>
      </c>
      <c r="P36" s="22">
        <f t="shared" si="16"/>
        <v>1975263.654823289</v>
      </c>
      <c r="Q36" s="13">
        <f t="shared" si="17"/>
        <v>1975263.654823289</v>
      </c>
    </row>
    <row r="37" spans="1:17">
      <c r="A37" t="s">
        <v>49</v>
      </c>
      <c r="B37" s="25">
        <v>62.02920484038443</v>
      </c>
      <c r="C37" s="25">
        <v>65.130665082403652</v>
      </c>
      <c r="D37" s="2">
        <v>1.3720086617819869</v>
      </c>
      <c r="E37" s="4">
        <f t="shared" si="10"/>
        <v>45.210505274667803</v>
      </c>
      <c r="F37" s="4">
        <f t="shared" si="11"/>
        <v>22.605252637333901</v>
      </c>
      <c r="G37" s="4">
        <f t="shared" si="12"/>
        <v>1605.345824862768</v>
      </c>
      <c r="H37" s="4">
        <f t="shared" si="13"/>
        <v>987.28769407106381</v>
      </c>
      <c r="I37" s="14">
        <v>1919.4</v>
      </c>
      <c r="J37" s="13">
        <v>1895000</v>
      </c>
      <c r="K37" s="22">
        <f t="shared" si="14"/>
        <v>1584938.1776153722</v>
      </c>
      <c r="L37" s="22">
        <f t="shared" si="9"/>
        <v>1584938.1776153722</v>
      </c>
      <c r="M37" s="19" t="s">
        <v>92</v>
      </c>
      <c r="N37" s="18">
        <f t="shared" si="15"/>
        <v>519.17005314160667</v>
      </c>
      <c r="O37" s="12">
        <v>996495</v>
      </c>
      <c r="P37" s="22">
        <f t="shared" si="16"/>
        <v>833447.47720465972</v>
      </c>
      <c r="Q37" s="13">
        <f t="shared" si="17"/>
        <v>833447.47720465972</v>
      </c>
    </row>
    <row r="38" spans="1:17">
      <c r="A38" t="s">
        <v>50</v>
      </c>
      <c r="B38" s="25">
        <v>65.42916793409438</v>
      </c>
      <c r="C38" s="25">
        <v>68.700626330799111</v>
      </c>
      <c r="D38" s="2">
        <v>1.3164731695748204</v>
      </c>
      <c r="E38" s="4">
        <f t="shared" si="10"/>
        <v>49.700342890562631</v>
      </c>
      <c r="F38" s="4">
        <f t="shared" si="11"/>
        <v>24.850171445281315</v>
      </c>
      <c r="G38" s="4">
        <f t="shared" si="12"/>
        <v>1940.0309184971882</v>
      </c>
      <c r="H38" s="4">
        <f t="shared" si="13"/>
        <v>883.28701865819767</v>
      </c>
      <c r="I38" s="14">
        <v>2015.2</v>
      </c>
      <c r="J38" s="13">
        <v>1780000</v>
      </c>
      <c r="K38" s="22">
        <f t="shared" si="14"/>
        <v>1713604.1261041062</v>
      </c>
      <c r="L38" s="22">
        <f t="shared" si="9"/>
        <v>1713604.1261041062</v>
      </c>
      <c r="M38" s="19" t="s">
        <v>92</v>
      </c>
      <c r="N38" s="18">
        <f t="shared" si="15"/>
        <v>474.4710202461294</v>
      </c>
      <c r="O38" s="12">
        <v>956154</v>
      </c>
      <c r="P38" s="22">
        <f t="shared" si="16"/>
        <v>920488.44920839637</v>
      </c>
      <c r="Q38" s="13">
        <f t="shared" si="17"/>
        <v>920488.44920839637</v>
      </c>
    </row>
    <row r="39" spans="1:17">
      <c r="A39" t="s">
        <v>51</v>
      </c>
      <c r="B39" s="25">
        <v>65.140770915733583</v>
      </c>
      <c r="C39" s="25">
        <v>68.397809461520268</v>
      </c>
      <c r="D39" s="2">
        <v>1.3968132005592373</v>
      </c>
      <c r="E39" s="4">
        <f t="shared" si="10"/>
        <v>46.635277279491198</v>
      </c>
      <c r="F39" s="4">
        <f t="shared" si="11"/>
        <v>23.317638639745599</v>
      </c>
      <c r="G39" s="4">
        <f t="shared" si="12"/>
        <v>1708.1224785453883</v>
      </c>
      <c r="H39" s="4">
        <f t="shared" si="13"/>
        <v>1184.1974325803562</v>
      </c>
      <c r="I39" s="14">
        <v>1004.9</v>
      </c>
      <c r="J39" s="13">
        <v>1190000</v>
      </c>
      <c r="K39" s="22">
        <f t="shared" si="14"/>
        <v>2022754.2536262434</v>
      </c>
      <c r="L39" s="22">
        <f t="shared" si="9"/>
        <v>1190000</v>
      </c>
      <c r="M39" s="19" t="s">
        <v>92</v>
      </c>
      <c r="N39" s="18">
        <f t="shared" si="15"/>
        <v>720.99910438849633</v>
      </c>
      <c r="O39" s="12">
        <v>724532</v>
      </c>
      <c r="P39" s="22">
        <f t="shared" si="16"/>
        <v>1231554.7772170834</v>
      </c>
      <c r="Q39" s="13">
        <f t="shared" si="17"/>
        <v>724532</v>
      </c>
    </row>
    <row r="40" spans="1:17">
      <c r="A40" t="s">
        <v>52</v>
      </c>
      <c r="B40" s="25">
        <v>70.338872065042395</v>
      </c>
      <c r="C40" s="25">
        <v>75.262593109595372</v>
      </c>
      <c r="D40" s="2">
        <v>1.2487404330931191</v>
      </c>
      <c r="E40" s="4">
        <f t="shared" si="10"/>
        <v>56.327856615336486</v>
      </c>
      <c r="F40" s="4">
        <f t="shared" si="11"/>
        <v>28.163928307668243</v>
      </c>
      <c r="G40" s="4">
        <f t="shared" si="12"/>
        <v>2491.932836988552</v>
      </c>
      <c r="H40" s="4">
        <f t="shared" si="13"/>
        <v>1415.4601861427093</v>
      </c>
      <c r="I40" s="14">
        <v>773.6</v>
      </c>
      <c r="J40" s="13">
        <v>1095000</v>
      </c>
      <c r="K40" s="22">
        <f t="shared" si="14"/>
        <v>3527231.7172989454</v>
      </c>
      <c r="L40" s="22">
        <f t="shared" si="9"/>
        <v>1095000</v>
      </c>
      <c r="M40" s="19" t="s">
        <v>92</v>
      </c>
      <c r="N40" s="18">
        <f t="shared" si="15"/>
        <v>704.06928645294727</v>
      </c>
      <c r="O40" s="12">
        <v>544668</v>
      </c>
      <c r="P40" s="22">
        <f t="shared" si="16"/>
        <v>1754493.3744271984</v>
      </c>
      <c r="Q40" s="13">
        <f t="shared" si="17"/>
        <v>544668</v>
      </c>
    </row>
    <row r="41" spans="1:17">
      <c r="A41" s="18" t="s">
        <v>15</v>
      </c>
      <c r="B41" s="24">
        <v>68.778714095226661</v>
      </c>
      <c r="C41" s="24">
        <v>74.281011222844796</v>
      </c>
      <c r="D41" s="2">
        <v>1.2413603862790981</v>
      </c>
      <c r="E41" s="4">
        <f t="shared" si="10"/>
        <v>55.405919872621887</v>
      </c>
      <c r="F41" s="4">
        <f t="shared" si="11"/>
        <v>27.702959936310943</v>
      </c>
      <c r="G41" s="4">
        <f t="shared" si="12"/>
        <v>2411.0278145420993</v>
      </c>
      <c r="H41" s="4">
        <f t="shared" si="13"/>
        <v>1097.213078779899</v>
      </c>
      <c r="I41" s="14">
        <v>455.7</v>
      </c>
      <c r="J41" s="13">
        <v>500000</v>
      </c>
      <c r="K41" s="22">
        <f t="shared" si="14"/>
        <v>2645411.2514177081</v>
      </c>
      <c r="L41" s="22">
        <f t="shared" si="9"/>
        <v>500000</v>
      </c>
      <c r="M41" s="19" t="s">
        <v>92</v>
      </c>
      <c r="N41" s="18">
        <f t="shared" si="15"/>
        <v>877.11432960280888</v>
      </c>
      <c r="O41" s="12">
        <v>399701</v>
      </c>
      <c r="P41" s="22">
        <f t="shared" si="16"/>
        <v>2114747.045205819</v>
      </c>
      <c r="Q41" s="13">
        <f t="shared" si="17"/>
        <v>399701</v>
      </c>
    </row>
    <row r="42" spans="1:17">
      <c r="A42" t="s">
        <v>82</v>
      </c>
      <c r="B42" s="25">
        <v>70.514936537683639</v>
      </c>
      <c r="C42" s="25">
        <v>78.27157955682884</v>
      </c>
      <c r="D42" s="2">
        <v>1.2523823469090467</v>
      </c>
      <c r="E42" s="4">
        <f t="shared" si="10"/>
        <v>56.304639483076912</v>
      </c>
      <c r="F42" s="4">
        <f t="shared" si="11"/>
        <v>28.152319741538456</v>
      </c>
      <c r="G42" s="4">
        <f t="shared" si="12"/>
        <v>2489.8790179963162</v>
      </c>
      <c r="H42" s="4">
        <f t="shared" si="13"/>
        <v>1079.1366906474821</v>
      </c>
      <c r="I42" s="14">
        <v>569.9</v>
      </c>
      <c r="J42" s="13">
        <v>615000</v>
      </c>
      <c r="K42" s="22">
        <f t="shared" si="14"/>
        <v>2686919.8035931471</v>
      </c>
      <c r="L42" s="22">
        <f t="shared" si="9"/>
        <v>615000</v>
      </c>
      <c r="M42" s="19" t="s">
        <v>92</v>
      </c>
      <c r="N42" s="18">
        <f t="shared" si="15"/>
        <v>844.82716266011585</v>
      </c>
      <c r="O42" s="12">
        <v>481467</v>
      </c>
      <c r="P42" s="22">
        <f t="shared" si="16"/>
        <v>2103517.4261407834</v>
      </c>
      <c r="Q42" s="13">
        <f t="shared" si="17"/>
        <v>481467</v>
      </c>
    </row>
    <row r="43" spans="1:17">
      <c r="A43" t="s">
        <v>54</v>
      </c>
      <c r="B43" s="25">
        <v>61.557786724693997</v>
      </c>
      <c r="C43" s="25">
        <v>68.329143264410348</v>
      </c>
      <c r="D43" s="2">
        <v>1.420419999904208</v>
      </c>
      <c r="E43" s="4">
        <f t="shared" si="10"/>
        <v>43.337735830842576</v>
      </c>
      <c r="F43" s="4">
        <f t="shared" si="11"/>
        <v>21.668867915421288</v>
      </c>
      <c r="G43" s="4">
        <f t="shared" si="12"/>
        <v>1475.1029016574871</v>
      </c>
      <c r="H43" s="4">
        <f t="shared" si="13"/>
        <v>1272.1174973979414</v>
      </c>
      <c r="I43" s="14">
        <v>864.7</v>
      </c>
      <c r="J43" s="13">
        <v>1100000</v>
      </c>
      <c r="K43" s="22">
        <f t="shared" si="14"/>
        <v>1876504.2116609642</v>
      </c>
      <c r="L43" s="22">
        <f t="shared" si="9"/>
        <v>1100000</v>
      </c>
      <c r="M43" s="19" t="s">
        <v>92</v>
      </c>
      <c r="N43" s="18">
        <f t="shared" si="15"/>
        <v>793.27512432057358</v>
      </c>
      <c r="O43" s="12">
        <v>685945</v>
      </c>
      <c r="P43" s="22">
        <f t="shared" si="16"/>
        <v>1170162.4376979819</v>
      </c>
      <c r="Q43" s="13">
        <f t="shared" si="17"/>
        <v>685945</v>
      </c>
    </row>
    <row r="44" spans="1:17">
      <c r="A44" t="s">
        <v>55</v>
      </c>
      <c r="B44" s="4">
        <v>65.143959367039756</v>
      </c>
      <c r="C44" s="4">
        <v>73.612674084754914</v>
      </c>
      <c r="D44" s="2">
        <v>1.3900559399069428</v>
      </c>
      <c r="E44" s="4">
        <f t="shared" si="10"/>
        <v>46.864271787077008</v>
      </c>
      <c r="F44" s="4">
        <f t="shared" si="11"/>
        <v>23.432135893538504</v>
      </c>
      <c r="G44" s="4">
        <f t="shared" si="12"/>
        <v>1724.93854688581</v>
      </c>
      <c r="H44" s="4">
        <f t="shared" si="13"/>
        <v>1215.620726333384</v>
      </c>
      <c r="I44" s="14">
        <v>658.1</v>
      </c>
      <c r="J44" s="13">
        <v>800000</v>
      </c>
      <c r="K44" s="22">
        <f t="shared" si="14"/>
        <v>2096871.0492457803</v>
      </c>
      <c r="L44" s="22">
        <f t="shared" si="9"/>
        <v>800000</v>
      </c>
      <c r="M44" s="19" t="s">
        <v>92</v>
      </c>
      <c r="N44" s="18">
        <f t="shared" si="15"/>
        <v>728.36650964898945</v>
      </c>
      <c r="O44" s="12">
        <v>479338</v>
      </c>
      <c r="P44" s="22">
        <f t="shared" si="16"/>
        <v>1256387.468754217</v>
      </c>
      <c r="Q44" s="13">
        <f t="shared" si="17"/>
        <v>479338</v>
      </c>
    </row>
    <row r="45" spans="1:17">
      <c r="A45" t="s">
        <v>68</v>
      </c>
      <c r="B45" s="4">
        <v>68.131157212250471</v>
      </c>
      <c r="C45" s="4">
        <v>77.66951922196553</v>
      </c>
      <c r="D45" s="2">
        <v>1.3944576902357904</v>
      </c>
      <c r="E45" s="4">
        <f t="shared" si="10"/>
        <v>48.858533098074922</v>
      </c>
      <c r="F45" s="4">
        <f t="shared" si="11"/>
        <v>24.429266549037461</v>
      </c>
      <c r="G45" s="4">
        <f t="shared" si="12"/>
        <v>1874.868139594437</v>
      </c>
      <c r="H45" s="4">
        <f t="shared" si="13"/>
        <v>1031.2913177611283</v>
      </c>
      <c r="I45" s="14">
        <v>1134.5</v>
      </c>
      <c r="J45" s="13">
        <v>1170000</v>
      </c>
      <c r="K45" s="22">
        <f t="shared" si="14"/>
        <v>1933535.234310702</v>
      </c>
      <c r="L45" s="22">
        <f t="shared" si="9"/>
        <v>1170000</v>
      </c>
      <c r="M45" s="19" t="s">
        <v>92</v>
      </c>
      <c r="N45" s="18">
        <f t="shared" si="15"/>
        <v>501.67386513882769</v>
      </c>
      <c r="O45" s="12">
        <v>569149</v>
      </c>
      <c r="P45" s="22">
        <f t="shared" si="16"/>
        <v>940572.34621598432</v>
      </c>
      <c r="Q45" s="13">
        <f t="shared" si="17"/>
        <v>569149</v>
      </c>
    </row>
    <row r="46" spans="1:17">
      <c r="A46" t="s">
        <v>69</v>
      </c>
      <c r="B46" s="4">
        <v>59.330043396898148</v>
      </c>
      <c r="C46" s="4">
        <v>68.229549906432865</v>
      </c>
      <c r="D46" s="2">
        <v>1.3769556631897848</v>
      </c>
      <c r="E46" s="4">
        <f t="shared" si="10"/>
        <v>43.087838615992339</v>
      </c>
      <c r="F46" s="4">
        <f t="shared" si="11"/>
        <v>21.54391930799617</v>
      </c>
      <c r="G46" s="4">
        <f t="shared" si="12"/>
        <v>1458.1402566977063</v>
      </c>
      <c r="H46" s="4">
        <f t="shared" si="13"/>
        <v>1283.9160839160838</v>
      </c>
      <c r="I46" s="14">
        <v>1787.5</v>
      </c>
      <c r="J46" s="13">
        <v>2295000</v>
      </c>
      <c r="K46" s="22">
        <f t="shared" si="14"/>
        <v>1872129.7281797123</v>
      </c>
      <c r="L46" s="22">
        <f t="shared" si="9"/>
        <v>1872129.7281797123</v>
      </c>
      <c r="M46" s="19" t="s">
        <v>92</v>
      </c>
      <c r="N46" s="18">
        <f t="shared" si="15"/>
        <v>688.36139860139861</v>
      </c>
      <c r="O46" s="12">
        <v>1230446</v>
      </c>
      <c r="P46" s="22">
        <f t="shared" si="16"/>
        <v>1003727.4664574355</v>
      </c>
      <c r="Q46" s="13">
        <f t="shared" si="17"/>
        <v>1003727.4664574355</v>
      </c>
    </row>
    <row r="47" spans="1:17">
      <c r="A47" t="s">
        <v>70</v>
      </c>
      <c r="B47" s="4">
        <v>53.936325276944842</v>
      </c>
      <c r="C47" s="4">
        <v>62.026774068486567</v>
      </c>
      <c r="D47" s="2">
        <v>1.4057476356909797</v>
      </c>
      <c r="E47" s="4">
        <f t="shared" si="10"/>
        <v>38.368426812564429</v>
      </c>
      <c r="F47" s="4">
        <f t="shared" si="11"/>
        <v>19.184213406282215</v>
      </c>
      <c r="G47" s="4">
        <f t="shared" si="12"/>
        <v>1156.2130489571946</v>
      </c>
      <c r="H47" s="4">
        <f t="shared" si="13"/>
        <v>1623.3049162948894</v>
      </c>
      <c r="I47" s="14">
        <v>2263.9</v>
      </c>
      <c r="J47" s="13">
        <v>3675000</v>
      </c>
      <c r="K47" s="22">
        <f t="shared" si="14"/>
        <v>1876886.3266565176</v>
      </c>
      <c r="L47" s="22">
        <f t="shared" si="9"/>
        <v>1876886.3266565176</v>
      </c>
      <c r="M47" s="19" t="s">
        <v>92</v>
      </c>
      <c r="N47" s="18">
        <f t="shared" si="15"/>
        <v>1413.8579442554883</v>
      </c>
      <c r="O47" s="12">
        <v>3200833</v>
      </c>
      <c r="P47" s="22">
        <f t="shared" si="16"/>
        <v>1634721.0045199895</v>
      </c>
      <c r="Q47" s="13">
        <f t="shared" si="17"/>
        <v>1634721.0045199895</v>
      </c>
    </row>
    <row r="48" spans="1:17">
      <c r="A48" s="18" t="s">
        <v>3</v>
      </c>
      <c r="B48" s="4">
        <v>57.58663731743308</v>
      </c>
      <c r="C48" s="4">
        <v>66.800499288222369</v>
      </c>
      <c r="D48" s="2">
        <v>1.415239926121528</v>
      </c>
      <c r="E48" s="4">
        <f t="shared" si="10"/>
        <v>40.690370766495789</v>
      </c>
      <c r="F48" s="4">
        <f t="shared" si="11"/>
        <v>20.345185383247895</v>
      </c>
      <c r="G48" s="4">
        <f t="shared" si="12"/>
        <v>1300.3886660300725</v>
      </c>
      <c r="H48" s="4">
        <f t="shared" si="13"/>
        <v>1608.4873374401095</v>
      </c>
      <c r="I48" s="14">
        <v>876.6</v>
      </c>
      <c r="J48" s="13">
        <v>1410000</v>
      </c>
      <c r="K48" s="22">
        <f t="shared" si="14"/>
        <v>2091658.7030600072</v>
      </c>
      <c r="L48" s="22">
        <f t="shared" si="9"/>
        <v>1410000</v>
      </c>
      <c r="M48" s="19" t="s">
        <v>92</v>
      </c>
      <c r="N48" s="18">
        <f t="shared" si="15"/>
        <v>1079.5836185261237</v>
      </c>
      <c r="O48" s="13">
        <v>946363</v>
      </c>
      <c r="P48" s="22">
        <f t="shared" si="16"/>
        <v>1403878.3015631046</v>
      </c>
      <c r="Q48" s="13">
        <f t="shared" si="17"/>
        <v>946363</v>
      </c>
    </row>
    <row r="49" spans="1:17">
      <c r="A49" t="s">
        <v>56</v>
      </c>
      <c r="B49" s="4">
        <v>57.751551670614234</v>
      </c>
      <c r="C49" s="4">
        <v>67.569315454618646</v>
      </c>
      <c r="D49" s="2">
        <v>1.407578059972719</v>
      </c>
      <c r="E49" s="4">
        <f t="shared" si="10"/>
        <v>41.029022341917965</v>
      </c>
      <c r="F49" s="4">
        <f t="shared" si="11"/>
        <v>20.514511170958983</v>
      </c>
      <c r="G49" s="4">
        <f t="shared" si="12"/>
        <v>1322.1240899203704</v>
      </c>
      <c r="H49" s="4">
        <f t="shared" si="13"/>
        <v>1477.6384054639784</v>
      </c>
      <c r="I49" s="14">
        <v>1522.7</v>
      </c>
      <c r="J49" s="13">
        <v>2250000</v>
      </c>
      <c r="K49" s="22">
        <f t="shared" si="14"/>
        <v>1953621.3320554497</v>
      </c>
      <c r="L49" s="22">
        <f t="shared" si="9"/>
        <v>1953621.3320554497</v>
      </c>
      <c r="M49" s="19" t="s">
        <v>92</v>
      </c>
      <c r="N49" s="18">
        <f t="shared" si="15"/>
        <v>859.22243383463581</v>
      </c>
      <c r="O49" s="12">
        <v>1308338</v>
      </c>
      <c r="P49" s="22">
        <f t="shared" si="16"/>
        <v>1135998.6783727836</v>
      </c>
      <c r="Q49" s="13">
        <f t="shared" si="17"/>
        <v>1135998.6783727836</v>
      </c>
    </row>
    <row r="50" spans="1:17">
      <c r="A50" t="s">
        <v>76</v>
      </c>
      <c r="B50" s="4">
        <v>57.267086544288581</v>
      </c>
      <c r="C50" s="4">
        <v>59.557770006060125</v>
      </c>
      <c r="D50" s="2">
        <v>1.2731889571575705</v>
      </c>
      <c r="E50" s="4">
        <f t="shared" si="10"/>
        <v>44.97925168322142</v>
      </c>
      <c r="F50" s="4">
        <f t="shared" si="11"/>
        <v>22.48962584161071</v>
      </c>
      <c r="G50" s="4">
        <f t="shared" si="12"/>
        <v>1588.9650068977351</v>
      </c>
      <c r="H50" s="4">
        <f t="shared" si="13"/>
        <v>4280.7094372673528</v>
      </c>
      <c r="I50" s="14">
        <v>913.4</v>
      </c>
      <c r="J50" s="13">
        <v>3910000</v>
      </c>
      <c r="K50" s="22">
        <f t="shared" si="14"/>
        <v>6801897.5005147187</v>
      </c>
      <c r="L50" s="22">
        <f t="shared" si="9"/>
        <v>3910000</v>
      </c>
      <c r="M50" s="19" t="s">
        <v>92</v>
      </c>
      <c r="N50" s="18">
        <f t="shared" si="15"/>
        <v>1616.0335012042917</v>
      </c>
      <c r="O50" s="12">
        <v>1476085</v>
      </c>
      <c r="P50" s="22">
        <f t="shared" si="16"/>
        <v>2567820.6833880483</v>
      </c>
      <c r="Q50" s="13">
        <f t="shared" si="17"/>
        <v>1476085</v>
      </c>
    </row>
    <row r="51" spans="1:17">
      <c r="A51" t="s">
        <v>57</v>
      </c>
      <c r="B51" s="4">
        <v>65.029165523454452</v>
      </c>
      <c r="C51" s="4">
        <v>79.985873593848979</v>
      </c>
      <c r="D51" s="2">
        <v>1.3708884625275919</v>
      </c>
      <c r="E51" s="4">
        <f t="shared" si="10"/>
        <v>47.435781466536056</v>
      </c>
      <c r="F51" s="4">
        <f t="shared" si="11"/>
        <v>23.717890733268028</v>
      </c>
      <c r="G51" s="4">
        <f t="shared" si="12"/>
        <v>1767.2663189305856</v>
      </c>
      <c r="H51" s="4">
        <f t="shared" si="13"/>
        <v>1039.2364793213148</v>
      </c>
      <c r="I51" s="14">
        <v>1886</v>
      </c>
      <c r="J51" s="13">
        <v>1960000</v>
      </c>
      <c r="K51" s="22">
        <f t="shared" si="14"/>
        <v>1836607.6273085617</v>
      </c>
      <c r="L51" s="22">
        <f t="shared" si="9"/>
        <v>1836607.6273085617</v>
      </c>
      <c r="M51" s="19" t="s">
        <v>92</v>
      </c>
      <c r="N51" s="18">
        <f t="shared" si="15"/>
        <v>606.75291622481438</v>
      </c>
      <c r="O51" s="12">
        <v>1144336</v>
      </c>
      <c r="P51" s="22">
        <f t="shared" si="16"/>
        <v>1072293.9927570256</v>
      </c>
      <c r="Q51" s="13">
        <f t="shared" si="17"/>
        <v>1072293.9927570256</v>
      </c>
    </row>
    <row r="52" spans="1:17">
      <c r="A52" t="s">
        <v>71</v>
      </c>
      <c r="B52" s="4">
        <v>57.772652523705723</v>
      </c>
      <c r="C52" s="4">
        <v>71.060362604158044</v>
      </c>
      <c r="D52" s="2">
        <v>1.3211983424123821</v>
      </c>
      <c r="E52" s="4">
        <f t="shared" si="10"/>
        <v>43.727463673787518</v>
      </c>
      <c r="F52" s="4">
        <f t="shared" si="11"/>
        <v>21.863731836893759</v>
      </c>
      <c r="G52" s="4">
        <f t="shared" si="12"/>
        <v>1501.7528219641711</v>
      </c>
      <c r="H52" s="4">
        <f t="shared" si="13"/>
        <v>1022.1667558091162</v>
      </c>
      <c r="I52" s="14">
        <v>1682.7</v>
      </c>
      <c r="J52" s="13">
        <v>1720000</v>
      </c>
      <c r="K52" s="22">
        <f t="shared" si="14"/>
        <v>1535041.810054302</v>
      </c>
      <c r="L52" s="22">
        <f t="shared" si="9"/>
        <v>1535041.810054302</v>
      </c>
      <c r="M52" s="19" t="s">
        <v>92</v>
      </c>
      <c r="N52" s="18">
        <f t="shared" si="15"/>
        <v>543.59719498425147</v>
      </c>
      <c r="O52" s="12">
        <v>914711</v>
      </c>
      <c r="P52" s="22">
        <f t="shared" si="16"/>
        <v>816348.62157940737</v>
      </c>
      <c r="Q52" s="13">
        <f t="shared" si="17"/>
        <v>816348.62157940737</v>
      </c>
    </row>
    <row r="53" spans="1:17">
      <c r="A53" t="s">
        <v>59</v>
      </c>
      <c r="B53" s="4">
        <v>57.166397237881569</v>
      </c>
      <c r="C53" s="4">
        <v>76.031308326382486</v>
      </c>
      <c r="D53" s="2">
        <v>1.3152548048696464</v>
      </c>
      <c r="E53" s="4">
        <f t="shared" si="10"/>
        <v>43.464123473433936</v>
      </c>
      <c r="F53" s="4">
        <f t="shared" si="11"/>
        <v>21.732061736716968</v>
      </c>
      <c r="G53" s="4">
        <f t="shared" si="12"/>
        <v>1483.7192554421133</v>
      </c>
      <c r="H53" s="4">
        <f t="shared" si="13"/>
        <v>1267.0644976702363</v>
      </c>
      <c r="I53" s="14">
        <v>2446.6</v>
      </c>
      <c r="J53" s="13">
        <v>3100000</v>
      </c>
      <c r="K53" s="22">
        <f t="shared" si="14"/>
        <v>1879967.9930804183</v>
      </c>
      <c r="L53" s="22">
        <f t="shared" si="9"/>
        <v>1879967.9930804183</v>
      </c>
      <c r="M53" s="19" t="s">
        <v>92</v>
      </c>
      <c r="N53" s="18">
        <f t="shared" si="15"/>
        <v>905.07234529551215</v>
      </c>
      <c r="O53" s="12">
        <v>2214350</v>
      </c>
      <c r="P53" s="22">
        <f t="shared" si="16"/>
        <v>1342873.2662831047</v>
      </c>
      <c r="Q53" s="13">
        <f t="shared" si="17"/>
        <v>1342873.2662831047</v>
      </c>
    </row>
    <row r="54" spans="1:17">
      <c r="D54" s="2"/>
    </row>
    <row r="55" spans="1:17">
      <c r="A55" t="s">
        <v>74</v>
      </c>
      <c r="D55"/>
    </row>
    <row r="56" spans="1:17" ht="16">
      <c r="A56" s="18" t="s">
        <v>93</v>
      </c>
      <c r="D56"/>
    </row>
    <row r="57" spans="1:17" s="18" customFormat="1" ht="16">
      <c r="A57" s="18" t="s">
        <v>102</v>
      </c>
      <c r="J57" s="13"/>
      <c r="K57" s="22"/>
      <c r="L57" s="22"/>
      <c r="M57" s="20"/>
      <c r="P57" s="22"/>
    </row>
    <row r="58" spans="1:17">
      <c r="A58" s="18" t="s">
        <v>97</v>
      </c>
    </row>
    <row r="59" spans="1:17">
      <c r="A59" s="18" t="s">
        <v>4</v>
      </c>
    </row>
    <row r="60" spans="1:17">
      <c r="A60" s="18" t="s">
        <v>95</v>
      </c>
    </row>
    <row r="61" spans="1:17">
      <c r="A61" s="18" t="s">
        <v>0</v>
      </c>
    </row>
    <row r="62" spans="1:17">
      <c r="A62" s="18" t="s">
        <v>96</v>
      </c>
    </row>
    <row r="63" spans="1:17">
      <c r="A63" s="18" t="s">
        <v>105</v>
      </c>
    </row>
    <row r="64" spans="1:17">
      <c r="A64" s="18" t="s">
        <v>1</v>
      </c>
    </row>
  </sheetData>
  <sortState ref="A4:XFD53">
    <sortCondition ref="A4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6" bestFit="1" customWidth="1"/>
    <col min="2" max="2" width="18.5" customWidth="1"/>
    <col min="3" max="3" width="17" customWidth="1"/>
    <col min="4" max="4" width="10.6640625" style="3" customWidth="1"/>
    <col min="5" max="5" width="15.33203125" customWidth="1"/>
    <col min="6" max="6" width="17.6640625" customWidth="1"/>
    <col min="7" max="7" width="27.6640625" customWidth="1"/>
    <col min="8" max="8" width="34" customWidth="1"/>
    <col min="9" max="9" width="10.5" customWidth="1"/>
    <col min="10" max="10" width="10.83203125" style="13" customWidth="1"/>
    <col min="11" max="11" width="12" style="22" customWidth="1"/>
    <col min="12" max="12" width="12.6640625" style="22" customWidth="1"/>
    <col min="14" max="14" width="12.6640625" customWidth="1"/>
    <col min="15" max="15" width="12.1640625" customWidth="1"/>
    <col min="16" max="16" width="13" style="22" customWidth="1"/>
    <col min="17" max="17" width="8.83203125" style="18"/>
  </cols>
  <sheetData>
    <row r="1" spans="1:17" ht="30.75" customHeight="1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83</v>
      </c>
      <c r="J1" s="23" t="s">
        <v>79</v>
      </c>
      <c r="K1" s="21" t="s">
        <v>77</v>
      </c>
      <c r="L1" s="27" t="s">
        <v>104</v>
      </c>
      <c r="M1" s="19" t="s">
        <v>92</v>
      </c>
      <c r="N1" s="1" t="s">
        <v>90</v>
      </c>
      <c r="O1" s="1" t="s">
        <v>88</v>
      </c>
      <c r="P1" s="21" t="s">
        <v>89</v>
      </c>
      <c r="Q1" s="18" t="s">
        <v>103</v>
      </c>
    </row>
    <row r="2" spans="1:17" ht="16">
      <c r="A2" t="s">
        <v>16</v>
      </c>
      <c r="B2" s="18" t="s">
        <v>18</v>
      </c>
      <c r="C2" s="18"/>
      <c r="D2" s="3" t="s">
        <v>87</v>
      </c>
      <c r="E2" s="18" t="s">
        <v>17</v>
      </c>
      <c r="F2" s="18" t="s">
        <v>19</v>
      </c>
      <c r="G2" s="18" t="s">
        <v>22</v>
      </c>
      <c r="H2" s="18" t="s">
        <v>24</v>
      </c>
      <c r="L2" s="22">
        <f t="shared" ref="L2:L33" si="0">MIN(J2,K2)</f>
        <v>0</v>
      </c>
      <c r="M2" s="20" t="s">
        <v>92</v>
      </c>
      <c r="O2" s="18"/>
      <c r="Q2" s="13"/>
    </row>
    <row r="3" spans="1:17">
      <c r="A3" t="s">
        <v>26</v>
      </c>
      <c r="B3" s="4">
        <v>57.036474214306388</v>
      </c>
      <c r="C3" s="4">
        <v>70.725228025739924</v>
      </c>
      <c r="D3" s="2">
        <v>1.2545032030514984</v>
      </c>
      <c r="E3" s="4">
        <f t="shared" ref="E3:E34" si="1">B3/D3</f>
        <v>45.465387474156167</v>
      </c>
      <c r="F3" s="4">
        <f t="shared" ref="F3:F34" si="2">E3*0.5</f>
        <v>22.732693737078083</v>
      </c>
      <c r="G3" s="4">
        <f t="shared" ref="G3:G34" si="3">PI()*F3^2</f>
        <v>1623.4976888069552</v>
      </c>
      <c r="H3" s="4">
        <f t="shared" ref="H3:H34" si="4">J3/I3</f>
        <v>1103.9402173913043</v>
      </c>
      <c r="I3" s="17">
        <v>2944</v>
      </c>
      <c r="J3" s="13">
        <v>3250000</v>
      </c>
      <c r="K3" s="22">
        <f t="shared" ref="K3:K34" si="5">G3*H3</f>
        <v>1792244.3915158303</v>
      </c>
      <c r="L3" s="22">
        <f t="shared" si="0"/>
        <v>1792244.3915158303</v>
      </c>
      <c r="M3" s="19" t="s">
        <v>92</v>
      </c>
      <c r="N3">
        <f t="shared" ref="N3:N34" si="6">O3/I3</f>
        <v>643.62635869565213</v>
      </c>
      <c r="O3" s="13">
        <v>1894836</v>
      </c>
      <c r="P3" s="22">
        <f t="shared" ref="P3:P34" si="7">G3*N3</f>
        <v>1044925.9057976276</v>
      </c>
      <c r="Q3" s="13">
        <f t="shared" ref="Q3:Q34" si="8">MIN(P3,O3)</f>
        <v>1044925.9057976276</v>
      </c>
    </row>
    <row r="4" spans="1:17">
      <c r="A4" s="18" t="s">
        <v>6</v>
      </c>
      <c r="B4" s="4">
        <v>62.912832549243973</v>
      </c>
      <c r="C4" s="4">
        <v>73.608014082615441</v>
      </c>
      <c r="D4" s="2">
        <v>1.3588386571923918</v>
      </c>
      <c r="E4" s="4">
        <f t="shared" si="1"/>
        <v>46.298971711059018</v>
      </c>
      <c r="F4" s="4">
        <f t="shared" si="2"/>
        <v>23.149485855529509</v>
      </c>
      <c r="G4" s="4">
        <f t="shared" si="3"/>
        <v>1683.5754044595881</v>
      </c>
      <c r="H4" s="4">
        <f t="shared" si="4"/>
        <v>1074.2049469964663</v>
      </c>
      <c r="I4" s="17">
        <v>707.5</v>
      </c>
      <c r="J4" s="13">
        <v>760000</v>
      </c>
      <c r="K4" s="22">
        <f t="shared" si="5"/>
        <v>1808505.0281120662</v>
      </c>
      <c r="L4" s="22">
        <f t="shared" si="0"/>
        <v>760000</v>
      </c>
      <c r="M4" s="20" t="s">
        <v>92</v>
      </c>
      <c r="N4">
        <f t="shared" si="6"/>
        <v>678.06501766784447</v>
      </c>
      <c r="O4" s="13">
        <v>479731</v>
      </c>
      <c r="P4" s="22">
        <f t="shared" si="7"/>
        <v>1141573.586370039</v>
      </c>
      <c r="Q4" s="13">
        <f t="shared" si="8"/>
        <v>479731</v>
      </c>
    </row>
    <row r="5" spans="1:17">
      <c r="A5" t="s">
        <v>28</v>
      </c>
      <c r="B5" s="4">
        <v>60.83258633343933</v>
      </c>
      <c r="C5" s="4">
        <v>72.390777736792799</v>
      </c>
      <c r="D5" s="2">
        <v>1.2525850225273614</v>
      </c>
      <c r="E5" s="4">
        <f t="shared" si="1"/>
        <v>48.565634459444851</v>
      </c>
      <c r="F5" s="4">
        <f t="shared" si="2"/>
        <v>24.282817229722426</v>
      </c>
      <c r="G5" s="4">
        <f t="shared" si="3"/>
        <v>1852.4564840931143</v>
      </c>
      <c r="H5" s="4">
        <f t="shared" si="4"/>
        <v>1394.5910720104268</v>
      </c>
      <c r="I5" s="17">
        <v>1534.5</v>
      </c>
      <c r="J5" s="13">
        <v>2140000</v>
      </c>
      <c r="K5" s="22">
        <f t="shared" si="5"/>
        <v>2583419.2740040827</v>
      </c>
      <c r="L5" s="22">
        <f t="shared" si="0"/>
        <v>2140000</v>
      </c>
      <c r="M5" s="19" t="s">
        <v>92</v>
      </c>
      <c r="N5">
        <f t="shared" si="6"/>
        <v>646.30107526881716</v>
      </c>
      <c r="O5" s="13">
        <v>991749</v>
      </c>
      <c r="P5" s="22">
        <f t="shared" si="7"/>
        <v>1197244.6175580723</v>
      </c>
      <c r="Q5" s="13">
        <f t="shared" si="8"/>
        <v>991749</v>
      </c>
    </row>
    <row r="6" spans="1:17">
      <c r="A6" t="s">
        <v>29</v>
      </c>
      <c r="B6" s="4">
        <v>59.830798901249047</v>
      </c>
      <c r="C6" s="4">
        <v>71.198650692486353</v>
      </c>
      <c r="D6" s="2">
        <v>1.225722635583782</v>
      </c>
      <c r="E6" s="4">
        <f t="shared" si="1"/>
        <v>48.81267357255998</v>
      </c>
      <c r="F6" s="4">
        <f t="shared" si="2"/>
        <v>24.40633678627999</v>
      </c>
      <c r="G6" s="4">
        <f t="shared" si="3"/>
        <v>1871.3502193311931</v>
      </c>
      <c r="H6" s="4">
        <f t="shared" si="4"/>
        <v>1594.3159171648906</v>
      </c>
      <c r="I6" s="17">
        <v>2308.1999999999998</v>
      </c>
      <c r="J6" s="13">
        <v>3680000</v>
      </c>
      <c r="K6" s="22">
        <f t="shared" si="5"/>
        <v>2983523.4412697302</v>
      </c>
      <c r="L6" s="22">
        <f t="shared" si="0"/>
        <v>2983523.4412697302</v>
      </c>
      <c r="M6" s="20" t="s">
        <v>92</v>
      </c>
      <c r="N6">
        <f t="shared" si="6"/>
        <v>1247.093839355342</v>
      </c>
      <c r="O6" s="13">
        <v>2878542</v>
      </c>
      <c r="P6" s="22">
        <f t="shared" si="7"/>
        <v>2333749.3298041988</v>
      </c>
      <c r="Q6" s="13">
        <f t="shared" si="8"/>
        <v>2333749.3298041988</v>
      </c>
    </row>
    <row r="7" spans="1:17">
      <c r="A7" t="s">
        <v>30</v>
      </c>
      <c r="B7" s="4">
        <v>66.307400044704906</v>
      </c>
      <c r="C7" s="4">
        <v>68.959696046493107</v>
      </c>
      <c r="D7" s="2">
        <v>1.2376013427301835</v>
      </c>
      <c r="E7" s="4">
        <f t="shared" si="1"/>
        <v>53.577349793778431</v>
      </c>
      <c r="F7" s="4">
        <f t="shared" si="2"/>
        <v>26.788674896889216</v>
      </c>
      <c r="G7" s="4">
        <f t="shared" si="3"/>
        <v>2254.5108835132573</v>
      </c>
      <c r="H7" s="4">
        <f t="shared" si="4"/>
        <v>1446.923597025017</v>
      </c>
      <c r="I7" s="17">
        <v>739.5</v>
      </c>
      <c r="J7" s="13">
        <v>1070000</v>
      </c>
      <c r="K7" s="22">
        <f t="shared" si="5"/>
        <v>3262104.9971050513</v>
      </c>
      <c r="L7" s="22">
        <f t="shared" si="0"/>
        <v>1070000</v>
      </c>
      <c r="M7" s="19" t="s">
        <v>92</v>
      </c>
      <c r="N7">
        <f t="shared" si="6"/>
        <v>630.65584854631504</v>
      </c>
      <c r="O7" s="13">
        <v>466370</v>
      </c>
      <c r="P7" s="22">
        <f t="shared" si="7"/>
        <v>1421820.4742989556</v>
      </c>
      <c r="Q7" s="13">
        <f t="shared" si="8"/>
        <v>466370</v>
      </c>
    </row>
    <row r="8" spans="1:17">
      <c r="A8" t="s">
        <v>31</v>
      </c>
      <c r="B8" s="4">
        <v>61.905551177743639</v>
      </c>
      <c r="C8" s="4">
        <v>69.95327283085031</v>
      </c>
      <c r="D8" s="2">
        <v>1.2806694088372974</v>
      </c>
      <c r="E8" s="4">
        <f t="shared" si="1"/>
        <v>48.338432034498943</v>
      </c>
      <c r="F8" s="4">
        <f t="shared" si="2"/>
        <v>24.169216017249472</v>
      </c>
      <c r="G8" s="4">
        <f t="shared" si="3"/>
        <v>1835.1644992615222</v>
      </c>
      <c r="H8" s="4">
        <f t="shared" si="4"/>
        <v>1054.1447053186391</v>
      </c>
      <c r="I8" s="17">
        <v>626.1</v>
      </c>
      <c r="J8" s="13">
        <v>660000</v>
      </c>
      <c r="K8" s="22">
        <f t="shared" si="5"/>
        <v>1934528.9402852652</v>
      </c>
      <c r="L8" s="22">
        <f t="shared" si="0"/>
        <v>660000</v>
      </c>
      <c r="M8" s="20" t="s">
        <v>92</v>
      </c>
      <c r="N8">
        <f t="shared" si="6"/>
        <v>1161.0174093595272</v>
      </c>
      <c r="O8" s="13">
        <v>726913</v>
      </c>
      <c r="P8" s="22">
        <f t="shared" si="7"/>
        <v>2130657.9326811866</v>
      </c>
      <c r="Q8" s="13">
        <f t="shared" si="8"/>
        <v>726913</v>
      </c>
    </row>
    <row r="9" spans="1:17">
      <c r="A9" t="s">
        <v>32</v>
      </c>
      <c r="B9" s="4">
        <v>54.907110357721741</v>
      </c>
      <c r="C9" s="4">
        <v>71.379243465038257</v>
      </c>
      <c r="D9" s="2">
        <v>1.230649613698569</v>
      </c>
      <c r="E9" s="4">
        <f t="shared" si="1"/>
        <v>44.616363379585394</v>
      </c>
      <c r="F9" s="4">
        <f t="shared" si="2"/>
        <v>22.308181689792697</v>
      </c>
      <c r="G9" s="4">
        <f t="shared" si="3"/>
        <v>1563.429198732013</v>
      </c>
      <c r="H9" s="4">
        <f t="shared" si="4"/>
        <v>1887.2752083434864</v>
      </c>
      <c r="I9" s="17">
        <v>4103.8</v>
      </c>
      <c r="J9" s="13">
        <v>7745000</v>
      </c>
      <c r="K9" s="22">
        <f t="shared" si="5"/>
        <v>2950621.1667672498</v>
      </c>
      <c r="L9" s="22">
        <f t="shared" si="0"/>
        <v>2950621.1667672498</v>
      </c>
      <c r="M9" s="19" t="s">
        <v>92</v>
      </c>
      <c r="N9">
        <f t="shared" si="6"/>
        <v>977.85272186753741</v>
      </c>
      <c r="O9" s="13">
        <f>3741075+224929+46908</f>
        <v>4012912</v>
      </c>
      <c r="P9" s="22">
        <f t="shared" si="7"/>
        <v>1528803.4974272819</v>
      </c>
      <c r="Q9" s="13">
        <f t="shared" si="8"/>
        <v>1528803.4974272819</v>
      </c>
    </row>
    <row r="10" spans="1:17">
      <c r="A10" t="s">
        <v>33</v>
      </c>
      <c r="B10" s="4">
        <v>64.694239445714103</v>
      </c>
      <c r="C10" s="4">
        <v>75.045317757028357</v>
      </c>
      <c r="D10" s="2">
        <v>1.3292592058969801</v>
      </c>
      <c r="E10" s="4">
        <f t="shared" si="1"/>
        <v>48.669393568020183</v>
      </c>
      <c r="F10" s="4">
        <f t="shared" si="2"/>
        <v>24.334696784010092</v>
      </c>
      <c r="G10" s="4">
        <f t="shared" si="3"/>
        <v>1860.3803817384123</v>
      </c>
      <c r="H10" s="4">
        <f t="shared" si="4"/>
        <v>980.98400241472984</v>
      </c>
      <c r="I10" s="17">
        <v>1325.2</v>
      </c>
      <c r="J10" s="13">
        <v>1300000</v>
      </c>
      <c r="K10" s="22">
        <f t="shared" si="5"/>
        <v>1825003.3928915907</v>
      </c>
      <c r="L10" s="22">
        <f t="shared" si="0"/>
        <v>1300000</v>
      </c>
      <c r="M10" s="20" t="s">
        <v>92</v>
      </c>
      <c r="N10">
        <f t="shared" si="6"/>
        <v>673.15801388469663</v>
      </c>
      <c r="O10" s="13">
        <f>789795+102274</f>
        <v>892069</v>
      </c>
      <c r="P10" s="22">
        <f t="shared" si="7"/>
        <v>1252329.9628410833</v>
      </c>
      <c r="Q10" s="13">
        <f t="shared" si="8"/>
        <v>892069</v>
      </c>
    </row>
    <row r="11" spans="1:17">
      <c r="A11" t="s">
        <v>34</v>
      </c>
      <c r="B11" s="4">
        <v>68.272477468286837</v>
      </c>
      <c r="C11" s="4">
        <v>75.782449989798394</v>
      </c>
      <c r="D11" s="2">
        <v>1.2227035028236048</v>
      </c>
      <c r="E11" s="4">
        <f t="shared" si="1"/>
        <v>55.837312406993462</v>
      </c>
      <c r="F11" s="4">
        <f t="shared" si="2"/>
        <v>27.918656203496731</v>
      </c>
      <c r="G11" s="4">
        <f t="shared" si="3"/>
        <v>2448.7186796296824</v>
      </c>
      <c r="H11" s="4">
        <f t="shared" si="4"/>
        <v>1074.6812386156648</v>
      </c>
      <c r="I11" s="17">
        <v>1647</v>
      </c>
      <c r="J11" s="13">
        <v>1770000</v>
      </c>
      <c r="K11" s="22">
        <f t="shared" si="5"/>
        <v>2631592.0236457423</v>
      </c>
      <c r="L11" s="22">
        <f t="shared" si="0"/>
        <v>1770000</v>
      </c>
      <c r="M11" s="19" t="s">
        <v>92</v>
      </c>
      <c r="N11">
        <f t="shared" si="6"/>
        <v>633.32847601700064</v>
      </c>
      <c r="O11" s="13">
        <v>1043092</v>
      </c>
      <c r="P11" s="22">
        <f t="shared" si="7"/>
        <v>1550843.2695642288</v>
      </c>
      <c r="Q11" s="13">
        <f t="shared" si="8"/>
        <v>1043092</v>
      </c>
    </row>
    <row r="12" spans="1:17">
      <c r="A12" t="s">
        <v>35</v>
      </c>
      <c r="B12" s="4">
        <v>64.211989973812706</v>
      </c>
      <c r="C12" s="4">
        <v>73.843788469884601</v>
      </c>
      <c r="D12" s="2">
        <v>1.2387291911244029</v>
      </c>
      <c r="E12" s="4">
        <f t="shared" si="1"/>
        <v>51.836987804838152</v>
      </c>
      <c r="F12" s="4">
        <f t="shared" si="2"/>
        <v>25.918493902419076</v>
      </c>
      <c r="G12" s="4">
        <f t="shared" si="3"/>
        <v>2110.4224384091508</v>
      </c>
      <c r="H12" s="4">
        <f t="shared" si="4"/>
        <v>1130.6392029553342</v>
      </c>
      <c r="I12" s="17">
        <v>893.3</v>
      </c>
      <c r="J12" s="13">
        <v>1010000</v>
      </c>
      <c r="K12" s="22">
        <f t="shared" si="5"/>
        <v>2386126.3436619751</v>
      </c>
      <c r="L12" s="22">
        <f t="shared" si="0"/>
        <v>1010000</v>
      </c>
      <c r="M12" s="20" t="s">
        <v>92</v>
      </c>
      <c r="N12">
        <f t="shared" si="6"/>
        <v>810.52949736930486</v>
      </c>
      <c r="O12" s="13">
        <v>724046</v>
      </c>
      <c r="P12" s="22">
        <f t="shared" si="7"/>
        <v>1710559.6382406717</v>
      </c>
      <c r="Q12" s="13">
        <f t="shared" si="8"/>
        <v>724046</v>
      </c>
    </row>
    <row r="13" spans="1:17">
      <c r="A13" t="s">
        <v>62</v>
      </c>
      <c r="B13" s="4">
        <v>62.831555497974001</v>
      </c>
      <c r="C13" s="4">
        <v>72.884604377649836</v>
      </c>
      <c r="D13" s="2">
        <v>1.2669462965142195</v>
      </c>
      <c r="E13" s="4">
        <f t="shared" si="1"/>
        <v>49.592911452398575</v>
      </c>
      <c r="F13" s="4">
        <f t="shared" si="2"/>
        <v>24.796455726199287</v>
      </c>
      <c r="G13" s="4">
        <f t="shared" si="3"/>
        <v>1931.6529057672485</v>
      </c>
      <c r="H13" s="4">
        <f t="shared" si="4"/>
        <v>936.4548494983278</v>
      </c>
      <c r="I13" s="17">
        <v>3737.5</v>
      </c>
      <c r="J13" s="13">
        <v>3500000</v>
      </c>
      <c r="K13" s="22">
        <f t="shared" si="5"/>
        <v>1808905.7311532763</v>
      </c>
      <c r="L13" s="22">
        <f t="shared" si="0"/>
        <v>1808905.7311532763</v>
      </c>
      <c r="M13" s="19" t="s">
        <v>92</v>
      </c>
      <c r="N13">
        <f t="shared" si="6"/>
        <v>638.19745819397997</v>
      </c>
      <c r="O13" s="13">
        <f>1747902+637361</f>
        <v>2385263</v>
      </c>
      <c r="P13" s="22">
        <f t="shared" si="7"/>
        <v>1232775.9745736734</v>
      </c>
      <c r="Q13" s="13">
        <f t="shared" si="8"/>
        <v>1232775.9745736734</v>
      </c>
    </row>
    <row r="14" spans="1:17">
      <c r="A14" t="s">
        <v>36</v>
      </c>
      <c r="B14" s="4">
        <v>57.288367544824013</v>
      </c>
      <c r="C14" s="4">
        <v>69.891808404685293</v>
      </c>
      <c r="D14" s="2">
        <v>1.3381636172769695</v>
      </c>
      <c r="E14" s="4">
        <f t="shared" si="1"/>
        <v>42.811183031115561</v>
      </c>
      <c r="F14" s="4">
        <f t="shared" si="2"/>
        <v>21.405591515557781</v>
      </c>
      <c r="G14" s="4">
        <f t="shared" si="3"/>
        <v>1439.4757059677281</v>
      </c>
      <c r="H14" s="4">
        <f t="shared" si="4"/>
        <v>1455.7388084819925</v>
      </c>
      <c r="I14" s="17">
        <v>1188.4000000000001</v>
      </c>
      <c r="J14" s="13">
        <v>1730000</v>
      </c>
      <c r="K14" s="22">
        <f t="shared" si="5"/>
        <v>2095500.6490442355</v>
      </c>
      <c r="L14" s="22">
        <f t="shared" si="0"/>
        <v>1730000</v>
      </c>
      <c r="M14" s="20" t="s">
        <v>92</v>
      </c>
      <c r="N14">
        <f t="shared" si="6"/>
        <v>816.15112756647591</v>
      </c>
      <c r="O14" s="13">
        <v>969914</v>
      </c>
      <c r="P14" s="22">
        <f t="shared" si="7"/>
        <v>1174829.7205301102</v>
      </c>
      <c r="Q14" s="13">
        <f t="shared" si="8"/>
        <v>969914</v>
      </c>
    </row>
    <row r="15" spans="1:17">
      <c r="A15" t="s">
        <v>37</v>
      </c>
      <c r="B15" s="4">
        <v>53.475546269365232</v>
      </c>
      <c r="C15" s="4">
        <v>67.379188299400198</v>
      </c>
      <c r="D15" s="2">
        <v>1.2390009620459046</v>
      </c>
      <c r="E15" s="4">
        <f t="shared" si="1"/>
        <v>43.160213678174671</v>
      </c>
      <c r="F15" s="4">
        <f t="shared" si="2"/>
        <v>21.580106839087335</v>
      </c>
      <c r="G15" s="4">
        <f t="shared" si="3"/>
        <v>1463.0428755126077</v>
      </c>
      <c r="H15" s="4">
        <f t="shared" si="4"/>
        <v>1384.7692626060564</v>
      </c>
      <c r="I15" s="17">
        <v>2899.4</v>
      </c>
      <c r="J15" s="13">
        <v>4015000</v>
      </c>
      <c r="K15" s="22">
        <f t="shared" si="5"/>
        <v>2025976.803884638</v>
      </c>
      <c r="L15" s="22">
        <f t="shared" si="0"/>
        <v>2025976.803884638</v>
      </c>
      <c r="M15" s="19" t="s">
        <v>92</v>
      </c>
      <c r="N15">
        <f t="shared" si="6"/>
        <v>664.66199903428299</v>
      </c>
      <c r="O15" s="13">
        <v>1927121</v>
      </c>
      <c r="P15" s="22">
        <f t="shared" si="7"/>
        <v>972429.00231107546</v>
      </c>
      <c r="Q15" s="13">
        <f t="shared" si="8"/>
        <v>972429.00231107546</v>
      </c>
    </row>
    <row r="16" spans="1:17">
      <c r="A16" s="18" t="s">
        <v>7</v>
      </c>
      <c r="B16" s="4">
        <v>60.555305265855225</v>
      </c>
      <c r="C16" s="4">
        <v>66.005282739782203</v>
      </c>
      <c r="D16" s="2">
        <v>1.2825248470877721</v>
      </c>
      <c r="E16" s="4">
        <f t="shared" si="1"/>
        <v>47.215697538615409</v>
      </c>
      <c r="F16" s="4">
        <f t="shared" si="2"/>
        <v>23.607848769307704</v>
      </c>
      <c r="G16" s="4">
        <f t="shared" si="3"/>
        <v>1750.905478294517</v>
      </c>
      <c r="H16" s="4">
        <f t="shared" si="4"/>
        <v>830.1625735039778</v>
      </c>
      <c r="I16" s="17">
        <v>578.20000000000005</v>
      </c>
      <c r="J16" s="13">
        <v>480000</v>
      </c>
      <c r="K16" s="22">
        <f t="shared" si="5"/>
        <v>1453536.1978231894</v>
      </c>
      <c r="L16" s="22">
        <f t="shared" si="0"/>
        <v>480000</v>
      </c>
      <c r="M16" s="20" t="s">
        <v>92</v>
      </c>
      <c r="N16">
        <f t="shared" si="6"/>
        <v>892.03389830508468</v>
      </c>
      <c r="O16" s="13">
        <v>515774</v>
      </c>
      <c r="P16" s="22">
        <f t="shared" si="7"/>
        <v>1561867.0393667868</v>
      </c>
      <c r="Q16" s="13">
        <f t="shared" si="8"/>
        <v>515774</v>
      </c>
    </row>
    <row r="17" spans="1:17">
      <c r="A17" t="s">
        <v>58</v>
      </c>
      <c r="B17" s="4">
        <v>59.158544620573359</v>
      </c>
      <c r="C17" s="4">
        <v>68.032326313659354</v>
      </c>
      <c r="D17" s="2">
        <v>1.3437942504267779</v>
      </c>
      <c r="E17" s="4">
        <f t="shared" si="1"/>
        <v>44.023513720039432</v>
      </c>
      <c r="F17" s="4">
        <f t="shared" si="2"/>
        <v>22.011756860019716</v>
      </c>
      <c r="G17" s="4">
        <f t="shared" si="3"/>
        <v>1522.1564302431589</v>
      </c>
      <c r="H17" s="4">
        <f t="shared" si="4"/>
        <v>823.20088428646227</v>
      </c>
      <c r="I17" s="18">
        <v>1718.9</v>
      </c>
      <c r="J17" s="13">
        <v>1415000</v>
      </c>
      <c r="K17" s="22">
        <f t="shared" si="5"/>
        <v>1253040.519398493</v>
      </c>
      <c r="L17" s="22">
        <f t="shared" si="0"/>
        <v>1253040.519398493</v>
      </c>
      <c r="M17" s="19" t="s">
        <v>92</v>
      </c>
      <c r="N17">
        <f t="shared" si="6"/>
        <v>318.17034149746928</v>
      </c>
      <c r="O17" s="13">
        <v>546903</v>
      </c>
      <c r="P17" s="22">
        <f t="shared" si="7"/>
        <v>484305.03122303466</v>
      </c>
      <c r="Q17" s="13">
        <f t="shared" si="8"/>
        <v>484305.03122303466</v>
      </c>
    </row>
    <row r="18" spans="1:17">
      <c r="A18" t="s">
        <v>38</v>
      </c>
      <c r="B18" s="4">
        <v>70.476777328237517</v>
      </c>
      <c r="C18" s="4">
        <v>76.114919514496535</v>
      </c>
      <c r="D18" s="2">
        <v>1.3223701939914507</v>
      </c>
      <c r="E18" s="4">
        <f t="shared" si="1"/>
        <v>53.295799957128466</v>
      </c>
      <c r="F18" s="4">
        <f t="shared" si="2"/>
        <v>26.647899978564233</v>
      </c>
      <c r="G18" s="4">
        <f t="shared" si="3"/>
        <v>2230.8781602138142</v>
      </c>
      <c r="H18" s="4">
        <f t="shared" si="4"/>
        <v>1344.215074411906</v>
      </c>
      <c r="I18" s="18">
        <v>624.9</v>
      </c>
      <c r="J18" s="13">
        <v>840000</v>
      </c>
      <c r="K18" s="22">
        <f t="shared" si="5"/>
        <v>2998780.0521357083</v>
      </c>
      <c r="L18" s="22">
        <f t="shared" si="0"/>
        <v>840000</v>
      </c>
      <c r="M18" s="20" t="s">
        <v>92</v>
      </c>
      <c r="N18">
        <f t="shared" si="6"/>
        <v>872.5332053128501</v>
      </c>
      <c r="O18" s="13">
        <v>545246</v>
      </c>
      <c r="P18" s="22">
        <f t="shared" si="7"/>
        <v>1946515.2717937932</v>
      </c>
      <c r="Q18" s="13">
        <f t="shared" si="8"/>
        <v>545246</v>
      </c>
    </row>
    <row r="19" spans="1:17">
      <c r="A19" s="18" t="s">
        <v>8</v>
      </c>
      <c r="B19" s="4">
        <v>62.589105491586352</v>
      </c>
      <c r="C19" s="4">
        <v>75.732817644819477</v>
      </c>
      <c r="D19" s="2">
        <v>1.3847021462356206</v>
      </c>
      <c r="E19" s="4">
        <f t="shared" si="1"/>
        <v>45.200410544417693</v>
      </c>
      <c r="F19" s="4">
        <f t="shared" si="2"/>
        <v>22.600205272208846</v>
      </c>
      <c r="G19" s="4">
        <f t="shared" si="3"/>
        <v>1604.6290125310802</v>
      </c>
      <c r="H19" s="4">
        <f t="shared" si="4"/>
        <v>1948.7750556792873</v>
      </c>
      <c r="I19" s="18">
        <v>359.2</v>
      </c>
      <c r="J19" s="13">
        <v>700000</v>
      </c>
      <c r="K19" s="22">
        <f t="shared" si="5"/>
        <v>3127060.9932398559</v>
      </c>
      <c r="L19" s="22">
        <f t="shared" si="0"/>
        <v>700000</v>
      </c>
      <c r="M19" s="19" t="s">
        <v>92</v>
      </c>
      <c r="N19">
        <f t="shared" si="6"/>
        <v>861.60077951002233</v>
      </c>
      <c r="O19" s="13">
        <v>309487</v>
      </c>
      <c r="P19" s="22">
        <f t="shared" si="7"/>
        <v>1382549.6080211762</v>
      </c>
      <c r="Q19" s="13">
        <f t="shared" si="8"/>
        <v>309487</v>
      </c>
    </row>
    <row r="20" spans="1:17">
      <c r="A20" t="s">
        <v>39</v>
      </c>
      <c r="B20" s="4">
        <v>61.721940346898506</v>
      </c>
      <c r="C20" s="4">
        <v>73.449109012809217</v>
      </c>
      <c r="D20" s="2">
        <v>1.3274915886326069</v>
      </c>
      <c r="E20" s="4">
        <f t="shared" si="1"/>
        <v>46.495164922646083</v>
      </c>
      <c r="F20" s="4">
        <f t="shared" si="2"/>
        <v>23.247582461323042</v>
      </c>
      <c r="G20" s="4">
        <f t="shared" si="3"/>
        <v>1697.8740333059</v>
      </c>
      <c r="H20" s="4">
        <f t="shared" si="4"/>
        <v>996.95011969960308</v>
      </c>
      <c r="I20" s="18">
        <v>3049.3</v>
      </c>
      <c r="J20" s="13">
        <v>3040000</v>
      </c>
      <c r="K20" s="22">
        <f t="shared" si="5"/>
        <v>1692695.7207391649</v>
      </c>
      <c r="L20" s="22">
        <f t="shared" si="0"/>
        <v>1692695.7207391649</v>
      </c>
      <c r="M20" s="20" t="s">
        <v>92</v>
      </c>
      <c r="N20">
        <f t="shared" si="6"/>
        <v>577.52172629783877</v>
      </c>
      <c r="O20" s="13">
        <v>1761037</v>
      </c>
      <c r="P20" s="22">
        <f t="shared" si="7"/>
        <v>980559.14275109756</v>
      </c>
      <c r="Q20" s="13">
        <f t="shared" si="8"/>
        <v>980559.14275109756</v>
      </c>
    </row>
    <row r="21" spans="1:17">
      <c r="A21" t="s">
        <v>40</v>
      </c>
      <c r="B21" s="4">
        <v>56.481833278971671</v>
      </c>
      <c r="C21" s="4">
        <v>70.037473265924874</v>
      </c>
      <c r="D21" s="2">
        <v>1.2722485093794627</v>
      </c>
      <c r="E21" s="4">
        <f t="shared" si="1"/>
        <v>44.395283517777983</v>
      </c>
      <c r="F21" s="4">
        <f t="shared" si="2"/>
        <v>22.197641758888992</v>
      </c>
      <c r="G21" s="4">
        <f t="shared" si="3"/>
        <v>1547.9735975635681</v>
      </c>
      <c r="H21" s="4">
        <f t="shared" si="4"/>
        <v>811.10013175230563</v>
      </c>
      <c r="I21" s="18">
        <v>1214.4000000000001</v>
      </c>
      <c r="J21" s="13">
        <v>985000</v>
      </c>
      <c r="K21" s="22">
        <f t="shared" si="5"/>
        <v>1255561.5889329007</v>
      </c>
      <c r="L21" s="22">
        <f t="shared" si="0"/>
        <v>985000</v>
      </c>
      <c r="M21" s="19" t="s">
        <v>92</v>
      </c>
      <c r="N21">
        <f t="shared" si="6"/>
        <v>628.129117259552</v>
      </c>
      <c r="O21" s="13">
        <v>762800</v>
      </c>
      <c r="P21" s="22">
        <f t="shared" si="7"/>
        <v>972327.28937869705</v>
      </c>
      <c r="Q21" s="13">
        <f t="shared" si="8"/>
        <v>762800</v>
      </c>
    </row>
    <row r="22" spans="1:17">
      <c r="A22" t="s">
        <v>85</v>
      </c>
      <c r="B22" s="4">
        <v>63.440181483124732</v>
      </c>
      <c r="C22" s="4">
        <v>74.22501233525594</v>
      </c>
      <c r="D22" s="2">
        <v>1.3453291884115326</v>
      </c>
      <c r="E22" s="4">
        <f t="shared" si="1"/>
        <v>47.15587978733317</v>
      </c>
      <c r="F22" s="4">
        <f t="shared" si="2"/>
        <v>23.577939893666585</v>
      </c>
      <c r="G22" s="4">
        <f t="shared" si="3"/>
        <v>1746.4718306247296</v>
      </c>
      <c r="H22" s="4">
        <f t="shared" si="4"/>
        <v>1191.6750587445451</v>
      </c>
      <c r="I22" s="18">
        <v>1191.5999999999999</v>
      </c>
      <c r="J22" s="13">
        <v>1420000</v>
      </c>
      <c r="K22" s="22">
        <f t="shared" si="5"/>
        <v>2081226.9213554179</v>
      </c>
      <c r="L22" s="22">
        <f t="shared" si="0"/>
        <v>1420000</v>
      </c>
      <c r="M22" s="20" t="s">
        <v>92</v>
      </c>
      <c r="N22">
        <f t="shared" si="6"/>
        <v>643.63293051359517</v>
      </c>
      <c r="O22" s="13">
        <v>766953</v>
      </c>
      <c r="P22" s="22">
        <f t="shared" si="7"/>
        <v>1124086.7824044379</v>
      </c>
      <c r="Q22" s="13">
        <f t="shared" si="8"/>
        <v>766953</v>
      </c>
    </row>
    <row r="23" spans="1:17">
      <c r="A23" s="18" t="s">
        <v>9</v>
      </c>
      <c r="B23" s="4">
        <v>57.215795069462693</v>
      </c>
      <c r="C23" s="4">
        <v>68.658954083355226</v>
      </c>
      <c r="D23" s="2">
        <v>1.367147891752108</v>
      </c>
      <c r="E23" s="4">
        <f t="shared" si="1"/>
        <v>41.850479684488363</v>
      </c>
      <c r="F23" s="4">
        <f t="shared" si="2"/>
        <v>20.925239842244181</v>
      </c>
      <c r="G23" s="4">
        <f t="shared" si="3"/>
        <v>1375.5955484292488</v>
      </c>
      <c r="H23" s="4">
        <f t="shared" si="4"/>
        <v>612.21385656703933</v>
      </c>
      <c r="I23" s="18">
        <v>1314.9</v>
      </c>
      <c r="J23" s="13">
        <v>805000</v>
      </c>
      <c r="K23" s="22">
        <f t="shared" si="5"/>
        <v>842158.65578032192</v>
      </c>
      <c r="L23" s="22">
        <f t="shared" si="0"/>
        <v>805000</v>
      </c>
      <c r="M23" s="19" t="s">
        <v>92</v>
      </c>
      <c r="N23">
        <f t="shared" si="6"/>
        <v>349.42505133470223</v>
      </c>
      <c r="O23" s="13">
        <v>459459</v>
      </c>
      <c r="P23" s="22">
        <f t="shared" si="7"/>
        <v>480667.54512567812</v>
      </c>
      <c r="Q23" s="13">
        <f t="shared" si="8"/>
        <v>459459</v>
      </c>
    </row>
    <row r="24" spans="1:17">
      <c r="A24" t="s">
        <v>75</v>
      </c>
      <c r="B24" s="4">
        <v>68.436669108333987</v>
      </c>
      <c r="C24" s="4">
        <v>73.227235945917371</v>
      </c>
      <c r="D24" s="2">
        <v>1.2826649786157569</v>
      </c>
      <c r="E24" s="4">
        <f t="shared" si="1"/>
        <v>53.355061726399022</v>
      </c>
      <c r="F24" s="4">
        <f t="shared" si="2"/>
        <v>26.677530863199511</v>
      </c>
      <c r="G24" s="4">
        <f t="shared" si="3"/>
        <v>2235.8421269581163</v>
      </c>
      <c r="H24" s="4">
        <f t="shared" si="4"/>
        <v>674.0661902589834</v>
      </c>
      <c r="I24" s="18">
        <v>1973.1</v>
      </c>
      <c r="J24" s="13">
        <v>1330000</v>
      </c>
      <c r="K24" s="22">
        <f t="shared" si="5"/>
        <v>1507105.5845391997</v>
      </c>
      <c r="L24" s="22">
        <f t="shared" si="0"/>
        <v>1330000</v>
      </c>
      <c r="M24" s="20" t="s">
        <v>92</v>
      </c>
      <c r="N24">
        <f t="shared" si="6"/>
        <v>418.47397496325578</v>
      </c>
      <c r="O24" s="13">
        <v>825691</v>
      </c>
      <c r="P24" s="22">
        <f t="shared" si="7"/>
        <v>935641.74225846329</v>
      </c>
      <c r="Q24" s="13">
        <f t="shared" si="8"/>
        <v>825691</v>
      </c>
    </row>
    <row r="25" spans="1:17">
      <c r="A25" t="s">
        <v>63</v>
      </c>
      <c r="B25" s="4">
        <v>52.889872194354147</v>
      </c>
      <c r="C25" s="4">
        <v>65.583441520999145</v>
      </c>
      <c r="D25" s="2">
        <v>1.3334070755044698</v>
      </c>
      <c r="E25" s="4">
        <f t="shared" si="1"/>
        <v>39.665210396715679</v>
      </c>
      <c r="F25" s="4">
        <f t="shared" si="2"/>
        <v>19.83260519835784</v>
      </c>
      <c r="G25" s="4">
        <f t="shared" si="3"/>
        <v>1235.6896409017661</v>
      </c>
      <c r="H25" s="4">
        <f t="shared" si="4"/>
        <v>1595.2980688497062</v>
      </c>
      <c r="I25" s="18">
        <v>595.5</v>
      </c>
      <c r="J25" s="13">
        <v>950000</v>
      </c>
      <c r="K25" s="22">
        <f t="shared" si="5"/>
        <v>1971293.2978281744</v>
      </c>
      <c r="L25" s="22">
        <f t="shared" si="0"/>
        <v>950000</v>
      </c>
      <c r="M25" s="19" t="s">
        <v>92</v>
      </c>
      <c r="N25">
        <f t="shared" si="6"/>
        <v>983.45256087321582</v>
      </c>
      <c r="O25" s="13">
        <v>585646</v>
      </c>
      <c r="P25" s="22">
        <f t="shared" si="7"/>
        <v>1215242.1417893462</v>
      </c>
      <c r="Q25" s="13">
        <f t="shared" si="8"/>
        <v>585646</v>
      </c>
    </row>
    <row r="26" spans="1:17">
      <c r="A26" t="s">
        <v>64</v>
      </c>
      <c r="B26" s="4">
        <v>50.562416792101601</v>
      </c>
      <c r="C26" s="4">
        <v>71.798631844784268</v>
      </c>
      <c r="D26" s="2">
        <v>1.2409046304531934</v>
      </c>
      <c r="E26" s="4">
        <f t="shared" si="1"/>
        <v>40.746416405614987</v>
      </c>
      <c r="F26" s="4">
        <f t="shared" si="2"/>
        <v>20.373208202807493</v>
      </c>
      <c r="G26" s="4">
        <f t="shared" si="3"/>
        <v>1303.9733620943348</v>
      </c>
      <c r="H26" s="4">
        <f t="shared" si="4"/>
        <v>2374.6390902127159</v>
      </c>
      <c r="I26" s="18">
        <v>5091.3</v>
      </c>
      <c r="J26" s="13">
        <v>12090000</v>
      </c>
      <c r="K26" s="22">
        <f t="shared" si="5"/>
        <v>3096466.1182253077</v>
      </c>
      <c r="L26" s="22">
        <f t="shared" si="0"/>
        <v>3096466.1182253077</v>
      </c>
      <c r="M26" s="20" t="s">
        <v>92</v>
      </c>
      <c r="N26">
        <f t="shared" si="6"/>
        <v>975.7058118751595</v>
      </c>
      <c r="O26" s="13">
        <f>3693537+1274074</f>
        <v>4967611</v>
      </c>
      <c r="P26" s="22">
        <f t="shared" si="7"/>
        <v>1272294.3879258342</v>
      </c>
      <c r="Q26" s="13">
        <f t="shared" si="8"/>
        <v>1272294.3879258342</v>
      </c>
    </row>
    <row r="27" spans="1:17">
      <c r="A27" s="18" t="s">
        <v>11</v>
      </c>
      <c r="B27" s="4">
        <v>61.3104985606684</v>
      </c>
      <c r="C27" s="4">
        <v>71.120178330375339</v>
      </c>
      <c r="D27" s="2">
        <v>1.3589321966589822</v>
      </c>
      <c r="E27" s="4">
        <f t="shared" si="1"/>
        <v>45.116672275043598</v>
      </c>
      <c r="F27" s="4">
        <f t="shared" si="2"/>
        <v>22.558336137521799</v>
      </c>
      <c r="G27" s="4">
        <f t="shared" si="3"/>
        <v>1598.6890491977927</v>
      </c>
      <c r="H27" s="4">
        <f t="shared" si="4"/>
        <v>1127.3572014211534</v>
      </c>
      <c r="I27" s="18">
        <v>731.8</v>
      </c>
      <c r="J27" s="13">
        <v>825000</v>
      </c>
      <c r="K27" s="22">
        <f t="shared" si="5"/>
        <v>1802293.6124462681</v>
      </c>
      <c r="L27" s="22">
        <f t="shared" si="0"/>
        <v>825000</v>
      </c>
      <c r="M27" s="19" t="s">
        <v>92</v>
      </c>
      <c r="N27">
        <f t="shared" si="6"/>
        <v>674.68843946433458</v>
      </c>
      <c r="O27" s="13">
        <v>493737</v>
      </c>
      <c r="P27" s="22">
        <f t="shared" si="7"/>
        <v>1078617.0197919796</v>
      </c>
      <c r="Q27" s="13">
        <f t="shared" si="8"/>
        <v>493737</v>
      </c>
    </row>
    <row r="28" spans="1:17">
      <c r="A28" t="s">
        <v>43</v>
      </c>
      <c r="B28" s="4">
        <v>58.655633023171944</v>
      </c>
      <c r="C28" s="4">
        <v>65.107752655720873</v>
      </c>
      <c r="D28" s="2">
        <v>1.3312259917708142</v>
      </c>
      <c r="E28" s="4">
        <f t="shared" si="1"/>
        <v>44.06136402516259</v>
      </c>
      <c r="F28" s="4">
        <f t="shared" si="2"/>
        <v>22.030682012581295</v>
      </c>
      <c r="G28" s="4">
        <f t="shared" si="3"/>
        <v>1524.774978742676</v>
      </c>
      <c r="H28" s="4">
        <f t="shared" si="4"/>
        <v>1052.8699196196083</v>
      </c>
      <c r="I28" s="18">
        <v>883.3</v>
      </c>
      <c r="J28" s="13">
        <v>930000</v>
      </c>
      <c r="K28" s="22">
        <f t="shared" si="5"/>
        <v>1605389.7093067912</v>
      </c>
      <c r="L28" s="22">
        <f t="shared" si="0"/>
        <v>930000</v>
      </c>
      <c r="M28" s="20" t="s">
        <v>92</v>
      </c>
      <c r="N28">
        <f t="shared" si="6"/>
        <v>578.7274991509114</v>
      </c>
      <c r="O28" s="13">
        <v>511190</v>
      </c>
      <c r="P28" s="22">
        <f t="shared" si="7"/>
        <v>882429.21021563292</v>
      </c>
      <c r="Q28" s="13">
        <f t="shared" si="8"/>
        <v>511190</v>
      </c>
    </row>
    <row r="29" spans="1:17">
      <c r="A29" t="s">
        <v>44</v>
      </c>
      <c r="B29" s="4">
        <v>59.418221467206827</v>
      </c>
      <c r="C29" s="4">
        <v>67.142590257943709</v>
      </c>
      <c r="D29" s="2">
        <v>1.2176020802066099</v>
      </c>
      <c r="E29" s="4">
        <f t="shared" si="1"/>
        <v>48.799375783855751</v>
      </c>
      <c r="F29" s="4">
        <f t="shared" si="2"/>
        <v>24.399687891927876</v>
      </c>
      <c r="G29" s="4">
        <f t="shared" si="3"/>
        <v>1870.3307533456325</v>
      </c>
      <c r="H29" s="4">
        <f t="shared" si="4"/>
        <v>942.68476621417801</v>
      </c>
      <c r="I29" s="18">
        <v>1326</v>
      </c>
      <c r="J29" s="13">
        <v>1250000</v>
      </c>
      <c r="K29" s="22">
        <f t="shared" si="5"/>
        <v>1763132.308960815</v>
      </c>
      <c r="L29" s="22">
        <f t="shared" si="0"/>
        <v>1250000</v>
      </c>
      <c r="M29" s="19" t="s">
        <v>92</v>
      </c>
      <c r="N29">
        <f t="shared" si="6"/>
        <v>580.19758672699845</v>
      </c>
      <c r="O29" s="13">
        <v>769342</v>
      </c>
      <c r="P29" s="22">
        <f t="shared" si="7"/>
        <v>1085161.389472425</v>
      </c>
      <c r="Q29" s="13">
        <f t="shared" si="8"/>
        <v>769342</v>
      </c>
    </row>
    <row r="30" spans="1:17">
      <c r="A30" t="s">
        <v>45</v>
      </c>
      <c r="B30" s="4">
        <v>61.666324994769361</v>
      </c>
      <c r="C30" s="4">
        <v>72.149600243880144</v>
      </c>
      <c r="D30" s="2">
        <v>1.2383391032002451</v>
      </c>
      <c r="E30" s="4">
        <f t="shared" si="1"/>
        <v>49.797607808236705</v>
      </c>
      <c r="F30" s="4">
        <f t="shared" si="2"/>
        <v>24.898803904118353</v>
      </c>
      <c r="G30" s="4">
        <f t="shared" si="3"/>
        <v>1947.6317348741809</v>
      </c>
      <c r="H30" s="4">
        <f t="shared" si="4"/>
        <v>806.3637354255203</v>
      </c>
      <c r="I30" s="18">
        <v>2753.1</v>
      </c>
      <c r="J30" s="13">
        <v>2220000</v>
      </c>
      <c r="K30" s="22">
        <f t="shared" si="5"/>
        <v>1570499.6009664312</v>
      </c>
      <c r="L30" s="22">
        <f t="shared" si="0"/>
        <v>1570499.6009664312</v>
      </c>
      <c r="M30" s="20" t="s">
        <v>92</v>
      </c>
      <c r="N30">
        <f t="shared" si="6"/>
        <v>558.9905924230867</v>
      </c>
      <c r="O30" s="13">
        <v>1538957</v>
      </c>
      <c r="P30" s="22">
        <f t="shared" si="7"/>
        <v>1088707.8172993225</v>
      </c>
      <c r="Q30" s="13">
        <f t="shared" si="8"/>
        <v>1088707.8172993225</v>
      </c>
    </row>
    <row r="31" spans="1:17">
      <c r="A31" t="s">
        <v>46</v>
      </c>
      <c r="B31" s="4">
        <v>63.17399629918647</v>
      </c>
      <c r="C31" s="4">
        <v>71.386615818080699</v>
      </c>
      <c r="D31" s="2">
        <v>1.353332701277282</v>
      </c>
      <c r="E31" s="4">
        <f t="shared" si="1"/>
        <v>46.680314633321537</v>
      </c>
      <c r="F31" s="4">
        <f t="shared" si="2"/>
        <v>23.340157316660768</v>
      </c>
      <c r="G31" s="4">
        <f t="shared" si="3"/>
        <v>1711.4232614563832</v>
      </c>
      <c r="H31" s="4">
        <f t="shared" si="4"/>
        <v>511.10046318479476</v>
      </c>
      <c r="I31" s="18">
        <v>1252.2</v>
      </c>
      <c r="J31" s="13">
        <v>640000</v>
      </c>
      <c r="K31" s="22">
        <f t="shared" si="5"/>
        <v>874709.22163558961</v>
      </c>
      <c r="L31" s="22">
        <f t="shared" si="0"/>
        <v>640000</v>
      </c>
      <c r="M31" s="19" t="s">
        <v>92</v>
      </c>
      <c r="N31">
        <f t="shared" si="6"/>
        <v>488.76776872704039</v>
      </c>
      <c r="O31" s="13">
        <v>612035</v>
      </c>
      <c r="P31" s="22">
        <f t="shared" si="7"/>
        <v>836488.52884959069</v>
      </c>
      <c r="Q31" s="13">
        <f t="shared" si="8"/>
        <v>612035</v>
      </c>
    </row>
    <row r="32" spans="1:17">
      <c r="A32" t="s">
        <v>47</v>
      </c>
      <c r="B32" s="4">
        <v>58.965101588658143</v>
      </c>
      <c r="C32" s="4">
        <v>67.809866826956863</v>
      </c>
      <c r="D32" s="2">
        <v>1.3763525807002821</v>
      </c>
      <c r="E32" s="4">
        <f t="shared" si="1"/>
        <v>42.841567208496066</v>
      </c>
      <c r="F32" s="4">
        <f t="shared" si="2"/>
        <v>21.420783604248033</v>
      </c>
      <c r="G32" s="4">
        <f t="shared" si="3"/>
        <v>1441.5196955431145</v>
      </c>
      <c r="H32" s="4">
        <f t="shared" si="4"/>
        <v>1551.107934238742</v>
      </c>
      <c r="I32" s="18">
        <v>699.5</v>
      </c>
      <c r="J32" s="13">
        <v>1085000</v>
      </c>
      <c r="K32" s="22">
        <f t="shared" si="5"/>
        <v>2235952.6371183405</v>
      </c>
      <c r="L32" s="22">
        <f t="shared" si="0"/>
        <v>1085000</v>
      </c>
      <c r="M32" s="20" t="s">
        <v>92</v>
      </c>
      <c r="N32">
        <f t="shared" si="6"/>
        <v>763.52537526804861</v>
      </c>
      <c r="O32" s="13">
        <v>534086</v>
      </c>
      <c r="P32" s="22">
        <f t="shared" si="7"/>
        <v>1100636.8664958396</v>
      </c>
      <c r="Q32" s="13">
        <f t="shared" si="8"/>
        <v>534086</v>
      </c>
    </row>
    <row r="33" spans="1:17">
      <c r="A33" t="s">
        <v>65</v>
      </c>
      <c r="B33" s="4">
        <v>58.66228344563627</v>
      </c>
      <c r="C33" s="4">
        <v>72.154608638132601</v>
      </c>
      <c r="D33" s="2">
        <v>1.2603547141344449</v>
      </c>
      <c r="E33" s="4">
        <f t="shared" si="1"/>
        <v>46.544264711956821</v>
      </c>
      <c r="F33" s="4">
        <f t="shared" si="2"/>
        <v>23.27213235597841</v>
      </c>
      <c r="G33" s="4">
        <f t="shared" si="3"/>
        <v>1701.4619020706896</v>
      </c>
      <c r="H33" s="4">
        <f t="shared" si="4"/>
        <v>2117.6348088662126</v>
      </c>
      <c r="I33" s="18">
        <v>7683.1</v>
      </c>
      <c r="J33" s="13">
        <v>16270000</v>
      </c>
      <c r="K33" s="22">
        <f t="shared" si="5"/>
        <v>3603074.9497846072</v>
      </c>
      <c r="L33" s="22">
        <f t="shared" si="0"/>
        <v>3603074.9497846072</v>
      </c>
      <c r="M33" s="19" t="s">
        <v>92</v>
      </c>
      <c r="N33">
        <f t="shared" si="6"/>
        <v>958.84916244744954</v>
      </c>
      <c r="O33" s="13">
        <f>3557965+617736+210152+305726+1019809+895963+759583</f>
        <v>7366934</v>
      </c>
      <c r="P33" s="22">
        <f t="shared" si="7"/>
        <v>1631445.3197367252</v>
      </c>
      <c r="Q33" s="13">
        <f t="shared" si="8"/>
        <v>1631445.3197367252</v>
      </c>
    </row>
    <row r="34" spans="1:17">
      <c r="A34" t="s">
        <v>66</v>
      </c>
      <c r="B34" s="4">
        <v>65.428155552656733</v>
      </c>
      <c r="C34" s="4">
        <v>70.008126441342696</v>
      </c>
      <c r="D34" s="2">
        <v>1.2964577542802127</v>
      </c>
      <c r="E34" s="4">
        <f t="shared" si="1"/>
        <v>50.466862754800786</v>
      </c>
      <c r="F34" s="4">
        <f t="shared" si="2"/>
        <v>25.233431377400393</v>
      </c>
      <c r="G34" s="4">
        <f t="shared" si="3"/>
        <v>2000.333909548546</v>
      </c>
      <c r="H34" s="4">
        <f t="shared" si="4"/>
        <v>447.68101235599596</v>
      </c>
      <c r="I34" s="18">
        <v>1675.3</v>
      </c>
      <c r="J34" s="13">
        <v>750000</v>
      </c>
      <c r="K34" s="22">
        <f t="shared" si="5"/>
        <v>895511.50967672036</v>
      </c>
      <c r="L34" s="22">
        <f t="shared" ref="L34:L53" si="9">MIN(J34,K34)</f>
        <v>750000</v>
      </c>
      <c r="M34" s="20" t="s">
        <v>92</v>
      </c>
      <c r="N34">
        <f t="shared" si="6"/>
        <v>254.53650092520743</v>
      </c>
      <c r="O34" s="13">
        <v>426425</v>
      </c>
      <c r="P34" s="22">
        <f t="shared" si="7"/>
        <v>509157.99401852727</v>
      </c>
      <c r="Q34" s="13">
        <f t="shared" si="8"/>
        <v>426425</v>
      </c>
    </row>
    <row r="35" spans="1:17">
      <c r="A35" t="s">
        <v>48</v>
      </c>
      <c r="B35" s="4">
        <v>51.610670589502462</v>
      </c>
      <c r="C35" s="4">
        <v>65.029444942773097</v>
      </c>
      <c r="D35" s="2">
        <v>1.3247335867180841</v>
      </c>
      <c r="E35" s="4">
        <f t="shared" ref="E35:E53" si="10">B35/D35</f>
        <v>38.959282913150524</v>
      </c>
      <c r="F35" s="4">
        <f t="shared" ref="F35:F53" si="11">E35*0.5</f>
        <v>19.479641456575262</v>
      </c>
      <c r="G35" s="4">
        <f t="shared" ref="G35:G53" si="12">PI()*F35^2</f>
        <v>1192.0975368563613</v>
      </c>
      <c r="H35" s="4">
        <f t="shared" ref="H35:H53" si="13">J35/I35</f>
        <v>1012.6210742588787</v>
      </c>
      <c r="I35" s="18">
        <v>1022.1</v>
      </c>
      <c r="J35" s="13">
        <v>1035000</v>
      </c>
      <c r="K35" s="22">
        <f t="shared" ref="K35:K53" si="14">G35*H35</f>
        <v>1207143.0883928519</v>
      </c>
      <c r="L35" s="22">
        <f t="shared" si="9"/>
        <v>1035000</v>
      </c>
      <c r="M35" s="19" t="s">
        <v>92</v>
      </c>
      <c r="N35">
        <f t="shared" ref="N35:N53" si="15">O35/I35</f>
        <v>729.77692985030819</v>
      </c>
      <c r="O35" s="13">
        <v>745905</v>
      </c>
      <c r="P35" s="22">
        <f t="shared" ref="P35:P53" si="16">G35*N35</f>
        <v>869965.28052915004</v>
      </c>
      <c r="Q35" s="13">
        <f t="shared" ref="Q35:Q53" si="17">MIN(P35,O35)</f>
        <v>745905</v>
      </c>
    </row>
    <row r="36" spans="1:17">
      <c r="A36" t="s">
        <v>67</v>
      </c>
      <c r="B36" s="4">
        <v>57.527407508030159</v>
      </c>
      <c r="C36" s="4">
        <v>67.307066784395289</v>
      </c>
      <c r="D36" s="2">
        <v>1.2151792961844514</v>
      </c>
      <c r="E36" s="4">
        <f t="shared" si="10"/>
        <v>47.340674490308388</v>
      </c>
      <c r="F36" s="4">
        <f t="shared" si="11"/>
        <v>23.670337245154194</v>
      </c>
      <c r="G36" s="4">
        <f t="shared" si="12"/>
        <v>1760.1868167419339</v>
      </c>
      <c r="H36" s="4">
        <f t="shared" si="13"/>
        <v>1548.7679501210491</v>
      </c>
      <c r="I36" s="18">
        <v>3015.3</v>
      </c>
      <c r="J36" s="13">
        <v>4670000</v>
      </c>
      <c r="K36" s="22">
        <f t="shared" si="14"/>
        <v>2726120.9279954997</v>
      </c>
      <c r="L36" s="22">
        <f t="shared" si="9"/>
        <v>2726120.9279954997</v>
      </c>
      <c r="M36" s="20" t="s">
        <v>92</v>
      </c>
      <c r="N36">
        <f t="shared" si="15"/>
        <v>794.65194176367186</v>
      </c>
      <c r="O36" s="13">
        <f>2112593+283521</f>
        <v>2396114</v>
      </c>
      <c r="P36" s="22">
        <f t="shared" si="16"/>
        <v>1398735.8717907942</v>
      </c>
      <c r="Q36" s="13">
        <f t="shared" si="17"/>
        <v>1398735.8717907942</v>
      </c>
    </row>
    <row r="37" spans="1:17">
      <c r="A37" t="s">
        <v>49</v>
      </c>
      <c r="B37" s="4">
        <v>55.217531420841681</v>
      </c>
      <c r="C37" s="4">
        <v>64.60451176238476</v>
      </c>
      <c r="D37" s="2">
        <v>1.3855038567192821</v>
      </c>
      <c r="E37" s="4">
        <f t="shared" si="10"/>
        <v>39.853755118077125</v>
      </c>
      <c r="F37" s="4">
        <f t="shared" si="11"/>
        <v>19.926877559038562</v>
      </c>
      <c r="G37" s="4">
        <f t="shared" si="12"/>
        <v>1247.4650222570913</v>
      </c>
      <c r="H37" s="4">
        <f t="shared" si="13"/>
        <v>1156.611441075336</v>
      </c>
      <c r="I37" s="18">
        <v>1919.4</v>
      </c>
      <c r="J37" s="13">
        <v>2220000</v>
      </c>
      <c r="K37" s="22">
        <f t="shared" si="14"/>
        <v>1442832.3170838505</v>
      </c>
      <c r="L37" s="22">
        <f t="shared" si="9"/>
        <v>1442832.3170838505</v>
      </c>
      <c r="M37" s="19" t="s">
        <v>92</v>
      </c>
      <c r="N37">
        <f t="shared" si="15"/>
        <v>663.9048661039908</v>
      </c>
      <c r="O37" s="13">
        <v>1274299</v>
      </c>
      <c r="P37" s="22">
        <f t="shared" si="16"/>
        <v>828198.09857100609</v>
      </c>
      <c r="Q37" s="13">
        <f t="shared" si="17"/>
        <v>828198.09857100609</v>
      </c>
    </row>
    <row r="38" spans="1:17">
      <c r="A38" t="s">
        <v>50</v>
      </c>
      <c r="B38" s="4">
        <v>60.206377885131687</v>
      </c>
      <c r="C38" s="4">
        <v>66.227015673644857</v>
      </c>
      <c r="D38" s="2">
        <v>1.3073565469845398</v>
      </c>
      <c r="E38" s="4">
        <f t="shared" si="10"/>
        <v>46.051995550869151</v>
      </c>
      <c r="F38" s="4">
        <f t="shared" si="11"/>
        <v>23.025997775434575</v>
      </c>
      <c r="G38" s="4">
        <f t="shared" si="12"/>
        <v>1665.6616604367257</v>
      </c>
      <c r="H38" s="4">
        <f t="shared" si="13"/>
        <v>880.80587534736003</v>
      </c>
      <c r="I38" s="18">
        <v>2015.2</v>
      </c>
      <c r="J38" s="13">
        <v>1775000</v>
      </c>
      <c r="K38" s="22">
        <f t="shared" si="14"/>
        <v>1467124.5768535074</v>
      </c>
      <c r="L38" s="22">
        <f t="shared" si="9"/>
        <v>1467124.5768535074</v>
      </c>
      <c r="M38" s="20" t="s">
        <v>92</v>
      </c>
      <c r="N38">
        <f t="shared" si="15"/>
        <v>499.64370782056369</v>
      </c>
      <c r="O38" s="13">
        <v>1006882</v>
      </c>
      <c r="P38" s="22">
        <f t="shared" si="16"/>
        <v>832237.36799516238</v>
      </c>
      <c r="Q38" s="13">
        <f t="shared" si="17"/>
        <v>832237.36799516238</v>
      </c>
    </row>
    <row r="39" spans="1:17">
      <c r="A39" t="s">
        <v>51</v>
      </c>
      <c r="B39" s="4">
        <v>60.024289113865244</v>
      </c>
      <c r="C39" s="4">
        <v>72.029146936638284</v>
      </c>
      <c r="D39" s="2">
        <v>1.4034944459182461</v>
      </c>
      <c r="E39" s="4">
        <f t="shared" si="10"/>
        <v>42.767742536090999</v>
      </c>
      <c r="F39" s="4">
        <f t="shared" si="11"/>
        <v>21.3838712680455</v>
      </c>
      <c r="G39" s="4">
        <f t="shared" si="12"/>
        <v>1436.5559169102157</v>
      </c>
      <c r="H39" s="4">
        <f t="shared" si="13"/>
        <v>1323.5147775898099</v>
      </c>
      <c r="I39" s="18">
        <v>1004.9</v>
      </c>
      <c r="J39" s="13">
        <v>1330000</v>
      </c>
      <c r="K39" s="22">
        <f t="shared" si="14"/>
        <v>1901302.9848647497</v>
      </c>
      <c r="L39" s="22">
        <f t="shared" si="9"/>
        <v>1330000</v>
      </c>
      <c r="M39" s="19" t="s">
        <v>92</v>
      </c>
      <c r="N39">
        <f t="shared" si="15"/>
        <v>831.47477360931441</v>
      </c>
      <c r="O39" s="13">
        <v>835549</v>
      </c>
      <c r="P39" s="22">
        <f t="shared" si="16"/>
        <v>1194460.0057900427</v>
      </c>
      <c r="Q39" s="13">
        <f t="shared" si="17"/>
        <v>835549</v>
      </c>
    </row>
    <row r="40" spans="1:17">
      <c r="A40" s="18" t="s">
        <v>98</v>
      </c>
      <c r="B40" s="4">
        <v>67.445743119538108</v>
      </c>
      <c r="C40" s="4">
        <v>72.841402569101163</v>
      </c>
      <c r="D40" s="2">
        <v>1.2391400975948115</v>
      </c>
      <c r="E40" s="4">
        <f t="shared" si="10"/>
        <v>54.429473511874285</v>
      </c>
      <c r="F40" s="4">
        <f t="shared" si="11"/>
        <v>27.214736755937142</v>
      </c>
      <c r="G40" s="4">
        <f t="shared" si="12"/>
        <v>2326.7951415976845</v>
      </c>
      <c r="H40" s="4">
        <f t="shared" si="13"/>
        <v>1480.0930713547052</v>
      </c>
      <c r="I40" s="18">
        <v>773.6</v>
      </c>
      <c r="J40" s="13">
        <v>1145000</v>
      </c>
      <c r="K40" s="22">
        <f t="shared" si="14"/>
        <v>3443873.3675405229</v>
      </c>
      <c r="L40" s="22">
        <f t="shared" si="9"/>
        <v>1145000</v>
      </c>
      <c r="M40" s="20" t="s">
        <v>92</v>
      </c>
      <c r="N40">
        <f t="shared" si="15"/>
        <v>485.89451913133399</v>
      </c>
      <c r="O40" s="13">
        <v>375888</v>
      </c>
      <c r="P40" s="22">
        <f t="shared" si="16"/>
        <v>1130577.006443731</v>
      </c>
      <c r="Q40" s="13">
        <f t="shared" si="17"/>
        <v>375888</v>
      </c>
    </row>
    <row r="41" spans="1:17">
      <c r="A41" s="18" t="s">
        <v>15</v>
      </c>
      <c r="B41" s="4">
        <v>61.558627513996477</v>
      </c>
      <c r="C41" s="4">
        <v>68.330076540536098</v>
      </c>
      <c r="D41" s="2">
        <v>1.2413603862790981</v>
      </c>
      <c r="E41" s="4">
        <f t="shared" si="10"/>
        <v>49.589650350060474</v>
      </c>
      <c r="F41" s="4">
        <f t="shared" si="11"/>
        <v>24.794825175030237</v>
      </c>
      <c r="G41" s="4">
        <f t="shared" si="12"/>
        <v>1931.3988730634026</v>
      </c>
      <c r="H41" s="4">
        <f t="shared" si="13"/>
        <v>1338.5999561114768</v>
      </c>
      <c r="I41" s="18">
        <v>455.7</v>
      </c>
      <c r="J41" s="13">
        <v>610000</v>
      </c>
      <c r="K41" s="22">
        <f t="shared" si="14"/>
        <v>2585370.4467164264</v>
      </c>
      <c r="L41" s="22">
        <f t="shared" si="9"/>
        <v>610000</v>
      </c>
      <c r="M41" s="19" t="s">
        <v>92</v>
      </c>
      <c r="N41">
        <f t="shared" si="15"/>
        <v>1185.32367785824</v>
      </c>
      <c r="O41" s="13">
        <v>540152</v>
      </c>
      <c r="P41" s="22">
        <f t="shared" si="16"/>
        <v>2289332.8156307722</v>
      </c>
      <c r="Q41" s="13">
        <f t="shared" si="17"/>
        <v>540152</v>
      </c>
    </row>
    <row r="42" spans="1:17">
      <c r="A42" t="s">
        <v>82</v>
      </c>
      <c r="B42" s="4">
        <v>71.963113135234551</v>
      </c>
      <c r="C42" s="4">
        <v>75.561268791996284</v>
      </c>
      <c r="D42" s="2">
        <v>1.2570037934255704</v>
      </c>
      <c r="E42" s="4">
        <f t="shared" si="10"/>
        <v>57.249718347405782</v>
      </c>
      <c r="F42" s="4">
        <f t="shared" si="11"/>
        <v>28.624859173702891</v>
      </c>
      <c r="G42" s="4">
        <f t="shared" si="12"/>
        <v>2574.1662395028939</v>
      </c>
      <c r="H42" s="4">
        <f t="shared" si="13"/>
        <v>1096.6836287067906</v>
      </c>
      <c r="I42" s="18">
        <v>569.9</v>
      </c>
      <c r="J42" s="13">
        <v>625000</v>
      </c>
      <c r="K42" s="22">
        <f t="shared" si="14"/>
        <v>2823045.9724325472</v>
      </c>
      <c r="L42" s="22">
        <f t="shared" si="9"/>
        <v>625000</v>
      </c>
      <c r="M42" s="20" t="s">
        <v>92</v>
      </c>
      <c r="N42">
        <f t="shared" si="15"/>
        <v>799.00333391823131</v>
      </c>
      <c r="O42" s="13">
        <v>455352</v>
      </c>
      <c r="P42" s="22">
        <f t="shared" si="16"/>
        <v>2056767.4074225684</v>
      </c>
      <c r="Q42" s="13">
        <f t="shared" si="17"/>
        <v>455352</v>
      </c>
    </row>
    <row r="43" spans="1:17">
      <c r="A43" t="s">
        <v>54</v>
      </c>
      <c r="B43" s="4">
        <v>57.718158557678407</v>
      </c>
      <c r="C43" s="4">
        <v>69.261790269214089</v>
      </c>
      <c r="D43" s="2">
        <v>1.4511940967956416</v>
      </c>
      <c r="E43" s="4">
        <f t="shared" si="10"/>
        <v>39.772873032714884</v>
      </c>
      <c r="F43" s="4">
        <f t="shared" si="11"/>
        <v>19.886436516357442</v>
      </c>
      <c r="G43" s="4">
        <f t="shared" si="12"/>
        <v>1242.4067692662613</v>
      </c>
      <c r="H43" s="4">
        <f t="shared" si="13"/>
        <v>1434.0233607031339</v>
      </c>
      <c r="I43" s="18">
        <v>864.7</v>
      </c>
      <c r="J43" s="13">
        <v>1240000</v>
      </c>
      <c r="K43" s="22">
        <f t="shared" si="14"/>
        <v>1781640.3306235271</v>
      </c>
      <c r="L43" s="22">
        <f t="shared" si="9"/>
        <v>1240000</v>
      </c>
      <c r="M43" s="19" t="s">
        <v>92</v>
      </c>
      <c r="N43">
        <f t="shared" si="15"/>
        <v>583.35492078177401</v>
      </c>
      <c r="O43" s="13">
        <v>504427</v>
      </c>
      <c r="P43" s="22">
        <f t="shared" si="16"/>
        <v>724764.10246405972</v>
      </c>
      <c r="Q43" s="13">
        <f t="shared" si="17"/>
        <v>504427</v>
      </c>
    </row>
    <row r="44" spans="1:17">
      <c r="A44" t="s">
        <v>55</v>
      </c>
      <c r="B44" s="4">
        <v>58.26615155396771</v>
      </c>
      <c r="C44" s="4">
        <v>69.336720349221579</v>
      </c>
      <c r="D44" s="2">
        <v>1.3833656311611033</v>
      </c>
      <c r="E44" s="4">
        <f t="shared" si="10"/>
        <v>42.119126167001163</v>
      </c>
      <c r="F44" s="4">
        <f t="shared" si="11"/>
        <v>21.059563083500581</v>
      </c>
      <c r="G44" s="4">
        <f t="shared" si="12"/>
        <v>1393.3126695658539</v>
      </c>
      <c r="H44" s="4">
        <f t="shared" si="13"/>
        <v>1268.8041331104696</v>
      </c>
      <c r="I44" s="18">
        <v>658.1</v>
      </c>
      <c r="J44" s="13">
        <v>835000</v>
      </c>
      <c r="K44" s="22">
        <f t="shared" si="14"/>
        <v>1767840.8738603373</v>
      </c>
      <c r="L44" s="22">
        <f t="shared" si="9"/>
        <v>835000</v>
      </c>
      <c r="M44" s="20" t="s">
        <v>92</v>
      </c>
      <c r="N44">
        <f t="shared" si="15"/>
        <v>896.24677100744566</v>
      </c>
      <c r="O44" s="13">
        <v>589820</v>
      </c>
      <c r="P44" s="22">
        <f t="shared" si="16"/>
        <v>1248751.9811021606</v>
      </c>
      <c r="Q44" s="13">
        <f t="shared" si="17"/>
        <v>589820</v>
      </c>
    </row>
    <row r="45" spans="1:17">
      <c r="A45" t="s">
        <v>68</v>
      </c>
      <c r="B45" s="4">
        <v>68.258757949361893</v>
      </c>
      <c r="C45" s="4">
        <v>75.084633744298088</v>
      </c>
      <c r="D45" s="2">
        <v>1.3944576902357904</v>
      </c>
      <c r="E45" s="4">
        <f t="shared" si="10"/>
        <v>48.9500387335667</v>
      </c>
      <c r="F45" s="4">
        <f t="shared" si="11"/>
        <v>24.47501936678335</v>
      </c>
      <c r="G45" s="4">
        <f t="shared" si="12"/>
        <v>1881.8974810557559</v>
      </c>
      <c r="H45" s="4">
        <f t="shared" si="13"/>
        <v>1075.3635962979286</v>
      </c>
      <c r="I45" s="18">
        <v>1134.5</v>
      </c>
      <c r="J45" s="13">
        <v>1220000</v>
      </c>
      <c r="K45" s="22">
        <f t="shared" si="14"/>
        <v>2023724.0430921305</v>
      </c>
      <c r="L45" s="22">
        <f t="shared" si="9"/>
        <v>1220000</v>
      </c>
      <c r="M45" s="19" t="s">
        <v>92</v>
      </c>
      <c r="N45">
        <f t="shared" si="15"/>
        <v>504.97752313794621</v>
      </c>
      <c r="O45" s="13">
        <v>572897</v>
      </c>
      <c r="P45" s="22">
        <f t="shared" si="16"/>
        <v>950315.92878307565</v>
      </c>
      <c r="Q45" s="13">
        <f t="shared" si="17"/>
        <v>572897</v>
      </c>
    </row>
    <row r="46" spans="1:17">
      <c r="A46" t="s">
        <v>69</v>
      </c>
      <c r="B46" s="4">
        <v>61.114708084337522</v>
      </c>
      <c r="C46" s="4">
        <v>73.948796782048404</v>
      </c>
      <c r="D46" s="2">
        <v>1.4004144662812563</v>
      </c>
      <c r="E46" s="4">
        <f t="shared" si="10"/>
        <v>43.640443280070613</v>
      </c>
      <c r="F46" s="4">
        <f t="shared" si="11"/>
        <v>21.820221640035307</v>
      </c>
      <c r="G46" s="4">
        <f t="shared" si="12"/>
        <v>1495.7816049274522</v>
      </c>
      <c r="H46" s="4">
        <f t="shared" si="13"/>
        <v>1429.3706293706293</v>
      </c>
      <c r="I46" s="18">
        <v>1787.5</v>
      </c>
      <c r="J46" s="13">
        <v>2555000</v>
      </c>
      <c r="K46" s="22">
        <f t="shared" si="14"/>
        <v>2138026.2940361626</v>
      </c>
      <c r="L46" s="22">
        <f t="shared" si="9"/>
        <v>2138026.2940361626</v>
      </c>
      <c r="M46" s="20" t="s">
        <v>92</v>
      </c>
      <c r="N46">
        <f t="shared" si="15"/>
        <v>537.63020979020985</v>
      </c>
      <c r="O46" s="13">
        <v>961014</v>
      </c>
      <c r="P46" s="22">
        <f t="shared" si="16"/>
        <v>804177.37805748289</v>
      </c>
      <c r="Q46" s="13">
        <f t="shared" si="17"/>
        <v>804177.37805748289</v>
      </c>
    </row>
    <row r="47" spans="1:17">
      <c r="A47" t="s">
        <v>70</v>
      </c>
      <c r="B47" s="4">
        <v>56.191337145660896</v>
      </c>
      <c r="C47" s="4">
        <v>74.172565032272388</v>
      </c>
      <c r="D47" s="2">
        <v>1.4169328618734882</v>
      </c>
      <c r="E47" s="4">
        <f t="shared" si="10"/>
        <v>39.657021625826317</v>
      </c>
      <c r="F47" s="4">
        <f t="shared" si="11"/>
        <v>19.828510812913159</v>
      </c>
      <c r="G47" s="4">
        <f t="shared" si="12"/>
        <v>1235.1794842802951</v>
      </c>
      <c r="H47" s="4">
        <f t="shared" si="13"/>
        <v>1713.8566191086179</v>
      </c>
      <c r="I47" s="18">
        <v>2263.9</v>
      </c>
      <c r="J47" s="13">
        <v>3880000</v>
      </c>
      <c r="K47" s="22">
        <f t="shared" si="14"/>
        <v>2116920.5349209527</v>
      </c>
      <c r="L47" s="22">
        <f t="shared" si="9"/>
        <v>2116920.5349209527</v>
      </c>
      <c r="M47" s="19" t="s">
        <v>92</v>
      </c>
      <c r="N47">
        <f t="shared" si="15"/>
        <v>816.73395467997705</v>
      </c>
      <c r="O47" s="13">
        <f>962037+886967</f>
        <v>1849004</v>
      </c>
      <c r="P47" s="22">
        <f t="shared" si="16"/>
        <v>1008813.02493582</v>
      </c>
      <c r="Q47" s="13">
        <f t="shared" si="17"/>
        <v>1008813.02493582</v>
      </c>
    </row>
    <row r="48" spans="1:17">
      <c r="A48" t="s">
        <v>86</v>
      </c>
      <c r="B48" s="4">
        <v>57.512041270506913</v>
      </c>
      <c r="C48" s="4">
        <v>71.314931175428569</v>
      </c>
      <c r="D48" s="2">
        <v>1.415239926121528</v>
      </c>
      <c r="E48" s="4">
        <f t="shared" si="10"/>
        <v>40.63766164944127</v>
      </c>
      <c r="F48" s="4">
        <f t="shared" si="11"/>
        <v>20.318830824720635</v>
      </c>
      <c r="G48" s="4">
        <f t="shared" si="12"/>
        <v>1297.0218771189434</v>
      </c>
      <c r="H48" s="4">
        <f t="shared" si="13"/>
        <v>1768.1953000228154</v>
      </c>
      <c r="I48" s="18">
        <v>876.6</v>
      </c>
      <c r="J48" s="13">
        <v>1550000</v>
      </c>
      <c r="K48" s="22">
        <f t="shared" si="14"/>
        <v>2293387.9871484856</v>
      </c>
      <c r="L48" s="22">
        <f t="shared" si="9"/>
        <v>1550000</v>
      </c>
      <c r="M48" s="20" t="s">
        <v>92</v>
      </c>
      <c r="N48">
        <f t="shared" si="15"/>
        <v>1079.5836185261237</v>
      </c>
      <c r="O48" s="13">
        <v>946363</v>
      </c>
      <c r="P48" s="22">
        <f t="shared" si="16"/>
        <v>1400243.5714076143</v>
      </c>
      <c r="Q48" s="13">
        <f t="shared" si="17"/>
        <v>946363</v>
      </c>
    </row>
    <row r="49" spans="1:17">
      <c r="A49" t="s">
        <v>56</v>
      </c>
      <c r="B49" s="4">
        <v>56.598098982887286</v>
      </c>
      <c r="C49" s="4">
        <v>73.01154768792459</v>
      </c>
      <c r="D49" s="2">
        <v>1.407578059972719</v>
      </c>
      <c r="E49" s="4">
        <f t="shared" si="10"/>
        <v>40.209563215260857</v>
      </c>
      <c r="F49" s="4">
        <f t="shared" si="11"/>
        <v>20.104781607630429</v>
      </c>
      <c r="G49" s="4">
        <f t="shared" si="12"/>
        <v>1269.838798714314</v>
      </c>
      <c r="H49" s="4">
        <f t="shared" si="13"/>
        <v>1664.8059368227491</v>
      </c>
      <c r="I49" s="18">
        <v>1522.7</v>
      </c>
      <c r="J49" s="13">
        <v>2535000</v>
      </c>
      <c r="K49" s="22">
        <f t="shared" si="14"/>
        <v>2114035.1709074578</v>
      </c>
      <c r="L49" s="22">
        <f t="shared" si="9"/>
        <v>2114035.1709074578</v>
      </c>
      <c r="M49" s="19" t="s">
        <v>92</v>
      </c>
      <c r="N49">
        <f t="shared" si="15"/>
        <v>892.9066789255927</v>
      </c>
      <c r="O49" s="13">
        <f>1169062  +190567</f>
        <v>1359629</v>
      </c>
      <c r="P49" s="22">
        <f t="shared" si="16"/>
        <v>1133847.5445308622</v>
      </c>
      <c r="Q49" s="13">
        <f t="shared" si="17"/>
        <v>1133847.5445308622</v>
      </c>
    </row>
    <row r="50" spans="1:17">
      <c r="A50" t="s">
        <v>76</v>
      </c>
      <c r="B50" s="4">
        <v>55.648504040584811</v>
      </c>
      <c r="C50" s="4">
        <v>69.560630050731021</v>
      </c>
      <c r="D50" s="2">
        <v>1.2685017433180505</v>
      </c>
      <c r="E50" s="4">
        <f t="shared" si="10"/>
        <v>43.869473836924875</v>
      </c>
      <c r="F50" s="4">
        <f t="shared" si="11"/>
        <v>21.934736918462438</v>
      </c>
      <c r="G50" s="4">
        <f t="shared" si="12"/>
        <v>1511.5229044578125</v>
      </c>
      <c r="H50" s="4">
        <f t="shared" si="13"/>
        <v>4685.7893584409894</v>
      </c>
      <c r="I50" s="18">
        <v>913.4</v>
      </c>
      <c r="J50" s="13">
        <v>4280000</v>
      </c>
      <c r="K50" s="22">
        <f t="shared" si="14"/>
        <v>7082677.9407482343</v>
      </c>
      <c r="L50" s="22">
        <f t="shared" si="9"/>
        <v>4280000</v>
      </c>
      <c r="M50" s="20" t="s">
        <v>92</v>
      </c>
      <c r="N50">
        <f t="shared" si="15"/>
        <v>1556.3509962776441</v>
      </c>
      <c r="O50" s="13">
        <f>835903+585668</f>
        <v>1421571</v>
      </c>
      <c r="P50" s="22">
        <f t="shared" si="16"/>
        <v>2352460.1782493945</v>
      </c>
      <c r="Q50" s="13">
        <f t="shared" si="17"/>
        <v>1421571</v>
      </c>
    </row>
    <row r="51" spans="1:17">
      <c r="A51" t="s">
        <v>57</v>
      </c>
      <c r="B51" s="4">
        <v>61.481089948215072</v>
      </c>
      <c r="C51" s="4">
        <v>72.547686138893781</v>
      </c>
      <c r="D51" s="2">
        <v>1.3586289847100899</v>
      </c>
      <c r="E51" s="4">
        <f t="shared" si="10"/>
        <v>45.252302608084115</v>
      </c>
      <c r="F51" s="4">
        <f t="shared" si="11"/>
        <v>22.626151304042057</v>
      </c>
      <c r="G51" s="4">
        <f t="shared" si="12"/>
        <v>1608.315497112178</v>
      </c>
      <c r="H51" s="4">
        <f t="shared" si="13"/>
        <v>1057.7942735949098</v>
      </c>
      <c r="I51" s="18">
        <v>1886</v>
      </c>
      <c r="J51" s="13">
        <v>1995000</v>
      </c>
      <c r="K51" s="22">
        <f t="shared" si="14"/>
        <v>1701266.9229792126</v>
      </c>
      <c r="L51" s="22">
        <f t="shared" si="9"/>
        <v>1701266.9229792126</v>
      </c>
      <c r="M51" s="19" t="s">
        <v>92</v>
      </c>
      <c r="N51">
        <f t="shared" si="15"/>
        <v>632.73117709437963</v>
      </c>
      <c r="O51" s="13">
        <v>1193331</v>
      </c>
      <c r="P51" s="22">
        <f t="shared" si="16"/>
        <v>1017631.3576269207</v>
      </c>
      <c r="Q51" s="13">
        <f t="shared" si="17"/>
        <v>1017631.3576269207</v>
      </c>
    </row>
    <row r="52" spans="1:17">
      <c r="A52" t="s">
        <v>71</v>
      </c>
      <c r="B52" s="4">
        <v>49.70438535125249</v>
      </c>
      <c r="C52" s="4">
        <v>64.118657103115709</v>
      </c>
      <c r="D52" s="2">
        <v>1.274255931913912</v>
      </c>
      <c r="E52" s="4">
        <f t="shared" si="10"/>
        <v>39.006595226594158</v>
      </c>
      <c r="F52" s="4">
        <f t="shared" si="11"/>
        <v>19.503297613297079</v>
      </c>
      <c r="G52" s="4">
        <f t="shared" si="12"/>
        <v>1194.9946712406245</v>
      </c>
      <c r="H52" s="4">
        <f t="shared" si="13"/>
        <v>1087.5378855410947</v>
      </c>
      <c r="I52" s="18">
        <v>1682.7</v>
      </c>
      <c r="J52" s="13">
        <v>1830000</v>
      </c>
      <c r="K52" s="22">
        <f t="shared" si="14"/>
        <v>1299601.9779939044</v>
      </c>
      <c r="L52" s="22">
        <f t="shared" si="9"/>
        <v>1299601.9779939044</v>
      </c>
      <c r="M52" s="20" t="s">
        <v>92</v>
      </c>
      <c r="N52">
        <f t="shared" si="15"/>
        <v>580.54495750876561</v>
      </c>
      <c r="O52" s="13">
        <v>976883</v>
      </c>
      <c r="P52" s="22">
        <f t="shared" si="16"/>
        <v>693748.13063858962</v>
      </c>
      <c r="Q52" s="13">
        <f t="shared" si="17"/>
        <v>693748.13063858962</v>
      </c>
    </row>
    <row r="53" spans="1:17">
      <c r="A53" t="s">
        <v>59</v>
      </c>
      <c r="B53" s="4">
        <v>53.455408362533667</v>
      </c>
      <c r="C53" s="4">
        <v>69.492030871293764</v>
      </c>
      <c r="D53" s="2">
        <v>1.2938832051765461</v>
      </c>
      <c r="E53" s="4">
        <f t="shared" si="10"/>
        <v>41.313936334183929</v>
      </c>
      <c r="F53" s="4">
        <f t="shared" si="11"/>
        <v>20.656968167091964</v>
      </c>
      <c r="G53" s="4">
        <f t="shared" si="12"/>
        <v>1340.5500500536455</v>
      </c>
      <c r="H53" s="4">
        <f t="shared" si="13"/>
        <v>1434.643995749203</v>
      </c>
      <c r="I53" s="18">
        <v>2446.6</v>
      </c>
      <c r="J53" s="13">
        <v>3510000</v>
      </c>
      <c r="K53" s="22">
        <f t="shared" si="14"/>
        <v>1923212.0803107561</v>
      </c>
      <c r="L53" s="22">
        <f t="shared" si="9"/>
        <v>1923212.0803107561</v>
      </c>
      <c r="M53" s="19" t="s">
        <v>92</v>
      </c>
      <c r="N53">
        <f t="shared" si="15"/>
        <v>840.12875010218261</v>
      </c>
      <c r="O53" s="13">
        <v>2055459</v>
      </c>
      <c r="P53" s="22">
        <f t="shared" si="16"/>
        <v>1126234.6380009875</v>
      </c>
      <c r="Q53" s="13">
        <f t="shared" si="17"/>
        <v>1126234.6380009875</v>
      </c>
    </row>
    <row r="54" spans="1:17">
      <c r="D54" s="2"/>
    </row>
    <row r="55" spans="1:17">
      <c r="A55" t="s">
        <v>74</v>
      </c>
      <c r="D55"/>
    </row>
    <row r="56" spans="1:17" ht="16">
      <c r="A56" s="18" t="s">
        <v>93</v>
      </c>
      <c r="D56"/>
    </row>
    <row r="57" spans="1:17">
      <c r="A57" s="18" t="s">
        <v>99</v>
      </c>
    </row>
    <row r="59" spans="1:17">
      <c r="A59" s="18" t="s">
        <v>95</v>
      </c>
    </row>
    <row r="60" spans="1:17">
      <c r="A60" s="18" t="s">
        <v>106</v>
      </c>
    </row>
    <row r="61" spans="1:17">
      <c r="A61" s="18" t="s">
        <v>107</v>
      </c>
    </row>
    <row r="62" spans="1:17">
      <c r="A62" s="18" t="s">
        <v>105</v>
      </c>
    </row>
    <row r="63" spans="1:17">
      <c r="A63" s="18" t="s">
        <v>108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zoomScale="90" zoomScaleNormal="90" zoomScalePageLayoutView="90" workbookViewId="0">
      <selection activeCell="K1" sqref="K1:Q1048576"/>
    </sheetView>
  </sheetViews>
  <sheetFormatPr baseColWidth="10" defaultColWidth="8.83203125" defaultRowHeight="14" x14ac:dyDescent="0"/>
  <cols>
    <col min="1" max="1" width="27.6640625" bestFit="1" customWidth="1"/>
    <col min="2" max="2" width="19.6640625" customWidth="1"/>
    <col min="3" max="3" width="19.1640625" customWidth="1"/>
    <col min="4" max="4" width="10.6640625" bestFit="1" customWidth="1"/>
    <col min="5" max="5" width="18.1640625" bestFit="1" customWidth="1"/>
    <col min="6" max="6" width="18.6640625" customWidth="1"/>
    <col min="7" max="7" width="28.33203125" customWidth="1"/>
    <col min="8" max="8" width="21.6640625" customWidth="1"/>
    <col min="9" max="9" width="10.6640625" customWidth="1"/>
    <col min="10" max="10" width="10.6640625" style="13" customWidth="1"/>
    <col min="11" max="11" width="11.83203125" style="22" customWidth="1"/>
    <col min="12" max="12" width="12.6640625" style="22" customWidth="1"/>
    <col min="14" max="14" width="12.5" customWidth="1"/>
    <col min="15" max="15" width="12.6640625" customWidth="1"/>
    <col min="16" max="16" width="12.83203125" style="22" customWidth="1"/>
    <col min="17" max="17" width="8.83203125" style="18"/>
  </cols>
  <sheetData>
    <row r="1" spans="1:17" ht="30">
      <c r="B1" s="1" t="s">
        <v>60</v>
      </c>
      <c r="C1" s="1" t="s">
        <v>61</v>
      </c>
      <c r="D1" s="7" t="s">
        <v>91</v>
      </c>
      <c r="E1" s="1" t="s">
        <v>21</v>
      </c>
      <c r="F1" s="1" t="s">
        <v>20</v>
      </c>
      <c r="G1" s="1" t="s">
        <v>23</v>
      </c>
      <c r="H1" s="1" t="s">
        <v>25</v>
      </c>
      <c r="I1" s="1" t="s">
        <v>94</v>
      </c>
      <c r="J1" s="23" t="s">
        <v>79</v>
      </c>
      <c r="K1" s="21" t="s">
        <v>77</v>
      </c>
      <c r="L1" s="27" t="s">
        <v>104</v>
      </c>
      <c r="M1" s="19" t="s">
        <v>92</v>
      </c>
      <c r="N1" s="1" t="s">
        <v>90</v>
      </c>
      <c r="O1" s="1" t="s">
        <v>88</v>
      </c>
      <c r="P1" s="21" t="s">
        <v>89</v>
      </c>
      <c r="Q1" s="18" t="s">
        <v>103</v>
      </c>
    </row>
    <row r="2" spans="1:17" ht="16">
      <c r="A2" t="s">
        <v>16</v>
      </c>
      <c r="B2" s="18" t="s">
        <v>18</v>
      </c>
      <c r="C2" s="18"/>
      <c r="D2" s="18" t="s">
        <v>78</v>
      </c>
      <c r="E2" s="18" t="s">
        <v>17</v>
      </c>
      <c r="F2" s="18" t="s">
        <v>19</v>
      </c>
      <c r="G2" s="18" t="s">
        <v>22</v>
      </c>
      <c r="H2" s="18" t="s">
        <v>24</v>
      </c>
      <c r="I2" s="18"/>
      <c r="L2" s="22">
        <f t="shared" ref="L2:L33" si="0">MIN(J2,K2)</f>
        <v>0</v>
      </c>
      <c r="M2" s="19"/>
      <c r="N2" s="18"/>
      <c r="O2" s="18"/>
      <c r="Q2" s="13">
        <f t="shared" ref="Q2:Q33" si="1">MIN(P2,O2)</f>
        <v>0</v>
      </c>
    </row>
    <row r="3" spans="1:17">
      <c r="A3" t="s">
        <v>26</v>
      </c>
      <c r="B3" s="4">
        <v>52.316789999999997</v>
      </c>
      <c r="C3" s="4">
        <v>68.534989999999993</v>
      </c>
      <c r="D3" s="2">
        <v>1.2545032030514984</v>
      </c>
      <c r="E3" s="4">
        <f t="shared" ref="E3:E34" si="2">B3/D3</f>
        <v>41.703193640911216</v>
      </c>
      <c r="F3" s="4">
        <f t="shared" ref="F3:F34" si="3">E3*0.5</f>
        <v>20.851596820455608</v>
      </c>
      <c r="G3" s="4">
        <f t="shared" ref="G3:G34" si="4">PI()*F3^2</f>
        <v>1365.9302108882323</v>
      </c>
      <c r="H3" s="4">
        <v>540.54300000000001</v>
      </c>
      <c r="I3" s="16">
        <v>5083.0589090000003</v>
      </c>
      <c r="J3" s="13">
        <v>3850000</v>
      </c>
      <c r="K3" s="22">
        <f t="shared" ref="K3:K34" si="5">G3*H3</f>
        <v>738344.0139841577</v>
      </c>
      <c r="L3" s="22">
        <f t="shared" si="0"/>
        <v>738344.0139841577</v>
      </c>
      <c r="M3" s="19" t="s">
        <v>92</v>
      </c>
      <c r="N3" s="4">
        <f t="shared" ref="N3:N34" si="6">O3/I3</f>
        <v>418.87926898310906</v>
      </c>
      <c r="O3" s="13">
        <v>2129188</v>
      </c>
      <c r="P3" s="22">
        <f t="shared" ref="P3:P34" si="7">G3*N3</f>
        <v>572159.84821880679</v>
      </c>
      <c r="Q3" s="13">
        <f t="shared" si="1"/>
        <v>572159.84821880679</v>
      </c>
    </row>
    <row r="4" spans="1:17">
      <c r="A4" t="s">
        <v>27</v>
      </c>
      <c r="B4" s="4">
        <v>53.198880000000003</v>
      </c>
      <c r="C4" s="4">
        <v>67.562579999999997</v>
      </c>
      <c r="D4" s="2">
        <v>1.3588386571923918</v>
      </c>
      <c r="E4" s="4">
        <f t="shared" si="2"/>
        <v>39.150255049351173</v>
      </c>
      <c r="F4" s="4">
        <f t="shared" si="3"/>
        <v>19.575127524675587</v>
      </c>
      <c r="G4" s="4">
        <f t="shared" si="4"/>
        <v>1203.8131212363983</v>
      </c>
      <c r="H4" s="4">
        <v>741.31619999999998</v>
      </c>
      <c r="I4" s="16">
        <v>823.94448499999999</v>
      </c>
      <c r="J4" s="13">
        <v>960000</v>
      </c>
      <c r="K4" s="22">
        <f t="shared" si="5"/>
        <v>892406.16854510608</v>
      </c>
      <c r="L4" s="22">
        <f t="shared" si="0"/>
        <v>892406.16854510608</v>
      </c>
      <c r="M4" s="19" t="s">
        <v>92</v>
      </c>
      <c r="N4" s="4">
        <f t="shared" si="6"/>
        <v>704.5195526735032</v>
      </c>
      <c r="O4" s="13">
        <v>580485</v>
      </c>
      <c r="P4" s="22">
        <f t="shared" si="7"/>
        <v>848109.88167596096</v>
      </c>
      <c r="Q4" s="13">
        <f t="shared" si="1"/>
        <v>580485</v>
      </c>
    </row>
    <row r="5" spans="1:17">
      <c r="A5" t="s">
        <v>28</v>
      </c>
      <c r="B5" s="4">
        <v>57.562600000000003</v>
      </c>
      <c r="C5" s="4">
        <v>71.377619999999993</v>
      </c>
      <c r="D5" s="2">
        <v>1.2525850225273614</v>
      </c>
      <c r="E5" s="4">
        <f t="shared" si="2"/>
        <v>45.955044140520698</v>
      </c>
      <c r="F5" s="4">
        <f t="shared" si="3"/>
        <v>22.977522070260349</v>
      </c>
      <c r="G5" s="4">
        <f t="shared" si="4"/>
        <v>1658.6557421105542</v>
      </c>
      <c r="H5" s="4">
        <v>1130.18</v>
      </c>
      <c r="I5" s="16">
        <v>1768.260718</v>
      </c>
      <c r="J5" s="13">
        <v>2210000</v>
      </c>
      <c r="K5" s="22">
        <f t="shared" si="5"/>
        <v>1874579.5466185063</v>
      </c>
      <c r="L5" s="22">
        <f t="shared" si="0"/>
        <v>1874579.5466185063</v>
      </c>
      <c r="M5" s="19" t="s">
        <v>92</v>
      </c>
      <c r="N5" s="4">
        <f t="shared" si="6"/>
        <v>601.54251529326802</v>
      </c>
      <c r="O5" s="13">
        <v>1063684</v>
      </c>
      <c r="P5" s="22">
        <f t="shared" si="7"/>
        <v>997751.94711480488</v>
      </c>
      <c r="Q5" s="13">
        <f t="shared" si="1"/>
        <v>997751.94711480488</v>
      </c>
    </row>
    <row r="6" spans="1:17">
      <c r="A6" t="s">
        <v>29</v>
      </c>
      <c r="B6" s="4">
        <v>60.288020000000003</v>
      </c>
      <c r="C6" s="4">
        <v>74.154269999999997</v>
      </c>
      <c r="D6" s="2">
        <v>1.2192840999182406</v>
      </c>
      <c r="E6" s="4">
        <f t="shared" si="2"/>
        <v>49.445424576636924</v>
      </c>
      <c r="F6" s="4">
        <f t="shared" si="3"/>
        <v>24.722712288318462</v>
      </c>
      <c r="G6" s="4">
        <f t="shared" si="4"/>
        <v>1920.1807088645101</v>
      </c>
      <c r="H6" s="4">
        <v>780.12429999999995</v>
      </c>
      <c r="I6" s="16">
        <v>4496.6740900000004</v>
      </c>
      <c r="J6" s="13">
        <v>3940000</v>
      </c>
      <c r="K6" s="22">
        <f t="shared" si="5"/>
        <v>1497979.6313764297</v>
      </c>
      <c r="L6" s="22">
        <f t="shared" si="0"/>
        <v>1497979.6313764297</v>
      </c>
      <c r="M6" s="19" t="s">
        <v>92</v>
      </c>
      <c r="N6" s="4">
        <f t="shared" si="6"/>
        <v>683.91236243674484</v>
      </c>
      <c r="O6" s="13">
        <v>3075331</v>
      </c>
      <c r="P6" s="22">
        <f t="shared" si="7"/>
        <v>1313235.3249049904</v>
      </c>
      <c r="Q6" s="13">
        <f t="shared" si="1"/>
        <v>1313235.3249049904</v>
      </c>
    </row>
    <row r="7" spans="1:17">
      <c r="A7" t="s">
        <v>30</v>
      </c>
      <c r="B7" s="4">
        <v>60.075479999999999</v>
      </c>
      <c r="C7" s="4">
        <v>64.280760000000001</v>
      </c>
      <c r="D7" s="2">
        <v>1.2197720965912831</v>
      </c>
      <c r="E7" s="4">
        <f t="shared" si="2"/>
        <v>49.251397181394843</v>
      </c>
      <c r="F7" s="4">
        <f t="shared" si="3"/>
        <v>24.625698590697422</v>
      </c>
      <c r="G7" s="4">
        <f t="shared" si="4"/>
        <v>1905.1404225935032</v>
      </c>
      <c r="H7" s="4">
        <v>742.24810000000002</v>
      </c>
      <c r="I7" s="16">
        <v>949.73302000000001</v>
      </c>
      <c r="J7" s="13">
        <v>1115000</v>
      </c>
      <c r="K7" s="22">
        <f t="shared" si="5"/>
        <v>1414086.8589032248</v>
      </c>
      <c r="L7" s="22">
        <f t="shared" si="0"/>
        <v>1115000</v>
      </c>
      <c r="M7" s="19" t="s">
        <v>92</v>
      </c>
      <c r="N7" s="4">
        <f t="shared" si="6"/>
        <v>500.80074082293146</v>
      </c>
      <c r="O7" s="13">
        <v>475627</v>
      </c>
      <c r="P7" s="22">
        <f t="shared" si="7"/>
        <v>954095.73500653915</v>
      </c>
      <c r="Q7" s="13">
        <f t="shared" si="1"/>
        <v>475627</v>
      </c>
    </row>
    <row r="8" spans="1:17">
      <c r="A8" t="s">
        <v>31</v>
      </c>
      <c r="B8" s="4">
        <v>54.739370000000001</v>
      </c>
      <c r="C8" s="4">
        <v>66.782039999999995</v>
      </c>
      <c r="D8" s="2">
        <v>1.2324990260921265</v>
      </c>
      <c r="E8" s="4">
        <f t="shared" si="2"/>
        <v>44.413317042173759</v>
      </c>
      <c r="F8" s="4">
        <f t="shared" si="3"/>
        <v>22.206658521086879</v>
      </c>
      <c r="G8" s="4">
        <f t="shared" si="4"/>
        <v>1549.2314379058469</v>
      </c>
      <c r="H8" s="4">
        <v>612.80430000000001</v>
      </c>
      <c r="I8" s="16">
        <v>1126.4161240000001</v>
      </c>
      <c r="J8" s="13">
        <v>865000</v>
      </c>
      <c r="K8" s="22">
        <f t="shared" si="5"/>
        <v>949375.68684388592</v>
      </c>
      <c r="L8" s="22">
        <f t="shared" si="0"/>
        <v>865000</v>
      </c>
      <c r="M8" s="19" t="s">
        <v>92</v>
      </c>
      <c r="N8" s="4">
        <f t="shared" si="6"/>
        <v>720.43269153345318</v>
      </c>
      <c r="O8" s="13">
        <v>811507</v>
      </c>
      <c r="P8" s="22">
        <f t="shared" si="7"/>
        <v>1116116.9746187511</v>
      </c>
      <c r="Q8" s="13">
        <f t="shared" si="1"/>
        <v>811507</v>
      </c>
    </row>
    <row r="9" spans="1:17">
      <c r="A9" t="s">
        <v>32</v>
      </c>
      <c r="B9" s="4">
        <v>47.502769999999998</v>
      </c>
      <c r="C9" s="4">
        <v>64.128739999999993</v>
      </c>
      <c r="D9" s="2">
        <v>1.2285083022797185</v>
      </c>
      <c r="E9" s="4">
        <f t="shared" si="2"/>
        <v>38.667032133075573</v>
      </c>
      <c r="F9" s="4">
        <f t="shared" si="3"/>
        <v>19.333516066537786</v>
      </c>
      <c r="G9" s="4">
        <f t="shared" si="4"/>
        <v>1174.2797183473374</v>
      </c>
      <c r="H9" s="4">
        <v>1111.92</v>
      </c>
      <c r="I9" s="16">
        <v>5498.0569649999998</v>
      </c>
      <c r="J9" s="13">
        <v>8150000</v>
      </c>
      <c r="K9" s="22">
        <f t="shared" si="5"/>
        <v>1305705.1044247714</v>
      </c>
      <c r="L9" s="22">
        <f t="shared" si="0"/>
        <v>1305705.1044247714</v>
      </c>
      <c r="M9" s="19" t="s">
        <v>92</v>
      </c>
      <c r="N9" s="4">
        <f t="shared" si="6"/>
        <v>762.04903417183857</v>
      </c>
      <c r="O9" s="13">
        <f>3915405+225650+48734</f>
        <v>4189789</v>
      </c>
      <c r="P9" s="22">
        <f t="shared" si="7"/>
        <v>894858.72521416703</v>
      </c>
      <c r="Q9" s="13">
        <f t="shared" si="1"/>
        <v>894858.72521416703</v>
      </c>
    </row>
    <row r="10" spans="1:17">
      <c r="A10" t="s">
        <v>33</v>
      </c>
      <c r="B10" s="4">
        <v>59.701340000000002</v>
      </c>
      <c r="C10" s="4">
        <v>70.447580000000002</v>
      </c>
      <c r="D10" s="2">
        <v>1.3292592058969801</v>
      </c>
      <c r="E10" s="4">
        <f t="shared" si="2"/>
        <v>44.913241702707424</v>
      </c>
      <c r="F10" s="4">
        <f t="shared" si="3"/>
        <v>22.456620851353712</v>
      </c>
      <c r="G10" s="4">
        <f t="shared" si="4"/>
        <v>1584.3046099117196</v>
      </c>
      <c r="H10" s="4">
        <v>725.11869999999999</v>
      </c>
      <c r="I10" s="16">
        <v>1739.864863</v>
      </c>
      <c r="J10" s="13">
        <v>1540000</v>
      </c>
      <c r="K10" s="22">
        <f t="shared" si="5"/>
        <v>1148808.8991431931</v>
      </c>
      <c r="L10" s="22">
        <f t="shared" si="0"/>
        <v>1148808.8991431931</v>
      </c>
      <c r="M10" s="19" t="s">
        <v>92</v>
      </c>
      <c r="N10" s="4">
        <f t="shared" si="6"/>
        <v>537.37104523617245</v>
      </c>
      <c r="O10" s="13">
        <f>820201+114752</f>
        <v>934953</v>
      </c>
      <c r="P10" s="22">
        <f t="shared" si="7"/>
        <v>851359.42420074716</v>
      </c>
      <c r="Q10" s="13">
        <f t="shared" si="1"/>
        <v>851359.42420074716</v>
      </c>
    </row>
    <row r="11" spans="1:17">
      <c r="A11" t="s">
        <v>34</v>
      </c>
      <c r="B11" s="4">
        <v>62.775539999999999</v>
      </c>
      <c r="C11" s="4">
        <v>69.053089999999997</v>
      </c>
      <c r="D11" s="2">
        <v>1.1958825048225283</v>
      </c>
      <c r="E11" s="4">
        <f t="shared" si="2"/>
        <v>52.493066623895487</v>
      </c>
      <c r="F11" s="4">
        <f t="shared" si="3"/>
        <v>26.246533311947744</v>
      </c>
      <c r="G11" s="4">
        <f t="shared" si="4"/>
        <v>2164.1819522294891</v>
      </c>
      <c r="H11" s="4">
        <v>820.46699999999998</v>
      </c>
      <c r="I11" s="16">
        <v>1675.7263399999999</v>
      </c>
      <c r="J11" s="13">
        <v>1785000</v>
      </c>
      <c r="K11" s="22">
        <f t="shared" si="5"/>
        <v>1775639.8737998721</v>
      </c>
      <c r="L11" s="22">
        <f t="shared" si="0"/>
        <v>1775639.8737998721</v>
      </c>
      <c r="M11" s="19" t="s">
        <v>92</v>
      </c>
      <c r="N11" s="4">
        <f t="shared" si="6"/>
        <v>643.10978127848728</v>
      </c>
      <c r="O11" s="13">
        <v>1077676</v>
      </c>
      <c r="P11" s="22">
        <f t="shared" si="7"/>
        <v>1391806.5819451562</v>
      </c>
      <c r="Q11" s="13">
        <f t="shared" si="1"/>
        <v>1077676</v>
      </c>
    </row>
    <row r="12" spans="1:17">
      <c r="A12" t="s">
        <v>35</v>
      </c>
      <c r="B12" s="4">
        <v>60.796750000000003</v>
      </c>
      <c r="C12" s="4">
        <v>71.132189999999994</v>
      </c>
      <c r="D12" s="2">
        <v>1.2517998202968643</v>
      </c>
      <c r="E12" s="4">
        <f t="shared" si="2"/>
        <v>48.567469825632386</v>
      </c>
      <c r="F12" s="4">
        <f t="shared" si="3"/>
        <v>24.283734912816193</v>
      </c>
      <c r="G12" s="4">
        <f t="shared" si="4"/>
        <v>1852.5965008056273</v>
      </c>
      <c r="H12" s="4">
        <v>793.07470000000001</v>
      </c>
      <c r="I12" s="16">
        <v>1030.0578399999999</v>
      </c>
      <c r="J12" s="13">
        <v>1140000</v>
      </c>
      <c r="K12" s="22">
        <f t="shared" si="5"/>
        <v>1469247.4140974726</v>
      </c>
      <c r="L12" s="22">
        <f t="shared" si="0"/>
        <v>1140000</v>
      </c>
      <c r="M12" s="19" t="s">
        <v>92</v>
      </c>
      <c r="N12" s="4">
        <f t="shared" si="6"/>
        <v>750.9364716839591</v>
      </c>
      <c r="O12" s="13">
        <v>773508</v>
      </c>
      <c r="P12" s="22">
        <f t="shared" si="7"/>
        <v>1391182.2797690267</v>
      </c>
      <c r="Q12" s="13">
        <f t="shared" si="1"/>
        <v>773508</v>
      </c>
    </row>
    <row r="13" spans="1:17">
      <c r="A13" t="s">
        <v>62</v>
      </c>
      <c r="B13" s="4">
        <v>56.964039999999997</v>
      </c>
      <c r="C13" s="4">
        <v>70.065770000000001</v>
      </c>
      <c r="D13" s="2">
        <v>1.2688044572054789</v>
      </c>
      <c r="E13" s="4">
        <f t="shared" si="2"/>
        <v>44.895838500963627</v>
      </c>
      <c r="F13" s="4">
        <f t="shared" si="3"/>
        <v>22.447919250481814</v>
      </c>
      <c r="G13" s="4">
        <f t="shared" si="4"/>
        <v>1583.0770596462</v>
      </c>
      <c r="H13" s="4">
        <v>831.13570000000004</v>
      </c>
      <c r="I13" s="16">
        <v>3644.2179059999999</v>
      </c>
      <c r="J13" s="13">
        <v>4090000</v>
      </c>
      <c r="K13" s="22">
        <f t="shared" si="5"/>
        <v>1315751.8601229864</v>
      </c>
      <c r="L13" s="22">
        <f t="shared" si="0"/>
        <v>1315751.8601229864</v>
      </c>
      <c r="M13" s="19" t="s">
        <v>92</v>
      </c>
      <c r="N13" s="4">
        <f t="shared" si="6"/>
        <v>713.75616582023349</v>
      </c>
      <c r="O13" s="13">
        <f>1915132+685951</f>
        <v>2601083</v>
      </c>
      <c r="P13" s="22">
        <f t="shared" si="7"/>
        <v>1129931.0122910407</v>
      </c>
      <c r="Q13" s="13">
        <f t="shared" si="1"/>
        <v>1129931.0122910407</v>
      </c>
    </row>
    <row r="14" spans="1:17">
      <c r="A14" t="s">
        <v>36</v>
      </c>
      <c r="B14" s="4">
        <v>50.872790000000002</v>
      </c>
      <c r="C14" s="4">
        <v>67.152079999999998</v>
      </c>
      <c r="D14" s="2">
        <v>1.3463143949767653</v>
      </c>
      <c r="E14" s="4">
        <f t="shared" si="2"/>
        <v>37.786708802796369</v>
      </c>
      <c r="F14" s="4">
        <f t="shared" si="3"/>
        <v>18.893354401398184</v>
      </c>
      <c r="G14" s="4">
        <f t="shared" si="4"/>
        <v>1121.4192710644425</v>
      </c>
      <c r="H14" s="4">
        <v>919.83150000000001</v>
      </c>
      <c r="I14" s="16">
        <v>1291.9059970000001</v>
      </c>
      <c r="J14" s="13">
        <v>2025000</v>
      </c>
      <c r="K14" s="22">
        <f t="shared" si="5"/>
        <v>1031516.7702321127</v>
      </c>
      <c r="L14" s="22">
        <f t="shared" si="0"/>
        <v>1031516.7702321127</v>
      </c>
      <c r="M14" s="19" t="s">
        <v>92</v>
      </c>
      <c r="N14" s="4">
        <f t="shared" si="6"/>
        <v>836.3681277965303</v>
      </c>
      <c r="O14" s="13">
        <v>1080509</v>
      </c>
      <c r="P14" s="22">
        <f t="shared" si="7"/>
        <v>937919.33621511748</v>
      </c>
      <c r="Q14" s="13">
        <f t="shared" si="1"/>
        <v>937919.33621511748</v>
      </c>
    </row>
    <row r="15" spans="1:17">
      <c r="A15" t="s">
        <v>37</v>
      </c>
      <c r="B15" s="4">
        <v>50.514110000000002</v>
      </c>
      <c r="C15" s="4">
        <v>65.163210000000007</v>
      </c>
      <c r="D15" s="2">
        <v>1.2231188399031905</v>
      </c>
      <c r="E15" s="4">
        <f t="shared" si="2"/>
        <v>41.299429255785299</v>
      </c>
      <c r="F15" s="4">
        <f t="shared" si="3"/>
        <v>20.649714627892649</v>
      </c>
      <c r="G15" s="4">
        <f t="shared" si="4"/>
        <v>1339.6087671848056</v>
      </c>
      <c r="H15" s="4">
        <v>1127.53</v>
      </c>
      <c r="I15" s="16">
        <v>3267.1408769999998</v>
      </c>
      <c r="J15" s="13">
        <v>4030000</v>
      </c>
      <c r="K15" s="22">
        <f t="shared" si="5"/>
        <v>1510449.0732638838</v>
      </c>
      <c r="L15" s="22">
        <f t="shared" si="0"/>
        <v>1510449.0732638838</v>
      </c>
      <c r="M15" s="19" t="s">
        <v>92</v>
      </c>
      <c r="N15" s="4">
        <f t="shared" si="6"/>
        <v>597.85239557639068</v>
      </c>
      <c r="O15" s="13">
        <v>1953268</v>
      </c>
      <c r="P15" s="22">
        <f t="shared" si="7"/>
        <v>800888.31059657142</v>
      </c>
      <c r="Q15" s="13">
        <f t="shared" si="1"/>
        <v>800888.31059657142</v>
      </c>
    </row>
    <row r="16" spans="1:17">
      <c r="A16" t="s">
        <v>80</v>
      </c>
      <c r="B16" s="6">
        <v>56.839145642340362</v>
      </c>
      <c r="C16" s="6">
        <v>63.091451662997805</v>
      </c>
      <c r="D16" s="2">
        <v>1.2876333382733918</v>
      </c>
      <c r="E16" s="4">
        <f t="shared" si="2"/>
        <v>44.142337692620544</v>
      </c>
      <c r="F16" s="4">
        <f t="shared" si="3"/>
        <v>22.071168846310272</v>
      </c>
      <c r="G16" s="4">
        <f t="shared" si="4"/>
        <v>1530.3844316072127</v>
      </c>
      <c r="H16" s="4">
        <v>1048.9459499999998</v>
      </c>
      <c r="I16" s="16">
        <v>666.54415200000005</v>
      </c>
      <c r="J16" s="13">
        <v>555000</v>
      </c>
      <c r="K16" s="22">
        <f t="shared" si="5"/>
        <v>1605290.5514774374</v>
      </c>
      <c r="L16" s="22">
        <f t="shared" si="0"/>
        <v>555000</v>
      </c>
      <c r="M16" s="19" t="s">
        <v>92</v>
      </c>
      <c r="N16" s="4">
        <f t="shared" si="6"/>
        <v>796.59389165265668</v>
      </c>
      <c r="O16" s="13">
        <v>530965</v>
      </c>
      <c r="P16" s="22">
        <f t="shared" si="7"/>
        <v>1219094.8900986286</v>
      </c>
      <c r="Q16" s="13">
        <f t="shared" si="1"/>
        <v>530965</v>
      </c>
    </row>
    <row r="17" spans="1:17">
      <c r="A17" t="s">
        <v>58</v>
      </c>
      <c r="B17" s="4">
        <v>54.516030000000001</v>
      </c>
      <c r="C17" s="4">
        <v>64.328909999999993</v>
      </c>
      <c r="D17" s="2">
        <v>1.314972166684313</v>
      </c>
      <c r="E17" s="4">
        <f t="shared" si="2"/>
        <v>41.457934533672706</v>
      </c>
      <c r="F17" s="4">
        <f t="shared" si="3"/>
        <v>20.728967266836353</v>
      </c>
      <c r="G17" s="4">
        <f t="shared" si="4"/>
        <v>1349.9112110563599</v>
      </c>
      <c r="H17" s="4">
        <v>595.8125</v>
      </c>
      <c r="I17" s="5">
        <v>1364.4098799999999</v>
      </c>
      <c r="J17" s="13">
        <v>1520000</v>
      </c>
      <c r="K17" s="22">
        <f t="shared" si="5"/>
        <v>804293.97343751742</v>
      </c>
      <c r="L17" s="22">
        <f t="shared" si="0"/>
        <v>804293.97343751742</v>
      </c>
      <c r="M17" s="19" t="s">
        <v>92</v>
      </c>
      <c r="N17" s="4">
        <f t="shared" si="6"/>
        <v>420.42644839247282</v>
      </c>
      <c r="O17" s="13">
        <v>573634</v>
      </c>
      <c r="P17" s="22">
        <f t="shared" si="7"/>
        <v>567538.37610960717</v>
      </c>
      <c r="Q17" s="13">
        <f t="shared" si="1"/>
        <v>567538.37610960717</v>
      </c>
    </row>
    <row r="18" spans="1:17">
      <c r="A18" t="s">
        <v>38</v>
      </c>
      <c r="B18" s="4">
        <v>68.568569999999994</v>
      </c>
      <c r="C18" s="4">
        <v>75.425430000000006</v>
      </c>
      <c r="D18" s="2">
        <v>1.3186049657057692</v>
      </c>
      <c r="E18" s="4">
        <f t="shared" si="2"/>
        <v>52.000843151155131</v>
      </c>
      <c r="F18" s="4">
        <f t="shared" si="3"/>
        <v>26.000421575577565</v>
      </c>
      <c r="G18" s="4">
        <f t="shared" si="4"/>
        <v>2123.785504159388</v>
      </c>
      <c r="H18" s="4">
        <v>616.34659999999997</v>
      </c>
      <c r="I18" s="5">
        <v>1215.591516</v>
      </c>
      <c r="J18" s="13">
        <v>870000</v>
      </c>
      <c r="K18" s="22">
        <f t="shared" si="5"/>
        <v>1308987.9746179245</v>
      </c>
      <c r="L18" s="22">
        <f t="shared" si="0"/>
        <v>870000</v>
      </c>
      <c r="M18" s="19" t="s">
        <v>92</v>
      </c>
      <c r="N18" s="4">
        <f t="shared" si="6"/>
        <v>467.19723897776862</v>
      </c>
      <c r="O18" s="13">
        <v>567921</v>
      </c>
      <c r="P18" s="22">
        <f t="shared" si="7"/>
        <v>992226.72372427443</v>
      </c>
      <c r="Q18" s="13">
        <f t="shared" si="1"/>
        <v>567921</v>
      </c>
    </row>
    <row r="19" spans="1:17">
      <c r="A19" t="s">
        <v>81</v>
      </c>
      <c r="B19" s="4">
        <v>58.403202946946948</v>
      </c>
      <c r="C19" s="4">
        <v>68.915779477397393</v>
      </c>
      <c r="D19" s="2">
        <v>1.5656730917026238</v>
      </c>
      <c r="E19" s="4">
        <f t="shared" si="2"/>
        <v>37.30229717586522</v>
      </c>
      <c r="F19" s="4">
        <f t="shared" si="3"/>
        <v>18.65114858793261</v>
      </c>
      <c r="G19" s="4">
        <f t="shared" si="4"/>
        <v>1092.8512080466289</v>
      </c>
      <c r="H19" s="4">
        <v>1930.5093842061167</v>
      </c>
      <c r="I19" s="5">
        <v>399.17985599999997</v>
      </c>
      <c r="J19" s="13">
        <v>700000</v>
      </c>
      <c r="K19" s="22">
        <f t="shared" si="5"/>
        <v>2109759.5126750083</v>
      </c>
      <c r="L19" s="22">
        <f t="shared" si="0"/>
        <v>700000</v>
      </c>
      <c r="M19" s="19" t="s">
        <v>92</v>
      </c>
      <c r="N19" s="4">
        <f t="shared" si="6"/>
        <v>802.79852598574018</v>
      </c>
      <c r="O19" s="13">
        <v>320461</v>
      </c>
      <c r="P19" s="22">
        <f t="shared" si="7"/>
        <v>877339.33894156921</v>
      </c>
      <c r="Q19" s="13">
        <f t="shared" si="1"/>
        <v>320461</v>
      </c>
    </row>
    <row r="20" spans="1:17">
      <c r="A20" t="s">
        <v>39</v>
      </c>
      <c r="B20" s="4">
        <v>53.767299999999999</v>
      </c>
      <c r="C20" s="4">
        <v>68.822140000000005</v>
      </c>
      <c r="D20" s="2">
        <v>1.3120577300131484</v>
      </c>
      <c r="E20" s="4">
        <f t="shared" si="2"/>
        <v>40.979370625301058</v>
      </c>
      <c r="F20" s="4">
        <f t="shared" si="3"/>
        <v>20.489685312650529</v>
      </c>
      <c r="G20" s="4">
        <f t="shared" si="4"/>
        <v>1318.9260605278232</v>
      </c>
      <c r="H20" s="4">
        <v>778.63930000000005</v>
      </c>
      <c r="I20" s="5">
        <v>3354.7213320000001</v>
      </c>
      <c r="J20" s="13">
        <v>3630000</v>
      </c>
      <c r="K20" s="22">
        <f t="shared" si="5"/>
        <v>1026967.6645211419</v>
      </c>
      <c r="L20" s="22">
        <f t="shared" si="0"/>
        <v>1026967.6645211419</v>
      </c>
      <c r="M20" s="19" t="s">
        <v>92</v>
      </c>
      <c r="N20" s="4">
        <f t="shared" si="6"/>
        <v>557.65585718104592</v>
      </c>
      <c r="O20" s="13">
        <v>1870780</v>
      </c>
      <c r="P20" s="22">
        <f t="shared" si="7"/>
        <v>735506.84284206328</v>
      </c>
      <c r="Q20" s="13">
        <f t="shared" si="1"/>
        <v>735506.84284206328</v>
      </c>
    </row>
    <row r="21" spans="1:17">
      <c r="A21" t="s">
        <v>40</v>
      </c>
      <c r="B21" s="4">
        <v>53.336190000000002</v>
      </c>
      <c r="C21" s="4">
        <v>65.070160000000001</v>
      </c>
      <c r="D21" s="2">
        <v>1.2553195423470496</v>
      </c>
      <c r="E21" s="4">
        <f t="shared" si="2"/>
        <v>42.488138040357626</v>
      </c>
      <c r="F21" s="4">
        <f t="shared" si="3"/>
        <v>21.244069020178813</v>
      </c>
      <c r="G21" s="4">
        <f t="shared" si="4"/>
        <v>1417.8336524349627</v>
      </c>
      <c r="H21" s="4">
        <v>795.37049999999999</v>
      </c>
      <c r="I21" s="5">
        <v>1432.0576000000001</v>
      </c>
      <c r="J21" s="13">
        <v>1030000</v>
      </c>
      <c r="K21" s="22">
        <f t="shared" si="5"/>
        <v>1127703.0610540225</v>
      </c>
      <c r="L21" s="22">
        <f t="shared" si="0"/>
        <v>1030000</v>
      </c>
      <c r="M21" s="19" t="s">
        <v>92</v>
      </c>
      <c r="N21" s="4">
        <f t="shared" si="6"/>
        <v>568.03930232973869</v>
      </c>
      <c r="O21" s="13">
        <v>813465</v>
      </c>
      <c r="P21" s="22">
        <f t="shared" si="7"/>
        <v>805385.23874878138</v>
      </c>
      <c r="Q21" s="13">
        <f t="shared" si="1"/>
        <v>805385.23874878138</v>
      </c>
    </row>
    <row r="22" spans="1:17" ht="16">
      <c r="A22" t="s">
        <v>73</v>
      </c>
      <c r="B22" s="4">
        <v>57.819749999999999</v>
      </c>
      <c r="C22" s="4">
        <v>71.696479999999994</v>
      </c>
      <c r="D22" s="2">
        <v>1.3322187706081068</v>
      </c>
      <c r="E22" s="4">
        <f t="shared" si="2"/>
        <v>43.401092429892351</v>
      </c>
      <c r="F22" s="4">
        <f t="shared" si="3"/>
        <v>21.700546214946176</v>
      </c>
      <c r="G22" s="4">
        <f t="shared" si="4"/>
        <v>1479.4190393292131</v>
      </c>
      <c r="H22" s="4">
        <v>1048.9110000000001</v>
      </c>
      <c r="I22" s="5">
        <v>1136.422783</v>
      </c>
      <c r="J22" s="13">
        <v>1630000</v>
      </c>
      <c r="K22" s="22">
        <f t="shared" si="5"/>
        <v>1551778.9039618443</v>
      </c>
      <c r="L22" s="22">
        <f t="shared" si="0"/>
        <v>1551778.9039618443</v>
      </c>
      <c r="M22" s="19" t="s">
        <v>92</v>
      </c>
      <c r="N22" s="4">
        <f t="shared" si="6"/>
        <v>772.15541005217597</v>
      </c>
      <c r="O22" s="13">
        <v>877495</v>
      </c>
      <c r="P22" s="22">
        <f t="shared" si="7"/>
        <v>1142341.4149522448</v>
      </c>
      <c r="Q22" s="13">
        <f t="shared" si="1"/>
        <v>877495</v>
      </c>
    </row>
    <row r="23" spans="1:17">
      <c r="A23" t="s">
        <v>41</v>
      </c>
      <c r="B23" s="4">
        <v>54.3979</v>
      </c>
      <c r="C23" s="4">
        <v>63.645539999999997</v>
      </c>
      <c r="D23" s="2">
        <v>1.367147891752108</v>
      </c>
      <c r="E23" s="4">
        <f t="shared" si="2"/>
        <v>39.789331006673166</v>
      </c>
      <c r="F23" s="4">
        <f t="shared" si="3"/>
        <v>19.894665503336583</v>
      </c>
      <c r="G23" s="4">
        <f t="shared" si="4"/>
        <v>1243.4351952899096</v>
      </c>
      <c r="H23" s="4">
        <v>464.36610000000002</v>
      </c>
      <c r="I23" s="16">
        <v>1063.231603</v>
      </c>
      <c r="J23" s="13">
        <v>890000</v>
      </c>
      <c r="K23" s="22">
        <f t="shared" si="5"/>
        <v>577409.1522395137</v>
      </c>
      <c r="L23" s="22">
        <f t="shared" si="0"/>
        <v>577409.1522395137</v>
      </c>
      <c r="M23" s="19" t="s">
        <v>92</v>
      </c>
      <c r="N23" s="4">
        <f t="shared" si="6"/>
        <v>467.6516373262844</v>
      </c>
      <c r="O23" s="13">
        <v>497222</v>
      </c>
      <c r="P23" s="22">
        <f t="shared" si="7"/>
        <v>581494.5049864545</v>
      </c>
      <c r="Q23" s="13">
        <f t="shared" si="1"/>
        <v>497222</v>
      </c>
    </row>
    <row r="24" spans="1:17">
      <c r="A24" t="s">
        <v>75</v>
      </c>
      <c r="B24" s="4">
        <v>63.341059999999999</v>
      </c>
      <c r="C24" s="4">
        <v>69.041749999999993</v>
      </c>
      <c r="D24" s="2">
        <v>1.3058059031530165</v>
      </c>
      <c r="E24" s="4">
        <f t="shared" si="2"/>
        <v>48.507255057628264</v>
      </c>
      <c r="F24" s="4">
        <f t="shared" si="3"/>
        <v>24.253627528814132</v>
      </c>
      <c r="G24" s="4">
        <f t="shared" si="4"/>
        <v>1848.0055877586046</v>
      </c>
      <c r="H24" s="4">
        <v>534.17049999999995</v>
      </c>
      <c r="I24" s="5">
        <v>1513.6270480000001</v>
      </c>
      <c r="J24" s="13">
        <v>1425000</v>
      </c>
      <c r="K24" s="22">
        <f t="shared" si="5"/>
        <v>987150.06881580758</v>
      </c>
      <c r="L24" s="22">
        <f t="shared" si="0"/>
        <v>987150.06881580758</v>
      </c>
      <c r="M24" s="19" t="s">
        <v>92</v>
      </c>
      <c r="N24" s="4">
        <f t="shared" si="6"/>
        <v>588.92446536143029</v>
      </c>
      <c r="O24" s="13">
        <v>891412</v>
      </c>
      <c r="P24" s="22">
        <f t="shared" si="7"/>
        <v>1088335.7027556719</v>
      </c>
      <c r="Q24" s="13">
        <f t="shared" si="1"/>
        <v>891412</v>
      </c>
    </row>
    <row r="25" spans="1:17">
      <c r="A25" t="s">
        <v>63</v>
      </c>
      <c r="B25" s="4">
        <v>50.764740000000003</v>
      </c>
      <c r="C25" s="4">
        <v>64.471209999999999</v>
      </c>
      <c r="D25" s="2">
        <v>1.3395992902648739</v>
      </c>
      <c r="E25" s="4">
        <f t="shared" si="2"/>
        <v>37.895466479354795</v>
      </c>
      <c r="F25" s="4">
        <f t="shared" si="3"/>
        <v>18.947733239677397</v>
      </c>
      <c r="G25" s="4">
        <f t="shared" si="4"/>
        <v>1127.8838971237014</v>
      </c>
      <c r="H25" s="4">
        <v>1701.4670000000001</v>
      </c>
      <c r="I25" s="5">
        <v>740.49811399999999</v>
      </c>
      <c r="J25" s="13">
        <v>1300000</v>
      </c>
      <c r="K25" s="22">
        <f t="shared" si="5"/>
        <v>1919057.2307873731</v>
      </c>
      <c r="L25" s="22">
        <f t="shared" si="0"/>
        <v>1300000</v>
      </c>
      <c r="M25" s="19" t="s">
        <v>92</v>
      </c>
      <c r="N25" s="4">
        <f t="shared" si="6"/>
        <v>934.33728853494426</v>
      </c>
      <c r="O25" s="13">
        <v>691875</v>
      </c>
      <c r="P25" s="22">
        <f t="shared" si="7"/>
        <v>1053823.9822207852</v>
      </c>
      <c r="Q25" s="13">
        <f t="shared" si="1"/>
        <v>691875</v>
      </c>
    </row>
    <row r="26" spans="1:17">
      <c r="A26" t="s">
        <v>64</v>
      </c>
      <c r="B26" s="4">
        <v>47.966560000000001</v>
      </c>
      <c r="C26" s="4">
        <v>70.990499999999997</v>
      </c>
      <c r="D26" s="2">
        <v>1.3322187706081068</v>
      </c>
      <c r="E26" s="4">
        <f t="shared" si="2"/>
        <v>36.00501738772612</v>
      </c>
      <c r="F26" s="4">
        <f t="shared" si="3"/>
        <v>18.00250869386306</v>
      </c>
      <c r="G26" s="4">
        <f t="shared" si="4"/>
        <v>1018.1597661264179</v>
      </c>
      <c r="H26" s="4">
        <v>2155.5929999999998</v>
      </c>
      <c r="I26" s="16">
        <v>4319.9303110000001</v>
      </c>
      <c r="J26" s="13">
        <v>12450000</v>
      </c>
      <c r="K26" s="22">
        <f t="shared" si="5"/>
        <v>2194738.0647437433</v>
      </c>
      <c r="L26" s="22">
        <f t="shared" si="0"/>
        <v>2194738.0647437433</v>
      </c>
      <c r="M26" s="19" t="s">
        <v>92</v>
      </c>
      <c r="N26" s="4">
        <f t="shared" si="6"/>
        <v>1226.6024260871461</v>
      </c>
      <c r="O26" s="13">
        <f>3889686+1409151</f>
        <v>5298837</v>
      </c>
      <c r="P26" s="22">
        <f t="shared" si="7"/>
        <v>1248877.2392749856</v>
      </c>
      <c r="Q26" s="13">
        <f t="shared" si="1"/>
        <v>1248877.2392749856</v>
      </c>
    </row>
    <row r="27" spans="1:17">
      <c r="A27" t="s">
        <v>42</v>
      </c>
      <c r="B27" s="4">
        <v>57.963749999999997</v>
      </c>
      <c r="C27" s="4">
        <v>68.976879999999994</v>
      </c>
      <c r="D27" s="2">
        <v>1.3589321966589822</v>
      </c>
      <c r="E27" s="4">
        <f t="shared" si="2"/>
        <v>42.65389409604645</v>
      </c>
      <c r="F27" s="4">
        <f t="shared" si="3"/>
        <v>21.326947048023225</v>
      </c>
      <c r="G27" s="4">
        <f t="shared" si="4"/>
        <v>1428.9178254632179</v>
      </c>
      <c r="H27" s="4">
        <v>763.32839999999999</v>
      </c>
      <c r="I27" s="5">
        <v>1013.455139</v>
      </c>
      <c r="J27" s="13">
        <v>860000</v>
      </c>
      <c r="K27" s="22">
        <f t="shared" si="5"/>
        <v>1090733.5574423175</v>
      </c>
      <c r="L27" s="22">
        <f t="shared" si="0"/>
        <v>860000</v>
      </c>
      <c r="M27" s="19" t="s">
        <v>92</v>
      </c>
      <c r="N27" s="4">
        <f t="shared" si="6"/>
        <v>509.17497987051996</v>
      </c>
      <c r="O27" s="13">
        <v>516026</v>
      </c>
      <c r="P27" s="22">
        <f t="shared" si="7"/>
        <v>727569.20501686109</v>
      </c>
      <c r="Q27" s="13">
        <f t="shared" si="1"/>
        <v>516026</v>
      </c>
    </row>
    <row r="28" spans="1:17">
      <c r="A28" t="s">
        <v>43</v>
      </c>
      <c r="B28" s="4">
        <v>57.321390000000001</v>
      </c>
      <c r="C28" s="4">
        <v>64.773169999999993</v>
      </c>
      <c r="D28" s="2">
        <v>1.3251323609388206</v>
      </c>
      <c r="E28" s="4">
        <f t="shared" si="2"/>
        <v>43.257105244482403</v>
      </c>
      <c r="F28" s="4">
        <f t="shared" si="3"/>
        <v>21.628552622241202</v>
      </c>
      <c r="G28" s="4">
        <f t="shared" si="4"/>
        <v>1469.6191002467151</v>
      </c>
      <c r="H28" s="4">
        <v>772.20429999999999</v>
      </c>
      <c r="I28" s="5">
        <v>1035.5225359999999</v>
      </c>
      <c r="J28" s="13">
        <v>980000</v>
      </c>
      <c r="K28" s="22">
        <f t="shared" si="5"/>
        <v>1134846.1885726445</v>
      </c>
      <c r="L28" s="22">
        <f t="shared" si="0"/>
        <v>980000</v>
      </c>
      <c r="M28" s="19" t="s">
        <v>92</v>
      </c>
      <c r="N28" s="4">
        <f t="shared" si="6"/>
        <v>519.02878142673273</v>
      </c>
      <c r="O28" s="13">
        <v>537466</v>
      </c>
      <c r="P28" s="22">
        <f t="shared" si="7"/>
        <v>762774.61076250393</v>
      </c>
      <c r="Q28" s="13">
        <f t="shared" si="1"/>
        <v>537466</v>
      </c>
    </row>
    <row r="29" spans="1:17">
      <c r="A29" t="s">
        <v>44</v>
      </c>
      <c r="B29" s="4">
        <v>57.256279999999997</v>
      </c>
      <c r="C29" s="4">
        <v>65.844710000000006</v>
      </c>
      <c r="D29" s="2">
        <v>1.214710869220379</v>
      </c>
      <c r="E29" s="4">
        <f t="shared" si="2"/>
        <v>47.135727069560183</v>
      </c>
      <c r="F29" s="4">
        <f t="shared" si="3"/>
        <v>23.567863534780091</v>
      </c>
      <c r="G29" s="4">
        <f t="shared" si="4"/>
        <v>1744.979391790886</v>
      </c>
      <c r="H29" s="4">
        <v>931.97069999999997</v>
      </c>
      <c r="I29" s="5">
        <v>1261.4411789999999</v>
      </c>
      <c r="J29" s="13">
        <v>1400000</v>
      </c>
      <c r="K29" s="22">
        <f t="shared" si="5"/>
        <v>1626269.6652529263</v>
      </c>
      <c r="L29" s="22">
        <f t="shared" si="0"/>
        <v>1400000</v>
      </c>
      <c r="M29" s="19" t="s">
        <v>92</v>
      </c>
      <c r="N29" s="4">
        <f t="shared" si="6"/>
        <v>619.65949186759508</v>
      </c>
      <c r="O29" s="13">
        <v>781664</v>
      </c>
      <c r="P29" s="22">
        <f t="shared" si="7"/>
        <v>1081293.0432365655</v>
      </c>
      <c r="Q29" s="13">
        <f t="shared" si="1"/>
        <v>781664</v>
      </c>
    </row>
    <row r="30" spans="1:17">
      <c r="A30" t="s">
        <v>45</v>
      </c>
      <c r="B30" s="4">
        <v>55.30265</v>
      </c>
      <c r="C30" s="4">
        <v>69.681340000000006</v>
      </c>
      <c r="D30" s="2">
        <v>1.2298334736957186</v>
      </c>
      <c r="E30" s="4">
        <f t="shared" si="2"/>
        <v>44.967592103191365</v>
      </c>
      <c r="F30" s="4">
        <f t="shared" si="3"/>
        <v>22.483796051595682</v>
      </c>
      <c r="G30" s="4">
        <f t="shared" si="4"/>
        <v>1588.1413265243796</v>
      </c>
      <c r="H30" s="4">
        <v>756.63570000000004</v>
      </c>
      <c r="I30" s="5">
        <v>2316.0155599999998</v>
      </c>
      <c r="J30" s="13">
        <v>2430000</v>
      </c>
      <c r="K30" s="22">
        <f t="shared" si="5"/>
        <v>1201644.4242937025</v>
      </c>
      <c r="L30" s="22">
        <f t="shared" si="0"/>
        <v>1201644.4242937025</v>
      </c>
      <c r="M30" s="19" t="s">
        <v>92</v>
      </c>
      <c r="N30" s="4">
        <f t="shared" si="6"/>
        <v>709.14808534360634</v>
      </c>
      <c r="O30" s="13">
        <v>1642398</v>
      </c>
      <c r="P30" s="22">
        <f t="shared" si="7"/>
        <v>1126227.3809598188</v>
      </c>
      <c r="Q30" s="13">
        <f t="shared" si="1"/>
        <v>1126227.3809598188</v>
      </c>
    </row>
    <row r="31" spans="1:17">
      <c r="A31" t="s">
        <v>46</v>
      </c>
      <c r="B31" s="4">
        <v>60.804580000000001</v>
      </c>
      <c r="C31" s="4">
        <v>70.533320000000003</v>
      </c>
      <c r="D31" s="2">
        <v>1.3726075001048517</v>
      </c>
      <c r="E31" s="4">
        <f t="shared" si="2"/>
        <v>44.298592274452254</v>
      </c>
      <c r="F31" s="4">
        <f t="shared" si="3"/>
        <v>22.149296137226127</v>
      </c>
      <c r="G31" s="4">
        <f t="shared" si="4"/>
        <v>1541.2380848619794</v>
      </c>
      <c r="H31" s="4">
        <v>455.81509999999997</v>
      </c>
      <c r="I31" s="5">
        <v>1115.688349</v>
      </c>
      <c r="J31" s="13">
        <v>850000</v>
      </c>
      <c r="K31" s="22">
        <f t="shared" si="5"/>
        <v>702519.59177517158</v>
      </c>
      <c r="L31" s="22">
        <f t="shared" si="0"/>
        <v>702519.59177517158</v>
      </c>
      <c r="M31" s="19" t="s">
        <v>92</v>
      </c>
      <c r="N31" s="4">
        <f t="shared" si="6"/>
        <v>568.95099834012876</v>
      </c>
      <c r="O31" s="13">
        <v>634772</v>
      </c>
      <c r="P31" s="22">
        <f t="shared" si="7"/>
        <v>876888.94706205127</v>
      </c>
      <c r="Q31" s="13">
        <f t="shared" si="1"/>
        <v>634772</v>
      </c>
    </row>
    <row r="32" spans="1:17">
      <c r="A32" t="s">
        <v>47</v>
      </c>
      <c r="B32" s="4">
        <v>56.712069999999997</v>
      </c>
      <c r="C32" s="4">
        <v>65.218879999999999</v>
      </c>
      <c r="D32" s="2">
        <v>1.3418186143651714</v>
      </c>
      <c r="E32" s="4">
        <f t="shared" si="2"/>
        <v>42.265079193905116</v>
      </c>
      <c r="F32" s="4">
        <f t="shared" si="3"/>
        <v>21.132539596952558</v>
      </c>
      <c r="G32" s="4">
        <f t="shared" si="4"/>
        <v>1402.9857356014136</v>
      </c>
      <c r="H32" s="4">
        <v>1342.165</v>
      </c>
      <c r="I32" s="5">
        <v>512.39265599999999</v>
      </c>
      <c r="J32" s="13">
        <v>1095000</v>
      </c>
      <c r="K32" s="22">
        <f t="shared" si="5"/>
        <v>1883038.3498234712</v>
      </c>
      <c r="L32" s="22">
        <f t="shared" si="0"/>
        <v>1095000</v>
      </c>
      <c r="M32" s="19" t="s">
        <v>92</v>
      </c>
      <c r="N32" s="4">
        <f t="shared" si="6"/>
        <v>1056.4398097071867</v>
      </c>
      <c r="O32" s="13">
        <v>541312</v>
      </c>
      <c r="P32" s="22">
        <f t="shared" si="7"/>
        <v>1482169.9835406546</v>
      </c>
      <c r="Q32" s="13">
        <f t="shared" si="1"/>
        <v>541312</v>
      </c>
    </row>
    <row r="33" spans="1:17">
      <c r="A33" t="s">
        <v>65</v>
      </c>
      <c r="B33" s="4">
        <v>51.868699999999997</v>
      </c>
      <c r="C33" s="4">
        <v>66.910629999999998</v>
      </c>
      <c r="D33" s="2">
        <v>1.2505759301052708</v>
      </c>
      <c r="E33" s="4">
        <f t="shared" si="2"/>
        <v>41.475850247360668</v>
      </c>
      <c r="F33" s="4">
        <f t="shared" si="3"/>
        <v>20.737925123680334</v>
      </c>
      <c r="G33" s="4">
        <f t="shared" si="4"/>
        <v>1351.0781697400892</v>
      </c>
      <c r="H33" s="4">
        <v>1475.768</v>
      </c>
      <c r="I33" s="5">
        <v>8683.2032749999998</v>
      </c>
      <c r="J33" s="13">
        <v>17200000</v>
      </c>
      <c r="K33" s="22">
        <f t="shared" si="5"/>
        <v>1993877.928400992</v>
      </c>
      <c r="L33" s="22">
        <f t="shared" si="0"/>
        <v>1993877.928400992</v>
      </c>
      <c r="M33" s="19" t="s">
        <v>92</v>
      </c>
      <c r="N33" s="4">
        <f t="shared" si="6"/>
        <v>908.02319723420271</v>
      </c>
      <c r="O33" s="13">
        <f>3845734+647143+223496+331771+1100827+943220+792359</f>
        <v>7884550</v>
      </c>
      <c r="P33" s="22">
        <f t="shared" si="7"/>
        <v>1226810.3194007305</v>
      </c>
      <c r="Q33" s="13">
        <f t="shared" si="1"/>
        <v>1226810.3194007305</v>
      </c>
    </row>
    <row r="34" spans="1:17">
      <c r="A34" t="s">
        <v>66</v>
      </c>
      <c r="B34" s="4">
        <v>59.517719999999997</v>
      </c>
      <c r="C34" s="4">
        <v>65.469489999999993</v>
      </c>
      <c r="D34" s="2">
        <v>1.2823721019197429</v>
      </c>
      <c r="E34" s="4">
        <f t="shared" si="2"/>
        <v>46.412207432538878</v>
      </c>
      <c r="F34" s="4">
        <f t="shared" si="3"/>
        <v>23.206103716269439</v>
      </c>
      <c r="G34" s="4">
        <f t="shared" si="4"/>
        <v>1691.8206850142046</v>
      </c>
      <c r="H34" s="4">
        <v>584.56590000000006</v>
      </c>
      <c r="I34" s="5">
        <v>834.88804500000003</v>
      </c>
      <c r="J34" s="13">
        <v>810000</v>
      </c>
      <c r="K34" s="22">
        <f t="shared" si="5"/>
        <v>988980.68137394509</v>
      </c>
      <c r="L34" s="22">
        <f t="shared" ref="L34:L53" si="8">MIN(J34,K34)</f>
        <v>810000</v>
      </c>
      <c r="M34" s="19" t="s">
        <v>92</v>
      </c>
      <c r="N34" s="4">
        <f t="shared" si="6"/>
        <v>528.7128048407975</v>
      </c>
      <c r="O34" s="13">
        <v>441416</v>
      </c>
      <c r="P34" s="22">
        <f t="shared" si="7"/>
        <v>894487.25966153957</v>
      </c>
      <c r="Q34" s="13">
        <f t="shared" ref="Q34:Q53" si="9">MIN(P34,O34)</f>
        <v>441416</v>
      </c>
    </row>
    <row r="35" spans="1:17">
      <c r="A35" t="s">
        <v>48</v>
      </c>
      <c r="B35" s="4">
        <v>45.740690000000001</v>
      </c>
      <c r="C35" s="4">
        <v>60.835120000000003</v>
      </c>
      <c r="D35" s="2">
        <v>1.3238129951233164</v>
      </c>
      <c r="E35" s="4">
        <f t="shared" ref="E35:E53" si="10">B35/D35</f>
        <v>34.552229180783307</v>
      </c>
      <c r="F35" s="4">
        <f t="shared" ref="F35:F53" si="11">E35*0.5</f>
        <v>17.276114590391654</v>
      </c>
      <c r="G35" s="4">
        <f t="shared" ref="G35:G53" si="12">PI()*F35^2</f>
        <v>937.65273494525252</v>
      </c>
      <c r="H35" s="4">
        <v>708.81449999999995</v>
      </c>
      <c r="I35" s="5">
        <v>1173.7604550000001</v>
      </c>
      <c r="J35" s="13">
        <v>1230000</v>
      </c>
      <c r="K35" s="22">
        <f t="shared" ref="K35:K53" si="13">G35*H35</f>
        <v>664621.85449385166</v>
      </c>
      <c r="L35" s="22">
        <f t="shared" si="8"/>
        <v>664621.85449385166</v>
      </c>
      <c r="M35" s="19" t="s">
        <v>92</v>
      </c>
      <c r="N35" s="4">
        <f t="shared" ref="N35:N53" si="14">O35/I35</f>
        <v>697.01274780125379</v>
      </c>
      <c r="O35" s="13">
        <v>818126</v>
      </c>
      <c r="P35" s="22">
        <f t="shared" ref="P35:P53" si="15">G35*N35</f>
        <v>653555.90926755115</v>
      </c>
      <c r="Q35" s="13">
        <f t="shared" si="9"/>
        <v>653555.90926755115</v>
      </c>
    </row>
    <row r="36" spans="1:17">
      <c r="A36" t="s">
        <v>67</v>
      </c>
      <c r="B36" s="4">
        <v>52.865879999999997</v>
      </c>
      <c r="C36" s="4">
        <v>66.611009999999993</v>
      </c>
      <c r="D36" s="2">
        <v>1.2151792961844514</v>
      </c>
      <c r="E36" s="4">
        <f t="shared" si="10"/>
        <v>43.504592421870484</v>
      </c>
      <c r="F36" s="4">
        <f t="shared" si="11"/>
        <v>21.752296210935242</v>
      </c>
      <c r="G36" s="4">
        <f t="shared" si="12"/>
        <v>1486.4834897872631</v>
      </c>
      <c r="H36" s="4">
        <v>942.2731</v>
      </c>
      <c r="I36" s="5">
        <v>4660.7165379999997</v>
      </c>
      <c r="J36" s="13">
        <v>5125000</v>
      </c>
      <c r="K36" s="22">
        <f t="shared" si="13"/>
        <v>1400673.4060206627</v>
      </c>
      <c r="L36" s="22">
        <f t="shared" si="8"/>
        <v>1400673.4060206627</v>
      </c>
      <c r="M36" s="19" t="s">
        <v>92</v>
      </c>
      <c r="N36" s="4">
        <f t="shared" si="14"/>
        <v>547.27078534034638</v>
      </c>
      <c r="O36" s="13">
        <f>2237898+312776</f>
        <v>2550674</v>
      </c>
      <c r="P36" s="22">
        <f t="shared" si="15"/>
        <v>813508.98685133422</v>
      </c>
      <c r="Q36" s="13">
        <f t="shared" si="9"/>
        <v>813508.98685133422</v>
      </c>
    </row>
    <row r="37" spans="1:17">
      <c r="A37" t="s">
        <v>49</v>
      </c>
      <c r="B37" s="4">
        <v>52.44265</v>
      </c>
      <c r="C37" s="4">
        <v>67.126589999999993</v>
      </c>
      <c r="D37" s="2">
        <v>1.3591592167670952</v>
      </c>
      <c r="E37" s="4">
        <f t="shared" si="10"/>
        <v>38.584625960702695</v>
      </c>
      <c r="F37" s="4">
        <f t="shared" si="11"/>
        <v>19.292312980351348</v>
      </c>
      <c r="G37" s="4">
        <f t="shared" si="12"/>
        <v>1169.2798630732141</v>
      </c>
      <c r="H37" s="4">
        <v>990.88170000000002</v>
      </c>
      <c r="I37" s="5">
        <v>2069.418674</v>
      </c>
      <c r="J37" s="13">
        <v>2900000</v>
      </c>
      <c r="K37" s="22">
        <f t="shared" si="13"/>
        <v>1158618.0184977537</v>
      </c>
      <c r="L37" s="22">
        <f t="shared" si="8"/>
        <v>1158618.0184977537</v>
      </c>
      <c r="M37" s="19" t="s">
        <v>92</v>
      </c>
      <c r="N37" s="4">
        <f t="shared" si="14"/>
        <v>677.88602549355369</v>
      </c>
      <c r="O37" s="13">
        <v>1402830</v>
      </c>
      <c r="P37" s="22">
        <f t="shared" si="15"/>
        <v>792638.47906834772</v>
      </c>
      <c r="Q37" s="13">
        <f t="shared" si="9"/>
        <v>792638.47906834772</v>
      </c>
    </row>
    <row r="38" spans="1:17">
      <c r="A38" t="s">
        <v>50</v>
      </c>
      <c r="B38" s="4">
        <v>58.551130000000001</v>
      </c>
      <c r="C38" s="4">
        <v>64.406239999999997</v>
      </c>
      <c r="D38" s="2">
        <v>1.3100772449532365</v>
      </c>
      <c r="E38" s="4">
        <f t="shared" si="10"/>
        <v>44.692883740675917</v>
      </c>
      <c r="F38" s="4">
        <f t="shared" si="11"/>
        <v>22.346441870337959</v>
      </c>
      <c r="G38" s="4">
        <f t="shared" si="12"/>
        <v>1568.7965908041676</v>
      </c>
      <c r="H38" s="4">
        <v>603.0711</v>
      </c>
      <c r="I38" s="5">
        <v>2207.6965749999999</v>
      </c>
      <c r="J38" s="13">
        <v>1765000</v>
      </c>
      <c r="K38" s="22">
        <f t="shared" si="13"/>
        <v>946095.88569251925</v>
      </c>
      <c r="L38" s="22">
        <f t="shared" si="8"/>
        <v>946095.88569251925</v>
      </c>
      <c r="M38" s="19" t="s">
        <v>92</v>
      </c>
      <c r="N38" s="4">
        <f t="shared" si="14"/>
        <v>470.46365508810919</v>
      </c>
      <c r="O38" s="13">
        <v>1038641</v>
      </c>
      <c r="P38" s="22">
        <f t="shared" si="15"/>
        <v>738061.77819949354</v>
      </c>
      <c r="Q38" s="13">
        <f t="shared" si="9"/>
        <v>738061.77819949354</v>
      </c>
    </row>
    <row r="39" spans="1:17">
      <c r="A39" t="s">
        <v>51</v>
      </c>
      <c r="B39" s="4">
        <v>53.087949999999999</v>
      </c>
      <c r="C39" s="4">
        <v>67.952579999999998</v>
      </c>
      <c r="D39" s="2">
        <v>1.39177069888646</v>
      </c>
      <c r="E39" s="4">
        <f t="shared" si="10"/>
        <v>38.144178521990057</v>
      </c>
      <c r="F39" s="4">
        <f t="shared" si="11"/>
        <v>19.072089260995028</v>
      </c>
      <c r="G39" s="4">
        <f t="shared" si="12"/>
        <v>1142.7373278922837</v>
      </c>
      <c r="H39" s="4">
        <v>1192.0440000000001</v>
      </c>
      <c r="I39" s="5">
        <v>1227.5103140000001</v>
      </c>
      <c r="J39" s="13">
        <v>1590000</v>
      </c>
      <c r="K39" s="22">
        <f t="shared" si="13"/>
        <v>1362193.1752900295</v>
      </c>
      <c r="L39" s="22">
        <f t="shared" si="8"/>
        <v>1362193.1752900295</v>
      </c>
      <c r="M39" s="19" t="s">
        <v>92</v>
      </c>
      <c r="N39" s="4">
        <f t="shared" si="14"/>
        <v>714.74674387135121</v>
      </c>
      <c r="O39" s="13">
        <v>877359</v>
      </c>
      <c r="P39" s="22">
        <f t="shared" si="15"/>
        <v>816767.7842112584</v>
      </c>
      <c r="Q39" s="13">
        <f t="shared" si="9"/>
        <v>816767.7842112584</v>
      </c>
    </row>
    <row r="40" spans="1:17">
      <c r="A40" t="s">
        <v>52</v>
      </c>
      <c r="B40" s="4">
        <v>62.482399999999998</v>
      </c>
      <c r="C40" s="4">
        <v>71.229929999999996</v>
      </c>
      <c r="D40" s="2">
        <v>1.2391400975948115</v>
      </c>
      <c r="E40" s="4">
        <f t="shared" si="10"/>
        <v>50.423999773132373</v>
      </c>
      <c r="F40" s="4">
        <f t="shared" si="11"/>
        <v>25.211999886566186</v>
      </c>
      <c r="G40" s="4">
        <f t="shared" si="12"/>
        <v>1996.937468392656</v>
      </c>
      <c r="H40" s="4">
        <v>595.13840000000005</v>
      </c>
      <c r="I40" s="5">
        <v>1304.4012620000001</v>
      </c>
      <c r="J40" s="13">
        <v>1210000</v>
      </c>
      <c r="K40" s="22">
        <f t="shared" si="13"/>
        <v>1188454.169839256</v>
      </c>
      <c r="L40" s="22">
        <f t="shared" si="8"/>
        <v>1188454.169839256</v>
      </c>
      <c r="M40" s="19" t="s">
        <v>92</v>
      </c>
      <c r="N40" s="4">
        <f t="shared" si="14"/>
        <v>482.44740198664414</v>
      </c>
      <c r="O40" s="13">
        <v>629305</v>
      </c>
      <c r="P40" s="22">
        <f t="shared" si="15"/>
        <v>963417.29355582315</v>
      </c>
      <c r="Q40" s="13">
        <f t="shared" si="9"/>
        <v>629305</v>
      </c>
    </row>
    <row r="41" spans="1:17">
      <c r="A41" t="s">
        <v>53</v>
      </c>
      <c r="B41" s="4">
        <v>61.628950000000003</v>
      </c>
      <c r="C41" s="4">
        <v>70.257009999999994</v>
      </c>
      <c r="D41" s="2">
        <v>1.2413603862790981</v>
      </c>
      <c r="E41" s="4">
        <f t="shared" si="10"/>
        <v>49.646299882928453</v>
      </c>
      <c r="F41" s="4">
        <f t="shared" si="11"/>
        <v>24.823149941464226</v>
      </c>
      <c r="G41" s="4">
        <f t="shared" si="12"/>
        <v>1935.8141225328793</v>
      </c>
      <c r="H41" s="4">
        <v>484.15989999999999</v>
      </c>
      <c r="I41" s="5">
        <v>827.79291000000001</v>
      </c>
      <c r="J41" s="13">
        <v>790000</v>
      </c>
      <c r="K41" s="22">
        <f t="shared" si="13"/>
        <v>937243.57198410656</v>
      </c>
      <c r="L41" s="22">
        <f t="shared" si="8"/>
        <v>790000</v>
      </c>
      <c r="M41" s="19" t="s">
        <v>92</v>
      </c>
      <c r="N41" s="4">
        <f t="shared" si="14"/>
        <v>742.45018600123069</v>
      </c>
      <c r="O41" s="13">
        <v>614595</v>
      </c>
      <c r="P41" s="22">
        <f t="shared" si="15"/>
        <v>1437245.5553383455</v>
      </c>
      <c r="Q41" s="13">
        <f t="shared" si="9"/>
        <v>614595</v>
      </c>
    </row>
    <row r="42" spans="1:17">
      <c r="A42" t="s">
        <v>82</v>
      </c>
      <c r="B42" s="4">
        <v>62.089397559255026</v>
      </c>
      <c r="C42" s="4">
        <v>65.814761412810327</v>
      </c>
      <c r="D42" s="2">
        <v>1.2673100528512509</v>
      </c>
      <c r="E42" s="4">
        <f t="shared" si="10"/>
        <v>48.993060079941387</v>
      </c>
      <c r="F42" s="4">
        <f t="shared" si="11"/>
        <v>24.496530039970693</v>
      </c>
      <c r="G42" s="4">
        <f t="shared" si="12"/>
        <v>1885.206869298125</v>
      </c>
      <c r="H42" s="4">
        <v>723.26126225186908</v>
      </c>
      <c r="I42" s="5">
        <v>764.44365200000004</v>
      </c>
      <c r="J42" s="13">
        <v>665000</v>
      </c>
      <c r="K42" s="22">
        <f t="shared" si="13"/>
        <v>1363497.0998944563</v>
      </c>
      <c r="L42" s="22">
        <f t="shared" si="8"/>
        <v>665000</v>
      </c>
      <c r="M42" s="19" t="s">
        <v>92</v>
      </c>
      <c r="N42" s="4">
        <f t="shared" si="14"/>
        <v>595.44480330121178</v>
      </c>
      <c r="O42" s="13">
        <v>455184</v>
      </c>
      <c r="P42" s="22">
        <f t="shared" si="15"/>
        <v>1122536.6334713153</v>
      </c>
      <c r="Q42" s="13">
        <f t="shared" si="9"/>
        <v>455184</v>
      </c>
    </row>
    <row r="43" spans="1:17">
      <c r="A43" t="s">
        <v>54</v>
      </c>
      <c r="B43" s="4">
        <v>53.297409999999999</v>
      </c>
      <c r="C43" s="4">
        <v>67.687709999999996</v>
      </c>
      <c r="D43" s="2">
        <v>1.408746139914572</v>
      </c>
      <c r="E43" s="4">
        <f t="shared" si="10"/>
        <v>37.833225227670908</v>
      </c>
      <c r="F43" s="4">
        <f t="shared" si="11"/>
        <v>18.916612613835454</v>
      </c>
      <c r="G43" s="4">
        <f t="shared" si="12"/>
        <v>1124.1819632812299</v>
      </c>
      <c r="H43" s="4">
        <v>1367.6389999999999</v>
      </c>
      <c r="I43" s="16">
        <v>955.78454299999999</v>
      </c>
      <c r="J43" s="13">
        <v>1470000</v>
      </c>
      <c r="K43" s="22">
        <f t="shared" si="13"/>
        <v>1537475.0960799777</v>
      </c>
      <c r="L43" s="22">
        <f t="shared" si="8"/>
        <v>1470000</v>
      </c>
      <c r="M43" s="19" t="s">
        <v>92</v>
      </c>
      <c r="N43" s="4">
        <f t="shared" si="14"/>
        <v>612.25827963614597</v>
      </c>
      <c r="O43" s="13">
        <v>585187</v>
      </c>
      <c r="P43" s="22">
        <f t="shared" si="15"/>
        <v>688289.71483655076</v>
      </c>
      <c r="Q43" s="13">
        <f t="shared" si="9"/>
        <v>585187</v>
      </c>
    </row>
    <row r="44" spans="1:17">
      <c r="A44" t="s">
        <v>55</v>
      </c>
      <c r="B44" s="4">
        <v>52.234180000000002</v>
      </c>
      <c r="C44" s="4">
        <v>63.725700000000003</v>
      </c>
      <c r="D44" s="2">
        <v>1.4286295458510965</v>
      </c>
      <c r="E44" s="4">
        <f t="shared" si="10"/>
        <v>36.562438563372872</v>
      </c>
      <c r="F44" s="4">
        <f t="shared" si="11"/>
        <v>18.281219281686436</v>
      </c>
      <c r="G44" s="4">
        <f t="shared" si="12"/>
        <v>1049.9296218281347</v>
      </c>
      <c r="H44" s="4">
        <v>899.27589999999998</v>
      </c>
      <c r="I44" s="5">
        <v>597.56597799999997</v>
      </c>
      <c r="J44" s="13">
        <v>920000</v>
      </c>
      <c r="K44" s="22">
        <f t="shared" si="13"/>
        <v>944176.40560615552</v>
      </c>
      <c r="L44" s="22">
        <f t="shared" si="8"/>
        <v>920000</v>
      </c>
      <c r="M44" s="19" t="s">
        <v>92</v>
      </c>
      <c r="N44" s="4">
        <f t="shared" si="14"/>
        <v>1022.9581711561229</v>
      </c>
      <c r="O44" s="13">
        <v>611285</v>
      </c>
      <c r="P44" s="22">
        <f t="shared" si="15"/>
        <v>1074034.0857879485</v>
      </c>
      <c r="Q44" s="13">
        <f t="shared" si="9"/>
        <v>611285</v>
      </c>
    </row>
    <row r="45" spans="1:17">
      <c r="A45" t="s">
        <v>68</v>
      </c>
      <c r="B45" s="4">
        <v>59.60624</v>
      </c>
      <c r="C45" s="4">
        <v>71.52749</v>
      </c>
      <c r="D45" s="2">
        <v>1.3773596768934178</v>
      </c>
      <c r="E45" s="4">
        <f t="shared" si="10"/>
        <v>43.275726014020975</v>
      </c>
      <c r="F45" s="4">
        <f t="shared" si="11"/>
        <v>21.637863007010488</v>
      </c>
      <c r="G45" s="4">
        <f t="shared" si="12"/>
        <v>1470.8846185186283</v>
      </c>
      <c r="H45" s="4">
        <v>935.55520000000001</v>
      </c>
      <c r="I45" s="5">
        <v>1055.5735119999999</v>
      </c>
      <c r="J45" s="13">
        <v>1260000</v>
      </c>
      <c r="K45" s="22">
        <f t="shared" si="13"/>
        <v>1376093.753455119</v>
      </c>
      <c r="L45" s="22">
        <f t="shared" si="8"/>
        <v>1260000</v>
      </c>
      <c r="M45" s="19" t="s">
        <v>92</v>
      </c>
      <c r="N45" s="4">
        <f t="shared" si="14"/>
        <v>601.99786445569703</v>
      </c>
      <c r="O45" s="13">
        <v>635453</v>
      </c>
      <c r="P45" s="22">
        <f t="shared" si="15"/>
        <v>885469.39920894685</v>
      </c>
      <c r="Q45" s="13">
        <f t="shared" si="9"/>
        <v>635453</v>
      </c>
    </row>
    <row r="46" spans="1:17">
      <c r="A46" t="s">
        <v>69</v>
      </c>
      <c r="B46" s="4">
        <v>53.169829999999997</v>
      </c>
      <c r="C46" s="4">
        <v>70.715869999999995</v>
      </c>
      <c r="D46" s="2">
        <v>1.4004144662812563</v>
      </c>
      <c r="E46" s="4">
        <f t="shared" si="10"/>
        <v>37.967209908356857</v>
      </c>
      <c r="F46" s="4">
        <f t="shared" si="11"/>
        <v>18.983604954178428</v>
      </c>
      <c r="G46" s="4">
        <f t="shared" si="12"/>
        <v>1132.1585432889369</v>
      </c>
      <c r="H46" s="4">
        <v>1412.3209999999999</v>
      </c>
      <c r="I46" s="16">
        <v>2026.112024</v>
      </c>
      <c r="J46" s="13">
        <v>2780000</v>
      </c>
      <c r="K46" s="22">
        <f t="shared" si="13"/>
        <v>1598971.2860163746</v>
      </c>
      <c r="L46" s="22">
        <f t="shared" si="8"/>
        <v>1598971.2860163746</v>
      </c>
      <c r="M46" s="19" t="s">
        <v>92</v>
      </c>
      <c r="N46" s="4">
        <f t="shared" si="14"/>
        <v>533.91026122255516</v>
      </c>
      <c r="O46" s="13">
        <v>1081762</v>
      </c>
      <c r="P46" s="22">
        <f t="shared" si="15"/>
        <v>604471.06359274383</v>
      </c>
      <c r="Q46" s="13">
        <f t="shared" si="9"/>
        <v>604471.06359274383</v>
      </c>
    </row>
    <row r="47" spans="1:17">
      <c r="A47" t="s">
        <v>70</v>
      </c>
      <c r="B47" s="4">
        <v>53.325209999999998</v>
      </c>
      <c r="C47" s="4">
        <v>72.522279999999995</v>
      </c>
      <c r="D47" s="2">
        <v>1.4605972713753022</v>
      </c>
      <c r="E47" s="4">
        <f t="shared" si="10"/>
        <v>36.509180898160139</v>
      </c>
      <c r="F47" s="4">
        <f t="shared" si="11"/>
        <v>18.254590449080069</v>
      </c>
      <c r="G47" s="4">
        <f t="shared" si="12"/>
        <v>1046.8731476069825</v>
      </c>
      <c r="H47" s="4">
        <v>1233.7170000000001</v>
      </c>
      <c r="I47" s="5">
        <v>1107.747057</v>
      </c>
      <c r="J47" s="13">
        <v>4090000</v>
      </c>
      <c r="K47" s="22">
        <f t="shared" si="13"/>
        <v>1291545.1990462437</v>
      </c>
      <c r="L47" s="22">
        <f t="shared" si="8"/>
        <v>1291545.1990462437</v>
      </c>
      <c r="M47" s="19" t="s">
        <v>92</v>
      </c>
      <c r="N47" s="4">
        <f t="shared" si="14"/>
        <v>1849.2479732221034</v>
      </c>
      <c r="O47" s="13">
        <f>1048438+1000061</f>
        <v>2048499</v>
      </c>
      <c r="P47" s="22">
        <f t="shared" si="15"/>
        <v>1935928.0464328562</v>
      </c>
      <c r="Q47" s="13">
        <f t="shared" si="9"/>
        <v>1935928.0464328562</v>
      </c>
    </row>
    <row r="48" spans="1:17" ht="16">
      <c r="A48" t="s">
        <v>72</v>
      </c>
      <c r="B48" s="4">
        <v>50.663890000000002</v>
      </c>
      <c r="C48" s="4">
        <v>67.889619999999994</v>
      </c>
      <c r="D48" s="2">
        <v>1.4605972713753022</v>
      </c>
      <c r="E48" s="4">
        <f t="shared" si="10"/>
        <v>34.687104373606523</v>
      </c>
      <c r="F48" s="4">
        <f t="shared" si="11"/>
        <v>17.343552186803262</v>
      </c>
      <c r="G48" s="4">
        <f t="shared" si="12"/>
        <v>944.98730800553381</v>
      </c>
      <c r="H48" s="4">
        <v>1658.259</v>
      </c>
      <c r="I48" s="5">
        <v>673.68371100000002</v>
      </c>
      <c r="J48" s="13">
        <v>1675000</v>
      </c>
      <c r="K48" s="22">
        <f t="shared" si="13"/>
        <v>1567033.7083859486</v>
      </c>
      <c r="L48" s="22">
        <f t="shared" si="8"/>
        <v>1567033.7083859486</v>
      </c>
      <c r="M48" s="19" t="s">
        <v>92</v>
      </c>
      <c r="N48" s="4">
        <f t="shared" si="14"/>
        <v>1548.2013042170763</v>
      </c>
      <c r="O48" s="13">
        <v>1042998</v>
      </c>
      <c r="P48" s="22">
        <f t="shared" si="15"/>
        <v>1463030.5827227514</v>
      </c>
      <c r="Q48" s="13">
        <f t="shared" si="9"/>
        <v>1042998</v>
      </c>
    </row>
    <row r="49" spans="1:17">
      <c r="A49" t="s">
        <v>56</v>
      </c>
      <c r="B49" s="4">
        <v>58.18665</v>
      </c>
      <c r="C49" s="4">
        <v>73.897040000000004</v>
      </c>
      <c r="D49" s="2">
        <v>1.4023948619686526</v>
      </c>
      <c r="E49" s="4">
        <f t="shared" si="10"/>
        <v>41.4909178420112</v>
      </c>
      <c r="F49" s="4">
        <f t="shared" si="11"/>
        <v>20.7454589210056</v>
      </c>
      <c r="G49" s="4">
        <f t="shared" si="12"/>
        <v>1352.0600035483496</v>
      </c>
      <c r="H49" s="4">
        <v>856.61540000000002</v>
      </c>
      <c r="I49" s="5">
        <v>2469.8811369999999</v>
      </c>
      <c r="J49" s="13">
        <v>2740000</v>
      </c>
      <c r="K49" s="22">
        <f t="shared" si="13"/>
        <v>1158195.420763571</v>
      </c>
      <c r="L49" s="22">
        <f t="shared" si="8"/>
        <v>1158195.420763571</v>
      </c>
      <c r="M49" s="19" t="s">
        <v>92</v>
      </c>
      <c r="N49" s="4">
        <f t="shared" si="14"/>
        <v>599.91348482451292</v>
      </c>
      <c r="O49" s="13">
        <v>1481715</v>
      </c>
      <c r="P49" s="22">
        <f t="shared" si="15"/>
        <v>811119.02842053375</v>
      </c>
      <c r="Q49" s="13">
        <f t="shared" si="9"/>
        <v>811119.02842053375</v>
      </c>
    </row>
    <row r="50" spans="1:17">
      <c r="A50" t="s">
        <v>76</v>
      </c>
      <c r="B50" s="4">
        <v>59.829090000000001</v>
      </c>
      <c r="C50" s="4">
        <v>81.367570000000001</v>
      </c>
      <c r="D50" s="2">
        <v>1.2685017433180505</v>
      </c>
      <c r="E50" s="4">
        <f t="shared" si="10"/>
        <v>47.165161825874684</v>
      </c>
      <c r="F50" s="4">
        <f t="shared" si="11"/>
        <v>23.582580912937342</v>
      </c>
      <c r="G50" s="4">
        <f t="shared" si="12"/>
        <v>1747.1594400750878</v>
      </c>
      <c r="H50" s="4">
        <v>1147.902</v>
      </c>
      <c r="I50" s="16">
        <v>2890.6684540000001</v>
      </c>
      <c r="J50" s="13">
        <v>4965000</v>
      </c>
      <c r="K50" s="22">
        <f t="shared" si="13"/>
        <v>2005567.8155810735</v>
      </c>
      <c r="L50" s="22">
        <f t="shared" si="8"/>
        <v>2005567.8155810735</v>
      </c>
      <c r="M50" s="19" t="s">
        <v>92</v>
      </c>
      <c r="N50" s="4">
        <f t="shared" si="14"/>
        <v>514.0451157391708</v>
      </c>
      <c r="O50" s="13">
        <f>845720+640214</f>
        <v>1485934</v>
      </c>
      <c r="P50" s="22">
        <f t="shared" si="15"/>
        <v>898118.77658818336</v>
      </c>
      <c r="Q50" s="13">
        <f t="shared" si="9"/>
        <v>898118.77658818336</v>
      </c>
    </row>
    <row r="51" spans="1:17">
      <c r="A51" t="s">
        <v>57</v>
      </c>
      <c r="B51" s="4">
        <v>56.502479999999998</v>
      </c>
      <c r="C51" s="4">
        <v>66.672929999999994</v>
      </c>
      <c r="D51" s="2">
        <v>1.3553298397239786</v>
      </c>
      <c r="E51" s="4">
        <f t="shared" si="10"/>
        <v>41.689099098937483</v>
      </c>
      <c r="F51" s="4">
        <f t="shared" si="11"/>
        <v>20.844549549468741</v>
      </c>
      <c r="G51" s="4">
        <f t="shared" si="12"/>
        <v>1365.0070726027716</v>
      </c>
      <c r="H51" s="4">
        <v>699.06600000000003</v>
      </c>
      <c r="I51" s="5">
        <v>2146.9741009999998</v>
      </c>
      <c r="J51" s="13">
        <v>2055000</v>
      </c>
      <c r="K51" s="22">
        <f t="shared" si="13"/>
        <v>954230.03421612922</v>
      </c>
      <c r="L51" s="22">
        <f t="shared" si="8"/>
        <v>954230.03421612922</v>
      </c>
      <c r="M51" s="19" t="s">
        <v>92</v>
      </c>
      <c r="N51" s="4">
        <f t="shared" si="14"/>
        <v>568.5308450770176</v>
      </c>
      <c r="O51" s="13">
        <v>1220621</v>
      </c>
      <c r="P51" s="22">
        <f t="shared" si="15"/>
        <v>776048.6245229597</v>
      </c>
      <c r="Q51" s="13">
        <f t="shared" si="9"/>
        <v>776048.6245229597</v>
      </c>
    </row>
    <row r="52" spans="1:17">
      <c r="A52" t="s">
        <v>71</v>
      </c>
      <c r="B52" s="4">
        <v>47.580840000000002</v>
      </c>
      <c r="C52" s="4">
        <v>59.951860000000003</v>
      </c>
      <c r="D52" s="3">
        <v>1.29</v>
      </c>
      <c r="E52" s="4">
        <f t="shared" si="10"/>
        <v>36.884372093023259</v>
      </c>
      <c r="F52" s="4">
        <f t="shared" si="11"/>
        <v>18.44218604651163</v>
      </c>
      <c r="G52" s="4">
        <f t="shared" si="12"/>
        <v>1068.5003543300816</v>
      </c>
      <c r="H52" s="4">
        <v>576.27189999999996</v>
      </c>
      <c r="I52" s="5">
        <v>2077.87444</v>
      </c>
      <c r="J52" s="13">
        <v>2000000</v>
      </c>
      <c r="K52" s="22">
        <f t="shared" si="13"/>
        <v>615746.72934046923</v>
      </c>
      <c r="L52" s="22">
        <f t="shared" si="8"/>
        <v>615746.72934046923</v>
      </c>
      <c r="M52" s="19" t="s">
        <v>92</v>
      </c>
      <c r="N52" s="4">
        <f t="shared" si="14"/>
        <v>501.91290672982143</v>
      </c>
      <c r="O52" s="13">
        <v>1042912</v>
      </c>
      <c r="P52" s="22">
        <f t="shared" si="15"/>
        <v>536294.1186836554</v>
      </c>
      <c r="Q52" s="13">
        <f t="shared" si="9"/>
        <v>536294.1186836554</v>
      </c>
    </row>
    <row r="53" spans="1:17">
      <c r="A53" t="s">
        <v>59</v>
      </c>
      <c r="B53" s="4">
        <v>49.556579999999997</v>
      </c>
      <c r="C53" s="4">
        <v>67.396950000000004</v>
      </c>
      <c r="D53" s="2">
        <v>1.3045455771997856</v>
      </c>
      <c r="E53" s="4">
        <f t="shared" si="10"/>
        <v>37.987618728027485</v>
      </c>
      <c r="F53" s="4">
        <f t="shared" si="11"/>
        <v>18.993809364013742</v>
      </c>
      <c r="G53" s="4">
        <f t="shared" si="12"/>
        <v>1133.3760269958821</v>
      </c>
      <c r="H53" s="4">
        <v>1265.0340000000001</v>
      </c>
      <c r="I53" s="16">
        <v>2996.0093400000001</v>
      </c>
      <c r="J53" s="13">
        <v>4030000</v>
      </c>
      <c r="K53" s="22">
        <f t="shared" si="13"/>
        <v>1433759.2089347087</v>
      </c>
      <c r="L53" s="22">
        <f t="shared" si="8"/>
        <v>1433759.2089347087</v>
      </c>
      <c r="M53" s="19" t="s">
        <v>92</v>
      </c>
      <c r="N53" s="4">
        <f t="shared" si="14"/>
        <v>760.55704152110548</v>
      </c>
      <c r="O53" s="13">
        <v>2278636</v>
      </c>
      <c r="P53" s="22">
        <f t="shared" si="15"/>
        <v>861997.11802293267</v>
      </c>
      <c r="Q53" s="13">
        <f t="shared" si="9"/>
        <v>861997.11802293267</v>
      </c>
    </row>
    <row r="56" spans="1:17">
      <c r="A56" t="s">
        <v>74</v>
      </c>
      <c r="B56" s="18"/>
      <c r="C56" s="18"/>
      <c r="D56" s="18"/>
      <c r="E56" s="18"/>
      <c r="F56" s="18"/>
      <c r="G56" s="18"/>
      <c r="H56" s="18"/>
      <c r="I56" s="18"/>
      <c r="M56" s="18"/>
      <c r="N56" s="18"/>
      <c r="O56" s="18"/>
    </row>
    <row r="57" spans="1:17" ht="16">
      <c r="A57" s="18" t="s">
        <v>109</v>
      </c>
      <c r="B57" s="18"/>
      <c r="C57" s="18"/>
      <c r="D57" s="18"/>
      <c r="E57" s="18"/>
      <c r="F57" s="18"/>
      <c r="G57" s="18"/>
      <c r="H57" s="18"/>
      <c r="I57" s="18"/>
      <c r="M57" s="18"/>
      <c r="N57" s="18"/>
      <c r="O57" s="18"/>
    </row>
    <row r="58" spans="1:17" ht="16">
      <c r="A58" s="18" t="s">
        <v>110</v>
      </c>
      <c r="B58" s="18"/>
      <c r="C58" s="18"/>
      <c r="D58" s="18"/>
      <c r="E58" s="18"/>
      <c r="F58" s="18"/>
      <c r="G58" s="18"/>
      <c r="H58" s="18"/>
      <c r="I58" s="18"/>
      <c r="M58" s="18"/>
      <c r="N58" s="18"/>
      <c r="O58" s="18"/>
    </row>
    <row r="60" spans="1:17">
      <c r="A60" s="18" t="s">
        <v>95</v>
      </c>
    </row>
    <row r="61" spans="1:17">
      <c r="A61" s="18" t="s">
        <v>5</v>
      </c>
    </row>
    <row r="62" spans="1:17">
      <c r="A62" s="18" t="s">
        <v>111</v>
      </c>
    </row>
    <row r="63" spans="1:17">
      <c r="A63" s="18" t="s">
        <v>112</v>
      </c>
    </row>
    <row r="64" spans="1:17">
      <c r="A64" s="18" t="s">
        <v>113</v>
      </c>
    </row>
  </sheetData>
  <sortState ref="A3:XFD53">
    <sortCondition ref="A3:A53"/>
  </sortState>
  <phoneticPr fontId="21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workbookViewId="0">
      <selection activeCell="E9" sqref="E9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1/6</f>
        <v>0.16666666666666666</v>
      </c>
      <c r="B1" s="30" t="s">
        <v>60</v>
      </c>
      <c r="C1" s="30" t="s">
        <v>61</v>
      </c>
      <c r="D1" s="38" t="s">
        <v>157</v>
      </c>
      <c r="E1" s="31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33" t="s">
        <v>84</v>
      </c>
      <c r="K1" s="32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30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v>52.316789999999997</v>
      </c>
      <c r="C3" s="4">
        <v>68.534989999999993</v>
      </c>
      <c r="D3" s="36">
        <f>B3*$A$1*1000</f>
        <v>8719.4650000000001</v>
      </c>
      <c r="E3" s="34">
        <f>'Interval Circuities'!B3</f>
        <v>1.3794149811619634</v>
      </c>
      <c r="F3" s="4">
        <f t="shared" ref="F3:F34" si="0">B3/E3</f>
        <v>37.926795572374061</v>
      </c>
      <c r="G3" s="4">
        <f t="shared" ref="G3:G34" si="1">F3*$A$1</f>
        <v>6.3211325953956763</v>
      </c>
      <c r="H3" s="4">
        <f t="shared" ref="H3:H34" si="2">PI()*G3^2</f>
        <v>125.52772949534734</v>
      </c>
      <c r="I3" s="4">
        <f t="shared" ref="I3:I34" si="3">K3/J3</f>
        <v>757.41793847465317</v>
      </c>
      <c r="J3" s="16">
        <v>5083.0589090000003</v>
      </c>
      <c r="K3" s="13">
        <v>3850000</v>
      </c>
      <c r="L3" s="22">
        <f t="shared" ref="L3:L34" si="4">H3*I3</f>
        <v>95076.954095769906</v>
      </c>
      <c r="M3" s="22">
        <f t="shared" ref="M3:M34" si="5">MIN(K3,L3)</f>
        <v>95076.954095769906</v>
      </c>
      <c r="N3" s="19" t="s">
        <v>92</v>
      </c>
      <c r="O3" s="4">
        <f t="shared" ref="O3:O34" si="6">P3/J3</f>
        <v>418.87926898310906</v>
      </c>
      <c r="P3" s="13">
        <v>2129188</v>
      </c>
      <c r="Q3" s="22">
        <f t="shared" ref="Q3:Q34" si="7">H3*O3</f>
        <v>52580.963568120555</v>
      </c>
      <c r="R3" s="13">
        <f t="shared" ref="R3:R34" si="8">MIN(Q3,P3)</f>
        <v>52580.963568120555</v>
      </c>
    </row>
    <row r="4" spans="1:18">
      <c r="A4" s="18" t="s">
        <v>27</v>
      </c>
      <c r="B4" s="4">
        <v>53.198880000000003</v>
      </c>
      <c r="C4" s="4">
        <v>67.562579999999997</v>
      </c>
      <c r="D4" s="36">
        <f t="shared" ref="D4:D53" si="9">B4*$A$1*1000</f>
        <v>8866.48</v>
      </c>
      <c r="E4" s="34">
        <f>'Interval Circuities'!B4</f>
        <v>1.3965836559136842</v>
      </c>
      <c r="F4" s="4">
        <f t="shared" si="0"/>
        <v>38.092154218427972</v>
      </c>
      <c r="G4" s="4">
        <f t="shared" si="1"/>
        <v>6.3486923697379947</v>
      </c>
      <c r="H4" s="4">
        <f t="shared" si="2"/>
        <v>126.62470301753994</v>
      </c>
      <c r="I4" s="4">
        <f t="shared" si="3"/>
        <v>1165.1270412957495</v>
      </c>
      <c r="J4" s="16">
        <v>823.94448499999999</v>
      </c>
      <c r="K4" s="13">
        <v>960000</v>
      </c>
      <c r="L4" s="22">
        <f t="shared" si="4"/>
        <v>147533.86558177928</v>
      </c>
      <c r="M4" s="22">
        <f t="shared" si="5"/>
        <v>147533.86558177928</v>
      </c>
      <c r="N4" s="19" t="s">
        <v>92</v>
      </c>
      <c r="O4" s="4">
        <f t="shared" si="6"/>
        <v>704.5195526735032</v>
      </c>
      <c r="P4" s="13">
        <v>580485</v>
      </c>
      <c r="Q4" s="22">
        <f t="shared" si="7"/>
        <v>89209.579127332428</v>
      </c>
      <c r="R4" s="13">
        <f t="shared" si="8"/>
        <v>89209.579127332428</v>
      </c>
    </row>
    <row r="5" spans="1:18" ht="16">
      <c r="A5" s="18" t="s">
        <v>119</v>
      </c>
      <c r="B5" s="4">
        <v>57.562600000000003</v>
      </c>
      <c r="C5" s="4">
        <v>71.377619999999993</v>
      </c>
      <c r="D5" s="36">
        <f t="shared" si="9"/>
        <v>9593.7666666666664</v>
      </c>
      <c r="E5" s="34">
        <f>'Interval Circuities'!B5</f>
        <v>1.3553895308629194</v>
      </c>
      <c r="F5" s="4">
        <f t="shared" si="0"/>
        <v>42.469414651116807</v>
      </c>
      <c r="G5" s="4">
        <f t="shared" si="1"/>
        <v>7.0782357751861342</v>
      </c>
      <c r="H5" s="4">
        <f t="shared" si="2"/>
        <v>157.39825831295897</v>
      </c>
      <c r="I5" s="4">
        <f t="shared" si="3"/>
        <v>1249.8156960132164</v>
      </c>
      <c r="J5" s="16">
        <v>1768.260718</v>
      </c>
      <c r="K5" s="13">
        <v>2210000</v>
      </c>
      <c r="L5" s="22">
        <f t="shared" si="4"/>
        <v>196718.81376467884</v>
      </c>
      <c r="M5" s="22">
        <f t="shared" si="5"/>
        <v>196718.81376467884</v>
      </c>
      <c r="N5" s="19" t="s">
        <v>92</v>
      </c>
      <c r="O5" s="4">
        <f t="shared" si="6"/>
        <v>601.54251529326802</v>
      </c>
      <c r="P5" s="13">
        <v>1063684</v>
      </c>
      <c r="Q5" s="22">
        <f t="shared" si="7"/>
        <v>94681.744208356875</v>
      </c>
      <c r="R5" s="13">
        <f t="shared" si="8"/>
        <v>94681.744208356875</v>
      </c>
    </row>
    <row r="6" spans="1:18">
      <c r="A6" s="18" t="s">
        <v>29</v>
      </c>
      <c r="B6" s="4">
        <v>60.288020000000003</v>
      </c>
      <c r="C6" s="4">
        <v>74.154269999999997</v>
      </c>
      <c r="D6" s="36">
        <f t="shared" si="9"/>
        <v>10048.003333333334</v>
      </c>
      <c r="E6" s="34">
        <f>'Interval Circuities'!B6</f>
        <v>1.3218966779948818</v>
      </c>
      <c r="F6" s="4">
        <f t="shared" si="0"/>
        <v>45.607210460236466</v>
      </c>
      <c r="G6" s="4">
        <f t="shared" si="1"/>
        <v>7.6012017433727443</v>
      </c>
      <c r="H6" s="4">
        <f t="shared" si="2"/>
        <v>181.5157821082941</v>
      </c>
      <c r="I6" s="4">
        <f t="shared" si="3"/>
        <v>876.20314951488945</v>
      </c>
      <c r="J6" s="16">
        <v>4496.6740900000004</v>
      </c>
      <c r="K6" s="13">
        <v>3940000</v>
      </c>
      <c r="L6" s="22">
        <f t="shared" si="4"/>
        <v>159044.69996994571</v>
      </c>
      <c r="M6" s="22">
        <f t="shared" si="5"/>
        <v>159044.69996994571</v>
      </c>
      <c r="N6" s="19" t="s">
        <v>92</v>
      </c>
      <c r="O6" s="4">
        <f t="shared" si="6"/>
        <v>683.91236243674484</v>
      </c>
      <c r="P6" s="13">
        <v>3075331</v>
      </c>
      <c r="Q6" s="22">
        <f t="shared" si="7"/>
        <v>124140.88736123685</v>
      </c>
      <c r="R6" s="13">
        <f t="shared" si="8"/>
        <v>124140.88736123685</v>
      </c>
    </row>
    <row r="7" spans="1:18">
      <c r="A7" s="18" t="s">
        <v>30</v>
      </c>
      <c r="B7" s="4">
        <v>60.075479999999999</v>
      </c>
      <c r="C7" s="4">
        <v>64.280760000000001</v>
      </c>
      <c r="D7" s="36">
        <f t="shared" si="9"/>
        <v>10012.58</v>
      </c>
      <c r="E7" s="34">
        <f>'Interval Circuities'!B7</f>
        <v>1.2781328461764727</v>
      </c>
      <c r="F7" s="4">
        <f t="shared" si="0"/>
        <v>47.002531997918261</v>
      </c>
      <c r="G7" s="4">
        <f t="shared" si="1"/>
        <v>7.8337553329863763</v>
      </c>
      <c r="H7" s="4">
        <f t="shared" si="2"/>
        <v>192.79238654139397</v>
      </c>
      <c r="I7" s="4">
        <f t="shared" si="3"/>
        <v>1174.0141455753533</v>
      </c>
      <c r="J7" s="16">
        <v>949.73302000000001</v>
      </c>
      <c r="K7" s="13">
        <v>1115000</v>
      </c>
      <c r="L7" s="22">
        <f t="shared" si="4"/>
        <v>226340.98895882786</v>
      </c>
      <c r="M7" s="22">
        <f t="shared" si="5"/>
        <v>226340.98895882786</v>
      </c>
      <c r="N7" s="19" t="s">
        <v>92</v>
      </c>
      <c r="O7" s="4">
        <f t="shared" si="6"/>
        <v>500.80074082293146</v>
      </c>
      <c r="P7" s="13">
        <v>475627</v>
      </c>
      <c r="Q7" s="22">
        <f t="shared" si="7"/>
        <v>96550.570004951063</v>
      </c>
      <c r="R7" s="13">
        <f t="shared" si="8"/>
        <v>96550.570004951063</v>
      </c>
    </row>
    <row r="8" spans="1:18">
      <c r="A8" s="18" t="s">
        <v>31</v>
      </c>
      <c r="B8" s="4">
        <v>54.739370000000001</v>
      </c>
      <c r="C8" s="4">
        <v>66.782039999999995</v>
      </c>
      <c r="D8" s="36">
        <f t="shared" si="9"/>
        <v>9123.2283333333344</v>
      </c>
      <c r="E8" s="34">
        <f>'Interval Circuities'!B8</f>
        <v>1.3850358656052615</v>
      </c>
      <c r="F8" s="4">
        <f t="shared" si="0"/>
        <v>39.521987379062466</v>
      </c>
      <c r="G8" s="4">
        <f t="shared" si="1"/>
        <v>6.586997896510411</v>
      </c>
      <c r="H8" s="4">
        <f t="shared" si="2"/>
        <v>136.30912256234552</v>
      </c>
      <c r="I8" s="4">
        <f t="shared" si="3"/>
        <v>767.9222461130181</v>
      </c>
      <c r="J8" s="16">
        <v>1126.4161240000001</v>
      </c>
      <c r="K8" s="13">
        <v>865000</v>
      </c>
      <c r="L8" s="22">
        <f t="shared" si="4"/>
        <v>104674.80756377104</v>
      </c>
      <c r="M8" s="22">
        <f t="shared" si="5"/>
        <v>104674.80756377104</v>
      </c>
      <c r="N8" s="19" t="s">
        <v>92</v>
      </c>
      <c r="O8" s="4">
        <f t="shared" si="6"/>
        <v>720.43269153345318</v>
      </c>
      <c r="P8" s="13">
        <v>811507</v>
      </c>
      <c r="Q8" s="22">
        <f t="shared" si="7"/>
        <v>98201.548048153927</v>
      </c>
      <c r="R8" s="13">
        <f t="shared" si="8"/>
        <v>98201.548048153927</v>
      </c>
    </row>
    <row r="9" spans="1:18">
      <c r="A9" s="18" t="s">
        <v>32</v>
      </c>
      <c r="B9" s="4">
        <v>47.502769999999998</v>
      </c>
      <c r="C9" s="4">
        <v>64.128739999999993</v>
      </c>
      <c r="D9" s="36">
        <f t="shared" si="9"/>
        <v>7917.1283333333322</v>
      </c>
      <c r="E9" s="34">
        <f>'Interval Circuities'!B9</f>
        <v>1.3268247325815479</v>
      </c>
      <c r="F9" s="4">
        <f t="shared" si="0"/>
        <v>35.801842423886555</v>
      </c>
      <c r="G9" s="4">
        <f t="shared" si="1"/>
        <v>5.9669737373144258</v>
      </c>
      <c r="H9" s="4">
        <f t="shared" si="2"/>
        <v>111.8557014004964</v>
      </c>
      <c r="I9" s="4">
        <f t="shared" si="3"/>
        <v>1482.3418622036777</v>
      </c>
      <c r="J9" s="16">
        <v>5498.0569649999998</v>
      </c>
      <c r="K9" s="13">
        <v>8150000</v>
      </c>
      <c r="L9" s="22">
        <f t="shared" si="4"/>
        <v>165808.38871211035</v>
      </c>
      <c r="M9" s="22">
        <f t="shared" si="5"/>
        <v>165808.38871211035</v>
      </c>
      <c r="N9" s="19" t="s">
        <v>92</v>
      </c>
      <c r="O9" s="4">
        <f t="shared" si="6"/>
        <v>762.04903417183857</v>
      </c>
      <c r="P9" s="13">
        <f>3915405+225650+48734</f>
        <v>4189789</v>
      </c>
      <c r="Q9" s="22">
        <f t="shared" si="7"/>
        <v>85239.529218861848</v>
      </c>
      <c r="R9" s="13">
        <f t="shared" si="8"/>
        <v>85239.529218861848</v>
      </c>
    </row>
    <row r="10" spans="1:18">
      <c r="A10" s="18" t="s">
        <v>33</v>
      </c>
      <c r="B10" s="4">
        <v>59.701340000000002</v>
      </c>
      <c r="C10" s="4">
        <v>70.447580000000002</v>
      </c>
      <c r="D10" s="36">
        <f t="shared" si="9"/>
        <v>9950.2233333333334</v>
      </c>
      <c r="E10" s="34">
        <f>'Interval Circuities'!B10</f>
        <v>1.4218194575187977</v>
      </c>
      <c r="F10" s="4">
        <f t="shared" si="0"/>
        <v>41.989395829611297</v>
      </c>
      <c r="G10" s="4">
        <f t="shared" si="1"/>
        <v>6.9982326382685489</v>
      </c>
      <c r="H10" s="4">
        <f t="shared" si="2"/>
        <v>153.86031721003187</v>
      </c>
      <c r="I10" s="4">
        <f t="shared" si="3"/>
        <v>885.12621454095085</v>
      </c>
      <c r="J10" s="16">
        <v>1739.864863</v>
      </c>
      <c r="K10" s="13">
        <v>1540000</v>
      </c>
      <c r="L10" s="22">
        <f t="shared" si="4"/>
        <v>136185.80014018543</v>
      </c>
      <c r="M10" s="22">
        <f t="shared" si="5"/>
        <v>136185.80014018543</v>
      </c>
      <c r="N10" s="19" t="s">
        <v>92</v>
      </c>
      <c r="O10" s="4">
        <f t="shared" si="6"/>
        <v>537.37104523617245</v>
      </c>
      <c r="P10" s="13">
        <f>820201+114752</f>
        <v>934953</v>
      </c>
      <c r="Q10" s="22">
        <f t="shared" si="7"/>
        <v>82680.079479523876</v>
      </c>
      <c r="R10" s="13">
        <f t="shared" si="8"/>
        <v>82680.079479523876</v>
      </c>
    </row>
    <row r="11" spans="1:18">
      <c r="A11" s="18" t="s">
        <v>34</v>
      </c>
      <c r="B11" s="4">
        <v>62.775539999999999</v>
      </c>
      <c r="C11" s="4">
        <v>69.053089999999997</v>
      </c>
      <c r="D11" s="36">
        <f t="shared" si="9"/>
        <v>10462.589999999998</v>
      </c>
      <c r="E11" s="34">
        <f>'Interval Circuities'!B11</f>
        <v>1.2874615484699874</v>
      </c>
      <c r="F11" s="4">
        <f t="shared" si="0"/>
        <v>48.759157176074211</v>
      </c>
      <c r="G11" s="4">
        <f t="shared" si="1"/>
        <v>8.1265261960123674</v>
      </c>
      <c r="H11" s="4">
        <f t="shared" si="2"/>
        <v>207.47212349020097</v>
      </c>
      <c r="I11" s="4">
        <f t="shared" si="3"/>
        <v>1065.2097286959158</v>
      </c>
      <c r="J11" s="16">
        <v>1675.7263399999999</v>
      </c>
      <c r="K11" s="13">
        <v>1785000</v>
      </c>
      <c r="L11" s="22">
        <f t="shared" si="4"/>
        <v>221001.32437496251</v>
      </c>
      <c r="M11" s="22">
        <f t="shared" si="5"/>
        <v>221001.32437496251</v>
      </c>
      <c r="N11" s="19" t="s">
        <v>92</v>
      </c>
      <c r="O11" s="4">
        <f t="shared" si="6"/>
        <v>643.10978127848728</v>
      </c>
      <c r="P11" s="13">
        <v>1077676</v>
      </c>
      <c r="Q11" s="22">
        <f t="shared" si="7"/>
        <v>133427.35195916644</v>
      </c>
      <c r="R11" s="13">
        <f t="shared" si="8"/>
        <v>133427.35195916644</v>
      </c>
    </row>
    <row r="12" spans="1:18">
      <c r="A12" s="18" t="s">
        <v>35</v>
      </c>
      <c r="B12" s="4">
        <v>60.796750000000003</v>
      </c>
      <c r="C12" s="4">
        <v>71.132189999999994</v>
      </c>
      <c r="D12" s="36">
        <f t="shared" si="9"/>
        <v>10132.791666666666</v>
      </c>
      <c r="E12" s="34">
        <f>'Interval Circuities'!B12</f>
        <v>1.3211732291308345</v>
      </c>
      <c r="F12" s="4">
        <f t="shared" si="0"/>
        <v>46.017243355738145</v>
      </c>
      <c r="G12" s="4">
        <f t="shared" si="1"/>
        <v>7.6695405592896906</v>
      </c>
      <c r="H12" s="4">
        <f t="shared" si="2"/>
        <v>184.79429934081955</v>
      </c>
      <c r="I12" s="4">
        <f t="shared" si="3"/>
        <v>1106.7339674828359</v>
      </c>
      <c r="J12" s="16">
        <v>1030.0578399999999</v>
      </c>
      <c r="K12" s="13">
        <v>1140000</v>
      </c>
      <c r="L12" s="22">
        <f t="shared" si="4"/>
        <v>204518.12807767602</v>
      </c>
      <c r="M12" s="22">
        <f t="shared" si="5"/>
        <v>204518.12807767602</v>
      </c>
      <c r="N12" s="19" t="s">
        <v>92</v>
      </c>
      <c r="O12" s="4">
        <f t="shared" si="6"/>
        <v>750.9364716839591</v>
      </c>
      <c r="P12" s="13">
        <v>773508</v>
      </c>
      <c r="Q12" s="22">
        <f t="shared" si="7"/>
        <v>138768.77913430441</v>
      </c>
      <c r="R12" s="13">
        <f t="shared" si="8"/>
        <v>138768.77913430441</v>
      </c>
    </row>
    <row r="13" spans="1:18">
      <c r="A13" s="18" t="s">
        <v>62</v>
      </c>
      <c r="B13" s="4">
        <v>56.964039999999997</v>
      </c>
      <c r="C13" s="4">
        <v>70.065770000000001</v>
      </c>
      <c r="D13" s="36">
        <f t="shared" si="9"/>
        <v>9494.0066666666662</v>
      </c>
      <c r="E13" s="34">
        <f>'Interval Circuities'!B13</f>
        <v>1.3489383096006093</v>
      </c>
      <c r="F13" s="4">
        <f t="shared" si="0"/>
        <v>42.22879548647839</v>
      </c>
      <c r="G13" s="4">
        <f t="shared" si="1"/>
        <v>7.0381325810797311</v>
      </c>
      <c r="H13" s="4">
        <f t="shared" si="2"/>
        <v>155.61976670826544</v>
      </c>
      <c r="I13" s="4">
        <f t="shared" si="3"/>
        <v>1122.3258612680775</v>
      </c>
      <c r="J13" s="16">
        <v>3644.2179059999999</v>
      </c>
      <c r="K13" s="13">
        <v>4090000</v>
      </c>
      <c r="L13" s="22">
        <f t="shared" si="4"/>
        <v>174656.0887011913</v>
      </c>
      <c r="M13" s="22">
        <f t="shared" si="5"/>
        <v>174656.0887011913</v>
      </c>
      <c r="N13" s="19" t="s">
        <v>92</v>
      </c>
      <c r="O13" s="4">
        <f t="shared" si="6"/>
        <v>713.75616582023349</v>
      </c>
      <c r="P13" s="13">
        <f>1915132+685951</f>
        <v>2601083</v>
      </c>
      <c r="Q13" s="22">
        <f t="shared" si="7"/>
        <v>111074.56801153076</v>
      </c>
      <c r="R13" s="13">
        <f t="shared" si="8"/>
        <v>111074.56801153076</v>
      </c>
    </row>
    <row r="14" spans="1:18">
      <c r="A14" s="18" t="s">
        <v>36</v>
      </c>
      <c r="B14" s="4">
        <v>50.872790000000002</v>
      </c>
      <c r="C14" s="4">
        <v>67.152079999999998</v>
      </c>
      <c r="D14" s="36">
        <f t="shared" si="9"/>
        <v>8478.7983333333341</v>
      </c>
      <c r="E14" s="34">
        <f>'Interval Circuities'!B14</f>
        <v>1.359087374496782</v>
      </c>
      <c r="F14" s="4">
        <f t="shared" si="0"/>
        <v>37.431581629427065</v>
      </c>
      <c r="G14" s="4">
        <f t="shared" si="1"/>
        <v>6.2385969382378441</v>
      </c>
      <c r="H14" s="4">
        <f t="shared" si="2"/>
        <v>122.2710743433156</v>
      </c>
      <c r="I14" s="4">
        <f t="shared" si="3"/>
        <v>1567.4515055293143</v>
      </c>
      <c r="J14" s="16">
        <v>1291.9059970000001</v>
      </c>
      <c r="K14" s="13">
        <v>2025000</v>
      </c>
      <c r="L14" s="22">
        <f t="shared" si="4"/>
        <v>191653.97956211676</v>
      </c>
      <c r="M14" s="22">
        <f t="shared" si="5"/>
        <v>191653.97956211676</v>
      </c>
      <c r="N14" s="19" t="s">
        <v>92</v>
      </c>
      <c r="O14" s="4">
        <f t="shared" si="6"/>
        <v>836.3681277965303</v>
      </c>
      <c r="P14" s="13">
        <v>1080509</v>
      </c>
      <c r="Q14" s="22">
        <f t="shared" si="7"/>
        <v>102263.62953218924</v>
      </c>
      <c r="R14" s="13">
        <f t="shared" si="8"/>
        <v>102263.62953218924</v>
      </c>
    </row>
    <row r="15" spans="1:18">
      <c r="A15" s="18" t="s">
        <v>37</v>
      </c>
      <c r="B15" s="4">
        <v>50.514110000000002</v>
      </c>
      <c r="C15" s="4">
        <v>65.163210000000007</v>
      </c>
      <c r="D15" s="36">
        <f t="shared" si="9"/>
        <v>8419.0183333333334</v>
      </c>
      <c r="E15" s="34">
        <f>'Interval Circuities'!B15</f>
        <v>1.3076805956202735</v>
      </c>
      <c r="F15" s="4">
        <f t="shared" si="0"/>
        <v>38.628783029421335</v>
      </c>
      <c r="G15" s="4">
        <f t="shared" si="1"/>
        <v>6.4381305049035555</v>
      </c>
      <c r="H15" s="4">
        <f t="shared" si="2"/>
        <v>130.21752134408086</v>
      </c>
      <c r="I15" s="4">
        <f t="shared" si="3"/>
        <v>1233.4944074099687</v>
      </c>
      <c r="J15" s="16">
        <v>3267.1408769999998</v>
      </c>
      <c r="K15" s="13">
        <v>4030000</v>
      </c>
      <c r="L15" s="22">
        <f t="shared" si="4"/>
        <v>160622.58432471199</v>
      </c>
      <c r="M15" s="22">
        <f t="shared" si="5"/>
        <v>160622.58432471199</v>
      </c>
      <c r="N15" s="19" t="s">
        <v>92</v>
      </c>
      <c r="O15" s="4">
        <f t="shared" si="6"/>
        <v>597.85239557639068</v>
      </c>
      <c r="P15" s="13">
        <v>1953268</v>
      </c>
      <c r="Q15" s="22">
        <f t="shared" si="7"/>
        <v>77850.857081578535</v>
      </c>
      <c r="R15" s="13">
        <f t="shared" si="8"/>
        <v>77850.857081578535</v>
      </c>
    </row>
    <row r="16" spans="1:18">
      <c r="A16" s="18" t="s">
        <v>80</v>
      </c>
      <c r="B16" s="6">
        <v>56.839145642340362</v>
      </c>
      <c r="C16" s="6">
        <v>63.091451662997805</v>
      </c>
      <c r="D16" s="36">
        <f t="shared" si="9"/>
        <v>9473.190940390059</v>
      </c>
      <c r="E16" s="34">
        <f>'Interval Circuities'!B16</f>
        <v>1.333044375428845</v>
      </c>
      <c r="F16" s="4">
        <f t="shared" si="0"/>
        <v>42.638599802092116</v>
      </c>
      <c r="G16" s="4">
        <f t="shared" si="1"/>
        <v>7.1064333003486855</v>
      </c>
      <c r="H16" s="4">
        <f t="shared" si="2"/>
        <v>158.65480917908229</v>
      </c>
      <c r="I16" s="4">
        <f t="shared" si="3"/>
        <v>832.65301831048089</v>
      </c>
      <c r="J16" s="16">
        <v>666.54415200000005</v>
      </c>
      <c r="K16" s="13">
        <v>555000</v>
      </c>
      <c r="L16" s="22">
        <f t="shared" si="4"/>
        <v>132104.40573243625</v>
      </c>
      <c r="M16" s="22">
        <f t="shared" si="5"/>
        <v>132104.40573243625</v>
      </c>
      <c r="N16" s="19" t="s">
        <v>92</v>
      </c>
      <c r="O16" s="4">
        <f t="shared" si="6"/>
        <v>796.59389165265668</v>
      </c>
      <c r="P16" s="13">
        <v>530965</v>
      </c>
      <c r="Q16" s="22">
        <f t="shared" si="7"/>
        <v>126383.4518733748</v>
      </c>
      <c r="R16" s="13">
        <f t="shared" si="8"/>
        <v>126383.4518733748</v>
      </c>
    </row>
    <row r="17" spans="1:18">
      <c r="A17" s="18" t="s">
        <v>58</v>
      </c>
      <c r="B17" s="4">
        <v>54.516030000000001</v>
      </c>
      <c r="C17" s="4">
        <v>64.328909999999993</v>
      </c>
      <c r="D17" s="36">
        <f t="shared" si="9"/>
        <v>9086.005000000001</v>
      </c>
      <c r="E17" s="34">
        <f>'Interval Circuities'!B17</f>
        <v>1.4488158168802765</v>
      </c>
      <c r="F17" s="4">
        <f t="shared" si="0"/>
        <v>37.627992022746504</v>
      </c>
      <c r="G17" s="4">
        <f t="shared" si="1"/>
        <v>6.271332003791084</v>
      </c>
      <c r="H17" s="4">
        <f t="shared" si="2"/>
        <v>123.55759845632176</v>
      </c>
      <c r="I17" s="4">
        <f t="shared" si="3"/>
        <v>1114.0347356616915</v>
      </c>
      <c r="J17" s="16">
        <v>1364.4098799999999</v>
      </c>
      <c r="K17" s="13">
        <v>1520000</v>
      </c>
      <c r="L17" s="22">
        <f t="shared" si="4"/>
        <v>137647.45653528182</v>
      </c>
      <c r="M17" s="22">
        <f t="shared" si="5"/>
        <v>137647.45653528182</v>
      </c>
      <c r="N17" s="19" t="s">
        <v>92</v>
      </c>
      <c r="O17" s="4">
        <f t="shared" si="6"/>
        <v>420.42644839247282</v>
      </c>
      <c r="P17" s="13">
        <v>573634</v>
      </c>
      <c r="Q17" s="22">
        <f t="shared" si="7"/>
        <v>51946.882290894639</v>
      </c>
      <c r="R17" s="13">
        <f t="shared" si="8"/>
        <v>51946.882290894639</v>
      </c>
    </row>
    <row r="18" spans="1:18" s="18" customFormat="1">
      <c r="A18" s="18" t="s">
        <v>38</v>
      </c>
      <c r="B18" s="4">
        <v>68.568569999999994</v>
      </c>
      <c r="C18" s="4">
        <v>75.425430000000006</v>
      </c>
      <c r="D18" s="36">
        <f t="shared" si="9"/>
        <v>11428.094999999999</v>
      </c>
      <c r="E18" s="34">
        <f>'Interval Circuities'!B18</f>
        <v>1.3193656310596753</v>
      </c>
      <c r="F18" s="4">
        <f t="shared" si="0"/>
        <v>51.970862652324627</v>
      </c>
      <c r="G18" s="4">
        <f t="shared" si="1"/>
        <v>8.6618104420541044</v>
      </c>
      <c r="H18" s="4">
        <f t="shared" si="2"/>
        <v>235.70414677839224</v>
      </c>
      <c r="I18" s="4">
        <f t="shared" si="3"/>
        <v>715.70094768578497</v>
      </c>
      <c r="J18" s="16">
        <v>1215.591516</v>
      </c>
      <c r="K18" s="13">
        <v>870000</v>
      </c>
      <c r="L18" s="22">
        <f t="shared" si="4"/>
        <v>168693.68122276469</v>
      </c>
      <c r="M18" s="22">
        <f t="shared" si="5"/>
        <v>168693.68122276469</v>
      </c>
      <c r="N18" s="19" t="s">
        <v>92</v>
      </c>
      <c r="O18" s="4">
        <f t="shared" si="6"/>
        <v>467.19723897776862</v>
      </c>
      <c r="P18" s="13">
        <v>567921</v>
      </c>
      <c r="Q18" s="22">
        <f t="shared" si="7"/>
        <v>110120.32659047557</v>
      </c>
      <c r="R18" s="13">
        <f t="shared" si="8"/>
        <v>110120.32659047557</v>
      </c>
    </row>
    <row r="19" spans="1:18">
      <c r="A19" s="18" t="s">
        <v>81</v>
      </c>
      <c r="B19" s="4">
        <v>58.403202946946948</v>
      </c>
      <c r="C19" s="4">
        <v>68.915779477397393</v>
      </c>
      <c r="D19" s="36">
        <f t="shared" si="9"/>
        <v>9733.8671578244921</v>
      </c>
      <c r="E19" s="34">
        <f>'Interval Circuities'!B19</f>
        <v>1.3897112960764897</v>
      </c>
      <c r="F19" s="4">
        <f t="shared" si="0"/>
        <v>42.02542147554972</v>
      </c>
      <c r="G19" s="4">
        <f t="shared" si="1"/>
        <v>7.0042369125916197</v>
      </c>
      <c r="H19" s="4">
        <f t="shared" si="2"/>
        <v>154.12444557057944</v>
      </c>
      <c r="I19" s="4">
        <f t="shared" si="3"/>
        <v>1753.5955020736319</v>
      </c>
      <c r="J19" s="16">
        <v>399.17985599999997</v>
      </c>
      <c r="K19" s="13">
        <v>700000</v>
      </c>
      <c r="L19" s="22">
        <f t="shared" si="4"/>
        <v>270271.93451216043</v>
      </c>
      <c r="M19" s="22">
        <f t="shared" si="5"/>
        <v>270271.93451216043</v>
      </c>
      <c r="N19" s="19" t="s">
        <v>92</v>
      </c>
      <c r="O19" s="4">
        <f t="shared" si="6"/>
        <v>802.79852598574018</v>
      </c>
      <c r="P19" s="13">
        <v>320461</v>
      </c>
      <c r="Q19" s="22">
        <f t="shared" si="7"/>
        <v>123730.87772243061</v>
      </c>
      <c r="R19" s="13">
        <f t="shared" si="8"/>
        <v>123730.87772243061</v>
      </c>
    </row>
    <row r="20" spans="1:18">
      <c r="A20" s="18" t="s">
        <v>39</v>
      </c>
      <c r="B20" s="4">
        <v>53.767299999999999</v>
      </c>
      <c r="C20" s="4">
        <v>68.822140000000005</v>
      </c>
      <c r="D20" s="36">
        <f t="shared" si="9"/>
        <v>8961.2166666666653</v>
      </c>
      <c r="E20" s="34">
        <f>'Interval Circuities'!B20</f>
        <v>1.3702791459157309</v>
      </c>
      <c r="F20" s="4">
        <f t="shared" si="0"/>
        <v>39.238209353371104</v>
      </c>
      <c r="G20" s="4">
        <f t="shared" si="1"/>
        <v>6.5397015588951835</v>
      </c>
      <c r="H20" s="4">
        <f t="shared" si="2"/>
        <v>134.35868107069166</v>
      </c>
      <c r="I20" s="4">
        <f t="shared" si="3"/>
        <v>1082.0570893248787</v>
      </c>
      <c r="J20" s="16">
        <v>3354.7213320000001</v>
      </c>
      <c r="K20" s="13">
        <v>3630000</v>
      </c>
      <c r="L20" s="22">
        <f t="shared" si="4"/>
        <v>145383.7633648823</v>
      </c>
      <c r="M20" s="22">
        <f t="shared" si="5"/>
        <v>145383.7633648823</v>
      </c>
      <c r="N20" s="19" t="s">
        <v>92</v>
      </c>
      <c r="O20" s="4">
        <f t="shared" si="6"/>
        <v>557.65585718104592</v>
      </c>
      <c r="P20" s="13">
        <v>1870780</v>
      </c>
      <c r="Q20" s="22">
        <f t="shared" si="7"/>
        <v>74925.905462191324</v>
      </c>
      <c r="R20" s="13">
        <f t="shared" si="8"/>
        <v>74925.905462191324</v>
      </c>
    </row>
    <row r="21" spans="1:18">
      <c r="A21" s="18" t="s">
        <v>40</v>
      </c>
      <c r="B21" s="4">
        <v>53.336190000000002</v>
      </c>
      <c r="C21" s="4">
        <v>65.070160000000001</v>
      </c>
      <c r="D21" s="36">
        <f t="shared" si="9"/>
        <v>8889.3649999999998</v>
      </c>
      <c r="E21" s="34">
        <f>'Interval Circuities'!B21</f>
        <v>1.3488678199601605</v>
      </c>
      <c r="F21" s="4">
        <f t="shared" si="0"/>
        <v>39.541450400659208</v>
      </c>
      <c r="G21" s="4">
        <f t="shared" si="1"/>
        <v>6.5902417334432011</v>
      </c>
      <c r="H21" s="4">
        <f t="shared" si="2"/>
        <v>136.44340936410447</v>
      </c>
      <c r="I21" s="4">
        <f t="shared" si="3"/>
        <v>719.24481249916198</v>
      </c>
      <c r="J21" s="16">
        <v>1432.0576000000001</v>
      </c>
      <c r="K21" s="13">
        <v>1030000</v>
      </c>
      <c r="L21" s="22">
        <f t="shared" si="4"/>
        <v>98136.214384831721</v>
      </c>
      <c r="M21" s="22">
        <f t="shared" si="5"/>
        <v>98136.214384831721</v>
      </c>
      <c r="N21" s="19" t="s">
        <v>92</v>
      </c>
      <c r="O21" s="4">
        <f t="shared" si="6"/>
        <v>568.03930232973869</v>
      </c>
      <c r="P21" s="13">
        <v>813465</v>
      </c>
      <c r="Q21" s="22">
        <f t="shared" si="7"/>
        <v>77505.219062676842</v>
      </c>
      <c r="R21" s="13">
        <f t="shared" si="8"/>
        <v>77505.219062676842</v>
      </c>
    </row>
    <row r="22" spans="1:18" ht="16">
      <c r="A22" s="18" t="s">
        <v>120</v>
      </c>
      <c r="B22" s="4">
        <v>57.819749999999999</v>
      </c>
      <c r="C22" s="4">
        <v>71.696479999999994</v>
      </c>
      <c r="D22" s="36">
        <f t="shared" si="9"/>
        <v>9636.6249999999982</v>
      </c>
      <c r="E22" s="34">
        <f>'Interval Circuities'!B22</f>
        <v>1.3681548557259369</v>
      </c>
      <c r="F22" s="4">
        <f t="shared" si="0"/>
        <v>42.261115222458571</v>
      </c>
      <c r="G22" s="4">
        <f t="shared" si="1"/>
        <v>7.0435192037430951</v>
      </c>
      <c r="H22" s="4">
        <f t="shared" si="2"/>
        <v>155.858064505268</v>
      </c>
      <c r="I22" s="4">
        <f t="shared" si="3"/>
        <v>1434.3253447427585</v>
      </c>
      <c r="J22" s="16">
        <v>1136.422783</v>
      </c>
      <c r="K22" s="13">
        <v>1630000</v>
      </c>
      <c r="L22" s="22">
        <f t="shared" si="4"/>
        <v>223551.17210245761</v>
      </c>
      <c r="M22" s="22">
        <f t="shared" si="5"/>
        <v>223551.17210245761</v>
      </c>
      <c r="N22" s="19" t="s">
        <v>92</v>
      </c>
      <c r="O22" s="4">
        <f t="shared" si="6"/>
        <v>772.15541005217597</v>
      </c>
      <c r="P22" s="13">
        <v>877495</v>
      </c>
      <c r="Q22" s="22">
        <f t="shared" si="7"/>
        <v>120346.64770800371</v>
      </c>
      <c r="R22" s="13">
        <f t="shared" si="8"/>
        <v>120346.64770800371</v>
      </c>
    </row>
    <row r="23" spans="1:18">
      <c r="A23" s="18" t="s">
        <v>41</v>
      </c>
      <c r="B23" s="4">
        <v>54.3979</v>
      </c>
      <c r="C23" s="4">
        <v>63.645539999999997</v>
      </c>
      <c r="D23" s="36">
        <f t="shared" si="9"/>
        <v>9066.3166666666657</v>
      </c>
      <c r="E23" s="34">
        <f>'Interval Circuities'!B23</f>
        <v>1.4208874155489499</v>
      </c>
      <c r="F23" s="4">
        <f t="shared" si="0"/>
        <v>38.284454774331117</v>
      </c>
      <c r="G23" s="4">
        <f t="shared" si="1"/>
        <v>6.3807424623885192</v>
      </c>
      <c r="H23" s="4">
        <f t="shared" si="2"/>
        <v>127.90640862414151</v>
      </c>
      <c r="I23" s="4">
        <f t="shared" si="3"/>
        <v>837.07067913405513</v>
      </c>
      <c r="J23" s="16">
        <v>1063.231603</v>
      </c>
      <c r="K23" s="13">
        <v>890000</v>
      </c>
      <c r="L23" s="22">
        <f t="shared" si="4"/>
        <v>107066.70433260809</v>
      </c>
      <c r="M23" s="22">
        <f t="shared" si="5"/>
        <v>107066.70433260809</v>
      </c>
      <c r="N23" s="19" t="s">
        <v>92</v>
      </c>
      <c r="O23" s="4">
        <f t="shared" si="6"/>
        <v>467.6516373262844</v>
      </c>
      <c r="P23" s="13">
        <v>497222</v>
      </c>
      <c r="Q23" s="22">
        <f t="shared" si="7"/>
        <v>59815.641417604558</v>
      </c>
      <c r="R23" s="13">
        <f t="shared" si="8"/>
        <v>59815.641417604558</v>
      </c>
    </row>
    <row r="24" spans="1:18">
      <c r="A24" s="18" t="s">
        <v>75</v>
      </c>
      <c r="B24" s="4">
        <v>63.341059999999999</v>
      </c>
      <c r="C24" s="4">
        <v>69.041749999999993</v>
      </c>
      <c r="D24" s="36">
        <f t="shared" si="9"/>
        <v>10556.843333333332</v>
      </c>
      <c r="E24" s="34">
        <f>'Interval Circuities'!B24</f>
        <v>1.3468144074036565</v>
      </c>
      <c r="F24" s="4">
        <f t="shared" si="0"/>
        <v>47.030280973981235</v>
      </c>
      <c r="G24" s="4">
        <f t="shared" si="1"/>
        <v>7.8383801623302052</v>
      </c>
      <c r="H24" s="4">
        <f t="shared" si="2"/>
        <v>193.02009216809685</v>
      </c>
      <c r="I24" s="4">
        <f t="shared" si="3"/>
        <v>941.4472355544217</v>
      </c>
      <c r="J24" s="16">
        <v>1513.6270480000001</v>
      </c>
      <c r="K24" s="13">
        <v>1425000</v>
      </c>
      <c r="L24" s="22">
        <f t="shared" si="4"/>
        <v>181718.23217811447</v>
      </c>
      <c r="M24" s="22">
        <f t="shared" si="5"/>
        <v>181718.23217811447</v>
      </c>
      <c r="N24" s="19" t="s">
        <v>92</v>
      </c>
      <c r="O24" s="4">
        <f t="shared" si="6"/>
        <v>588.92446536143029</v>
      </c>
      <c r="P24" s="13">
        <v>891412</v>
      </c>
      <c r="Q24" s="22">
        <f t="shared" si="7"/>
        <v>113674.25458411044</v>
      </c>
      <c r="R24" s="13">
        <f t="shared" si="8"/>
        <v>113674.25458411044</v>
      </c>
    </row>
    <row r="25" spans="1:18">
      <c r="A25" s="18" t="s">
        <v>63</v>
      </c>
      <c r="B25" s="4">
        <v>50.764740000000003</v>
      </c>
      <c r="C25" s="4">
        <v>64.471209999999999</v>
      </c>
      <c r="D25" s="36">
        <f t="shared" si="9"/>
        <v>8460.7899999999991</v>
      </c>
      <c r="E25" s="34">
        <f>'Interval Circuities'!B25</f>
        <v>1.3370217985664918</v>
      </c>
      <c r="F25" s="4">
        <f t="shared" si="0"/>
        <v>37.968520823241768</v>
      </c>
      <c r="G25" s="4">
        <f t="shared" si="1"/>
        <v>6.328086803873628</v>
      </c>
      <c r="H25" s="4">
        <f t="shared" si="2"/>
        <v>125.80408066319978</v>
      </c>
      <c r="I25" s="4">
        <f t="shared" si="3"/>
        <v>1755.5750317549087</v>
      </c>
      <c r="J25" s="16">
        <v>740.49811399999999</v>
      </c>
      <c r="K25" s="13">
        <v>1300000</v>
      </c>
      <c r="L25" s="22">
        <f t="shared" si="4"/>
        <v>220858.50290519404</v>
      </c>
      <c r="M25" s="22">
        <f t="shared" si="5"/>
        <v>220858.50290519404</v>
      </c>
      <c r="N25" s="19" t="s">
        <v>92</v>
      </c>
      <c r="O25" s="4">
        <f t="shared" si="6"/>
        <v>934.33728853494426</v>
      </c>
      <c r="P25" s="13">
        <v>691875</v>
      </c>
      <c r="Q25" s="22">
        <f t="shared" si="7"/>
        <v>117543.44361348551</v>
      </c>
      <c r="R25" s="13">
        <f t="shared" si="8"/>
        <v>117543.44361348551</v>
      </c>
    </row>
    <row r="26" spans="1:18" ht="16">
      <c r="A26" s="18" t="s">
        <v>121</v>
      </c>
      <c r="B26" s="4">
        <v>47.966560000000001</v>
      </c>
      <c r="C26" s="4">
        <v>70.990499999999997</v>
      </c>
      <c r="D26" s="36">
        <f t="shared" si="9"/>
        <v>7994.4266666666663</v>
      </c>
      <c r="E26" s="34">
        <f>'Interval Circuities'!B26</f>
        <v>1.3204750649321098</v>
      </c>
      <c r="F26" s="4">
        <f t="shared" si="0"/>
        <v>36.325229664572369</v>
      </c>
      <c r="G26" s="4">
        <f t="shared" si="1"/>
        <v>6.0542049440953942</v>
      </c>
      <c r="H26" s="4">
        <f t="shared" si="2"/>
        <v>115.15004433115726</v>
      </c>
      <c r="I26" s="4">
        <f t="shared" si="3"/>
        <v>2881.990935894984</v>
      </c>
      <c r="J26" s="16">
        <v>4319.9303110000001</v>
      </c>
      <c r="K26" s="13">
        <v>12450000</v>
      </c>
      <c r="L26" s="22">
        <f t="shared" si="4"/>
        <v>331861.38403030083</v>
      </c>
      <c r="M26" s="22">
        <f t="shared" si="5"/>
        <v>331861.38403030083</v>
      </c>
      <c r="N26" s="19" t="s">
        <v>92</v>
      </c>
      <c r="O26" s="4">
        <f t="shared" si="6"/>
        <v>1226.6024260871461</v>
      </c>
      <c r="P26" s="13">
        <f>3889686+1409151</f>
        <v>5298837</v>
      </c>
      <c r="Q26" s="22">
        <f t="shared" si="7"/>
        <v>141243.32374063993</v>
      </c>
      <c r="R26" s="13">
        <f t="shared" si="8"/>
        <v>141243.32374063993</v>
      </c>
    </row>
    <row r="27" spans="1:18">
      <c r="A27" s="18" t="s">
        <v>42</v>
      </c>
      <c r="B27" s="4">
        <v>57.963749999999997</v>
      </c>
      <c r="C27" s="4">
        <v>68.976879999999994</v>
      </c>
      <c r="D27" s="36">
        <f t="shared" si="9"/>
        <v>9660.625</v>
      </c>
      <c r="E27" s="34">
        <f>'Interval Circuities'!B27</f>
        <v>1.4104777673151672</v>
      </c>
      <c r="F27" s="4">
        <f t="shared" si="0"/>
        <v>41.09511779851271</v>
      </c>
      <c r="G27" s="4">
        <f t="shared" si="1"/>
        <v>6.8491862997521178</v>
      </c>
      <c r="H27" s="4">
        <f t="shared" si="2"/>
        <v>147.37636185646369</v>
      </c>
      <c r="I27" s="4">
        <f t="shared" si="3"/>
        <v>848.58220843261222</v>
      </c>
      <c r="J27" s="16">
        <v>1013.455139</v>
      </c>
      <c r="K27" s="13">
        <v>860000</v>
      </c>
      <c r="L27" s="22">
        <f t="shared" si="4"/>
        <v>125060.95861492175</v>
      </c>
      <c r="M27" s="22">
        <f t="shared" si="5"/>
        <v>125060.95861492175</v>
      </c>
      <c r="N27" s="19" t="s">
        <v>92</v>
      </c>
      <c r="O27" s="4">
        <f t="shared" si="6"/>
        <v>509.17497987051996</v>
      </c>
      <c r="P27" s="13">
        <v>516026</v>
      </c>
      <c r="Q27" s="22">
        <f t="shared" si="7"/>
        <v>75040.356081655365</v>
      </c>
      <c r="R27" s="13">
        <f t="shared" si="8"/>
        <v>75040.356081655365</v>
      </c>
    </row>
    <row r="28" spans="1:18">
      <c r="A28" s="18" t="s">
        <v>43</v>
      </c>
      <c r="B28" s="4">
        <v>57.321390000000001</v>
      </c>
      <c r="C28" s="4">
        <v>64.773169999999993</v>
      </c>
      <c r="D28" s="36">
        <f t="shared" si="9"/>
        <v>9553.5649999999987</v>
      </c>
      <c r="E28" s="34">
        <f>'Interval Circuities'!B28</f>
        <v>1.3956795616705349</v>
      </c>
      <c r="F28" s="4">
        <f t="shared" si="0"/>
        <v>41.070594980548499</v>
      </c>
      <c r="G28" s="4">
        <f t="shared" si="1"/>
        <v>6.8450991634247496</v>
      </c>
      <c r="H28" s="4">
        <f t="shared" si="2"/>
        <v>147.20052562258189</v>
      </c>
      <c r="I28" s="4">
        <f t="shared" si="3"/>
        <v>946.38210751600684</v>
      </c>
      <c r="J28" s="16">
        <v>1035.5225359999999</v>
      </c>
      <c r="K28" s="13">
        <v>980000</v>
      </c>
      <c r="L28" s="22">
        <f t="shared" si="4"/>
        <v>139307.94366616302</v>
      </c>
      <c r="M28" s="22">
        <f t="shared" si="5"/>
        <v>139307.94366616302</v>
      </c>
      <c r="N28" s="19" t="s">
        <v>92</v>
      </c>
      <c r="O28" s="4">
        <f t="shared" si="6"/>
        <v>519.02878142673273</v>
      </c>
      <c r="P28" s="13">
        <v>537466</v>
      </c>
      <c r="Q28" s="22">
        <f t="shared" si="7"/>
        <v>76401.309439263234</v>
      </c>
      <c r="R28" s="13">
        <f t="shared" si="8"/>
        <v>76401.309439263234</v>
      </c>
    </row>
    <row r="29" spans="1:18">
      <c r="A29" s="18" t="s">
        <v>44</v>
      </c>
      <c r="B29" s="4">
        <v>57.256279999999997</v>
      </c>
      <c r="C29" s="4">
        <v>65.844710000000006</v>
      </c>
      <c r="D29" s="36">
        <f t="shared" si="9"/>
        <v>9542.7133333333313</v>
      </c>
      <c r="E29" s="34">
        <f>'Interval Circuities'!B29</f>
        <v>1.2891527648949177</v>
      </c>
      <c r="F29" s="4">
        <f t="shared" si="0"/>
        <v>44.413882946345083</v>
      </c>
      <c r="G29" s="4">
        <f t="shared" si="1"/>
        <v>7.4023138243908466</v>
      </c>
      <c r="H29" s="4">
        <f t="shared" si="2"/>
        <v>172.14121311686151</v>
      </c>
      <c r="I29" s="4">
        <f t="shared" si="3"/>
        <v>1109.8416821225401</v>
      </c>
      <c r="J29" s="16">
        <v>1261.4411789999999</v>
      </c>
      <c r="K29" s="13">
        <v>1400000</v>
      </c>
      <c r="L29" s="22">
        <f t="shared" si="4"/>
        <v>191049.49352823224</v>
      </c>
      <c r="M29" s="22">
        <f t="shared" si="5"/>
        <v>191049.49352823224</v>
      </c>
      <c r="N29" s="19" t="s">
        <v>92</v>
      </c>
      <c r="O29" s="4">
        <f t="shared" si="6"/>
        <v>619.65949186759508</v>
      </c>
      <c r="P29" s="13">
        <v>781664</v>
      </c>
      <c r="Q29" s="22">
        <f t="shared" si="7"/>
        <v>106668.93664946579</v>
      </c>
      <c r="R29" s="13">
        <f t="shared" si="8"/>
        <v>106668.93664946579</v>
      </c>
    </row>
    <row r="30" spans="1:18">
      <c r="A30" s="18" t="s">
        <v>45</v>
      </c>
      <c r="B30" s="4">
        <v>55.30265</v>
      </c>
      <c r="C30" s="4">
        <v>69.681340000000006</v>
      </c>
      <c r="D30" s="36">
        <f t="shared" si="9"/>
        <v>9217.1083333333318</v>
      </c>
      <c r="E30" s="34">
        <f>'Interval Circuities'!B30</f>
        <v>1.3631972364714742</v>
      </c>
      <c r="F30" s="4">
        <f t="shared" si="0"/>
        <v>40.568340751002722</v>
      </c>
      <c r="G30" s="4">
        <f t="shared" si="1"/>
        <v>6.7613901251671198</v>
      </c>
      <c r="H30" s="4">
        <f t="shared" si="2"/>
        <v>143.62229515645959</v>
      </c>
      <c r="I30" s="4">
        <f t="shared" si="3"/>
        <v>1049.2157487922923</v>
      </c>
      <c r="J30" s="16">
        <v>2316.0155599999998</v>
      </c>
      <c r="K30" s="13">
        <v>2430000</v>
      </c>
      <c r="L30" s="22">
        <f t="shared" si="4"/>
        <v>150690.77395585235</v>
      </c>
      <c r="M30" s="22">
        <f t="shared" si="5"/>
        <v>150690.77395585235</v>
      </c>
      <c r="N30" s="19" t="s">
        <v>92</v>
      </c>
      <c r="O30" s="4">
        <f t="shared" si="6"/>
        <v>709.14808534360634</v>
      </c>
      <c r="P30" s="13">
        <v>1642398</v>
      </c>
      <c r="Q30" s="22">
        <f t="shared" si="7"/>
        <v>101849.47562285762</v>
      </c>
      <c r="R30" s="13">
        <f t="shared" si="8"/>
        <v>101849.47562285762</v>
      </c>
    </row>
    <row r="31" spans="1:18">
      <c r="A31" s="18" t="s">
        <v>46</v>
      </c>
      <c r="B31" s="4">
        <v>60.804580000000001</v>
      </c>
      <c r="C31" s="4">
        <v>70.533320000000003</v>
      </c>
      <c r="D31" s="36">
        <f t="shared" si="9"/>
        <v>10134.096666666666</v>
      </c>
      <c r="E31" s="34">
        <f>'Interval Circuities'!B31</f>
        <v>1.4676806157574025</v>
      </c>
      <c r="F31" s="4">
        <f t="shared" si="0"/>
        <v>41.429027097030612</v>
      </c>
      <c r="G31" s="4">
        <f t="shared" si="1"/>
        <v>6.9048378495051015</v>
      </c>
      <c r="H31" s="4">
        <f t="shared" si="2"/>
        <v>149.78103978972828</v>
      </c>
      <c r="I31" s="4">
        <f t="shared" si="3"/>
        <v>761.86150080518587</v>
      </c>
      <c r="J31" s="16">
        <v>1115.688349</v>
      </c>
      <c r="K31" s="13">
        <v>850000</v>
      </c>
      <c r="L31" s="22">
        <f t="shared" si="4"/>
        <v>114112.40776636366</v>
      </c>
      <c r="M31" s="22">
        <f t="shared" si="5"/>
        <v>114112.40776636366</v>
      </c>
      <c r="N31" s="19" t="s">
        <v>92</v>
      </c>
      <c r="O31" s="4">
        <f t="shared" si="6"/>
        <v>568.95099834012876</v>
      </c>
      <c r="P31" s="13">
        <v>634772</v>
      </c>
      <c r="Q31" s="22">
        <f t="shared" si="7"/>
        <v>85218.072120788464</v>
      </c>
      <c r="R31" s="13">
        <f t="shared" si="8"/>
        <v>85218.072120788464</v>
      </c>
    </row>
    <row r="32" spans="1:18">
      <c r="A32" s="18" t="s">
        <v>47</v>
      </c>
      <c r="B32" s="4">
        <v>56.712069999999997</v>
      </c>
      <c r="C32" s="4">
        <v>65.218879999999999</v>
      </c>
      <c r="D32" s="36">
        <f t="shared" si="9"/>
        <v>9452.0116666666654</v>
      </c>
      <c r="E32" s="34">
        <f>'Interval Circuities'!B32</f>
        <v>1.3950623483411841</v>
      </c>
      <c r="F32" s="4">
        <f t="shared" si="0"/>
        <v>40.651996713576402</v>
      </c>
      <c r="G32" s="4">
        <f t="shared" si="1"/>
        <v>6.775332785596067</v>
      </c>
      <c r="H32" s="4">
        <f t="shared" si="2"/>
        <v>144.21523285352043</v>
      </c>
      <c r="I32" s="4">
        <f t="shared" si="3"/>
        <v>2137.0329710580395</v>
      </c>
      <c r="J32" s="16">
        <v>512.39265599999999</v>
      </c>
      <c r="K32" s="13">
        <v>1095000</v>
      </c>
      <c r="L32" s="22">
        <f t="shared" si="4"/>
        <v>308192.70753678575</v>
      </c>
      <c r="M32" s="22">
        <f t="shared" si="5"/>
        <v>308192.70753678575</v>
      </c>
      <c r="N32" s="19" t="s">
        <v>92</v>
      </c>
      <c r="O32" s="4">
        <f t="shared" si="6"/>
        <v>1056.4398097071867</v>
      </c>
      <c r="P32" s="13">
        <v>541312</v>
      </c>
      <c r="Q32" s="22">
        <f t="shared" si="7"/>
        <v>152354.71315265074</v>
      </c>
      <c r="R32" s="13">
        <f t="shared" si="8"/>
        <v>152354.71315265074</v>
      </c>
    </row>
    <row r="33" spans="1:18">
      <c r="A33" s="18" t="s">
        <v>65</v>
      </c>
      <c r="B33" s="4">
        <v>51.868699999999997</v>
      </c>
      <c r="C33" s="4">
        <v>66.910629999999998</v>
      </c>
      <c r="D33" s="36">
        <f t="shared" si="9"/>
        <v>8644.7833333333328</v>
      </c>
      <c r="E33" s="34">
        <f>'Interval Circuities'!B33</f>
        <v>1.3553383712449574</v>
      </c>
      <c r="F33" s="4">
        <f t="shared" si="0"/>
        <v>38.269926610544914</v>
      </c>
      <c r="G33" s="4">
        <f t="shared" si="1"/>
        <v>6.3783211017574857</v>
      </c>
      <c r="H33" s="4">
        <f t="shared" si="2"/>
        <v>127.80935133643527</v>
      </c>
      <c r="I33" s="4">
        <f t="shared" si="3"/>
        <v>1980.8358108488483</v>
      </c>
      <c r="J33" s="16">
        <v>8683.2032749999998</v>
      </c>
      <c r="K33" s="13">
        <v>17200000</v>
      </c>
      <c r="L33" s="22">
        <f t="shared" si="4"/>
        <v>253169.34008857308</v>
      </c>
      <c r="M33" s="22">
        <f t="shared" si="5"/>
        <v>253169.34008857308</v>
      </c>
      <c r="N33" s="19" t="s">
        <v>92</v>
      </c>
      <c r="O33" s="4">
        <f t="shared" si="6"/>
        <v>908.02319723420271</v>
      </c>
      <c r="P33" s="13">
        <f>3845734+647143+223496+331771+1100827+943220+792359</f>
        <v>7884550</v>
      </c>
      <c r="Q33" s="22">
        <f t="shared" si="7"/>
        <v>116053.85583693947</v>
      </c>
      <c r="R33" s="13">
        <f t="shared" si="8"/>
        <v>116053.85583693947</v>
      </c>
    </row>
    <row r="34" spans="1:18">
      <c r="A34" s="18" t="s">
        <v>66</v>
      </c>
      <c r="B34" s="4">
        <v>59.517719999999997</v>
      </c>
      <c r="C34" s="4">
        <v>65.469489999999993</v>
      </c>
      <c r="D34" s="36">
        <f t="shared" si="9"/>
        <v>9919.619999999999</v>
      </c>
      <c r="E34" s="34">
        <f>'Interval Circuities'!B34</f>
        <v>1.3557576382913992</v>
      </c>
      <c r="F34" s="4">
        <f t="shared" si="0"/>
        <v>43.899970259439236</v>
      </c>
      <c r="G34" s="4">
        <f t="shared" si="1"/>
        <v>7.3166617099065387</v>
      </c>
      <c r="H34" s="4">
        <f t="shared" si="2"/>
        <v>168.18057151483649</v>
      </c>
      <c r="I34" s="4">
        <f t="shared" si="3"/>
        <v>970.18996121809357</v>
      </c>
      <c r="J34" s="16">
        <v>834.88804500000003</v>
      </c>
      <c r="K34" s="13">
        <v>810000</v>
      </c>
      <c r="L34" s="22">
        <f t="shared" si="4"/>
        <v>163167.10215561601</v>
      </c>
      <c r="M34" s="22">
        <f t="shared" si="5"/>
        <v>163167.10215561601</v>
      </c>
      <c r="N34" s="19" t="s">
        <v>92</v>
      </c>
      <c r="O34" s="4">
        <f t="shared" si="6"/>
        <v>528.7128048407975</v>
      </c>
      <c r="P34" s="13">
        <v>441416</v>
      </c>
      <c r="Q34" s="22">
        <f t="shared" si="7"/>
        <v>88919.221685337528</v>
      </c>
      <c r="R34" s="13">
        <f t="shared" si="8"/>
        <v>88919.221685337528</v>
      </c>
    </row>
    <row r="35" spans="1:18">
      <c r="A35" s="18" t="s">
        <v>48</v>
      </c>
      <c r="B35" s="4">
        <v>45.740690000000001</v>
      </c>
      <c r="C35" s="4">
        <v>60.835120000000003</v>
      </c>
      <c r="D35" s="36">
        <f t="shared" si="9"/>
        <v>7623.4483333333328</v>
      </c>
      <c r="E35" s="34">
        <f>'Interval Circuities'!B35</f>
        <v>1.3729301491749999</v>
      </c>
      <c r="F35" s="4">
        <f t="shared" ref="F35:F53" si="10">B35/E35</f>
        <v>33.316108636324863</v>
      </c>
      <c r="G35" s="4">
        <f t="shared" ref="G35:G53" si="11">F35*$A$1</f>
        <v>5.5526847727208102</v>
      </c>
      <c r="H35" s="4">
        <f t="shared" ref="H35:H53" si="12">PI()*G35^2</f>
        <v>96.862552887858214</v>
      </c>
      <c r="I35" s="4">
        <f t="shared" ref="I35:I53" si="13">K35/J35</f>
        <v>1047.9139885488814</v>
      </c>
      <c r="J35" s="16">
        <v>1173.7604550000001</v>
      </c>
      <c r="K35" s="13">
        <v>1230000</v>
      </c>
      <c r="L35" s="22">
        <f t="shared" ref="L35:L53" si="14">H35*I35</f>
        <v>101503.62413774247</v>
      </c>
      <c r="M35" s="22">
        <f t="shared" ref="M35:M53" si="15">MIN(K35,L35)</f>
        <v>101503.62413774247</v>
      </c>
      <c r="N35" s="19" t="s">
        <v>92</v>
      </c>
      <c r="O35" s="4">
        <f t="shared" ref="O35:O53" si="16">P35/J35</f>
        <v>697.01274780125379</v>
      </c>
      <c r="P35" s="13">
        <v>818126</v>
      </c>
      <c r="Q35" s="22">
        <f t="shared" ref="Q35:Q53" si="17">H35*O35</f>
        <v>67514.434147410328</v>
      </c>
      <c r="R35" s="13">
        <f t="shared" ref="R35:R53" si="18">MIN(Q35,P35)</f>
        <v>67514.434147410328</v>
      </c>
    </row>
    <row r="36" spans="1:18">
      <c r="A36" s="18" t="s">
        <v>67</v>
      </c>
      <c r="B36" s="4">
        <v>52.865879999999997</v>
      </c>
      <c r="C36" s="4">
        <v>66.611009999999993</v>
      </c>
      <c r="D36" s="36">
        <f t="shared" si="9"/>
        <v>8810.98</v>
      </c>
      <c r="E36" s="34">
        <f>'Interval Circuities'!B36</f>
        <v>1.3170343911047411</v>
      </c>
      <c r="F36" s="4">
        <f t="shared" si="10"/>
        <v>40.140090765325873</v>
      </c>
      <c r="G36" s="4">
        <f t="shared" si="11"/>
        <v>6.6900151275543118</v>
      </c>
      <c r="H36" s="4">
        <f t="shared" si="12"/>
        <v>140.60607084337761</v>
      </c>
      <c r="I36" s="4">
        <f t="shared" si="13"/>
        <v>1099.6163268490113</v>
      </c>
      <c r="J36" s="16">
        <v>4660.7165379999997</v>
      </c>
      <c r="K36" s="13">
        <v>5125000</v>
      </c>
      <c r="L36" s="22">
        <f t="shared" si="14"/>
        <v>154612.73115346677</v>
      </c>
      <c r="M36" s="22">
        <f t="shared" si="15"/>
        <v>154612.73115346677</v>
      </c>
      <c r="N36" s="19" t="s">
        <v>92</v>
      </c>
      <c r="O36" s="4">
        <f t="shared" si="16"/>
        <v>547.27078534034638</v>
      </c>
      <c r="P36" s="13">
        <f>2237898+312776</f>
        <v>2550674</v>
      </c>
      <c r="Q36" s="22">
        <f t="shared" si="17"/>
        <v>76949.594814075637</v>
      </c>
      <c r="R36" s="13">
        <f t="shared" si="18"/>
        <v>76949.594814075637</v>
      </c>
    </row>
    <row r="37" spans="1:18">
      <c r="A37" s="18" t="s">
        <v>49</v>
      </c>
      <c r="B37" s="4">
        <v>52.44265</v>
      </c>
      <c r="C37" s="4">
        <v>67.126589999999993</v>
      </c>
      <c r="D37" s="36">
        <f t="shared" si="9"/>
        <v>8740.4416666666657</v>
      </c>
      <c r="E37" s="34">
        <f>'Interval Circuities'!B37</f>
        <v>1.3654756153734526</v>
      </c>
      <c r="F37" s="4">
        <f t="shared" si="10"/>
        <v>38.406141720558757</v>
      </c>
      <c r="G37" s="4">
        <f t="shared" si="11"/>
        <v>6.4010236200931256</v>
      </c>
      <c r="H37" s="4">
        <f t="shared" si="12"/>
        <v>128.72080058905999</v>
      </c>
      <c r="I37" s="4">
        <f t="shared" si="13"/>
        <v>1401.3597327768193</v>
      </c>
      <c r="J37" s="16">
        <v>2069.418674</v>
      </c>
      <c r="K37" s="13">
        <v>2900000</v>
      </c>
      <c r="L37" s="22">
        <f t="shared" si="14"/>
        <v>180384.14671630337</v>
      </c>
      <c r="M37" s="22">
        <f t="shared" si="15"/>
        <v>180384.14671630337</v>
      </c>
      <c r="N37" s="19" t="s">
        <v>92</v>
      </c>
      <c r="O37" s="4">
        <f t="shared" si="16"/>
        <v>677.88602549355369</v>
      </c>
      <c r="P37" s="13">
        <v>1402830</v>
      </c>
      <c r="Q37" s="22">
        <f t="shared" si="17"/>
        <v>87258.031909666155</v>
      </c>
      <c r="R37" s="13">
        <f t="shared" si="18"/>
        <v>87258.031909666155</v>
      </c>
    </row>
    <row r="38" spans="1:18">
      <c r="A38" s="18" t="s">
        <v>50</v>
      </c>
      <c r="B38" s="4">
        <v>58.551130000000001</v>
      </c>
      <c r="C38" s="4">
        <v>64.406239999999997</v>
      </c>
      <c r="D38" s="36">
        <f t="shared" si="9"/>
        <v>9758.5216666666674</v>
      </c>
      <c r="E38" s="34">
        <f>'Interval Circuities'!B38</f>
        <v>1.4225893665687803</v>
      </c>
      <c r="F38" s="4">
        <f t="shared" si="10"/>
        <v>41.158138374970854</v>
      </c>
      <c r="G38" s="4">
        <f t="shared" si="11"/>
        <v>6.8596897291618086</v>
      </c>
      <c r="H38" s="4">
        <f t="shared" si="12"/>
        <v>147.82872044759071</v>
      </c>
      <c r="I38" s="4">
        <f t="shared" si="13"/>
        <v>799.47580658814047</v>
      </c>
      <c r="J38" s="16">
        <v>2207.6965749999999</v>
      </c>
      <c r="K38" s="13">
        <v>1765000</v>
      </c>
      <c r="L38" s="22">
        <f t="shared" si="14"/>
        <v>118185.48551673032</v>
      </c>
      <c r="M38" s="22">
        <f t="shared" si="15"/>
        <v>118185.48551673032</v>
      </c>
      <c r="N38" s="19" t="s">
        <v>92</v>
      </c>
      <c r="O38" s="4">
        <f t="shared" si="16"/>
        <v>470.46365508810919</v>
      </c>
      <c r="P38" s="13">
        <v>1038641</v>
      </c>
      <c r="Q38" s="22">
        <f t="shared" si="17"/>
        <v>69548.040148771834</v>
      </c>
      <c r="R38" s="13">
        <f t="shared" si="18"/>
        <v>69548.040148771834</v>
      </c>
    </row>
    <row r="39" spans="1:18">
      <c r="A39" s="18" t="s">
        <v>51</v>
      </c>
      <c r="B39" s="4">
        <v>53.087949999999999</v>
      </c>
      <c r="C39" s="4">
        <v>67.952579999999998</v>
      </c>
      <c r="D39" s="36">
        <f t="shared" si="9"/>
        <v>8847.991666666665</v>
      </c>
      <c r="E39" s="34">
        <f>'Interval Circuities'!B39</f>
        <v>1.497231860923961</v>
      </c>
      <c r="F39" s="4">
        <f t="shared" si="10"/>
        <v>35.457400677566895</v>
      </c>
      <c r="G39" s="4">
        <f t="shared" si="11"/>
        <v>5.9095667795944822</v>
      </c>
      <c r="H39" s="4">
        <f t="shared" si="12"/>
        <v>109.713775909311</v>
      </c>
      <c r="I39" s="4">
        <f t="shared" si="13"/>
        <v>1295.3047985550368</v>
      </c>
      <c r="J39" s="16">
        <v>1227.5103140000001</v>
      </c>
      <c r="K39" s="13">
        <v>1590000</v>
      </c>
      <c r="L39" s="22">
        <f t="shared" si="14"/>
        <v>142112.78040292254</v>
      </c>
      <c r="M39" s="22">
        <f t="shared" si="15"/>
        <v>142112.78040292254</v>
      </c>
      <c r="N39" s="19" t="s">
        <v>92</v>
      </c>
      <c r="O39" s="4">
        <f t="shared" si="16"/>
        <v>714.74674387135121</v>
      </c>
      <c r="P39" s="13">
        <v>877359</v>
      </c>
      <c r="Q39" s="22">
        <f t="shared" si="17"/>
        <v>78417.564089011124</v>
      </c>
      <c r="R39" s="13">
        <f t="shared" si="18"/>
        <v>78417.564089011124</v>
      </c>
    </row>
    <row r="40" spans="1:18">
      <c r="A40" s="18" t="s">
        <v>52</v>
      </c>
      <c r="B40" s="4">
        <v>62.482399999999998</v>
      </c>
      <c r="C40" s="4">
        <v>71.229929999999996</v>
      </c>
      <c r="D40" s="36">
        <f t="shared" si="9"/>
        <v>10413.733333333334</v>
      </c>
      <c r="E40" s="34">
        <f>'Interval Circuities'!B40</f>
        <v>1.3248231024651607</v>
      </c>
      <c r="F40" s="4">
        <f t="shared" si="10"/>
        <v>47.162824896196376</v>
      </c>
      <c r="G40" s="4">
        <f t="shared" si="11"/>
        <v>7.8604708160327288</v>
      </c>
      <c r="H40" s="4">
        <f t="shared" si="12"/>
        <v>194.10958984172643</v>
      </c>
      <c r="I40" s="4">
        <f t="shared" si="13"/>
        <v>927.62866400845292</v>
      </c>
      <c r="J40" s="16">
        <v>1304.4012620000001</v>
      </c>
      <c r="K40" s="13">
        <v>1210000</v>
      </c>
      <c r="L40" s="22">
        <f t="shared" si="14"/>
        <v>180061.61949610946</v>
      </c>
      <c r="M40" s="22">
        <f t="shared" si="15"/>
        <v>180061.61949610946</v>
      </c>
      <c r="N40" s="19" t="s">
        <v>92</v>
      </c>
      <c r="O40" s="4">
        <f t="shared" si="16"/>
        <v>482.44740198664414</v>
      </c>
      <c r="P40" s="13">
        <v>629305</v>
      </c>
      <c r="Q40" s="22">
        <f t="shared" si="17"/>
        <v>93647.667319834014</v>
      </c>
      <c r="R40" s="13">
        <f t="shared" si="18"/>
        <v>93647.667319834014</v>
      </c>
    </row>
    <row r="41" spans="1:18">
      <c r="A41" s="18" t="s">
        <v>53</v>
      </c>
      <c r="B41" s="4">
        <v>61.628950000000003</v>
      </c>
      <c r="C41" s="4">
        <v>70.257009999999994</v>
      </c>
      <c r="D41" s="36">
        <f t="shared" si="9"/>
        <v>10271.491666666667</v>
      </c>
      <c r="E41" s="34">
        <f>'Interval Circuities'!B41</f>
        <v>1.3721700809670998</v>
      </c>
      <c r="F41" s="4">
        <f t="shared" si="10"/>
        <v>44.913492033410442</v>
      </c>
      <c r="G41" s="4">
        <f t="shared" si="11"/>
        <v>7.485582005568407</v>
      </c>
      <c r="H41" s="4">
        <f t="shared" si="12"/>
        <v>176.03580785340671</v>
      </c>
      <c r="I41" s="4">
        <f t="shared" si="13"/>
        <v>954.34497016892783</v>
      </c>
      <c r="J41" s="16">
        <v>827.79291000000001</v>
      </c>
      <c r="K41" s="13">
        <v>790000</v>
      </c>
      <c r="L41" s="22">
        <f t="shared" si="14"/>
        <v>167998.88779452254</v>
      </c>
      <c r="M41" s="22">
        <f t="shared" si="15"/>
        <v>167998.88779452254</v>
      </c>
      <c r="N41" s="19" t="s">
        <v>92</v>
      </c>
      <c r="O41" s="4">
        <f t="shared" si="16"/>
        <v>742.45018600123069</v>
      </c>
      <c r="P41" s="13">
        <v>614595</v>
      </c>
      <c r="Q41" s="22">
        <f t="shared" si="17"/>
        <v>130697.81828363871</v>
      </c>
      <c r="R41" s="13">
        <f t="shared" si="18"/>
        <v>130697.81828363871</v>
      </c>
    </row>
    <row r="42" spans="1:18">
      <c r="A42" s="18" t="s">
        <v>82</v>
      </c>
      <c r="B42" s="4">
        <v>62.089397559255026</v>
      </c>
      <c r="C42" s="4">
        <v>65.814761412810327</v>
      </c>
      <c r="D42" s="36">
        <f t="shared" si="9"/>
        <v>10348.232926542505</v>
      </c>
      <c r="E42" s="34">
        <f>'Interval Circuities'!B42</f>
        <v>1.2868299509717198</v>
      </c>
      <c r="F42" s="4">
        <f t="shared" si="10"/>
        <v>48.249885318856357</v>
      </c>
      <c r="G42" s="4">
        <f t="shared" si="11"/>
        <v>8.0416475531427256</v>
      </c>
      <c r="H42" s="4">
        <f t="shared" si="12"/>
        <v>203.16081333278893</v>
      </c>
      <c r="I42" s="4">
        <f t="shared" si="13"/>
        <v>869.91369247448461</v>
      </c>
      <c r="J42" s="16">
        <v>764.44365200000004</v>
      </c>
      <c r="K42" s="13">
        <v>665000</v>
      </c>
      <c r="L42" s="22">
        <f t="shared" si="14"/>
        <v>176732.37329244593</v>
      </c>
      <c r="M42" s="22">
        <f t="shared" si="15"/>
        <v>176732.37329244593</v>
      </c>
      <c r="N42" s="19" t="s">
        <v>92</v>
      </c>
      <c r="O42" s="4">
        <f t="shared" si="16"/>
        <v>595.44480330121178</v>
      </c>
      <c r="P42" s="13">
        <v>455184</v>
      </c>
      <c r="Q42" s="22">
        <f t="shared" si="17"/>
        <v>120971.05053345671</v>
      </c>
      <c r="R42" s="13">
        <f t="shared" si="18"/>
        <v>120971.05053345671</v>
      </c>
    </row>
    <row r="43" spans="1:18">
      <c r="A43" s="18" t="s">
        <v>54</v>
      </c>
      <c r="B43" s="4">
        <v>53.297409999999999</v>
      </c>
      <c r="C43" s="4">
        <v>67.687709999999996</v>
      </c>
      <c r="D43" s="36">
        <f t="shared" si="9"/>
        <v>8882.9016666666648</v>
      </c>
      <c r="E43" s="34">
        <f>'Interval Circuities'!B43</f>
        <v>1.4784314673911618</v>
      </c>
      <c r="F43" s="4">
        <f t="shared" si="10"/>
        <v>36.049969968542769</v>
      </c>
      <c r="G43" s="4">
        <f t="shared" si="11"/>
        <v>6.0083283280904611</v>
      </c>
      <c r="H43" s="4">
        <f t="shared" si="12"/>
        <v>113.41152400554199</v>
      </c>
      <c r="I43" s="4">
        <f t="shared" si="13"/>
        <v>1538.0035288978304</v>
      </c>
      <c r="J43" s="16">
        <v>955.78454299999999</v>
      </c>
      <c r="K43" s="13">
        <v>1470000</v>
      </c>
      <c r="L43" s="22">
        <f t="shared" si="14"/>
        <v>174427.3241382046</v>
      </c>
      <c r="M43" s="22">
        <f t="shared" si="15"/>
        <v>174427.3241382046</v>
      </c>
      <c r="N43" s="19" t="s">
        <v>92</v>
      </c>
      <c r="O43" s="4">
        <f t="shared" si="16"/>
        <v>612.25827963614597</v>
      </c>
      <c r="P43" s="13">
        <v>585187</v>
      </c>
      <c r="Q43" s="22">
        <f t="shared" si="17"/>
        <v>69437.144578546606</v>
      </c>
      <c r="R43" s="13">
        <f t="shared" si="18"/>
        <v>69437.144578546606</v>
      </c>
    </row>
    <row r="44" spans="1:18">
      <c r="A44" s="18" t="s">
        <v>55</v>
      </c>
      <c r="B44" s="4">
        <v>52.234180000000002</v>
      </c>
      <c r="C44" s="4">
        <v>63.725700000000003</v>
      </c>
      <c r="D44" s="36">
        <f t="shared" si="9"/>
        <v>8705.6966666666667</v>
      </c>
      <c r="E44" s="34">
        <f>'Interval Circuities'!B44</f>
        <v>1.4171473677066153</v>
      </c>
      <c r="F44" s="4">
        <f t="shared" si="10"/>
        <v>36.858679055045016</v>
      </c>
      <c r="G44" s="4">
        <f t="shared" si="11"/>
        <v>6.1431131758408357</v>
      </c>
      <c r="H44" s="4">
        <f t="shared" si="12"/>
        <v>118.55691930787101</v>
      </c>
      <c r="I44" s="4">
        <f t="shared" si="13"/>
        <v>1539.5789483851775</v>
      </c>
      <c r="J44" s="16">
        <v>597.56597799999997</v>
      </c>
      <c r="K44" s="13">
        <v>920000</v>
      </c>
      <c r="L44" s="22">
        <f t="shared" si="14"/>
        <v>182527.73715179838</v>
      </c>
      <c r="M44" s="22">
        <f t="shared" si="15"/>
        <v>182527.73715179838</v>
      </c>
      <c r="N44" s="19" t="s">
        <v>92</v>
      </c>
      <c r="O44" s="4">
        <f t="shared" si="16"/>
        <v>1022.9581711561229</v>
      </c>
      <c r="P44" s="13">
        <v>611285</v>
      </c>
      <c r="Q44" s="22">
        <f t="shared" si="17"/>
        <v>121278.76935308377</v>
      </c>
      <c r="R44" s="13">
        <f t="shared" si="18"/>
        <v>121278.76935308377</v>
      </c>
    </row>
    <row r="45" spans="1:18">
      <c r="A45" s="18" t="s">
        <v>68</v>
      </c>
      <c r="B45" s="4">
        <v>59.60624</v>
      </c>
      <c r="C45" s="4">
        <v>71.52749</v>
      </c>
      <c r="D45" s="36">
        <f t="shared" si="9"/>
        <v>9934.373333333333</v>
      </c>
      <c r="E45" s="34">
        <f>'Interval Circuities'!B45</f>
        <v>1.4440798318595534</v>
      </c>
      <c r="F45" s="4">
        <f t="shared" si="10"/>
        <v>41.276277588645883</v>
      </c>
      <c r="G45" s="4">
        <f t="shared" si="11"/>
        <v>6.8793795981076471</v>
      </c>
      <c r="H45" s="4">
        <f t="shared" si="12"/>
        <v>148.67858558289953</v>
      </c>
      <c r="I45" s="4">
        <f t="shared" si="13"/>
        <v>1193.6639046698626</v>
      </c>
      <c r="J45" s="16">
        <v>1055.5735119999999</v>
      </c>
      <c r="K45" s="13">
        <v>1260000</v>
      </c>
      <c r="L45" s="22">
        <f t="shared" si="14"/>
        <v>177472.26100767619</v>
      </c>
      <c r="M45" s="22">
        <f t="shared" si="15"/>
        <v>177472.26100767619</v>
      </c>
      <c r="N45" s="19" t="s">
        <v>92</v>
      </c>
      <c r="O45" s="4">
        <f t="shared" si="16"/>
        <v>601.99786445569703</v>
      </c>
      <c r="P45" s="13">
        <v>635453</v>
      </c>
      <c r="Q45" s="22">
        <f t="shared" si="17"/>
        <v>89504.191011199102</v>
      </c>
      <c r="R45" s="13">
        <f t="shared" si="18"/>
        <v>89504.191011199102</v>
      </c>
    </row>
    <row r="46" spans="1:18">
      <c r="A46" s="18" t="s">
        <v>69</v>
      </c>
      <c r="B46" s="4">
        <v>53.169829999999997</v>
      </c>
      <c r="C46" s="4">
        <v>70.715869999999995</v>
      </c>
      <c r="D46" s="36">
        <f t="shared" si="9"/>
        <v>8861.6383333333324</v>
      </c>
      <c r="E46" s="34">
        <f>'Interval Circuities'!B46</f>
        <v>1.4163798747179295</v>
      </c>
      <c r="F46" s="4">
        <f t="shared" si="10"/>
        <v>37.539244202116834</v>
      </c>
      <c r="G46" s="4">
        <f t="shared" si="11"/>
        <v>6.2565407003528053</v>
      </c>
      <c r="H46" s="4">
        <f t="shared" si="12"/>
        <v>122.97545013279742</v>
      </c>
      <c r="I46" s="4">
        <f t="shared" si="13"/>
        <v>1372.086028348845</v>
      </c>
      <c r="J46" s="16">
        <v>2026.112024</v>
      </c>
      <c r="K46" s="13">
        <v>2780000</v>
      </c>
      <c r="L46" s="22">
        <f t="shared" si="14"/>
        <v>168732.89695712147</v>
      </c>
      <c r="M46" s="22">
        <f t="shared" si="15"/>
        <v>168732.89695712147</v>
      </c>
      <c r="N46" s="19" t="s">
        <v>92</v>
      </c>
      <c r="O46" s="4">
        <f t="shared" si="16"/>
        <v>533.91026122255516</v>
      </c>
      <c r="P46" s="13">
        <v>1081762</v>
      </c>
      <c r="Q46" s="22">
        <f t="shared" si="17"/>
        <v>65657.85470436317</v>
      </c>
      <c r="R46" s="13">
        <f t="shared" si="18"/>
        <v>65657.85470436317</v>
      </c>
    </row>
    <row r="47" spans="1:18" ht="16">
      <c r="A47" s="18" t="s">
        <v>114</v>
      </c>
      <c r="B47" s="4">
        <v>53.325209999999998</v>
      </c>
      <c r="C47" s="4">
        <v>72.522279999999995</v>
      </c>
      <c r="D47" s="36">
        <f t="shared" si="9"/>
        <v>8887.5349999999999</v>
      </c>
      <c r="E47" s="34">
        <f>'Interval Circuities'!B47</f>
        <v>1.4261474874002367</v>
      </c>
      <c r="F47" s="4">
        <f t="shared" si="10"/>
        <v>37.391090662865444</v>
      </c>
      <c r="G47" s="4">
        <f t="shared" si="11"/>
        <v>6.2318484438109074</v>
      </c>
      <c r="H47" s="4">
        <f t="shared" si="12"/>
        <v>122.00668817494639</v>
      </c>
      <c r="I47" s="4">
        <f t="shared" si="13"/>
        <v>3692.1786197984002</v>
      </c>
      <c r="J47" s="16">
        <v>1107.747057</v>
      </c>
      <c r="K47" s="13">
        <v>4090000</v>
      </c>
      <c r="L47" s="22">
        <f t="shared" si="14"/>
        <v>450470.48555194738</v>
      </c>
      <c r="M47" s="22">
        <f t="shared" si="15"/>
        <v>450470.48555194738</v>
      </c>
      <c r="N47" s="19" t="s">
        <v>92</v>
      </c>
      <c r="O47" s="4">
        <f t="shared" si="16"/>
        <v>1849.2479732221034</v>
      </c>
      <c r="P47" s="13">
        <f>1048438+1000061</f>
        <v>2048499</v>
      </c>
      <c r="Q47" s="22">
        <f t="shared" si="17"/>
        <v>225620.62082706077</v>
      </c>
      <c r="R47" s="13">
        <f t="shared" si="18"/>
        <v>225620.62082706077</v>
      </c>
    </row>
    <row r="48" spans="1:18" ht="16">
      <c r="A48" s="18" t="s">
        <v>72</v>
      </c>
      <c r="B48" s="4">
        <v>50.663890000000002</v>
      </c>
      <c r="C48" s="4">
        <v>67.889619999999994</v>
      </c>
      <c r="D48" s="36">
        <f t="shared" si="9"/>
        <v>8443.9816666666666</v>
      </c>
      <c r="E48" s="34">
        <f>'Interval Circuities'!B48</f>
        <v>1.4495576335346807</v>
      </c>
      <c r="F48" s="4">
        <f t="shared" si="10"/>
        <v>34.951276739827449</v>
      </c>
      <c r="G48" s="4">
        <f t="shared" si="11"/>
        <v>5.8252127899712409</v>
      </c>
      <c r="H48" s="4">
        <f t="shared" si="12"/>
        <v>106.60399039209139</v>
      </c>
      <c r="I48" s="4">
        <f t="shared" si="13"/>
        <v>2486.3299685748229</v>
      </c>
      <c r="J48" s="16">
        <v>673.68371100000002</v>
      </c>
      <c r="K48" s="13">
        <v>1675000</v>
      </c>
      <c r="L48" s="22">
        <f t="shared" si="14"/>
        <v>265052.6960815193</v>
      </c>
      <c r="M48" s="22">
        <f t="shared" si="15"/>
        <v>265052.6960815193</v>
      </c>
      <c r="N48" s="19" t="s">
        <v>92</v>
      </c>
      <c r="O48" s="4">
        <f t="shared" si="16"/>
        <v>1548.2013042170763</v>
      </c>
      <c r="P48" s="13">
        <v>1042998</v>
      </c>
      <c r="Q48" s="22">
        <f t="shared" si="17"/>
        <v>165044.43695978055</v>
      </c>
      <c r="R48" s="13">
        <f t="shared" si="18"/>
        <v>165044.43695978055</v>
      </c>
    </row>
    <row r="49" spans="1:18">
      <c r="A49" s="18" t="s">
        <v>56</v>
      </c>
      <c r="B49" s="4">
        <v>58.18665</v>
      </c>
      <c r="C49" s="4">
        <v>73.897040000000004</v>
      </c>
      <c r="D49" s="36">
        <f t="shared" si="9"/>
        <v>9697.7749999999996</v>
      </c>
      <c r="E49" s="34">
        <f>'Interval Circuities'!B49</f>
        <v>1.4004286301414794</v>
      </c>
      <c r="F49" s="4">
        <f t="shared" si="10"/>
        <v>41.549171980382638</v>
      </c>
      <c r="G49" s="4">
        <f t="shared" si="11"/>
        <v>6.9248619967304395</v>
      </c>
      <c r="H49" s="4">
        <f t="shared" si="12"/>
        <v>150.65103458983751</v>
      </c>
      <c r="I49" s="4">
        <f t="shared" si="13"/>
        <v>1109.3651265048711</v>
      </c>
      <c r="J49" s="16">
        <v>2469.8811369999999</v>
      </c>
      <c r="K49" s="13">
        <v>2740000</v>
      </c>
      <c r="L49" s="22">
        <f t="shared" si="14"/>
        <v>167127.00404584481</v>
      </c>
      <c r="M49" s="22">
        <f t="shared" si="15"/>
        <v>167127.00404584481</v>
      </c>
      <c r="N49" s="19" t="s">
        <v>92</v>
      </c>
      <c r="O49" s="4">
        <f t="shared" si="16"/>
        <v>599.91348482451292</v>
      </c>
      <c r="P49" s="13">
        <v>1481715</v>
      </c>
      <c r="Q49" s="22">
        <f t="shared" si="17"/>
        <v>90377.587153207656</v>
      </c>
      <c r="R49" s="13">
        <f t="shared" si="18"/>
        <v>90377.587153207656</v>
      </c>
    </row>
    <row r="50" spans="1:18">
      <c r="A50" s="18" t="s">
        <v>76</v>
      </c>
      <c r="B50" s="4">
        <v>59.829090000000001</v>
      </c>
      <c r="C50" s="4">
        <v>81.367570000000001</v>
      </c>
      <c r="D50" s="36">
        <f t="shared" si="9"/>
        <v>9971.5149999999994</v>
      </c>
      <c r="E50" s="34">
        <f>'Interval Circuities'!B50</f>
        <v>1.3347515525831062</v>
      </c>
      <c r="F50" s="4">
        <f t="shared" si="10"/>
        <v>44.824139656713257</v>
      </c>
      <c r="G50" s="4">
        <f t="shared" si="11"/>
        <v>7.4706899427855422</v>
      </c>
      <c r="H50" s="4">
        <f t="shared" si="12"/>
        <v>175.33608173580856</v>
      </c>
      <c r="I50" s="4">
        <f t="shared" si="13"/>
        <v>1717.5958014588689</v>
      </c>
      <c r="J50" s="16">
        <v>2890.6684540000001</v>
      </c>
      <c r="K50" s="13">
        <v>4965000</v>
      </c>
      <c r="L50" s="22">
        <f t="shared" si="14"/>
        <v>301156.51783367386</v>
      </c>
      <c r="M50" s="22">
        <f t="shared" si="15"/>
        <v>301156.51783367386</v>
      </c>
      <c r="N50" s="19" t="s">
        <v>92</v>
      </c>
      <c r="O50" s="4">
        <f t="shared" si="16"/>
        <v>514.0451157391708</v>
      </c>
      <c r="P50" s="13">
        <f>845720+640214</f>
        <v>1485934</v>
      </c>
      <c r="Q50" s="22">
        <f t="shared" si="17"/>
        <v>90130.656429136419</v>
      </c>
      <c r="R50" s="13">
        <f t="shared" si="18"/>
        <v>90130.656429136419</v>
      </c>
    </row>
    <row r="51" spans="1:18">
      <c r="A51" s="18" t="s">
        <v>57</v>
      </c>
      <c r="B51" s="4">
        <v>56.502479999999998</v>
      </c>
      <c r="C51" s="4">
        <v>66.672929999999994</v>
      </c>
      <c r="D51" s="36">
        <f t="shared" si="9"/>
        <v>9417.0799999999981</v>
      </c>
      <c r="E51" s="34">
        <f>'Interval Circuities'!B51</f>
        <v>1.4418817166593685</v>
      </c>
      <c r="F51" s="4">
        <f t="shared" si="10"/>
        <v>39.186626300323773</v>
      </c>
      <c r="G51" s="4">
        <f t="shared" si="11"/>
        <v>6.5311043833872953</v>
      </c>
      <c r="H51" s="4">
        <f t="shared" si="12"/>
        <v>134.00565398107599</v>
      </c>
      <c r="I51" s="4">
        <f t="shared" si="13"/>
        <v>957.16105706297958</v>
      </c>
      <c r="J51" s="16">
        <v>2146.9741009999998</v>
      </c>
      <c r="K51" s="13">
        <v>2055000</v>
      </c>
      <c r="L51" s="22">
        <f t="shared" si="14"/>
        <v>128264.99341694258</v>
      </c>
      <c r="M51" s="22">
        <f t="shared" si="15"/>
        <v>128264.99341694258</v>
      </c>
      <c r="N51" s="19" t="s">
        <v>92</v>
      </c>
      <c r="O51" s="4">
        <f t="shared" si="16"/>
        <v>568.5308450770176</v>
      </c>
      <c r="P51" s="13">
        <v>1220621</v>
      </c>
      <c r="Q51" s="22">
        <f t="shared" si="17"/>
        <v>76186.347702959538</v>
      </c>
      <c r="R51" s="13">
        <f t="shared" si="18"/>
        <v>76186.347702959538</v>
      </c>
    </row>
    <row r="52" spans="1:18">
      <c r="A52" s="18" t="s">
        <v>71</v>
      </c>
      <c r="B52" s="4">
        <v>47.580840000000002</v>
      </c>
      <c r="C52" s="4">
        <v>59.951860000000003</v>
      </c>
      <c r="D52" s="36">
        <f t="shared" si="9"/>
        <v>7930.1399999999994</v>
      </c>
      <c r="E52" s="34">
        <f>'Interval Circuities'!B52</f>
        <v>1.367675641952371</v>
      </c>
      <c r="F52" s="4">
        <f t="shared" si="10"/>
        <v>34.789564528675719</v>
      </c>
      <c r="G52" s="4">
        <f t="shared" si="11"/>
        <v>5.7982607547792862</v>
      </c>
      <c r="H52" s="4">
        <f t="shared" si="12"/>
        <v>105.61980396990158</v>
      </c>
      <c r="I52" s="4">
        <f t="shared" si="13"/>
        <v>962.52206654026702</v>
      </c>
      <c r="J52" s="16">
        <v>2077.87444</v>
      </c>
      <c r="K52" s="13">
        <v>2000000</v>
      </c>
      <c r="L52" s="22">
        <f t="shared" si="14"/>
        <v>101661.39198468757</v>
      </c>
      <c r="M52" s="22">
        <f t="shared" si="15"/>
        <v>101661.39198468757</v>
      </c>
      <c r="N52" s="19" t="s">
        <v>92</v>
      </c>
      <c r="O52" s="4">
        <f t="shared" si="16"/>
        <v>501.91290672982143</v>
      </c>
      <c r="P52" s="13">
        <v>1042912</v>
      </c>
      <c r="Q52" s="22">
        <f t="shared" si="17"/>
        <v>53011.942818767238</v>
      </c>
      <c r="R52" s="13">
        <f t="shared" si="18"/>
        <v>53011.942818767238</v>
      </c>
    </row>
    <row r="53" spans="1:18" ht="16">
      <c r="A53" s="18" t="s">
        <v>118</v>
      </c>
      <c r="B53" s="4">
        <v>49.556579999999997</v>
      </c>
      <c r="C53" s="4">
        <v>67.396950000000004</v>
      </c>
      <c r="D53" s="36">
        <f t="shared" si="9"/>
        <v>8259.4299999999985</v>
      </c>
      <c r="E53" s="34">
        <f>'Interval Circuities'!B53</f>
        <v>1.4414267455336287</v>
      </c>
      <c r="F53" s="4">
        <f t="shared" si="10"/>
        <v>34.380227891257647</v>
      </c>
      <c r="G53" s="4">
        <f t="shared" si="11"/>
        <v>5.7300379818762739</v>
      </c>
      <c r="H53" s="4">
        <f t="shared" si="12"/>
        <v>103.14896488884705</v>
      </c>
      <c r="I53" s="4">
        <f t="shared" si="13"/>
        <v>1345.122642374673</v>
      </c>
      <c r="J53" s="16">
        <v>2996.0093400000001</v>
      </c>
      <c r="K53" s="13">
        <v>4030000</v>
      </c>
      <c r="L53" s="22">
        <f t="shared" si="14"/>
        <v>138748.00820949831</v>
      </c>
      <c r="M53" s="22">
        <f t="shared" si="15"/>
        <v>138748.00820949831</v>
      </c>
      <c r="N53" s="19" t="s">
        <v>92</v>
      </c>
      <c r="O53" s="4">
        <f t="shared" si="16"/>
        <v>760.55704152110548</v>
      </c>
      <c r="P53" s="13">
        <v>2278636</v>
      </c>
      <c r="Q53" s="22">
        <f t="shared" si="17"/>
        <v>78450.671571825893</v>
      </c>
      <c r="R53" s="13">
        <f t="shared" si="18"/>
        <v>78450.671571825893</v>
      </c>
    </row>
    <row r="54" spans="1:18">
      <c r="A54" s="18"/>
      <c r="B54" s="4"/>
      <c r="C54" s="11"/>
      <c r="D54" s="37"/>
      <c r="E54" s="2"/>
      <c r="F54" s="4"/>
      <c r="G54" s="4"/>
      <c r="H54" s="4"/>
      <c r="I54" s="4"/>
      <c r="J54" s="16"/>
      <c r="K54" s="13"/>
      <c r="L54" s="22"/>
      <c r="M54" s="22"/>
      <c r="N54" s="19"/>
      <c r="O54" s="4"/>
      <c r="P54" s="13"/>
      <c r="Q54" s="22"/>
      <c r="R54" s="13"/>
    </row>
    <row r="55" spans="1:18">
      <c r="A55" s="18"/>
      <c r="B55" s="18"/>
      <c r="C55" s="18"/>
      <c r="E55" s="18"/>
      <c r="F55" s="18"/>
      <c r="G55" s="18"/>
      <c r="H55" s="18"/>
      <c r="I55" s="18"/>
      <c r="J55" s="10"/>
      <c r="K55" s="13"/>
      <c r="L55" s="22"/>
      <c r="M55" s="22"/>
      <c r="N55" s="18"/>
      <c r="O55" s="18"/>
      <c r="P55" s="18"/>
      <c r="Q55" s="22"/>
      <c r="R55" s="18"/>
    </row>
    <row r="56" spans="1:18">
      <c r="A56" s="18" t="s">
        <v>74</v>
      </c>
      <c r="B56" s="18"/>
      <c r="C56" s="18"/>
      <c r="E56" s="18"/>
      <c r="F56" s="18"/>
      <c r="G56" s="18"/>
      <c r="H56" s="18"/>
      <c r="I56" s="18"/>
      <c r="J56" s="9"/>
      <c r="K56" s="13"/>
      <c r="L56" s="22"/>
      <c r="M56" s="22"/>
      <c r="N56" s="18"/>
      <c r="O56" s="18"/>
      <c r="P56" s="18"/>
      <c r="Q56" s="22"/>
      <c r="R56" s="18"/>
    </row>
    <row r="57" spans="1:18" ht="16">
      <c r="A57" s="18" t="s">
        <v>148</v>
      </c>
      <c r="B57" s="18"/>
      <c r="C57" s="18"/>
      <c r="E57" s="18"/>
      <c r="F57" s="18"/>
      <c r="G57" s="18"/>
      <c r="H57" s="18"/>
      <c r="I57" s="18"/>
      <c r="J57" s="9"/>
      <c r="K57" s="13"/>
      <c r="L57" s="22"/>
      <c r="M57" s="22"/>
      <c r="N57" s="18"/>
      <c r="O57" s="18"/>
      <c r="P57" s="18"/>
      <c r="Q57" s="22"/>
      <c r="R57" s="18"/>
    </row>
    <row r="58" spans="1:18" ht="16">
      <c r="A58" s="18" t="s">
        <v>117</v>
      </c>
      <c r="B58" s="18"/>
      <c r="C58" s="18"/>
      <c r="E58" s="18"/>
      <c r="F58" s="18"/>
      <c r="G58" s="18"/>
      <c r="H58" s="18"/>
      <c r="I58" s="18"/>
      <c r="J58" s="9"/>
      <c r="K58" s="13"/>
      <c r="L58" s="22"/>
      <c r="M58" s="22"/>
      <c r="N58" s="18"/>
      <c r="O58" s="18"/>
      <c r="P58" s="18"/>
      <c r="Q58" s="22"/>
      <c r="R58" s="18"/>
    </row>
    <row r="59" spans="1:18" ht="16">
      <c r="A59" s="18" t="s">
        <v>115</v>
      </c>
      <c r="B59" s="18"/>
      <c r="C59" s="18"/>
      <c r="E59" s="18"/>
      <c r="F59" s="18"/>
      <c r="G59" s="18"/>
      <c r="H59" s="18"/>
      <c r="I59" s="18"/>
      <c r="J59" s="10"/>
      <c r="K59" s="13"/>
      <c r="L59" s="22"/>
      <c r="M59" s="22"/>
      <c r="N59" s="18"/>
      <c r="O59" s="18"/>
      <c r="P59" s="18"/>
      <c r="Q59" s="22"/>
      <c r="R59" s="18"/>
    </row>
    <row r="60" spans="1:18">
      <c r="A60" s="18"/>
      <c r="B60" s="18"/>
      <c r="C60" s="18"/>
      <c r="E60" s="18"/>
      <c r="F60" s="18"/>
      <c r="G60" s="18"/>
      <c r="H60" s="18"/>
      <c r="I60" s="18"/>
      <c r="J60" s="10"/>
      <c r="K60" s="13"/>
      <c r="L60" s="22"/>
      <c r="M60" s="22"/>
      <c r="N60" s="18"/>
      <c r="O60" s="18"/>
      <c r="P60" s="18"/>
      <c r="Q60" s="22"/>
      <c r="R60" s="18"/>
    </row>
    <row r="61" spans="1:18">
      <c r="B61" s="18"/>
      <c r="C61" s="18"/>
      <c r="E61" s="18"/>
      <c r="F61" s="18"/>
      <c r="G61" s="18"/>
      <c r="H61" s="18"/>
      <c r="I61" s="18"/>
      <c r="J61" s="10"/>
      <c r="K61" s="13"/>
      <c r="L61" s="22"/>
      <c r="M61" s="22"/>
      <c r="N61" s="18"/>
      <c r="O61" s="18"/>
      <c r="P61" s="18"/>
      <c r="Q61" s="22"/>
      <c r="R61" s="18"/>
    </row>
    <row r="62" spans="1:18">
      <c r="B62" s="18"/>
      <c r="C62" s="18"/>
      <c r="E62" s="18"/>
      <c r="F62" s="18"/>
      <c r="G62" s="18"/>
      <c r="H62" s="18"/>
      <c r="I62" s="18"/>
      <c r="J62" s="10"/>
      <c r="K62" s="13"/>
      <c r="L62" s="22"/>
      <c r="M62" s="22"/>
      <c r="N62" s="18"/>
      <c r="O62" s="18"/>
      <c r="P62" s="18"/>
      <c r="Q62" s="22"/>
      <c r="R62" s="18"/>
    </row>
    <row r="63" spans="1:18">
      <c r="A63" s="18" t="s">
        <v>95</v>
      </c>
      <c r="B63" s="18"/>
      <c r="C63" s="18"/>
      <c r="E63" s="18"/>
      <c r="F63" s="18"/>
      <c r="G63" s="18"/>
      <c r="H63" s="18"/>
      <c r="I63" s="18"/>
      <c r="J63" s="9"/>
      <c r="K63" s="13"/>
      <c r="L63" s="22"/>
      <c r="M63" s="22"/>
      <c r="N63" s="18"/>
      <c r="O63" s="18"/>
      <c r="P63" s="18"/>
      <c r="Q63" s="22"/>
      <c r="R63" s="18"/>
    </row>
    <row r="64" spans="1:18">
      <c r="A64" s="18" t="s">
        <v>5</v>
      </c>
      <c r="B64" s="18"/>
      <c r="C64" s="18"/>
      <c r="E64" s="18"/>
      <c r="F64" s="18"/>
      <c r="G64" s="18"/>
      <c r="H64" s="18"/>
      <c r="I64" s="18"/>
      <c r="J64" s="10"/>
      <c r="K64" s="13"/>
      <c r="L64" s="22"/>
      <c r="M64" s="22"/>
      <c r="N64" s="18"/>
      <c r="O64" s="18"/>
      <c r="P64" s="18"/>
      <c r="Q64" s="22"/>
      <c r="R64" s="18"/>
    </row>
    <row r="65" spans="1:18">
      <c r="A65" s="18" t="s">
        <v>111</v>
      </c>
      <c r="B65" s="18"/>
      <c r="C65" s="18"/>
      <c r="E65" s="18"/>
      <c r="F65" s="18"/>
      <c r="G65" s="18"/>
      <c r="H65" s="18"/>
      <c r="I65" s="18"/>
      <c r="J65" s="10"/>
      <c r="K65" s="13"/>
      <c r="L65" s="22"/>
      <c r="M65" s="22"/>
      <c r="N65" s="18"/>
      <c r="O65" s="18"/>
      <c r="P65" s="18"/>
      <c r="Q65" s="22"/>
      <c r="R65" s="18"/>
    </row>
    <row r="66" spans="1:18">
      <c r="A66" s="18" t="s">
        <v>112</v>
      </c>
    </row>
    <row r="67" spans="1:18">
      <c r="A67" s="18" t="s">
        <v>113</v>
      </c>
    </row>
  </sheetData>
  <sortState ref="A3:Q53">
    <sortCondition ref="A3:A5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4" sqref="E4:E53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2/6</f>
        <v>0.33333333333333331</v>
      </c>
      <c r="B1" s="1" t="s">
        <v>60</v>
      </c>
      <c r="C1" s="1" t="s">
        <v>61</v>
      </c>
      <c r="D1" s="38" t="s">
        <v>165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17438.93</v>
      </c>
      <c r="E3" s="4">
        <f>'Interval Circuities'!C3</f>
        <v>1.3157020332333682</v>
      </c>
      <c r="F3" s="4">
        <f t="shared" ref="F3:F34" si="0">B3/E3</f>
        <v>39.763402866703998</v>
      </c>
      <c r="G3" s="4">
        <f t="shared" ref="G3:G34" si="1">F3*$A$1</f>
        <v>13.254467622234666</v>
      </c>
      <c r="H3" s="4">
        <f t="shared" ref="H3:H34" si="2">PI()*G3^2</f>
        <v>551.91786235451616</v>
      </c>
      <c r="I3" s="4">
        <f t="shared" ref="I3:I34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34" si="4">H3*I3</f>
        <v>418032.48951189499</v>
      </c>
      <c r="M3" s="22">
        <f t="shared" ref="M3:M34" si="5">MIN(K3,L3)</f>
        <v>418032.48951189499</v>
      </c>
      <c r="N3" s="19" t="s">
        <v>92</v>
      </c>
      <c r="O3" s="4">
        <f t="shared" ref="O3:O34" si="6">P3/J3</f>
        <v>418.87926898310906</v>
      </c>
      <c r="P3" s="13">
        <f>'2000-10'!P3</f>
        <v>2129188</v>
      </c>
      <c r="Q3" s="22">
        <f t="shared" ref="Q3:Q34" si="7">H3*O3</f>
        <v>231186.95072177993</v>
      </c>
      <c r="R3" s="13">
        <f t="shared" ref="R3:R34" si="8">MIN(Q3,P3)</f>
        <v>231186.95072177993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17732.96</v>
      </c>
      <c r="E4" s="4">
        <f>'Interval Circuities'!C4</f>
        <v>1.3828756291035995</v>
      </c>
      <c r="F4" s="4">
        <f t="shared" si="0"/>
        <v>38.469750193286941</v>
      </c>
      <c r="G4" s="4">
        <f t="shared" si="1"/>
        <v>12.823250064428979</v>
      </c>
      <c r="H4" s="4">
        <f t="shared" si="2"/>
        <v>516.59011972984513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601893.11776345142</v>
      </c>
      <c r="M4" s="22">
        <f t="shared" si="5"/>
        <v>601893.11776345142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363947.84006762196</v>
      </c>
      <c r="R4" s="13">
        <f t="shared" si="8"/>
        <v>363947.84006762196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19187.533333333333</v>
      </c>
      <c r="E5" s="4">
        <f>'Interval Circuities'!C5</f>
        <v>1.2950188214707048</v>
      </c>
      <c r="F5" s="4">
        <f t="shared" si="0"/>
        <v>44.449238146692181</v>
      </c>
      <c r="G5" s="4">
        <f t="shared" si="1"/>
        <v>14.816412715564059</v>
      </c>
      <c r="H5" s="4">
        <f t="shared" si="2"/>
        <v>689.66153828843062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861949.81548950041</v>
      </c>
      <c r="M5" s="22">
        <f t="shared" si="5"/>
        <v>861949.81548950041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414860.736443047</v>
      </c>
      <c r="R5" s="13">
        <f t="shared" si="8"/>
        <v>414860.736443047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20096.006666666668</v>
      </c>
      <c r="E6" s="4">
        <f>'Interval Circuities'!C6</f>
        <v>1.2591049144229887</v>
      </c>
      <c r="F6" s="4">
        <f t="shared" si="0"/>
        <v>47.881649344231377</v>
      </c>
      <c r="G6" s="4">
        <f t="shared" si="1"/>
        <v>15.960549781410458</v>
      </c>
      <c r="H6" s="4">
        <f t="shared" si="2"/>
        <v>800.28664010076079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701213.67457097548</v>
      </c>
      <c r="M6" s="22">
        <f t="shared" si="5"/>
        <v>701213.67457097548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547325.92665787635</v>
      </c>
      <c r="R6" s="13">
        <f t="shared" si="8"/>
        <v>547325.92665787635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20025.16</v>
      </c>
      <c r="E7" s="4">
        <f>'Interval Circuities'!C7</f>
        <v>1.2378136642204387</v>
      </c>
      <c r="F7" s="4">
        <f t="shared" si="0"/>
        <v>48.533540820002877</v>
      </c>
      <c r="G7" s="4">
        <f t="shared" si="1"/>
        <v>16.177846940000958</v>
      </c>
      <c r="H7" s="4">
        <f t="shared" si="2"/>
        <v>822.22621091630447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965305.20247856539</v>
      </c>
      <c r="M7" s="22">
        <f t="shared" si="5"/>
        <v>965305.20247856539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411771.49555091717</v>
      </c>
      <c r="R7" s="13">
        <f t="shared" si="8"/>
        <v>411771.49555091717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18246.456666666669</v>
      </c>
      <c r="E8" s="4">
        <f>'Interval Circuities'!C8</f>
        <v>1.3093507911063191</v>
      </c>
      <c r="F8" s="4">
        <f t="shared" si="0"/>
        <v>41.806497060843924</v>
      </c>
      <c r="G8" s="4">
        <f t="shared" si="1"/>
        <v>13.935499020281307</v>
      </c>
      <c r="H8" s="4">
        <f t="shared" si="2"/>
        <v>610.09142779854528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468502.77956935711</v>
      </c>
      <c r="M8" s="22">
        <f t="shared" si="5"/>
        <v>468502.77956935711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439529.80941039341</v>
      </c>
      <c r="R8" s="13">
        <f t="shared" si="8"/>
        <v>439529.80941039341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15834.256666666664</v>
      </c>
      <c r="E9" s="4">
        <f>'Interval Circuities'!C9</f>
        <v>1.2746829975191114</v>
      </c>
      <c r="F9" s="4">
        <f t="shared" si="0"/>
        <v>37.266340017442481</v>
      </c>
      <c r="G9" s="4">
        <f t="shared" si="1"/>
        <v>12.422113339147494</v>
      </c>
      <c r="H9" s="4">
        <f t="shared" si="2"/>
        <v>484.77570602858634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718603.32282551727</v>
      </c>
      <c r="M9" s="22">
        <f t="shared" si="5"/>
        <v>718603.32282551727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369422.85856905539</v>
      </c>
      <c r="R9" s="13">
        <f t="shared" si="8"/>
        <v>369422.85856905539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19900.446666666667</v>
      </c>
      <c r="E10" s="4">
        <f>'Interval Circuities'!C10</f>
        <v>1.3361363092522838</v>
      </c>
      <c r="F10" s="4">
        <f t="shared" si="0"/>
        <v>44.682072919199022</v>
      </c>
      <c r="G10" s="4">
        <f t="shared" si="1"/>
        <v>14.894024306399674</v>
      </c>
      <c r="H10" s="4">
        <f t="shared" si="2"/>
        <v>696.90565599190813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616849.46518029575</v>
      </c>
      <c r="M10" s="22">
        <f t="shared" si="5"/>
        <v>616849.46518029575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374496.92079137207</v>
      </c>
      <c r="R10" s="13">
        <f t="shared" si="8"/>
        <v>374496.92079137207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20925.179999999997</v>
      </c>
      <c r="E11" s="4">
        <f>'Interval Circuities'!C11</f>
        <v>1.2240351976160513</v>
      </c>
      <c r="F11" s="4">
        <f t="shared" si="0"/>
        <v>51.285731098470492</v>
      </c>
      <c r="G11" s="4">
        <f t="shared" si="1"/>
        <v>17.095243699490162</v>
      </c>
      <c r="H11" s="4">
        <f t="shared" si="2"/>
        <v>918.12215023763281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977992.64656433975</v>
      </c>
      <c r="M11" s="22">
        <f t="shared" si="5"/>
        <v>977992.64656433975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590453.3352262585</v>
      </c>
      <c r="R11" s="13">
        <f t="shared" si="8"/>
        <v>590453.3352262585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20265.583333333332</v>
      </c>
      <c r="E12" s="4">
        <f>'Interval Circuities'!C12</f>
        <v>1.2660300919887804</v>
      </c>
      <c r="F12" s="4">
        <f t="shared" si="0"/>
        <v>48.021567879556208</v>
      </c>
      <c r="G12" s="4">
        <f t="shared" si="1"/>
        <v>16.007189293185402</v>
      </c>
      <c r="H12" s="4">
        <f t="shared" si="2"/>
        <v>804.97062827612979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890888.33713919215</v>
      </c>
      <c r="M12" s="22">
        <f t="shared" si="5"/>
        <v>890888.33713919215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604481.80340689665</v>
      </c>
      <c r="R12" s="13">
        <f t="shared" si="8"/>
        <v>604481.80340689665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18988.013333333332</v>
      </c>
      <c r="E13" s="4">
        <f>'Interval Circuities'!C13</f>
        <v>1.3124304425407802</v>
      </c>
      <c r="F13" s="4">
        <f t="shared" si="0"/>
        <v>43.403473550736379</v>
      </c>
      <c r="G13" s="4">
        <f t="shared" si="1"/>
        <v>14.467824516912126</v>
      </c>
      <c r="H13" s="4">
        <f t="shared" si="2"/>
        <v>657.5917222103003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738032.19599243358</v>
      </c>
      <c r="M13" s="22">
        <f t="shared" si="5"/>
        <v>738032.19599243358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469360.14631994802</v>
      </c>
      <c r="R13" s="13">
        <f t="shared" si="8"/>
        <v>469360.14631994802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16957.596666666668</v>
      </c>
      <c r="E14" s="4">
        <f>'Interval Circuities'!C14</f>
        <v>1.3645121928036035</v>
      </c>
      <c r="F14" s="4">
        <f t="shared" si="0"/>
        <v>37.282766887904394</v>
      </c>
      <c r="G14" s="4">
        <f t="shared" si="1"/>
        <v>12.427588962634797</v>
      </c>
      <c r="H14" s="4">
        <f t="shared" si="2"/>
        <v>485.20317504378858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760532.44720998988</v>
      </c>
      <c r="M14" s="22">
        <f t="shared" si="5"/>
        <v>760532.44720998988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405808.47111230565</v>
      </c>
      <c r="R14" s="13">
        <f t="shared" si="8"/>
        <v>405808.47111230565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16838.036666666667</v>
      </c>
      <c r="E15" s="4">
        <f>'Interval Circuities'!C15</f>
        <v>1.2666607420839804</v>
      </c>
      <c r="F15" s="4">
        <f t="shared" si="0"/>
        <v>39.879747055941273</v>
      </c>
      <c r="G15" s="4">
        <f t="shared" si="1"/>
        <v>13.29324901864709</v>
      </c>
      <c r="H15" s="4">
        <f t="shared" si="2"/>
        <v>555.15231270489039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684777.27298219246</v>
      </c>
      <c r="M15" s="22">
        <f t="shared" si="5"/>
        <v>684777.27298219246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331899.14006039227</v>
      </c>
      <c r="R15" s="13">
        <f t="shared" si="8"/>
        <v>331899.14006039227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18946.381880780118</v>
      </c>
      <c r="E16" s="4">
        <f>'Interval Circuities'!C16</f>
        <v>1.2972507514545506</v>
      </c>
      <c r="F16" s="4">
        <f t="shared" si="0"/>
        <v>43.815080144381582</v>
      </c>
      <c r="G16" s="4">
        <f t="shared" si="1"/>
        <v>14.60502671479386</v>
      </c>
      <c r="H16" s="4">
        <f t="shared" si="2"/>
        <v>670.12309261635676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557980.01570656337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533815.96223357727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18172.010000000002</v>
      </c>
      <c r="E17" s="4">
        <f>'Interval Circuities'!C17</f>
        <v>1.3772698461965009</v>
      </c>
      <c r="F17" s="4">
        <f t="shared" si="0"/>
        <v>39.582678841443226</v>
      </c>
      <c r="G17" s="4">
        <f t="shared" si="1"/>
        <v>13.194226280481075</v>
      </c>
      <c r="H17" s="4">
        <f t="shared" si="2"/>
        <v>546.91234767373851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609279.35267082835</v>
      </c>
      <c r="M17" s="22">
        <f t="shared" si="5"/>
        <v>609279.35267082835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229936.41591445918</v>
      </c>
      <c r="R17" s="13">
        <f t="shared" si="8"/>
        <v>229936.41591445918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22856.19</v>
      </c>
      <c r="E18" s="4">
        <f>'Interval Circuities'!C18</f>
        <v>1.2668320843698671</v>
      </c>
      <c r="F18" s="4">
        <f t="shared" si="0"/>
        <v>54.126013104654341</v>
      </c>
      <c r="G18" s="4">
        <f t="shared" si="1"/>
        <v>18.042004368218112</v>
      </c>
      <c r="H18" s="4">
        <f t="shared" si="2"/>
        <v>1022.6321448113966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731898.79517546343</v>
      </c>
      <c r="M18" s="22">
        <f t="shared" si="5"/>
        <v>731898.79517546343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477770.91454579815</v>
      </c>
      <c r="R18" s="13">
        <f t="shared" si="8"/>
        <v>477770.91454579815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19467.734315648984</v>
      </c>
      <c r="E19" s="4">
        <f>'Interval Circuities'!C19</f>
        <v>1.3789645464267373</v>
      </c>
      <c r="F19" s="4">
        <f t="shared" si="0"/>
        <v>42.352940181301349</v>
      </c>
      <c r="G19" s="4">
        <f t="shared" si="1"/>
        <v>14.11764672710045</v>
      </c>
      <c r="H19" s="4">
        <f t="shared" si="2"/>
        <v>626.14438872982578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1098003.9837252661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502667.79232654645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17922.433333333331</v>
      </c>
      <c r="E20" s="4">
        <f>'Interval Circuities'!C20</f>
        <v>1.3591508074014103</v>
      </c>
      <c r="F20" s="4">
        <f t="shared" si="0"/>
        <v>39.55948060156684</v>
      </c>
      <c r="G20" s="4">
        <f t="shared" si="1"/>
        <v>13.186493533855613</v>
      </c>
      <c r="H20" s="4">
        <f t="shared" si="2"/>
        <v>546.27147715423541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591096.92455071397</v>
      </c>
      <c r="M20" s="22">
        <f t="shared" si="5"/>
        <v>591096.92455071397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304631.48884600127</v>
      </c>
      <c r="R20" s="13">
        <f t="shared" si="8"/>
        <v>304631.48884600127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17778.73</v>
      </c>
      <c r="E21" s="4">
        <f>'Interval Circuities'!C21</f>
        <v>1.2928614336114883</v>
      </c>
      <c r="F21" s="4">
        <f t="shared" si="0"/>
        <v>41.254374686551138</v>
      </c>
      <c r="G21" s="4">
        <f t="shared" si="1"/>
        <v>13.751458228850378</v>
      </c>
      <c r="H21" s="4">
        <f t="shared" si="2"/>
        <v>594.08334967840051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427291.36744831526</v>
      </c>
      <c r="M21" s="22">
        <f t="shared" si="5"/>
        <v>427291.36744831526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337462.69147703279</v>
      </c>
      <c r="R21" s="13">
        <f t="shared" si="8"/>
        <v>337462.69147703279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19273.249999999996</v>
      </c>
      <c r="E22" s="4">
        <f>'Interval Circuities'!C22</f>
        <v>1.3832293494151615</v>
      </c>
      <c r="F22" s="4">
        <f t="shared" si="0"/>
        <v>41.800551748303036</v>
      </c>
      <c r="G22" s="4">
        <f t="shared" si="1"/>
        <v>13.933517249434345</v>
      </c>
      <c r="H22" s="4">
        <f t="shared" si="2"/>
        <v>609.91791762379387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874820.7274605335</v>
      </c>
      <c r="M22" s="22">
        <f t="shared" si="5"/>
        <v>874820.7274605335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470951.41978096985</v>
      </c>
      <c r="R22" s="13">
        <f t="shared" si="8"/>
        <v>470951.41978096985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18132.633333333331</v>
      </c>
      <c r="E23" s="4">
        <f>'Interval Circuities'!C23</f>
        <v>1.3974871890605931</v>
      </c>
      <c r="F23" s="4">
        <f t="shared" si="0"/>
        <v>38.925508888970128</v>
      </c>
      <c r="G23" s="4">
        <f t="shared" si="1"/>
        <v>12.975169629656708</v>
      </c>
      <c r="H23" s="4">
        <f t="shared" si="2"/>
        <v>528.90291576164987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442729.12289258622</v>
      </c>
      <c r="M23" s="22">
        <f t="shared" si="5"/>
        <v>442729.12289258622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247342.31454258144</v>
      </c>
      <c r="R23" s="13">
        <f t="shared" si="8"/>
        <v>247342.31454258144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21113.686666666665</v>
      </c>
      <c r="E24" s="4">
        <f>'Interval Circuities'!C24</f>
        <v>1.3100545868250937</v>
      </c>
      <c r="F24" s="4">
        <f t="shared" si="0"/>
        <v>48.349939488786134</v>
      </c>
      <c r="G24" s="4">
        <f t="shared" si="1"/>
        <v>16.116646496262042</v>
      </c>
      <c r="H24" s="4">
        <f t="shared" si="2"/>
        <v>816.01704992442251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768236.99581662205</v>
      </c>
      <c r="M24" s="22">
        <f t="shared" si="5"/>
        <v>768236.99581662205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480572.40485255211</v>
      </c>
      <c r="R24" s="13">
        <f t="shared" si="8"/>
        <v>480572.40485255211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16921.579999999998</v>
      </c>
      <c r="E25" s="4">
        <f>'Interval Circuities'!C25</f>
        <v>1.3363866242621312</v>
      </c>
      <c r="F25" s="4">
        <f t="shared" si="0"/>
        <v>37.98656696974134</v>
      </c>
      <c r="G25" s="4">
        <f t="shared" si="1"/>
        <v>12.66218898991378</v>
      </c>
      <c r="H25" s="4">
        <f t="shared" si="2"/>
        <v>503.69478604167301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884273.98999989207</v>
      </c>
      <c r="M25" s="22">
        <f t="shared" si="5"/>
        <v>884273.98999989207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470620.82063936564</v>
      </c>
      <c r="R25" s="13">
        <f t="shared" si="8"/>
        <v>470620.82063936564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15988.853333333333</v>
      </c>
      <c r="E26" s="4">
        <f>'Interval Circuities'!C26</f>
        <v>1.2842805673772817</v>
      </c>
      <c r="F26" s="4">
        <f t="shared" si="0"/>
        <v>37.348972816707672</v>
      </c>
      <c r="G26" s="4">
        <f t="shared" si="1"/>
        <v>12.449657605569223</v>
      </c>
      <c r="H26" s="4">
        <f t="shared" si="2"/>
        <v>486.92793162702714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1403321.8853831848</v>
      </c>
      <c r="M26" s="22">
        <f t="shared" si="5"/>
        <v>1403321.8853831848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597266.98226330744</v>
      </c>
      <c r="R26" s="13">
        <f t="shared" si="8"/>
        <v>597266.98226330744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19321.25</v>
      </c>
      <c r="E27" s="4">
        <f>'Interval Circuities'!C27</f>
        <v>1.3638472371305759</v>
      </c>
      <c r="F27" s="4">
        <f t="shared" si="0"/>
        <v>42.500177748609907</v>
      </c>
      <c r="G27" s="4">
        <f t="shared" si="1"/>
        <v>14.166725916203301</v>
      </c>
      <c r="H27" s="4">
        <f t="shared" si="2"/>
        <v>630.50546620140233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535035.72093801969</v>
      </c>
      <c r="M27" s="22">
        <f t="shared" si="5"/>
        <v>535035.72093801969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321037.60806135181</v>
      </c>
      <c r="R27" s="13">
        <f t="shared" si="8"/>
        <v>321037.60806135181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19107.129999999997</v>
      </c>
      <c r="E28" s="4">
        <f>'Interval Circuities'!C28</f>
        <v>1.3532646739122924</v>
      </c>
      <c r="F28" s="4">
        <f t="shared" si="0"/>
        <v>42.357855861472892</v>
      </c>
      <c r="G28" s="4">
        <f t="shared" si="1"/>
        <v>14.119285287157631</v>
      </c>
      <c r="H28" s="4">
        <f t="shared" si="2"/>
        <v>626.28974365263582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592709.40751364117</v>
      </c>
      <c r="M28" s="22">
        <f t="shared" si="5"/>
        <v>592709.40751364117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325062.40246808837</v>
      </c>
      <c r="R28" s="13">
        <f t="shared" si="8"/>
        <v>325062.40246808837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19085.426666666663</v>
      </c>
      <c r="E29" s="4">
        <f>'Interval Circuities'!C29</f>
        <v>1.2361322131572663</v>
      </c>
      <c r="F29" s="4">
        <f t="shared" si="0"/>
        <v>46.318896466389226</v>
      </c>
      <c r="G29" s="4">
        <f t="shared" si="1"/>
        <v>15.439632155463075</v>
      </c>
      <c r="H29" s="4">
        <f t="shared" si="2"/>
        <v>748.8998973734939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831160.32184239605</v>
      </c>
      <c r="M29" s="22">
        <f t="shared" si="5"/>
        <v>831160.32184239605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464062.92986615334</v>
      </c>
      <c r="R29" s="13">
        <f t="shared" si="8"/>
        <v>464062.92986615334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18434.216666666664</v>
      </c>
      <c r="E30" s="4">
        <f>'Interval Circuities'!C30</f>
        <v>1.2987721802626533</v>
      </c>
      <c r="F30" s="4">
        <f t="shared" si="0"/>
        <v>42.580716495495025</v>
      </c>
      <c r="G30" s="4">
        <f t="shared" si="1"/>
        <v>14.193572165165008</v>
      </c>
      <c r="H30" s="4">
        <f t="shared" si="2"/>
        <v>632.89737313225089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664045.8912596294</v>
      </c>
      <c r="M30" s="22">
        <f t="shared" si="5"/>
        <v>664045.8912596294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448817.96037573373</v>
      </c>
      <c r="R30" s="13">
        <f t="shared" si="8"/>
        <v>448817.96037573373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20268.193333333333</v>
      </c>
      <c r="E31" s="4">
        <f>'Interval Circuities'!C31</f>
        <v>1.4231432529786021</v>
      </c>
      <c r="F31" s="4">
        <f t="shared" si="0"/>
        <v>42.725551256163136</v>
      </c>
      <c r="G31" s="4">
        <f t="shared" si="1"/>
        <v>14.241850418721045</v>
      </c>
      <c r="H31" s="4">
        <f t="shared" si="2"/>
        <v>637.21019092731387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485465.91238824237</v>
      </c>
      <c r="M31" s="22">
        <f t="shared" si="5"/>
        <v>485465.91238824237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362541.3742805993</v>
      </c>
      <c r="R31" s="13">
        <f t="shared" si="8"/>
        <v>362541.3742805993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18904.023333333331</v>
      </c>
      <c r="E32" s="4">
        <f>'Interval Circuities'!C32</f>
        <v>1.3650398146680178</v>
      </c>
      <c r="F32" s="4">
        <f t="shared" si="0"/>
        <v>41.546092202294155</v>
      </c>
      <c r="G32" s="4">
        <f t="shared" si="1"/>
        <v>13.848697400764717</v>
      </c>
      <c r="H32" s="4">
        <f t="shared" si="2"/>
        <v>602.51480718136042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1287594.0084972444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636520.62824443867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17289.566666666666</v>
      </c>
      <c r="E33" s="4">
        <f>'Interval Circuities'!C33</f>
        <v>1.2991986539036269</v>
      </c>
      <c r="F33" s="4">
        <f t="shared" si="0"/>
        <v>39.92360971445985</v>
      </c>
      <c r="G33" s="4">
        <f t="shared" si="1"/>
        <v>13.307869904819949</v>
      </c>
      <c r="H33" s="4">
        <f t="shared" si="2"/>
        <v>556.37417840473893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1102085.8968157128</v>
      </c>
      <c r="M33" s="22">
        <f t="shared" si="5"/>
        <v>1102085.8968157128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505200.66033362376</v>
      </c>
      <c r="R33" s="13">
        <f t="shared" si="8"/>
        <v>505200.66033362376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19839.239999999998</v>
      </c>
      <c r="E34" s="4">
        <f>'Interval Circuities'!C34</f>
        <v>1.3177275680450702</v>
      </c>
      <c r="F34" s="4">
        <f t="shared" si="0"/>
        <v>45.166938480537517</v>
      </c>
      <c r="G34" s="4">
        <f t="shared" si="1"/>
        <v>15.055646160179172</v>
      </c>
      <c r="H34" s="4">
        <f t="shared" si="2"/>
        <v>712.11260202467668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690884.49774123682</v>
      </c>
      <c r="M34" s="22">
        <f t="shared" si="5"/>
        <v>690884.49774123682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376503.0511789454</v>
      </c>
      <c r="R34" s="13">
        <f t="shared" si="8"/>
        <v>376503.0511789454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15246.896666666666</v>
      </c>
      <c r="E35" s="4">
        <f>'Interval Circuities'!C35</f>
        <v>1.3367322675178506</v>
      </c>
      <c r="F35" s="4">
        <f t="shared" ref="F35:F53" si="10">B35/E35</f>
        <v>34.218288217830562</v>
      </c>
      <c r="G35" s="4">
        <f t="shared" ref="G35:G53" si="11">F35*$A$1</f>
        <v>11.406096072610186</v>
      </c>
      <c r="H35" s="4">
        <f t="shared" ref="H35:H53" si="12">PI()*G35^2</f>
        <v>408.71814940267018</v>
      </c>
      <c r="I35" s="4">
        <f t="shared" ref="I35:I53" si="13">K35/J35</f>
        <v>1047.9139885488814</v>
      </c>
      <c r="J35" s="9">
        <f>'2000-10'!J35</f>
        <v>1173.7604550000001</v>
      </c>
      <c r="K35" s="9">
        <f>'2000-10'!K35</f>
        <v>1230000</v>
      </c>
      <c r="L35" s="22">
        <f t="shared" ref="L35:L53" si="14">H35*I35</f>
        <v>428301.46613286971</v>
      </c>
      <c r="M35" s="22">
        <f t="shared" ref="M35:M53" si="15">MIN(K35,L35)</f>
        <v>428301.46613286971</v>
      </c>
      <c r="N35" s="19" t="s">
        <v>92</v>
      </c>
      <c r="O35" s="4">
        <f t="shared" ref="O35:O53" si="16">P35/J35</f>
        <v>697.01274780125379</v>
      </c>
      <c r="P35" s="13">
        <f>'2000-10'!P35</f>
        <v>818126</v>
      </c>
      <c r="Q35" s="22">
        <f t="shared" ref="Q35:Q53" si="17">H35*O35</f>
        <v>284881.76039139851</v>
      </c>
      <c r="R35" s="13">
        <f t="shared" ref="R35:R53" si="18">MIN(Q35,P35)</f>
        <v>284881.76039139851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17621.96</v>
      </c>
      <c r="E36" s="4">
        <f>'Interval Circuities'!C36</f>
        <v>1.2522964899975129</v>
      </c>
      <c r="F36" s="4">
        <f t="shared" si="10"/>
        <v>42.215146670342413</v>
      </c>
      <c r="G36" s="4">
        <f t="shared" si="11"/>
        <v>14.071715556780804</v>
      </c>
      <c r="H36" s="4">
        <f t="shared" si="12"/>
        <v>622.07674755227356</v>
      </c>
      <c r="I36" s="4">
        <f t="shared" si="1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14"/>
        <v>684045.7481616108</v>
      </c>
      <c r="M36" s="22">
        <f t="shared" si="15"/>
        <v>684045.7481616108</v>
      </c>
      <c r="N36" s="19" t="s">
        <v>92</v>
      </c>
      <c r="O36" s="4">
        <f t="shared" si="16"/>
        <v>547.27078534034638</v>
      </c>
      <c r="P36" s="13">
        <f>'2000-10'!P36</f>
        <v>2550674</v>
      </c>
      <c r="Q36" s="22">
        <f t="shared" si="17"/>
        <v>340444.43017490115</v>
      </c>
      <c r="R36" s="13">
        <f t="shared" si="18"/>
        <v>340444.43017490115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17480.883333333331</v>
      </c>
      <c r="E37" s="4">
        <f>'Interval Circuities'!C37</f>
        <v>1.3537969670023915</v>
      </c>
      <c r="F37" s="4">
        <f t="shared" si="10"/>
        <v>38.737455673371556</v>
      </c>
      <c r="G37" s="4">
        <f t="shared" si="11"/>
        <v>12.912485224457185</v>
      </c>
      <c r="H37" s="4">
        <f t="shared" si="12"/>
        <v>523.8048892253214</v>
      </c>
      <c r="I37" s="4">
        <f t="shared" si="13"/>
        <v>1401.3597327768193</v>
      </c>
      <c r="J37" s="9">
        <f>'2000-10'!J37</f>
        <v>2069.418674</v>
      </c>
      <c r="K37" s="9">
        <f>'2000-10'!K37</f>
        <v>2900000</v>
      </c>
      <c r="L37" s="22">
        <f t="shared" si="14"/>
        <v>734039.07959198789</v>
      </c>
      <c r="M37" s="22">
        <f t="shared" si="15"/>
        <v>734039.07959198789</v>
      </c>
      <c r="N37" s="19" t="s">
        <v>92</v>
      </c>
      <c r="O37" s="4">
        <f t="shared" si="16"/>
        <v>677.88602549355369</v>
      </c>
      <c r="P37" s="13">
        <f>'2000-10'!P37</f>
        <v>1402830</v>
      </c>
      <c r="Q37" s="22">
        <f t="shared" si="17"/>
        <v>355080.01449104428</v>
      </c>
      <c r="R37" s="13">
        <f t="shared" si="18"/>
        <v>355080.01449104428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19517.043333333335</v>
      </c>
      <c r="E38" s="4">
        <f>'Interval Circuities'!C38</f>
        <v>1.3407201231248913</v>
      </c>
      <c r="F38" s="4">
        <f t="shared" si="10"/>
        <v>43.671403889673563</v>
      </c>
      <c r="G38" s="4">
        <f t="shared" si="11"/>
        <v>14.557134629891188</v>
      </c>
      <c r="H38" s="4">
        <f t="shared" si="12"/>
        <v>665.73542899770723</v>
      </c>
      <c r="I38" s="4">
        <f t="shared" si="1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14"/>
        <v>532239.36907224369</v>
      </c>
      <c r="M38" s="22">
        <f t="shared" si="15"/>
        <v>532239.36907224369</v>
      </c>
      <c r="N38" s="19" t="s">
        <v>92</v>
      </c>
      <c r="O38" s="4">
        <f t="shared" si="16"/>
        <v>470.46365508810919</v>
      </c>
      <c r="P38" s="13">
        <f>'2000-10'!P38</f>
        <v>1038641</v>
      </c>
      <c r="Q38" s="22">
        <f t="shared" si="17"/>
        <v>313204.32324791176</v>
      </c>
      <c r="R38" s="13">
        <f t="shared" si="18"/>
        <v>313204.32324791176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17695.98333333333</v>
      </c>
      <c r="E39" s="4">
        <f>'Interval Circuities'!C39</f>
        <v>1.497870250379743</v>
      </c>
      <c r="F39" s="4">
        <f t="shared" si="10"/>
        <v>35.442288800742951</v>
      </c>
      <c r="G39" s="4">
        <f t="shared" si="11"/>
        <v>11.814096266914316</v>
      </c>
      <c r="H39" s="4">
        <f t="shared" si="12"/>
        <v>438.48110492971</v>
      </c>
      <c r="I39" s="4">
        <f t="shared" si="1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14"/>
        <v>567966.67929116799</v>
      </c>
      <c r="M39" s="22">
        <f t="shared" si="15"/>
        <v>567966.67929116799</v>
      </c>
      <c r="N39" s="19" t="s">
        <v>92</v>
      </c>
      <c r="O39" s="4">
        <f t="shared" si="16"/>
        <v>714.74674387135121</v>
      </c>
      <c r="P39" s="13">
        <f>'2000-10'!P39</f>
        <v>877359</v>
      </c>
      <c r="Q39" s="22">
        <f t="shared" si="17"/>
        <v>313402.94199762249</v>
      </c>
      <c r="R39" s="13">
        <f t="shared" si="18"/>
        <v>313402.94199762249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20827.466666666667</v>
      </c>
      <c r="E40" s="4">
        <f>'Interval Circuities'!C40</f>
        <v>1.2799992729673748</v>
      </c>
      <c r="F40" s="4">
        <f t="shared" si="10"/>
        <v>48.814402726299498</v>
      </c>
      <c r="G40" s="4">
        <f t="shared" si="11"/>
        <v>16.271467575433164</v>
      </c>
      <c r="H40" s="4">
        <f t="shared" si="12"/>
        <v>831.7701351741905</v>
      </c>
      <c r="I40" s="4">
        <f t="shared" si="1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14"/>
        <v>771573.81925376458</v>
      </c>
      <c r="M40" s="22">
        <f t="shared" si="15"/>
        <v>771573.81925376458</v>
      </c>
      <c r="N40" s="19" t="s">
        <v>92</v>
      </c>
      <c r="O40" s="4">
        <f t="shared" si="16"/>
        <v>482.44740198664414</v>
      </c>
      <c r="P40" s="13">
        <f>'2000-10'!P40</f>
        <v>629305</v>
      </c>
      <c r="Q40" s="22">
        <f t="shared" si="17"/>
        <v>401285.34076486801</v>
      </c>
      <c r="R40" s="13">
        <f t="shared" si="18"/>
        <v>401285.34076486801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20542.983333333334</v>
      </c>
      <c r="E41" s="4">
        <f>'Interval Circuities'!C41</f>
        <v>1.303041771028012</v>
      </c>
      <c r="F41" s="4">
        <f t="shared" si="10"/>
        <v>47.296219791464495</v>
      </c>
      <c r="G41" s="4">
        <f t="shared" si="11"/>
        <v>15.765406597154831</v>
      </c>
      <c r="H41" s="4">
        <f t="shared" si="12"/>
        <v>780.8367127815269</v>
      </c>
      <c r="I41" s="4">
        <f t="shared" si="1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14"/>
        <v>745187.5893662899</v>
      </c>
      <c r="M41" s="22">
        <f t="shared" si="15"/>
        <v>745187.5893662899</v>
      </c>
      <c r="N41" s="19" t="s">
        <v>92</v>
      </c>
      <c r="O41" s="4">
        <f t="shared" si="16"/>
        <v>742.45018600123069</v>
      </c>
      <c r="P41" s="13">
        <f>'2000-10'!P41</f>
        <v>614595</v>
      </c>
      <c r="Q41" s="22">
        <f t="shared" si="17"/>
        <v>579732.36264123418</v>
      </c>
      <c r="R41" s="13">
        <f t="shared" si="18"/>
        <v>579732.36264123418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20696.46585308501</v>
      </c>
      <c r="E42" s="4">
        <f>'Interval Circuities'!C42</f>
        <v>1.2447690700796408</v>
      </c>
      <c r="F42" s="4">
        <f t="shared" si="10"/>
        <v>49.880254138450375</v>
      </c>
      <c r="G42" s="4">
        <f t="shared" si="11"/>
        <v>16.626751379483458</v>
      </c>
      <c r="H42" s="4">
        <f t="shared" si="12"/>
        <v>868.48971217794588</v>
      </c>
      <c r="I42" s="4">
        <f t="shared" si="1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14"/>
        <v>755511.09239681927</v>
      </c>
      <c r="M42" s="22">
        <f t="shared" si="15"/>
        <v>665000</v>
      </c>
      <c r="N42" s="19" t="s">
        <v>92</v>
      </c>
      <c r="O42" s="4">
        <f t="shared" si="16"/>
        <v>595.44480330121178</v>
      </c>
      <c r="P42" s="13">
        <f>'2000-10'!P42</f>
        <v>455184</v>
      </c>
      <c r="Q42" s="22">
        <f t="shared" si="17"/>
        <v>517137.68583692302</v>
      </c>
      <c r="R42" s="13">
        <f t="shared" si="1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17765.80333333333</v>
      </c>
      <c r="E43" s="4">
        <f>'Interval Circuities'!C43</f>
        <v>1.4715655044194689</v>
      </c>
      <c r="F43" s="4">
        <f t="shared" si="10"/>
        <v>36.218170268285661</v>
      </c>
      <c r="G43" s="4">
        <f t="shared" si="11"/>
        <v>12.072723422761886</v>
      </c>
      <c r="H43" s="4">
        <f t="shared" si="12"/>
        <v>457.88917394273989</v>
      </c>
      <c r="I43" s="4">
        <f t="shared" si="1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14"/>
        <v>704235.16536804638</v>
      </c>
      <c r="M43" s="22">
        <f t="shared" si="15"/>
        <v>704235.16536804638</v>
      </c>
      <c r="N43" s="19" t="s">
        <v>92</v>
      </c>
      <c r="O43" s="4">
        <f t="shared" si="16"/>
        <v>612.25827963614597</v>
      </c>
      <c r="P43" s="13">
        <f>'2000-10'!P43</f>
        <v>585187</v>
      </c>
      <c r="Q43" s="22">
        <f t="shared" si="17"/>
        <v>280346.43790219794</v>
      </c>
      <c r="R43" s="13">
        <f t="shared" si="18"/>
        <v>280346.43790219794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17411.393333333333</v>
      </c>
      <c r="E44" s="4">
        <f>'Interval Circuities'!C44</f>
        <v>1.4264621343935362</v>
      </c>
      <c r="F44" s="4">
        <f t="shared" si="10"/>
        <v>36.617992683140862</v>
      </c>
      <c r="G44" s="4">
        <f t="shared" si="11"/>
        <v>12.205997561046953</v>
      </c>
      <c r="H44" s="4">
        <f t="shared" si="12"/>
        <v>468.05450577259199</v>
      </c>
      <c r="I44" s="4">
        <f t="shared" si="1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14"/>
        <v>720606.86378431111</v>
      </c>
      <c r="M44" s="22">
        <f t="shared" si="15"/>
        <v>720606.86378431111</v>
      </c>
      <c r="N44" s="19" t="s">
        <v>92</v>
      </c>
      <c r="O44" s="4">
        <f t="shared" si="16"/>
        <v>1022.9581711561229</v>
      </c>
      <c r="P44" s="13">
        <f>'2000-10'!P44</f>
        <v>611285</v>
      </c>
      <c r="Q44" s="22">
        <f t="shared" si="17"/>
        <v>478800.1812265137</v>
      </c>
      <c r="R44" s="13">
        <f t="shared" si="18"/>
        <v>478800.1812265137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19868.746666666666</v>
      </c>
      <c r="E45" s="4">
        <f>'Interval Circuities'!C45</f>
        <v>1.4024849990694783</v>
      </c>
      <c r="F45" s="4">
        <f t="shared" si="10"/>
        <v>42.500447448313238</v>
      </c>
      <c r="G45" s="4">
        <f t="shared" si="11"/>
        <v>14.166815816104412</v>
      </c>
      <c r="H45" s="4">
        <f t="shared" si="12"/>
        <v>630.51346841154543</v>
      </c>
      <c r="I45" s="4">
        <f t="shared" si="1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14"/>
        <v>752621.16865106346</v>
      </c>
      <c r="M45" s="22">
        <f t="shared" si="15"/>
        <v>752621.16865106346</v>
      </c>
      <c r="N45" s="19" t="s">
        <v>92</v>
      </c>
      <c r="O45" s="4">
        <f t="shared" si="16"/>
        <v>601.99786445569703</v>
      </c>
      <c r="P45" s="13">
        <f>'2000-10'!P45</f>
        <v>635453</v>
      </c>
      <c r="Q45" s="22">
        <f t="shared" si="17"/>
        <v>379567.76149430493</v>
      </c>
      <c r="R45" s="13">
        <f t="shared" si="18"/>
        <v>379567.76149430493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17723.276666666665</v>
      </c>
      <c r="E46" s="4">
        <f>'Interval Circuities'!C46</f>
        <v>1.4067389702269151</v>
      </c>
      <c r="F46" s="4">
        <f t="shared" si="10"/>
        <v>37.796514581111943</v>
      </c>
      <c r="G46" s="4">
        <f t="shared" si="11"/>
        <v>12.59883819370398</v>
      </c>
      <c r="H46" s="4">
        <f t="shared" si="12"/>
        <v>498.66727588688138</v>
      </c>
      <c r="I46" s="4">
        <f t="shared" si="13"/>
        <v>1372.086028348845</v>
      </c>
      <c r="J46" s="9">
        <f>'2000-10'!J46</f>
        <v>2026.112024</v>
      </c>
      <c r="K46" s="9">
        <f>'2000-10'!K46</f>
        <v>2780000</v>
      </c>
      <c r="L46" s="22">
        <f t="shared" si="14"/>
        <v>684214.40203916887</v>
      </c>
      <c r="M46" s="22">
        <f t="shared" si="15"/>
        <v>684214.40203916887</v>
      </c>
      <c r="N46" s="19" t="s">
        <v>92</v>
      </c>
      <c r="O46" s="4">
        <f t="shared" si="16"/>
        <v>533.91026122255516</v>
      </c>
      <c r="P46" s="13">
        <f>'2000-10'!P46</f>
        <v>1081762</v>
      </c>
      <c r="Q46" s="22">
        <f t="shared" si="17"/>
        <v>266243.57553190482</v>
      </c>
      <c r="R46" s="13">
        <f t="shared" si="18"/>
        <v>266243.57553190482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17775.07</v>
      </c>
      <c r="E47" s="4">
        <f>'Interval Circuities'!C47</f>
        <v>1.4244562772079725</v>
      </c>
      <c r="F47" s="4">
        <f t="shared" si="10"/>
        <v>37.435483877764852</v>
      </c>
      <c r="G47" s="4">
        <f t="shared" si="11"/>
        <v>12.478494625921616</v>
      </c>
      <c r="H47" s="4">
        <f t="shared" si="12"/>
        <v>489.18627692024234</v>
      </c>
      <c r="I47" s="4">
        <f t="shared" si="13"/>
        <v>3692.1786197984002</v>
      </c>
      <c r="J47" s="9">
        <f>'2000-10'!J47</f>
        <v>1107.747057</v>
      </c>
      <c r="K47" s="9">
        <f>'2000-10'!K47</f>
        <v>4090000</v>
      </c>
      <c r="L47" s="22">
        <f t="shared" si="14"/>
        <v>1806163.1127436983</v>
      </c>
      <c r="M47" s="22">
        <f t="shared" si="15"/>
        <v>1806163.1127436983</v>
      </c>
      <c r="N47" s="19" t="s">
        <v>92</v>
      </c>
      <c r="O47" s="4">
        <f t="shared" si="16"/>
        <v>1849.2479732221034</v>
      </c>
      <c r="P47" s="13">
        <f>'2000-10'!P47</f>
        <v>2048499</v>
      </c>
      <c r="Q47" s="22">
        <f t="shared" si="17"/>
        <v>904626.73112282471</v>
      </c>
      <c r="R47" s="13">
        <f t="shared" si="18"/>
        <v>904626.73112282471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16887.963333333333</v>
      </c>
      <c r="E48" s="4">
        <f>'Interval Circuities'!C48</f>
        <v>1.422376165865789</v>
      </c>
      <c r="F48" s="4">
        <f t="shared" si="10"/>
        <v>35.619192177029554</v>
      </c>
      <c r="G48" s="4">
        <f t="shared" si="11"/>
        <v>11.873064059009851</v>
      </c>
      <c r="H48" s="4">
        <f t="shared" si="12"/>
        <v>442.8692172883259</v>
      </c>
      <c r="I48" s="4">
        <f t="shared" si="1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14"/>
        <v>1101119.0071032397</v>
      </c>
      <c r="M48" s="22">
        <f t="shared" si="15"/>
        <v>1101119.0071032397</v>
      </c>
      <c r="N48" s="19" t="s">
        <v>92</v>
      </c>
      <c r="O48" s="4">
        <f t="shared" si="16"/>
        <v>1548.2013042170763</v>
      </c>
      <c r="P48" s="13">
        <f>'2000-10'!P48</f>
        <v>1042998</v>
      </c>
      <c r="Q48" s="22">
        <f t="shared" si="17"/>
        <v>685650.69980338193</v>
      </c>
      <c r="R48" s="13">
        <f t="shared" si="18"/>
        <v>685650.69980338193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19395.55</v>
      </c>
      <c r="E49" s="4">
        <f>'Interval Circuities'!C49</f>
        <v>1.4007422925029942</v>
      </c>
      <c r="F49" s="4">
        <f t="shared" si="10"/>
        <v>41.539868048123225</v>
      </c>
      <c r="G49" s="4">
        <f t="shared" si="11"/>
        <v>13.846622682707741</v>
      </c>
      <c r="H49" s="4">
        <f t="shared" si="12"/>
        <v>602.33429132820936</v>
      </c>
      <c r="I49" s="4">
        <f t="shared" si="1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14"/>
        <v>668208.65729754092</v>
      </c>
      <c r="M49" s="22">
        <f t="shared" si="15"/>
        <v>668208.65729754092</v>
      </c>
      <c r="N49" s="19" t="s">
        <v>92</v>
      </c>
      <c r="O49" s="4">
        <f t="shared" si="16"/>
        <v>599.91348482451292</v>
      </c>
      <c r="P49" s="13">
        <f>'2000-10'!P49</f>
        <v>1481715</v>
      </c>
      <c r="Q49" s="22">
        <f t="shared" si="17"/>
        <v>361348.46374000947</v>
      </c>
      <c r="R49" s="13">
        <f t="shared" si="18"/>
        <v>361348.46374000947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19943.03</v>
      </c>
      <c r="E50" s="4">
        <f>'Interval Circuities'!C50</f>
        <v>1.2747091913515094</v>
      </c>
      <c r="F50" s="4">
        <f t="shared" si="10"/>
        <v>46.935481760013246</v>
      </c>
      <c r="G50" s="4">
        <f t="shared" si="11"/>
        <v>15.645160586671082</v>
      </c>
      <c r="H50" s="4">
        <f t="shared" si="12"/>
        <v>768.9709318088743</v>
      </c>
      <c r="I50" s="4">
        <f t="shared" si="1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14"/>
        <v>1320781.2439188366</v>
      </c>
      <c r="M50" s="22">
        <f t="shared" si="15"/>
        <v>1320781.2439188366</v>
      </c>
      <c r="N50" s="19" t="s">
        <v>92</v>
      </c>
      <c r="O50" s="4">
        <f t="shared" si="16"/>
        <v>514.0451157391708</v>
      </c>
      <c r="P50" s="13">
        <f>'2000-10'!P50</f>
        <v>1485934</v>
      </c>
      <c r="Q50" s="22">
        <f t="shared" si="17"/>
        <v>395285.7516417508</v>
      </c>
      <c r="R50" s="13">
        <f t="shared" si="18"/>
        <v>395285.7516417508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18834.159999999996</v>
      </c>
      <c r="E51" s="4">
        <f>'Interval Circuities'!C51</f>
        <v>1.3893021075874425</v>
      </c>
      <c r="F51" s="4">
        <f t="shared" si="10"/>
        <v>40.669685658303614</v>
      </c>
      <c r="G51" s="4">
        <f t="shared" si="11"/>
        <v>13.556561886101203</v>
      </c>
      <c r="H51" s="4">
        <f t="shared" si="12"/>
        <v>577.36306080539975</v>
      </c>
      <c r="I51" s="4">
        <f t="shared" si="1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14"/>
        <v>552629.43758961384</v>
      </c>
      <c r="M51" s="22">
        <f t="shared" si="15"/>
        <v>552629.43758961384</v>
      </c>
      <c r="N51" s="19" t="s">
        <v>92</v>
      </c>
      <c r="O51" s="4">
        <f t="shared" si="16"/>
        <v>568.5308450770176</v>
      </c>
      <c r="P51" s="13">
        <f>'2000-10'!P51</f>
        <v>1220621</v>
      </c>
      <c r="Q51" s="22">
        <f t="shared" si="17"/>
        <v>328248.7088759474</v>
      </c>
      <c r="R51" s="13">
        <f t="shared" si="18"/>
        <v>328248.7088759474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15860.279999999999</v>
      </c>
      <c r="E52" s="4">
        <f>'Interval Circuities'!C52</f>
        <v>1.3180063184920632</v>
      </c>
      <c r="F52" s="4">
        <f t="shared" si="10"/>
        <v>36.100616008000209</v>
      </c>
      <c r="G52" s="4">
        <f t="shared" si="11"/>
        <v>12.033538669333403</v>
      </c>
      <c r="H52" s="4">
        <f t="shared" si="12"/>
        <v>454.92163200589999</v>
      </c>
      <c r="I52" s="4">
        <f t="shared" si="13"/>
        <v>962.52206654026702</v>
      </c>
      <c r="J52" s="9">
        <f>'2000-10'!J52</f>
        <v>2077.87444</v>
      </c>
      <c r="K52" s="9">
        <f>'2000-10'!K52</f>
        <v>2000000</v>
      </c>
      <c r="L52" s="22">
        <f t="shared" si="14"/>
        <v>437872.10935218976</v>
      </c>
      <c r="M52" s="22">
        <f t="shared" si="15"/>
        <v>437872.10935218976</v>
      </c>
      <c r="N52" s="19" t="s">
        <v>92</v>
      </c>
      <c r="O52" s="4">
        <f t="shared" si="16"/>
        <v>501.91290672982143</v>
      </c>
      <c r="P52" s="13">
        <f>'2000-10'!P52</f>
        <v>1042912</v>
      </c>
      <c r="Q52" s="22">
        <f t="shared" si="17"/>
        <v>228331.03865435542</v>
      </c>
      <c r="R52" s="13">
        <f t="shared" si="18"/>
        <v>228331.03865435542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16518.859999999997</v>
      </c>
      <c r="E53" s="4">
        <f>'Interval Circuities'!C53</f>
        <v>1.3792302211610383</v>
      </c>
      <c r="F53" s="4">
        <f t="shared" si="10"/>
        <v>35.930607696721715</v>
      </c>
      <c r="G53" s="4">
        <f t="shared" si="11"/>
        <v>11.976869232240571</v>
      </c>
      <c r="H53" s="4">
        <f t="shared" si="12"/>
        <v>450.64700416928332</v>
      </c>
      <c r="I53" s="4">
        <f t="shared" si="1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14"/>
        <v>606175.48902641668</v>
      </c>
      <c r="M53" s="22">
        <f t="shared" si="15"/>
        <v>606175.48902641668</v>
      </c>
      <c r="N53" s="19" t="s">
        <v>92</v>
      </c>
      <c r="O53" s="4">
        <f t="shared" si="16"/>
        <v>760.55704152110548</v>
      </c>
      <c r="P53" s="13">
        <f>'2000-10'!P53</f>
        <v>2278636</v>
      </c>
      <c r="Q53" s="22">
        <f t="shared" si="17"/>
        <v>342742.7522613394</v>
      </c>
      <c r="R53" s="13">
        <f t="shared" si="18"/>
        <v>342742.7522613394</v>
      </c>
    </row>
    <row r="54" spans="1:18">
      <c r="D54" s="3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3/6</f>
        <v>0.5</v>
      </c>
      <c r="B1" s="1" t="s">
        <v>60</v>
      </c>
      <c r="C1" s="1" t="s">
        <v>61</v>
      </c>
      <c r="D1" s="38" t="s">
        <v>164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26158.395</v>
      </c>
      <c r="E3" s="4">
        <f>'Interval Circuities'!D3</f>
        <v>1.277382171194746</v>
      </c>
      <c r="F3" s="4">
        <f t="shared" ref="F3:F34" si="0">B3/E3</f>
        <v>40.95625505017631</v>
      </c>
      <c r="G3" s="4">
        <f t="shared" ref="G3:G34" si="1">F3*$A$1</f>
        <v>20.478127525088155</v>
      </c>
      <c r="H3" s="4">
        <f t="shared" ref="H3:H34" si="2">PI()*G3^2</f>
        <v>1317.4385249587888</v>
      </c>
      <c r="I3" s="4">
        <f t="shared" ref="I3:I34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34" si="4">H3*I3</f>
        <v>997851.57164137368</v>
      </c>
      <c r="M3" s="22">
        <f t="shared" ref="M3:M34" si="5">MIN(K3,L3)</f>
        <v>997851.57164137368</v>
      </c>
      <c r="N3" s="19" t="s">
        <v>92</v>
      </c>
      <c r="O3" s="4">
        <f t="shared" ref="O3:O34" si="6">P3/J3</f>
        <v>418.87926898310906</v>
      </c>
      <c r="P3" s="13">
        <f>'2000-10'!P3</f>
        <v>2129188</v>
      </c>
      <c r="Q3" s="22">
        <f t="shared" ref="Q3:Q34" si="7">H3*O3</f>
        <v>551847.68626492296</v>
      </c>
      <c r="R3" s="13">
        <f t="shared" ref="R3:R34" si="8">MIN(Q3,P3)</f>
        <v>551847.68626492296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26599.440000000002</v>
      </c>
      <c r="E4" s="4">
        <f>'Interval Circuities'!D4</f>
        <v>1.3559568799763722</v>
      </c>
      <c r="F4" s="4">
        <f t="shared" si="0"/>
        <v>39.233459990945292</v>
      </c>
      <c r="G4" s="4">
        <f t="shared" si="1"/>
        <v>19.616729995472646</v>
      </c>
      <c r="H4" s="4">
        <f t="shared" si="2"/>
        <v>1208.9354192822184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1408563.3481859274</v>
      </c>
      <c r="M4" s="22">
        <f t="shared" si="5"/>
        <v>960000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851718.64080386248</v>
      </c>
      <c r="R4" s="13">
        <f t="shared" si="8"/>
        <v>580485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28781.300000000003</v>
      </c>
      <c r="E5" s="4">
        <f>'Interval Circuities'!D5</f>
        <v>1.2629159984496836</v>
      </c>
      <c r="F5" s="4">
        <f t="shared" si="0"/>
        <v>45.579120124111235</v>
      </c>
      <c r="G5" s="4">
        <f t="shared" si="1"/>
        <v>22.789560062055617</v>
      </c>
      <c r="H5" s="4">
        <f t="shared" si="2"/>
        <v>1631.6302771763803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2039237.1305054349</v>
      </c>
      <c r="M5" s="22">
        <f t="shared" si="5"/>
        <v>2039237.1305054349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981494.98096133186</v>
      </c>
      <c r="R5" s="13">
        <f t="shared" si="8"/>
        <v>981494.98096133186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30144.010000000002</v>
      </c>
      <c r="E6" s="4">
        <f>'Interval Circuities'!D6</f>
        <v>1.224823473981425</v>
      </c>
      <c r="F6" s="4">
        <f t="shared" si="0"/>
        <v>49.221803207303893</v>
      </c>
      <c r="G6" s="4">
        <f t="shared" si="1"/>
        <v>24.610901603651946</v>
      </c>
      <c r="H6" s="4">
        <f t="shared" si="2"/>
        <v>1902.8516047877681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1667284.5691745041</v>
      </c>
      <c r="M6" s="22">
        <f t="shared" si="5"/>
        <v>1667284.5691745041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1301383.7363969537</v>
      </c>
      <c r="R6" s="13">
        <f t="shared" si="8"/>
        <v>1301383.7363969537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30037.739999999998</v>
      </c>
      <c r="E7" s="4">
        <f>'Interval Circuities'!D7</f>
        <v>1.2153632188052614</v>
      </c>
      <c r="F7" s="4">
        <f t="shared" si="0"/>
        <v>49.430062610464716</v>
      </c>
      <c r="G7" s="4">
        <f t="shared" si="1"/>
        <v>24.715031305232358</v>
      </c>
      <c r="H7" s="4">
        <f t="shared" si="2"/>
        <v>1918.9877504022083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2252918.7641580179</v>
      </c>
      <c r="M7" s="22">
        <f t="shared" si="5"/>
        <v>1115000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961030.48703155667</v>
      </c>
      <c r="R7" s="13">
        <f t="shared" si="8"/>
        <v>475627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27369.685000000001</v>
      </c>
      <c r="E8" s="4">
        <f>'Interval Circuities'!D8</f>
        <v>1.2727722820087417</v>
      </c>
      <c r="F8" s="4">
        <f t="shared" si="0"/>
        <v>43.007984046924776</v>
      </c>
      <c r="G8" s="4">
        <f t="shared" si="1"/>
        <v>21.503992023462388</v>
      </c>
      <c r="H8" s="4">
        <f t="shared" si="2"/>
        <v>1452.740530585135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1115591.7712663545</v>
      </c>
      <c r="M8" s="22">
        <f t="shared" si="5"/>
        <v>865000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1046601.7705491857</v>
      </c>
      <c r="R8" s="13">
        <f t="shared" si="8"/>
        <v>811507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23751.384999999998</v>
      </c>
      <c r="E9" s="4">
        <f>'Interval Circuities'!D9</f>
        <v>1.2443638582661067</v>
      </c>
      <c r="F9" s="4">
        <f t="shared" si="0"/>
        <v>38.17434079626053</v>
      </c>
      <c r="G9" s="4">
        <f t="shared" si="1"/>
        <v>19.087170398130265</v>
      </c>
      <c r="H9" s="4">
        <f t="shared" si="2"/>
        <v>1144.5452674281801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1696607.3630958947</v>
      </c>
      <c r="M9" s="22">
        <f t="shared" si="5"/>
        <v>1696607.3630958947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872199.61560959334</v>
      </c>
      <c r="R9" s="13">
        <f t="shared" si="8"/>
        <v>872199.61560959334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29850.670000000002</v>
      </c>
      <c r="E10" s="4">
        <f>'Interval Circuities'!D10</f>
        <v>1.3079533981931</v>
      </c>
      <c r="F10" s="4">
        <f t="shared" si="0"/>
        <v>45.644852547862705</v>
      </c>
      <c r="G10" s="4">
        <f t="shared" si="1"/>
        <v>22.822426273931352</v>
      </c>
      <c r="H10" s="4">
        <f t="shared" si="2"/>
        <v>1636.3398173825117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1448367.2682624133</v>
      </c>
      <c r="M10" s="22">
        <f t="shared" si="5"/>
        <v>1448367.2682624133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879321.63802840782</v>
      </c>
      <c r="R10" s="13">
        <f t="shared" si="8"/>
        <v>879321.63802840782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31387.77</v>
      </c>
      <c r="E11" s="4">
        <f>'Interval Circuities'!D11</f>
        <v>1.1963456562532266</v>
      </c>
      <c r="F11" s="4">
        <f t="shared" si="0"/>
        <v>52.472744538232774</v>
      </c>
      <c r="G11" s="4">
        <f t="shared" si="1"/>
        <v>26.236372269116387</v>
      </c>
      <c r="H11" s="4">
        <f t="shared" si="2"/>
        <v>2162.5066003957254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2303523.069110658</v>
      </c>
      <c r="M11" s="22">
        <f t="shared" si="5"/>
        <v>1785000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1390729.1467937801</v>
      </c>
      <c r="R11" s="13">
        <f t="shared" si="8"/>
        <v>1077676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30398.375</v>
      </c>
      <c r="E12" s="4">
        <f>'Interval Circuities'!D12</f>
        <v>1.2318007117105125</v>
      </c>
      <c r="F12" s="4">
        <f t="shared" si="0"/>
        <v>49.355995188195628</v>
      </c>
      <c r="G12" s="4">
        <f t="shared" si="1"/>
        <v>24.677997594097814</v>
      </c>
      <c r="H12" s="4">
        <f t="shared" si="2"/>
        <v>1913.2411266128934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2117448.9428076181</v>
      </c>
      <c r="M12" s="22">
        <f t="shared" si="5"/>
        <v>1140000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1436722.541099329</v>
      </c>
      <c r="R12" s="13">
        <f t="shared" si="8"/>
        <v>773508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28482.019999999997</v>
      </c>
      <c r="E13" s="4">
        <f>'Interval Circuities'!D13</f>
        <v>1.2807382824125499</v>
      </c>
      <c r="F13" s="4">
        <f t="shared" si="0"/>
        <v>44.477502376750856</v>
      </c>
      <c r="G13" s="4">
        <f t="shared" si="1"/>
        <v>22.238751188375428</v>
      </c>
      <c r="H13" s="4">
        <f t="shared" si="2"/>
        <v>1553.7125169053393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1743771.7386987773</v>
      </c>
      <c r="M13" s="22">
        <f t="shared" si="5"/>
        <v>1743771.7386987773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1108971.8888532596</v>
      </c>
      <c r="R13" s="13">
        <f t="shared" si="8"/>
        <v>1108971.8888532596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25436.395</v>
      </c>
      <c r="E14" s="4">
        <f>'Interval Circuities'!D14</f>
        <v>1.3624170687198283</v>
      </c>
      <c r="F14" s="4">
        <f t="shared" si="0"/>
        <v>37.340100302620066</v>
      </c>
      <c r="G14" s="4">
        <f t="shared" si="1"/>
        <v>18.670050151310033</v>
      </c>
      <c r="H14" s="4">
        <f t="shared" si="2"/>
        <v>1095.0673786209977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1716465.0112755226</v>
      </c>
      <c r="M14" s="22">
        <f t="shared" si="5"/>
        <v>1716465.0112755226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915879.45326829806</v>
      </c>
      <c r="R14" s="13">
        <f t="shared" si="8"/>
        <v>915879.45326829806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25257.055</v>
      </c>
      <c r="E15" s="4">
        <f>'Interval Circuities'!D15</f>
        <v>1.2404706690512513</v>
      </c>
      <c r="F15" s="4">
        <f t="shared" si="0"/>
        <v>40.721728663390884</v>
      </c>
      <c r="G15" s="4">
        <f t="shared" si="1"/>
        <v>20.360864331695442</v>
      </c>
      <c r="H15" s="4">
        <f t="shared" si="2"/>
        <v>1302.393718598925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1606495.3681376467</v>
      </c>
      <c r="M15" s="22">
        <f t="shared" si="5"/>
        <v>1606495.3681376467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778639.20464801101</v>
      </c>
      <c r="R15" s="13">
        <f t="shared" si="8"/>
        <v>778639.20464801101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28419.572821170183</v>
      </c>
      <c r="E16" s="4">
        <f>'Interval Circuities'!D16</f>
        <v>1.2691423531186306</v>
      </c>
      <c r="F16" s="4">
        <f t="shared" si="0"/>
        <v>44.785476981893325</v>
      </c>
      <c r="G16" s="4">
        <f t="shared" si="1"/>
        <v>22.392738490946662</v>
      </c>
      <c r="H16" s="4">
        <f t="shared" si="2"/>
        <v>1575.3036864032495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1311681.3692392928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1254877.2940867408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27258.014999999999</v>
      </c>
      <c r="E17" s="4">
        <f>'Interval Circuities'!D17</f>
        <v>1.33286134896737</v>
      </c>
      <c r="F17" s="4">
        <f t="shared" si="0"/>
        <v>40.90150115181607</v>
      </c>
      <c r="G17" s="4">
        <f t="shared" si="1"/>
        <v>20.450750575908035</v>
      </c>
      <c r="H17" s="4">
        <f t="shared" si="2"/>
        <v>1313.9183458364748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1463750.677084984</v>
      </c>
      <c r="M17" s="22">
        <f t="shared" si="5"/>
        <v>1463750.677084984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552406.02361774188</v>
      </c>
      <c r="R17" s="13">
        <f t="shared" si="8"/>
        <v>552406.02361774188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34284.284999999996</v>
      </c>
      <c r="E18" s="4">
        <f>'Interval Circuities'!D18</f>
        <v>1.2481884274968069</v>
      </c>
      <c r="F18" s="4">
        <f t="shared" si="0"/>
        <v>54.934470220583265</v>
      </c>
      <c r="G18" s="4">
        <f t="shared" si="1"/>
        <v>27.467235110291632</v>
      </c>
      <c r="H18" s="4">
        <f t="shared" si="2"/>
        <v>2370.1714503721755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1696333.9532091576</v>
      </c>
      <c r="M18" s="22">
        <f t="shared" si="5"/>
        <v>870000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1107337.5575178138</v>
      </c>
      <c r="R18" s="13">
        <f t="shared" si="8"/>
        <v>567921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29201.601473473474</v>
      </c>
      <c r="E19" s="4">
        <f>'Interval Circuities'!D19</f>
        <v>1.4345760151247269</v>
      </c>
      <c r="F19" s="4">
        <f t="shared" si="0"/>
        <v>40.711124632785094</v>
      </c>
      <c r="G19" s="4">
        <f t="shared" si="1"/>
        <v>20.355562316392547</v>
      </c>
      <c r="H19" s="4">
        <f t="shared" si="2"/>
        <v>1301.7155143503685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2282682.4709442705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1045015.2961732454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26883.649999999998</v>
      </c>
      <c r="E20" s="4">
        <f>'Interval Circuities'!D20</f>
        <v>1.3256758820161785</v>
      </c>
      <c r="F20" s="4">
        <f t="shared" si="0"/>
        <v>40.558405511780911</v>
      </c>
      <c r="G20" s="4">
        <f t="shared" si="1"/>
        <v>20.279202755890456</v>
      </c>
      <c r="H20" s="4">
        <f t="shared" si="2"/>
        <v>1291.9676147823552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1397982.7167534013</v>
      </c>
      <c r="M20" s="22">
        <f t="shared" si="5"/>
        <v>1397982.7167534013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720473.30767160561</v>
      </c>
      <c r="R20" s="13">
        <f t="shared" si="8"/>
        <v>720473.30767160561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26668.095000000001</v>
      </c>
      <c r="E21" s="4">
        <f>'Interval Circuities'!D21</f>
        <v>1.2574853167659508</v>
      </c>
      <c r="F21" s="4">
        <f t="shared" si="0"/>
        <v>42.414960468224052</v>
      </c>
      <c r="G21" s="4">
        <f t="shared" si="1"/>
        <v>21.207480234112026</v>
      </c>
      <c r="H21" s="4">
        <f t="shared" si="2"/>
        <v>1412.9539715915844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1016259.8143673354</v>
      </c>
      <c r="M21" s="22">
        <f t="shared" si="5"/>
        <v>1016259.8143673354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802613.38824691705</v>
      </c>
      <c r="R21" s="13">
        <f t="shared" si="8"/>
        <v>802613.38824691705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28909.875</v>
      </c>
      <c r="E22" s="4">
        <f>'Interval Circuities'!D22</f>
        <v>1.358982264831871</v>
      </c>
      <c r="F22" s="4">
        <f t="shared" si="0"/>
        <v>42.54636097635408</v>
      </c>
      <c r="G22" s="4">
        <f t="shared" si="1"/>
        <v>21.27318048817704</v>
      </c>
      <c r="H22" s="4">
        <f t="shared" si="2"/>
        <v>1421.722125907384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2039212.078370516</v>
      </c>
      <c r="M22" s="22">
        <f t="shared" si="5"/>
        <v>1630000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1097790.4311102675</v>
      </c>
      <c r="R22" s="13">
        <f t="shared" si="8"/>
        <v>877495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27198.95</v>
      </c>
      <c r="E23" s="4">
        <f>'Interval Circuities'!D23</f>
        <v>1.3650878893320424</v>
      </c>
      <c r="F23" s="4">
        <f t="shared" si="0"/>
        <v>39.849375578753168</v>
      </c>
      <c r="G23" s="4">
        <f t="shared" si="1"/>
        <v>19.924687789376584</v>
      </c>
      <c r="H23" s="4">
        <f t="shared" si="2"/>
        <v>1247.1908688218068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1043986.9075744621</v>
      </c>
      <c r="M23" s="22">
        <f t="shared" si="5"/>
        <v>890000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583250.85186290916</v>
      </c>
      <c r="R23" s="13">
        <f t="shared" si="8"/>
        <v>497222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31670.53</v>
      </c>
      <c r="E24" s="4">
        <f>'Interval Circuities'!D24</f>
        <v>1.2891952834704137</v>
      </c>
      <c r="F24" s="4">
        <f t="shared" si="0"/>
        <v>49.132246147760313</v>
      </c>
      <c r="G24" s="4">
        <f t="shared" si="1"/>
        <v>24.566123073880156</v>
      </c>
      <c r="H24" s="4">
        <f t="shared" si="2"/>
        <v>1895.9335825735932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1784921.4301087002</v>
      </c>
      <c r="M24" s="22">
        <f t="shared" si="5"/>
        <v>1425000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1116561.6714779346</v>
      </c>
      <c r="R24" s="13">
        <f t="shared" si="8"/>
        <v>891412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25382.370000000003</v>
      </c>
      <c r="E25" s="4">
        <f>'Interval Circuities'!D25</f>
        <v>1.3357992608385252</v>
      </c>
      <c r="F25" s="4">
        <f t="shared" si="0"/>
        <v>38.003270018380832</v>
      </c>
      <c r="G25" s="4">
        <f t="shared" si="1"/>
        <v>19.001635009190416</v>
      </c>
      <c r="H25" s="4">
        <f t="shared" si="2"/>
        <v>1134.3101445929178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1991366.5681136267</v>
      </c>
      <c r="M25" s="22">
        <f t="shared" si="5"/>
        <v>1300000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1059828.2648566274</v>
      </c>
      <c r="R25" s="13">
        <f t="shared" si="8"/>
        <v>691875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23983.279999999999</v>
      </c>
      <c r="E26" s="4">
        <f>'Interval Circuities'!D26</f>
        <v>1.2561116913129733</v>
      </c>
      <c r="F26" s="4">
        <f t="shared" si="0"/>
        <v>38.186540521617225</v>
      </c>
      <c r="G26" s="4">
        <f t="shared" si="1"/>
        <v>19.093270260808612</v>
      </c>
      <c r="H26" s="4">
        <f t="shared" si="2"/>
        <v>1145.2769300473039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3300677.7314859638</v>
      </c>
      <c r="M26" s="22">
        <f t="shared" si="5"/>
        <v>3300677.7314859638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1404799.4609376618</v>
      </c>
      <c r="R26" s="13">
        <f t="shared" si="8"/>
        <v>1404799.4609376618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28981.875</v>
      </c>
      <c r="E27" s="4">
        <f>'Interval Circuities'!D27</f>
        <v>1.3315074307179493</v>
      </c>
      <c r="F27" s="4">
        <f t="shared" si="0"/>
        <v>43.532426979206505</v>
      </c>
      <c r="G27" s="4">
        <f t="shared" si="1"/>
        <v>21.766213489603253</v>
      </c>
      <c r="H27" s="4">
        <f t="shared" si="2"/>
        <v>1488.3862243645021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1263018.0692719067</v>
      </c>
      <c r="M27" s="22">
        <f t="shared" si="5"/>
        <v>860000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757849.02583035454</v>
      </c>
      <c r="R27" s="13">
        <f t="shared" si="8"/>
        <v>516026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28660.695</v>
      </c>
      <c r="E28" s="4">
        <f>'Interval Circuities'!D28</f>
        <v>1.3251931697179655</v>
      </c>
      <c r="F28" s="4">
        <f t="shared" si="0"/>
        <v>43.255120317439783</v>
      </c>
      <c r="G28" s="4">
        <f t="shared" si="1"/>
        <v>21.627560158719891</v>
      </c>
      <c r="H28" s="4">
        <f t="shared" si="2"/>
        <v>1469.4842313159272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1390693.5837943065</v>
      </c>
      <c r="M28" s="22">
        <f t="shared" si="5"/>
        <v>980000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762704.60990570474</v>
      </c>
      <c r="R28" s="13">
        <f t="shared" si="8"/>
        <v>537466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28628.14</v>
      </c>
      <c r="E29" s="4">
        <f>'Interval Circuities'!D29</f>
        <v>1.2090232904836757</v>
      </c>
      <c r="F29" s="4">
        <f t="shared" si="0"/>
        <v>47.357466519188677</v>
      </c>
      <c r="G29" s="4">
        <f t="shared" si="1"/>
        <v>23.678733259594338</v>
      </c>
      <c r="H29" s="4">
        <f t="shared" si="2"/>
        <v>1761.435736417196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1954914.800656016</v>
      </c>
      <c r="M29" s="22">
        <f t="shared" si="5"/>
        <v>1400000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1091490.3733857027</v>
      </c>
      <c r="R29" s="13">
        <f t="shared" si="8"/>
        <v>781664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27651.325000000001</v>
      </c>
      <c r="E30" s="4">
        <f>'Interval Circuities'!D30</f>
        <v>1.2663204916847495</v>
      </c>
      <c r="F30" s="4">
        <f t="shared" si="0"/>
        <v>43.671922205431386</v>
      </c>
      <c r="G30" s="4">
        <f t="shared" si="1"/>
        <v>21.835961102715693</v>
      </c>
      <c r="H30" s="4">
        <f t="shared" si="2"/>
        <v>1497.9402713367353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1571662.5234367023</v>
      </c>
      <c r="M30" s="22">
        <f t="shared" si="5"/>
        <v>1571662.5234367023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1062261.475377528</v>
      </c>
      <c r="R30" s="13">
        <f t="shared" si="8"/>
        <v>1062261.475377528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30402.29</v>
      </c>
      <c r="E31" s="4">
        <f>'Interval Circuities'!D31</f>
        <v>1.3801075382586201</v>
      </c>
      <c r="F31" s="4">
        <f t="shared" si="0"/>
        <v>44.057856590451976</v>
      </c>
      <c r="G31" s="4">
        <f t="shared" si="1"/>
        <v>22.028928295225988</v>
      </c>
      <c r="H31" s="4">
        <f t="shared" si="2"/>
        <v>1524.532233837102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1161482.4156970172</v>
      </c>
      <c r="M31" s="22">
        <f t="shared" si="5"/>
        <v>850000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867384.13644332578</v>
      </c>
      <c r="R31" s="13">
        <f t="shared" si="8"/>
        <v>634772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28356.035</v>
      </c>
      <c r="E32" s="4">
        <f>'Interval Circuities'!D32</f>
        <v>1.3350927949246025</v>
      </c>
      <c r="F32" s="4">
        <f t="shared" si="0"/>
        <v>42.477998694617128</v>
      </c>
      <c r="G32" s="4">
        <f t="shared" si="1"/>
        <v>21.238999347308564</v>
      </c>
      <c r="H32" s="4">
        <f t="shared" si="2"/>
        <v>1417.1570311030596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3028511.3006339618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1497141.1042637178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25934.35</v>
      </c>
      <c r="E33" s="4">
        <f>'Interval Circuities'!D33</f>
        <v>1.2662626287716936</v>
      </c>
      <c r="F33" s="4">
        <f t="shared" si="0"/>
        <v>40.962039644425055</v>
      </c>
      <c r="G33" s="4">
        <f t="shared" si="1"/>
        <v>20.481019822212527</v>
      </c>
      <c r="H33" s="4">
        <f t="shared" si="2"/>
        <v>1317.8106969497678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2610366.620437779</v>
      </c>
      <c r="M33" s="22">
        <f t="shared" si="5"/>
        <v>2610366.620437779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1196602.6823937611</v>
      </c>
      <c r="R33" s="13">
        <f t="shared" si="8"/>
        <v>1196602.6823937611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29758.859999999997</v>
      </c>
      <c r="E34" s="4">
        <f>'Interval Circuities'!D34</f>
        <v>1.2967907813321766</v>
      </c>
      <c r="F34" s="4">
        <f t="shared" si="0"/>
        <v>45.896162169550742</v>
      </c>
      <c r="G34" s="4">
        <f t="shared" si="1"/>
        <v>22.948081084775371</v>
      </c>
      <c r="H34" s="4">
        <f t="shared" si="2"/>
        <v>1654.408010341722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1605090.0433923386</v>
      </c>
      <c r="M34" s="22">
        <f t="shared" si="5"/>
        <v>810000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874706.69949885504</v>
      </c>
      <c r="R34" s="13">
        <f t="shared" si="8"/>
        <v>441416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22870.345000000001</v>
      </c>
      <c r="E35" s="4">
        <f>'Interval Circuities'!D35</f>
        <v>1.3124498405407798</v>
      </c>
      <c r="F35" s="4">
        <f t="shared" ref="F35:F53" si="10">B35/E35</f>
        <v>34.851381429672827</v>
      </c>
      <c r="G35" s="4">
        <f t="shared" ref="G35:G53" si="11">F35*$A$1</f>
        <v>17.425690714836414</v>
      </c>
      <c r="H35" s="4">
        <f t="shared" ref="H35:H53" si="12">PI()*G35^2</f>
        <v>953.95936497494506</v>
      </c>
      <c r="I35" s="4">
        <f t="shared" ref="I35:I53" si="13">K35/J35</f>
        <v>1047.9139885488814</v>
      </c>
      <c r="J35" s="9">
        <f>'2000-10'!J35</f>
        <v>1173.7604550000001</v>
      </c>
      <c r="K35" s="9">
        <f>'2000-10'!K35</f>
        <v>1230000</v>
      </c>
      <c r="L35" s="22">
        <f t="shared" ref="L35:L53" si="14">H35*I35</f>
        <v>999667.36306445277</v>
      </c>
      <c r="M35" s="22">
        <f t="shared" ref="M35:M53" si="15">MIN(K35,L35)</f>
        <v>999667.36306445277</v>
      </c>
      <c r="N35" s="19" t="s">
        <v>92</v>
      </c>
      <c r="O35" s="4">
        <f t="shared" ref="O35:O53" si="16">P35/J35</f>
        <v>697.01274780125379</v>
      </c>
      <c r="P35" s="13">
        <f>'2000-10'!P35</f>
        <v>818126</v>
      </c>
      <c r="Q35" s="22">
        <f t="shared" ref="Q35:Q53" si="17">H35*O35</f>
        <v>664921.83827192558</v>
      </c>
      <c r="R35" s="13">
        <f t="shared" ref="R35:R53" si="18">MIN(Q35,P35)</f>
        <v>664921.83827192558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26432.94</v>
      </c>
      <c r="E36" s="4">
        <f>'Interval Circuities'!D36</f>
        <v>1.2192698044836818</v>
      </c>
      <c r="F36" s="4">
        <f t="shared" si="10"/>
        <v>43.35863957722372</v>
      </c>
      <c r="G36" s="4">
        <f t="shared" si="11"/>
        <v>21.67931978861186</v>
      </c>
      <c r="H36" s="4">
        <f t="shared" si="12"/>
        <v>1476.5262622899686</v>
      </c>
      <c r="I36" s="4">
        <f t="shared" si="1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14"/>
        <v>1623612.3850353952</v>
      </c>
      <c r="M36" s="22">
        <f t="shared" si="15"/>
        <v>1623612.3850353952</v>
      </c>
      <c r="N36" s="19" t="s">
        <v>92</v>
      </c>
      <c r="O36" s="4">
        <f t="shared" si="16"/>
        <v>547.27078534034638</v>
      </c>
      <c r="P36" s="13">
        <f>'2000-10'!P36</f>
        <v>2550674</v>
      </c>
      <c r="Q36" s="22">
        <f t="shared" si="17"/>
        <v>808059.68713907734</v>
      </c>
      <c r="R36" s="13">
        <f t="shared" si="18"/>
        <v>808059.68713907734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26221.325000000001</v>
      </c>
      <c r="E37" s="4">
        <f>'Interval Circuities'!D37</f>
        <v>1.3350077872231905</v>
      </c>
      <c r="F37" s="4">
        <f t="shared" si="10"/>
        <v>39.282654754456864</v>
      </c>
      <c r="G37" s="4">
        <f t="shared" si="11"/>
        <v>19.641327377228432</v>
      </c>
      <c r="H37" s="4">
        <f t="shared" si="12"/>
        <v>1211.9690838528165</v>
      </c>
      <c r="I37" s="4">
        <f t="shared" si="13"/>
        <v>1401.3597327768193</v>
      </c>
      <c r="J37" s="9">
        <f>'2000-10'!J37</f>
        <v>2069.418674</v>
      </c>
      <c r="K37" s="9">
        <f>'2000-10'!K37</f>
        <v>2900000</v>
      </c>
      <c r="L37" s="22">
        <f t="shared" si="14"/>
        <v>1698404.6714817495</v>
      </c>
      <c r="M37" s="22">
        <f t="shared" si="15"/>
        <v>1698404.6714817495</v>
      </c>
      <c r="N37" s="19" t="s">
        <v>92</v>
      </c>
      <c r="O37" s="4">
        <f t="shared" si="16"/>
        <v>677.88602549355369</v>
      </c>
      <c r="P37" s="13">
        <f>'2000-10'!P37</f>
        <v>1402830</v>
      </c>
      <c r="Q37" s="22">
        <f t="shared" si="17"/>
        <v>821576.90527404926</v>
      </c>
      <c r="R37" s="13">
        <f t="shared" si="18"/>
        <v>821576.90527404926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29275.564999999999</v>
      </c>
      <c r="E38" s="4">
        <f>'Interval Circuities'!D38</f>
        <v>1.303232635642618</v>
      </c>
      <c r="F38" s="4">
        <f t="shared" si="10"/>
        <v>44.9276118466207</v>
      </c>
      <c r="G38" s="4">
        <f t="shared" si="11"/>
        <v>22.46380592331035</v>
      </c>
      <c r="H38" s="4">
        <f t="shared" si="12"/>
        <v>1585.3185793569301</v>
      </c>
      <c r="I38" s="4">
        <f t="shared" si="1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14"/>
        <v>1267423.8499305467</v>
      </c>
      <c r="M38" s="22">
        <f t="shared" si="15"/>
        <v>1267423.8499305467</v>
      </c>
      <c r="N38" s="19" t="s">
        <v>92</v>
      </c>
      <c r="O38" s="4">
        <f t="shared" si="16"/>
        <v>470.46365508810919</v>
      </c>
      <c r="P38" s="13">
        <f>'2000-10'!P38</f>
        <v>1038641</v>
      </c>
      <c r="Q38" s="22">
        <f t="shared" si="17"/>
        <v>745834.77332335</v>
      </c>
      <c r="R38" s="13">
        <f t="shared" si="18"/>
        <v>745834.77332335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26543.974999999999</v>
      </c>
      <c r="E39" s="4">
        <f>'Interval Circuities'!D39</f>
        <v>1.4641031792120254</v>
      </c>
      <c r="F39" s="4">
        <f t="shared" si="10"/>
        <v>36.259705431806879</v>
      </c>
      <c r="G39" s="4">
        <f t="shared" si="11"/>
        <v>18.129852715903439</v>
      </c>
      <c r="H39" s="4">
        <f t="shared" si="12"/>
        <v>1032.6149886232761</v>
      </c>
      <c r="I39" s="4">
        <f t="shared" si="1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14"/>
        <v>1337551.1498235841</v>
      </c>
      <c r="M39" s="22">
        <f t="shared" si="15"/>
        <v>1337551.1498235841</v>
      </c>
      <c r="N39" s="19" t="s">
        <v>92</v>
      </c>
      <c r="O39" s="4">
        <f t="shared" si="16"/>
        <v>714.74674387135121</v>
      </c>
      <c r="P39" s="13">
        <f>'2000-10'!P39</f>
        <v>877359</v>
      </c>
      <c r="Q39" s="22">
        <f t="shared" si="17"/>
        <v>738058.20079123892</v>
      </c>
      <c r="R39" s="13">
        <f t="shared" si="18"/>
        <v>738058.20079123892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31241.200000000001</v>
      </c>
      <c r="E40" s="4">
        <f>'Interval Circuities'!D40</f>
        <v>1.2557177280711931</v>
      </c>
      <c r="F40" s="4">
        <f t="shared" si="10"/>
        <v>49.758316382117329</v>
      </c>
      <c r="G40" s="4">
        <f t="shared" si="11"/>
        <v>24.879158191058664</v>
      </c>
      <c r="H40" s="4">
        <f t="shared" si="12"/>
        <v>1944.5594974022565</v>
      </c>
      <c r="I40" s="4">
        <f t="shared" si="1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14"/>
        <v>1803829.1286602039</v>
      </c>
      <c r="M40" s="22">
        <f t="shared" si="15"/>
        <v>1210000</v>
      </c>
      <c r="N40" s="19" t="s">
        <v>92</v>
      </c>
      <c r="O40" s="4">
        <f t="shared" si="16"/>
        <v>482.44740198664414</v>
      </c>
      <c r="P40" s="13">
        <f>'2000-10'!P40</f>
        <v>629305</v>
      </c>
      <c r="Q40" s="22">
        <f t="shared" si="17"/>
        <v>938147.6775301731</v>
      </c>
      <c r="R40" s="13">
        <f t="shared" si="18"/>
        <v>629305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30814.475000000002</v>
      </c>
      <c r="E41" s="4">
        <f>'Interval Circuities'!D41</f>
        <v>1.2616296466943198</v>
      </c>
      <c r="F41" s="4">
        <f t="shared" si="10"/>
        <v>48.848685635660303</v>
      </c>
      <c r="G41" s="4">
        <f t="shared" si="11"/>
        <v>24.424342817830151</v>
      </c>
      <c r="H41" s="4">
        <f t="shared" si="12"/>
        <v>1874.1124544854597</v>
      </c>
      <c r="I41" s="4">
        <f t="shared" si="1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14"/>
        <v>1788549.7944691421</v>
      </c>
      <c r="M41" s="22">
        <f t="shared" si="15"/>
        <v>790000</v>
      </c>
      <c r="N41" s="19" t="s">
        <v>92</v>
      </c>
      <c r="O41" s="4">
        <f t="shared" si="16"/>
        <v>742.45018600123069</v>
      </c>
      <c r="P41" s="13">
        <f>'2000-10'!P41</f>
        <v>614595</v>
      </c>
      <c r="Q41" s="22">
        <f t="shared" si="17"/>
        <v>1391435.1404199526</v>
      </c>
      <c r="R41" s="13">
        <f t="shared" si="18"/>
        <v>614595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31044.698779627513</v>
      </c>
      <c r="E42" s="4">
        <f>'Interval Circuities'!D42</f>
        <v>1.2237660442513634</v>
      </c>
      <c r="F42" s="4">
        <f t="shared" si="10"/>
        <v>50.736329751033502</v>
      </c>
      <c r="G42" s="4">
        <f t="shared" si="11"/>
        <v>25.368164875516751</v>
      </c>
      <c r="H42" s="4">
        <f t="shared" si="12"/>
        <v>2021.7524402613828</v>
      </c>
      <c r="I42" s="4">
        <f t="shared" si="1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14"/>
        <v>1758750.1305770795</v>
      </c>
      <c r="M42" s="22">
        <f t="shared" si="15"/>
        <v>665000</v>
      </c>
      <c r="N42" s="19" t="s">
        <v>92</v>
      </c>
      <c r="O42" s="4">
        <f t="shared" si="16"/>
        <v>595.44480330121178</v>
      </c>
      <c r="P42" s="13">
        <f>'2000-10'!P42</f>
        <v>455184</v>
      </c>
      <c r="Q42" s="22">
        <f t="shared" si="17"/>
        <v>1203841.9841151841</v>
      </c>
      <c r="R42" s="13">
        <f t="shared" si="1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26648.704999999998</v>
      </c>
      <c r="E43" s="4">
        <f>'Interval Circuities'!D43</f>
        <v>1.460694660423109</v>
      </c>
      <c r="F43" s="4">
        <f t="shared" si="10"/>
        <v>36.487714677180868</v>
      </c>
      <c r="G43" s="4">
        <f t="shared" si="11"/>
        <v>18.243857338590434</v>
      </c>
      <c r="H43" s="4">
        <f t="shared" si="12"/>
        <v>1045.642454217274</v>
      </c>
      <c r="I43" s="4">
        <f t="shared" si="1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14"/>
        <v>1608201.7845515555</v>
      </c>
      <c r="M43" s="22">
        <f t="shared" si="15"/>
        <v>1470000</v>
      </c>
      <c r="N43" s="19" t="s">
        <v>92</v>
      </c>
      <c r="O43" s="4">
        <f t="shared" si="16"/>
        <v>612.25827963614597</v>
      </c>
      <c r="P43" s="13">
        <f>'2000-10'!P43</f>
        <v>585187</v>
      </c>
      <c r="Q43" s="22">
        <f t="shared" si="17"/>
        <v>640203.25013358577</v>
      </c>
      <c r="R43" s="13">
        <f t="shared" si="18"/>
        <v>585187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26117.09</v>
      </c>
      <c r="E44" s="4">
        <f>'Interval Circuities'!D44</f>
        <v>1.4182941706786207</v>
      </c>
      <c r="F44" s="4">
        <f t="shared" si="10"/>
        <v>36.82887589886036</v>
      </c>
      <c r="G44" s="4">
        <f t="shared" si="11"/>
        <v>18.41443794943018</v>
      </c>
      <c r="H44" s="4">
        <f t="shared" si="12"/>
        <v>1065.2874438138704</v>
      </c>
      <c r="I44" s="4">
        <f t="shared" si="1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14"/>
        <v>1640094.1224748923</v>
      </c>
      <c r="M44" s="22">
        <f t="shared" si="15"/>
        <v>920000</v>
      </c>
      <c r="N44" s="19" t="s">
        <v>92</v>
      </c>
      <c r="O44" s="4">
        <f t="shared" si="16"/>
        <v>1022.9581711561229</v>
      </c>
      <c r="P44" s="13">
        <f>'2000-10'!P44</f>
        <v>611285</v>
      </c>
      <c r="Q44" s="22">
        <f t="shared" si="17"/>
        <v>1089744.4952794178</v>
      </c>
      <c r="R44" s="13">
        <f t="shared" si="18"/>
        <v>611285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29803.119999999999</v>
      </c>
      <c r="E45" s="4">
        <f>'Interval Circuities'!D45</f>
        <v>1.3653202546365113</v>
      </c>
      <c r="F45" s="4">
        <f t="shared" si="10"/>
        <v>43.657332261483916</v>
      </c>
      <c r="G45" s="4">
        <f t="shared" si="11"/>
        <v>21.828666130741958</v>
      </c>
      <c r="H45" s="4">
        <f t="shared" si="12"/>
        <v>1496.93957281703</v>
      </c>
      <c r="I45" s="4">
        <f t="shared" si="1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14"/>
        <v>1786842.7355436122</v>
      </c>
      <c r="M45" s="22">
        <f t="shared" si="15"/>
        <v>1260000</v>
      </c>
      <c r="N45" s="19" t="s">
        <v>92</v>
      </c>
      <c r="O45" s="4">
        <f t="shared" si="16"/>
        <v>601.99786445569703</v>
      </c>
      <c r="P45" s="13">
        <f>'2000-10'!P45</f>
        <v>635453</v>
      </c>
      <c r="Q45" s="22">
        <f t="shared" si="17"/>
        <v>901154.42605507548</v>
      </c>
      <c r="R45" s="13">
        <f t="shared" si="18"/>
        <v>635453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26584.914999999997</v>
      </c>
      <c r="E46" s="4">
        <f>'Interval Circuities'!D46</f>
        <v>1.3907117579567645</v>
      </c>
      <c r="F46" s="4">
        <f t="shared" si="10"/>
        <v>38.232099279952287</v>
      </c>
      <c r="G46" s="4">
        <f t="shared" si="11"/>
        <v>19.116049639976143</v>
      </c>
      <c r="H46" s="4">
        <f t="shared" si="12"/>
        <v>1148.011323867705</v>
      </c>
      <c r="I46" s="4">
        <f t="shared" si="13"/>
        <v>1372.086028348845</v>
      </c>
      <c r="J46" s="9">
        <f>'2000-10'!J46</f>
        <v>2026.112024</v>
      </c>
      <c r="K46" s="9">
        <f>'2000-10'!K46</f>
        <v>2780000</v>
      </c>
      <c r="L46" s="22">
        <f t="shared" si="14"/>
        <v>1575170.2978651389</v>
      </c>
      <c r="M46" s="22">
        <f t="shared" si="15"/>
        <v>1575170.2978651389</v>
      </c>
      <c r="N46" s="19" t="s">
        <v>92</v>
      </c>
      <c r="O46" s="4">
        <f t="shared" si="16"/>
        <v>533.91026122255516</v>
      </c>
      <c r="P46" s="13">
        <f>'2000-10'!P46</f>
        <v>1081762</v>
      </c>
      <c r="Q46" s="22">
        <f t="shared" si="17"/>
        <v>612935.02581265778</v>
      </c>
      <c r="R46" s="13">
        <f t="shared" si="18"/>
        <v>612935.02581265778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26662.605</v>
      </c>
      <c r="E47" s="4">
        <f>'Interval Circuities'!D47</f>
        <v>1.414488153559522</v>
      </c>
      <c r="F47" s="4">
        <f t="shared" si="10"/>
        <v>37.69929770412606</v>
      </c>
      <c r="G47" s="4">
        <f t="shared" si="11"/>
        <v>18.84964885206303</v>
      </c>
      <c r="H47" s="4">
        <f t="shared" si="12"/>
        <v>1116.2369667680605</v>
      </c>
      <c r="I47" s="4">
        <f t="shared" si="13"/>
        <v>3692.1786197984002</v>
      </c>
      <c r="J47" s="9">
        <f>'2000-10'!J47</f>
        <v>1107.747057</v>
      </c>
      <c r="K47" s="9">
        <f>'2000-10'!K47</f>
        <v>4090000</v>
      </c>
      <c r="L47" s="22">
        <f t="shared" si="14"/>
        <v>4121346.2633296503</v>
      </c>
      <c r="M47" s="22">
        <f t="shared" si="15"/>
        <v>4090000</v>
      </c>
      <c r="N47" s="19" t="s">
        <v>92</v>
      </c>
      <c r="O47" s="4">
        <f t="shared" si="16"/>
        <v>1849.2479732221034</v>
      </c>
      <c r="P47" s="13">
        <f>'2000-10'!P47</f>
        <v>2048499</v>
      </c>
      <c r="Q47" s="22">
        <f t="shared" si="17"/>
        <v>2064198.9484314243</v>
      </c>
      <c r="R47" s="13">
        <f t="shared" si="18"/>
        <v>2048499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25331.945</v>
      </c>
      <c r="E48" s="4">
        <f>'Interval Circuities'!D48</f>
        <v>1.4093660178430478</v>
      </c>
      <c r="F48" s="4">
        <f t="shared" si="10"/>
        <v>35.948000277130362</v>
      </c>
      <c r="G48" s="4">
        <f t="shared" si="11"/>
        <v>17.974000138565181</v>
      </c>
      <c r="H48" s="4">
        <f t="shared" si="12"/>
        <v>1014.9376284046831</v>
      </c>
      <c r="I48" s="4">
        <f t="shared" si="1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14"/>
        <v>2523469.841736821</v>
      </c>
      <c r="M48" s="22">
        <f t="shared" si="15"/>
        <v>1675000</v>
      </c>
      <c r="N48" s="19" t="s">
        <v>92</v>
      </c>
      <c r="O48" s="4">
        <f t="shared" si="16"/>
        <v>1548.2013042170763</v>
      </c>
      <c r="P48" s="13">
        <f>'2000-10'!P48</f>
        <v>1042998</v>
      </c>
      <c r="Q48" s="22">
        <f t="shared" si="17"/>
        <v>1571327.7599951166</v>
      </c>
      <c r="R48" s="13">
        <f t="shared" si="18"/>
        <v>1042998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29093.325000000001</v>
      </c>
      <c r="E49" s="4">
        <f>'Interval Circuities'!D49</f>
        <v>1.3977381955141213</v>
      </c>
      <c r="F49" s="4">
        <f t="shared" si="10"/>
        <v>41.629147852397047</v>
      </c>
      <c r="G49" s="4">
        <f t="shared" si="11"/>
        <v>20.814573926198523</v>
      </c>
      <c r="H49" s="4">
        <f t="shared" si="12"/>
        <v>1361.083983043583</v>
      </c>
      <c r="I49" s="4">
        <f t="shared" si="1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14"/>
        <v>1509939.1050328983</v>
      </c>
      <c r="M49" s="22">
        <f t="shared" si="15"/>
        <v>1509939.1050328983</v>
      </c>
      <c r="N49" s="19" t="s">
        <v>92</v>
      </c>
      <c r="O49" s="4">
        <f t="shared" si="16"/>
        <v>599.91348482451292</v>
      </c>
      <c r="P49" s="13">
        <f>'2000-10'!P49</f>
        <v>1481715</v>
      </c>
      <c r="Q49" s="22">
        <f t="shared" si="17"/>
        <v>816532.63540650415</v>
      </c>
      <c r="R49" s="13">
        <f t="shared" si="18"/>
        <v>816532.63540650415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29914.545000000002</v>
      </c>
      <c r="E50" s="4">
        <f>'Interval Circuities'!D50</f>
        <v>1.2547499477207007</v>
      </c>
      <c r="F50" s="4">
        <f t="shared" si="10"/>
        <v>47.682082082315873</v>
      </c>
      <c r="G50" s="4">
        <f t="shared" si="11"/>
        <v>23.841041041157936</v>
      </c>
      <c r="H50" s="4">
        <f t="shared" si="12"/>
        <v>1785.6663038043005</v>
      </c>
      <c r="I50" s="4">
        <f t="shared" si="1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14"/>
        <v>3067052.9462208436</v>
      </c>
      <c r="M50" s="22">
        <f t="shared" si="15"/>
        <v>3067052.9462208436</v>
      </c>
      <c r="N50" s="19" t="s">
        <v>92</v>
      </c>
      <c r="O50" s="4">
        <f t="shared" si="16"/>
        <v>514.0451157391708</v>
      </c>
      <c r="P50" s="13">
        <f>'2000-10'!P50</f>
        <v>1485934</v>
      </c>
      <c r="Q50" s="22">
        <f t="shared" si="17"/>
        <v>917913.04181061895</v>
      </c>
      <c r="R50" s="13">
        <f t="shared" si="18"/>
        <v>917913.04181061895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28251.239999999998</v>
      </c>
      <c r="E51" s="4">
        <f>'Interval Circuities'!D51</f>
        <v>1.3531136975500511</v>
      </c>
      <c r="F51" s="4">
        <f t="shared" si="10"/>
        <v>41.757377892414688</v>
      </c>
      <c r="G51" s="4">
        <f t="shared" si="11"/>
        <v>20.878688946207344</v>
      </c>
      <c r="H51" s="4">
        <f t="shared" si="12"/>
        <v>1369.4819766319877</v>
      </c>
      <c r="I51" s="4">
        <f t="shared" si="1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14"/>
        <v>1310814.816381772</v>
      </c>
      <c r="M51" s="22">
        <f t="shared" si="15"/>
        <v>1310814.816381772</v>
      </c>
      <c r="N51" s="19" t="s">
        <v>92</v>
      </c>
      <c r="O51" s="4">
        <f t="shared" si="16"/>
        <v>568.5308450770176</v>
      </c>
      <c r="P51" s="13">
        <f>'2000-10'!P51</f>
        <v>1220621</v>
      </c>
      <c r="Q51" s="22">
        <f t="shared" si="17"/>
        <v>778592.74549232842</v>
      </c>
      <c r="R51" s="13">
        <f t="shared" si="18"/>
        <v>778592.74549232842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23790.420000000002</v>
      </c>
      <c r="E52" s="4">
        <f>'Interval Circuities'!D52</f>
        <v>1.2927340358099582</v>
      </c>
      <c r="F52" s="4">
        <f t="shared" si="10"/>
        <v>36.806364404406189</v>
      </c>
      <c r="G52" s="4">
        <f t="shared" si="11"/>
        <v>18.403182202203094</v>
      </c>
      <c r="H52" s="4">
        <f t="shared" si="12"/>
        <v>1063.9855369491543</v>
      </c>
      <c r="I52" s="4">
        <f t="shared" si="13"/>
        <v>962.52206654026702</v>
      </c>
      <c r="J52" s="9">
        <f>'2000-10'!J52</f>
        <v>2077.87444</v>
      </c>
      <c r="K52" s="9">
        <f>'2000-10'!K52</f>
        <v>2000000</v>
      </c>
      <c r="L52" s="22">
        <f t="shared" si="14"/>
        <v>1024109.5577932555</v>
      </c>
      <c r="M52" s="22">
        <f t="shared" si="15"/>
        <v>1024109.5577932555</v>
      </c>
      <c r="N52" s="19" t="s">
        <v>92</v>
      </c>
      <c r="O52" s="4">
        <f t="shared" si="16"/>
        <v>501.91290672982143</v>
      </c>
      <c r="P52" s="13">
        <f>'2000-10'!P52</f>
        <v>1042912</v>
      </c>
      <c r="Q52" s="22">
        <f t="shared" si="17"/>
        <v>534028.07356863981</v>
      </c>
      <c r="R52" s="13">
        <f t="shared" si="18"/>
        <v>534028.07356863981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24778.289999999997</v>
      </c>
      <c r="E53" s="4">
        <f>'Interval Circuities'!D53</f>
        <v>1.3271067359638802</v>
      </c>
      <c r="F53" s="4">
        <f t="shared" si="10"/>
        <v>37.341819355627756</v>
      </c>
      <c r="G53" s="4">
        <f t="shared" si="11"/>
        <v>18.670909677813878</v>
      </c>
      <c r="H53" s="4">
        <f t="shared" si="12"/>
        <v>1095.1682097482899</v>
      </c>
      <c r="I53" s="4">
        <f t="shared" si="1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14"/>
        <v>1473135.5561413597</v>
      </c>
      <c r="M53" s="22">
        <f t="shared" si="15"/>
        <v>1473135.5561413597</v>
      </c>
      <c r="N53" s="19" t="s">
        <v>92</v>
      </c>
      <c r="O53" s="4">
        <f t="shared" si="16"/>
        <v>760.55704152110548</v>
      </c>
      <c r="P53" s="13">
        <f>'2000-10'!P53</f>
        <v>2278636</v>
      </c>
      <c r="Q53" s="22">
        <f t="shared" si="17"/>
        <v>832937.8935741249</v>
      </c>
      <c r="R53" s="13">
        <f t="shared" si="18"/>
        <v>832937.8935741249</v>
      </c>
    </row>
    <row r="54" spans="1:18">
      <c r="D54" s="3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4/6</f>
        <v>0.66666666666666663</v>
      </c>
      <c r="B1" s="1" t="s">
        <v>60</v>
      </c>
      <c r="C1" s="1" t="s">
        <v>61</v>
      </c>
      <c r="D1" s="38" t="s">
        <v>163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34877.86</v>
      </c>
      <c r="E3" s="4">
        <f>'Interval Circuities'!E3</f>
        <v>1.2522182557617958</v>
      </c>
      <c r="F3" s="4">
        <f t="shared" ref="F3:F34" si="0">B3/E3</f>
        <v>41.779290278892084</v>
      </c>
      <c r="G3" s="4">
        <f t="shared" ref="G3:G34" si="1">F3*$A$1</f>
        <v>27.852860185928055</v>
      </c>
      <c r="H3" s="4">
        <f t="shared" ref="H3:H34" si="2">PI()*G3^2</f>
        <v>2437.1904681871029</v>
      </c>
      <c r="I3" s="4">
        <f t="shared" ref="I3:I34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34" si="4">H3*I3</f>
        <v>1845971.7800843501</v>
      </c>
      <c r="M3" s="22">
        <f t="shared" ref="M3:M34" si="5">MIN(K3,L3)</f>
        <v>1845971.7800843501</v>
      </c>
      <c r="N3" s="19" t="s">
        <v>92</v>
      </c>
      <c r="O3" s="4">
        <f t="shared" ref="O3:O34" si="6">P3/J3</f>
        <v>418.87926898310906</v>
      </c>
      <c r="P3" s="13">
        <f>'2000-10'!P3</f>
        <v>2129188</v>
      </c>
      <c r="Q3" s="22">
        <f t="shared" ref="Q3:Q34" si="7">H3*O3</f>
        <v>1020888.561686815</v>
      </c>
      <c r="R3" s="13">
        <f t="shared" ref="R3:R34" si="8">MIN(Q3,P3)</f>
        <v>1020888.561686815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35465.919999999998</v>
      </c>
      <c r="E4" s="4">
        <f>'Interval Circuities'!E4</f>
        <v>1.3340543253297621</v>
      </c>
      <c r="F4" s="4">
        <f t="shared" si="0"/>
        <v>39.877596429103349</v>
      </c>
      <c r="G4" s="4">
        <f t="shared" si="1"/>
        <v>26.585064286068899</v>
      </c>
      <c r="H4" s="4">
        <f t="shared" si="2"/>
        <v>2220.3697521550835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2587012.8399110287</v>
      </c>
      <c r="M4" s="22">
        <f t="shared" si="5"/>
        <v>960000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1564293.9045580765</v>
      </c>
      <c r="R4" s="13">
        <f t="shared" si="8"/>
        <v>580485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38375.066666666666</v>
      </c>
      <c r="E5" s="4">
        <f>'Interval Circuities'!E5</f>
        <v>1.241973035714903</v>
      </c>
      <c r="F5" s="4">
        <f t="shared" si="0"/>
        <v>46.347705098819546</v>
      </c>
      <c r="G5" s="4">
        <f t="shared" si="1"/>
        <v>30.898470065879696</v>
      </c>
      <c r="H5" s="4">
        <f t="shared" si="2"/>
        <v>2999.3270515663949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3748606.0265247221</v>
      </c>
      <c r="M5" s="22">
        <f t="shared" si="5"/>
        <v>2210000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1804222.7387863905</v>
      </c>
      <c r="R5" s="13">
        <f t="shared" si="8"/>
        <v>1063684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40192.013333333336</v>
      </c>
      <c r="E6" s="4">
        <f>'Interval Circuities'!E6</f>
        <v>1.2083036736912636</v>
      </c>
      <c r="F6" s="4">
        <f t="shared" si="0"/>
        <v>49.894758505389049</v>
      </c>
      <c r="G6" s="4">
        <f t="shared" si="1"/>
        <v>33.263172336926033</v>
      </c>
      <c r="H6" s="4">
        <f t="shared" si="2"/>
        <v>3475.9794839585616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3045664.1714936318</v>
      </c>
      <c r="M6" s="22">
        <f t="shared" si="5"/>
        <v>3045664.1714936318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2377265.3406557571</v>
      </c>
      <c r="R6" s="13">
        <f t="shared" si="8"/>
        <v>2377265.3406557571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40050.32</v>
      </c>
      <c r="E7" s="4">
        <f>'Interval Circuities'!E7</f>
        <v>1.2012191507795758</v>
      </c>
      <c r="F7" s="4">
        <f t="shared" si="0"/>
        <v>50.012089768142459</v>
      </c>
      <c r="G7" s="4">
        <f t="shared" si="1"/>
        <v>33.341393178761635</v>
      </c>
      <c r="H7" s="4">
        <f t="shared" si="2"/>
        <v>3492.3467581491077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4100064.4953212794</v>
      </c>
      <c r="M7" s="22">
        <f t="shared" si="5"/>
        <v>1115000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1748969.8436916361</v>
      </c>
      <c r="R7" s="13">
        <f t="shared" si="8"/>
        <v>475627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36492.913333333338</v>
      </c>
      <c r="E8" s="4">
        <f>'Interval Circuities'!E8</f>
        <v>1.2496185258545462</v>
      </c>
      <c r="F8" s="4">
        <f t="shared" si="0"/>
        <v>43.804864338552214</v>
      </c>
      <c r="G8" s="4">
        <f t="shared" si="1"/>
        <v>29.203242892368142</v>
      </c>
      <c r="H8" s="4">
        <f t="shared" si="2"/>
        <v>2679.2425634503561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2057449.9672063978</v>
      </c>
      <c r="M8" s="22">
        <f t="shared" si="5"/>
        <v>865000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1930213.9312575287</v>
      </c>
      <c r="R8" s="13">
        <f t="shared" si="8"/>
        <v>811507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31668.513333333329</v>
      </c>
      <c r="E9" s="4">
        <f>'Interval Circuities'!E9</f>
        <v>1.2250744060553518</v>
      </c>
      <c r="F9" s="4">
        <f t="shared" si="0"/>
        <v>38.775416223864617</v>
      </c>
      <c r="G9" s="4">
        <f t="shared" si="1"/>
        <v>25.850277482576409</v>
      </c>
      <c r="H9" s="4">
        <f t="shared" si="2"/>
        <v>2099.3279660197545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3111921.7265259819</v>
      </c>
      <c r="M9" s="22">
        <f t="shared" si="5"/>
        <v>3111921.7265259819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1599790.8489152843</v>
      </c>
      <c r="R9" s="13">
        <f t="shared" si="8"/>
        <v>1599790.8489152843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39800.893333333333</v>
      </c>
      <c r="E10" s="4">
        <f>'Interval Circuities'!E10</f>
        <v>1.2926910343618965</v>
      </c>
      <c r="F10" s="4">
        <f t="shared" si="0"/>
        <v>46.183765813360054</v>
      </c>
      <c r="G10" s="4">
        <f t="shared" si="1"/>
        <v>30.7891772089067</v>
      </c>
      <c r="H10" s="4">
        <f t="shared" si="2"/>
        <v>2978.1463735440007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2636035.4259638619</v>
      </c>
      <c r="M10" s="22">
        <f t="shared" si="5"/>
        <v>1540000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1600369.6296176561</v>
      </c>
      <c r="R10" s="13">
        <f t="shared" si="8"/>
        <v>934953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41850.359999999993</v>
      </c>
      <c r="E11" s="4">
        <f>'Interval Circuities'!E11</f>
        <v>1.1805955763627878</v>
      </c>
      <c r="F11" s="4">
        <f t="shared" si="0"/>
        <v>53.172772503011281</v>
      </c>
      <c r="G11" s="4">
        <f t="shared" si="1"/>
        <v>35.448515002007518</v>
      </c>
      <c r="H11" s="4">
        <f t="shared" si="2"/>
        <v>3947.7165818280569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4205146.1090974323</v>
      </c>
      <c r="M11" s="22">
        <f t="shared" si="5"/>
        <v>1785000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2538815.1474888991</v>
      </c>
      <c r="R11" s="13">
        <f t="shared" si="8"/>
        <v>1077676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40531.166666666664</v>
      </c>
      <c r="E12" s="4">
        <f>'Interval Circuities'!E12</f>
        <v>1.2124553551766681</v>
      </c>
      <c r="F12" s="4">
        <f t="shared" si="0"/>
        <v>50.143495791761538</v>
      </c>
      <c r="G12" s="4">
        <f t="shared" si="1"/>
        <v>33.428997194507687</v>
      </c>
      <c r="H12" s="4">
        <f t="shared" si="2"/>
        <v>3510.7230467393165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3885436.4462512331</v>
      </c>
      <c r="M12" s="22">
        <f t="shared" si="5"/>
        <v>1140000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2636329.9777779812</v>
      </c>
      <c r="R12" s="13">
        <f t="shared" si="8"/>
        <v>773508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37976.026666666665</v>
      </c>
      <c r="E13" s="4">
        <f>'Interval Circuities'!E13</f>
        <v>1.2579633803655981</v>
      </c>
      <c r="F13" s="4">
        <f t="shared" si="0"/>
        <v>45.282748996592183</v>
      </c>
      <c r="G13" s="4">
        <f t="shared" si="1"/>
        <v>30.188499331061454</v>
      </c>
      <c r="H13" s="4">
        <f t="shared" si="2"/>
        <v>2863.0763021142584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3213304.5766466074</v>
      </c>
      <c r="M13" s="22">
        <f t="shared" si="5"/>
        <v>3213304.5766466074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2043538.3638478455</v>
      </c>
      <c r="R13" s="13">
        <f t="shared" si="8"/>
        <v>2043538.3638478455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33915.193333333336</v>
      </c>
      <c r="E14" s="4">
        <f>'Interval Circuities'!E14</f>
        <v>1.3442031119981503</v>
      </c>
      <c r="F14" s="4">
        <f t="shared" si="0"/>
        <v>37.846058788227239</v>
      </c>
      <c r="G14" s="4">
        <f t="shared" si="1"/>
        <v>25.230705858818158</v>
      </c>
      <c r="H14" s="4">
        <f t="shared" si="2"/>
        <v>1999.9018119300185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3134749.1060205111</v>
      </c>
      <c r="M14" s="22">
        <f t="shared" si="5"/>
        <v>2025000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1672654.1342207983</v>
      </c>
      <c r="R14" s="13">
        <f t="shared" si="8"/>
        <v>1080509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33676.073333333334</v>
      </c>
      <c r="E15" s="4">
        <f>'Interval Circuities'!E15</f>
        <v>1.2233122234408498</v>
      </c>
      <c r="F15" s="4">
        <f t="shared" si="0"/>
        <v>41.292900562962849</v>
      </c>
      <c r="G15" s="4">
        <f t="shared" si="1"/>
        <v>27.528600375308564</v>
      </c>
      <c r="H15" s="4">
        <f t="shared" si="2"/>
        <v>2380.773804134612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2936671.1727082003</v>
      </c>
      <c r="M15" s="22">
        <f t="shared" si="5"/>
        <v>2936671.1727082003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1423351.3221273944</v>
      </c>
      <c r="R15" s="13">
        <f t="shared" si="8"/>
        <v>1423351.3221273944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37892.763761560236</v>
      </c>
      <c r="E16" s="4">
        <f>'Interval Circuities'!E16</f>
        <v>1.2540828830470812</v>
      </c>
      <c r="F16" s="4">
        <f t="shared" si="0"/>
        <v>45.323276803074336</v>
      </c>
      <c r="G16" s="4">
        <f t="shared" si="1"/>
        <v>30.215517868716223</v>
      </c>
      <c r="H16" s="4">
        <f t="shared" si="2"/>
        <v>2868.2034699593346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2388218.2763902345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2284793.3641865603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36344.020000000004</v>
      </c>
      <c r="E17" s="4">
        <f>'Interval Circuities'!E17</f>
        <v>1.3104065938842495</v>
      </c>
      <c r="F17" s="4">
        <f t="shared" si="0"/>
        <v>41.602377654714012</v>
      </c>
      <c r="G17" s="4">
        <f t="shared" si="1"/>
        <v>27.734918436476008</v>
      </c>
      <c r="H17" s="4">
        <f t="shared" si="2"/>
        <v>2416.5938102023929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2692169.4465505024</v>
      </c>
      <c r="M17" s="22">
        <f t="shared" si="5"/>
        <v>1520000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1015999.9528306256</v>
      </c>
      <c r="R17" s="13">
        <f t="shared" si="8"/>
        <v>573634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45712.38</v>
      </c>
      <c r="E18" s="4">
        <f>'Interval Circuities'!E18</f>
        <v>1.2353693886062498</v>
      </c>
      <c r="F18" s="4">
        <f t="shared" si="0"/>
        <v>55.504507908650233</v>
      </c>
      <c r="G18" s="4">
        <f t="shared" si="1"/>
        <v>37.003005272433484</v>
      </c>
      <c r="H18" s="4">
        <f t="shared" si="2"/>
        <v>4301.5390304313614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3078615.5605871179</v>
      </c>
      <c r="M18" s="22">
        <f t="shared" si="5"/>
        <v>870000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2009667.1583726399</v>
      </c>
      <c r="R18" s="13">
        <f t="shared" si="8"/>
        <v>567921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38935.468631297968</v>
      </c>
      <c r="E19" s="4">
        <f>'Interval Circuities'!E19</f>
        <v>1.4385434202611773</v>
      </c>
      <c r="F19" s="4">
        <f t="shared" si="0"/>
        <v>40.598846113621967</v>
      </c>
      <c r="G19" s="4">
        <f t="shared" si="1"/>
        <v>27.065897409081309</v>
      </c>
      <c r="H19" s="4">
        <f t="shared" si="2"/>
        <v>2301.4139188122354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4035749.0964387865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1847571.7017055284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35844.866666666661</v>
      </c>
      <c r="E20" s="4">
        <f>'Interval Circuities'!E20</f>
        <v>1.3021894411274739</v>
      </c>
      <c r="F20" s="4">
        <f t="shared" si="0"/>
        <v>41.289921651834845</v>
      </c>
      <c r="G20" s="4">
        <f t="shared" si="1"/>
        <v>27.526614434556564</v>
      </c>
      <c r="H20" s="4">
        <f t="shared" si="2"/>
        <v>2380.4303137202492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2575761.4966048407</v>
      </c>
      <c r="M20" s="22">
        <f t="shared" si="5"/>
        <v>2575761.4966048407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1327460.9070574115</v>
      </c>
      <c r="R20" s="13">
        <f t="shared" si="8"/>
        <v>1327460.9070574115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35557.46</v>
      </c>
      <c r="E21" s="4">
        <f>'Interval Circuities'!E21</f>
        <v>1.2352371312880448</v>
      </c>
      <c r="F21" s="4">
        <f t="shared" si="0"/>
        <v>43.178907635640485</v>
      </c>
      <c r="G21" s="4">
        <f t="shared" si="1"/>
        <v>28.785938423760321</v>
      </c>
      <c r="H21" s="4">
        <f t="shared" si="2"/>
        <v>2603.2187088844407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1872351.5521659001</v>
      </c>
      <c r="M21" s="22">
        <f t="shared" si="5"/>
        <v>1030000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1478730.5392064408</v>
      </c>
      <c r="R21" s="13">
        <f t="shared" si="8"/>
        <v>813465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38546.499999999993</v>
      </c>
      <c r="E22" s="4">
        <f>'Interval Circuities'!E22</f>
        <v>1.3487422082338905</v>
      </c>
      <c r="F22" s="4">
        <f t="shared" si="0"/>
        <v>42.869385748453759</v>
      </c>
      <c r="G22" s="4">
        <f t="shared" si="1"/>
        <v>28.579590498969171</v>
      </c>
      <c r="H22" s="4">
        <f t="shared" si="2"/>
        <v>2566.0308665912953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3680523.1073441189</v>
      </c>
      <c r="M22" s="22">
        <f t="shared" si="5"/>
        <v>1630000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1981374.6159993422</v>
      </c>
      <c r="R22" s="13">
        <f t="shared" si="8"/>
        <v>877495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36265.266666666663</v>
      </c>
      <c r="E23" s="4">
        <f>'Interval Circuities'!E23</f>
        <v>1.3444632410423609</v>
      </c>
      <c r="F23" s="4">
        <f t="shared" si="0"/>
        <v>40.46068225548909</v>
      </c>
      <c r="G23" s="4">
        <f t="shared" si="1"/>
        <v>26.97378817032606</v>
      </c>
      <c r="H23" s="4">
        <f t="shared" si="2"/>
        <v>2285.7764707864512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1913356.4627498584</v>
      </c>
      <c r="M23" s="22">
        <f t="shared" si="5"/>
        <v>890000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1068947.1091251797</v>
      </c>
      <c r="R23" s="13">
        <f t="shared" si="8"/>
        <v>497222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42227.373333333329</v>
      </c>
      <c r="E24" s="4">
        <f>'Interval Circuities'!E24</f>
        <v>1.2721274780071143</v>
      </c>
      <c r="F24" s="4">
        <f t="shared" si="0"/>
        <v>49.791440791160838</v>
      </c>
      <c r="G24" s="4">
        <f t="shared" si="1"/>
        <v>33.19429386077389</v>
      </c>
      <c r="H24" s="4">
        <f t="shared" si="2"/>
        <v>3461.5988781422943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3258912.6944253505</v>
      </c>
      <c r="M24" s="22">
        <f t="shared" si="5"/>
        <v>1425000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2038620.2686056776</v>
      </c>
      <c r="R24" s="13">
        <f t="shared" si="8"/>
        <v>891412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33843.159999999996</v>
      </c>
      <c r="E25" s="4">
        <f>'Interval Circuities'!E25</f>
        <v>1.3380426267568104</v>
      </c>
      <c r="F25" s="4">
        <f t="shared" si="0"/>
        <v>37.939553632192698</v>
      </c>
      <c r="G25" s="4">
        <f t="shared" si="1"/>
        <v>25.293035754795131</v>
      </c>
      <c r="H25" s="4">
        <f t="shared" si="2"/>
        <v>2009.7951256341541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3528346.1415060409</v>
      </c>
      <c r="M25" s="22">
        <f t="shared" si="5"/>
        <v>1300000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1877826.5281957632</v>
      </c>
      <c r="R25" s="13">
        <f t="shared" si="8"/>
        <v>691875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31977.706666666665</v>
      </c>
      <c r="E26" s="4">
        <f>'Interval Circuities'!E26</f>
        <v>1.2435201666903379</v>
      </c>
      <c r="F26" s="4">
        <f t="shared" si="0"/>
        <v>38.573206357934893</v>
      </c>
      <c r="G26" s="4">
        <f t="shared" si="1"/>
        <v>25.715470905289926</v>
      </c>
      <c r="H26" s="4">
        <f t="shared" si="2"/>
        <v>2077.4894924218265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5987305.8865767755</v>
      </c>
      <c r="M26" s="22">
        <f t="shared" si="5"/>
        <v>5987305.8865767755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2548253.6515751663</v>
      </c>
      <c r="R26" s="13">
        <f t="shared" si="8"/>
        <v>2548253.6515751663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38642.5</v>
      </c>
      <c r="E27" s="4">
        <f>'Interval Circuities'!E27</f>
        <v>1.3133710009486699</v>
      </c>
      <c r="F27" s="4">
        <f t="shared" si="0"/>
        <v>44.133569233774622</v>
      </c>
      <c r="G27" s="4">
        <f t="shared" si="1"/>
        <v>29.422379489183079</v>
      </c>
      <c r="H27" s="4">
        <f t="shared" si="2"/>
        <v>2719.6026651389129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2307806.4356427966</v>
      </c>
      <c r="M27" s="22">
        <f t="shared" si="5"/>
        <v>860000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1384753.6322779185</v>
      </c>
      <c r="R27" s="13">
        <f t="shared" si="8"/>
        <v>516026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38214.259999999995</v>
      </c>
      <c r="E28" s="4">
        <f>'Interval Circuities'!E28</f>
        <v>1.3040973992371134</v>
      </c>
      <c r="F28" s="4">
        <f t="shared" si="0"/>
        <v>43.954838061583864</v>
      </c>
      <c r="G28" s="4">
        <f t="shared" si="1"/>
        <v>29.303225374389243</v>
      </c>
      <c r="H28" s="4">
        <f t="shared" si="2"/>
        <v>2697.619692674114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2552979.0100296107</v>
      </c>
      <c r="M28" s="22">
        <f t="shared" si="5"/>
        <v>980000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1400142.2618414026</v>
      </c>
      <c r="R28" s="13">
        <f t="shared" si="8"/>
        <v>537466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38170.853333333325</v>
      </c>
      <c r="E29" s="4">
        <f>'Interval Circuities'!E29</f>
        <v>1.194758035210173</v>
      </c>
      <c r="F29" s="4">
        <f t="shared" si="0"/>
        <v>47.922908499148861</v>
      </c>
      <c r="G29" s="4">
        <f t="shared" si="1"/>
        <v>31.94860566609924</v>
      </c>
      <c r="H29" s="4">
        <f t="shared" si="2"/>
        <v>3206.6657314518757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3558891.2893992551</v>
      </c>
      <c r="M29" s="22">
        <f t="shared" si="5"/>
        <v>1400000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1987040.8577406993</v>
      </c>
      <c r="R29" s="13">
        <f t="shared" si="8"/>
        <v>781664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36868.433333333327</v>
      </c>
      <c r="E30" s="4">
        <f>'Interval Circuities'!E30</f>
        <v>1.2497082381994984</v>
      </c>
      <c r="F30" s="4">
        <f t="shared" si="0"/>
        <v>44.252448939343317</v>
      </c>
      <c r="G30" s="4">
        <f t="shared" si="1"/>
        <v>29.501632626228876</v>
      </c>
      <c r="H30" s="4">
        <f t="shared" si="2"/>
        <v>2734.2736289077684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2868842.9529574825</v>
      </c>
      <c r="M30" s="22">
        <f t="shared" si="5"/>
        <v>2430000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1939004.9087454583</v>
      </c>
      <c r="R30" s="13">
        <f t="shared" si="8"/>
        <v>1642398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40536.386666666665</v>
      </c>
      <c r="E31" s="4">
        <f>'Interval Circuities'!E31</f>
        <v>1.3573621949948915</v>
      </c>
      <c r="F31" s="4">
        <f t="shared" si="0"/>
        <v>44.796134903572174</v>
      </c>
      <c r="G31" s="4">
        <f t="shared" si="1"/>
        <v>29.86408993571478</v>
      </c>
      <c r="H31" s="4">
        <f t="shared" si="2"/>
        <v>2801.8729747322477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2134639.1495950008</v>
      </c>
      <c r="M31" s="22">
        <f t="shared" si="5"/>
        <v>850000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1594128.4261961386</v>
      </c>
      <c r="R31" s="13">
        <f t="shared" si="8"/>
        <v>634772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37808.046666666662</v>
      </c>
      <c r="E32" s="4">
        <f>'Interval Circuities'!E32</f>
        <v>1.3143268546747766</v>
      </c>
      <c r="F32" s="4">
        <f t="shared" si="0"/>
        <v>43.149137368902885</v>
      </c>
      <c r="G32" s="4">
        <f t="shared" si="1"/>
        <v>28.76609157926859</v>
      </c>
      <c r="H32" s="4">
        <f t="shared" si="2"/>
        <v>2599.6302994782873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5555495.6625465853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2746352.9388898783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34579.133333333331</v>
      </c>
      <c r="E33" s="4">
        <f>'Interval Circuities'!E33</f>
        <v>1.2498430790883075</v>
      </c>
      <c r="F33" s="4">
        <f t="shared" si="0"/>
        <v>41.500169795583773</v>
      </c>
      <c r="G33" s="4">
        <f t="shared" si="1"/>
        <v>27.666779863722514</v>
      </c>
      <c r="H33" s="4">
        <f t="shared" si="2"/>
        <v>2404.73432102487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4763383.8586633531</v>
      </c>
      <c r="M33" s="22">
        <f t="shared" si="5"/>
        <v>4763383.8586633531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2183554.5466758222</v>
      </c>
      <c r="R33" s="13">
        <f t="shared" si="8"/>
        <v>2183554.5466758222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39678.479999999996</v>
      </c>
      <c r="E34" s="4">
        <f>'Interval Circuities'!E34</f>
        <v>1.2786718249910956</v>
      </c>
      <c r="F34" s="4">
        <f t="shared" si="0"/>
        <v>46.546517125623275</v>
      </c>
      <c r="G34" s="4">
        <f t="shared" si="1"/>
        <v>31.031011417082183</v>
      </c>
      <c r="H34" s="4">
        <f t="shared" si="2"/>
        <v>3025.1139262796792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2934935.1628175969</v>
      </c>
      <c r="M34" s="22">
        <f t="shared" si="5"/>
        <v>810000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1599416.4689262868</v>
      </c>
      <c r="R34" s="13">
        <f t="shared" si="8"/>
        <v>441416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30493.793333333331</v>
      </c>
      <c r="E35" s="4">
        <f>'Interval Circuities'!E35</f>
        <v>1.2956393515451121</v>
      </c>
      <c r="F35" s="4">
        <f t="shared" ref="F35:F53" si="10">B35/E35</f>
        <v>35.303566494373634</v>
      </c>
      <c r="G35" s="4">
        <f t="shared" ref="G35:G53" si="11">F35*$A$1</f>
        <v>23.535710996249087</v>
      </c>
      <c r="H35" s="4">
        <f t="shared" ref="H35:H53" si="12">PI()*G35^2</f>
        <v>1740.2214513033496</v>
      </c>
      <c r="I35" s="4">
        <f t="shared" ref="I35:I53" si="13">K35/J35</f>
        <v>1047.9139885488814</v>
      </c>
      <c r="J35" s="9">
        <f>'2000-10'!J35</f>
        <v>1173.7604550000001</v>
      </c>
      <c r="K35" s="9">
        <f>'2000-10'!K35</f>
        <v>1230000</v>
      </c>
      <c r="L35" s="22">
        <f t="shared" ref="L35:L53" si="14">H35*I35</f>
        <v>1823602.401993616</v>
      </c>
      <c r="M35" s="22">
        <f t="shared" ref="M35:M53" si="15">MIN(K35,L35)</f>
        <v>1230000</v>
      </c>
      <c r="N35" s="19" t="s">
        <v>92</v>
      </c>
      <c r="O35" s="4">
        <f t="shared" ref="O35:O53" si="16">P35/J35</f>
        <v>697.01274780125379</v>
      </c>
      <c r="P35" s="13">
        <f>'2000-10'!P35</f>
        <v>818126</v>
      </c>
      <c r="Q35" s="22">
        <f t="shared" ref="Q35:Q53" si="17">H35*O35</f>
        <v>1212956.5355556335</v>
      </c>
      <c r="R35" s="13">
        <f t="shared" ref="R35:R53" si="18">MIN(Q35,P35)</f>
        <v>818126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35243.919999999998</v>
      </c>
      <c r="E36" s="4">
        <f>'Interval Circuities'!E36</f>
        <v>1.2017508186336832</v>
      </c>
      <c r="F36" s="4">
        <f t="shared" si="10"/>
        <v>43.990716861008885</v>
      </c>
      <c r="G36" s="4">
        <f t="shared" si="11"/>
        <v>29.327144574005921</v>
      </c>
      <c r="H36" s="4">
        <f t="shared" si="12"/>
        <v>2702.0254355783277</v>
      </c>
      <c r="I36" s="4">
        <f t="shared" si="1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14"/>
        <v>2971191.2845232408</v>
      </c>
      <c r="M36" s="22">
        <f t="shared" si="15"/>
        <v>2971191.2845232408</v>
      </c>
      <c r="N36" s="19" t="s">
        <v>92</v>
      </c>
      <c r="O36" s="4">
        <f t="shared" si="16"/>
        <v>547.27078534034638</v>
      </c>
      <c r="P36" s="13">
        <f>'2000-10'!P36</f>
        <v>2550674</v>
      </c>
      <c r="Q36" s="22">
        <f t="shared" si="17"/>
        <v>1478739.5821385428</v>
      </c>
      <c r="R36" s="13">
        <f t="shared" si="18"/>
        <v>1478739.5821385428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34961.766666666663</v>
      </c>
      <c r="E37" s="4">
        <f>'Interval Circuities'!E37</f>
        <v>1.3223138537990862</v>
      </c>
      <c r="F37" s="4">
        <f t="shared" si="10"/>
        <v>39.65975993470019</v>
      </c>
      <c r="G37" s="4">
        <f t="shared" si="11"/>
        <v>26.439839956466791</v>
      </c>
      <c r="H37" s="4">
        <f t="shared" si="12"/>
        <v>2196.1778985398551</v>
      </c>
      <c r="I37" s="4">
        <f t="shared" si="13"/>
        <v>1401.3597327768193</v>
      </c>
      <c r="J37" s="9">
        <f>'2000-10'!J37</f>
        <v>2069.418674</v>
      </c>
      <c r="K37" s="9">
        <f>'2000-10'!K37</f>
        <v>2900000</v>
      </c>
      <c r="L37" s="22">
        <f t="shared" si="14"/>
        <v>3077635.2730281679</v>
      </c>
      <c r="M37" s="22">
        <f t="shared" si="15"/>
        <v>2900000</v>
      </c>
      <c r="N37" s="19" t="s">
        <v>92</v>
      </c>
      <c r="O37" s="4">
        <f t="shared" si="16"/>
        <v>677.88602549355369</v>
      </c>
      <c r="P37" s="13">
        <f>'2000-10'!P37</f>
        <v>1402830</v>
      </c>
      <c r="Q37" s="22">
        <f t="shared" si="17"/>
        <v>1488758.3069179673</v>
      </c>
      <c r="R37" s="13">
        <f t="shared" si="18"/>
        <v>1402830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39034.08666666667</v>
      </c>
      <c r="E38" s="4">
        <f>'Interval Circuities'!E38</f>
        <v>1.2817842722978614</v>
      </c>
      <c r="F38" s="4">
        <f t="shared" si="10"/>
        <v>45.679394938303524</v>
      </c>
      <c r="G38" s="4">
        <f t="shared" si="11"/>
        <v>30.452929958869014</v>
      </c>
      <c r="H38" s="4">
        <f t="shared" si="12"/>
        <v>2913.453157858617</v>
      </c>
      <c r="I38" s="4">
        <f t="shared" si="1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14"/>
        <v>2329235.3133357828</v>
      </c>
      <c r="M38" s="22">
        <f t="shared" si="15"/>
        <v>1765000</v>
      </c>
      <c r="N38" s="19" t="s">
        <v>92</v>
      </c>
      <c r="O38" s="4">
        <f t="shared" si="16"/>
        <v>470.46365508810919</v>
      </c>
      <c r="P38" s="13">
        <f>'2000-10'!P38</f>
        <v>1038641</v>
      </c>
      <c r="Q38" s="22">
        <f t="shared" si="17"/>
        <v>1370673.821574159</v>
      </c>
      <c r="R38" s="13">
        <f t="shared" si="18"/>
        <v>1038641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35391.96666666666</v>
      </c>
      <c r="E39" s="4">
        <f>'Interval Circuities'!E39</f>
        <v>1.4488770189259779</v>
      </c>
      <c r="F39" s="4">
        <f t="shared" si="10"/>
        <v>36.640756466240994</v>
      </c>
      <c r="G39" s="4">
        <f t="shared" si="11"/>
        <v>24.427170977493994</v>
      </c>
      <c r="H39" s="4">
        <f t="shared" si="12"/>
        <v>1874.5464965521071</v>
      </c>
      <c r="I39" s="4">
        <f t="shared" si="1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14"/>
        <v>2428109.0720984768</v>
      </c>
      <c r="M39" s="22">
        <f t="shared" si="15"/>
        <v>1590000</v>
      </c>
      <c r="N39" s="19" t="s">
        <v>92</v>
      </c>
      <c r="O39" s="4">
        <f t="shared" si="16"/>
        <v>714.74674387135121</v>
      </c>
      <c r="P39" s="13">
        <f>'2000-10'!P39</f>
        <v>877359</v>
      </c>
      <c r="Q39" s="22">
        <f t="shared" si="17"/>
        <v>1339826.0046460677</v>
      </c>
      <c r="R39" s="13">
        <f t="shared" si="18"/>
        <v>877359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41654.933333333334</v>
      </c>
      <c r="E40" s="4">
        <f>'Interval Circuities'!E40</f>
        <v>1.2418056503342398</v>
      </c>
      <c r="F40" s="4">
        <f t="shared" si="10"/>
        <v>50.315763970942207</v>
      </c>
      <c r="G40" s="4">
        <f t="shared" si="11"/>
        <v>33.543842647294802</v>
      </c>
      <c r="H40" s="4">
        <f t="shared" si="12"/>
        <v>3534.886688680459</v>
      </c>
      <c r="I40" s="4">
        <f t="shared" si="1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14"/>
        <v>3279062.2164419182</v>
      </c>
      <c r="M40" s="22">
        <f t="shared" si="15"/>
        <v>1210000</v>
      </c>
      <c r="N40" s="19" t="s">
        <v>92</v>
      </c>
      <c r="O40" s="4">
        <f t="shared" si="16"/>
        <v>482.44740198664414</v>
      </c>
      <c r="P40" s="13">
        <f>'2000-10'!P40</f>
        <v>629305</v>
      </c>
      <c r="Q40" s="22">
        <f t="shared" si="17"/>
        <v>1705396.8992710588</v>
      </c>
      <c r="R40" s="13">
        <f t="shared" si="18"/>
        <v>629305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41085.966666666667</v>
      </c>
      <c r="E41" s="4">
        <f>'Interval Circuities'!E41</f>
        <v>1.2359949913684607</v>
      </c>
      <c r="F41" s="4">
        <f t="shared" si="10"/>
        <v>49.861812086929312</v>
      </c>
      <c r="G41" s="4">
        <f t="shared" si="11"/>
        <v>33.241208057952875</v>
      </c>
      <c r="H41" s="4">
        <f t="shared" si="12"/>
        <v>3471.3904943376529</v>
      </c>
      <c r="I41" s="4">
        <f t="shared" si="1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14"/>
        <v>3312904.057763367</v>
      </c>
      <c r="M41" s="22">
        <f t="shared" si="15"/>
        <v>790000</v>
      </c>
      <c r="N41" s="19" t="s">
        <v>92</v>
      </c>
      <c r="O41" s="4">
        <f t="shared" si="16"/>
        <v>742.45018600123069</v>
      </c>
      <c r="P41" s="13">
        <f>'2000-10'!P41</f>
        <v>614595</v>
      </c>
      <c r="Q41" s="22">
        <f t="shared" si="17"/>
        <v>2577334.5182038946</v>
      </c>
      <c r="R41" s="13">
        <f t="shared" si="18"/>
        <v>614595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41392.93170617002</v>
      </c>
      <c r="E42" s="4">
        <f>'Interval Circuities'!E42</f>
        <v>1.2099790394559939</v>
      </c>
      <c r="F42" s="4">
        <f t="shared" si="10"/>
        <v>51.314440609789727</v>
      </c>
      <c r="G42" s="4">
        <f t="shared" si="11"/>
        <v>34.209627073193147</v>
      </c>
      <c r="H42" s="4">
        <f t="shared" si="12"/>
        <v>3676.6014355307343</v>
      </c>
      <c r="I42" s="4">
        <f t="shared" si="1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14"/>
        <v>3198325.9305395316</v>
      </c>
      <c r="M42" s="22">
        <f t="shared" si="15"/>
        <v>665000</v>
      </c>
      <c r="N42" s="19" t="s">
        <v>92</v>
      </c>
      <c r="O42" s="4">
        <f t="shared" si="16"/>
        <v>595.44480330121178</v>
      </c>
      <c r="P42" s="13">
        <f>'2000-10'!P42</f>
        <v>455184</v>
      </c>
      <c r="Q42" s="22">
        <f t="shared" si="17"/>
        <v>2189213.2185965511</v>
      </c>
      <c r="R42" s="13">
        <f t="shared" si="1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35531.606666666659</v>
      </c>
      <c r="E43" s="4">
        <f>'Interval Circuities'!E43</f>
        <v>1.4598012095586894</v>
      </c>
      <c r="F43" s="4">
        <f t="shared" si="10"/>
        <v>36.51004647140433</v>
      </c>
      <c r="G43" s="4">
        <f t="shared" si="11"/>
        <v>24.34003098093622</v>
      </c>
      <c r="H43" s="4">
        <f t="shared" si="12"/>
        <v>1861.1960666872424</v>
      </c>
      <c r="I43" s="4">
        <f t="shared" si="1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14"/>
        <v>2862526.1185357403</v>
      </c>
      <c r="M43" s="22">
        <f t="shared" si="15"/>
        <v>1470000</v>
      </c>
      <c r="N43" s="19" t="s">
        <v>92</v>
      </c>
      <c r="O43" s="4">
        <f t="shared" si="16"/>
        <v>612.25827963614597</v>
      </c>
      <c r="P43" s="13">
        <f>'2000-10'!P43</f>
        <v>585187</v>
      </c>
      <c r="Q43" s="22">
        <f t="shared" si="17"/>
        <v>1139532.7018554925</v>
      </c>
      <c r="R43" s="13">
        <f t="shared" si="18"/>
        <v>585187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34822.786666666667</v>
      </c>
      <c r="E44" s="4">
        <f>'Interval Circuities'!E44</f>
        <v>1.4209858227873893</v>
      </c>
      <c r="F44" s="4">
        <f t="shared" si="10"/>
        <v>36.759114103994399</v>
      </c>
      <c r="G44" s="4">
        <f t="shared" si="11"/>
        <v>24.506076069329598</v>
      </c>
      <c r="H44" s="4">
        <f t="shared" si="12"/>
        <v>1886.676444504194</v>
      </c>
      <c r="I44" s="4">
        <f t="shared" si="1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14"/>
        <v>2904687.3363728528</v>
      </c>
      <c r="M44" s="22">
        <f t="shared" si="15"/>
        <v>920000</v>
      </c>
      <c r="N44" s="19" t="s">
        <v>92</v>
      </c>
      <c r="O44" s="4">
        <f t="shared" si="16"/>
        <v>1022.9581711561229</v>
      </c>
      <c r="P44" s="13">
        <f>'2000-10'!P44</f>
        <v>611285</v>
      </c>
      <c r="Q44" s="22">
        <f t="shared" si="17"/>
        <v>1929991.0852333468</v>
      </c>
      <c r="R44" s="13">
        <f t="shared" si="18"/>
        <v>611285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39737.493333333332</v>
      </c>
      <c r="E45" s="4">
        <f>'Interval Circuities'!E45</f>
        <v>1.3389842253117796</v>
      </c>
      <c r="F45" s="4">
        <f t="shared" si="10"/>
        <v>44.516013611826395</v>
      </c>
      <c r="G45" s="4">
        <f t="shared" si="11"/>
        <v>29.677342407884261</v>
      </c>
      <c r="H45" s="4">
        <f t="shared" si="12"/>
        <v>2766.9409296520171</v>
      </c>
      <c r="I45" s="4">
        <f t="shared" si="1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14"/>
        <v>3302797.5140792863</v>
      </c>
      <c r="M45" s="22">
        <f t="shared" si="15"/>
        <v>1260000</v>
      </c>
      <c r="N45" s="19" t="s">
        <v>92</v>
      </c>
      <c r="O45" s="4">
        <f t="shared" si="16"/>
        <v>601.99786445569703</v>
      </c>
      <c r="P45" s="13">
        <f>'2000-10'!P45</f>
        <v>635453</v>
      </c>
      <c r="Q45" s="22">
        <f t="shared" si="17"/>
        <v>1665692.5307255753</v>
      </c>
      <c r="R45" s="13">
        <f t="shared" si="18"/>
        <v>635453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35446.55333333333</v>
      </c>
      <c r="E46" s="4">
        <f>'Interval Circuities'!E46</f>
        <v>1.3899334671917452</v>
      </c>
      <c r="F46" s="4">
        <f t="shared" si="10"/>
        <v>38.253507275729966</v>
      </c>
      <c r="G46" s="4">
        <f t="shared" si="11"/>
        <v>25.502338183819976</v>
      </c>
      <c r="H46" s="4">
        <f t="shared" si="12"/>
        <v>2043.1952668488661</v>
      </c>
      <c r="I46" s="4">
        <f t="shared" si="13"/>
        <v>1372.086028348845</v>
      </c>
      <c r="J46" s="9">
        <f>'2000-10'!J46</f>
        <v>2026.112024</v>
      </c>
      <c r="K46" s="9">
        <f>'2000-10'!K46</f>
        <v>2780000</v>
      </c>
      <c r="L46" s="22">
        <f t="shared" si="14"/>
        <v>2803439.6788318194</v>
      </c>
      <c r="M46" s="22">
        <f t="shared" si="15"/>
        <v>2780000</v>
      </c>
      <c r="N46" s="19" t="s">
        <v>92</v>
      </c>
      <c r="O46" s="4">
        <f t="shared" si="16"/>
        <v>533.91026122255516</v>
      </c>
      <c r="P46" s="13">
        <f>'2000-10'!P46</f>
        <v>1081762</v>
      </c>
      <c r="Q46" s="22">
        <f t="shared" si="17"/>
        <v>1090882.9186519664</v>
      </c>
      <c r="R46" s="13">
        <f t="shared" si="18"/>
        <v>1081762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35550.14</v>
      </c>
      <c r="E47" s="4">
        <f>'Interval Circuities'!E47</f>
        <v>1.3996972613723737</v>
      </c>
      <c r="F47" s="4">
        <f t="shared" si="10"/>
        <v>38.097674026821878</v>
      </c>
      <c r="G47" s="4">
        <f t="shared" si="11"/>
        <v>25.398449351214584</v>
      </c>
      <c r="H47" s="4">
        <f t="shared" si="12"/>
        <v>2026.582451396893</v>
      </c>
      <c r="I47" s="4">
        <f t="shared" si="13"/>
        <v>3692.1786197984002</v>
      </c>
      <c r="J47" s="9">
        <f>'2000-10'!J47</f>
        <v>1107.747057</v>
      </c>
      <c r="K47" s="9">
        <f>'2000-10'!K47</f>
        <v>4090000</v>
      </c>
      <c r="L47" s="22">
        <f t="shared" si="14"/>
        <v>7482504.3983062385</v>
      </c>
      <c r="M47" s="22">
        <f t="shared" si="15"/>
        <v>4090000</v>
      </c>
      <c r="N47" s="19" t="s">
        <v>92</v>
      </c>
      <c r="O47" s="4">
        <f t="shared" si="16"/>
        <v>1849.2479732221034</v>
      </c>
      <c r="P47" s="13">
        <f>'2000-10'!P47</f>
        <v>2048499</v>
      </c>
      <c r="Q47" s="22">
        <f t="shared" si="17"/>
        <v>3747653.4908131864</v>
      </c>
      <c r="R47" s="13">
        <f t="shared" si="18"/>
        <v>2048499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33775.926666666666</v>
      </c>
      <c r="E48" s="4">
        <f>'Interval Circuities'!E48</f>
        <v>1.4076053621420885</v>
      </c>
      <c r="F48" s="4">
        <f t="shared" si="10"/>
        <v>35.992964621063877</v>
      </c>
      <c r="G48" s="4">
        <f t="shared" si="11"/>
        <v>23.995309747375916</v>
      </c>
      <c r="H48" s="4">
        <f t="shared" si="12"/>
        <v>1808.8501641449611</v>
      </c>
      <c r="I48" s="4">
        <f t="shared" si="1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14"/>
        <v>4497398.3717751047</v>
      </c>
      <c r="M48" s="22">
        <f t="shared" si="15"/>
        <v>1675000</v>
      </c>
      <c r="N48" s="19" t="s">
        <v>92</v>
      </c>
      <c r="O48" s="4">
        <f t="shared" si="16"/>
        <v>1548.2013042170763</v>
      </c>
      <c r="P48" s="13">
        <f>'2000-10'!P48</f>
        <v>1042998</v>
      </c>
      <c r="Q48" s="22">
        <f t="shared" si="17"/>
        <v>2800464.1832625014</v>
      </c>
      <c r="R48" s="13">
        <f t="shared" si="18"/>
        <v>1042998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38791.1</v>
      </c>
      <c r="E49" s="4">
        <f>'Interval Circuities'!E49</f>
        <v>1.3923075737424608</v>
      </c>
      <c r="F49" s="4">
        <f t="shared" si="10"/>
        <v>41.791520133440685</v>
      </c>
      <c r="G49" s="4">
        <f t="shared" si="11"/>
        <v>27.861013422293787</v>
      </c>
      <c r="H49" s="4">
        <f t="shared" si="12"/>
        <v>2438.6175315618043</v>
      </c>
      <c r="I49" s="4">
        <f t="shared" si="1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14"/>
        <v>2705317.2463980573</v>
      </c>
      <c r="M49" s="22">
        <f t="shared" si="15"/>
        <v>2705317.2463980573</v>
      </c>
      <c r="N49" s="19" t="s">
        <v>92</v>
      </c>
      <c r="O49" s="4">
        <f t="shared" si="16"/>
        <v>599.91348482451292</v>
      </c>
      <c r="P49" s="13">
        <f>'2000-10'!P49</f>
        <v>1481715</v>
      </c>
      <c r="Q49" s="22">
        <f t="shared" si="17"/>
        <v>1462959.5415133936</v>
      </c>
      <c r="R49" s="13">
        <f t="shared" si="18"/>
        <v>1462959.5415133936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39886.06</v>
      </c>
      <c r="E50" s="4">
        <f>'Interval Circuities'!E50</f>
        <v>1.245572849470862</v>
      </c>
      <c r="F50" s="4">
        <f t="shared" si="10"/>
        <v>48.033392848452259</v>
      </c>
      <c r="G50" s="4">
        <f t="shared" si="11"/>
        <v>32.022261898968168</v>
      </c>
      <c r="H50" s="4">
        <f t="shared" si="12"/>
        <v>3221.4684545928067</v>
      </c>
      <c r="I50" s="4">
        <f t="shared" si="1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14"/>
        <v>5533180.6921407953</v>
      </c>
      <c r="M50" s="22">
        <f t="shared" si="15"/>
        <v>4965000</v>
      </c>
      <c r="N50" s="19" t="s">
        <v>92</v>
      </c>
      <c r="O50" s="4">
        <f t="shared" si="16"/>
        <v>514.0451157391708</v>
      </c>
      <c r="P50" s="13">
        <f>'2000-10'!P50</f>
        <v>1485934</v>
      </c>
      <c r="Q50" s="22">
        <f t="shared" si="17"/>
        <v>1655980.1245912469</v>
      </c>
      <c r="R50" s="13">
        <f t="shared" si="18"/>
        <v>1485934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37668.319999999992</v>
      </c>
      <c r="E51" s="4">
        <f>'Interval Circuities'!E51</f>
        <v>1.3350915399406345</v>
      </c>
      <c r="F51" s="4">
        <f t="shared" si="10"/>
        <v>42.321053133564469</v>
      </c>
      <c r="G51" s="4">
        <f t="shared" si="11"/>
        <v>28.214035422376313</v>
      </c>
      <c r="H51" s="4">
        <f t="shared" si="12"/>
        <v>2500.8076386150324</v>
      </c>
      <c r="I51" s="4">
        <f t="shared" si="1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14"/>
        <v>2393675.6828879383</v>
      </c>
      <c r="M51" s="22">
        <f t="shared" si="15"/>
        <v>2055000</v>
      </c>
      <c r="N51" s="19" t="s">
        <v>92</v>
      </c>
      <c r="O51" s="4">
        <f t="shared" si="16"/>
        <v>568.5308450770176</v>
      </c>
      <c r="P51" s="13">
        <f>'2000-10'!P51</f>
        <v>1220621</v>
      </c>
      <c r="Q51" s="22">
        <f t="shared" si="17"/>
        <v>1421786.2801568653</v>
      </c>
      <c r="R51" s="13">
        <f t="shared" si="18"/>
        <v>1220621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31720.559999999998</v>
      </c>
      <c r="E52" s="4">
        <f>'Interval Circuities'!E52</f>
        <v>1.2774072560392229</v>
      </c>
      <c r="F52" s="4">
        <f t="shared" si="10"/>
        <v>37.247980058866233</v>
      </c>
      <c r="G52" s="4">
        <f t="shared" si="11"/>
        <v>24.831986705910822</v>
      </c>
      <c r="H52" s="4">
        <f t="shared" si="12"/>
        <v>1937.1926243173414</v>
      </c>
      <c r="I52" s="4">
        <f t="shared" si="13"/>
        <v>962.52206654026702</v>
      </c>
      <c r="J52" s="9">
        <f>'2000-10'!J52</f>
        <v>2077.87444</v>
      </c>
      <c r="K52" s="9">
        <f>'2000-10'!K52</f>
        <v>2000000</v>
      </c>
      <c r="L52" s="22">
        <f t="shared" si="14"/>
        <v>1864590.6480444905</v>
      </c>
      <c r="M52" s="22">
        <f t="shared" si="15"/>
        <v>1864590.6480444905</v>
      </c>
      <c r="N52" s="19" t="s">
        <v>92</v>
      </c>
      <c r="O52" s="4">
        <f t="shared" si="16"/>
        <v>501.91290672982143</v>
      </c>
      <c r="P52" s="13">
        <f>'2000-10'!P52</f>
        <v>1042912</v>
      </c>
      <c r="Q52" s="22">
        <f t="shared" si="17"/>
        <v>972301.98096668778</v>
      </c>
      <c r="R52" s="13">
        <f t="shared" si="18"/>
        <v>972301.98096668778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33037.719999999994</v>
      </c>
      <c r="E53" s="4">
        <f>'Interval Circuities'!E53</f>
        <v>1.2974146561291391</v>
      </c>
      <c r="F53" s="4">
        <f t="shared" si="10"/>
        <v>38.196408346313106</v>
      </c>
      <c r="G53" s="4">
        <f t="shared" si="11"/>
        <v>25.464272230875402</v>
      </c>
      <c r="H53" s="4">
        <f t="shared" si="12"/>
        <v>2037.1002862089306</v>
      </c>
      <c r="I53" s="4">
        <f t="shared" si="1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14"/>
        <v>2740149.7197675593</v>
      </c>
      <c r="M53" s="22">
        <f t="shared" si="15"/>
        <v>2740149.7197675593</v>
      </c>
      <c r="N53" s="19" t="s">
        <v>92</v>
      </c>
      <c r="O53" s="4">
        <f t="shared" si="16"/>
        <v>760.55704152110548</v>
      </c>
      <c r="P53" s="13">
        <f>'2000-10'!P53</f>
        <v>2278636</v>
      </c>
      <c r="Q53" s="22">
        <f t="shared" si="17"/>
        <v>1549330.9669608616</v>
      </c>
      <c r="R53" s="13">
        <f t="shared" si="18"/>
        <v>1549330.9669608616</v>
      </c>
    </row>
    <row r="54" spans="1:18">
      <c r="D54" s="3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9" sqref="E9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5/6</f>
        <v>0.83333333333333337</v>
      </c>
      <c r="B1" s="1" t="s">
        <v>60</v>
      </c>
      <c r="C1" s="1" t="s">
        <v>61</v>
      </c>
      <c r="D1" s="38" t="s">
        <v>162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43597.324999999997</v>
      </c>
      <c r="E3" s="4">
        <f>'Interval Circuities'!F3</f>
        <v>1.2343851268810277</v>
      </c>
      <c r="F3" s="4">
        <f t="shared" ref="F3:F34" si="0">B3/E3</f>
        <v>42.382874567025127</v>
      </c>
      <c r="G3" s="4">
        <f t="shared" ref="G3:G34" si="1">F3*$A$1</f>
        <v>35.319062139187608</v>
      </c>
      <c r="H3" s="4">
        <f t="shared" ref="H3:H34" si="2">PI()*G3^2</f>
        <v>3918.9362458931973</v>
      </c>
      <c r="I3" s="4">
        <f t="shared" ref="I3:I34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34" si="4">H3*I3</f>
        <v>2968272.6123780222</v>
      </c>
      <c r="M3" s="22">
        <f t="shared" ref="M3:M34" si="5">MIN(K3,L3)</f>
        <v>2968272.6123780222</v>
      </c>
      <c r="N3" s="19" t="s">
        <v>92</v>
      </c>
      <c r="O3" s="4">
        <f t="shared" ref="O3:O34" si="6">P3/J3</f>
        <v>418.87926898310906</v>
      </c>
      <c r="P3" s="13">
        <f>'2000-10'!P3</f>
        <v>2129188</v>
      </c>
      <c r="Q3" s="22">
        <f t="shared" ref="Q3:Q34" si="7">H3*O3</f>
        <v>1641561.1498711521</v>
      </c>
      <c r="R3" s="13">
        <f t="shared" ref="R3:R34" si="8">MIN(Q3,P3)</f>
        <v>1641561.1498711521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44332.400000000009</v>
      </c>
      <c r="E4" s="4">
        <f>'Interval Circuities'!F4</f>
        <v>1.3146605064293353</v>
      </c>
      <c r="F4" s="4">
        <f t="shared" si="0"/>
        <v>40.465869127300444</v>
      </c>
      <c r="G4" s="4">
        <f t="shared" si="1"/>
        <v>33.721557606083707</v>
      </c>
      <c r="H4" s="4">
        <f t="shared" si="2"/>
        <v>3572.4415003681047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4162348.1955260378</v>
      </c>
      <c r="M4" s="22">
        <f t="shared" si="5"/>
        <v>960000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2516854.8877915959</v>
      </c>
      <c r="R4" s="13">
        <f t="shared" si="8"/>
        <v>580485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47968.833333333336</v>
      </c>
      <c r="E5" s="4">
        <f>'Interval Circuities'!F5</f>
        <v>1.2277641503228947</v>
      </c>
      <c r="F5" s="4">
        <f t="shared" si="0"/>
        <v>46.884085990669611</v>
      </c>
      <c r="G5" s="4">
        <f t="shared" si="1"/>
        <v>39.070071658891344</v>
      </c>
      <c r="H5" s="4">
        <f t="shared" si="2"/>
        <v>4795.5485069336719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5993551.794958448</v>
      </c>
      <c r="M5" s="22">
        <f t="shared" si="5"/>
        <v>2210000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2884726.3110717568</v>
      </c>
      <c r="R5" s="13">
        <f t="shared" si="8"/>
        <v>1063684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50240.01666666667</v>
      </c>
      <c r="E6" s="4">
        <f>'Interval Circuities'!F6</f>
        <v>1.1981600358493794</v>
      </c>
      <c r="F6" s="4">
        <f t="shared" si="0"/>
        <v>50.317168154637741</v>
      </c>
      <c r="G6" s="4">
        <f t="shared" si="1"/>
        <v>41.930973462198118</v>
      </c>
      <c r="H6" s="4">
        <f t="shared" si="2"/>
        <v>5523.5687353812891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4839768.3225030601</v>
      </c>
      <c r="M6" s="22">
        <f t="shared" si="5"/>
        <v>3940000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3777636.9428963605</v>
      </c>
      <c r="R6" s="13">
        <f t="shared" si="8"/>
        <v>3075331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50062.9</v>
      </c>
      <c r="E7" s="4">
        <f>'Interval Circuities'!F7</f>
        <v>1.1921182294652177</v>
      </c>
      <c r="F7" s="4">
        <f t="shared" si="0"/>
        <v>50.393894259086835</v>
      </c>
      <c r="G7" s="4">
        <f t="shared" si="1"/>
        <v>41.994911882572367</v>
      </c>
      <c r="H7" s="4">
        <f t="shared" si="2"/>
        <v>5540.4267997090701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6504539.4353832332</v>
      </c>
      <c r="M7" s="22">
        <f t="shared" si="5"/>
        <v>1115000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2774649.8457695255</v>
      </c>
      <c r="R7" s="13">
        <f t="shared" si="8"/>
        <v>475627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45616.14166666667</v>
      </c>
      <c r="E8" s="4">
        <f>'Interval Circuities'!F8</f>
        <v>1.2362160989566715</v>
      </c>
      <c r="F8" s="4">
        <f t="shared" si="0"/>
        <v>44.279774423095084</v>
      </c>
      <c r="G8" s="4">
        <f t="shared" si="1"/>
        <v>36.899812019245907</v>
      </c>
      <c r="H8" s="4">
        <f t="shared" si="2"/>
        <v>4277.5803899144539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3284849.140952107</v>
      </c>
      <c r="M8" s="22">
        <f t="shared" si="5"/>
        <v>865000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3081708.753556788</v>
      </c>
      <c r="R8" s="13">
        <f t="shared" si="8"/>
        <v>811507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39585.64166666667</v>
      </c>
      <c r="E9" s="4">
        <f>'Interval Circuities'!F9</f>
        <v>1.2102128047420824</v>
      </c>
      <c r="F9" s="4">
        <f t="shared" si="0"/>
        <v>39.251584360920454</v>
      </c>
      <c r="G9" s="4">
        <f t="shared" si="1"/>
        <v>32.709653634100377</v>
      </c>
      <c r="H9" s="4">
        <f t="shared" si="2"/>
        <v>3361.2573385328292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4982532.4625465311</v>
      </c>
      <c r="M9" s="22">
        <f t="shared" si="5"/>
        <v>4982532.4625465311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2561442.9084319472</v>
      </c>
      <c r="R9" s="13">
        <f t="shared" si="8"/>
        <v>2561442.9084319472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49751.116666666669</v>
      </c>
      <c r="E10" s="4">
        <f>'Interval Circuities'!F10</f>
        <v>1.278311142456642</v>
      </c>
      <c r="F10" s="4">
        <f t="shared" si="0"/>
        <v>46.703293131957473</v>
      </c>
      <c r="G10" s="4">
        <f t="shared" si="1"/>
        <v>38.919410943297898</v>
      </c>
      <c r="H10" s="4">
        <f t="shared" si="2"/>
        <v>4758.634946382731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4211992.5364740277</v>
      </c>
      <c r="M10" s="22">
        <f t="shared" si="5"/>
        <v>1540000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2557152.6350350655</v>
      </c>
      <c r="R10" s="13">
        <f t="shared" si="8"/>
        <v>934953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52312.95</v>
      </c>
      <c r="E11" s="4">
        <f>'Interval Circuities'!F11</f>
        <v>1.1707432163655211</v>
      </c>
      <c r="F11" s="4">
        <f t="shared" si="0"/>
        <v>53.62024662836113</v>
      </c>
      <c r="G11" s="4">
        <f t="shared" si="1"/>
        <v>44.683538856967608</v>
      </c>
      <c r="H11" s="4">
        <f t="shared" si="2"/>
        <v>6272.5624664679617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6681594.5631345222</v>
      </c>
      <c r="M11" s="22">
        <f t="shared" si="5"/>
        <v>1785000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4033946.2758658594</v>
      </c>
      <c r="R11" s="13">
        <f t="shared" si="8"/>
        <v>1077676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50663.958333333343</v>
      </c>
      <c r="E12" s="4">
        <f>'Interval Circuities'!F12</f>
        <v>1.1995705003285038</v>
      </c>
      <c r="F12" s="4">
        <f t="shared" si="0"/>
        <v>50.682098287137556</v>
      </c>
      <c r="G12" s="4">
        <f t="shared" si="1"/>
        <v>42.235081905947965</v>
      </c>
      <c r="H12" s="4">
        <f t="shared" si="2"/>
        <v>5603.9797097981864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6202114.6979182577</v>
      </c>
      <c r="M12" s="22">
        <f t="shared" si="5"/>
        <v>1140000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4208232.7506643469</v>
      </c>
      <c r="R12" s="13">
        <f t="shared" si="8"/>
        <v>773508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47470.033333333333</v>
      </c>
      <c r="E13" s="4">
        <f>'Interval Circuities'!F13</f>
        <v>1.2440120064290328</v>
      </c>
      <c r="F13" s="4">
        <f t="shared" si="0"/>
        <v>45.790586992417126</v>
      </c>
      <c r="G13" s="4">
        <f t="shared" si="1"/>
        <v>38.158822493680937</v>
      </c>
      <c r="H13" s="4">
        <f t="shared" si="2"/>
        <v>4574.4596611853494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5134034.3790759249</v>
      </c>
      <c r="M13" s="22">
        <f t="shared" si="5"/>
        <v>4090000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3265048.7884669793</v>
      </c>
      <c r="R13" s="13">
        <f t="shared" si="8"/>
        <v>2601083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42393.991666666669</v>
      </c>
      <c r="E14" s="4">
        <f>'Interval Circuities'!F14</f>
        <v>1.3352477307392645</v>
      </c>
      <c r="F14" s="4">
        <f t="shared" si="0"/>
        <v>38.099888753852518</v>
      </c>
      <c r="G14" s="4">
        <f t="shared" si="1"/>
        <v>31.749907294877101</v>
      </c>
      <c r="H14" s="4">
        <f t="shared" si="2"/>
        <v>3166.9032505363116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4963967.2679188205</v>
      </c>
      <c r="M14" s="22">
        <f t="shared" si="5"/>
        <v>2025000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2648696.9425638011</v>
      </c>
      <c r="R14" s="13">
        <f t="shared" si="8"/>
        <v>1080509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42095.091666666667</v>
      </c>
      <c r="E15" s="4">
        <f>'Interval Circuities'!F15</f>
        <v>1.2124781174465198</v>
      </c>
      <c r="F15" s="4">
        <f t="shared" si="0"/>
        <v>41.66187354076358</v>
      </c>
      <c r="G15" s="4">
        <f t="shared" si="1"/>
        <v>34.718227950636319</v>
      </c>
      <c r="H15" s="4">
        <f t="shared" si="2"/>
        <v>3786.7355189099535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4670917.0849161139</v>
      </c>
      <c r="M15" s="22">
        <f t="shared" si="5"/>
        <v>4030000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2263908.9013945227</v>
      </c>
      <c r="R15" s="13">
        <f t="shared" si="8"/>
        <v>1953268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47365.954701950301</v>
      </c>
      <c r="E16" s="4">
        <f>'Interval Circuities'!F16</f>
        <v>1.2450835724358407</v>
      </c>
      <c r="F16" s="4">
        <f t="shared" si="0"/>
        <v>45.65086786193968</v>
      </c>
      <c r="G16" s="4">
        <f t="shared" si="1"/>
        <v>38.042389884949735</v>
      </c>
      <c r="H16" s="4">
        <f t="shared" si="2"/>
        <v>4546.5864900058605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3785728.9639130346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3621783.0258091609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45430.025000000001</v>
      </c>
      <c r="E17" s="4">
        <f>'Interval Circuities'!F17</f>
        <v>1.3018592631885946</v>
      </c>
      <c r="F17" s="4">
        <f t="shared" si="0"/>
        <v>41.875517224861888</v>
      </c>
      <c r="G17" s="4">
        <f t="shared" si="1"/>
        <v>34.896264354051574</v>
      </c>
      <c r="H17" s="4">
        <f t="shared" si="2"/>
        <v>3825.6721475648028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4261931.6596406503</v>
      </c>
      <c r="M17" s="22">
        <f t="shared" si="5"/>
        <v>1520000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1608413.7537146742</v>
      </c>
      <c r="R17" s="13">
        <f t="shared" si="8"/>
        <v>573634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57140.474999999999</v>
      </c>
      <c r="E18" s="4">
        <f>'Interval Circuities'!F18</f>
        <v>1.2275720367568776</v>
      </c>
      <c r="F18" s="4">
        <f t="shared" si="0"/>
        <v>55.857064145214068</v>
      </c>
      <c r="G18" s="4">
        <f t="shared" si="1"/>
        <v>46.547553454345056</v>
      </c>
      <c r="H18" s="4">
        <f t="shared" si="2"/>
        <v>6806.809422608012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4871639.9544770848</v>
      </c>
      <c r="M18" s="22">
        <f t="shared" si="5"/>
        <v>870000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3180122.5684903227</v>
      </c>
      <c r="R18" s="13">
        <f t="shared" si="8"/>
        <v>567921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48669.335789122459</v>
      </c>
      <c r="E19" s="4">
        <f>'Interval Circuities'!F19</f>
        <v>1.4430980214790774</v>
      </c>
      <c r="F19" s="4">
        <f t="shared" si="0"/>
        <v>40.470710982672983</v>
      </c>
      <c r="G19" s="4">
        <f t="shared" si="1"/>
        <v>33.725592485560824</v>
      </c>
      <c r="H19" s="4">
        <f t="shared" si="2"/>
        <v>3573.2964569167607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6266116.5944248773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2868637.1285228436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44806.083333333336</v>
      </c>
      <c r="E20" s="4">
        <f>'Interval Circuities'!F20</f>
        <v>1.2854059986592492</v>
      </c>
      <c r="F20" s="4">
        <f t="shared" si="0"/>
        <v>41.829040829187292</v>
      </c>
      <c r="G20" s="4">
        <f t="shared" si="1"/>
        <v>34.857534024322746</v>
      </c>
      <c r="H20" s="4">
        <f t="shared" si="2"/>
        <v>3817.1848597729536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4130411.9387809173</v>
      </c>
      <c r="M20" s="22">
        <f t="shared" si="5"/>
        <v>3630000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2128675.4949951968</v>
      </c>
      <c r="R20" s="13">
        <f t="shared" si="8"/>
        <v>1870780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44446.825000000004</v>
      </c>
      <c r="E21" s="4">
        <f>'Interval Circuities'!F21</f>
        <v>1.2195803066681994</v>
      </c>
      <c r="F21" s="4">
        <f t="shared" si="0"/>
        <v>43.733233234726804</v>
      </c>
      <c r="G21" s="4">
        <f t="shared" si="1"/>
        <v>36.444361028939007</v>
      </c>
      <c r="H21" s="4">
        <f t="shared" si="2"/>
        <v>4172.6365044180766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3001147.160247338</v>
      </c>
      <c r="M21" s="22">
        <f t="shared" si="5"/>
        <v>1030000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2370221.5288452436</v>
      </c>
      <c r="R21" s="13">
        <f t="shared" si="8"/>
        <v>813465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48183.125000000007</v>
      </c>
      <c r="E22" s="4">
        <f>'Interval Circuities'!F22</f>
        <v>1.3428497354800004</v>
      </c>
      <c r="F22" s="4">
        <f t="shared" si="0"/>
        <v>43.057498149137572</v>
      </c>
      <c r="G22" s="4">
        <f t="shared" si="1"/>
        <v>35.881248457614646</v>
      </c>
      <c r="H22" s="4">
        <f t="shared" si="2"/>
        <v>4044.6874155008104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5801397.6716148965</v>
      </c>
      <c r="M22" s="22">
        <f t="shared" si="5"/>
        <v>1630000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3123127.2698489041</v>
      </c>
      <c r="R22" s="13">
        <f t="shared" si="8"/>
        <v>877495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45331.583333333336</v>
      </c>
      <c r="E23" s="4">
        <f>'Interval Circuities'!F23</f>
        <v>1.3281521441278763</v>
      </c>
      <c r="F23" s="4">
        <f t="shared" si="0"/>
        <v>40.957581735276328</v>
      </c>
      <c r="G23" s="4">
        <f t="shared" si="1"/>
        <v>34.131318112730277</v>
      </c>
      <c r="H23" s="4">
        <f t="shared" si="2"/>
        <v>3659.7885478170629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3063501.6852082661</v>
      </c>
      <c r="M23" s="22">
        <f t="shared" si="5"/>
        <v>890000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1711506.1066546342</v>
      </c>
      <c r="R23" s="13">
        <f t="shared" si="8"/>
        <v>497222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52784.216666666667</v>
      </c>
      <c r="E24" s="4">
        <f>'Interval Circuities'!F24</f>
        <v>1.260951367742545</v>
      </c>
      <c r="F24" s="4">
        <f t="shared" si="0"/>
        <v>50.232754109619769</v>
      </c>
      <c r="G24" s="4">
        <f t="shared" si="1"/>
        <v>41.860628424683142</v>
      </c>
      <c r="H24" s="4">
        <f t="shared" si="2"/>
        <v>5505.0511723585396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5182715.2078025751</v>
      </c>
      <c r="M24" s="22">
        <f t="shared" si="5"/>
        <v>1425000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3242059.3184685679</v>
      </c>
      <c r="R24" s="13">
        <f t="shared" si="8"/>
        <v>891412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42303.950000000004</v>
      </c>
      <c r="E25" s="4">
        <f>'Interval Circuities'!F25</f>
        <v>1.3387178028445357</v>
      </c>
      <c r="F25" s="4">
        <f t="shared" si="0"/>
        <v>37.920418995051847</v>
      </c>
      <c r="G25" s="4">
        <f t="shared" si="1"/>
        <v>31.600349162543207</v>
      </c>
      <c r="H25" s="4">
        <f t="shared" si="2"/>
        <v>3137.1380863052063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5507481.2954847962</v>
      </c>
      <c r="M25" s="22">
        <f t="shared" si="5"/>
        <v>1300000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2931145.0933181103</v>
      </c>
      <c r="R25" s="13">
        <f t="shared" si="8"/>
        <v>691875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39972.133333333339</v>
      </c>
      <c r="E26" s="4">
        <f>'Interval Circuities'!F26</f>
        <v>1.2352861702677442</v>
      </c>
      <c r="F26" s="4">
        <f t="shared" si="0"/>
        <v>38.830322199432871</v>
      </c>
      <c r="G26" s="4">
        <f t="shared" si="1"/>
        <v>32.358601832860728</v>
      </c>
      <c r="H26" s="4">
        <f t="shared" si="2"/>
        <v>3289.4960478011635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9480297.7934253253</v>
      </c>
      <c r="M26" s="22">
        <f t="shared" si="5"/>
        <v>9480297.7934253253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4034903.8328369861</v>
      </c>
      <c r="R26" s="13">
        <f t="shared" si="8"/>
        <v>4034903.8328369861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48303.125</v>
      </c>
      <c r="E27" s="4">
        <f>'Interval Circuities'!F27</f>
        <v>1.3023257892532003</v>
      </c>
      <c r="F27" s="4">
        <f t="shared" si="0"/>
        <v>44.507872360600693</v>
      </c>
      <c r="G27" s="4">
        <f t="shared" si="1"/>
        <v>37.08989363383391</v>
      </c>
      <c r="H27" s="4">
        <f t="shared" si="2"/>
        <v>4321.7640088464395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3667372.0469514909</v>
      </c>
      <c r="M27" s="22">
        <f t="shared" si="5"/>
        <v>860000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2200534.1022095233</v>
      </c>
      <c r="R27" s="13">
        <f t="shared" si="8"/>
        <v>516026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47767.825000000004</v>
      </c>
      <c r="E28" s="4">
        <f>'Interval Circuities'!F28</f>
        <v>1.2855937423383883</v>
      </c>
      <c r="F28" s="4">
        <f t="shared" si="0"/>
        <v>44.587483675626139</v>
      </c>
      <c r="G28" s="4">
        <f t="shared" si="1"/>
        <v>37.156236396355119</v>
      </c>
      <c r="H28" s="4">
        <f t="shared" si="2"/>
        <v>4337.2385309599867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4104684.9417295419</v>
      </c>
      <c r="M28" s="22">
        <f t="shared" si="5"/>
        <v>980000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2251151.6294812341</v>
      </c>
      <c r="R28" s="13">
        <f t="shared" si="8"/>
        <v>537466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47713.566666666666</v>
      </c>
      <c r="E29" s="4">
        <f>'Interval Circuities'!F29</f>
        <v>1.1856457781021521</v>
      </c>
      <c r="F29" s="4">
        <f t="shared" si="0"/>
        <v>48.291219061775251</v>
      </c>
      <c r="G29" s="4">
        <f t="shared" si="1"/>
        <v>40.242682551479376</v>
      </c>
      <c r="H29" s="4">
        <f t="shared" si="2"/>
        <v>5087.7260469505682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5646570.4341262802</v>
      </c>
      <c r="M29" s="22">
        <f t="shared" si="5"/>
        <v>1400000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3152657.7370149172</v>
      </c>
      <c r="R29" s="13">
        <f t="shared" si="8"/>
        <v>781664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46085.541666666672</v>
      </c>
      <c r="E30" s="4">
        <f>'Interval Circuities'!F30</f>
        <v>1.236196286175002</v>
      </c>
      <c r="F30" s="4">
        <f t="shared" si="0"/>
        <v>44.736139898232217</v>
      </c>
      <c r="G30" s="4">
        <f t="shared" si="1"/>
        <v>37.280116581860185</v>
      </c>
      <c r="H30" s="4">
        <f t="shared" si="2"/>
        <v>4366.2077512560145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4581093.9351167902</v>
      </c>
      <c r="M30" s="22">
        <f t="shared" si="5"/>
        <v>2430000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3096287.8670156156</v>
      </c>
      <c r="R30" s="13">
        <f t="shared" si="8"/>
        <v>1642398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50670.483333333337</v>
      </c>
      <c r="E31" s="4">
        <f>'Interval Circuities'!F31</f>
        <v>1.3398349765569897</v>
      </c>
      <c r="F31" s="4">
        <f t="shared" si="0"/>
        <v>45.38214113222449</v>
      </c>
      <c r="G31" s="4">
        <f t="shared" si="1"/>
        <v>37.818450943520411</v>
      </c>
      <c r="H31" s="4">
        <f t="shared" si="2"/>
        <v>4493.2164970259473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3423208.6638668082</v>
      </c>
      <c r="M31" s="22">
        <f t="shared" si="5"/>
        <v>850000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2556420.0117412489</v>
      </c>
      <c r="R31" s="13">
        <f t="shared" si="8"/>
        <v>634772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47260.058333333334</v>
      </c>
      <c r="E32" s="4">
        <f>'Interval Circuities'!F32</f>
        <v>1.3043409575027876</v>
      </c>
      <c r="F32" s="4">
        <f t="shared" si="0"/>
        <v>43.479482625905959</v>
      </c>
      <c r="G32" s="4">
        <f t="shared" si="1"/>
        <v>36.232902188254968</v>
      </c>
      <c r="H32" s="4">
        <f t="shared" si="2"/>
        <v>4124.3557236724764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8813884.1658600233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4357133.5758812968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43223.916666666664</v>
      </c>
      <c r="E33" s="4">
        <f>'Interval Circuities'!F33</f>
        <v>1.2369435869548919</v>
      </c>
      <c r="F33" s="4">
        <f t="shared" si="0"/>
        <v>41.932955186493487</v>
      </c>
      <c r="G33" s="4">
        <f t="shared" si="1"/>
        <v>34.944129322077906</v>
      </c>
      <c r="H33" s="4">
        <f t="shared" si="2"/>
        <v>3836.174203439763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7598831.2388280379</v>
      </c>
      <c r="M33" s="22">
        <f t="shared" si="5"/>
        <v>7598831.2388280379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3483335.1653547445</v>
      </c>
      <c r="R33" s="13">
        <f t="shared" si="8"/>
        <v>3483335.1653547445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49598.100000000006</v>
      </c>
      <c r="E34" s="4">
        <f>'Interval Circuities'!F34</f>
        <v>1.2646048380286166</v>
      </c>
      <c r="F34" s="4">
        <f t="shared" si="0"/>
        <v>47.064283015698201</v>
      </c>
      <c r="G34" s="4">
        <f t="shared" si="1"/>
        <v>39.220235846415171</v>
      </c>
      <c r="H34" s="4">
        <f t="shared" si="2"/>
        <v>4832.4823281180288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4688425.8425039528</v>
      </c>
      <c r="M34" s="22">
        <f t="shared" si="5"/>
        <v>810000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2554995.28604287</v>
      </c>
      <c r="R34" s="13">
        <f t="shared" si="8"/>
        <v>441416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38117.241666666669</v>
      </c>
      <c r="E35" s="4">
        <f>'Interval Circuities'!F35</f>
        <v>1.2845455265090662</v>
      </c>
      <c r="F35" s="4">
        <f t="shared" ref="F35:F53" si="10">B35/E35</f>
        <v>35.608461557845118</v>
      </c>
      <c r="G35" s="4">
        <f t="shared" ref="G35:G53" si="11">F35*$A$1</f>
        <v>29.673717964870931</v>
      </c>
      <c r="H35" s="4">
        <f t="shared" ref="H35:H53" si="12">PI()*G35^2</f>
        <v>2766.2651274057198</v>
      </c>
      <c r="I35" s="4">
        <f t="shared" ref="I35:I53" si="13">K35/J35</f>
        <v>1047.9139885488814</v>
      </c>
      <c r="J35" s="9">
        <f>'2000-10'!J35</f>
        <v>1173.7604550000001</v>
      </c>
      <c r="K35" s="9">
        <f>'2000-10'!K35</f>
        <v>1230000</v>
      </c>
      <c r="L35" s="22">
        <f t="shared" ref="L35:L53" si="14">H35*I35</f>
        <v>2898807.9230434075</v>
      </c>
      <c r="M35" s="22">
        <f t="shared" ref="M35:M53" si="15">MIN(K35,L35)</f>
        <v>1230000</v>
      </c>
      <c r="N35" s="19" t="s">
        <v>92</v>
      </c>
      <c r="O35" s="4">
        <f t="shared" ref="O35:O53" si="16">P35/J35</f>
        <v>697.01274780125379</v>
      </c>
      <c r="P35" s="13">
        <f>'2000-10'!P35</f>
        <v>818126</v>
      </c>
      <c r="Q35" s="22">
        <f t="shared" ref="Q35:Q53" si="17">H35*O35</f>
        <v>1928122.0575998463</v>
      </c>
      <c r="R35" s="13">
        <f t="shared" ref="R35:R53" si="18">MIN(Q35,P35)</f>
        <v>818126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44054.899999999994</v>
      </c>
      <c r="E36" s="4">
        <f>'Interval Circuities'!F36</f>
        <v>1.1904623684865012</v>
      </c>
      <c r="F36" s="4">
        <f t="shared" si="10"/>
        <v>44.407854796125335</v>
      </c>
      <c r="G36" s="4">
        <f t="shared" si="11"/>
        <v>37.006545663437784</v>
      </c>
      <c r="H36" s="4">
        <f t="shared" si="12"/>
        <v>4302.3621991727014</v>
      </c>
      <c r="I36" s="4">
        <f t="shared" si="1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14"/>
        <v>4730947.7182283206</v>
      </c>
      <c r="M36" s="22">
        <f t="shared" si="15"/>
        <v>4730947.7182283206</v>
      </c>
      <c r="N36" s="19" t="s">
        <v>92</v>
      </c>
      <c r="O36" s="4">
        <f t="shared" si="16"/>
        <v>547.27078534034638</v>
      </c>
      <c r="P36" s="13">
        <f>'2000-10'!P36</f>
        <v>2550674</v>
      </c>
      <c r="Q36" s="22">
        <f t="shared" si="17"/>
        <v>2354557.1395598641</v>
      </c>
      <c r="R36" s="13">
        <f t="shared" si="18"/>
        <v>2354557.1395598641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43702.208333333336</v>
      </c>
      <c r="E37" s="4">
        <f>'Interval Circuities'!F37</f>
        <v>1.3124725655296565</v>
      </c>
      <c r="F37" s="4">
        <f t="shared" si="10"/>
        <v>39.957139964168654</v>
      </c>
      <c r="G37" s="4">
        <f t="shared" si="11"/>
        <v>33.297616636807213</v>
      </c>
      <c r="H37" s="4">
        <f t="shared" si="12"/>
        <v>3483.1820242353515</v>
      </c>
      <c r="I37" s="4">
        <f t="shared" si="13"/>
        <v>1401.3597327768193</v>
      </c>
      <c r="J37" s="9">
        <f>'2000-10'!J37</f>
        <v>2069.418674</v>
      </c>
      <c r="K37" s="9">
        <f>'2000-10'!K37</f>
        <v>2900000</v>
      </c>
      <c r="L37" s="22">
        <f t="shared" si="14"/>
        <v>4881191.0306954728</v>
      </c>
      <c r="M37" s="22">
        <f t="shared" si="15"/>
        <v>2900000</v>
      </c>
      <c r="N37" s="19" t="s">
        <v>92</v>
      </c>
      <c r="O37" s="4">
        <f t="shared" si="16"/>
        <v>677.88602549355369</v>
      </c>
      <c r="P37" s="13">
        <f>'2000-10'!P37</f>
        <v>1402830</v>
      </c>
      <c r="Q37" s="22">
        <f t="shared" si="17"/>
        <v>2361200.4184794934</v>
      </c>
      <c r="R37" s="13">
        <f t="shared" si="18"/>
        <v>1402830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48792.608333333337</v>
      </c>
      <c r="E38" s="4">
        <f>'Interval Circuities'!F38</f>
        <v>1.2654254316691831</v>
      </c>
      <c r="F38" s="4">
        <f t="shared" si="10"/>
        <v>46.269917242588555</v>
      </c>
      <c r="G38" s="4">
        <f t="shared" si="11"/>
        <v>38.558264368823799</v>
      </c>
      <c r="H38" s="4">
        <f t="shared" si="12"/>
        <v>4670.7306799691114</v>
      </c>
      <c r="I38" s="4">
        <f t="shared" si="1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14"/>
        <v>3734136.177724279</v>
      </c>
      <c r="M38" s="22">
        <f t="shared" si="15"/>
        <v>1765000</v>
      </c>
      <c r="N38" s="19" t="s">
        <v>92</v>
      </c>
      <c r="O38" s="4">
        <f t="shared" si="16"/>
        <v>470.46365508810919</v>
      </c>
      <c r="P38" s="13">
        <f>'2000-10'!P38</f>
        <v>1038641</v>
      </c>
      <c r="Q38" s="22">
        <f t="shared" si="17"/>
        <v>2197409.0276304376</v>
      </c>
      <c r="R38" s="13">
        <f t="shared" si="18"/>
        <v>1038641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44239.958333333336</v>
      </c>
      <c r="E39" s="4">
        <f>'Interval Circuities'!F39</f>
        <v>1.4341566094342491</v>
      </c>
      <c r="F39" s="4">
        <f t="shared" si="10"/>
        <v>37.016842965945202</v>
      </c>
      <c r="G39" s="4">
        <f t="shared" si="11"/>
        <v>30.847369138287668</v>
      </c>
      <c r="H39" s="4">
        <f t="shared" si="12"/>
        <v>2989.4144795878437</v>
      </c>
      <c r="I39" s="4">
        <f t="shared" si="1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14"/>
        <v>3872202.9202800421</v>
      </c>
      <c r="M39" s="22">
        <f t="shared" si="15"/>
        <v>1590000</v>
      </c>
      <c r="N39" s="19" t="s">
        <v>92</v>
      </c>
      <c r="O39" s="4">
        <f t="shared" si="16"/>
        <v>714.74674387135121</v>
      </c>
      <c r="P39" s="13">
        <f>'2000-10'!P39</f>
        <v>877359</v>
      </c>
      <c r="Q39" s="22">
        <f t="shared" si="17"/>
        <v>2136674.2653672812</v>
      </c>
      <c r="R39" s="13">
        <f t="shared" si="18"/>
        <v>877359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52068.666666666664</v>
      </c>
      <c r="E40" s="4">
        <f>'Interval Circuities'!F40</f>
        <v>1.2289095956943288</v>
      </c>
      <c r="F40" s="4">
        <f t="shared" si="10"/>
        <v>50.843772576043484</v>
      </c>
      <c r="G40" s="4">
        <f t="shared" si="11"/>
        <v>42.369810480036236</v>
      </c>
      <c r="H40" s="4">
        <f t="shared" si="12"/>
        <v>5639.7897710209591</v>
      </c>
      <c r="I40" s="4">
        <f t="shared" si="1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14"/>
        <v>5231630.6505807107</v>
      </c>
      <c r="M40" s="22">
        <f t="shared" si="15"/>
        <v>1210000</v>
      </c>
      <c r="N40" s="19" t="s">
        <v>92</v>
      </c>
      <c r="O40" s="4">
        <f t="shared" si="16"/>
        <v>482.44740198664414</v>
      </c>
      <c r="P40" s="13">
        <f>'2000-10'!P40</f>
        <v>629305</v>
      </c>
      <c r="Q40" s="22">
        <f t="shared" si="17"/>
        <v>2720901.9227799121</v>
      </c>
      <c r="R40" s="13">
        <f t="shared" si="18"/>
        <v>629305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51357.458333333343</v>
      </c>
      <c r="E41" s="4">
        <f>'Interval Circuities'!F41</f>
        <v>1.2183864320048754</v>
      </c>
      <c r="F41" s="4">
        <f t="shared" si="10"/>
        <v>50.582432946654315</v>
      </c>
      <c r="G41" s="4">
        <f t="shared" si="11"/>
        <v>42.152027455545266</v>
      </c>
      <c r="H41" s="4">
        <f t="shared" si="12"/>
        <v>5581.9611508614262</v>
      </c>
      <c r="I41" s="4">
        <f t="shared" si="1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14"/>
        <v>5327116.548002962</v>
      </c>
      <c r="M41" s="22">
        <f t="shared" si="15"/>
        <v>790000</v>
      </c>
      <c r="N41" s="19" t="s">
        <v>92</v>
      </c>
      <c r="O41" s="4">
        <f t="shared" si="16"/>
        <v>742.45018600123069</v>
      </c>
      <c r="P41" s="13">
        <f>'2000-10'!P41</f>
        <v>614595</v>
      </c>
      <c r="Q41" s="22">
        <f t="shared" si="17"/>
        <v>4144328.0947087095</v>
      </c>
      <c r="R41" s="13">
        <f t="shared" si="18"/>
        <v>614595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51741.164632712527</v>
      </c>
      <c r="E42" s="4">
        <f>'Interval Circuities'!F42</f>
        <v>1.2005095924358498</v>
      </c>
      <c r="F42" s="4">
        <f t="shared" si="10"/>
        <v>51.719201537802647</v>
      </c>
      <c r="G42" s="4">
        <f t="shared" si="11"/>
        <v>43.099334614835541</v>
      </c>
      <c r="H42" s="4">
        <f t="shared" si="12"/>
        <v>5835.6737408055824</v>
      </c>
      <c r="I42" s="4">
        <f t="shared" si="1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14"/>
        <v>5076532.4919405729</v>
      </c>
      <c r="M42" s="22">
        <f t="shared" si="15"/>
        <v>665000</v>
      </c>
      <c r="N42" s="19" t="s">
        <v>92</v>
      </c>
      <c r="O42" s="4">
        <f t="shared" si="16"/>
        <v>595.44480330121178</v>
      </c>
      <c r="P42" s="13">
        <f>'2000-10'!P42</f>
        <v>455184</v>
      </c>
      <c r="Q42" s="22">
        <f t="shared" si="17"/>
        <v>3474821.6027240269</v>
      </c>
      <c r="R42" s="13">
        <f t="shared" si="1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44414.508333333339</v>
      </c>
      <c r="E43" s="4">
        <f>'Interval Circuities'!F43</f>
        <v>1.4609362263196859</v>
      </c>
      <c r="F43" s="4">
        <f t="shared" si="10"/>
        <v>36.481681431272364</v>
      </c>
      <c r="G43" s="4">
        <f t="shared" si="11"/>
        <v>30.401401192726972</v>
      </c>
      <c r="H43" s="4">
        <f t="shared" si="12"/>
        <v>2903.6019130976219</v>
      </c>
      <c r="I43" s="4">
        <f t="shared" si="1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14"/>
        <v>4465749.9888586337</v>
      </c>
      <c r="M43" s="22">
        <f t="shared" si="15"/>
        <v>1470000</v>
      </c>
      <c r="N43" s="19" t="s">
        <v>92</v>
      </c>
      <c r="O43" s="4">
        <f t="shared" si="16"/>
        <v>612.25827963614597</v>
      </c>
      <c r="P43" s="13">
        <f>'2000-10'!P43</f>
        <v>585187</v>
      </c>
      <c r="Q43" s="22">
        <f t="shared" si="17"/>
        <v>1777754.3120613722</v>
      </c>
      <c r="R43" s="13">
        <f t="shared" si="18"/>
        <v>585187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43528.483333333337</v>
      </c>
      <c r="E44" s="4">
        <f>'Interval Circuities'!F44</f>
        <v>1.4267127699626749</v>
      </c>
      <c r="F44" s="4">
        <f t="shared" si="10"/>
        <v>36.611559873657349</v>
      </c>
      <c r="G44" s="4">
        <f t="shared" si="11"/>
        <v>30.509633228047793</v>
      </c>
      <c r="H44" s="4">
        <f t="shared" si="12"/>
        <v>2924.312941925205</v>
      </c>
      <c r="I44" s="4">
        <f t="shared" si="1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14"/>
        <v>4502210.6438783715</v>
      </c>
      <c r="M44" s="22">
        <f t="shared" si="15"/>
        <v>920000</v>
      </c>
      <c r="N44" s="19" t="s">
        <v>92</v>
      </c>
      <c r="O44" s="4">
        <f t="shared" si="16"/>
        <v>1022.9581711561229</v>
      </c>
      <c r="P44" s="13">
        <f>'2000-10'!P44</f>
        <v>611285</v>
      </c>
      <c r="Q44" s="22">
        <f t="shared" si="17"/>
        <v>2991449.8189599891</v>
      </c>
      <c r="R44" s="13">
        <f t="shared" si="18"/>
        <v>611285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49671.866666666669</v>
      </c>
      <c r="E45" s="4">
        <f>'Interval Circuities'!F45</f>
        <v>1.3157998447651269</v>
      </c>
      <c r="F45" s="4">
        <f t="shared" si="10"/>
        <v>45.300385341388939</v>
      </c>
      <c r="G45" s="4">
        <f t="shared" si="11"/>
        <v>37.750321117824114</v>
      </c>
      <c r="H45" s="4">
        <f t="shared" si="12"/>
        <v>4477.0420472457417</v>
      </c>
      <c r="I45" s="4">
        <f t="shared" si="1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14"/>
        <v>5344083.4914865075</v>
      </c>
      <c r="M45" s="22">
        <f t="shared" si="15"/>
        <v>1260000</v>
      </c>
      <c r="N45" s="19" t="s">
        <v>92</v>
      </c>
      <c r="O45" s="4">
        <f t="shared" si="16"/>
        <v>601.99786445569703</v>
      </c>
      <c r="P45" s="13">
        <f>'2000-10'!P45</f>
        <v>635453</v>
      </c>
      <c r="Q45" s="22">
        <f t="shared" si="17"/>
        <v>2695169.7515202984</v>
      </c>
      <c r="R45" s="13">
        <f t="shared" si="18"/>
        <v>635453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44308.191666666666</v>
      </c>
      <c r="E46" s="4">
        <f>'Interval Circuities'!F46</f>
        <v>1.3889482459828102</v>
      </c>
      <c r="F46" s="4">
        <f t="shared" si="10"/>
        <v>38.280641596100217</v>
      </c>
      <c r="G46" s="4">
        <f t="shared" si="11"/>
        <v>31.900534663416849</v>
      </c>
      <c r="H46" s="4">
        <f t="shared" si="12"/>
        <v>3197.023265637049</v>
      </c>
      <c r="I46" s="4">
        <f t="shared" si="13"/>
        <v>1372.086028348845</v>
      </c>
      <c r="J46" s="9">
        <f>'2000-10'!J46</f>
        <v>2026.112024</v>
      </c>
      <c r="K46" s="9">
        <f>'2000-10'!K46</f>
        <v>2780000</v>
      </c>
      <c r="L46" s="22">
        <f t="shared" si="14"/>
        <v>4386590.9550867928</v>
      </c>
      <c r="M46" s="22">
        <f t="shared" si="15"/>
        <v>2780000</v>
      </c>
      <c r="N46" s="19" t="s">
        <v>92</v>
      </c>
      <c r="O46" s="4">
        <f t="shared" si="16"/>
        <v>533.91026122255516</v>
      </c>
      <c r="P46" s="13">
        <f>'2000-10'!P46</f>
        <v>1081762</v>
      </c>
      <c r="Q46" s="22">
        <f t="shared" si="17"/>
        <v>1706923.5268908632</v>
      </c>
      <c r="R46" s="13">
        <f t="shared" si="18"/>
        <v>1081762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44437.674999999996</v>
      </c>
      <c r="E47" s="4">
        <f>'Interval Circuities'!F47</f>
        <v>1.3789938650441405</v>
      </c>
      <c r="F47" s="4">
        <f t="shared" si="10"/>
        <v>38.669649917763124</v>
      </c>
      <c r="G47" s="4">
        <f t="shared" si="11"/>
        <v>32.224708264802608</v>
      </c>
      <c r="H47" s="4">
        <f t="shared" si="12"/>
        <v>3262.3297856104027</v>
      </c>
      <c r="I47" s="4">
        <f t="shared" si="13"/>
        <v>3692.1786197984002</v>
      </c>
      <c r="J47" s="9">
        <f>'2000-10'!J47</f>
        <v>1107.747057</v>
      </c>
      <c r="K47" s="9">
        <f>'2000-10'!K47</f>
        <v>4090000</v>
      </c>
      <c r="L47" s="22">
        <f t="shared" si="14"/>
        <v>12045104.285162227</v>
      </c>
      <c r="M47" s="22">
        <f t="shared" si="15"/>
        <v>4090000</v>
      </c>
      <c r="N47" s="19" t="s">
        <v>92</v>
      </c>
      <c r="O47" s="4">
        <f t="shared" si="16"/>
        <v>1849.2479732221034</v>
      </c>
      <c r="P47" s="13">
        <f>'2000-10'!P47</f>
        <v>2048499</v>
      </c>
      <c r="Q47" s="22">
        <f t="shared" si="17"/>
        <v>6032856.7440221366</v>
      </c>
      <c r="R47" s="13">
        <f t="shared" si="18"/>
        <v>2048499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42219.908333333333</v>
      </c>
      <c r="E48" s="4">
        <f>'Interval Circuities'!F48</f>
        <v>1.4123729863549019</v>
      </c>
      <c r="F48" s="4">
        <f t="shared" si="10"/>
        <v>35.871466311993842</v>
      </c>
      <c r="G48" s="4">
        <f t="shared" si="11"/>
        <v>29.892888593328202</v>
      </c>
      <c r="H48" s="4">
        <f t="shared" si="12"/>
        <v>2807.2794067639466</v>
      </c>
      <c r="I48" s="4">
        <f t="shared" si="1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14"/>
        <v>6979822.9192001512</v>
      </c>
      <c r="M48" s="22">
        <f t="shared" si="15"/>
        <v>1675000</v>
      </c>
      <c r="N48" s="19" t="s">
        <v>92</v>
      </c>
      <c r="O48" s="4">
        <f t="shared" si="16"/>
        <v>1548.2013042170763</v>
      </c>
      <c r="P48" s="13">
        <f>'2000-10'!P48</f>
        <v>1042998</v>
      </c>
      <c r="Q48" s="22">
        <f t="shared" si="17"/>
        <v>4346233.6388536822</v>
      </c>
      <c r="R48" s="13">
        <f t="shared" si="18"/>
        <v>1042998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48488.875</v>
      </c>
      <c r="E49" s="4">
        <f>'Interval Circuities'!F49</f>
        <v>1.3905647350876666</v>
      </c>
      <c r="F49" s="4">
        <f t="shared" si="10"/>
        <v>41.843898764146125</v>
      </c>
      <c r="G49" s="4">
        <f t="shared" si="11"/>
        <v>34.869915636788441</v>
      </c>
      <c r="H49" s="4">
        <f t="shared" si="12"/>
        <v>3819.8971169078977</v>
      </c>
      <c r="I49" s="4">
        <f t="shared" si="1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14"/>
        <v>4237660.6483341223</v>
      </c>
      <c r="M49" s="22">
        <f t="shared" si="15"/>
        <v>2740000</v>
      </c>
      <c r="N49" s="19" t="s">
        <v>92</v>
      </c>
      <c r="O49" s="4">
        <f t="shared" si="16"/>
        <v>599.91348482451292</v>
      </c>
      <c r="P49" s="13">
        <f>'2000-10'!P49</f>
        <v>1481715</v>
      </c>
      <c r="Q49" s="22">
        <f t="shared" si="17"/>
        <v>2291607.791075327</v>
      </c>
      <c r="R49" s="13">
        <f t="shared" si="18"/>
        <v>1481715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49857.575000000004</v>
      </c>
      <c r="E50" s="4">
        <f>'Interval Circuities'!F50</f>
        <v>1.2360454239245779</v>
      </c>
      <c r="F50" s="4">
        <f t="shared" si="10"/>
        <v>48.403633751610975</v>
      </c>
      <c r="G50" s="4">
        <f t="shared" si="11"/>
        <v>40.336361459675814</v>
      </c>
      <c r="H50" s="4">
        <f t="shared" si="12"/>
        <v>5111.4405377474995</v>
      </c>
      <c r="I50" s="4">
        <f t="shared" si="1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14"/>
        <v>8779388.807041768</v>
      </c>
      <c r="M50" s="22">
        <f t="shared" si="15"/>
        <v>4965000</v>
      </c>
      <c r="N50" s="19" t="s">
        <v>92</v>
      </c>
      <c r="O50" s="4">
        <f t="shared" si="16"/>
        <v>514.0451157391708</v>
      </c>
      <c r="P50" s="13">
        <f>'2000-10'!P50</f>
        <v>1485934</v>
      </c>
      <c r="Q50" s="22">
        <f t="shared" si="17"/>
        <v>2627511.0428203028</v>
      </c>
      <c r="R50" s="13">
        <f t="shared" si="18"/>
        <v>1485934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47085.4</v>
      </c>
      <c r="E51" s="4">
        <f>'Interval Circuities'!F51</f>
        <v>1.3198572141603853</v>
      </c>
      <c r="F51" s="4">
        <f t="shared" si="10"/>
        <v>42.809539845522998</v>
      </c>
      <c r="G51" s="4">
        <f t="shared" si="11"/>
        <v>35.674616537935833</v>
      </c>
      <c r="H51" s="4">
        <f t="shared" si="12"/>
        <v>3998.236688111931</v>
      </c>
      <c r="I51" s="4">
        <f t="shared" si="1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14"/>
        <v>3826956.4547812026</v>
      </c>
      <c r="M51" s="22">
        <f t="shared" si="15"/>
        <v>2055000</v>
      </c>
      <c r="N51" s="19" t="s">
        <v>92</v>
      </c>
      <c r="O51" s="4">
        <f t="shared" si="16"/>
        <v>568.5308450770176</v>
      </c>
      <c r="P51" s="13">
        <f>'2000-10'!P51</f>
        <v>1220621</v>
      </c>
      <c r="Q51" s="22">
        <f t="shared" si="17"/>
        <v>2273120.8831102122</v>
      </c>
      <c r="R51" s="13">
        <f t="shared" si="18"/>
        <v>1220621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39650.699999999997</v>
      </c>
      <c r="E52" s="4">
        <f>'Interval Circuities'!F52</f>
        <v>1.2631026062750048</v>
      </c>
      <c r="F52" s="4">
        <f t="shared" si="10"/>
        <v>37.669813808966694</v>
      </c>
      <c r="G52" s="4">
        <f t="shared" si="11"/>
        <v>31.391511507472245</v>
      </c>
      <c r="H52" s="4">
        <f t="shared" si="12"/>
        <v>3095.8102072732399</v>
      </c>
      <c r="I52" s="4">
        <f t="shared" si="13"/>
        <v>962.52206654026702</v>
      </c>
      <c r="J52" s="9">
        <f>'2000-10'!J52</f>
        <v>2077.87444</v>
      </c>
      <c r="K52" s="9">
        <f>'2000-10'!K52</f>
        <v>2000000</v>
      </c>
      <c r="L52" s="22">
        <f t="shared" si="14"/>
        <v>2979785.6383210914</v>
      </c>
      <c r="M52" s="22">
        <f t="shared" si="15"/>
        <v>2000000</v>
      </c>
      <c r="N52" s="19" t="s">
        <v>92</v>
      </c>
      <c r="O52" s="4">
        <f t="shared" si="16"/>
        <v>501.91290672982143</v>
      </c>
      <c r="P52" s="13">
        <f>'2000-10'!P52</f>
        <v>1042912</v>
      </c>
      <c r="Q52" s="22">
        <f t="shared" si="17"/>
        <v>1553827.0998163628</v>
      </c>
      <c r="R52" s="13">
        <f t="shared" si="18"/>
        <v>1042912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41297.15</v>
      </c>
      <c r="E53" s="4">
        <f>'Interval Circuities'!F53</f>
        <v>1.2809627684955263</v>
      </c>
      <c r="F53" s="4">
        <f t="shared" si="10"/>
        <v>38.686979215019292</v>
      </c>
      <c r="G53" s="4">
        <f t="shared" si="11"/>
        <v>32.239149345849412</v>
      </c>
      <c r="H53" s="4">
        <f t="shared" si="12"/>
        <v>3265.2543815238569</v>
      </c>
      <c r="I53" s="4">
        <f t="shared" si="1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14"/>
        <v>4392167.6017008489</v>
      </c>
      <c r="M53" s="22">
        <f t="shared" si="15"/>
        <v>4030000</v>
      </c>
      <c r="N53" s="19" t="s">
        <v>92</v>
      </c>
      <c r="O53" s="4">
        <f t="shared" si="16"/>
        <v>760.55704152110548</v>
      </c>
      <c r="P53" s="13">
        <f>'2000-10'!P53</f>
        <v>2278636</v>
      </c>
      <c r="Q53" s="22">
        <f t="shared" si="17"/>
        <v>2483412.2122256118</v>
      </c>
      <c r="R53" s="13">
        <f t="shared" si="18"/>
        <v>2278636</v>
      </c>
    </row>
    <row r="54" spans="1:18">
      <c r="D54" s="3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6/6</f>
        <v>1</v>
      </c>
      <c r="B1" s="1" t="s">
        <v>60</v>
      </c>
      <c r="C1" s="1" t="s">
        <v>61</v>
      </c>
      <c r="D1" s="38" t="s">
        <v>161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52316.79</v>
      </c>
      <c r="E3" s="4">
        <f>'Interval Circuities'!G3</f>
        <v>1.2220844387618242</v>
      </c>
      <c r="F3" s="4">
        <f t="shared" ref="F3:F34" si="0">B3/E3</f>
        <v>42.809472357741214</v>
      </c>
      <c r="G3" s="4">
        <f t="shared" ref="G3:G34" si="1">F3*$A$1</f>
        <v>42.809472357741214</v>
      </c>
      <c r="H3" s="4">
        <f t="shared" ref="H3:H34" si="2">PI()*G3^2</f>
        <v>5757.4426780136027</v>
      </c>
      <c r="I3" s="4">
        <f t="shared" ref="I3:I34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34" si="4">H3*I3</f>
        <v>4360790.3640670497</v>
      </c>
      <c r="M3" s="22">
        <f t="shared" ref="M3:M34" si="5">MIN(K3,L3)</f>
        <v>3850000</v>
      </c>
      <c r="N3" s="19" t="s">
        <v>92</v>
      </c>
      <c r="O3" s="4">
        <f t="shared" ref="O3:O34" si="6">P3/J3</f>
        <v>418.87926898310906</v>
      </c>
      <c r="P3" s="13">
        <f>'2000-10'!P3</f>
        <v>2129188</v>
      </c>
      <c r="Q3" s="22">
        <f t="shared" ref="Q3:Q34" si="7">H3*O3</f>
        <v>2411673.3801784916</v>
      </c>
      <c r="R3" s="13">
        <f t="shared" ref="R3:R34" si="8">MIN(Q3,P3)</f>
        <v>2129188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53198.880000000005</v>
      </c>
      <c r="E4" s="4">
        <f>'Interval Circuities'!G4</f>
        <v>1.2986850640774117</v>
      </c>
      <c r="F4" s="4">
        <f t="shared" si="0"/>
        <v>40.963649672673014</v>
      </c>
      <c r="G4" s="4">
        <f t="shared" si="1"/>
        <v>40.963649672673014</v>
      </c>
      <c r="H4" s="4">
        <f t="shared" si="2"/>
        <v>5271.6571722708059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6142150.3238534005</v>
      </c>
      <c r="M4" s="22">
        <f t="shared" si="5"/>
        <v>960000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3713985.552856293</v>
      </c>
      <c r="R4" s="13">
        <f t="shared" si="8"/>
        <v>580485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57562.600000000006</v>
      </c>
      <c r="E5" s="4">
        <f>'Interval Circuities'!G5</f>
        <v>1.219096781650074</v>
      </c>
      <c r="F5" s="4">
        <f t="shared" si="0"/>
        <v>47.21741609561775</v>
      </c>
      <c r="G5" s="4">
        <f t="shared" si="1"/>
        <v>47.21741609561775</v>
      </c>
      <c r="H5" s="4">
        <f t="shared" si="2"/>
        <v>7004.1317581302137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8753873.8082557861</v>
      </c>
      <c r="M5" s="22">
        <f t="shared" si="5"/>
        <v>2210000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4213283.0352311088</v>
      </c>
      <c r="R5" s="13">
        <f t="shared" si="8"/>
        <v>1063684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60288.020000000004</v>
      </c>
      <c r="E6" s="4">
        <f>'Interval Circuities'!G6</f>
        <v>1.1922530135207596</v>
      </c>
      <c r="F6" s="4">
        <f t="shared" si="0"/>
        <v>50.566464765702406</v>
      </c>
      <c r="G6" s="4">
        <f t="shared" si="1"/>
        <v>50.566464765702406</v>
      </c>
      <c r="H6" s="4">
        <f t="shared" si="2"/>
        <v>8032.9498701923503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7038495.9761577593</v>
      </c>
      <c r="M6" s="22">
        <f t="shared" si="5"/>
        <v>3940000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5493833.7230591932</v>
      </c>
      <c r="R6" s="13">
        <f t="shared" si="8"/>
        <v>3075331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60075.479999999996</v>
      </c>
      <c r="E7" s="4">
        <f>'Interval Circuities'!G7</f>
        <v>1.1856225230260624</v>
      </c>
      <c r="F7" s="4">
        <f t="shared" si="0"/>
        <v>50.669988831411075</v>
      </c>
      <c r="G7" s="4">
        <f t="shared" si="1"/>
        <v>50.669988831411075</v>
      </c>
      <c r="H7" s="4">
        <f t="shared" si="2"/>
        <v>8065.8750469751058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9469451.4015920404</v>
      </c>
      <c r="M7" s="22">
        <f t="shared" si="5"/>
        <v>1115000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4039396.19891033</v>
      </c>
      <c r="R7" s="13">
        <f t="shared" si="8"/>
        <v>475627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54739.37</v>
      </c>
      <c r="E8" s="4">
        <f>'Interval Circuities'!G8</f>
        <v>1.2291117906328803</v>
      </c>
      <c r="F8" s="4">
        <f t="shared" si="0"/>
        <v>44.535713038611583</v>
      </c>
      <c r="G8" s="4">
        <f t="shared" si="1"/>
        <v>44.535713038611583</v>
      </c>
      <c r="H8" s="4">
        <f t="shared" si="2"/>
        <v>6231.1282870816476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4785022.0300341016</v>
      </c>
      <c r="M8" s="22">
        <f t="shared" si="5"/>
        <v>865000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4489108.5231524669</v>
      </c>
      <c r="R8" s="13">
        <f t="shared" si="8"/>
        <v>811507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47502.77</v>
      </c>
      <c r="E9" s="4">
        <f>'Interval Circuities'!G9</f>
        <v>1.1997053834772908</v>
      </c>
      <c r="F9" s="4">
        <f t="shared" si="0"/>
        <v>39.595362873437651</v>
      </c>
      <c r="G9" s="4">
        <f t="shared" si="1"/>
        <v>39.595362873437651</v>
      </c>
      <c r="H9" s="4">
        <f t="shared" si="2"/>
        <v>4925.3662205576866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7301076.5354165714</v>
      </c>
      <c r="M9" s="22">
        <f t="shared" si="5"/>
        <v>7301076.5354165714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3753370.571318584</v>
      </c>
      <c r="R9" s="13">
        <f t="shared" si="8"/>
        <v>3753370.571318584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59701.340000000004</v>
      </c>
      <c r="E10" s="4">
        <f>'Interval Circuities'!G10</f>
        <v>1.2714840664035174</v>
      </c>
      <c r="F10" s="4">
        <f t="shared" si="0"/>
        <v>46.954060674051121</v>
      </c>
      <c r="G10" s="4">
        <f t="shared" si="1"/>
        <v>46.954060674051121</v>
      </c>
      <c r="H10" s="4">
        <f t="shared" si="2"/>
        <v>6926.2184728673474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6130577.5379726803</v>
      </c>
      <c r="M10" s="22">
        <f t="shared" si="5"/>
        <v>1540000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3721949.2602988128</v>
      </c>
      <c r="R10" s="13">
        <f t="shared" si="8"/>
        <v>934953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62775.54</v>
      </c>
      <c r="E11" s="4">
        <f>'Interval Circuities'!G11</f>
        <v>1.1653581060286888</v>
      </c>
      <c r="F11" s="4">
        <f t="shared" si="0"/>
        <v>53.868025352247038</v>
      </c>
      <c r="G11" s="4">
        <f t="shared" si="1"/>
        <v>53.868025352247038</v>
      </c>
      <c r="H11" s="4">
        <f t="shared" si="2"/>
        <v>9116.1609528987865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9710623.3353856187</v>
      </c>
      <c r="M11" s="22">
        <f t="shared" si="5"/>
        <v>1785000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5862692.2765182247</v>
      </c>
      <c r="R11" s="13">
        <f t="shared" si="8"/>
        <v>1077676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60796.75</v>
      </c>
      <c r="E12" s="4">
        <f>'Interval Circuities'!G12</f>
        <v>1.1898957814338935</v>
      </c>
      <c r="F12" s="4">
        <f t="shared" si="0"/>
        <v>51.094180640540124</v>
      </c>
      <c r="G12" s="4">
        <f t="shared" si="1"/>
        <v>51.094180640540124</v>
      </c>
      <c r="H12" s="4">
        <f t="shared" si="2"/>
        <v>8201.489833152049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9076867.3823145088</v>
      </c>
      <c r="M12" s="22">
        <f t="shared" si="5"/>
        <v>1140000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6158797.8378590625</v>
      </c>
      <c r="R12" s="13">
        <f t="shared" si="8"/>
        <v>773508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56964.039999999994</v>
      </c>
      <c r="E13" s="4">
        <f>'Interval Circuities'!G13</f>
        <v>1.2309440205397102</v>
      </c>
      <c r="F13" s="4">
        <f t="shared" si="0"/>
        <v>46.276710434828701</v>
      </c>
      <c r="G13" s="4">
        <f t="shared" si="1"/>
        <v>46.276710434828701</v>
      </c>
      <c r="H13" s="4">
        <f t="shared" si="2"/>
        <v>6727.8272577197667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7550814.5214831848</v>
      </c>
      <c r="M13" s="22">
        <f t="shared" si="5"/>
        <v>4090000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4802028.1877709161</v>
      </c>
      <c r="R13" s="13">
        <f t="shared" si="8"/>
        <v>2601083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50872.79</v>
      </c>
      <c r="E14" s="4">
        <f>'Interval Circuities'!G14</f>
        <v>1.3276568365990167</v>
      </c>
      <c r="F14" s="4">
        <f t="shared" si="0"/>
        <v>38.317725332035309</v>
      </c>
      <c r="G14" s="4">
        <f t="shared" si="1"/>
        <v>38.317725332035309</v>
      </c>
      <c r="H14" s="4">
        <f t="shared" si="2"/>
        <v>4612.6373648776362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7230085.3820382198</v>
      </c>
      <c r="M14" s="22">
        <f t="shared" si="5"/>
        <v>2025000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3857862.8770670295</v>
      </c>
      <c r="R14" s="13">
        <f t="shared" si="8"/>
        <v>1080509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50514.11</v>
      </c>
      <c r="E15" s="4">
        <f>'Interval Circuities'!G15</f>
        <v>1.2042531320189953</v>
      </c>
      <c r="F15" s="4">
        <f t="shared" si="0"/>
        <v>41.946421941465388</v>
      </c>
      <c r="G15" s="4">
        <f t="shared" si="1"/>
        <v>41.946421941465388</v>
      </c>
      <c r="H15" s="4">
        <f t="shared" si="2"/>
        <v>5527.6395426672998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6818312.4620583113</v>
      </c>
      <c r="M15" s="22">
        <f t="shared" si="5"/>
        <v>4030000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3304712.54246643</v>
      </c>
      <c r="R15" s="13">
        <f t="shared" si="8"/>
        <v>1953268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56839.145642340365</v>
      </c>
      <c r="E16" s="4">
        <f>'Interval Circuities'!G16</f>
        <v>1.2399504797661269</v>
      </c>
      <c r="F16" s="4">
        <f t="shared" si="0"/>
        <v>45.839851324595699</v>
      </c>
      <c r="G16" s="4">
        <f t="shared" si="1"/>
        <v>45.839851324595699</v>
      </c>
      <c r="H16" s="4">
        <f t="shared" si="2"/>
        <v>6601.4034143060253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5496678.478007026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5258637.6361711714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54516.03</v>
      </c>
      <c r="E17" s="4">
        <f>'Interval Circuities'!G17</f>
        <v>1.3027672864567084</v>
      </c>
      <c r="F17" s="4">
        <f t="shared" si="0"/>
        <v>41.846330167127356</v>
      </c>
      <c r="G17" s="4">
        <f t="shared" si="1"/>
        <v>41.846330167127356</v>
      </c>
      <c r="H17" s="4">
        <f t="shared" si="2"/>
        <v>5501.2911142984321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6128629.392315466</v>
      </c>
      <c r="M17" s="22">
        <f t="shared" si="5"/>
        <v>1520000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2312888.2847575592</v>
      </c>
      <c r="R17" s="13">
        <f t="shared" si="8"/>
        <v>573634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68568.569999999992</v>
      </c>
      <c r="E18" s="4">
        <f>'Interval Circuities'!G18</f>
        <v>1.2235905996964451</v>
      </c>
      <c r="F18" s="4">
        <f t="shared" si="0"/>
        <v>56.03881724574449</v>
      </c>
      <c r="G18" s="4">
        <f t="shared" si="1"/>
        <v>56.03881724574449</v>
      </c>
      <c r="H18" s="4">
        <f t="shared" si="2"/>
        <v>9865.697468437178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7060889.0277417377</v>
      </c>
      <c r="M18" s="22">
        <f t="shared" si="5"/>
        <v>870000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4609226.6178438114</v>
      </c>
      <c r="R18" s="13">
        <f t="shared" si="8"/>
        <v>567921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58403.202946946949</v>
      </c>
      <c r="E19" s="4">
        <f>'Interval Circuities'!G19</f>
        <v>1.4504032271365455</v>
      </c>
      <c r="F19" s="4">
        <f t="shared" si="0"/>
        <v>40.266873276508981</v>
      </c>
      <c r="G19" s="4">
        <f t="shared" si="1"/>
        <v>40.266873276508981</v>
      </c>
      <c r="H19" s="4">
        <f t="shared" si="2"/>
        <v>5093.8445641937496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8932542.9160323795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4089330.9077352174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53767.299999999996</v>
      </c>
      <c r="E20" s="4">
        <f>'Interval Circuities'!G20</f>
        <v>1.2697550623600664</v>
      </c>
      <c r="F20" s="4">
        <f t="shared" si="0"/>
        <v>42.34462345837305</v>
      </c>
      <c r="G20" s="4">
        <f t="shared" si="1"/>
        <v>42.34462345837305</v>
      </c>
      <c r="H20" s="4">
        <f t="shared" si="2"/>
        <v>5633.0865413212096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6095321.2268171757</v>
      </c>
      <c r="M20" s="22">
        <f t="shared" si="5"/>
        <v>3630000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3141323.7037754925</v>
      </c>
      <c r="R20" s="13">
        <f t="shared" si="8"/>
        <v>1870780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53336.19</v>
      </c>
      <c r="E21" s="4">
        <f>'Interval Circuities'!G21</f>
        <v>1.2090913485990811</v>
      </c>
      <c r="F21" s="4">
        <f t="shared" si="0"/>
        <v>44.112622310794144</v>
      </c>
      <c r="G21" s="4">
        <f t="shared" si="1"/>
        <v>44.112622310794144</v>
      </c>
      <c r="H21" s="4">
        <f t="shared" si="2"/>
        <v>6113.2988059667305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4396958.4534488916</v>
      </c>
      <c r="M21" s="22">
        <f t="shared" si="5"/>
        <v>1030000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3472593.9886745661</v>
      </c>
      <c r="R21" s="13">
        <f t="shared" si="8"/>
        <v>813465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57819.75</v>
      </c>
      <c r="E22" s="4">
        <f>'Interval Circuities'!G22</f>
        <v>1.3357289838271622</v>
      </c>
      <c r="F22" s="4">
        <f t="shared" si="0"/>
        <v>43.2870370412518</v>
      </c>
      <c r="G22" s="4">
        <f t="shared" si="1"/>
        <v>43.2870370412518</v>
      </c>
      <c r="H22" s="4">
        <f t="shared" si="2"/>
        <v>5886.6144507016679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8443320.301370373</v>
      </c>
      <c r="M22" s="22">
        <f t="shared" si="5"/>
        <v>1630000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4545381.1950006112</v>
      </c>
      <c r="R22" s="13">
        <f t="shared" si="8"/>
        <v>877495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54397.9</v>
      </c>
      <c r="E23" s="4">
        <f>'Interval Circuities'!G23</f>
        <v>1.3149776646779339</v>
      </c>
      <c r="F23" s="4">
        <f t="shared" si="0"/>
        <v>41.36792697032098</v>
      </c>
      <c r="G23" s="4">
        <f t="shared" si="1"/>
        <v>41.36792697032098</v>
      </c>
      <c r="H23" s="4">
        <f t="shared" si="2"/>
        <v>5376.2244155800745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4500279.8227267014</v>
      </c>
      <c r="M23" s="22">
        <f t="shared" si="5"/>
        <v>890000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2514200.1505795685</v>
      </c>
      <c r="R23" s="13">
        <f t="shared" si="8"/>
        <v>497222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63341.06</v>
      </c>
      <c r="E24" s="4">
        <f>'Interval Circuities'!G24</f>
        <v>1.2505370553354251</v>
      </c>
      <c r="F24" s="4">
        <f t="shared" si="0"/>
        <v>50.651086051192905</v>
      </c>
      <c r="G24" s="4">
        <f t="shared" si="1"/>
        <v>50.651086051192905</v>
      </c>
      <c r="H24" s="4">
        <f t="shared" si="2"/>
        <v>8059.8581116139812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7587931.1381398644</v>
      </c>
      <c r="M24" s="22">
        <f t="shared" si="5"/>
        <v>1425000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4746647.6292712511</v>
      </c>
      <c r="R24" s="13">
        <f t="shared" si="8"/>
        <v>891412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50764.740000000005</v>
      </c>
      <c r="E25" s="4">
        <f>'Interval Circuities'!G25</f>
        <v>1.3388863814804914</v>
      </c>
      <c r="F25" s="4">
        <f t="shared" si="0"/>
        <v>37.91564445062636</v>
      </c>
      <c r="G25" s="4">
        <f t="shared" si="1"/>
        <v>37.91564445062636</v>
      </c>
      <c r="H25" s="4">
        <f t="shared" si="2"/>
        <v>4516.3413280737759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7928776.070449125</v>
      </c>
      <c r="M25" s="22">
        <f t="shared" si="5"/>
        <v>1300000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4219786.1105707614</v>
      </c>
      <c r="R25" s="13">
        <f t="shared" si="8"/>
        <v>691875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47966.559999999998</v>
      </c>
      <c r="E26" s="4">
        <f>'Interval Circuities'!G26</f>
        <v>1.2308234563011322</v>
      </c>
      <c r="F26" s="4">
        <f t="shared" si="0"/>
        <v>38.971113001168334</v>
      </c>
      <c r="G26" s="4">
        <f t="shared" si="1"/>
        <v>38.971113001168334</v>
      </c>
      <c r="H26" s="4">
        <f t="shared" si="2"/>
        <v>4771.2864553409245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13750804.316851052</v>
      </c>
      <c r="M26" s="22">
        <f t="shared" si="5"/>
        <v>12450000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5852471.5416779174</v>
      </c>
      <c r="R26" s="13">
        <f t="shared" si="8"/>
        <v>5298837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57963.75</v>
      </c>
      <c r="E27" s="4">
        <f>'Interval Circuities'!G27</f>
        <v>1.296112586143717</v>
      </c>
      <c r="F27" s="4">
        <f t="shared" si="0"/>
        <v>44.721230716891434</v>
      </c>
      <c r="G27" s="4">
        <f t="shared" si="1"/>
        <v>44.721230716891434</v>
      </c>
      <c r="H27" s="4">
        <f t="shared" si="2"/>
        <v>6283.1491060841563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5331768.5443522865</v>
      </c>
      <c r="M27" s="22">
        <f t="shared" si="5"/>
        <v>860000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3199222.3196138758</v>
      </c>
      <c r="R27" s="13">
        <f t="shared" si="8"/>
        <v>516026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57321.39</v>
      </c>
      <c r="E28" s="4">
        <f>'Interval Circuities'!G28</f>
        <v>1.2742871207174382</v>
      </c>
      <c r="F28" s="4">
        <f t="shared" si="0"/>
        <v>44.983103939501014</v>
      </c>
      <c r="G28" s="4">
        <f t="shared" si="1"/>
        <v>44.983103939501014</v>
      </c>
      <c r="H28" s="4">
        <f t="shared" si="2"/>
        <v>6356.9487718128985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6016102.5760395825</v>
      </c>
      <c r="M28" s="22">
        <f t="shared" si="5"/>
        <v>980000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3299439.3746262142</v>
      </c>
      <c r="R28" s="13">
        <f t="shared" si="8"/>
        <v>537466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57256.28</v>
      </c>
      <c r="E29" s="4">
        <f>'Interval Circuities'!G29</f>
        <v>1.1797064153855987</v>
      </c>
      <c r="F29" s="4">
        <f t="shared" si="0"/>
        <v>48.53434655713491</v>
      </c>
      <c r="G29" s="4">
        <f t="shared" si="1"/>
        <v>48.53434655713491</v>
      </c>
      <c r="H29" s="4">
        <f t="shared" si="2"/>
        <v>7400.2816059818224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8213140.985763358</v>
      </c>
      <c r="M29" s="22">
        <f t="shared" si="5"/>
        <v>1400000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4585654.7396398066</v>
      </c>
      <c r="R29" s="13">
        <f t="shared" si="8"/>
        <v>781664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55302.65</v>
      </c>
      <c r="E30" s="4">
        <f>'Interval Circuities'!G30</f>
        <v>1.2276081587009786</v>
      </c>
      <c r="F30" s="4">
        <f t="shared" si="0"/>
        <v>45.049105944782703</v>
      </c>
      <c r="G30" s="4">
        <f t="shared" si="1"/>
        <v>45.049105944782703</v>
      </c>
      <c r="H30" s="4">
        <f t="shared" si="2"/>
        <v>6375.6170779203421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6689397.8464231184</v>
      </c>
      <c r="M30" s="22">
        <f t="shared" si="5"/>
        <v>2430000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4521256.6436912091</v>
      </c>
      <c r="R30" s="13">
        <f t="shared" si="8"/>
        <v>1642398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60804.58</v>
      </c>
      <c r="E31" s="4">
        <f>'Interval Circuities'!G31</f>
        <v>1.3252661972176361</v>
      </c>
      <c r="F31" s="4">
        <f t="shared" si="0"/>
        <v>45.881031394038217</v>
      </c>
      <c r="G31" s="4">
        <f t="shared" si="1"/>
        <v>45.881031394038217</v>
      </c>
      <c r="H31" s="4">
        <f t="shared" si="2"/>
        <v>6613.2694369576166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5038395.3784695966</v>
      </c>
      <c r="M31" s="22">
        <f t="shared" si="5"/>
        <v>850000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3762626.2484492972</v>
      </c>
      <c r="R31" s="13">
        <f t="shared" si="8"/>
        <v>634772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56712.07</v>
      </c>
      <c r="E32" s="4">
        <f>'Interval Circuities'!G32</f>
        <v>1.3006707215343141</v>
      </c>
      <c r="F32" s="4">
        <f t="shared" si="0"/>
        <v>43.602173141177936</v>
      </c>
      <c r="G32" s="4">
        <f t="shared" si="1"/>
        <v>43.602173141177936</v>
      </c>
      <c r="H32" s="4">
        <f t="shared" si="2"/>
        <v>5972.6373108485341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12763722.857454741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6309731.8241228685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51868.7</v>
      </c>
      <c r="E33" s="4">
        <f>'Interval Circuities'!G33</f>
        <v>1.2267129939635493</v>
      </c>
      <c r="F33" s="4">
        <f t="shared" si="0"/>
        <v>42.282669422462504</v>
      </c>
      <c r="G33" s="4">
        <f t="shared" si="1"/>
        <v>42.282669422462504</v>
      </c>
      <c r="H33" s="4">
        <f t="shared" si="2"/>
        <v>5616.6151636803515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11125592.451974705</v>
      </c>
      <c r="M33" s="22">
        <f t="shared" si="5"/>
        <v>11125592.451974705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5100016.8585591372</v>
      </c>
      <c r="R33" s="13">
        <f t="shared" si="8"/>
        <v>5100016.8585591372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59517.719999999994</v>
      </c>
      <c r="E34" s="4">
        <f>'Interval Circuities'!G34</f>
        <v>1.2533188324747175</v>
      </c>
      <c r="F34" s="4">
        <f t="shared" si="0"/>
        <v>47.488091982532794</v>
      </c>
      <c r="G34" s="4">
        <f t="shared" si="1"/>
        <v>47.488091982532794</v>
      </c>
      <c r="H34" s="4">
        <f t="shared" si="2"/>
        <v>7084.6649068241632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6873470.7711949237</v>
      </c>
      <c r="M34" s="22">
        <f t="shared" si="5"/>
        <v>810000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3745753.0542441704</v>
      </c>
      <c r="R34" s="13">
        <f t="shared" si="8"/>
        <v>441416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45740.69</v>
      </c>
      <c r="E35" s="4">
        <f>'Interval Circuities'!G35</f>
        <v>1.2777769397089942</v>
      </c>
      <c r="F35" s="4">
        <f t="shared" ref="F35:F53" si="10">B35/E35</f>
        <v>35.79708521771974</v>
      </c>
      <c r="G35" s="4">
        <f t="shared" ref="G35:G53" si="11">F35*$A$1</f>
        <v>35.79708521771974</v>
      </c>
      <c r="H35" s="4">
        <f t="shared" ref="H35:H53" si="12">PI()*G35^2</f>
        <v>4025.7351898420034</v>
      </c>
      <c r="I35" s="4">
        <f t="shared" ref="I35:I53" si="13">K35/J35</f>
        <v>1047.9139885488814</v>
      </c>
      <c r="J35" s="9">
        <f>'2000-10'!J35</f>
        <v>1173.7604550000001</v>
      </c>
      <c r="K35" s="9">
        <f>'2000-10'!K35</f>
        <v>1230000</v>
      </c>
      <c r="L35" s="22">
        <f t="shared" ref="L35:L53" si="14">H35*I35</f>
        <v>4218624.2196289217</v>
      </c>
      <c r="M35" s="22">
        <f t="shared" ref="M35:M53" si="15">MIN(K35,L35)</f>
        <v>1230000</v>
      </c>
      <c r="N35" s="19" t="s">
        <v>92</v>
      </c>
      <c r="O35" s="4">
        <f t="shared" ref="O35:O53" si="16">P35/J35</f>
        <v>697.01274780125379</v>
      </c>
      <c r="P35" s="13">
        <f>'2000-10'!P35</f>
        <v>818126</v>
      </c>
      <c r="Q35" s="22">
        <f t="shared" ref="Q35:Q53" si="17">H35*O35</f>
        <v>2805988.7465919768</v>
      </c>
      <c r="R35" s="13">
        <f t="shared" ref="R35:R53" si="18">MIN(Q35,P35)</f>
        <v>818126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52865.88</v>
      </c>
      <c r="E36" s="4">
        <f>'Interval Circuities'!G36</f>
        <v>1.1821917542948417</v>
      </c>
      <c r="F36" s="4">
        <f t="shared" si="10"/>
        <v>44.718532173770441</v>
      </c>
      <c r="G36" s="4">
        <f t="shared" si="11"/>
        <v>44.718532173770441</v>
      </c>
      <c r="H36" s="4">
        <f t="shared" si="12"/>
        <v>6282.3908605273327</v>
      </c>
      <c r="I36" s="4">
        <f t="shared" si="1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14"/>
        <v>6908219.5618828647</v>
      </c>
      <c r="M36" s="22">
        <f t="shared" si="15"/>
        <v>5125000</v>
      </c>
      <c r="N36" s="19" t="s">
        <v>92</v>
      </c>
      <c r="O36" s="4">
        <f t="shared" si="16"/>
        <v>547.27078534034638</v>
      </c>
      <c r="P36" s="13">
        <f>'2000-10'!P36</f>
        <v>2550674</v>
      </c>
      <c r="Q36" s="22">
        <f t="shared" si="17"/>
        <v>3438168.9800558081</v>
      </c>
      <c r="R36" s="13">
        <f t="shared" si="18"/>
        <v>2550674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52442.65</v>
      </c>
      <c r="E37" s="4">
        <f>'Interval Circuities'!G37</f>
        <v>1.3048098988433554</v>
      </c>
      <c r="F37" s="4">
        <f t="shared" si="10"/>
        <v>40.191793491517515</v>
      </c>
      <c r="G37" s="4">
        <f t="shared" si="11"/>
        <v>40.191793491517515</v>
      </c>
      <c r="H37" s="4">
        <f t="shared" si="12"/>
        <v>5074.8667703398833</v>
      </c>
      <c r="I37" s="4">
        <f t="shared" si="13"/>
        <v>1401.3597327768193</v>
      </c>
      <c r="J37" s="9">
        <f>'2000-10'!J37</f>
        <v>2069.418674</v>
      </c>
      <c r="K37" s="9">
        <f>'2000-10'!K37</f>
        <v>2900000</v>
      </c>
      <c r="L37" s="22">
        <f t="shared" si="14"/>
        <v>7111713.9411614593</v>
      </c>
      <c r="M37" s="22">
        <f t="shared" si="15"/>
        <v>2900000</v>
      </c>
      <c r="N37" s="19" t="s">
        <v>92</v>
      </c>
      <c r="O37" s="4">
        <f t="shared" si="16"/>
        <v>677.88602549355369</v>
      </c>
      <c r="P37" s="13">
        <f>'2000-10'!P37</f>
        <v>1402830</v>
      </c>
      <c r="Q37" s="22">
        <f t="shared" si="17"/>
        <v>3440181.2648550104</v>
      </c>
      <c r="R37" s="13">
        <f t="shared" si="18"/>
        <v>1402830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58551.13</v>
      </c>
      <c r="E38" s="4">
        <f>'Interval Circuities'!G38</f>
        <v>1.2524970796019175</v>
      </c>
      <c r="F38" s="4">
        <f t="shared" si="10"/>
        <v>46.747518180728513</v>
      </c>
      <c r="G38" s="4">
        <f t="shared" si="11"/>
        <v>46.747518180728513</v>
      </c>
      <c r="H38" s="4">
        <f t="shared" si="12"/>
        <v>6865.4181064164095</v>
      </c>
      <c r="I38" s="4">
        <f t="shared" si="1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14"/>
        <v>5488735.6781920828</v>
      </c>
      <c r="M38" s="22">
        <f t="shared" si="15"/>
        <v>1765000</v>
      </c>
      <c r="N38" s="19" t="s">
        <v>92</v>
      </c>
      <c r="O38" s="4">
        <f t="shared" si="16"/>
        <v>470.46365508810919</v>
      </c>
      <c r="P38" s="13">
        <f>'2000-10'!P38</f>
        <v>1038641</v>
      </c>
      <c r="Q38" s="22">
        <f t="shared" si="17"/>
        <v>3229929.6960527492</v>
      </c>
      <c r="R38" s="13">
        <f t="shared" si="18"/>
        <v>1038641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53087.95</v>
      </c>
      <c r="E39" s="4">
        <f>'Interval Circuities'!G39</f>
        <v>1.4225778372422739</v>
      </c>
      <c r="F39" s="4">
        <f t="shared" si="10"/>
        <v>37.318133750004982</v>
      </c>
      <c r="G39" s="4">
        <f t="shared" si="11"/>
        <v>37.318133750004982</v>
      </c>
      <c r="H39" s="4">
        <f t="shared" si="12"/>
        <v>4375.1173527144401</v>
      </c>
      <c r="I39" s="4">
        <f t="shared" si="1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14"/>
        <v>5667110.5012124237</v>
      </c>
      <c r="M39" s="22">
        <f t="shared" si="15"/>
        <v>1590000</v>
      </c>
      <c r="N39" s="19" t="s">
        <v>92</v>
      </c>
      <c r="O39" s="4">
        <f t="shared" si="16"/>
        <v>714.74674387135121</v>
      </c>
      <c r="P39" s="13">
        <f>'2000-10'!P39</f>
        <v>877359</v>
      </c>
      <c r="Q39" s="22">
        <f t="shared" si="17"/>
        <v>3127100.8819076922</v>
      </c>
      <c r="R39" s="13">
        <f t="shared" si="18"/>
        <v>877359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62482.400000000001</v>
      </c>
      <c r="E40" s="4">
        <f>'Interval Circuities'!G40</f>
        <v>1.2268427061874936</v>
      </c>
      <c r="F40" s="4">
        <f t="shared" si="10"/>
        <v>50.929430223511517</v>
      </c>
      <c r="G40" s="4">
        <f t="shared" si="11"/>
        <v>50.929430223511517</v>
      </c>
      <c r="H40" s="4">
        <f t="shared" si="12"/>
        <v>8148.6845852908136</v>
      </c>
      <c r="I40" s="4">
        <f t="shared" si="1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14"/>
        <v>7558953.3952795919</v>
      </c>
      <c r="M40" s="22">
        <f t="shared" si="15"/>
        <v>1210000</v>
      </c>
      <c r="N40" s="19" t="s">
        <v>92</v>
      </c>
      <c r="O40" s="4">
        <f t="shared" si="16"/>
        <v>482.44740198664414</v>
      </c>
      <c r="P40" s="13">
        <f>'2000-10'!P40</f>
        <v>629305</v>
      </c>
      <c r="Q40" s="22">
        <f t="shared" si="17"/>
        <v>3931311.7077821679</v>
      </c>
      <c r="R40" s="13">
        <f t="shared" si="18"/>
        <v>629305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61628.950000000004</v>
      </c>
      <c r="E41" s="4">
        <f>'Interval Circuities'!G41</f>
        <v>1.2062063895874686</v>
      </c>
      <c r="F41" s="4">
        <f t="shared" si="10"/>
        <v>51.09320472185324</v>
      </c>
      <c r="G41" s="4">
        <f t="shared" si="11"/>
        <v>51.09320472185324</v>
      </c>
      <c r="H41" s="4">
        <f t="shared" si="12"/>
        <v>8201.1765328642869</v>
      </c>
      <c r="I41" s="4">
        <f t="shared" si="1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14"/>
        <v>7826751.573606479</v>
      </c>
      <c r="M41" s="22">
        <f t="shared" si="15"/>
        <v>790000</v>
      </c>
      <c r="N41" s="19" t="s">
        <v>92</v>
      </c>
      <c r="O41" s="4">
        <f t="shared" si="16"/>
        <v>742.45018600123069</v>
      </c>
      <c r="P41" s="13">
        <f>'2000-10'!P41</f>
        <v>614595</v>
      </c>
      <c r="Q41" s="22">
        <f t="shared" si="17"/>
        <v>6088965.0422540177</v>
      </c>
      <c r="R41" s="13">
        <f t="shared" si="18"/>
        <v>614595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62089.397559255027</v>
      </c>
      <c r="E42" s="4">
        <f>'Interval Circuities'!G42</f>
        <v>1.1924475099044769</v>
      </c>
      <c r="F42" s="4">
        <f t="shared" si="10"/>
        <v>52.068872670318889</v>
      </c>
      <c r="G42" s="4">
        <f t="shared" si="11"/>
        <v>52.068872670318889</v>
      </c>
      <c r="H42" s="4">
        <f t="shared" si="12"/>
        <v>8517.3839042889977</v>
      </c>
      <c r="I42" s="4">
        <f t="shared" si="1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14"/>
        <v>7409388.8824027842</v>
      </c>
      <c r="M42" s="22">
        <f t="shared" si="15"/>
        <v>665000</v>
      </c>
      <c r="N42" s="19" t="s">
        <v>92</v>
      </c>
      <c r="O42" s="4">
        <f t="shared" si="16"/>
        <v>595.44480330121178</v>
      </c>
      <c r="P42" s="13">
        <f>'2000-10'!P42</f>
        <v>455184</v>
      </c>
      <c r="Q42" s="22">
        <f t="shared" si="17"/>
        <v>5071631.983530269</v>
      </c>
      <c r="R42" s="13">
        <f t="shared" si="1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53297.409999999996</v>
      </c>
      <c r="E43" s="4">
        <f>'Interval Circuities'!G43</f>
        <v>1.4590868581547622</v>
      </c>
      <c r="F43" s="4">
        <f t="shared" si="10"/>
        <v>36.527921351716302</v>
      </c>
      <c r="G43" s="4">
        <f t="shared" si="11"/>
        <v>36.527921351716302</v>
      </c>
      <c r="H43" s="4">
        <f t="shared" si="12"/>
        <v>4191.792640416953</v>
      </c>
      <c r="I43" s="4">
        <f t="shared" si="1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14"/>
        <v>6446991.8733692281</v>
      </c>
      <c r="M43" s="22">
        <f t="shared" si="15"/>
        <v>1470000</v>
      </c>
      <c r="N43" s="19" t="s">
        <v>92</v>
      </c>
      <c r="O43" s="4">
        <f t="shared" si="16"/>
        <v>612.25827963614597</v>
      </c>
      <c r="P43" s="13">
        <f>'2000-10'!P43</f>
        <v>585187</v>
      </c>
      <c r="Q43" s="22">
        <f t="shared" si="17"/>
        <v>2566459.7506131413</v>
      </c>
      <c r="R43" s="13">
        <f t="shared" si="18"/>
        <v>585187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52234.18</v>
      </c>
      <c r="E44" s="4">
        <f>'Interval Circuities'!G44</f>
        <v>1.4326770952358594</v>
      </c>
      <c r="F44" s="4">
        <f t="shared" si="10"/>
        <v>36.459143636550408</v>
      </c>
      <c r="G44" s="4">
        <f t="shared" si="11"/>
        <v>36.459143636550408</v>
      </c>
      <c r="H44" s="4">
        <f t="shared" si="12"/>
        <v>4176.0222110823797</v>
      </c>
      <c r="I44" s="4">
        <f t="shared" si="1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14"/>
        <v>6429315.8841713537</v>
      </c>
      <c r="M44" s="22">
        <f t="shared" si="15"/>
        <v>920000</v>
      </c>
      <c r="N44" s="19" t="s">
        <v>92</v>
      </c>
      <c r="O44" s="4">
        <f t="shared" si="16"/>
        <v>1022.9581711561229</v>
      </c>
      <c r="P44" s="13">
        <f>'2000-10'!P44</f>
        <v>611285</v>
      </c>
      <c r="Q44" s="22">
        <f t="shared" si="17"/>
        <v>4271896.0437561804</v>
      </c>
      <c r="R44" s="13">
        <f t="shared" si="18"/>
        <v>611285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59606.239999999998</v>
      </c>
      <c r="E45" s="4">
        <f>'Interval Circuities'!G45</f>
        <v>1.2985411671488387</v>
      </c>
      <c r="F45" s="4">
        <f t="shared" si="10"/>
        <v>45.90246463335108</v>
      </c>
      <c r="G45" s="4">
        <f t="shared" si="11"/>
        <v>45.90246463335108</v>
      </c>
      <c r="H45" s="4">
        <f t="shared" si="12"/>
        <v>6619.4496334287696</v>
      </c>
      <c r="I45" s="4">
        <f t="shared" si="1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14"/>
        <v>7901398.096204076</v>
      </c>
      <c r="M45" s="22">
        <f t="shared" si="15"/>
        <v>1260000</v>
      </c>
      <c r="N45" s="19" t="s">
        <v>92</v>
      </c>
      <c r="O45" s="4">
        <f t="shared" si="16"/>
        <v>601.99786445569703</v>
      </c>
      <c r="P45" s="13">
        <f>'2000-10'!P45</f>
        <v>635453</v>
      </c>
      <c r="Q45" s="22">
        <f t="shared" si="17"/>
        <v>3984894.5431961659</v>
      </c>
      <c r="R45" s="13">
        <f t="shared" si="18"/>
        <v>635453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53169.829999999994</v>
      </c>
      <c r="E46" s="4">
        <f>'Interval Circuities'!G46</f>
        <v>1.3877001661275203</v>
      </c>
      <c r="F46" s="4">
        <f t="shared" si="10"/>
        <v>38.315070717599127</v>
      </c>
      <c r="G46" s="4">
        <f t="shared" si="11"/>
        <v>38.315070717599127</v>
      </c>
      <c r="H46" s="4">
        <f t="shared" si="12"/>
        <v>4611.9982690295074</v>
      </c>
      <c r="I46" s="4">
        <f t="shared" si="13"/>
        <v>1372.086028348845</v>
      </c>
      <c r="J46" s="9">
        <f>'2000-10'!J46</f>
        <v>2026.112024</v>
      </c>
      <c r="K46" s="9">
        <f>'2000-10'!K46</f>
        <v>2780000</v>
      </c>
      <c r="L46" s="22">
        <f t="shared" si="14"/>
        <v>6328058.387704445</v>
      </c>
      <c r="M46" s="22">
        <f t="shared" si="15"/>
        <v>2780000</v>
      </c>
      <c r="N46" s="19" t="s">
        <v>92</v>
      </c>
      <c r="O46" s="4">
        <f t="shared" si="16"/>
        <v>533.91026122255516</v>
      </c>
      <c r="P46" s="13">
        <f>'2000-10'!P46</f>
        <v>1081762</v>
      </c>
      <c r="Q46" s="22">
        <f t="shared" si="17"/>
        <v>2462393.2005755166</v>
      </c>
      <c r="R46" s="13">
        <f t="shared" si="18"/>
        <v>1081762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53325.21</v>
      </c>
      <c r="E47" s="4">
        <f>'Interval Circuities'!G47</f>
        <v>1.3646077790643381</v>
      </c>
      <c r="F47" s="4">
        <f t="shared" si="10"/>
        <v>39.077316440745456</v>
      </c>
      <c r="G47" s="4">
        <f t="shared" si="11"/>
        <v>39.077316440745456</v>
      </c>
      <c r="H47" s="4">
        <f t="shared" si="12"/>
        <v>4797.3271534785163</v>
      </c>
      <c r="I47" s="4">
        <f t="shared" si="13"/>
        <v>3692.1786197984002</v>
      </c>
      <c r="J47" s="9">
        <f>'2000-10'!J47</f>
        <v>1107.747057</v>
      </c>
      <c r="K47" s="9">
        <f>'2000-10'!K47</f>
        <v>4090000</v>
      </c>
      <c r="L47" s="22">
        <f t="shared" si="14"/>
        <v>17712588.748251695</v>
      </c>
      <c r="M47" s="22">
        <f t="shared" si="15"/>
        <v>4090000</v>
      </c>
      <c r="N47" s="19" t="s">
        <v>92</v>
      </c>
      <c r="O47" s="4">
        <f t="shared" si="16"/>
        <v>1849.2479732221034</v>
      </c>
      <c r="P47" s="13">
        <f>'2000-10'!P47</f>
        <v>2048499</v>
      </c>
      <c r="Q47" s="22">
        <f t="shared" si="17"/>
        <v>8871447.5154535081</v>
      </c>
      <c r="R47" s="13">
        <f t="shared" si="18"/>
        <v>2048499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50663.89</v>
      </c>
      <c r="E48" s="4">
        <f>'Interval Circuities'!G48</f>
        <v>1.4170743509548436</v>
      </c>
      <c r="F48" s="4">
        <f t="shared" si="10"/>
        <v>35.752457142324253</v>
      </c>
      <c r="G48" s="4">
        <f t="shared" si="11"/>
        <v>35.752457142324253</v>
      </c>
      <c r="H48" s="4">
        <f t="shared" si="12"/>
        <v>4015.7037126257637</v>
      </c>
      <c r="I48" s="4">
        <f t="shared" si="1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14"/>
        <v>9984364.4856186155</v>
      </c>
      <c r="M48" s="22">
        <f t="shared" si="15"/>
        <v>1675000</v>
      </c>
      <c r="N48" s="19" t="s">
        <v>92</v>
      </c>
      <c r="O48" s="4">
        <f t="shared" si="16"/>
        <v>1548.2013042170763</v>
      </c>
      <c r="P48" s="13">
        <f>'2000-10'!P48</f>
        <v>1042998</v>
      </c>
      <c r="Q48" s="22">
        <f t="shared" si="17"/>
        <v>6217117.725236563</v>
      </c>
      <c r="R48" s="13">
        <f t="shared" si="18"/>
        <v>1042998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58186.65</v>
      </c>
      <c r="E49" s="4">
        <f>'Interval Circuities'!G49</f>
        <v>1.3860933513733014</v>
      </c>
      <c r="F49" s="4">
        <f t="shared" si="10"/>
        <v>41.978882549541375</v>
      </c>
      <c r="G49" s="4">
        <f t="shared" si="11"/>
        <v>41.978882549541375</v>
      </c>
      <c r="H49" s="4">
        <f t="shared" si="12"/>
        <v>5536.198078028553</v>
      </c>
      <c r="I49" s="4">
        <f t="shared" si="1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14"/>
        <v>6141665.0811881702</v>
      </c>
      <c r="M49" s="22">
        <f t="shared" si="15"/>
        <v>2740000</v>
      </c>
      <c r="N49" s="19" t="s">
        <v>92</v>
      </c>
      <c r="O49" s="4">
        <f t="shared" si="16"/>
        <v>599.91348482451292</v>
      </c>
      <c r="P49" s="13">
        <f>'2000-10'!P49</f>
        <v>1481715</v>
      </c>
      <c r="Q49" s="22">
        <f t="shared" si="17"/>
        <v>3321239.8816688801</v>
      </c>
      <c r="R49" s="13">
        <f t="shared" si="18"/>
        <v>1481715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59829.090000000004</v>
      </c>
      <c r="E50" s="4">
        <f>'Interval Circuities'!G50</f>
        <v>1.230661832206752</v>
      </c>
      <c r="F50" s="4">
        <f t="shared" si="10"/>
        <v>48.615377867629093</v>
      </c>
      <c r="G50" s="4">
        <f t="shared" si="11"/>
        <v>48.615377867629093</v>
      </c>
      <c r="H50" s="4">
        <f t="shared" si="12"/>
        <v>7425.0127558014719</v>
      </c>
      <c r="I50" s="4">
        <f t="shared" si="1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14"/>
        <v>12753170.735143155</v>
      </c>
      <c r="M50" s="22">
        <f t="shared" si="15"/>
        <v>4965000</v>
      </c>
      <c r="N50" s="19" t="s">
        <v>92</v>
      </c>
      <c r="O50" s="4">
        <f t="shared" si="16"/>
        <v>514.0451157391708</v>
      </c>
      <c r="P50" s="13">
        <f>'2000-10'!P50</f>
        <v>1485934</v>
      </c>
      <c r="Q50" s="22">
        <f t="shared" si="17"/>
        <v>3816791.5414207871</v>
      </c>
      <c r="R50" s="13">
        <f t="shared" si="18"/>
        <v>1485934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56502.479999999996</v>
      </c>
      <c r="E51" s="4">
        <f>'Interval Circuities'!G51</f>
        <v>1.3131610835082415</v>
      </c>
      <c r="F51" s="4">
        <f t="shared" si="10"/>
        <v>43.027836195882351</v>
      </c>
      <c r="G51" s="4">
        <f t="shared" si="11"/>
        <v>43.027836195882351</v>
      </c>
      <c r="H51" s="4">
        <f t="shared" si="12"/>
        <v>5816.3279497724943</v>
      </c>
      <c r="I51" s="4">
        <f t="shared" si="1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14"/>
        <v>5567162.6086291932</v>
      </c>
      <c r="M51" s="22">
        <f t="shared" si="15"/>
        <v>2055000</v>
      </c>
      <c r="N51" s="19" t="s">
        <v>92</v>
      </c>
      <c r="O51" s="4">
        <f t="shared" si="16"/>
        <v>568.5308450770176</v>
      </c>
      <c r="P51" s="13">
        <f>'2000-10'!P51</f>
        <v>1220621</v>
      </c>
      <c r="Q51" s="22">
        <f t="shared" si="17"/>
        <v>3306761.8445292334</v>
      </c>
      <c r="R51" s="13">
        <f t="shared" si="18"/>
        <v>1220621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47580.840000000004</v>
      </c>
      <c r="E52" s="4">
        <f>'Interval Circuities'!G52</f>
        <v>1.2530147875169688</v>
      </c>
      <c r="F52" s="4">
        <f t="shared" si="10"/>
        <v>37.973087368177325</v>
      </c>
      <c r="G52" s="4">
        <f t="shared" si="11"/>
        <v>37.973087368177325</v>
      </c>
      <c r="H52" s="4">
        <f t="shared" si="12"/>
        <v>4530.0363791988848</v>
      </c>
      <c r="I52" s="4">
        <f t="shared" si="13"/>
        <v>962.52206654026702</v>
      </c>
      <c r="J52" s="9">
        <f>'2000-10'!J52</f>
        <v>2077.87444</v>
      </c>
      <c r="K52" s="9">
        <f>'2000-10'!K52</f>
        <v>2000000</v>
      </c>
      <c r="L52" s="22">
        <f t="shared" si="14"/>
        <v>4360259.9772090996</v>
      </c>
      <c r="M52" s="22">
        <f t="shared" si="15"/>
        <v>2000000</v>
      </c>
      <c r="N52" s="19" t="s">
        <v>92</v>
      </c>
      <c r="O52" s="4">
        <f t="shared" si="16"/>
        <v>501.91290672982143</v>
      </c>
      <c r="P52" s="13">
        <f>'2000-10'!P52</f>
        <v>1042912</v>
      </c>
      <c r="Q52" s="22">
        <f t="shared" si="17"/>
        <v>2273683.7266755477</v>
      </c>
      <c r="R52" s="13">
        <f t="shared" si="18"/>
        <v>1042912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49556.579999999994</v>
      </c>
      <c r="E53" s="4">
        <f>'Interval Circuities'!G53</f>
        <v>1.271343586465266</v>
      </c>
      <c r="F53" s="4">
        <f t="shared" si="10"/>
        <v>38.979690877886782</v>
      </c>
      <c r="G53" s="4">
        <f t="shared" si="11"/>
        <v>38.979690877886782</v>
      </c>
      <c r="H53" s="4">
        <f t="shared" si="12"/>
        <v>4773.3870887638905</v>
      </c>
      <c r="I53" s="4">
        <f t="shared" si="1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14"/>
        <v>6420791.0539152324</v>
      </c>
      <c r="M53" s="22">
        <f t="shared" si="15"/>
        <v>4030000</v>
      </c>
      <c r="N53" s="19" t="s">
        <v>92</v>
      </c>
      <c r="O53" s="4">
        <f t="shared" si="16"/>
        <v>760.55704152110548</v>
      </c>
      <c r="P53" s="13">
        <f>'2000-10'!P53</f>
        <v>2278636</v>
      </c>
      <c r="Q53" s="22">
        <f t="shared" si="17"/>
        <v>3630433.1622653068</v>
      </c>
      <c r="R53" s="13">
        <f t="shared" si="18"/>
        <v>2278636</v>
      </c>
    </row>
    <row r="54" spans="1:18">
      <c r="D54" s="3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33" sqref="E33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7/6</f>
        <v>1.1666666666666667</v>
      </c>
      <c r="B1" s="1" t="s">
        <v>60</v>
      </c>
      <c r="C1" s="1" t="s">
        <v>61</v>
      </c>
      <c r="D1" s="38" t="s">
        <v>160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61036.255000000005</v>
      </c>
      <c r="E3" s="4">
        <f>'Interval Circuities'!H3</f>
        <v>1.2119364714264287</v>
      </c>
      <c r="F3" s="4">
        <f t="shared" ref="F3:F34" si="0">B3/E3</f>
        <v>43.167931020694525</v>
      </c>
      <c r="G3" s="4">
        <f t="shared" ref="G3:G53" si="1">F3*$A$1</f>
        <v>50.362586190810283</v>
      </c>
      <c r="H3" s="4">
        <f t="shared" ref="H3:H53" si="2">PI()*G3^2</f>
        <v>7968.3044665546277</v>
      </c>
      <c r="I3" s="4">
        <f t="shared" ref="I3:I53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53" si="4">H3*I3</f>
        <v>6035336.7421961771</v>
      </c>
      <c r="M3" s="22">
        <f t="shared" ref="M3:M53" si="5">MIN(K3,L3)</f>
        <v>3850000</v>
      </c>
      <c r="N3" s="19" t="s">
        <v>92</v>
      </c>
      <c r="O3" s="4">
        <f t="shared" ref="O3:O53" si="6">P3/J3</f>
        <v>418.87926898310906</v>
      </c>
      <c r="P3" s="13">
        <f>'2000-10'!P3</f>
        <v>2129188</v>
      </c>
      <c r="Q3" s="22">
        <f t="shared" ref="Q3:Q53" si="7">H3*O3</f>
        <v>3337757.5499852453</v>
      </c>
      <c r="R3" s="13">
        <f t="shared" ref="R3:R53" si="8">MIN(Q3,P3)</f>
        <v>2129188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62065.360000000008</v>
      </c>
      <c r="E4" s="4">
        <f>'Interval Circuities'!H4</f>
        <v>1.2859272567065165</v>
      </c>
      <c r="F4" s="4">
        <f t="shared" si="0"/>
        <v>41.370053961101647</v>
      </c>
      <c r="G4" s="4">
        <f t="shared" si="1"/>
        <v>48.265062954618593</v>
      </c>
      <c r="H4" s="4">
        <f t="shared" si="2"/>
        <v>7318.3913008226318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8526855.6033720244</v>
      </c>
      <c r="M4" s="22">
        <f t="shared" si="5"/>
        <v>960000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5155949.7655452173</v>
      </c>
      <c r="R4" s="13">
        <f t="shared" si="8"/>
        <v>580485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67156.366666666669</v>
      </c>
      <c r="E5" s="4">
        <f>'Interval Circuities'!H5</f>
        <v>1.2137406790089036</v>
      </c>
      <c r="F5" s="4">
        <f t="shared" si="0"/>
        <v>47.425781301985793</v>
      </c>
      <c r="G5" s="4">
        <f t="shared" si="1"/>
        <v>55.330078185650095</v>
      </c>
      <c r="H5" s="4">
        <f t="shared" si="2"/>
        <v>9617.7268910287748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12020386.028376156</v>
      </c>
      <c r="M5" s="22">
        <f t="shared" si="5"/>
        <v>2210000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5785471.6254331516</v>
      </c>
      <c r="R5" s="13">
        <f t="shared" si="8"/>
        <v>1063684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70336.023333333345</v>
      </c>
      <c r="E6" s="4">
        <f>'Interval Circuities'!H6</f>
        <v>1.1888351991034369</v>
      </c>
      <c r="F6" s="4">
        <f t="shared" si="0"/>
        <v>50.711839660759004</v>
      </c>
      <c r="G6" s="4">
        <f t="shared" si="1"/>
        <v>59.163812937552173</v>
      </c>
      <c r="H6" s="4">
        <f t="shared" si="2"/>
        <v>10996.695086273807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9635338.8688480183</v>
      </c>
      <c r="M6" s="22">
        <f t="shared" si="5"/>
        <v>3940000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7520775.7154500624</v>
      </c>
      <c r="R6" s="13">
        <f t="shared" si="8"/>
        <v>3075331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70088.06</v>
      </c>
      <c r="E7" s="4">
        <f>'Interval Circuities'!H7</f>
        <v>1.1808396571201218</v>
      </c>
      <c r="F7" s="4">
        <f t="shared" si="0"/>
        <v>50.875222252032458</v>
      </c>
      <c r="G7" s="4">
        <f t="shared" si="1"/>
        <v>59.354425960704539</v>
      </c>
      <c r="H7" s="4">
        <f t="shared" si="2"/>
        <v>11067.667182321264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12993597.830565276</v>
      </c>
      <c r="M7" s="22">
        <f t="shared" si="5"/>
        <v>1115000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5542695.9240881354</v>
      </c>
      <c r="R7" s="13">
        <f t="shared" si="8"/>
        <v>475627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63862.598333333335</v>
      </c>
      <c r="E8" s="4">
        <f>'Interval Circuities'!H8</f>
        <v>1.2247359431640967</v>
      </c>
      <c r="F8" s="4">
        <f t="shared" si="0"/>
        <v>44.694834266545016</v>
      </c>
      <c r="G8" s="4">
        <f t="shared" si="1"/>
        <v>52.143973310969187</v>
      </c>
      <c r="H8" s="4">
        <f t="shared" si="2"/>
        <v>8541.9714268162315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6559569.8843139429</v>
      </c>
      <c r="M8" s="22">
        <f t="shared" si="5"/>
        <v>865000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6153915.4660230689</v>
      </c>
      <c r="R8" s="13">
        <f t="shared" si="8"/>
        <v>811507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55419.898333333338</v>
      </c>
      <c r="E9" s="4">
        <f>'Interval Circuities'!H9</f>
        <v>1.1909479168044974</v>
      </c>
      <c r="F9" s="4">
        <f t="shared" si="0"/>
        <v>39.886521761134176</v>
      </c>
      <c r="G9" s="4">
        <f t="shared" si="1"/>
        <v>46.534275387989872</v>
      </c>
      <c r="H9" s="4">
        <f t="shared" si="2"/>
        <v>6802.9265815355975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10084262.857308377</v>
      </c>
      <c r="M9" s="22">
        <f t="shared" si="5"/>
        <v>8150000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5184163.6310011297</v>
      </c>
      <c r="R9" s="13">
        <f t="shared" si="8"/>
        <v>4189789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69651.563333333339</v>
      </c>
      <c r="E10" s="4">
        <f>'Interval Circuities'!H10</f>
        <v>1.2667491733231422</v>
      </c>
      <c r="F10" s="4">
        <f t="shared" si="0"/>
        <v>47.129566971322149</v>
      </c>
      <c r="G10" s="4">
        <f t="shared" si="1"/>
        <v>54.98449479987584</v>
      </c>
      <c r="H10" s="4">
        <f t="shared" si="2"/>
        <v>9497.9603198750065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8406893.6637911238</v>
      </c>
      <c r="M10" s="22">
        <f t="shared" si="5"/>
        <v>1540000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5103928.8647029232</v>
      </c>
      <c r="R10" s="13">
        <f t="shared" si="8"/>
        <v>934953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73238.13</v>
      </c>
      <c r="E11" s="4">
        <f>'Interval Circuities'!H11</f>
        <v>1.1621016171922494</v>
      </c>
      <c r="F11" s="4">
        <f t="shared" si="0"/>
        <v>54.018976543266341</v>
      </c>
      <c r="G11" s="4">
        <f t="shared" si="1"/>
        <v>63.022139300477399</v>
      </c>
      <c r="H11" s="4">
        <f t="shared" si="2"/>
        <v>12477.746417575872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13291416.876202431</v>
      </c>
      <c r="M11" s="22">
        <f t="shared" si="5"/>
        <v>1785000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8024560.7694556471</v>
      </c>
      <c r="R11" s="13">
        <f t="shared" si="8"/>
        <v>1077676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70929.541666666686</v>
      </c>
      <c r="E12" s="4">
        <f>'Interval Circuities'!H12</f>
        <v>1.183542306862122</v>
      </c>
      <c r="F12" s="4">
        <f t="shared" si="0"/>
        <v>51.368463676797475</v>
      </c>
      <c r="G12" s="4">
        <f t="shared" si="1"/>
        <v>59.929874289597059</v>
      </c>
      <c r="H12" s="4">
        <f t="shared" si="2"/>
        <v>11283.31223207167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12487624.912948292</v>
      </c>
      <c r="M12" s="22">
        <f t="shared" si="5"/>
        <v>1140000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8473050.6764603574</v>
      </c>
      <c r="R12" s="13">
        <f t="shared" si="8"/>
        <v>773508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66458.046666666662</v>
      </c>
      <c r="E13" s="4">
        <f>'Interval Circuities'!H13</f>
        <v>1.2193729675148768</v>
      </c>
      <c r="F13" s="4">
        <f t="shared" si="0"/>
        <v>46.715846191091664</v>
      </c>
      <c r="G13" s="4">
        <f t="shared" si="1"/>
        <v>54.501820556273614</v>
      </c>
      <c r="H13" s="4">
        <f t="shared" si="2"/>
        <v>9331.9390093750517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10473476.485998025</v>
      </c>
      <c r="M13" s="22">
        <f t="shared" si="5"/>
        <v>4090000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6660729.0069998046</v>
      </c>
      <c r="R13" s="13">
        <f t="shared" si="8"/>
        <v>2601083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59351.58833333334</v>
      </c>
      <c r="E14" s="4">
        <f>'Interval Circuities'!H14</f>
        <v>1.3202083793328145</v>
      </c>
      <c r="F14" s="4">
        <f t="shared" si="0"/>
        <v>38.533909340667314</v>
      </c>
      <c r="G14" s="4">
        <f t="shared" si="1"/>
        <v>44.95622756411187</v>
      </c>
      <c r="H14" s="4">
        <f t="shared" si="2"/>
        <v>6349.3547782215592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9952305.7062631287</v>
      </c>
      <c r="M14" s="22">
        <f t="shared" si="5"/>
        <v>2025000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5310397.9685771195</v>
      </c>
      <c r="R14" s="13">
        <f t="shared" si="8"/>
        <v>1080509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58933.128333333341</v>
      </c>
      <c r="E15" s="4">
        <f>'Interval Circuities'!H15</f>
        <v>1.1988194858743704</v>
      </c>
      <c r="F15" s="4">
        <f t="shared" si="0"/>
        <v>42.136543987819032</v>
      </c>
      <c r="G15" s="4">
        <f t="shared" si="1"/>
        <v>49.159301319122207</v>
      </c>
      <c r="H15" s="4">
        <f t="shared" si="2"/>
        <v>7592.0887508624064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9364799.0147489142</v>
      </c>
      <c r="M15" s="22">
        <f t="shared" si="5"/>
        <v>4030000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4538948.447131657</v>
      </c>
      <c r="R15" s="13">
        <f t="shared" si="8"/>
        <v>1953268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66312.336582730422</v>
      </c>
      <c r="E16" s="4">
        <f>'Interval Circuities'!H16</f>
        <v>1.2359442356366064</v>
      </c>
      <c r="F16" s="4">
        <f t="shared" si="0"/>
        <v>45.988438639437341</v>
      </c>
      <c r="G16" s="4">
        <f t="shared" si="1"/>
        <v>53.653178412676901</v>
      </c>
      <c r="H16" s="4">
        <f t="shared" si="2"/>
        <v>9043.5882727199096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7530171.071637501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7204067.1766702803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63602.035000000011</v>
      </c>
      <c r="E17" s="4">
        <f>'Interval Circuities'!H17</f>
        <v>1.3090934331770356</v>
      </c>
      <c r="F17" s="4">
        <f t="shared" si="0"/>
        <v>41.644109288437249</v>
      </c>
      <c r="G17" s="4">
        <f t="shared" si="1"/>
        <v>48.584794169843462</v>
      </c>
      <c r="H17" s="4">
        <f t="shared" si="2"/>
        <v>7415.6736155003473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8261317.9959973088</v>
      </c>
      <c r="M17" s="22">
        <f t="shared" si="5"/>
        <v>1520000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3117745.320602579</v>
      </c>
      <c r="R17" s="13">
        <f t="shared" si="8"/>
        <v>573634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79996.664999999994</v>
      </c>
      <c r="E18" s="4">
        <f>'Interval Circuities'!H18</f>
        <v>1.220435517139151</v>
      </c>
      <c r="F18" s="4">
        <f t="shared" si="0"/>
        <v>56.183689377324129</v>
      </c>
      <c r="G18" s="4">
        <f t="shared" si="1"/>
        <v>65.547637606878155</v>
      </c>
      <c r="H18" s="4">
        <f t="shared" si="2"/>
        <v>13497.830203620668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9660409.8684331235</v>
      </c>
      <c r="M18" s="22">
        <f t="shared" si="5"/>
        <v>870000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6306149.0033223089</v>
      </c>
      <c r="R18" s="13">
        <f t="shared" si="8"/>
        <v>567921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68137.070104771439</v>
      </c>
      <c r="E19" s="4">
        <f>'Interval Circuities'!H19</f>
        <v>1.4583947115917961</v>
      </c>
      <c r="F19" s="4">
        <f t="shared" si="0"/>
        <v>40.046225128724942</v>
      </c>
      <c r="G19" s="4">
        <f t="shared" si="1"/>
        <v>46.720595983512432</v>
      </c>
      <c r="H19" s="4">
        <f t="shared" si="2"/>
        <v>6857.5127063262207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12025303.437226439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5505201.0925671738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62728.51666666667</v>
      </c>
      <c r="E20" s="4">
        <f>'Interval Circuities'!H20</f>
        <v>1.2582598860553782</v>
      </c>
      <c r="F20" s="4">
        <f t="shared" si="0"/>
        <v>42.731474312957317</v>
      </c>
      <c r="G20" s="4">
        <f t="shared" si="1"/>
        <v>49.853386698450208</v>
      </c>
      <c r="H20" s="4">
        <f t="shared" si="2"/>
        <v>7807.9892368475694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8448690.1071032621</v>
      </c>
      <c r="M20" s="22">
        <f t="shared" si="5"/>
        <v>3630000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4354170.930734612</v>
      </c>
      <c r="R20" s="13">
        <f t="shared" si="8"/>
        <v>1870780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62225.555000000008</v>
      </c>
      <c r="E21" s="4">
        <f>'Interval Circuities'!H21</f>
        <v>1.2012103014721891</v>
      </c>
      <c r="F21" s="4">
        <f t="shared" si="0"/>
        <v>44.402041786214951</v>
      </c>
      <c r="G21" s="4">
        <f t="shared" si="1"/>
        <v>51.802382083917443</v>
      </c>
      <c r="H21" s="4">
        <f t="shared" si="2"/>
        <v>8430.4223841126241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6063537.566949822</v>
      </c>
      <c r="M21" s="22">
        <f t="shared" si="5"/>
        <v>1030000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4788811.2494163476</v>
      </c>
      <c r="R21" s="13">
        <f t="shared" si="8"/>
        <v>813465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67456.375000000015</v>
      </c>
      <c r="E22" s="4">
        <f>'Interval Circuities'!H22</f>
        <v>1.3290744574755469</v>
      </c>
      <c r="F22" s="4">
        <f t="shared" si="0"/>
        <v>43.503770368007245</v>
      </c>
      <c r="G22" s="4">
        <f t="shared" si="1"/>
        <v>50.754398762675123</v>
      </c>
      <c r="H22" s="4">
        <f t="shared" si="2"/>
        <v>8092.7709303796555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11607666.454640973</v>
      </c>
      <c r="M22" s="22">
        <f t="shared" si="5"/>
        <v>1630000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6248876.8562056329</v>
      </c>
      <c r="R22" s="13">
        <f t="shared" si="8"/>
        <v>877495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63464.216666666674</v>
      </c>
      <c r="E23" s="4">
        <f>'Interval Circuities'!H23</f>
        <v>1.3068389112987391</v>
      </c>
      <c r="F23" s="4">
        <f t="shared" si="0"/>
        <v>41.625558842550269</v>
      </c>
      <c r="G23" s="4">
        <f t="shared" si="1"/>
        <v>48.56315198297532</v>
      </c>
      <c r="H23" s="4">
        <f t="shared" si="2"/>
        <v>7409.0684357816081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6201913.9472904019</v>
      </c>
      <c r="M23" s="22">
        <f t="shared" si="5"/>
        <v>890000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3464862.9850557619</v>
      </c>
      <c r="R23" s="13">
        <f t="shared" si="8"/>
        <v>497222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73897.903333333335</v>
      </c>
      <c r="E24" s="4">
        <f>'Interval Circuities'!H24</f>
        <v>1.2430838792741741</v>
      </c>
      <c r="F24" s="4">
        <f t="shared" si="0"/>
        <v>50.954775503149712</v>
      </c>
      <c r="G24" s="4">
        <f t="shared" si="1"/>
        <v>59.447238087008003</v>
      </c>
      <c r="H24" s="4">
        <f t="shared" si="2"/>
        <v>11102.307121346883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10452236.347668191</v>
      </c>
      <c r="M24" s="22">
        <f t="shared" si="5"/>
        <v>1425000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6538420.2857176131</v>
      </c>
      <c r="R24" s="13">
        <f t="shared" si="8"/>
        <v>891412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59225.530000000006</v>
      </c>
      <c r="E25" s="4">
        <f>'Interval Circuities'!H25</f>
        <v>1.3374697435173433</v>
      </c>
      <c r="F25" s="4">
        <f t="shared" si="0"/>
        <v>37.95580441804718</v>
      </c>
      <c r="G25" s="4">
        <f t="shared" si="1"/>
        <v>44.281771821055045</v>
      </c>
      <c r="H25" s="4">
        <f t="shared" si="2"/>
        <v>6160.2714861321783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10814818.809885357</v>
      </c>
      <c r="M25" s="22">
        <f t="shared" si="5"/>
        <v>1300000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5755771.3569918713</v>
      </c>
      <c r="R25" s="13">
        <f t="shared" si="8"/>
        <v>691875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55960.986666666671</v>
      </c>
      <c r="E26" s="4">
        <f>'Interval Circuities'!H26</f>
        <v>1.2292552252506423</v>
      </c>
      <c r="F26" s="4">
        <f t="shared" si="0"/>
        <v>39.020830674296896</v>
      </c>
      <c r="G26" s="4">
        <f t="shared" si="1"/>
        <v>45.52430245334638</v>
      </c>
      <c r="H26" s="4">
        <f t="shared" si="2"/>
        <v>6510.8317517575588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18764158.093702544</v>
      </c>
      <c r="M26" s="22">
        <f t="shared" si="5"/>
        <v>12450000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7986202.0225510448</v>
      </c>
      <c r="R26" s="13">
        <f t="shared" si="8"/>
        <v>5298837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67624.375</v>
      </c>
      <c r="E27" s="4">
        <f>'Interval Circuities'!H27</f>
        <v>1.2944463386591094</v>
      </c>
      <c r="F27" s="4">
        <f t="shared" si="0"/>
        <v>44.778797134258546</v>
      </c>
      <c r="G27" s="4">
        <f t="shared" si="1"/>
        <v>52.241929989968305</v>
      </c>
      <c r="H27" s="4">
        <f t="shared" si="2"/>
        <v>8574.0951429353681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7275824.5917034289</v>
      </c>
      <c r="M27" s="22">
        <f t="shared" si="5"/>
        <v>860000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4365714.7218120387</v>
      </c>
      <c r="R27" s="13">
        <f t="shared" si="8"/>
        <v>516026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66874.955000000002</v>
      </c>
      <c r="E28" s="4">
        <f>'Interval Circuities'!H28</f>
        <v>1.2681540262370201</v>
      </c>
      <c r="F28" s="4">
        <f t="shared" si="0"/>
        <v>45.200652928642391</v>
      </c>
      <c r="G28" s="4">
        <f t="shared" si="1"/>
        <v>52.734095083416129</v>
      </c>
      <c r="H28" s="4">
        <f t="shared" si="2"/>
        <v>8736.407208732131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8267979.4663179489</v>
      </c>
      <c r="M28" s="22">
        <f t="shared" si="5"/>
        <v>980000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4534446.7875959612</v>
      </c>
      <c r="R28" s="13">
        <f t="shared" si="8"/>
        <v>537466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66798.993333333332</v>
      </c>
      <c r="E29" s="4">
        <f>'Interval Circuities'!H29</f>
        <v>1.1757944886828606</v>
      </c>
      <c r="F29" s="4">
        <f t="shared" si="0"/>
        <v>48.695822740366118</v>
      </c>
      <c r="G29" s="4">
        <f t="shared" si="1"/>
        <v>56.811793197093806</v>
      </c>
      <c r="H29" s="4">
        <f t="shared" si="2"/>
        <v>10139.741133914276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11253507.356350532</v>
      </c>
      <c r="M29" s="22">
        <f t="shared" si="5"/>
        <v>1400000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6283186.8387102727</v>
      </c>
      <c r="R29" s="13">
        <f t="shared" si="8"/>
        <v>781664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64519.758333333346</v>
      </c>
      <c r="E30" s="4">
        <f>'Interval Circuities'!H30</f>
        <v>1.2190258818005368</v>
      </c>
      <c r="F30" s="4">
        <f t="shared" si="0"/>
        <v>45.366264019198979</v>
      </c>
      <c r="G30" s="4">
        <f t="shared" si="1"/>
        <v>52.927308022398812</v>
      </c>
      <c r="H30" s="4">
        <f t="shared" si="2"/>
        <v>8800.5432947201134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9233668.6227487512</v>
      </c>
      <c r="M30" s="22">
        <f t="shared" si="5"/>
        <v>2430000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6240888.4274342814</v>
      </c>
      <c r="R30" s="13">
        <f t="shared" si="8"/>
        <v>1642398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70938.676666666666</v>
      </c>
      <c r="E31" s="4">
        <f>'Interval Circuities'!H31</f>
        <v>1.3121928723308884</v>
      </c>
      <c r="F31" s="4">
        <f t="shared" si="0"/>
        <v>46.338142267143212</v>
      </c>
      <c r="G31" s="4">
        <f t="shared" si="1"/>
        <v>54.061165978333747</v>
      </c>
      <c r="H31" s="4">
        <f t="shared" si="2"/>
        <v>9181.649058959636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6995144.931925511</v>
      </c>
      <c r="M31" s="22">
        <f t="shared" si="5"/>
        <v>850000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5223908.3985037887</v>
      </c>
      <c r="R31" s="13">
        <f t="shared" si="8"/>
        <v>634772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66164.081666666665</v>
      </c>
      <c r="E32" s="4">
        <f>'Interval Circuities'!H32</f>
        <v>1.3071078254450557</v>
      </c>
      <c r="F32" s="4">
        <f t="shared" si="0"/>
        <v>43.387445852594574</v>
      </c>
      <c r="G32" s="4">
        <f t="shared" si="1"/>
        <v>50.618686828027009</v>
      </c>
      <c r="H32" s="4">
        <f t="shared" si="2"/>
        <v>8049.5503514284273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17202154.503194377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8503865.441491466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60513.48333333333</v>
      </c>
      <c r="E33" s="4">
        <f>'Interval Circuities'!H33</f>
        <v>1.2183813470006961</v>
      </c>
      <c r="F33" s="4">
        <f t="shared" si="0"/>
        <v>42.571810646712372</v>
      </c>
      <c r="G33" s="4">
        <f t="shared" si="1"/>
        <v>49.66711242116444</v>
      </c>
      <c r="H33" s="4">
        <f t="shared" si="2"/>
        <v>7749.7500496489611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15350982.423472302</v>
      </c>
      <c r="M33" s="22">
        <f t="shared" si="5"/>
        <v>15350982.423472302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7036952.8178481711</v>
      </c>
      <c r="R33" s="13">
        <f t="shared" si="8"/>
        <v>7036952.8178481711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69437.340000000011</v>
      </c>
      <c r="E34" s="4">
        <f>'Interval Circuities'!H34</f>
        <v>1.2445778552587923</v>
      </c>
      <c r="F34" s="4">
        <f t="shared" si="0"/>
        <v>47.821612564064246</v>
      </c>
      <c r="G34" s="4">
        <f t="shared" si="1"/>
        <v>55.791881324741624</v>
      </c>
      <c r="H34" s="4">
        <f t="shared" si="2"/>
        <v>9778.9423353215443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9487431.6850595828</v>
      </c>
      <c r="M34" s="22">
        <f t="shared" si="5"/>
        <v>810000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5170252.0304842722</v>
      </c>
      <c r="R34" s="13">
        <f t="shared" si="8"/>
        <v>441416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53364.138333333336</v>
      </c>
      <c r="E35" s="4">
        <f>'Interval Circuities'!H35</f>
        <v>1.2721723423067837</v>
      </c>
      <c r="F35" s="4">
        <f t="shared" ref="F35:F53" si="10">B35/E35</f>
        <v>35.954790462635025</v>
      </c>
      <c r="G35" s="4">
        <f t="shared" si="1"/>
        <v>41.947255539740866</v>
      </c>
      <c r="H35" s="4">
        <f t="shared" si="2"/>
        <v>5527.8592456294355</v>
      </c>
      <c r="I35" s="4">
        <f t="shared" si="3"/>
        <v>1047.9139885488814</v>
      </c>
      <c r="J35" s="9">
        <f>'2000-10'!J35</f>
        <v>1173.7604550000001</v>
      </c>
      <c r="K35" s="9">
        <f>'2000-10'!K35</f>
        <v>1230000</v>
      </c>
      <c r="L35" s="22">
        <f t="shared" si="4"/>
        <v>5792721.0302243521</v>
      </c>
      <c r="M35" s="22">
        <f t="shared" si="5"/>
        <v>1230000</v>
      </c>
      <c r="N35" s="19" t="s">
        <v>92</v>
      </c>
      <c r="O35" s="4">
        <f t="shared" si="6"/>
        <v>697.01274780125379</v>
      </c>
      <c r="P35" s="13">
        <f>'2000-10'!P35</f>
        <v>818126</v>
      </c>
      <c r="Q35" s="22">
        <f t="shared" si="7"/>
        <v>3852988.3622547388</v>
      </c>
      <c r="R35" s="13">
        <f t="shared" si="8"/>
        <v>818126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61676.86</v>
      </c>
      <c r="E36" s="4">
        <f>'Interval Circuities'!H36</f>
        <v>1.1752189030826308</v>
      </c>
      <c r="F36" s="4">
        <f t="shared" si="10"/>
        <v>44.983857782861875</v>
      </c>
      <c r="G36" s="4">
        <f t="shared" si="1"/>
        <v>52.481167413338859</v>
      </c>
      <c r="H36" s="4">
        <f t="shared" si="2"/>
        <v>8652.8036125041854</v>
      </c>
      <c r="I36" s="4">
        <f t="shared" si="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4"/>
        <v>9514764.1253277082</v>
      </c>
      <c r="M36" s="22">
        <f t="shared" si="5"/>
        <v>5125000</v>
      </c>
      <c r="N36" s="19" t="s">
        <v>92</v>
      </c>
      <c r="O36" s="4">
        <f t="shared" si="6"/>
        <v>547.27078534034638</v>
      </c>
      <c r="P36" s="13">
        <f>'2000-10'!P36</f>
        <v>2550674</v>
      </c>
      <c r="Q36" s="22">
        <f t="shared" si="7"/>
        <v>4735426.6284109522</v>
      </c>
      <c r="R36" s="13">
        <f t="shared" si="8"/>
        <v>2550674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61183.091666666667</v>
      </c>
      <c r="E37" s="4">
        <f>'Interval Circuities'!H37</f>
        <v>1.3000415167328212</v>
      </c>
      <c r="F37" s="4">
        <f t="shared" si="10"/>
        <v>40.339211729018793</v>
      </c>
      <c r="G37" s="4">
        <f t="shared" si="1"/>
        <v>47.062413683855262</v>
      </c>
      <c r="H37" s="4">
        <f t="shared" si="2"/>
        <v>6958.2217765975092</v>
      </c>
      <c r="I37" s="4">
        <f t="shared" si="3"/>
        <v>1401.3597327768193</v>
      </c>
      <c r="J37" s="9">
        <f>'2000-10'!J37</f>
        <v>2069.418674</v>
      </c>
      <c r="K37" s="9">
        <f>'2000-10'!K37</f>
        <v>2900000</v>
      </c>
      <c r="L37" s="22">
        <f t="shared" si="4"/>
        <v>9750971.8094545305</v>
      </c>
      <c r="M37" s="22">
        <f t="shared" si="5"/>
        <v>2900000</v>
      </c>
      <c r="N37" s="19" t="s">
        <v>92</v>
      </c>
      <c r="O37" s="4">
        <f t="shared" si="6"/>
        <v>677.88602549355369</v>
      </c>
      <c r="P37" s="13">
        <f>'2000-10'!P37</f>
        <v>1402830</v>
      </c>
      <c r="Q37" s="22">
        <f t="shared" si="7"/>
        <v>4716881.3046403797</v>
      </c>
      <c r="R37" s="13">
        <f t="shared" si="8"/>
        <v>1402830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68309.651666666672</v>
      </c>
      <c r="E38" s="4">
        <f>'Interval Circuities'!H38</f>
        <v>1.2428095550962583</v>
      </c>
      <c r="F38" s="4">
        <f t="shared" si="10"/>
        <v>47.111908465706222</v>
      </c>
      <c r="G38" s="4">
        <f t="shared" si="1"/>
        <v>54.963893209990594</v>
      </c>
      <c r="H38" s="4">
        <f t="shared" si="2"/>
        <v>9490.8442619181533</v>
      </c>
      <c r="I38" s="4">
        <f t="shared" si="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4"/>
        <v>7587700.3714994406</v>
      </c>
      <c r="M38" s="22">
        <f t="shared" si="5"/>
        <v>1765000</v>
      </c>
      <c r="N38" s="19" t="s">
        <v>92</v>
      </c>
      <c r="O38" s="4">
        <f t="shared" si="6"/>
        <v>470.46365508810919</v>
      </c>
      <c r="P38" s="13">
        <f>'2000-10'!P38</f>
        <v>1038641</v>
      </c>
      <c r="Q38" s="22">
        <f t="shared" si="7"/>
        <v>4465097.2813340221</v>
      </c>
      <c r="R38" s="13">
        <f t="shared" si="8"/>
        <v>1038641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61935.941666666673</v>
      </c>
      <c r="E39" s="4">
        <f>'Interval Circuities'!H39</f>
        <v>1.416923050931576</v>
      </c>
      <c r="F39" s="4">
        <f t="shared" si="10"/>
        <v>37.467066376749663</v>
      </c>
      <c r="G39" s="4">
        <f t="shared" si="1"/>
        <v>43.71157743954128</v>
      </c>
      <c r="H39" s="4">
        <f t="shared" si="2"/>
        <v>6002.6473734773772</v>
      </c>
      <c r="I39" s="4">
        <f t="shared" si="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4"/>
        <v>7775257.946899035</v>
      </c>
      <c r="M39" s="22">
        <f t="shared" si="5"/>
        <v>1590000</v>
      </c>
      <c r="N39" s="19" t="s">
        <v>92</v>
      </c>
      <c r="O39" s="4">
        <f t="shared" si="6"/>
        <v>714.74674387135121</v>
      </c>
      <c r="P39" s="13">
        <f>'2000-10'!P39</f>
        <v>877359</v>
      </c>
      <c r="Q39" s="22">
        <f t="shared" si="7"/>
        <v>4290372.664800874</v>
      </c>
      <c r="R39" s="13">
        <f t="shared" si="8"/>
        <v>877359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72896.133333333331</v>
      </c>
      <c r="E40" s="4">
        <f>'Interval Circuities'!H40</f>
        <v>1.2357077469651359</v>
      </c>
      <c r="F40" s="4">
        <f t="shared" si="10"/>
        <v>50.564059465885073</v>
      </c>
      <c r="G40" s="4">
        <f t="shared" si="1"/>
        <v>58.991402710199253</v>
      </c>
      <c r="H40" s="4">
        <f t="shared" si="2"/>
        <v>10932.697175819339</v>
      </c>
      <c r="I40" s="4">
        <f t="shared" si="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4"/>
        <v>10141483.275214281</v>
      </c>
      <c r="M40" s="22">
        <f t="shared" si="5"/>
        <v>1210000</v>
      </c>
      <c r="N40" s="19" t="s">
        <v>92</v>
      </c>
      <c r="O40" s="4">
        <f t="shared" si="6"/>
        <v>482.44740198664414</v>
      </c>
      <c r="P40" s="13">
        <f>'2000-10'!P40</f>
        <v>629305</v>
      </c>
      <c r="Q40" s="22">
        <f t="shared" si="7"/>
        <v>5274451.3491807617</v>
      </c>
      <c r="R40" s="13">
        <f t="shared" si="8"/>
        <v>629305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71900.44166666668</v>
      </c>
      <c r="E41" s="4">
        <f>'Interval Circuities'!H41</f>
        <v>1.1984192034035577</v>
      </c>
      <c r="F41" s="4">
        <f t="shared" si="10"/>
        <v>51.425202320666557</v>
      </c>
      <c r="G41" s="4">
        <f t="shared" si="1"/>
        <v>59.996069374110988</v>
      </c>
      <c r="H41" s="4">
        <f t="shared" si="2"/>
        <v>11308.251790410264</v>
      </c>
      <c r="I41" s="4">
        <f t="shared" si="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4"/>
        <v>10791973.217581809</v>
      </c>
      <c r="M41" s="22">
        <f t="shared" si="5"/>
        <v>790000</v>
      </c>
      <c r="N41" s="19" t="s">
        <v>92</v>
      </c>
      <c r="O41" s="4">
        <f t="shared" si="6"/>
        <v>742.45018600123069</v>
      </c>
      <c r="P41" s="13">
        <f>'2000-10'!P41</f>
        <v>614595</v>
      </c>
      <c r="Q41" s="22">
        <f t="shared" si="7"/>
        <v>8395813.6451388504</v>
      </c>
      <c r="R41" s="13">
        <f t="shared" si="8"/>
        <v>614595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72437.630485797548</v>
      </c>
      <c r="E42" s="4">
        <f>'Interval Circuities'!H42</f>
        <v>1.1879150051013052</v>
      </c>
      <c r="F42" s="4">
        <f t="shared" si="10"/>
        <v>52.267542115910935</v>
      </c>
      <c r="G42" s="4">
        <f t="shared" si="1"/>
        <v>60.97879913522943</v>
      </c>
      <c r="H42" s="4">
        <f t="shared" si="2"/>
        <v>11681.741929396632</v>
      </c>
      <c r="I42" s="4">
        <f t="shared" si="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4"/>
        <v>10162107.256335434</v>
      </c>
      <c r="M42" s="22">
        <f t="shared" si="5"/>
        <v>665000</v>
      </c>
      <c r="N42" s="19" t="s">
        <v>92</v>
      </c>
      <c r="O42" s="4">
        <f t="shared" si="6"/>
        <v>595.44480330121178</v>
      </c>
      <c r="P42" s="13">
        <f>'2000-10'!P42</f>
        <v>455184</v>
      </c>
      <c r="Q42" s="22">
        <f t="shared" si="7"/>
        <v>6955832.5253650956</v>
      </c>
      <c r="R42" s="13">
        <f t="shared" si="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62180.311666666668</v>
      </c>
      <c r="E43" s="4">
        <f>'Interval Circuities'!H43</f>
        <v>1.4543258899652016</v>
      </c>
      <c r="F43" s="4">
        <f t="shared" si="10"/>
        <v>36.64750133910858</v>
      </c>
      <c r="G43" s="4">
        <f t="shared" si="1"/>
        <v>42.755418228960011</v>
      </c>
      <c r="H43" s="4">
        <f t="shared" si="2"/>
        <v>5742.9123859439042</v>
      </c>
      <c r="I43" s="4">
        <f t="shared" si="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4"/>
        <v>8832619.5157327838</v>
      </c>
      <c r="M43" s="22">
        <f t="shared" si="5"/>
        <v>1470000</v>
      </c>
      <c r="N43" s="19" t="s">
        <v>92</v>
      </c>
      <c r="O43" s="4">
        <f t="shared" si="6"/>
        <v>612.25827963614597</v>
      </c>
      <c r="P43" s="13">
        <f>'2000-10'!P43</f>
        <v>585187</v>
      </c>
      <c r="Q43" s="22">
        <f t="shared" si="7"/>
        <v>3516145.6575191291</v>
      </c>
      <c r="R43" s="13">
        <f t="shared" si="8"/>
        <v>585187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60939.876666666671</v>
      </c>
      <c r="E44" s="4">
        <f>'Interval Circuities'!H44</f>
        <v>1.4364702362674819</v>
      </c>
      <c r="F44" s="4">
        <f t="shared" si="10"/>
        <v>36.362869679587007</v>
      </c>
      <c r="G44" s="4">
        <f t="shared" si="1"/>
        <v>42.423347959518175</v>
      </c>
      <c r="H44" s="4">
        <f t="shared" si="2"/>
        <v>5654.051382667998</v>
      </c>
      <c r="I44" s="4">
        <f t="shared" si="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4"/>
        <v>8704858.4818437546</v>
      </c>
      <c r="M44" s="22">
        <f t="shared" si="5"/>
        <v>920000</v>
      </c>
      <c r="N44" s="19" t="s">
        <v>92</v>
      </c>
      <c r="O44" s="4">
        <f t="shared" si="6"/>
        <v>1022.9581711561229</v>
      </c>
      <c r="P44" s="13">
        <f>'2000-10'!P44</f>
        <v>611285</v>
      </c>
      <c r="Q44" s="22">
        <f t="shared" si="7"/>
        <v>5783858.0620368039</v>
      </c>
      <c r="R44" s="13">
        <f t="shared" si="8"/>
        <v>611285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69540.613333333342</v>
      </c>
      <c r="E45" s="4">
        <f>'Interval Circuities'!H45</f>
        <v>1.2836412305500746</v>
      </c>
      <c r="F45" s="4">
        <f t="shared" si="10"/>
        <v>46.435280031054418</v>
      </c>
      <c r="G45" s="4">
        <f t="shared" si="1"/>
        <v>54.174493369563493</v>
      </c>
      <c r="H45" s="4">
        <f t="shared" si="2"/>
        <v>9220.1840383754061</v>
      </c>
      <c r="I45" s="4">
        <f t="shared" si="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4"/>
        <v>11005800.88102193</v>
      </c>
      <c r="M45" s="22">
        <f t="shared" si="5"/>
        <v>1260000</v>
      </c>
      <c r="N45" s="19" t="s">
        <v>92</v>
      </c>
      <c r="O45" s="4">
        <f t="shared" si="6"/>
        <v>601.99786445569703</v>
      </c>
      <c r="P45" s="13">
        <f>'2000-10'!P45</f>
        <v>635453</v>
      </c>
      <c r="Q45" s="22">
        <f t="shared" si="7"/>
        <v>5550531.1009904994</v>
      </c>
      <c r="R45" s="13">
        <f t="shared" si="8"/>
        <v>635453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62031.468333333338</v>
      </c>
      <c r="E46" s="4">
        <f>'Interval Circuities'!H46</f>
        <v>1.3854840987267374</v>
      </c>
      <c r="F46" s="4">
        <f t="shared" si="10"/>
        <v>38.376355274566613</v>
      </c>
      <c r="G46" s="4">
        <f t="shared" si="1"/>
        <v>44.772414486994386</v>
      </c>
      <c r="H46" s="4">
        <f t="shared" si="2"/>
        <v>6297.5395550165085</v>
      </c>
      <c r="I46" s="4">
        <f t="shared" si="3"/>
        <v>1372.086028348845</v>
      </c>
      <c r="J46" s="9">
        <f>'2000-10'!J46</f>
        <v>2026.112024</v>
      </c>
      <c r="K46" s="9">
        <f>'2000-10'!K46</f>
        <v>2780000</v>
      </c>
      <c r="L46" s="22">
        <f t="shared" si="4"/>
        <v>8640766.0364123546</v>
      </c>
      <c r="M46" s="22">
        <f t="shared" si="5"/>
        <v>2780000</v>
      </c>
      <c r="N46" s="19" t="s">
        <v>92</v>
      </c>
      <c r="O46" s="4">
        <f t="shared" si="6"/>
        <v>533.91026122255516</v>
      </c>
      <c r="P46" s="13">
        <f>'2000-10'!P46</f>
        <v>1081762</v>
      </c>
      <c r="Q46" s="22">
        <f t="shared" si="7"/>
        <v>3362320.988878238</v>
      </c>
      <c r="R46" s="13">
        <f t="shared" si="8"/>
        <v>1081762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62212.745000000003</v>
      </c>
      <c r="E47" s="4">
        <f>'Interval Circuities'!H47</f>
        <v>1.3542857809644531</v>
      </c>
      <c r="F47" s="4">
        <f t="shared" si="10"/>
        <v>39.375153124641471</v>
      </c>
      <c r="G47" s="4">
        <f t="shared" si="1"/>
        <v>45.937678645415055</v>
      </c>
      <c r="H47" s="4">
        <f t="shared" si="2"/>
        <v>6629.6097322939004</v>
      </c>
      <c r="I47" s="4">
        <f t="shared" si="3"/>
        <v>3692.1786197984002</v>
      </c>
      <c r="J47" s="9">
        <f>'2000-10'!J47</f>
        <v>1107.747057</v>
      </c>
      <c r="K47" s="9">
        <f>'2000-10'!K47</f>
        <v>4090000</v>
      </c>
      <c r="L47" s="22">
        <f t="shared" si="4"/>
        <v>24477703.311182935</v>
      </c>
      <c r="M47" s="22">
        <f t="shared" si="5"/>
        <v>4090000</v>
      </c>
      <c r="N47" s="19" t="s">
        <v>92</v>
      </c>
      <c r="O47" s="4">
        <f t="shared" si="6"/>
        <v>1849.2479732221034</v>
      </c>
      <c r="P47" s="13">
        <f>'2000-10'!P47</f>
        <v>2048499</v>
      </c>
      <c r="Q47" s="22">
        <f t="shared" si="7"/>
        <v>12259792.360698028</v>
      </c>
      <c r="R47" s="13">
        <f t="shared" si="8"/>
        <v>2048499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59107.871666666673</v>
      </c>
      <c r="E48" s="4">
        <f>'Interval Circuities'!H48</f>
        <v>1.4206037187584837</v>
      </c>
      <c r="F48" s="4">
        <f t="shared" si="10"/>
        <v>35.663633236351785</v>
      </c>
      <c r="G48" s="4">
        <f t="shared" si="1"/>
        <v>41.607572109077083</v>
      </c>
      <c r="H48" s="4">
        <f t="shared" si="2"/>
        <v>5438.6939644484301</v>
      </c>
      <c r="I48" s="4">
        <f t="shared" si="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4"/>
        <v>13522387.793715144</v>
      </c>
      <c r="M48" s="22">
        <f t="shared" si="5"/>
        <v>1675000</v>
      </c>
      <c r="N48" s="19" t="s">
        <v>92</v>
      </c>
      <c r="O48" s="4">
        <f t="shared" si="6"/>
        <v>1548.2013042170763</v>
      </c>
      <c r="P48" s="13">
        <f>'2000-10'!P48</f>
        <v>1042998</v>
      </c>
      <c r="Q48" s="22">
        <f t="shared" si="7"/>
        <v>8420193.0889966004</v>
      </c>
      <c r="R48" s="13">
        <f t="shared" si="8"/>
        <v>1042998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67884.425000000003</v>
      </c>
      <c r="E49" s="4">
        <f>'Interval Circuities'!H49</f>
        <v>1.3832680690468055</v>
      </c>
      <c r="F49" s="4">
        <f t="shared" si="10"/>
        <v>42.064623121168239</v>
      </c>
      <c r="G49" s="4">
        <f t="shared" si="1"/>
        <v>49.07539364136295</v>
      </c>
      <c r="H49" s="4">
        <f t="shared" si="2"/>
        <v>7566.1937174773484</v>
      </c>
      <c r="I49" s="4">
        <f t="shared" si="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4"/>
        <v>8393671.4505496193</v>
      </c>
      <c r="M49" s="22">
        <f t="shared" si="5"/>
        <v>2740000</v>
      </c>
      <c r="N49" s="19" t="s">
        <v>92</v>
      </c>
      <c r="O49" s="4">
        <f t="shared" si="6"/>
        <v>599.91348482451292</v>
      </c>
      <c r="P49" s="13">
        <f>'2000-10'!P49</f>
        <v>1481715</v>
      </c>
      <c r="Q49" s="22">
        <f t="shared" si="7"/>
        <v>4539061.6399091724</v>
      </c>
      <c r="R49" s="13">
        <f t="shared" si="8"/>
        <v>1481715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69800.60500000001</v>
      </c>
      <c r="E50" s="4">
        <f>'Interval Circuities'!H50</f>
        <v>1.2291219062835725</v>
      </c>
      <c r="F50" s="4">
        <f t="shared" si="10"/>
        <v>48.67628645632221</v>
      </c>
      <c r="G50" s="4">
        <f t="shared" si="1"/>
        <v>56.789000865709248</v>
      </c>
      <c r="H50" s="4">
        <f t="shared" si="2"/>
        <v>10131.606837569068</v>
      </c>
      <c r="I50" s="4">
        <f t="shared" si="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4"/>
        <v>17402005.366240598</v>
      </c>
      <c r="M50" s="22">
        <f t="shared" si="5"/>
        <v>4965000</v>
      </c>
      <c r="N50" s="19" t="s">
        <v>92</v>
      </c>
      <c r="O50" s="4">
        <f t="shared" si="6"/>
        <v>514.0451157391708</v>
      </c>
      <c r="P50" s="13">
        <f>'2000-10'!P50</f>
        <v>1485934</v>
      </c>
      <c r="Q50" s="22">
        <f t="shared" si="7"/>
        <v>5208103.0094419662</v>
      </c>
      <c r="R50" s="13">
        <f t="shared" si="8"/>
        <v>1485934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65919.56</v>
      </c>
      <c r="E51" s="4">
        <f>'Interval Circuities'!H51</f>
        <v>1.3101087912686977</v>
      </c>
      <c r="F51" s="4">
        <f t="shared" si="10"/>
        <v>43.1280824741917</v>
      </c>
      <c r="G51" s="4">
        <f t="shared" si="1"/>
        <v>50.316096219890319</v>
      </c>
      <c r="H51" s="4">
        <f t="shared" si="2"/>
        <v>7953.6000881463769</v>
      </c>
      <c r="I51" s="4">
        <f t="shared" si="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4"/>
        <v>7612876.2678263942</v>
      </c>
      <c r="M51" s="22">
        <f t="shared" si="5"/>
        <v>2055000</v>
      </c>
      <c r="N51" s="19" t="s">
        <v>92</v>
      </c>
      <c r="O51" s="4">
        <f t="shared" si="6"/>
        <v>568.5308450770176</v>
      </c>
      <c r="P51" s="13">
        <f>'2000-10'!P51</f>
        <v>1220621</v>
      </c>
      <c r="Q51" s="22">
        <f t="shared" si="7"/>
        <v>4521866.9795185011</v>
      </c>
      <c r="R51" s="13">
        <f t="shared" si="8"/>
        <v>1220621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55510.98</v>
      </c>
      <c r="E52" s="4">
        <f>'Interval Circuities'!H52</f>
        <v>1.2453125015229971</v>
      </c>
      <c r="F52" s="4">
        <f t="shared" si="10"/>
        <v>38.207951772594754</v>
      </c>
      <c r="G52" s="4">
        <f t="shared" si="1"/>
        <v>44.57594373469388</v>
      </c>
      <c r="H52" s="4">
        <f t="shared" si="2"/>
        <v>6242.3909720834154</v>
      </c>
      <c r="I52" s="4">
        <f t="shared" si="3"/>
        <v>962.52206654026702</v>
      </c>
      <c r="J52" s="9">
        <f>'2000-10'!J52</f>
        <v>2077.87444</v>
      </c>
      <c r="K52" s="9">
        <f>'2000-10'!K52</f>
        <v>2000000</v>
      </c>
      <c r="L52" s="22">
        <f t="shared" si="4"/>
        <v>6008439.058602035</v>
      </c>
      <c r="M52" s="22">
        <f t="shared" si="5"/>
        <v>2000000</v>
      </c>
      <c r="N52" s="19" t="s">
        <v>92</v>
      </c>
      <c r="O52" s="4">
        <f t="shared" si="6"/>
        <v>501.91290672982143</v>
      </c>
      <c r="P52" s="13">
        <f>'2000-10'!P52</f>
        <v>1042912</v>
      </c>
      <c r="Q52" s="22">
        <f t="shared" si="7"/>
        <v>3133136.5977423824</v>
      </c>
      <c r="R52" s="13">
        <f t="shared" si="8"/>
        <v>1042912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57816.01</v>
      </c>
      <c r="E53" s="4">
        <f>'Interval Circuities'!H53</f>
        <v>1.2653662483066039</v>
      </c>
      <c r="F53" s="4">
        <f t="shared" si="10"/>
        <v>39.16382317476846</v>
      </c>
      <c r="G53" s="4">
        <f t="shared" si="1"/>
        <v>45.691127037229876</v>
      </c>
      <c r="H53" s="4">
        <f t="shared" si="2"/>
        <v>6558.6372919842734</v>
      </c>
      <c r="I53" s="4">
        <f t="shared" si="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4"/>
        <v>8822171.524570955</v>
      </c>
      <c r="M53" s="22">
        <f t="shared" si="5"/>
        <v>4030000</v>
      </c>
      <c r="N53" s="19" t="s">
        <v>92</v>
      </c>
      <c r="O53" s="4">
        <f t="shared" si="6"/>
        <v>760.55704152110548</v>
      </c>
      <c r="P53" s="13">
        <f>'2000-10'!P53</f>
        <v>2278636</v>
      </c>
      <c r="Q53" s="22">
        <f t="shared" si="7"/>
        <v>4988217.7752015535</v>
      </c>
      <c r="R53" s="13">
        <f t="shared" si="8"/>
        <v>2278636</v>
      </c>
    </row>
    <row r="54" spans="1:18">
      <c r="D54" s="3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3" sqref="E3:E53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8/6</f>
        <v>1.3333333333333333</v>
      </c>
      <c r="B1" s="1" t="s">
        <v>60</v>
      </c>
      <c r="C1" s="1" t="s">
        <v>61</v>
      </c>
      <c r="D1" s="38" t="s">
        <v>159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69755.72</v>
      </c>
      <c r="E3" s="4">
        <f>'Interval Circuities'!I3</f>
        <v>1.2039045707227536</v>
      </c>
      <c r="F3" s="4">
        <f t="shared" ref="F3:F53" si="0">B3/E3</f>
        <v>43.455927714097861</v>
      </c>
      <c r="G3" s="4">
        <f t="shared" ref="G3:G53" si="1">F3*$A$1</f>
        <v>57.941236952130481</v>
      </c>
      <c r="H3" s="4">
        <f t="shared" ref="H3:H53" si="2">PI()*G3^2</f>
        <v>10546.913825995673</v>
      </c>
      <c r="I3" s="4">
        <f t="shared" ref="I3:I53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53" si="4">H3*I3</f>
        <v>7988421.7273554588</v>
      </c>
      <c r="M3" s="22">
        <f t="shared" ref="M3:M53" si="5">MIN(K3,L3)</f>
        <v>3850000</v>
      </c>
      <c r="N3" s="19" t="s">
        <v>92</v>
      </c>
      <c r="O3" s="4">
        <f t="shared" ref="O3:O53" si="6">P3/J3</f>
        <v>418.87926898310906</v>
      </c>
      <c r="P3" s="13">
        <f>'2000-10'!P3</f>
        <v>2129188</v>
      </c>
      <c r="Q3" s="22">
        <f t="shared" ref="Q3:Q53" si="7">H3*O3</f>
        <v>4417883.5534609128</v>
      </c>
      <c r="R3" s="13">
        <f t="shared" ref="R3:R53" si="8">MIN(Q3,P3)</f>
        <v>2129188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70931.839999999997</v>
      </c>
      <c r="E4" s="4">
        <f>'Interval Circuities'!I4</f>
        <v>1.275232209735718</v>
      </c>
      <c r="F4" s="4">
        <f t="shared" si="0"/>
        <v>41.717014041721121</v>
      </c>
      <c r="G4" s="4">
        <f t="shared" si="1"/>
        <v>55.622685388961493</v>
      </c>
      <c r="H4" s="4">
        <f t="shared" si="2"/>
        <v>9719.7205118944876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11324709.202245232</v>
      </c>
      <c r="M4" s="22">
        <f t="shared" si="5"/>
        <v>960000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6847733.147151378</v>
      </c>
      <c r="R4" s="13">
        <f t="shared" si="8"/>
        <v>580485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76750.133333333331</v>
      </c>
      <c r="E5" s="4">
        <f>'Interval Circuities'!I5</f>
        <v>1.2113349779208948</v>
      </c>
      <c r="F5" s="4">
        <f t="shared" si="0"/>
        <v>47.519968505160328</v>
      </c>
      <c r="G5" s="4">
        <f t="shared" si="1"/>
        <v>63.359958006880433</v>
      </c>
      <c r="H5" s="4">
        <f t="shared" si="2"/>
        <v>12611.874317707201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15762518.478416435</v>
      </c>
      <c r="M5" s="22">
        <f t="shared" si="5"/>
        <v>2210000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7586578.599636158</v>
      </c>
      <c r="R5" s="13">
        <f t="shared" si="8"/>
        <v>1063684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80384.026666666672</v>
      </c>
      <c r="E6" s="4">
        <f>'Interval Circuities'!I6</f>
        <v>1.1867711870318272</v>
      </c>
      <c r="F6" s="4">
        <f t="shared" si="0"/>
        <v>50.800036821574082</v>
      </c>
      <c r="G6" s="4">
        <f t="shared" si="1"/>
        <v>67.733382428765438</v>
      </c>
      <c r="H6" s="4">
        <f t="shared" si="2"/>
        <v>14413.033632868097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12628745.463183055</v>
      </c>
      <c r="M6" s="22">
        <f t="shared" si="5"/>
        <v>3940000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9857251.881735079</v>
      </c>
      <c r="R6" s="13">
        <f t="shared" si="8"/>
        <v>3075331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80100.639999999999</v>
      </c>
      <c r="E7" s="4">
        <f>'Interval Circuities'!I7</f>
        <v>1.177150456163321</v>
      </c>
      <c r="F7" s="4">
        <f t="shared" si="0"/>
        <v>51.034665692441415</v>
      </c>
      <c r="G7" s="4">
        <f t="shared" si="1"/>
        <v>68.04622092325522</v>
      </c>
      <c r="H7" s="4">
        <f t="shared" si="2"/>
        <v>14546.479336375211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17077772.509224076</v>
      </c>
      <c r="M7" s="22">
        <f t="shared" si="5"/>
        <v>1115000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7284887.6280221697</v>
      </c>
      <c r="R7" s="13">
        <f t="shared" si="8"/>
        <v>475627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72985.826666666675</v>
      </c>
      <c r="E8" s="4">
        <f>'Interval Circuities'!I8</f>
        <v>1.2142402320640244</v>
      </c>
      <c r="F8" s="4">
        <f t="shared" si="0"/>
        <v>45.08116973438721</v>
      </c>
      <c r="G8" s="4">
        <f t="shared" si="1"/>
        <v>60.10822631251628</v>
      </c>
      <c r="H8" s="4">
        <f t="shared" si="2"/>
        <v>11350.570708792076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8716355.7533602435</v>
      </c>
      <c r="M8" s="22">
        <f t="shared" si="5"/>
        <v>865000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8177322.2061758507</v>
      </c>
      <c r="R8" s="13">
        <f t="shared" si="8"/>
        <v>811507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63337.026666666658</v>
      </c>
      <c r="E9" s="4">
        <f>'Interval Circuities'!I9</f>
        <v>1.184717774513276</v>
      </c>
      <c r="F9" s="4">
        <f t="shared" si="0"/>
        <v>40.096275266500342</v>
      </c>
      <c r="G9" s="4">
        <f t="shared" si="1"/>
        <v>53.46170035533379</v>
      </c>
      <c r="H9" s="4">
        <f t="shared" si="2"/>
        <v>8979.1537396146468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13310175.475393493</v>
      </c>
      <c r="M9" s="22">
        <f t="shared" si="5"/>
        <v>8150000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6842555.4349537939</v>
      </c>
      <c r="R9" s="13">
        <f t="shared" si="8"/>
        <v>4189789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79601.786666666667</v>
      </c>
      <c r="E10" s="4">
        <f>'Interval Circuities'!I10</f>
        <v>1.264435337754819</v>
      </c>
      <c r="F10" s="4">
        <f t="shared" si="0"/>
        <v>47.215811056030788</v>
      </c>
      <c r="G10" s="4">
        <f t="shared" si="1"/>
        <v>62.954414741374379</v>
      </c>
      <c r="H10" s="4">
        <f t="shared" si="2"/>
        <v>12450.943270862183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11020656.284802368</v>
      </c>
      <c r="M10" s="22">
        <f t="shared" si="5"/>
        <v>1540000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6690776.3996394984</v>
      </c>
      <c r="R10" s="13">
        <f t="shared" si="8"/>
        <v>934953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83700.719999999987</v>
      </c>
      <c r="E11" s="4">
        <f>'Interval Circuities'!I11</f>
        <v>1.15916441938689</v>
      </c>
      <c r="F11" s="4">
        <f t="shared" si="0"/>
        <v>54.15585481238589</v>
      </c>
      <c r="G11" s="4">
        <f t="shared" si="1"/>
        <v>72.207806416514515</v>
      </c>
      <c r="H11" s="4">
        <f t="shared" si="2"/>
        <v>16380.161389251713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17448307.269440133</v>
      </c>
      <c r="M11" s="22">
        <f t="shared" si="5"/>
        <v>1785000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10534242.008347992</v>
      </c>
      <c r="R11" s="13">
        <f t="shared" si="8"/>
        <v>1077676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81062.333333333328</v>
      </c>
      <c r="E12" s="4">
        <f>'Interval Circuities'!I12</f>
        <v>1.1788996888743091</v>
      </c>
      <c r="F12" s="4">
        <f t="shared" si="0"/>
        <v>51.570757523952473</v>
      </c>
      <c r="G12" s="4">
        <f t="shared" si="1"/>
        <v>68.761010031936621</v>
      </c>
      <c r="H12" s="4">
        <f t="shared" si="2"/>
        <v>14853.690399933474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16439083.708080083</v>
      </c>
      <c r="M12" s="22">
        <f t="shared" si="5"/>
        <v>1140000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11154177.860411938</v>
      </c>
      <c r="R12" s="13">
        <f t="shared" si="8"/>
        <v>773508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75952.05333333333</v>
      </c>
      <c r="E13" s="4">
        <f>'Interval Circuities'!I13</f>
        <v>1.2091550470584023</v>
      </c>
      <c r="F13" s="4">
        <f t="shared" si="0"/>
        <v>47.11061673900339</v>
      </c>
      <c r="G13" s="4">
        <f t="shared" si="1"/>
        <v>62.814155652004516</v>
      </c>
      <c r="H13" s="4">
        <f t="shared" si="2"/>
        <v>12395.524994772135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13911818.265627617</v>
      </c>
      <c r="M13" s="22">
        <f t="shared" si="5"/>
        <v>4090000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8847382.3935974296</v>
      </c>
      <c r="R13" s="13">
        <f t="shared" si="8"/>
        <v>2601083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67830.386666666673</v>
      </c>
      <c r="E14" s="4">
        <f>'Interval Circuities'!I14</f>
        <v>1.3134913106716788</v>
      </c>
      <c r="F14" s="4">
        <f t="shared" si="0"/>
        <v>38.730968059457688</v>
      </c>
      <c r="G14" s="4">
        <f t="shared" si="1"/>
        <v>51.641290745943579</v>
      </c>
      <c r="H14" s="4">
        <f t="shared" si="2"/>
        <v>8378.0712621890307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13132220.413350079</v>
      </c>
      <c r="M14" s="22">
        <f t="shared" si="5"/>
        <v>2025000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7007151.7761029536</v>
      </c>
      <c r="R14" s="13">
        <f t="shared" si="8"/>
        <v>1080509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67352.146666666667</v>
      </c>
      <c r="E15" s="4">
        <f>'Interval Circuities'!I15</f>
        <v>1.1948231585674078</v>
      </c>
      <c r="F15" s="4">
        <f t="shared" si="0"/>
        <v>42.277478167201231</v>
      </c>
      <c r="G15" s="4">
        <f t="shared" si="1"/>
        <v>56.369970889601639</v>
      </c>
      <c r="H15" s="4">
        <f t="shared" si="2"/>
        <v>9982.6419348465352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12313532.997809431</v>
      </c>
      <c r="M15" s="22">
        <f t="shared" si="5"/>
        <v>4030000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5968146.3949293364</v>
      </c>
      <c r="R15" s="13">
        <f t="shared" si="8"/>
        <v>1953268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75785.527523120472</v>
      </c>
      <c r="E16" s="4">
        <f>'Interval Circuities'!I16</f>
        <v>1.2341094254813656</v>
      </c>
      <c r="F16" s="4">
        <f t="shared" si="0"/>
        <v>46.056811874822365</v>
      </c>
      <c r="G16" s="4">
        <f t="shared" si="1"/>
        <v>61.409082499763151</v>
      </c>
      <c r="H16" s="4">
        <f t="shared" si="2"/>
        <v>11847.182815067563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9864592.5294420663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9437393.4637751468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72688.040000000008</v>
      </c>
      <c r="E17" s="4">
        <f>'Interval Circuities'!I17</f>
        <v>1.3145741534748603</v>
      </c>
      <c r="F17" s="4">
        <f t="shared" si="0"/>
        <v>41.470486739676005</v>
      </c>
      <c r="G17" s="4">
        <f t="shared" si="1"/>
        <v>55.293982319568002</v>
      </c>
      <c r="H17" s="4">
        <f t="shared" si="2"/>
        <v>9605.1822876508322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10700506.710805455</v>
      </c>
      <c r="M17" s="22">
        <f t="shared" si="5"/>
        <v>1520000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4038272.6753593264</v>
      </c>
      <c r="R17" s="13">
        <f t="shared" si="8"/>
        <v>573634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91424.76</v>
      </c>
      <c r="E18" s="4">
        <f>'Interval Circuities'!I18</f>
        <v>1.219127930649105</v>
      </c>
      <c r="F18" s="4">
        <f t="shared" si="0"/>
        <v>56.243949692377051</v>
      </c>
      <c r="G18" s="4">
        <f t="shared" si="1"/>
        <v>74.991932923169401</v>
      </c>
      <c r="H18" s="4">
        <f t="shared" si="2"/>
        <v>17667.657360494257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12644759.116293473</v>
      </c>
      <c r="M18" s="22">
        <f t="shared" si="5"/>
        <v>870000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8254280.7380281677</v>
      </c>
      <c r="R18" s="13">
        <f t="shared" si="8"/>
        <v>567921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77870.937262595937</v>
      </c>
      <c r="E19" s="4">
        <f>'Interval Circuities'!I19</f>
        <v>1.4620608998697906</v>
      </c>
      <c r="F19" s="4">
        <f t="shared" si="0"/>
        <v>39.945807286241134</v>
      </c>
      <c r="G19" s="4">
        <f t="shared" si="1"/>
        <v>53.261076381654846</v>
      </c>
      <c r="H19" s="4">
        <f t="shared" si="2"/>
        <v>8911.8886357634183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15627847.826655846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7154451.0605399413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71689.733333333323</v>
      </c>
      <c r="E20" s="4">
        <f>'Interval Circuities'!I20</f>
        <v>1.2496789685528904</v>
      </c>
      <c r="F20" s="4">
        <f t="shared" si="0"/>
        <v>43.024889874126416</v>
      </c>
      <c r="G20" s="4">
        <f t="shared" si="1"/>
        <v>57.366519832168549</v>
      </c>
      <c r="H20" s="4">
        <f t="shared" si="2"/>
        <v>10338.722548361024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11187088.028017022</v>
      </c>
      <c r="M20" s="22">
        <f t="shared" si="5"/>
        <v>3630000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5765449.184863274</v>
      </c>
      <c r="R20" s="13">
        <f t="shared" si="8"/>
        <v>1870780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71114.92</v>
      </c>
      <c r="E21" s="4">
        <f>'Interval Circuities'!I21</f>
        <v>1.1955482791344592</v>
      </c>
      <c r="F21" s="4">
        <f t="shared" si="0"/>
        <v>44.61232635340648</v>
      </c>
      <c r="G21" s="4">
        <f t="shared" si="1"/>
        <v>59.483101804541974</v>
      </c>
      <c r="H21" s="4">
        <f t="shared" si="2"/>
        <v>11115.706906591464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7994914.5298270173</v>
      </c>
      <c r="M21" s="22">
        <f t="shared" si="5"/>
        <v>1030000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6314158.3961220728</v>
      </c>
      <c r="R21" s="13">
        <f t="shared" si="8"/>
        <v>813465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77092.999999999985</v>
      </c>
      <c r="E22" s="4">
        <f>'Interval Circuities'!I22</f>
        <v>1.3211799054302493</v>
      </c>
      <c r="F22" s="4">
        <f t="shared" si="0"/>
        <v>43.763721929429956</v>
      </c>
      <c r="G22" s="4">
        <f t="shared" si="1"/>
        <v>58.351629239239941</v>
      </c>
      <c r="H22" s="4">
        <f t="shared" si="2"/>
        <v>10696.84851983435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15342760.94087247</v>
      </c>
      <c r="M22" s="22">
        <f t="shared" si="5"/>
        <v>1630000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8259629.4550987035</v>
      </c>
      <c r="R22" s="13">
        <f t="shared" si="8"/>
        <v>877495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72530.533333333326</v>
      </c>
      <c r="E23" s="4">
        <f>'Interval Circuities'!I23</f>
        <v>1.3007096204396755</v>
      </c>
      <c r="F23" s="4">
        <f t="shared" si="0"/>
        <v>41.821709584658883</v>
      </c>
      <c r="G23" s="4">
        <f t="shared" si="1"/>
        <v>55.762279446211842</v>
      </c>
      <c r="H23" s="4">
        <f t="shared" si="2"/>
        <v>9768.5681281103771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8176981.9571646387</v>
      </c>
      <c r="M23" s="22">
        <f t="shared" si="5"/>
        <v>890000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4568286.8794441754</v>
      </c>
      <c r="R23" s="13">
        <f t="shared" si="8"/>
        <v>497222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84454.746666666659</v>
      </c>
      <c r="E24" s="4">
        <f>'Interval Circuities'!I24</f>
        <v>1.236981758474198</v>
      </c>
      <c r="F24" s="4">
        <f t="shared" si="0"/>
        <v>51.206139109222136</v>
      </c>
      <c r="G24" s="4">
        <f t="shared" si="1"/>
        <v>68.274852145629509</v>
      </c>
      <c r="H24" s="4">
        <f t="shared" si="2"/>
        <v>14644.394151226794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13786924.390041808</v>
      </c>
      <c r="M24" s="22">
        <f t="shared" si="5"/>
        <v>1425000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8624441.9960532971</v>
      </c>
      <c r="R24" s="13">
        <f t="shared" si="8"/>
        <v>891412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67686.319999999992</v>
      </c>
      <c r="E25" s="4">
        <f>'Interval Circuities'!I25</f>
        <v>1.3364317768339691</v>
      </c>
      <c r="F25" s="4">
        <f t="shared" si="0"/>
        <v>37.985283558778129</v>
      </c>
      <c r="G25" s="4">
        <f t="shared" si="1"/>
        <v>50.647044745037505</v>
      </c>
      <c r="H25" s="4">
        <f t="shared" si="2"/>
        <v>8058.572016593731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14147427.823930757</v>
      </c>
      <c r="M25" s="22">
        <f t="shared" si="5"/>
        <v>1300000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7529424.3274477646</v>
      </c>
      <c r="R25" s="13">
        <f t="shared" si="8"/>
        <v>691875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63955.41333333333</v>
      </c>
      <c r="E26" s="4">
        <f>'Interval Circuities'!I26</f>
        <v>1.2302944348754707</v>
      </c>
      <c r="F26" s="4">
        <f t="shared" si="0"/>
        <v>38.98787041563358</v>
      </c>
      <c r="G26" s="4">
        <f t="shared" si="1"/>
        <v>51.983827220844773</v>
      </c>
      <c r="H26" s="4">
        <f t="shared" si="2"/>
        <v>8489.5832954630114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24466902.107049868</v>
      </c>
      <c r="M26" s="22">
        <f t="shared" si="5"/>
        <v>12450000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10413343.466683839</v>
      </c>
      <c r="R26" s="13">
        <f t="shared" si="8"/>
        <v>5298837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77285</v>
      </c>
      <c r="E27" s="4">
        <f>'Interval Circuities'!I27</f>
        <v>1.2954053626339028</v>
      </c>
      <c r="F27" s="4">
        <f t="shared" si="0"/>
        <v>44.745646167578244</v>
      </c>
      <c r="G27" s="4">
        <f t="shared" si="1"/>
        <v>59.660861556770989</v>
      </c>
      <c r="H27" s="4">
        <f t="shared" si="2"/>
        <v>11182.242701821087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9489052.2071407996</v>
      </c>
      <c r="M27" s="22">
        <f t="shared" si="5"/>
        <v>860000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5693718.2026070207</v>
      </c>
      <c r="R27" s="13">
        <f t="shared" si="8"/>
        <v>516026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76428.51999999999</v>
      </c>
      <c r="E28" s="4">
        <f>'Interval Circuities'!I28</f>
        <v>1.2654725937451707</v>
      </c>
      <c r="F28" s="4">
        <f t="shared" si="0"/>
        <v>45.29642939983168</v>
      </c>
      <c r="G28" s="4">
        <f t="shared" si="1"/>
        <v>60.395239199775574</v>
      </c>
      <c r="H28" s="4">
        <f t="shared" si="2"/>
        <v>11459.225981727785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10844806.435089724</v>
      </c>
      <c r="M28" s="22">
        <f t="shared" si="5"/>
        <v>980000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5947668.0973897269</v>
      </c>
      <c r="R28" s="13">
        <f t="shared" si="8"/>
        <v>537466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76341.706666666651</v>
      </c>
      <c r="E29" s="4">
        <f>'Interval Circuities'!I29</f>
        <v>1.1738743598449186</v>
      </c>
      <c r="F29" s="4">
        <f t="shared" si="0"/>
        <v>48.775475432962146</v>
      </c>
      <c r="G29" s="4">
        <f t="shared" si="1"/>
        <v>65.033967243949519</v>
      </c>
      <c r="H29" s="4">
        <f t="shared" si="2"/>
        <v>13287.105047830821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14746583.016823452</v>
      </c>
      <c r="M29" s="22">
        <f t="shared" si="5"/>
        <v>1400000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8233480.7623302042</v>
      </c>
      <c r="R29" s="13">
        <f t="shared" si="8"/>
        <v>781664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73736.866666666654</v>
      </c>
      <c r="E30" s="4">
        <f>'Interval Circuities'!I30</f>
        <v>1.2115563910021403</v>
      </c>
      <c r="F30" s="4">
        <f t="shared" si="0"/>
        <v>45.64595623506748</v>
      </c>
      <c r="G30" s="4">
        <f t="shared" si="1"/>
        <v>60.861274980089973</v>
      </c>
      <c r="H30" s="4">
        <f t="shared" si="2"/>
        <v>11636.75698738241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12209468.696030375</v>
      </c>
      <c r="M30" s="22">
        <f t="shared" si="5"/>
        <v>2430000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8252183.9372110693</v>
      </c>
      <c r="R30" s="13">
        <f t="shared" si="8"/>
        <v>1642398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81072.773333333331</v>
      </c>
      <c r="E31" s="4">
        <f>'Interval Circuities'!I31</f>
        <v>1.3016525744538432</v>
      </c>
      <c r="F31" s="4">
        <f t="shared" si="0"/>
        <v>46.713371289195834</v>
      </c>
      <c r="G31" s="4">
        <f t="shared" si="1"/>
        <v>62.284495052261107</v>
      </c>
      <c r="H31" s="4">
        <f t="shared" si="2"/>
        <v>12187.363611054212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9285083.1315762717</v>
      </c>
      <c r="M31" s="22">
        <f t="shared" si="5"/>
        <v>850000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6934012.6936434507</v>
      </c>
      <c r="R31" s="13">
        <f t="shared" si="8"/>
        <v>634772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75616.093333333323</v>
      </c>
      <c r="E32" s="4">
        <f>'Interval Circuities'!I32</f>
        <v>1.3214772641258683</v>
      </c>
      <c r="F32" s="4">
        <f t="shared" si="0"/>
        <v>42.915660783247709</v>
      </c>
      <c r="G32" s="4">
        <f t="shared" si="1"/>
        <v>57.220881044330277</v>
      </c>
      <c r="H32" s="4">
        <f t="shared" si="2"/>
        <v>10286.29448724967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21982150.469265096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10866850.990702124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69158.266666666663</v>
      </c>
      <c r="E33" s="4">
        <f>'Interval Circuities'!I33</f>
        <v>1.2130954343370983</v>
      </c>
      <c r="F33" s="4">
        <f t="shared" si="0"/>
        <v>42.757312023306632</v>
      </c>
      <c r="G33" s="4">
        <f t="shared" si="1"/>
        <v>57.00974936440884</v>
      </c>
      <c r="H33" s="4">
        <f t="shared" si="2"/>
        <v>10210.526482724808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20225376.504601836</v>
      </c>
      <c r="M33" s="22">
        <f t="shared" si="5"/>
        <v>17200000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9271394.9022882786</v>
      </c>
      <c r="R33" s="13">
        <f t="shared" si="8"/>
        <v>7884550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79356.959999999992</v>
      </c>
      <c r="E34" s="4">
        <f>'Interval Circuities'!I34</f>
        <v>1.2377226598834135</v>
      </c>
      <c r="F34" s="4">
        <f t="shared" si="0"/>
        <v>48.086475208918152</v>
      </c>
      <c r="G34" s="4">
        <f t="shared" si="1"/>
        <v>64.115300278557527</v>
      </c>
      <c r="H34" s="4">
        <f t="shared" si="2"/>
        <v>12914.37026695444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12529392.388452629</v>
      </c>
      <c r="M34" s="22">
        <f t="shared" si="5"/>
        <v>810000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6827992.9265940804</v>
      </c>
      <c r="R34" s="13">
        <f t="shared" si="8"/>
        <v>441416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60987.586666666662</v>
      </c>
      <c r="E35" s="4">
        <f>'Interval Circuities'!I35</f>
        <v>1.2697044700607121</v>
      </c>
      <c r="F35" s="4">
        <f t="shared" si="0"/>
        <v>36.024674306937634</v>
      </c>
      <c r="G35" s="4">
        <f t="shared" si="1"/>
        <v>48.032899075916845</v>
      </c>
      <c r="H35" s="4">
        <f t="shared" si="2"/>
        <v>7248.1550017113505</v>
      </c>
      <c r="I35" s="4">
        <f t="shared" si="3"/>
        <v>1047.9139885488814</v>
      </c>
      <c r="J35" s="9">
        <f>'2000-10'!J35</f>
        <v>1173.7604550000001</v>
      </c>
      <c r="K35" s="9">
        <f>'2000-10'!K35</f>
        <v>1230000</v>
      </c>
      <c r="L35" s="22">
        <f t="shared" si="4"/>
        <v>7595443.0174638657</v>
      </c>
      <c r="M35" s="22">
        <f t="shared" si="5"/>
        <v>1230000</v>
      </c>
      <c r="N35" s="19" t="s">
        <v>92</v>
      </c>
      <c r="O35" s="4">
        <f t="shared" si="6"/>
        <v>697.01274780125379</v>
      </c>
      <c r="P35" s="13">
        <f>'2000-10'!P35</f>
        <v>818126</v>
      </c>
      <c r="Q35" s="22">
        <f t="shared" si="7"/>
        <v>5052056.4342322294</v>
      </c>
      <c r="R35" s="13">
        <f t="shared" si="8"/>
        <v>818126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70487.839999999997</v>
      </c>
      <c r="E36" s="4">
        <f>'Interval Circuities'!I36</f>
        <v>1.1694593523593295</v>
      </c>
      <c r="F36" s="4">
        <f t="shared" si="0"/>
        <v>45.205401875101991</v>
      </c>
      <c r="G36" s="4">
        <f t="shared" si="1"/>
        <v>60.273869166802655</v>
      </c>
      <c r="H36" s="4">
        <f t="shared" si="2"/>
        <v>11413.215429442242</v>
      </c>
      <c r="I36" s="4">
        <f t="shared" si="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4"/>
        <v>12550158.02805974</v>
      </c>
      <c r="M36" s="22">
        <f t="shared" si="5"/>
        <v>5125000</v>
      </c>
      <c r="N36" s="19" t="s">
        <v>92</v>
      </c>
      <c r="O36" s="4">
        <f t="shared" si="6"/>
        <v>547.27078534034638</v>
      </c>
      <c r="P36" s="13">
        <f>'2000-10'!P36</f>
        <v>2550674</v>
      </c>
      <c r="Q36" s="22">
        <f t="shared" si="7"/>
        <v>6246119.3713294147</v>
      </c>
      <c r="R36" s="13">
        <f t="shared" si="8"/>
        <v>2550674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69923.533333333326</v>
      </c>
      <c r="E37" s="4">
        <f>'Interval Circuities'!I37</f>
        <v>1.2966216191463009</v>
      </c>
      <c r="F37" s="4">
        <f t="shared" si="0"/>
        <v>40.445608206446828</v>
      </c>
      <c r="G37" s="4">
        <f t="shared" si="1"/>
        <v>53.927477608595765</v>
      </c>
      <c r="H37" s="4">
        <f t="shared" si="2"/>
        <v>9136.2944333636933</v>
      </c>
      <c r="I37" s="4">
        <f t="shared" si="3"/>
        <v>1401.3597327768193</v>
      </c>
      <c r="J37" s="9">
        <f>'2000-10'!J37</f>
        <v>2069.418674</v>
      </c>
      <c r="K37" s="9">
        <f>'2000-10'!K37</f>
        <v>2900000</v>
      </c>
      <c r="L37" s="22">
        <f t="shared" si="4"/>
        <v>12803235.125708887</v>
      </c>
      <c r="M37" s="22">
        <f t="shared" si="5"/>
        <v>2900000</v>
      </c>
      <c r="N37" s="19" t="s">
        <v>92</v>
      </c>
      <c r="O37" s="4">
        <f t="shared" si="6"/>
        <v>677.88602549355369</v>
      </c>
      <c r="P37" s="13">
        <f>'2000-10'!P37</f>
        <v>1402830</v>
      </c>
      <c r="Q37" s="22">
        <f t="shared" si="7"/>
        <v>6193366.3211717932</v>
      </c>
      <c r="R37" s="13">
        <f t="shared" si="8"/>
        <v>1402830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78068.17333333334</v>
      </c>
      <c r="E38" s="4">
        <f>'Interval Circuities'!I38</f>
        <v>1.2358291642611903</v>
      </c>
      <c r="F38" s="4">
        <f t="shared" si="0"/>
        <v>47.378012829955615</v>
      </c>
      <c r="G38" s="4">
        <f t="shared" si="1"/>
        <v>63.170683773274149</v>
      </c>
      <c r="H38" s="4">
        <f t="shared" si="2"/>
        <v>12536.636345874866</v>
      </c>
      <c r="I38" s="4">
        <f t="shared" si="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4"/>
        <v>10022737.454520507</v>
      </c>
      <c r="M38" s="22">
        <f t="shared" si="5"/>
        <v>1765000</v>
      </c>
      <c r="N38" s="19" t="s">
        <v>92</v>
      </c>
      <c r="O38" s="4">
        <f t="shared" si="6"/>
        <v>470.46365508810919</v>
      </c>
      <c r="P38" s="13">
        <f>'2000-10'!P38</f>
        <v>1038641</v>
      </c>
      <c r="Q38" s="22">
        <f t="shared" si="7"/>
        <v>5898031.7577907266</v>
      </c>
      <c r="R38" s="13">
        <f t="shared" si="8"/>
        <v>1038641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70783.93333333332</v>
      </c>
      <c r="E39" s="4">
        <f>'Interval Circuities'!I39</f>
        <v>1.4127784794158622</v>
      </c>
      <c r="F39" s="4">
        <f t="shared" si="0"/>
        <v>37.576980944634812</v>
      </c>
      <c r="G39" s="4">
        <f t="shared" si="1"/>
        <v>50.102641259513078</v>
      </c>
      <c r="H39" s="4">
        <f t="shared" si="2"/>
        <v>7886.2604340540056</v>
      </c>
      <c r="I39" s="4">
        <f t="shared" si="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4"/>
        <v>10215110.98288488</v>
      </c>
      <c r="M39" s="22">
        <f t="shared" si="5"/>
        <v>1590000</v>
      </c>
      <c r="N39" s="19" t="s">
        <v>92</v>
      </c>
      <c r="O39" s="4">
        <f t="shared" si="6"/>
        <v>714.74674387135121</v>
      </c>
      <c r="P39" s="13">
        <f>'2000-10'!P39</f>
        <v>877359</v>
      </c>
      <c r="Q39" s="22">
        <f t="shared" si="7"/>
        <v>5636678.9665615698</v>
      </c>
      <c r="R39" s="13">
        <f t="shared" si="8"/>
        <v>877359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83309.866666666669</v>
      </c>
      <c r="E40" s="4">
        <f>'Interval Circuities'!I40</f>
        <v>1.2543582471342962</v>
      </c>
      <c r="F40" s="4">
        <f t="shared" si="0"/>
        <v>49.812244741681361</v>
      </c>
      <c r="G40" s="4">
        <f t="shared" si="1"/>
        <v>66.416326322241815</v>
      </c>
      <c r="H40" s="4">
        <f t="shared" si="2"/>
        <v>13857.968582212194</v>
      </c>
      <c r="I40" s="4">
        <f t="shared" si="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4"/>
        <v>12855048.881788611</v>
      </c>
      <c r="M40" s="22">
        <f t="shared" si="5"/>
        <v>1210000</v>
      </c>
      <c r="N40" s="19" t="s">
        <v>92</v>
      </c>
      <c r="O40" s="4">
        <f t="shared" si="6"/>
        <v>482.44740198664414</v>
      </c>
      <c r="P40" s="13">
        <f>'2000-10'!P40</f>
        <v>629305</v>
      </c>
      <c r="Q40" s="22">
        <f t="shared" si="7"/>
        <v>6685740.9393008109</v>
      </c>
      <c r="R40" s="13">
        <f t="shared" si="8"/>
        <v>629305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82171.933333333334</v>
      </c>
      <c r="E41" s="4">
        <f>'Interval Circuities'!I41</f>
        <v>1.1937612048010895</v>
      </c>
      <c r="F41" s="4">
        <f t="shared" si="0"/>
        <v>51.62586097800768</v>
      </c>
      <c r="G41" s="4">
        <f t="shared" si="1"/>
        <v>68.834481304010239</v>
      </c>
      <c r="H41" s="4">
        <f t="shared" si="2"/>
        <v>14885.449752120889</v>
      </c>
      <c r="I41" s="4">
        <f t="shared" si="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4"/>
        <v>14205854.099638883</v>
      </c>
      <c r="M41" s="22">
        <f t="shared" si="5"/>
        <v>790000</v>
      </c>
      <c r="N41" s="19" t="s">
        <v>92</v>
      </c>
      <c r="O41" s="4">
        <f t="shared" si="6"/>
        <v>742.45018600123069</v>
      </c>
      <c r="P41" s="13">
        <f>'2000-10'!P41</f>
        <v>614595</v>
      </c>
      <c r="Q41" s="22">
        <f t="shared" si="7"/>
        <v>11051704.937174127</v>
      </c>
      <c r="R41" s="13">
        <f t="shared" si="8"/>
        <v>614595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82785.863412340041</v>
      </c>
      <c r="E42" s="4">
        <f>'Interval Circuities'!I42</f>
        <v>1.1840092169585228</v>
      </c>
      <c r="F42" s="4">
        <f t="shared" si="0"/>
        <v>52.439961336407478</v>
      </c>
      <c r="G42" s="4">
        <f t="shared" si="1"/>
        <v>69.919948448543295</v>
      </c>
      <c r="H42" s="4">
        <f t="shared" si="2"/>
        <v>15358.615623468828</v>
      </c>
      <c r="I42" s="4">
        <f t="shared" si="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4"/>
        <v>13360670.028308077</v>
      </c>
      <c r="M42" s="22">
        <f t="shared" si="5"/>
        <v>665000</v>
      </c>
      <c r="N42" s="19" t="s">
        <v>92</v>
      </c>
      <c r="O42" s="4">
        <f t="shared" si="6"/>
        <v>595.44480330121178</v>
      </c>
      <c r="P42" s="13">
        <f>'2000-10'!P42</f>
        <v>455184</v>
      </c>
      <c r="Q42" s="22">
        <f t="shared" si="7"/>
        <v>9145207.8588953149</v>
      </c>
      <c r="R42" s="13">
        <f t="shared" si="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71063.213333333319</v>
      </c>
      <c r="E43" s="4">
        <f>'Interval Circuities'!I43</f>
        <v>1.4448832015359987</v>
      </c>
      <c r="F43" s="4">
        <f t="shared" si="0"/>
        <v>36.887002315025612</v>
      </c>
      <c r="G43" s="4">
        <f t="shared" si="1"/>
        <v>49.182669753367477</v>
      </c>
      <c r="H43" s="4">
        <f t="shared" si="2"/>
        <v>7599.3084382937641</v>
      </c>
      <c r="I43" s="4">
        <f t="shared" si="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4"/>
        <v>11687763.19527887</v>
      </c>
      <c r="M43" s="22">
        <f t="shared" si="5"/>
        <v>1470000</v>
      </c>
      <c r="N43" s="19" t="s">
        <v>92</v>
      </c>
      <c r="O43" s="4">
        <f t="shared" si="6"/>
        <v>612.25827963614597</v>
      </c>
      <c r="P43" s="13">
        <f>'2000-10'!P43</f>
        <v>585187</v>
      </c>
      <c r="Q43" s="22">
        <f t="shared" si="7"/>
        <v>4652739.5108541874</v>
      </c>
      <c r="R43" s="13">
        <f t="shared" si="8"/>
        <v>585187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69645.573333333334</v>
      </c>
      <c r="E44" s="4">
        <f>'Interval Circuities'!I44</f>
        <v>1.4425243734765654</v>
      </c>
      <c r="F44" s="4">
        <f t="shared" si="0"/>
        <v>36.210258183792533</v>
      </c>
      <c r="G44" s="4">
        <f t="shared" si="1"/>
        <v>48.28034424505671</v>
      </c>
      <c r="H44" s="4">
        <f t="shared" si="2"/>
        <v>7323.0262131264026</v>
      </c>
      <c r="I44" s="4">
        <f t="shared" si="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4"/>
        <v>11274376.996202236</v>
      </c>
      <c r="M44" s="22">
        <f t="shared" si="5"/>
        <v>920000</v>
      </c>
      <c r="N44" s="19" t="s">
        <v>92</v>
      </c>
      <c r="O44" s="4">
        <f t="shared" si="6"/>
        <v>1022.9581711561229</v>
      </c>
      <c r="P44" s="13">
        <f>'2000-10'!P44</f>
        <v>611285</v>
      </c>
      <c r="Q44" s="22">
        <f t="shared" si="7"/>
        <v>7491149.5023081331</v>
      </c>
      <c r="R44" s="13">
        <f t="shared" si="8"/>
        <v>611285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79474.986666666664</v>
      </c>
      <c r="E45" s="4">
        <f>'Interval Circuities'!I45</f>
        <v>1.2726925163670118</v>
      </c>
      <c r="F45" s="4">
        <f t="shared" si="0"/>
        <v>46.834753275795244</v>
      </c>
      <c r="G45" s="4">
        <f t="shared" si="1"/>
        <v>62.446337701060322</v>
      </c>
      <c r="H45" s="4">
        <f t="shared" si="2"/>
        <v>12250.782214232857</v>
      </c>
      <c r="I45" s="4">
        <f t="shared" si="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4"/>
        <v>14623316.533101298</v>
      </c>
      <c r="M45" s="22">
        <f t="shared" si="5"/>
        <v>1260000</v>
      </c>
      <c r="N45" s="19" t="s">
        <v>92</v>
      </c>
      <c r="O45" s="4">
        <f t="shared" si="6"/>
        <v>601.99786445569703</v>
      </c>
      <c r="P45" s="13">
        <f>'2000-10'!P45</f>
        <v>635453</v>
      </c>
      <c r="Q45" s="22">
        <f t="shared" si="7"/>
        <v>7374944.7308800155</v>
      </c>
      <c r="R45" s="13">
        <f t="shared" si="8"/>
        <v>635453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70893.106666666659</v>
      </c>
      <c r="E46" s="4">
        <f>'Interval Circuities'!I46</f>
        <v>1.3854243472002545</v>
      </c>
      <c r="F46" s="4">
        <f t="shared" si="0"/>
        <v>38.378010396200025</v>
      </c>
      <c r="G46" s="4">
        <f t="shared" si="1"/>
        <v>51.170680528266701</v>
      </c>
      <c r="H46" s="4">
        <f t="shared" si="2"/>
        <v>8226.0672991289321</v>
      </c>
      <c r="I46" s="4">
        <f t="shared" si="3"/>
        <v>1372.086028348845</v>
      </c>
      <c r="J46" s="9">
        <f>'2000-10'!J46</f>
        <v>2026.112024</v>
      </c>
      <c r="K46" s="9">
        <f>'2000-10'!K46</f>
        <v>2780000</v>
      </c>
      <c r="L46" s="22">
        <f t="shared" si="4"/>
        <v>11286872.009392127</v>
      </c>
      <c r="M46" s="22">
        <f t="shared" si="5"/>
        <v>2780000</v>
      </c>
      <c r="N46" s="19" t="s">
        <v>92</v>
      </c>
      <c r="O46" s="4">
        <f t="shared" si="6"/>
        <v>533.91026122255516</v>
      </c>
      <c r="P46" s="13">
        <f>'2000-10'!P46</f>
        <v>1081762</v>
      </c>
      <c r="Q46" s="22">
        <f t="shared" si="7"/>
        <v>4391981.7405122472</v>
      </c>
      <c r="R46" s="13">
        <f t="shared" si="8"/>
        <v>1081762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71100.28</v>
      </c>
      <c r="E47" s="4">
        <f>'Interval Circuities'!I47</f>
        <v>1.3473357563058721</v>
      </c>
      <c r="F47" s="4">
        <f t="shared" si="0"/>
        <v>39.578263807239232</v>
      </c>
      <c r="G47" s="4">
        <f t="shared" si="1"/>
        <v>52.771018409652307</v>
      </c>
      <c r="H47" s="4">
        <f t="shared" si="2"/>
        <v>8748.6455962097989</v>
      </c>
      <c r="I47" s="4">
        <f t="shared" si="3"/>
        <v>3692.1786197984002</v>
      </c>
      <c r="J47" s="9">
        <f>'2000-10'!J47</f>
        <v>1107.747057</v>
      </c>
      <c r="K47" s="9">
        <f>'2000-10'!K47</f>
        <v>4090000</v>
      </c>
      <c r="L47" s="22">
        <f t="shared" si="4"/>
        <v>32301562.222519249</v>
      </c>
      <c r="M47" s="22">
        <f t="shared" si="5"/>
        <v>4090000</v>
      </c>
      <c r="N47" s="19" t="s">
        <v>92</v>
      </c>
      <c r="O47" s="4">
        <f t="shared" si="6"/>
        <v>1849.2479732221034</v>
      </c>
      <c r="P47" s="13">
        <f>'2000-10'!P47</f>
        <v>2048499</v>
      </c>
      <c r="Q47" s="22">
        <f t="shared" si="7"/>
        <v>16178415.13722945</v>
      </c>
      <c r="R47" s="13">
        <f t="shared" si="8"/>
        <v>2048499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67551.853333333333</v>
      </c>
      <c r="E48" s="4">
        <f>'Interval Circuities'!I48</f>
        <v>1.4174729145652822</v>
      </c>
      <c r="F48" s="4">
        <f t="shared" si="0"/>
        <v>35.742404302333959</v>
      </c>
      <c r="G48" s="4">
        <f t="shared" si="1"/>
        <v>47.65653906977861</v>
      </c>
      <c r="H48" s="4">
        <f t="shared" si="2"/>
        <v>7135.0146969610159</v>
      </c>
      <c r="I48" s="4">
        <f t="shared" si="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4"/>
        <v>17740000.867275983</v>
      </c>
      <c r="M48" s="22">
        <f t="shared" si="5"/>
        <v>1675000</v>
      </c>
      <c r="N48" s="19" t="s">
        <v>92</v>
      </c>
      <c r="O48" s="4">
        <f t="shared" si="6"/>
        <v>1548.2013042170763</v>
      </c>
      <c r="P48" s="13">
        <f>'2000-10'!P48</f>
        <v>1042998</v>
      </c>
      <c r="Q48" s="22">
        <f t="shared" si="7"/>
        <v>11046439.059443053</v>
      </c>
      <c r="R48" s="13">
        <f t="shared" si="8"/>
        <v>1042998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77582.2</v>
      </c>
      <c r="E49" s="4">
        <f>'Interval Circuities'!I49</f>
        <v>1.380083662031049</v>
      </c>
      <c r="F49" s="4">
        <f t="shared" si="0"/>
        <v>42.161683092724651</v>
      </c>
      <c r="G49" s="4">
        <f t="shared" si="1"/>
        <v>56.215577456966201</v>
      </c>
      <c r="H49" s="4">
        <f t="shared" si="2"/>
        <v>9928.0332970729251</v>
      </c>
      <c r="I49" s="4">
        <f t="shared" si="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4"/>
        <v>11013813.914551878</v>
      </c>
      <c r="M49" s="22">
        <f t="shared" si="5"/>
        <v>2740000</v>
      </c>
      <c r="N49" s="19" t="s">
        <v>92</v>
      </c>
      <c r="O49" s="4">
        <f t="shared" si="6"/>
        <v>599.91348482451292</v>
      </c>
      <c r="P49" s="13">
        <f>'2000-10'!P49</f>
        <v>1481715</v>
      </c>
      <c r="Q49" s="22">
        <f t="shared" si="7"/>
        <v>5955961.0527008176</v>
      </c>
      <c r="R49" s="13">
        <f t="shared" si="8"/>
        <v>1481715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79772.12</v>
      </c>
      <c r="E50" s="4">
        <f>'Interval Circuities'!I50</f>
        <v>1.2311570010379047</v>
      </c>
      <c r="F50" s="4">
        <f t="shared" si="0"/>
        <v>48.595824861948692</v>
      </c>
      <c r="G50" s="4">
        <f t="shared" si="1"/>
        <v>64.794433149264918</v>
      </c>
      <c r="H50" s="4">
        <f t="shared" si="2"/>
        <v>13189.406767939563</v>
      </c>
      <c r="I50" s="4">
        <f t="shared" si="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4"/>
        <v>22654069.688346185</v>
      </c>
      <c r="M50" s="22">
        <f t="shared" si="5"/>
        <v>4965000</v>
      </c>
      <c r="N50" s="19" t="s">
        <v>92</v>
      </c>
      <c r="O50" s="4">
        <f t="shared" si="6"/>
        <v>514.0451157391708</v>
      </c>
      <c r="P50" s="13">
        <f>'2000-10'!P50</f>
        <v>1485934</v>
      </c>
      <c r="Q50" s="22">
        <f t="shared" si="7"/>
        <v>6779950.1285564955</v>
      </c>
      <c r="R50" s="13">
        <f t="shared" si="8"/>
        <v>1485934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75336.639999999985</v>
      </c>
      <c r="E51" s="4">
        <f>'Interval Circuities'!I51</f>
        <v>1.3102948697881154</v>
      </c>
      <c r="F51" s="4">
        <f t="shared" si="0"/>
        <v>43.121957738517956</v>
      </c>
      <c r="G51" s="4">
        <f t="shared" si="1"/>
        <v>57.495943651357273</v>
      </c>
      <c r="H51" s="4">
        <f t="shared" si="2"/>
        <v>10385.425272186822</v>
      </c>
      <c r="I51" s="4">
        <f t="shared" si="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4"/>
        <v>9940524.6315749213</v>
      </c>
      <c r="M51" s="22">
        <f t="shared" si="5"/>
        <v>2055000</v>
      </c>
      <c r="N51" s="19" t="s">
        <v>92</v>
      </c>
      <c r="O51" s="4">
        <f t="shared" si="6"/>
        <v>568.5308450770176</v>
      </c>
      <c r="P51" s="13">
        <f>'2000-10'!P51</f>
        <v>1220621</v>
      </c>
      <c r="Q51" s="22">
        <f t="shared" si="7"/>
        <v>5904434.6064805891</v>
      </c>
      <c r="R51" s="13">
        <f t="shared" si="8"/>
        <v>1220621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63441.119999999995</v>
      </c>
      <c r="E52" s="4">
        <f>'Interval Circuities'!I52</f>
        <v>1.2390870041430293</v>
      </c>
      <c r="F52" s="4">
        <f t="shared" si="0"/>
        <v>38.399918521385516</v>
      </c>
      <c r="G52" s="4">
        <f t="shared" si="1"/>
        <v>51.199891361847349</v>
      </c>
      <c r="H52" s="4">
        <f t="shared" si="2"/>
        <v>8235.4616970689058</v>
      </c>
      <c r="I52" s="4">
        <f t="shared" si="3"/>
        <v>962.52206654026702</v>
      </c>
      <c r="J52" s="9">
        <f>'2000-10'!J52</f>
        <v>2077.87444</v>
      </c>
      <c r="K52" s="9">
        <f>'2000-10'!K52</f>
        <v>2000000</v>
      </c>
      <c r="L52" s="22">
        <f t="shared" si="4"/>
        <v>7926813.6115759779</v>
      </c>
      <c r="M52" s="22">
        <f t="shared" si="5"/>
        <v>2000000</v>
      </c>
      <c r="N52" s="19" t="s">
        <v>92</v>
      </c>
      <c r="O52" s="4">
        <f t="shared" si="6"/>
        <v>501.91290672982143</v>
      </c>
      <c r="P52" s="13">
        <f>'2000-10'!P52</f>
        <v>1042912</v>
      </c>
      <c r="Q52" s="22">
        <f t="shared" si="7"/>
        <v>4133484.5186379626</v>
      </c>
      <c r="R52" s="13">
        <f t="shared" si="8"/>
        <v>1042912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66075.439999999988</v>
      </c>
      <c r="E53" s="4">
        <f>'Interval Circuities'!I53</f>
        <v>1.2611691566316285</v>
      </c>
      <c r="F53" s="4">
        <f t="shared" si="0"/>
        <v>39.294157916418854</v>
      </c>
      <c r="G53" s="4">
        <f t="shared" si="1"/>
        <v>52.392210555225134</v>
      </c>
      <c r="H53" s="4">
        <f t="shared" si="2"/>
        <v>8623.4950468303268</v>
      </c>
      <c r="I53" s="4">
        <f t="shared" si="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4"/>
        <v>11599658.443897314</v>
      </c>
      <c r="M53" s="22">
        <f t="shared" si="5"/>
        <v>4030000</v>
      </c>
      <c r="N53" s="19" t="s">
        <v>92</v>
      </c>
      <c r="O53" s="4">
        <f t="shared" si="6"/>
        <v>760.55704152110548</v>
      </c>
      <c r="P53" s="13">
        <f>'2000-10'!P53</f>
        <v>2278636</v>
      </c>
      <c r="Q53" s="22">
        <f t="shared" si="7"/>
        <v>6558659.88038918</v>
      </c>
      <c r="R53" s="13">
        <f t="shared" si="8"/>
        <v>2278636</v>
      </c>
    </row>
    <row r="54" spans="1:18">
      <c r="D54" s="3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E14" sqref="E14"/>
    </sheetView>
  </sheetViews>
  <sheetFormatPr baseColWidth="10" defaultColWidth="11.5" defaultRowHeight="14" x14ac:dyDescent="0"/>
  <cols>
    <col min="4" max="4" width="8.5" style="35" customWidth="1"/>
  </cols>
  <sheetData>
    <row r="1" spans="1:18" ht="56">
      <c r="A1" s="18">
        <f>9/6</f>
        <v>1.5</v>
      </c>
      <c r="B1" s="1" t="s">
        <v>60</v>
      </c>
      <c r="C1" s="1" t="s">
        <v>61</v>
      </c>
      <c r="D1" s="38" t="s">
        <v>158</v>
      </c>
      <c r="E1" s="7" t="s">
        <v>91</v>
      </c>
      <c r="F1" s="1" t="s">
        <v>21</v>
      </c>
      <c r="G1" s="1" t="s">
        <v>20</v>
      </c>
      <c r="H1" s="1" t="s">
        <v>131</v>
      </c>
      <c r="I1" s="1" t="s">
        <v>25</v>
      </c>
      <c r="J1" s="8" t="s">
        <v>84</v>
      </c>
      <c r="K1" s="23" t="s">
        <v>79</v>
      </c>
      <c r="L1" s="21" t="s">
        <v>77</v>
      </c>
      <c r="M1" s="27" t="s">
        <v>104</v>
      </c>
      <c r="N1" s="19" t="s">
        <v>92</v>
      </c>
      <c r="O1" s="1" t="s">
        <v>90</v>
      </c>
      <c r="P1" s="1" t="s">
        <v>88</v>
      </c>
      <c r="Q1" s="21" t="s">
        <v>89</v>
      </c>
      <c r="R1" s="18" t="s">
        <v>103</v>
      </c>
    </row>
    <row r="2" spans="1:18" ht="16">
      <c r="A2" s="18" t="s">
        <v>16</v>
      </c>
      <c r="B2" s="18" t="s">
        <v>18</v>
      </c>
      <c r="C2" s="18" t="s">
        <v>122</v>
      </c>
      <c r="E2" s="18" t="s">
        <v>116</v>
      </c>
      <c r="F2" s="18" t="s">
        <v>17</v>
      </c>
      <c r="G2" s="18" t="s">
        <v>19</v>
      </c>
      <c r="H2" s="18" t="s">
        <v>132</v>
      </c>
      <c r="I2" s="18" t="s">
        <v>24</v>
      </c>
      <c r="J2" s="9" t="s">
        <v>16</v>
      </c>
      <c r="K2" s="13" t="s">
        <v>123</v>
      </c>
      <c r="L2" s="22" t="s">
        <v>129</v>
      </c>
      <c r="M2" s="22" t="s">
        <v>124</v>
      </c>
      <c r="N2" s="19" t="s">
        <v>92</v>
      </c>
      <c r="O2" s="18" t="s">
        <v>125</v>
      </c>
      <c r="P2" s="18" t="s">
        <v>126</v>
      </c>
      <c r="Q2" s="22" t="s">
        <v>128</v>
      </c>
      <c r="R2" s="18" t="s">
        <v>127</v>
      </c>
    </row>
    <row r="3" spans="1:18">
      <c r="A3" s="18" t="s">
        <v>26</v>
      </c>
      <c r="B3" s="4">
        <f>'2000-10'!B3</f>
        <v>52.316789999999997</v>
      </c>
      <c r="C3" s="4">
        <f>'2000-10'!C3</f>
        <v>68.534989999999993</v>
      </c>
      <c r="D3" s="36">
        <f>B3*$A$1*1000</f>
        <v>78475.184999999998</v>
      </c>
      <c r="E3" s="4">
        <f>'Interval Circuities'!J3</f>
        <v>1.197270048016269</v>
      </c>
      <c r="F3" s="4">
        <f t="shared" ref="F3:F53" si="0">B3/E3</f>
        <v>43.696733319840881</v>
      </c>
      <c r="G3" s="4">
        <f t="shared" ref="G3:G53" si="1">F3*$A$1</f>
        <v>65.545099979761318</v>
      </c>
      <c r="H3" s="4">
        <f t="shared" ref="H3:H53" si="2">PI()*G3^2</f>
        <v>13496.78510731622</v>
      </c>
      <c r="I3" s="4">
        <f t="shared" ref="I3:I53" si="3">K3/J3</f>
        <v>757.41793847465317</v>
      </c>
      <c r="J3" s="9">
        <f>'2000-10'!J3</f>
        <v>5083.0589090000003</v>
      </c>
      <c r="K3" s="9">
        <f>'2000-10'!K3</f>
        <v>3850000</v>
      </c>
      <c r="L3" s="22">
        <f t="shared" ref="L3:L53" si="4">H3*I3</f>
        <v>10222707.152018853</v>
      </c>
      <c r="M3" s="22">
        <f t="shared" ref="M3:M53" si="5">MIN(K3,L3)</f>
        <v>3850000</v>
      </c>
      <c r="N3" s="19" t="s">
        <v>92</v>
      </c>
      <c r="O3" s="4">
        <f t="shared" ref="O3:O53" si="6">P3/J3</f>
        <v>418.87926898310906</v>
      </c>
      <c r="P3" s="13">
        <f>'2000-10'!P3</f>
        <v>2129188</v>
      </c>
      <c r="Q3" s="22">
        <f t="shared" ref="Q3:Q53" si="7">H3*O3</f>
        <v>5653523.479374731</v>
      </c>
      <c r="R3" s="13">
        <f t="shared" ref="R3:R53" si="8">MIN(Q3,P3)</f>
        <v>2129188</v>
      </c>
    </row>
    <row r="4" spans="1:18">
      <c r="A4" s="18" t="s">
        <v>27</v>
      </c>
      <c r="B4" s="4">
        <f>'2000-10'!B4</f>
        <v>53.198880000000003</v>
      </c>
      <c r="C4" s="4">
        <f>'2000-10'!C4</f>
        <v>67.562579999999997</v>
      </c>
      <c r="D4" s="36">
        <f t="shared" ref="D4:D53" si="9">B4*$A$1*1000</f>
        <v>79798.320000000007</v>
      </c>
      <c r="E4" s="4">
        <f>'Interval Circuities'!J4</f>
        <v>1.2676232456597074</v>
      </c>
      <c r="F4" s="4">
        <f t="shared" si="0"/>
        <v>41.967422246437096</v>
      </c>
      <c r="G4" s="4">
        <f t="shared" si="1"/>
        <v>62.951133369655643</v>
      </c>
      <c r="H4" s="4">
        <f t="shared" si="2"/>
        <v>12449.64534414757</v>
      </c>
      <c r="I4" s="4">
        <f t="shared" si="3"/>
        <v>1165.1270412957495</v>
      </c>
      <c r="J4" s="9">
        <f>'2000-10'!J4</f>
        <v>823.94448499999999</v>
      </c>
      <c r="K4" s="9">
        <f>'2000-10'!K4</f>
        <v>960000</v>
      </c>
      <c r="L4" s="22">
        <f t="shared" si="4"/>
        <v>14505418.44500806</v>
      </c>
      <c r="M4" s="22">
        <f t="shared" si="5"/>
        <v>960000</v>
      </c>
      <c r="N4" s="19" t="s">
        <v>92</v>
      </c>
      <c r="O4" s="4">
        <f t="shared" si="6"/>
        <v>704.5195526735032</v>
      </c>
      <c r="P4" s="13">
        <f>'2000-10'!P4</f>
        <v>580485</v>
      </c>
      <c r="Q4" s="22">
        <f t="shared" si="7"/>
        <v>8771018.5688026082</v>
      </c>
      <c r="R4" s="13">
        <f t="shared" si="8"/>
        <v>580485</v>
      </c>
    </row>
    <row r="5" spans="1:18" ht="16">
      <c r="A5" s="18" t="s">
        <v>119</v>
      </c>
      <c r="B5" s="4">
        <f>'2000-10'!B5</f>
        <v>57.562600000000003</v>
      </c>
      <c r="C5" s="4">
        <f>'2000-10'!C5</f>
        <v>71.377619999999993</v>
      </c>
      <c r="D5" s="36">
        <f t="shared" si="9"/>
        <v>86343.900000000009</v>
      </c>
      <c r="E5" s="4">
        <f>'Interval Circuities'!J5</f>
        <v>1.2115601906349527</v>
      </c>
      <c r="F5" s="4">
        <f t="shared" si="0"/>
        <v>47.511135183331405</v>
      </c>
      <c r="G5" s="4">
        <f t="shared" si="1"/>
        <v>71.2667027749971</v>
      </c>
      <c r="H5" s="4">
        <f t="shared" si="2"/>
        <v>15955.969779359039</v>
      </c>
      <c r="I5" s="4">
        <f t="shared" si="3"/>
        <v>1249.8156960132164</v>
      </c>
      <c r="J5" s="9">
        <f>'2000-10'!J5</f>
        <v>1768.260718</v>
      </c>
      <c r="K5" s="9">
        <f>'2000-10'!K5</f>
        <v>2210000</v>
      </c>
      <c r="L5" s="22">
        <f t="shared" si="4"/>
        <v>19942021.475355465</v>
      </c>
      <c r="M5" s="22">
        <f t="shared" si="5"/>
        <v>2210000</v>
      </c>
      <c r="N5" s="19" t="s">
        <v>92</v>
      </c>
      <c r="O5" s="4">
        <f t="shared" si="6"/>
        <v>601.54251529326802</v>
      </c>
      <c r="P5" s="13">
        <f>'2000-10'!P5</f>
        <v>1063684</v>
      </c>
      <c r="Q5" s="22">
        <f t="shared" si="7"/>
        <v>9598194.1950190067</v>
      </c>
      <c r="R5" s="13">
        <f t="shared" si="8"/>
        <v>1063684</v>
      </c>
    </row>
    <row r="6" spans="1:18">
      <c r="A6" s="18" t="s">
        <v>29</v>
      </c>
      <c r="B6" s="4">
        <f>'2000-10'!B6</f>
        <v>60.288020000000003</v>
      </c>
      <c r="C6" s="4">
        <f>'2000-10'!C6</f>
        <v>74.154269999999997</v>
      </c>
      <c r="D6" s="36">
        <f t="shared" si="9"/>
        <v>90432.03</v>
      </c>
      <c r="E6" s="4">
        <f>'Interval Circuities'!J6</f>
        <v>1.1843400560567672</v>
      </c>
      <c r="F6" s="4">
        <f t="shared" si="0"/>
        <v>50.904315607400441</v>
      </c>
      <c r="G6" s="4">
        <f t="shared" si="1"/>
        <v>76.356473411100666</v>
      </c>
      <c r="H6" s="4">
        <f t="shared" si="2"/>
        <v>18316.462305583962</v>
      </c>
      <c r="I6" s="4">
        <f t="shared" si="3"/>
        <v>876.20314951488945</v>
      </c>
      <c r="J6" s="9">
        <f>'2000-10'!J6</f>
        <v>4496.6740900000004</v>
      </c>
      <c r="K6" s="9">
        <f>'2000-10'!K6</f>
        <v>3940000</v>
      </c>
      <c r="L6" s="22">
        <f t="shared" si="4"/>
        <v>16048941.960123422</v>
      </c>
      <c r="M6" s="22">
        <f t="shared" si="5"/>
        <v>3940000</v>
      </c>
      <c r="N6" s="19" t="s">
        <v>92</v>
      </c>
      <c r="O6" s="4">
        <f t="shared" si="6"/>
        <v>683.91236243674484</v>
      </c>
      <c r="P6" s="13">
        <f>'2000-10'!P6</f>
        <v>3075331</v>
      </c>
      <c r="Q6" s="22">
        <f t="shared" si="7"/>
        <v>12526855.006895514</v>
      </c>
      <c r="R6" s="13">
        <f t="shared" si="8"/>
        <v>3075331</v>
      </c>
    </row>
    <row r="7" spans="1:18">
      <c r="A7" s="18" t="s">
        <v>30</v>
      </c>
      <c r="B7" s="4">
        <f>'2000-10'!B7</f>
        <v>60.075479999999999</v>
      </c>
      <c r="C7" s="4">
        <f>'2000-10'!C7</f>
        <v>64.280760000000001</v>
      </c>
      <c r="D7" s="36">
        <f t="shared" si="9"/>
        <v>90113.22</v>
      </c>
      <c r="E7" s="4">
        <f>'Interval Circuities'!J7</f>
        <v>1.1744390850186677</v>
      </c>
      <c r="F7" s="4">
        <f t="shared" si="0"/>
        <v>51.152486975554886</v>
      </c>
      <c r="G7" s="4">
        <f t="shared" si="1"/>
        <v>76.728730463332326</v>
      </c>
      <c r="H7" s="4">
        <f t="shared" si="2"/>
        <v>18495.492392955093</v>
      </c>
      <c r="I7" s="4">
        <f t="shared" si="3"/>
        <v>1174.0141455753533</v>
      </c>
      <c r="J7" s="9">
        <f>'2000-10'!J7</f>
        <v>949.73302000000001</v>
      </c>
      <c r="K7" s="9">
        <f>'2000-10'!K7</f>
        <v>1115000</v>
      </c>
      <c r="L7" s="22">
        <f t="shared" si="4"/>
        <v>21713969.69871062</v>
      </c>
      <c r="M7" s="22">
        <f t="shared" si="5"/>
        <v>1115000</v>
      </c>
      <c r="N7" s="19" t="s">
        <v>92</v>
      </c>
      <c r="O7" s="4">
        <f t="shared" si="6"/>
        <v>500.80074082293146</v>
      </c>
      <c r="P7" s="13">
        <f>'2000-10'!P7</f>
        <v>475627</v>
      </c>
      <c r="Q7" s="22">
        <f t="shared" si="7"/>
        <v>9262556.2922768034</v>
      </c>
      <c r="R7" s="13">
        <f t="shared" si="8"/>
        <v>475627</v>
      </c>
    </row>
    <row r="8" spans="1:18">
      <c r="A8" s="18" t="s">
        <v>31</v>
      </c>
      <c r="B8" s="4">
        <f>'2000-10'!B8</f>
        <v>54.739370000000001</v>
      </c>
      <c r="C8" s="4">
        <f>'2000-10'!C8</f>
        <v>66.782039999999995</v>
      </c>
      <c r="D8" s="36">
        <f t="shared" si="9"/>
        <v>82109.054999999993</v>
      </c>
      <c r="E8" s="4">
        <f>'Interval Circuities'!J8</f>
        <v>1.2206007378419359</v>
      </c>
      <c r="F8" s="4">
        <f t="shared" si="0"/>
        <v>44.846253408613443</v>
      </c>
      <c r="G8" s="4">
        <f t="shared" si="1"/>
        <v>67.26938011292016</v>
      </c>
      <c r="H8" s="4">
        <f t="shared" si="2"/>
        <v>14216.239259888165</v>
      </c>
      <c r="I8" s="4">
        <f t="shared" si="3"/>
        <v>767.9222461130181</v>
      </c>
      <c r="J8" s="9">
        <f>'2000-10'!J8</f>
        <v>1126.4161240000001</v>
      </c>
      <c r="K8" s="9">
        <f>'2000-10'!K8</f>
        <v>865000</v>
      </c>
      <c r="L8" s="22">
        <f t="shared" si="4"/>
        <v>10916966.38373339</v>
      </c>
      <c r="M8" s="22">
        <f t="shared" si="5"/>
        <v>865000</v>
      </c>
      <c r="N8" s="19" t="s">
        <v>92</v>
      </c>
      <c r="O8" s="4">
        <f t="shared" si="6"/>
        <v>720.43269153345318</v>
      </c>
      <c r="P8" s="13">
        <f>'2000-10'!P8</f>
        <v>811507</v>
      </c>
      <c r="Q8" s="22">
        <f t="shared" si="7"/>
        <v>10241843.513484778</v>
      </c>
      <c r="R8" s="13">
        <f t="shared" si="8"/>
        <v>811507</v>
      </c>
    </row>
    <row r="9" spans="1:18">
      <c r="A9" s="18" t="s">
        <v>32</v>
      </c>
      <c r="B9" s="4">
        <f>'2000-10'!B9</f>
        <v>47.502769999999998</v>
      </c>
      <c r="C9" s="4">
        <f>'2000-10'!C9</f>
        <v>64.128739999999993</v>
      </c>
      <c r="D9" s="36">
        <f t="shared" si="9"/>
        <v>71254.154999999999</v>
      </c>
      <c r="E9" s="4">
        <f>'Interval Circuities'!J9</f>
        <v>1.1800793381164683</v>
      </c>
      <c r="F9" s="4">
        <f t="shared" si="0"/>
        <v>40.253878248406124</v>
      </c>
      <c r="G9" s="4">
        <f t="shared" si="1"/>
        <v>60.380817372609187</v>
      </c>
      <c r="H9" s="4">
        <f t="shared" si="2"/>
        <v>11453.753919786488</v>
      </c>
      <c r="I9" s="4">
        <f t="shared" si="3"/>
        <v>1482.3418622036777</v>
      </c>
      <c r="J9" s="9">
        <f>'2000-10'!J9</f>
        <v>5498.0569649999998</v>
      </c>
      <c r="K9" s="9">
        <f>'2000-10'!K9</f>
        <v>8150000</v>
      </c>
      <c r="L9" s="22">
        <f t="shared" si="4"/>
        <v>16978378.914678976</v>
      </c>
      <c r="M9" s="22">
        <f t="shared" si="5"/>
        <v>8150000</v>
      </c>
      <c r="N9" s="19" t="s">
        <v>92</v>
      </c>
      <c r="O9" s="4">
        <f t="shared" si="6"/>
        <v>762.04903417183857</v>
      </c>
      <c r="P9" s="13">
        <f>'2000-10'!P9</f>
        <v>4189789</v>
      </c>
      <c r="Q9" s="22">
        <f t="shared" si="7"/>
        <v>8728322.1122152042</v>
      </c>
      <c r="R9" s="13">
        <f t="shared" si="8"/>
        <v>4189789</v>
      </c>
    </row>
    <row r="10" spans="1:18">
      <c r="A10" s="18" t="s">
        <v>33</v>
      </c>
      <c r="B10" s="4">
        <f>'2000-10'!B10</f>
        <v>59.701340000000002</v>
      </c>
      <c r="C10" s="4">
        <f>'2000-10'!C10</f>
        <v>70.447580000000002</v>
      </c>
      <c r="D10" s="36">
        <f t="shared" si="9"/>
        <v>89552.01</v>
      </c>
      <c r="E10" s="4">
        <f>'Interval Circuities'!J10</f>
        <v>1.2610486496962503</v>
      </c>
      <c r="F10" s="4">
        <f t="shared" si="0"/>
        <v>47.342614429966922</v>
      </c>
      <c r="G10" s="4">
        <f t="shared" si="1"/>
        <v>71.013921644950386</v>
      </c>
      <c r="H10" s="4">
        <f t="shared" si="2"/>
        <v>15842.979707150413</v>
      </c>
      <c r="I10" s="4">
        <f t="shared" si="3"/>
        <v>885.12621454095085</v>
      </c>
      <c r="J10" s="9">
        <f>'2000-10'!J10</f>
        <v>1739.864863</v>
      </c>
      <c r="K10" s="9">
        <f>'2000-10'!K10</f>
        <v>1540000</v>
      </c>
      <c r="L10" s="22">
        <f t="shared" si="4"/>
        <v>14023036.655239146</v>
      </c>
      <c r="M10" s="22">
        <f t="shared" si="5"/>
        <v>1540000</v>
      </c>
      <c r="N10" s="19" t="s">
        <v>92</v>
      </c>
      <c r="O10" s="4">
        <f t="shared" si="6"/>
        <v>537.37104523617245</v>
      </c>
      <c r="P10" s="13">
        <f>'2000-10'!P10</f>
        <v>934953</v>
      </c>
      <c r="Q10" s="22">
        <f t="shared" si="7"/>
        <v>8513558.5648868866</v>
      </c>
      <c r="R10" s="13">
        <f t="shared" si="8"/>
        <v>934953</v>
      </c>
    </row>
    <row r="11" spans="1:18">
      <c r="A11" s="18" t="s">
        <v>34</v>
      </c>
      <c r="B11" s="4">
        <f>'2000-10'!B11</f>
        <v>62.775539999999999</v>
      </c>
      <c r="C11" s="4">
        <f>'2000-10'!C11</f>
        <v>69.053089999999997</v>
      </c>
      <c r="D11" s="36">
        <f t="shared" si="9"/>
        <v>94163.31</v>
      </c>
      <c r="E11" s="4">
        <f>'Interval Circuities'!J11</f>
        <v>1.1569339520395503</v>
      </c>
      <c r="F11" s="4">
        <f t="shared" si="0"/>
        <v>54.260262558060006</v>
      </c>
      <c r="G11" s="4">
        <f t="shared" si="1"/>
        <v>81.390393837090016</v>
      </c>
      <c r="H11" s="4">
        <f t="shared" si="2"/>
        <v>20811.154464526193</v>
      </c>
      <c r="I11" s="4">
        <f t="shared" si="3"/>
        <v>1065.2097286959158</v>
      </c>
      <c r="J11" s="9">
        <f>'2000-10'!J11</f>
        <v>1675.7263399999999</v>
      </c>
      <c r="K11" s="9">
        <f>'2000-10'!K11</f>
        <v>1785000</v>
      </c>
      <c r="L11" s="22">
        <f t="shared" si="4"/>
        <v>22168244.201006744</v>
      </c>
      <c r="M11" s="22">
        <f t="shared" si="5"/>
        <v>1785000</v>
      </c>
      <c r="N11" s="19" t="s">
        <v>92</v>
      </c>
      <c r="O11" s="4">
        <f t="shared" si="6"/>
        <v>643.10978127848728</v>
      </c>
      <c r="P11" s="13">
        <f>'2000-10'!P11</f>
        <v>1077676</v>
      </c>
      <c r="Q11" s="22">
        <f t="shared" si="7"/>
        <v>13383856.995834254</v>
      </c>
      <c r="R11" s="13">
        <f t="shared" si="8"/>
        <v>1077676</v>
      </c>
    </row>
    <row r="12" spans="1:18">
      <c r="A12" s="18" t="s">
        <v>35</v>
      </c>
      <c r="B12" s="4">
        <f>'2000-10'!B12</f>
        <v>60.796750000000003</v>
      </c>
      <c r="C12" s="4">
        <f>'2000-10'!C12</f>
        <v>71.132189999999994</v>
      </c>
      <c r="D12" s="36">
        <f t="shared" si="9"/>
        <v>91195.125</v>
      </c>
      <c r="E12" s="4">
        <f>'Interval Circuities'!J12</f>
        <v>1.1759384342154522</v>
      </c>
      <c r="F12" s="4">
        <f t="shared" si="0"/>
        <v>51.700623290335443</v>
      </c>
      <c r="G12" s="4">
        <f t="shared" si="1"/>
        <v>77.550934935503165</v>
      </c>
      <c r="H12" s="4">
        <f t="shared" si="2"/>
        <v>18894.001633044169</v>
      </c>
      <c r="I12" s="4">
        <f t="shared" si="3"/>
        <v>1106.7339674828359</v>
      </c>
      <c r="J12" s="9">
        <f>'2000-10'!J12</f>
        <v>1030.0578399999999</v>
      </c>
      <c r="K12" s="9">
        <f>'2000-10'!K12</f>
        <v>1140000</v>
      </c>
      <c r="L12" s="22">
        <f t="shared" si="4"/>
        <v>20910633.388966151</v>
      </c>
      <c r="M12" s="22">
        <f t="shared" si="5"/>
        <v>1140000</v>
      </c>
      <c r="N12" s="19" t="s">
        <v>92</v>
      </c>
      <c r="O12" s="4">
        <f t="shared" si="6"/>
        <v>750.9364716839591</v>
      </c>
      <c r="P12" s="13">
        <f>'2000-10'!P12</f>
        <v>773508</v>
      </c>
      <c r="Q12" s="22">
        <f t="shared" si="7"/>
        <v>14188194.922309149</v>
      </c>
      <c r="R12" s="13">
        <f t="shared" si="8"/>
        <v>773508</v>
      </c>
    </row>
    <row r="13" spans="1:18">
      <c r="A13" s="18" t="s">
        <v>62</v>
      </c>
      <c r="B13" s="4">
        <f>'2000-10'!B13</f>
        <v>56.964039999999997</v>
      </c>
      <c r="C13" s="4">
        <f>'2000-10'!C13</f>
        <v>70.065770000000001</v>
      </c>
      <c r="D13" s="36">
        <f t="shared" si="9"/>
        <v>85446.059999999983</v>
      </c>
      <c r="E13" s="4">
        <f>'Interval Circuities'!J13</f>
        <v>1.2002522476829509</v>
      </c>
      <c r="F13" s="4">
        <f t="shared" si="0"/>
        <v>47.460056925506514</v>
      </c>
      <c r="G13" s="4">
        <f t="shared" si="1"/>
        <v>71.190085388259774</v>
      </c>
      <c r="H13" s="4">
        <f t="shared" si="2"/>
        <v>15921.680342223055</v>
      </c>
      <c r="I13" s="4">
        <f t="shared" si="3"/>
        <v>1122.3258612680775</v>
      </c>
      <c r="J13" s="9">
        <f>'2000-10'!J13</f>
        <v>3644.2179059999999</v>
      </c>
      <c r="K13" s="9">
        <f>'2000-10'!K13</f>
        <v>4090000</v>
      </c>
      <c r="L13" s="22">
        <f t="shared" si="4"/>
        <v>17869313.60292051</v>
      </c>
      <c r="M13" s="22">
        <f t="shared" si="5"/>
        <v>4090000</v>
      </c>
      <c r="N13" s="19" t="s">
        <v>92</v>
      </c>
      <c r="O13" s="4">
        <f t="shared" si="6"/>
        <v>713.75616582023349</v>
      </c>
      <c r="P13" s="13">
        <f>'2000-10'!P13</f>
        <v>2601083</v>
      </c>
      <c r="Q13" s="22">
        <f t="shared" si="7"/>
        <v>11364197.514480511</v>
      </c>
      <c r="R13" s="13">
        <f t="shared" si="8"/>
        <v>2601083</v>
      </c>
    </row>
    <row r="14" spans="1:18">
      <c r="A14" s="18" t="s">
        <v>36</v>
      </c>
      <c r="B14" s="4">
        <f>'2000-10'!B14</f>
        <v>50.872790000000002</v>
      </c>
      <c r="C14" s="4">
        <f>'2000-10'!C14</f>
        <v>67.152079999999998</v>
      </c>
      <c r="D14" s="36">
        <f t="shared" si="9"/>
        <v>76309.184999999998</v>
      </c>
      <c r="E14" s="4">
        <f>'Interval Circuities'!J14</f>
        <v>1.3104707921217478</v>
      </c>
      <c r="F14" s="4">
        <f t="shared" si="0"/>
        <v>38.82023949395564</v>
      </c>
      <c r="G14" s="4">
        <f t="shared" si="1"/>
        <v>58.23035924093346</v>
      </c>
      <c r="H14" s="4">
        <f t="shared" si="2"/>
        <v>10652.433004768023</v>
      </c>
      <c r="I14" s="4">
        <f t="shared" si="3"/>
        <v>1567.4515055293143</v>
      </c>
      <c r="J14" s="9">
        <f>'2000-10'!J14</f>
        <v>1291.9059970000001</v>
      </c>
      <c r="K14" s="9">
        <f>'2000-10'!K14</f>
        <v>2025000</v>
      </c>
      <c r="L14" s="22">
        <f t="shared" si="4"/>
        <v>16697172.150873795</v>
      </c>
      <c r="M14" s="22">
        <f t="shared" si="5"/>
        <v>2025000</v>
      </c>
      <c r="N14" s="19" t="s">
        <v>92</v>
      </c>
      <c r="O14" s="4">
        <f t="shared" si="6"/>
        <v>836.3681277965303</v>
      </c>
      <c r="P14" s="13">
        <f>'2000-10'!P14</f>
        <v>1080509</v>
      </c>
      <c r="Q14" s="22">
        <f t="shared" si="7"/>
        <v>8909355.4486758001</v>
      </c>
      <c r="R14" s="13">
        <f t="shared" si="8"/>
        <v>1080509</v>
      </c>
    </row>
    <row r="15" spans="1:18">
      <c r="A15" s="18" t="s">
        <v>37</v>
      </c>
      <c r="B15" s="4">
        <f>'2000-10'!B15</f>
        <v>50.514110000000002</v>
      </c>
      <c r="C15" s="4">
        <f>'2000-10'!C15</f>
        <v>65.163210000000007</v>
      </c>
      <c r="D15" s="36">
        <f t="shared" si="9"/>
        <v>75771.164999999994</v>
      </c>
      <c r="E15" s="4">
        <f>'Interval Circuities'!J15</f>
        <v>1.1919255954887613</v>
      </c>
      <c r="F15" s="4">
        <f t="shared" si="0"/>
        <v>42.380254431306319</v>
      </c>
      <c r="G15" s="4">
        <f t="shared" si="1"/>
        <v>63.570381646959476</v>
      </c>
      <c r="H15" s="4">
        <f t="shared" si="2"/>
        <v>12695.783568615632</v>
      </c>
      <c r="I15" s="4">
        <f t="shared" si="3"/>
        <v>1233.4944074099687</v>
      </c>
      <c r="J15" s="9">
        <f>'2000-10'!J15</f>
        <v>3267.1408769999998</v>
      </c>
      <c r="K15" s="9">
        <f>'2000-10'!K15</f>
        <v>4030000</v>
      </c>
      <c r="L15" s="22">
        <f t="shared" si="4"/>
        <v>15660178.029574757</v>
      </c>
      <c r="M15" s="22">
        <f t="shared" si="5"/>
        <v>4030000</v>
      </c>
      <c r="N15" s="19" t="s">
        <v>92</v>
      </c>
      <c r="O15" s="4">
        <f t="shared" si="6"/>
        <v>597.85239557639068</v>
      </c>
      <c r="P15" s="13">
        <f>'2000-10'!P15</f>
        <v>1953268</v>
      </c>
      <c r="Q15" s="22">
        <f t="shared" si="7"/>
        <v>7590204.6202162337</v>
      </c>
      <c r="R15" s="13">
        <f t="shared" si="8"/>
        <v>1953268</v>
      </c>
    </row>
    <row r="16" spans="1:18">
      <c r="A16" s="18" t="s">
        <v>80</v>
      </c>
      <c r="B16" s="4">
        <f>'2000-10'!B16</f>
        <v>56.839145642340362</v>
      </c>
      <c r="C16" s="4">
        <f>'2000-10'!C16</f>
        <v>63.091451662997805</v>
      </c>
      <c r="D16" s="36">
        <f t="shared" si="9"/>
        <v>85258.718463510551</v>
      </c>
      <c r="E16" s="4">
        <f>'Interval Circuities'!J16</f>
        <v>1.2333929873842566</v>
      </c>
      <c r="F16" s="4">
        <f t="shared" si="0"/>
        <v>46.083564787313364</v>
      </c>
      <c r="G16" s="4">
        <f t="shared" si="1"/>
        <v>69.125347180970039</v>
      </c>
      <c r="H16" s="4">
        <f t="shared" si="2"/>
        <v>15011.514974218131</v>
      </c>
      <c r="I16" s="4">
        <f t="shared" si="3"/>
        <v>832.65301831048089</v>
      </c>
      <c r="J16" s="9">
        <f>'2000-10'!J16</f>
        <v>666.54415200000005</v>
      </c>
      <c r="K16" s="9">
        <f>'2000-10'!K16</f>
        <v>555000</v>
      </c>
      <c r="L16" s="22">
        <f t="shared" si="4"/>
        <v>12499383.252695708</v>
      </c>
      <c r="M16" s="22">
        <f t="shared" si="5"/>
        <v>555000</v>
      </c>
      <c r="N16" s="19" t="s">
        <v>92</v>
      </c>
      <c r="O16" s="4">
        <f t="shared" si="6"/>
        <v>796.59389165265668</v>
      </c>
      <c r="P16" s="13">
        <f>'2000-10'!P16</f>
        <v>530965</v>
      </c>
      <c r="Q16" s="22">
        <f t="shared" si="7"/>
        <v>11958081.132914551</v>
      </c>
      <c r="R16" s="13">
        <f t="shared" si="8"/>
        <v>530965</v>
      </c>
    </row>
    <row r="17" spans="1:18">
      <c r="A17" s="18" t="s">
        <v>58</v>
      </c>
      <c r="B17" s="4">
        <f>'2000-10'!B17</f>
        <v>54.516030000000001</v>
      </c>
      <c r="C17" s="4">
        <f>'2000-10'!C17</f>
        <v>64.328909999999993</v>
      </c>
      <c r="D17" s="36">
        <f t="shared" si="9"/>
        <v>81774.044999999998</v>
      </c>
      <c r="E17" s="4">
        <f>'Interval Circuities'!J17</f>
        <v>1.3216948690468169</v>
      </c>
      <c r="F17" s="4">
        <f t="shared" si="0"/>
        <v>41.247061842130023</v>
      </c>
      <c r="G17" s="4">
        <f t="shared" si="1"/>
        <v>61.870592763195035</v>
      </c>
      <c r="H17" s="4">
        <f t="shared" si="2"/>
        <v>12025.923212007525</v>
      </c>
      <c r="I17" s="4">
        <f t="shared" si="3"/>
        <v>1114.0347356616915</v>
      </c>
      <c r="J17" s="9">
        <f>'2000-10'!J17</f>
        <v>1364.4098799999999</v>
      </c>
      <c r="K17" s="9">
        <f>'2000-10'!K17</f>
        <v>1520000</v>
      </c>
      <c r="L17" s="22">
        <f t="shared" si="4"/>
        <v>13397296.186576603</v>
      </c>
      <c r="M17" s="22">
        <f t="shared" si="5"/>
        <v>1520000</v>
      </c>
      <c r="N17" s="19" t="s">
        <v>92</v>
      </c>
      <c r="O17" s="4">
        <f t="shared" si="6"/>
        <v>420.42644839247282</v>
      </c>
      <c r="P17" s="13">
        <f>'2000-10'!P17</f>
        <v>573634</v>
      </c>
      <c r="Q17" s="22">
        <f t="shared" si="7"/>
        <v>5056016.1846649228</v>
      </c>
      <c r="R17" s="13">
        <f t="shared" si="8"/>
        <v>573634</v>
      </c>
    </row>
    <row r="18" spans="1:18">
      <c r="A18" s="18" t="s">
        <v>38</v>
      </c>
      <c r="B18" s="4">
        <f>'2000-10'!B18</f>
        <v>68.568569999999994</v>
      </c>
      <c r="C18" s="4">
        <f>'2000-10'!C18</f>
        <v>75.425430000000006</v>
      </c>
      <c r="D18" s="36">
        <f t="shared" si="9"/>
        <v>102852.855</v>
      </c>
      <c r="E18" s="4">
        <f>'Interval Circuities'!J18</f>
        <v>1.2189440766417452</v>
      </c>
      <c r="F18" s="4">
        <f t="shared" si="0"/>
        <v>56.252432998329176</v>
      </c>
      <c r="G18" s="4">
        <f t="shared" si="1"/>
        <v>84.378649497493768</v>
      </c>
      <c r="H18" s="4">
        <f t="shared" si="2"/>
        <v>22367.374687539523</v>
      </c>
      <c r="I18" s="4">
        <f t="shared" si="3"/>
        <v>715.70094768578497</v>
      </c>
      <c r="J18" s="9">
        <f>'2000-10'!J18</f>
        <v>1215.591516</v>
      </c>
      <c r="K18" s="9">
        <f>'2000-10'!K18</f>
        <v>870000</v>
      </c>
      <c r="L18" s="22">
        <f t="shared" si="4"/>
        <v>16008351.261115074</v>
      </c>
      <c r="M18" s="22">
        <f t="shared" si="5"/>
        <v>870000</v>
      </c>
      <c r="N18" s="19" t="s">
        <v>92</v>
      </c>
      <c r="O18" s="4">
        <f t="shared" si="6"/>
        <v>467.19723897776862</v>
      </c>
      <c r="P18" s="13">
        <f>'2000-10'!P18</f>
        <v>567921</v>
      </c>
      <c r="Q18" s="22">
        <f t="shared" si="7"/>
        <v>10449975.697199695</v>
      </c>
      <c r="R18" s="13">
        <f t="shared" si="8"/>
        <v>567921</v>
      </c>
    </row>
    <row r="19" spans="1:18">
      <c r="A19" s="18" t="s">
        <v>81</v>
      </c>
      <c r="B19" s="4">
        <f>'2000-10'!B19</f>
        <v>58.403202946946948</v>
      </c>
      <c r="C19" s="4">
        <f>'2000-10'!C19</f>
        <v>68.915779477397393</v>
      </c>
      <c r="D19" s="36">
        <f t="shared" si="9"/>
        <v>87604.80442042042</v>
      </c>
      <c r="E19" s="4">
        <f>'Interval Circuities'!J19</f>
        <v>1.4625638767711695</v>
      </c>
      <c r="F19" s="4">
        <f t="shared" si="0"/>
        <v>39.932069890773477</v>
      </c>
      <c r="G19" s="4">
        <f t="shared" si="1"/>
        <v>59.898104836160215</v>
      </c>
      <c r="H19" s="4">
        <f t="shared" si="2"/>
        <v>11271.352599121192</v>
      </c>
      <c r="I19" s="4">
        <f t="shared" si="3"/>
        <v>1753.5955020736319</v>
      </c>
      <c r="J19" s="9">
        <f>'2000-10'!J19</f>
        <v>399.17985599999997</v>
      </c>
      <c r="K19" s="9">
        <f>'2000-10'!K19</f>
        <v>700000</v>
      </c>
      <c r="L19" s="22">
        <f t="shared" si="4"/>
        <v>19765393.220104862</v>
      </c>
      <c r="M19" s="22">
        <f t="shared" si="5"/>
        <v>700000</v>
      </c>
      <c r="N19" s="19" t="s">
        <v>92</v>
      </c>
      <c r="O19" s="4">
        <f t="shared" si="6"/>
        <v>802.79852598574018</v>
      </c>
      <c r="P19" s="13">
        <f>'2000-10'!P19</f>
        <v>320461</v>
      </c>
      <c r="Q19" s="22">
        <f t="shared" si="7"/>
        <v>9048625.2524400335</v>
      </c>
      <c r="R19" s="13">
        <f t="shared" si="8"/>
        <v>320461</v>
      </c>
    </row>
    <row r="20" spans="1:18">
      <c r="A20" s="18" t="s">
        <v>39</v>
      </c>
      <c r="B20" s="4">
        <f>'2000-10'!B20</f>
        <v>53.767299999999999</v>
      </c>
      <c r="C20" s="4">
        <f>'2000-10'!C20</f>
        <v>68.822140000000005</v>
      </c>
      <c r="D20" s="36">
        <f t="shared" si="9"/>
        <v>80650.95</v>
      </c>
      <c r="E20" s="4">
        <f>'Interval Circuities'!J20</f>
        <v>1.2429210709119736</v>
      </c>
      <c r="F20" s="4">
        <f t="shared" si="0"/>
        <v>43.258820900468841</v>
      </c>
      <c r="G20" s="4">
        <f t="shared" si="1"/>
        <v>64.888231350703265</v>
      </c>
      <c r="H20" s="4">
        <f t="shared" si="2"/>
        <v>13227.621103138707</v>
      </c>
      <c r="I20" s="4">
        <f t="shared" si="3"/>
        <v>1082.0570893248787</v>
      </c>
      <c r="J20" s="9">
        <f>'2000-10'!J20</f>
        <v>3354.7213320000001</v>
      </c>
      <c r="K20" s="9">
        <f>'2000-10'!K20</f>
        <v>3630000</v>
      </c>
      <c r="L20" s="22">
        <f t="shared" si="4"/>
        <v>14313041.189554609</v>
      </c>
      <c r="M20" s="22">
        <f t="shared" si="5"/>
        <v>3630000</v>
      </c>
      <c r="N20" s="19" t="s">
        <v>92</v>
      </c>
      <c r="O20" s="4">
        <f t="shared" si="6"/>
        <v>557.65585718104592</v>
      </c>
      <c r="P20" s="13">
        <f>'2000-10'!P20</f>
        <v>1870780</v>
      </c>
      <c r="Q20" s="22">
        <f t="shared" si="7"/>
        <v>7376460.3847369077</v>
      </c>
      <c r="R20" s="13">
        <f t="shared" si="8"/>
        <v>1870780</v>
      </c>
    </row>
    <row r="21" spans="1:18">
      <c r="A21" s="18" t="s">
        <v>40</v>
      </c>
      <c r="B21" s="4">
        <f>'2000-10'!B21</f>
        <v>53.336190000000002</v>
      </c>
      <c r="C21" s="4">
        <f>'2000-10'!C21</f>
        <v>65.070160000000001</v>
      </c>
      <c r="D21" s="36">
        <f t="shared" si="9"/>
        <v>80004.285000000003</v>
      </c>
      <c r="E21" s="4">
        <f>'Interval Circuities'!J21</f>
        <v>1.1911732672424977</v>
      </c>
      <c r="F21" s="4">
        <f t="shared" si="0"/>
        <v>44.776181154124139</v>
      </c>
      <c r="G21" s="4">
        <f t="shared" si="1"/>
        <v>67.164271731186204</v>
      </c>
      <c r="H21" s="4">
        <f t="shared" si="2"/>
        <v>14171.848230236757</v>
      </c>
      <c r="I21" s="4">
        <f t="shared" si="3"/>
        <v>719.24481249916198</v>
      </c>
      <c r="J21" s="9">
        <f>'2000-10'!J21</f>
        <v>1432.0576000000001</v>
      </c>
      <c r="K21" s="9">
        <f>'2000-10'!K21</f>
        <v>1030000</v>
      </c>
      <c r="L21" s="22">
        <f t="shared" si="4"/>
        <v>10193028.323123217</v>
      </c>
      <c r="M21" s="22">
        <f t="shared" si="5"/>
        <v>1030000</v>
      </c>
      <c r="N21" s="19" t="s">
        <v>92</v>
      </c>
      <c r="O21" s="4">
        <f t="shared" si="6"/>
        <v>568.03930232973869</v>
      </c>
      <c r="P21" s="13">
        <f>'2000-10'!P21</f>
        <v>813465</v>
      </c>
      <c r="Q21" s="22">
        <f t="shared" si="7"/>
        <v>8050166.78142663</v>
      </c>
      <c r="R21" s="13">
        <f t="shared" si="8"/>
        <v>813465</v>
      </c>
    </row>
    <row r="22" spans="1:18" ht="16">
      <c r="A22" s="18" t="s">
        <v>120</v>
      </c>
      <c r="B22" s="4">
        <f>'2000-10'!B22</f>
        <v>57.819749999999999</v>
      </c>
      <c r="C22" s="4">
        <f>'2000-10'!C22</f>
        <v>71.696479999999994</v>
      </c>
      <c r="D22" s="36">
        <f t="shared" si="9"/>
        <v>86729.625</v>
      </c>
      <c r="E22" s="4">
        <f>'Interval Circuities'!J22</f>
        <v>1.3180757902251596</v>
      </c>
      <c r="F22" s="4">
        <f t="shared" si="0"/>
        <v>43.866787045776</v>
      </c>
      <c r="G22" s="4">
        <f t="shared" si="1"/>
        <v>65.800180568664004</v>
      </c>
      <c r="H22" s="4">
        <f t="shared" si="2"/>
        <v>13602.039869942524</v>
      </c>
      <c r="I22" s="4">
        <f t="shared" si="3"/>
        <v>1434.3253447427585</v>
      </c>
      <c r="J22" s="9">
        <f>'2000-10'!J22</f>
        <v>1136.422783</v>
      </c>
      <c r="K22" s="9">
        <f>'2000-10'!K22</f>
        <v>1630000</v>
      </c>
      <c r="L22" s="22">
        <f t="shared" si="4"/>
        <v>19509750.525660057</v>
      </c>
      <c r="M22" s="22">
        <f t="shared" si="5"/>
        <v>1630000</v>
      </c>
      <c r="N22" s="19" t="s">
        <v>92</v>
      </c>
      <c r="O22" s="4">
        <f t="shared" si="6"/>
        <v>772.15541005217597</v>
      </c>
      <c r="P22" s="13">
        <f>'2000-10'!P22</f>
        <v>877495</v>
      </c>
      <c r="Q22" s="22">
        <f t="shared" si="7"/>
        <v>10502888.673321515</v>
      </c>
      <c r="R22" s="13">
        <f t="shared" si="8"/>
        <v>877495</v>
      </c>
    </row>
    <row r="23" spans="1:18">
      <c r="A23" s="18" t="s">
        <v>41</v>
      </c>
      <c r="B23" s="4">
        <f>'2000-10'!B23</f>
        <v>54.3979</v>
      </c>
      <c r="C23" s="4">
        <f>'2000-10'!C23</f>
        <v>63.645539999999997</v>
      </c>
      <c r="D23" s="36">
        <f t="shared" si="9"/>
        <v>81596.850000000006</v>
      </c>
      <c r="E23" s="4">
        <f>'Interval Circuities'!J23</f>
        <v>1.2965501526898231</v>
      </c>
      <c r="F23" s="4">
        <f t="shared" si="0"/>
        <v>41.955877979070927</v>
      </c>
      <c r="G23" s="4">
        <f t="shared" si="1"/>
        <v>62.933816968606394</v>
      </c>
      <c r="H23" s="4">
        <f t="shared" si="2"/>
        <v>12442.797067104539</v>
      </c>
      <c r="I23" s="4">
        <f t="shared" si="3"/>
        <v>837.07067913405513</v>
      </c>
      <c r="J23" s="9">
        <f>'2000-10'!J23</f>
        <v>1063.231603</v>
      </c>
      <c r="K23" s="9">
        <f>'2000-10'!K23</f>
        <v>890000</v>
      </c>
      <c r="L23" s="22">
        <f t="shared" si="4"/>
        <v>10415500.591288425</v>
      </c>
      <c r="M23" s="22">
        <f t="shared" si="5"/>
        <v>890000</v>
      </c>
      <c r="N23" s="19" t="s">
        <v>92</v>
      </c>
      <c r="O23" s="4">
        <f t="shared" si="6"/>
        <v>467.6516373262844</v>
      </c>
      <c r="P23" s="13">
        <f>'2000-10'!P23</f>
        <v>497222</v>
      </c>
      <c r="Q23" s="22">
        <f t="shared" si="7"/>
        <v>5818894.4213501271</v>
      </c>
      <c r="R23" s="13">
        <f t="shared" si="8"/>
        <v>497222</v>
      </c>
    </row>
    <row r="24" spans="1:18">
      <c r="A24" s="18" t="s">
        <v>75</v>
      </c>
      <c r="B24" s="4">
        <f>'2000-10'!B24</f>
        <v>63.341059999999999</v>
      </c>
      <c r="C24" s="4">
        <f>'2000-10'!C24</f>
        <v>69.041749999999993</v>
      </c>
      <c r="D24" s="36">
        <f t="shared" si="9"/>
        <v>95011.59</v>
      </c>
      <c r="E24" s="4">
        <f>'Interval Circuities'!J24</f>
        <v>1.2336222029544657</v>
      </c>
      <c r="F24" s="4">
        <f t="shared" si="0"/>
        <v>51.345590123379118</v>
      </c>
      <c r="G24" s="4">
        <f t="shared" si="1"/>
        <v>77.018385185068681</v>
      </c>
      <c r="H24" s="4">
        <f t="shared" si="2"/>
        <v>18635.398754440801</v>
      </c>
      <c r="I24" s="4">
        <f t="shared" si="3"/>
        <v>941.4472355544217</v>
      </c>
      <c r="J24" s="9">
        <f>'2000-10'!J24</f>
        <v>1513.6270480000001</v>
      </c>
      <c r="K24" s="9">
        <f>'2000-10'!K24</f>
        <v>1425000</v>
      </c>
      <c r="L24" s="22">
        <f t="shared" si="4"/>
        <v>17544244.640822604</v>
      </c>
      <c r="M24" s="22">
        <f t="shared" si="5"/>
        <v>1425000</v>
      </c>
      <c r="N24" s="19" t="s">
        <v>92</v>
      </c>
      <c r="O24" s="4">
        <f t="shared" si="6"/>
        <v>588.92446536143029</v>
      </c>
      <c r="P24" s="13">
        <f>'2000-10'!P24</f>
        <v>891412</v>
      </c>
      <c r="Q24" s="22">
        <f t="shared" si="7"/>
        <v>10974842.248256113</v>
      </c>
      <c r="R24" s="13">
        <f t="shared" si="8"/>
        <v>891412</v>
      </c>
    </row>
    <row r="25" spans="1:18">
      <c r="A25" s="18" t="s">
        <v>63</v>
      </c>
      <c r="B25" s="4">
        <f>'2000-10'!B25</f>
        <v>50.764740000000003</v>
      </c>
      <c r="C25" s="4">
        <f>'2000-10'!C25</f>
        <v>64.471209999999999</v>
      </c>
      <c r="D25" s="36">
        <f t="shared" si="9"/>
        <v>76147.11</v>
      </c>
      <c r="E25" s="4">
        <f>'Interval Circuities'!J25</f>
        <v>1.3361795601528677</v>
      </c>
      <c r="F25" s="4">
        <f t="shared" si="0"/>
        <v>37.992453644622572</v>
      </c>
      <c r="G25" s="4">
        <f t="shared" si="1"/>
        <v>56.988680466933857</v>
      </c>
      <c r="H25" s="4">
        <f t="shared" si="2"/>
        <v>10202.980938792067</v>
      </c>
      <c r="I25" s="4">
        <f t="shared" si="3"/>
        <v>1755.5750317549087</v>
      </c>
      <c r="J25" s="9">
        <f>'2000-10'!J25</f>
        <v>740.49811399999999</v>
      </c>
      <c r="K25" s="9">
        <f>'2000-10'!K25</f>
        <v>1300000</v>
      </c>
      <c r="L25" s="22">
        <f t="shared" si="4"/>
        <v>17912098.58561461</v>
      </c>
      <c r="M25" s="22">
        <f t="shared" si="5"/>
        <v>1300000</v>
      </c>
      <c r="N25" s="19" t="s">
        <v>92</v>
      </c>
      <c r="O25" s="4">
        <f t="shared" si="6"/>
        <v>934.33728853494426</v>
      </c>
      <c r="P25" s="13">
        <f>'2000-10'!P25</f>
        <v>691875</v>
      </c>
      <c r="Q25" s="22">
        <f t="shared" si="7"/>
        <v>9533025.5453247</v>
      </c>
      <c r="R25" s="13">
        <f t="shared" si="8"/>
        <v>691875</v>
      </c>
    </row>
    <row r="26" spans="1:18" ht="16">
      <c r="A26" s="18" t="s">
        <v>121</v>
      </c>
      <c r="B26" s="4">
        <f>'2000-10'!B26</f>
        <v>47.966560000000001</v>
      </c>
      <c r="C26" s="4">
        <f>'2000-10'!C26</f>
        <v>70.990499999999997</v>
      </c>
      <c r="D26" s="36">
        <f t="shared" si="9"/>
        <v>71949.84</v>
      </c>
      <c r="E26" s="4">
        <f>'Interval Circuities'!J26</f>
        <v>1.2331588006074046</v>
      </c>
      <c r="F26" s="4">
        <f t="shared" si="0"/>
        <v>38.897309881236382</v>
      </c>
      <c r="G26" s="4">
        <f t="shared" si="1"/>
        <v>58.345964821854572</v>
      </c>
      <c r="H26" s="4">
        <f t="shared" si="2"/>
        <v>10694.771852067113</v>
      </c>
      <c r="I26" s="4">
        <f t="shared" si="3"/>
        <v>2881.990935894984</v>
      </c>
      <c r="J26" s="9">
        <f>'2000-10'!J26</f>
        <v>4319.9303110000001</v>
      </c>
      <c r="K26" s="9">
        <f>'2000-10'!K26</f>
        <v>12450000</v>
      </c>
      <c r="L26" s="22">
        <f t="shared" si="4"/>
        <v>30822235.539122231</v>
      </c>
      <c r="M26" s="22">
        <f t="shared" si="5"/>
        <v>12450000</v>
      </c>
      <c r="N26" s="19" t="s">
        <v>92</v>
      </c>
      <c r="O26" s="4">
        <f t="shared" si="6"/>
        <v>1226.6024260871461</v>
      </c>
      <c r="P26" s="13">
        <f>'2000-10'!P26</f>
        <v>5298837</v>
      </c>
      <c r="Q26" s="22">
        <f t="shared" si="7"/>
        <v>13118233.100194043</v>
      </c>
      <c r="R26" s="13">
        <f t="shared" si="8"/>
        <v>5298837</v>
      </c>
    </row>
    <row r="27" spans="1:18">
      <c r="A27" s="18" t="s">
        <v>42</v>
      </c>
      <c r="B27" s="4">
        <f>'2000-10'!B27</f>
        <v>57.963749999999997</v>
      </c>
      <c r="C27" s="4">
        <f>'2000-10'!C27</f>
        <v>68.976879999999994</v>
      </c>
      <c r="D27" s="36">
        <f t="shared" si="9"/>
        <v>86945.624999999985</v>
      </c>
      <c r="E27" s="4">
        <f>'Interval Circuities'!J27</f>
        <v>1.3000371072973886</v>
      </c>
      <c r="F27" s="4">
        <f t="shared" si="0"/>
        <v>44.586227327387014</v>
      </c>
      <c r="G27" s="4">
        <f t="shared" si="1"/>
        <v>66.879340991080525</v>
      </c>
      <c r="H27" s="4">
        <f t="shared" si="2"/>
        <v>14051.860924038729</v>
      </c>
      <c r="I27" s="4">
        <f t="shared" si="3"/>
        <v>848.58220843261222</v>
      </c>
      <c r="J27" s="9">
        <f>'2000-10'!J27</f>
        <v>1013.455139</v>
      </c>
      <c r="K27" s="9">
        <f>'2000-10'!K27</f>
        <v>860000</v>
      </c>
      <c r="L27" s="22">
        <f t="shared" si="4"/>
        <v>11924159.175508711</v>
      </c>
      <c r="M27" s="22">
        <f t="shared" si="5"/>
        <v>860000</v>
      </c>
      <c r="N27" s="19" t="s">
        <v>92</v>
      </c>
      <c r="O27" s="4">
        <f t="shared" si="6"/>
        <v>509.17497987051996</v>
      </c>
      <c r="P27" s="13">
        <f>'2000-10'!P27</f>
        <v>516026</v>
      </c>
      <c r="Q27" s="22">
        <f t="shared" si="7"/>
        <v>7154856.0031407652</v>
      </c>
      <c r="R27" s="13">
        <f t="shared" si="8"/>
        <v>516026</v>
      </c>
    </row>
    <row r="28" spans="1:18">
      <c r="A28" s="18" t="s">
        <v>43</v>
      </c>
      <c r="B28" s="4">
        <f>'2000-10'!B28</f>
        <v>57.321390000000001</v>
      </c>
      <c r="C28" s="4">
        <f>'2000-10'!C28</f>
        <v>64.773169999999993</v>
      </c>
      <c r="D28" s="36">
        <f t="shared" si="9"/>
        <v>85982.084999999992</v>
      </c>
      <c r="E28" s="4">
        <f>'Interval Circuities'!J28</f>
        <v>1.264721877219898</v>
      </c>
      <c r="F28" s="4">
        <f t="shared" si="0"/>
        <v>45.323316558738938</v>
      </c>
      <c r="G28" s="4">
        <f t="shared" si="1"/>
        <v>67.9849748381084</v>
      </c>
      <c r="H28" s="4">
        <f t="shared" si="2"/>
        <v>14520.305539833393</v>
      </c>
      <c r="I28" s="4">
        <f t="shared" si="3"/>
        <v>946.38210751600684</v>
      </c>
      <c r="J28" s="9">
        <f>'2000-10'!J28</f>
        <v>1035.5225359999999</v>
      </c>
      <c r="K28" s="9">
        <f>'2000-10'!K28</f>
        <v>980000</v>
      </c>
      <c r="L28" s="22">
        <f t="shared" si="4"/>
        <v>13741757.358563876</v>
      </c>
      <c r="M28" s="22">
        <f t="shared" si="5"/>
        <v>980000</v>
      </c>
      <c r="N28" s="19" t="s">
        <v>92</v>
      </c>
      <c r="O28" s="4">
        <f t="shared" si="6"/>
        <v>519.02878142673273</v>
      </c>
      <c r="P28" s="13">
        <f>'2000-10'!P28</f>
        <v>537466</v>
      </c>
      <c r="Q28" s="22">
        <f t="shared" si="7"/>
        <v>7536456.4902835628</v>
      </c>
      <c r="R28" s="13">
        <f t="shared" si="8"/>
        <v>537466</v>
      </c>
    </row>
    <row r="29" spans="1:18">
      <c r="A29" s="18" t="s">
        <v>44</v>
      </c>
      <c r="B29" s="4">
        <f>'2000-10'!B29</f>
        <v>57.256279999999997</v>
      </c>
      <c r="C29" s="4">
        <f>'2000-10'!C29</f>
        <v>65.844710000000006</v>
      </c>
      <c r="D29" s="36">
        <f t="shared" si="9"/>
        <v>85884.42</v>
      </c>
      <c r="E29" s="4">
        <f>'Interval Circuities'!J29</f>
        <v>1.1739192330214512</v>
      </c>
      <c r="F29" s="4">
        <f t="shared" si="0"/>
        <v>48.773610985683327</v>
      </c>
      <c r="G29" s="4">
        <f t="shared" si="1"/>
        <v>73.160416478524994</v>
      </c>
      <c r="H29" s="4">
        <f t="shared" si="2"/>
        <v>16815.206726632277</v>
      </c>
      <c r="I29" s="4">
        <f t="shared" si="3"/>
        <v>1109.8416821225401</v>
      </c>
      <c r="J29" s="9">
        <f>'2000-10'!J29</f>
        <v>1261.4411789999999</v>
      </c>
      <c r="K29" s="9">
        <f>'2000-10'!K29</f>
        <v>1400000</v>
      </c>
      <c r="L29" s="22">
        <f t="shared" si="4"/>
        <v>18662217.318723816</v>
      </c>
      <c r="M29" s="22">
        <f t="shared" si="5"/>
        <v>1400000</v>
      </c>
      <c r="N29" s="19" t="s">
        <v>92</v>
      </c>
      <c r="O29" s="4">
        <f t="shared" si="6"/>
        <v>619.65949186759508</v>
      </c>
      <c r="P29" s="13">
        <f>'2000-10'!P29</f>
        <v>781664</v>
      </c>
      <c r="Q29" s="22">
        <f t="shared" si="7"/>
        <v>10419702.455873523</v>
      </c>
      <c r="R29" s="13">
        <f t="shared" si="8"/>
        <v>781664</v>
      </c>
    </row>
    <row r="30" spans="1:18">
      <c r="A30" s="18" t="s">
        <v>45</v>
      </c>
      <c r="B30" s="4">
        <f>'2000-10'!B30</f>
        <v>55.30265</v>
      </c>
      <c r="C30" s="4">
        <f>'2000-10'!C30</f>
        <v>69.681340000000006</v>
      </c>
      <c r="D30" s="36">
        <f t="shared" si="9"/>
        <v>82953.975000000006</v>
      </c>
      <c r="E30" s="4">
        <f>'Interval Circuities'!J30</f>
        <v>1.2057332857453171</v>
      </c>
      <c r="F30" s="4">
        <f t="shared" si="0"/>
        <v>45.866403999799161</v>
      </c>
      <c r="G30" s="4">
        <f t="shared" si="1"/>
        <v>68.799605999698741</v>
      </c>
      <c r="H30" s="4">
        <f t="shared" si="2"/>
        <v>14870.37001100477</v>
      </c>
      <c r="I30" s="4">
        <f t="shared" si="3"/>
        <v>1049.2157487922923</v>
      </c>
      <c r="J30" s="9">
        <f>'2000-10'!J30</f>
        <v>2316.0155599999998</v>
      </c>
      <c r="K30" s="9">
        <f>'2000-10'!K30</f>
        <v>2430000</v>
      </c>
      <c r="L30" s="22">
        <f t="shared" si="4"/>
        <v>15602226.405914817</v>
      </c>
      <c r="M30" s="22">
        <f t="shared" si="5"/>
        <v>2430000</v>
      </c>
      <c r="N30" s="19" t="s">
        <v>92</v>
      </c>
      <c r="O30" s="4">
        <f t="shared" si="6"/>
        <v>709.14808534360634</v>
      </c>
      <c r="P30" s="13">
        <f>'2000-10'!P30</f>
        <v>1642398</v>
      </c>
      <c r="Q30" s="22">
        <f t="shared" si="7"/>
        <v>10545294.421655016</v>
      </c>
      <c r="R30" s="13">
        <f t="shared" si="8"/>
        <v>1642398</v>
      </c>
    </row>
    <row r="31" spans="1:18">
      <c r="A31" s="18" t="s">
        <v>46</v>
      </c>
      <c r="B31" s="4">
        <f>'2000-10'!B31</f>
        <v>60.804580000000001</v>
      </c>
      <c r="C31" s="4">
        <f>'2000-10'!C31</f>
        <v>70.533320000000003</v>
      </c>
      <c r="D31" s="36">
        <f t="shared" si="9"/>
        <v>91206.87000000001</v>
      </c>
      <c r="E31" s="4">
        <f>'Interval Circuities'!J31</f>
        <v>1.2927428976800106</v>
      </c>
      <c r="F31" s="4">
        <f t="shared" si="0"/>
        <v>47.035323194675023</v>
      </c>
      <c r="G31" s="4">
        <f t="shared" si="1"/>
        <v>70.552984792012538</v>
      </c>
      <c r="H31" s="4">
        <f t="shared" si="2"/>
        <v>15637.980091475505</v>
      </c>
      <c r="I31" s="4">
        <f t="shared" si="3"/>
        <v>761.86150080518587</v>
      </c>
      <c r="J31" s="9">
        <f>'2000-10'!J31</f>
        <v>1115.688349</v>
      </c>
      <c r="K31" s="9">
        <f>'2000-10'!K31</f>
        <v>850000</v>
      </c>
      <c r="L31" s="22">
        <f t="shared" si="4"/>
        <v>11913974.982053146</v>
      </c>
      <c r="M31" s="22">
        <f t="shared" si="5"/>
        <v>850000</v>
      </c>
      <c r="N31" s="19" t="s">
        <v>92</v>
      </c>
      <c r="O31" s="4">
        <f t="shared" si="6"/>
        <v>568.95099834012876</v>
      </c>
      <c r="P31" s="13">
        <f>'2000-10'!P31</f>
        <v>634772</v>
      </c>
      <c r="Q31" s="22">
        <f t="shared" si="7"/>
        <v>8897244.3850680459</v>
      </c>
      <c r="R31" s="13">
        <f t="shared" si="8"/>
        <v>634772</v>
      </c>
    </row>
    <row r="32" spans="1:18">
      <c r="A32" s="18" t="s">
        <v>47</v>
      </c>
      <c r="B32" s="4">
        <f>'2000-10'!B32</f>
        <v>56.712069999999997</v>
      </c>
      <c r="C32" s="4">
        <f>'2000-10'!C32</f>
        <v>65.218879999999999</v>
      </c>
      <c r="D32" s="36">
        <f t="shared" si="9"/>
        <v>85068.104999999996</v>
      </c>
      <c r="E32" s="4">
        <f>'Interval Circuities'!J32</f>
        <v>1.3330135876488414</v>
      </c>
      <c r="F32" s="4">
        <f t="shared" si="0"/>
        <v>42.544255006453675</v>
      </c>
      <c r="G32" s="4">
        <f t="shared" si="1"/>
        <v>63.816382509680508</v>
      </c>
      <c r="H32" s="4">
        <f t="shared" si="2"/>
        <v>12794.232455194293</v>
      </c>
      <c r="I32" s="4">
        <f t="shared" si="3"/>
        <v>2137.0329710580395</v>
      </c>
      <c r="J32" s="9">
        <f>'2000-10'!J32</f>
        <v>512.39265599999999</v>
      </c>
      <c r="K32" s="9">
        <f>'2000-10'!K32</f>
        <v>1095000</v>
      </c>
      <c r="L32" s="22">
        <f t="shared" si="4"/>
        <v>27341696.596131057</v>
      </c>
      <c r="M32" s="22">
        <f t="shared" si="5"/>
        <v>1095000</v>
      </c>
      <c r="N32" s="19" t="s">
        <v>92</v>
      </c>
      <c r="O32" s="4">
        <f t="shared" si="6"/>
        <v>1056.4398097071867</v>
      </c>
      <c r="P32" s="13">
        <f>'2000-10'!P32</f>
        <v>541312</v>
      </c>
      <c r="Q32" s="22">
        <f t="shared" si="7"/>
        <v>13516336.500314971</v>
      </c>
      <c r="R32" s="13">
        <f t="shared" si="8"/>
        <v>541312</v>
      </c>
    </row>
    <row r="33" spans="1:18">
      <c r="A33" s="18" t="s">
        <v>65</v>
      </c>
      <c r="B33" s="4">
        <f>'2000-10'!B33</f>
        <v>51.868699999999997</v>
      </c>
      <c r="C33" s="4">
        <f>'2000-10'!C33</f>
        <v>66.910629999999998</v>
      </c>
      <c r="D33" s="36">
        <f t="shared" si="9"/>
        <v>77803.05</v>
      </c>
      <c r="E33" s="4">
        <f>'Interval Circuities'!J33</f>
        <v>1.2106142764802332</v>
      </c>
      <c r="F33" s="4">
        <f t="shared" si="0"/>
        <v>42.844943271943073</v>
      </c>
      <c r="G33" s="4">
        <f t="shared" si="1"/>
        <v>64.267414907914613</v>
      </c>
      <c r="H33" s="4">
        <f t="shared" si="2"/>
        <v>12975.722081598273</v>
      </c>
      <c r="I33" s="4">
        <f t="shared" si="3"/>
        <v>1980.8358108488483</v>
      </c>
      <c r="J33" s="9">
        <f>'2000-10'!J33</f>
        <v>8683.2032749999998</v>
      </c>
      <c r="K33" s="9">
        <f>'2000-10'!K33</f>
        <v>17200000</v>
      </c>
      <c r="L33" s="22">
        <f t="shared" si="4"/>
        <v>25702774.970852021</v>
      </c>
      <c r="M33" s="22">
        <f t="shared" si="5"/>
        <v>17200000</v>
      </c>
      <c r="N33" s="19" t="s">
        <v>92</v>
      </c>
      <c r="O33" s="4">
        <f t="shared" si="6"/>
        <v>908.02319723420271</v>
      </c>
      <c r="P33" s="13">
        <f>'2000-10'!P33</f>
        <v>7884550</v>
      </c>
      <c r="Q33" s="22">
        <f t="shared" si="7"/>
        <v>11782256.650955308</v>
      </c>
      <c r="R33" s="13">
        <f t="shared" si="8"/>
        <v>7884550</v>
      </c>
    </row>
    <row r="34" spans="1:18">
      <c r="A34" s="18" t="s">
        <v>66</v>
      </c>
      <c r="B34" s="4">
        <f>'2000-10'!B34</f>
        <v>59.517719999999997</v>
      </c>
      <c r="C34" s="4">
        <f>'2000-10'!C34</f>
        <v>65.469489999999993</v>
      </c>
      <c r="D34" s="36">
        <f t="shared" si="9"/>
        <v>89276.58</v>
      </c>
      <c r="E34" s="4">
        <f>'Interval Circuities'!J34</f>
        <v>1.2328346506072771</v>
      </c>
      <c r="F34" s="4">
        <f t="shared" si="0"/>
        <v>48.277131057828718</v>
      </c>
      <c r="G34" s="4">
        <f t="shared" si="1"/>
        <v>72.415696586743081</v>
      </c>
      <c r="H34" s="4">
        <f t="shared" si="2"/>
        <v>16474.615900290803</v>
      </c>
      <c r="I34" s="4">
        <f t="shared" si="3"/>
        <v>970.18996121809357</v>
      </c>
      <c r="J34" s="9">
        <f>'2000-10'!J34</f>
        <v>834.88804500000003</v>
      </c>
      <c r="K34" s="9">
        <f>'2000-10'!K34</f>
        <v>810000</v>
      </c>
      <c r="L34" s="22">
        <f t="shared" si="4"/>
        <v>15983506.961386122</v>
      </c>
      <c r="M34" s="22">
        <f t="shared" si="5"/>
        <v>810000</v>
      </c>
      <c r="N34" s="19" t="s">
        <v>92</v>
      </c>
      <c r="O34" s="4">
        <f t="shared" si="6"/>
        <v>528.7128048407975</v>
      </c>
      <c r="P34" s="13">
        <f>'2000-10'!P34</f>
        <v>441416</v>
      </c>
      <c r="Q34" s="22">
        <f t="shared" si="7"/>
        <v>8710340.3813175503</v>
      </c>
      <c r="R34" s="13">
        <f t="shared" si="8"/>
        <v>441416</v>
      </c>
    </row>
    <row r="35" spans="1:18">
      <c r="A35" s="18" t="s">
        <v>48</v>
      </c>
      <c r="B35" s="4">
        <f>'2000-10'!B35</f>
        <v>45.740690000000001</v>
      </c>
      <c r="C35" s="4">
        <f>'2000-10'!C35</f>
        <v>60.835120000000003</v>
      </c>
      <c r="D35" s="36">
        <f t="shared" si="9"/>
        <v>68611.035000000003</v>
      </c>
      <c r="E35" s="4">
        <f>'Interval Circuities'!J35</f>
        <v>1.2671796412298331</v>
      </c>
      <c r="F35" s="4">
        <f t="shared" si="0"/>
        <v>36.096452714160868</v>
      </c>
      <c r="G35" s="4">
        <f t="shared" si="1"/>
        <v>54.144679071241299</v>
      </c>
      <c r="H35" s="4">
        <f t="shared" si="2"/>
        <v>9210.0383901836976</v>
      </c>
      <c r="I35" s="4">
        <f t="shared" si="3"/>
        <v>1047.9139885488814</v>
      </c>
      <c r="J35" s="9">
        <f>'2000-10'!J35</f>
        <v>1173.7604550000001</v>
      </c>
      <c r="K35" s="9">
        <f>'2000-10'!K35</f>
        <v>1230000</v>
      </c>
      <c r="L35" s="22">
        <f t="shared" si="4"/>
        <v>9651328.0641457178</v>
      </c>
      <c r="M35" s="22">
        <f t="shared" si="5"/>
        <v>1230000</v>
      </c>
      <c r="N35" s="19" t="s">
        <v>92</v>
      </c>
      <c r="O35" s="4">
        <f t="shared" si="6"/>
        <v>697.01274780125379</v>
      </c>
      <c r="P35" s="13">
        <f>'2000-10'!P35</f>
        <v>818126</v>
      </c>
      <c r="Q35" s="22">
        <f t="shared" si="7"/>
        <v>6419514.1656969748</v>
      </c>
      <c r="R35" s="13">
        <f t="shared" si="8"/>
        <v>818126</v>
      </c>
    </row>
    <row r="36" spans="1:18">
      <c r="A36" s="18" t="s">
        <v>67</v>
      </c>
      <c r="B36" s="4">
        <f>'2000-10'!B36</f>
        <v>52.865879999999997</v>
      </c>
      <c r="C36" s="4">
        <f>'2000-10'!C36</f>
        <v>66.611009999999993</v>
      </c>
      <c r="D36" s="36">
        <f t="shared" si="9"/>
        <v>79298.819999999992</v>
      </c>
      <c r="E36" s="4">
        <f>'Interval Circuities'!J36</f>
        <v>1.1650001894224682</v>
      </c>
      <c r="F36" s="4">
        <f t="shared" si="0"/>
        <v>45.378430389961984</v>
      </c>
      <c r="G36" s="4">
        <f t="shared" si="1"/>
        <v>68.06764558494298</v>
      </c>
      <c r="H36" s="4">
        <f t="shared" si="2"/>
        <v>14555.64082857991</v>
      </c>
      <c r="I36" s="4">
        <f t="shared" si="3"/>
        <v>1099.6163268490113</v>
      </c>
      <c r="J36" s="9">
        <f>'2000-10'!J36</f>
        <v>4660.7165379999997</v>
      </c>
      <c r="K36" s="9">
        <f>'2000-10'!K36</f>
        <v>5125000</v>
      </c>
      <c r="L36" s="22">
        <f t="shared" si="4"/>
        <v>16005620.30285654</v>
      </c>
      <c r="M36" s="22">
        <f t="shared" si="5"/>
        <v>5125000</v>
      </c>
      <c r="N36" s="19" t="s">
        <v>92</v>
      </c>
      <c r="O36" s="4">
        <f t="shared" si="6"/>
        <v>547.27078534034638</v>
      </c>
      <c r="P36" s="13">
        <f>'2000-10'!P36</f>
        <v>2550674</v>
      </c>
      <c r="Q36" s="22">
        <f t="shared" si="7"/>
        <v>7965876.9873889377</v>
      </c>
      <c r="R36" s="13">
        <f t="shared" si="8"/>
        <v>2550674</v>
      </c>
    </row>
    <row r="37" spans="1:18">
      <c r="A37" s="18" t="s">
        <v>49</v>
      </c>
      <c r="B37" s="4">
        <f>'2000-10'!B37</f>
        <v>52.44265</v>
      </c>
      <c r="C37" s="4">
        <f>'2000-10'!C37</f>
        <v>67.126589999999993</v>
      </c>
      <c r="D37" s="36">
        <f t="shared" si="9"/>
        <v>78663.974999999991</v>
      </c>
      <c r="E37" s="4">
        <f>'Interval Circuities'!J37</f>
        <v>1.2935690740771228</v>
      </c>
      <c r="F37" s="4">
        <f t="shared" si="0"/>
        <v>40.541051151376983</v>
      </c>
      <c r="G37" s="4">
        <f t="shared" si="1"/>
        <v>60.811576727065471</v>
      </c>
      <c r="H37" s="4">
        <f t="shared" si="2"/>
        <v>11617.760002265639</v>
      </c>
      <c r="I37" s="4">
        <f t="shared" si="3"/>
        <v>1401.3597327768193</v>
      </c>
      <c r="J37" s="9">
        <f>'2000-10'!J37</f>
        <v>2069.418674</v>
      </c>
      <c r="K37" s="9">
        <f>'2000-10'!K37</f>
        <v>2900000</v>
      </c>
      <c r="L37" s="22">
        <f t="shared" si="4"/>
        <v>16280661.052240195</v>
      </c>
      <c r="M37" s="22">
        <f t="shared" si="5"/>
        <v>2900000</v>
      </c>
      <c r="N37" s="19" t="s">
        <v>92</v>
      </c>
      <c r="O37" s="4">
        <f t="shared" si="6"/>
        <v>677.88602549355369</v>
      </c>
      <c r="P37" s="13">
        <f>'2000-10'!P37</f>
        <v>1402830</v>
      </c>
      <c r="Q37" s="22">
        <f t="shared" si="7"/>
        <v>7875517.1530738333</v>
      </c>
      <c r="R37" s="13">
        <f t="shared" si="8"/>
        <v>1402830</v>
      </c>
    </row>
    <row r="38" spans="1:18">
      <c r="A38" s="18" t="s">
        <v>50</v>
      </c>
      <c r="B38" s="4">
        <f>'2000-10'!B38</f>
        <v>58.551130000000001</v>
      </c>
      <c r="C38" s="4">
        <f>'2000-10'!C38</f>
        <v>64.406239999999997</v>
      </c>
      <c r="D38" s="36">
        <f t="shared" si="9"/>
        <v>87826.695000000007</v>
      </c>
      <c r="E38" s="4">
        <f>'Interval Circuities'!J38</f>
        <v>1.2304769714182997</v>
      </c>
      <c r="F38" s="4">
        <f t="shared" si="0"/>
        <v>47.584092477985585</v>
      </c>
      <c r="G38" s="4">
        <f t="shared" si="1"/>
        <v>71.376138716978375</v>
      </c>
      <c r="H38" s="4">
        <f t="shared" si="2"/>
        <v>16005.01083778393</v>
      </c>
      <c r="I38" s="4">
        <f t="shared" si="3"/>
        <v>799.47580658814047</v>
      </c>
      <c r="J38" s="9">
        <f>'2000-10'!J38</f>
        <v>2207.6965749999999</v>
      </c>
      <c r="K38" s="9">
        <f>'2000-10'!K38</f>
        <v>1765000</v>
      </c>
      <c r="L38" s="22">
        <f t="shared" si="4"/>
        <v>12795618.948989237</v>
      </c>
      <c r="M38" s="22">
        <f t="shared" si="5"/>
        <v>1765000</v>
      </c>
      <c r="N38" s="19" t="s">
        <v>92</v>
      </c>
      <c r="O38" s="4">
        <f t="shared" si="6"/>
        <v>470.46365508810919</v>
      </c>
      <c r="P38" s="13">
        <f>'2000-10'!P38</f>
        <v>1038641</v>
      </c>
      <c r="Q38" s="22">
        <f t="shared" si="7"/>
        <v>7529775.8984686285</v>
      </c>
      <c r="R38" s="13">
        <f t="shared" si="8"/>
        <v>1038641</v>
      </c>
    </row>
    <row r="39" spans="1:18">
      <c r="A39" s="18" t="s">
        <v>51</v>
      </c>
      <c r="B39" s="4">
        <f>'2000-10'!B39</f>
        <v>53.087949999999999</v>
      </c>
      <c r="C39" s="4">
        <f>'2000-10'!C39</f>
        <v>67.952579999999998</v>
      </c>
      <c r="D39" s="36">
        <f t="shared" si="9"/>
        <v>79631.924999999988</v>
      </c>
      <c r="E39" s="4">
        <f>'Interval Circuities'!J39</f>
        <v>1.4115063877313381</v>
      </c>
      <c r="F39" s="4">
        <f t="shared" si="0"/>
        <v>37.610846441386848</v>
      </c>
      <c r="G39" s="4">
        <f t="shared" si="1"/>
        <v>56.416269662080268</v>
      </c>
      <c r="H39" s="4">
        <f t="shared" si="2"/>
        <v>9999.0469059664301</v>
      </c>
      <c r="I39" s="4">
        <f t="shared" si="3"/>
        <v>1295.3047985550368</v>
      </c>
      <c r="J39" s="9">
        <f>'2000-10'!J39</f>
        <v>1227.5103140000001</v>
      </c>
      <c r="K39" s="9">
        <f>'2000-10'!K39</f>
        <v>1590000</v>
      </c>
      <c r="L39" s="22">
        <f t="shared" si="4"/>
        <v>12951813.438275211</v>
      </c>
      <c r="M39" s="22">
        <f t="shared" si="5"/>
        <v>1590000</v>
      </c>
      <c r="N39" s="19" t="s">
        <v>92</v>
      </c>
      <c r="O39" s="4">
        <f t="shared" si="6"/>
        <v>714.74674387135121</v>
      </c>
      <c r="P39" s="13">
        <f>'2000-10'!P39</f>
        <v>877359</v>
      </c>
      <c r="Q39" s="22">
        <f t="shared" si="7"/>
        <v>7146786.2178564146</v>
      </c>
      <c r="R39" s="13">
        <f t="shared" si="8"/>
        <v>877359</v>
      </c>
    </row>
    <row r="40" spans="1:18">
      <c r="A40" s="18" t="s">
        <v>52</v>
      </c>
      <c r="B40" s="4">
        <f>'2000-10'!B40</f>
        <v>62.482399999999998</v>
      </c>
      <c r="C40" s="4">
        <f>'2000-10'!C40</f>
        <v>71.229929999999996</v>
      </c>
      <c r="D40" s="36">
        <f t="shared" si="9"/>
        <v>93723.6</v>
      </c>
      <c r="E40" s="4">
        <f>'Interval Circuities'!J40</f>
        <v>1.2775150349767577</v>
      </c>
      <c r="F40" s="4">
        <f t="shared" si="0"/>
        <v>48.909326535743482</v>
      </c>
      <c r="G40" s="4">
        <f t="shared" si="1"/>
        <v>73.363989803615226</v>
      </c>
      <c r="H40" s="4">
        <f t="shared" si="2"/>
        <v>16908.915599301425</v>
      </c>
      <c r="I40" s="4">
        <f t="shared" si="3"/>
        <v>927.62866400845292</v>
      </c>
      <c r="J40" s="9">
        <f>'2000-10'!J40</f>
        <v>1304.4012620000001</v>
      </c>
      <c r="K40" s="9">
        <f>'2000-10'!K40</f>
        <v>1210000</v>
      </c>
      <c r="L40" s="22">
        <f t="shared" si="4"/>
        <v>15685194.78721167</v>
      </c>
      <c r="M40" s="22">
        <f t="shared" si="5"/>
        <v>1210000</v>
      </c>
      <c r="N40" s="19" t="s">
        <v>92</v>
      </c>
      <c r="O40" s="4">
        <f t="shared" si="6"/>
        <v>482.44740198664414</v>
      </c>
      <c r="P40" s="13">
        <f>'2000-10'!P40</f>
        <v>629305</v>
      </c>
      <c r="Q40" s="22">
        <f t="shared" si="7"/>
        <v>8157662.4012944121</v>
      </c>
      <c r="R40" s="13">
        <f t="shared" si="8"/>
        <v>629305</v>
      </c>
    </row>
    <row r="41" spans="1:18">
      <c r="A41" s="18" t="s">
        <v>53</v>
      </c>
      <c r="B41" s="4">
        <f>'2000-10'!B41</f>
        <v>61.628950000000003</v>
      </c>
      <c r="C41" s="4">
        <f>'2000-10'!C41</f>
        <v>70.257009999999994</v>
      </c>
      <c r="D41" s="36">
        <f t="shared" si="9"/>
        <v>92443.425000000003</v>
      </c>
      <c r="E41" s="4">
        <f>'Interval Circuities'!J41</f>
        <v>1.1912350631549053</v>
      </c>
      <c r="F41" s="4">
        <f t="shared" si="0"/>
        <v>51.735339150259648</v>
      </c>
      <c r="G41" s="4">
        <f t="shared" si="1"/>
        <v>77.603008725389472</v>
      </c>
      <c r="H41" s="4">
        <f t="shared" si="2"/>
        <v>18919.383985942768</v>
      </c>
      <c r="I41" s="4">
        <f t="shared" si="3"/>
        <v>954.34497016892783</v>
      </c>
      <c r="J41" s="9">
        <f>'2000-10'!J41</f>
        <v>827.79291000000001</v>
      </c>
      <c r="K41" s="9">
        <f>'2000-10'!K41</f>
        <v>790000</v>
      </c>
      <c r="L41" s="22">
        <f t="shared" si="4"/>
        <v>18055618.945679042</v>
      </c>
      <c r="M41" s="22">
        <f t="shared" si="5"/>
        <v>790000</v>
      </c>
      <c r="N41" s="19" t="s">
        <v>92</v>
      </c>
      <c r="O41" s="4">
        <f t="shared" si="6"/>
        <v>742.45018600123069</v>
      </c>
      <c r="P41" s="13">
        <f>'2000-10'!P41</f>
        <v>614595</v>
      </c>
      <c r="Q41" s="22">
        <f t="shared" si="7"/>
        <v>14046700.159391914</v>
      </c>
      <c r="R41" s="13">
        <f t="shared" si="8"/>
        <v>614595</v>
      </c>
    </row>
    <row r="42" spans="1:18">
      <c r="A42" s="18" t="s">
        <v>82</v>
      </c>
      <c r="B42" s="4">
        <f>'2000-10'!B42</f>
        <v>62.089397559255026</v>
      </c>
      <c r="C42" s="4">
        <f>'2000-10'!C42</f>
        <v>65.814761412810327</v>
      </c>
      <c r="D42" s="36">
        <f t="shared" si="9"/>
        <v>93134.096338882548</v>
      </c>
      <c r="E42" s="4">
        <f>'Interval Circuities'!J42</f>
        <v>1.1828582702966295</v>
      </c>
      <c r="F42" s="4">
        <f t="shared" si="0"/>
        <v>52.49098655216288</v>
      </c>
      <c r="G42" s="4">
        <f t="shared" si="1"/>
        <v>78.736479828244313</v>
      </c>
      <c r="H42" s="4">
        <f t="shared" si="2"/>
        <v>19476.093972664108</v>
      </c>
      <c r="I42" s="4">
        <f t="shared" si="3"/>
        <v>869.91369247448461</v>
      </c>
      <c r="J42" s="9">
        <f>'2000-10'!J42</f>
        <v>764.44365200000004</v>
      </c>
      <c r="K42" s="9">
        <f>'2000-10'!K42</f>
        <v>665000</v>
      </c>
      <c r="L42" s="22">
        <f t="shared" si="4"/>
        <v>16942520.822740287</v>
      </c>
      <c r="M42" s="22">
        <f t="shared" si="5"/>
        <v>665000</v>
      </c>
      <c r="N42" s="19" t="s">
        <v>92</v>
      </c>
      <c r="O42" s="4">
        <f t="shared" si="6"/>
        <v>595.44480330121178</v>
      </c>
      <c r="P42" s="13">
        <f>'2000-10'!P42</f>
        <v>455184</v>
      </c>
      <c r="Q42" s="22">
        <f t="shared" si="7"/>
        <v>11596938.944628896</v>
      </c>
      <c r="R42" s="13">
        <f t="shared" si="8"/>
        <v>455184</v>
      </c>
    </row>
    <row r="43" spans="1:18">
      <c r="A43" s="18" t="s">
        <v>54</v>
      </c>
      <c r="B43" s="4">
        <f>'2000-10'!B43</f>
        <v>53.297409999999999</v>
      </c>
      <c r="C43" s="4">
        <f>'2000-10'!C43</f>
        <v>67.687709999999996</v>
      </c>
      <c r="D43" s="36">
        <f t="shared" si="9"/>
        <v>79946.114999999991</v>
      </c>
      <c r="E43" s="4">
        <f>'Interval Circuities'!J43</f>
        <v>1.4368804320559494</v>
      </c>
      <c r="F43" s="4">
        <f t="shared" si="0"/>
        <v>37.092446115185666</v>
      </c>
      <c r="G43" s="4">
        <f t="shared" si="1"/>
        <v>55.638669172778499</v>
      </c>
      <c r="H43" s="4">
        <f t="shared" si="2"/>
        <v>9725.3074493905951</v>
      </c>
      <c r="I43" s="4">
        <f t="shared" si="3"/>
        <v>1538.0035288978304</v>
      </c>
      <c r="J43" s="9">
        <f>'2000-10'!J43</f>
        <v>955.78454299999999</v>
      </c>
      <c r="K43" s="9">
        <f>'2000-10'!K43</f>
        <v>1470000</v>
      </c>
      <c r="L43" s="22">
        <f t="shared" si="4"/>
        <v>14957557.176779093</v>
      </c>
      <c r="M43" s="22">
        <f t="shared" si="5"/>
        <v>1470000</v>
      </c>
      <c r="N43" s="19" t="s">
        <v>92</v>
      </c>
      <c r="O43" s="4">
        <f t="shared" si="6"/>
        <v>612.25827963614597</v>
      </c>
      <c r="P43" s="13">
        <f>'2000-10'!P43</f>
        <v>585187</v>
      </c>
      <c r="Q43" s="22">
        <f t="shared" si="7"/>
        <v>5954400.0078964802</v>
      </c>
      <c r="R43" s="13">
        <f t="shared" si="8"/>
        <v>585187</v>
      </c>
    </row>
    <row r="44" spans="1:18">
      <c r="A44" s="18" t="s">
        <v>55</v>
      </c>
      <c r="B44" s="4">
        <f>'2000-10'!B44</f>
        <v>52.234180000000002</v>
      </c>
      <c r="C44" s="4">
        <f>'2000-10'!C44</f>
        <v>63.725700000000003</v>
      </c>
      <c r="D44" s="36">
        <f t="shared" si="9"/>
        <v>78351.27</v>
      </c>
      <c r="E44" s="4">
        <f>'Interval Circuities'!J44</f>
        <v>1.4466148785585848</v>
      </c>
      <c r="F44" s="4">
        <f t="shared" si="0"/>
        <v>36.107868634702854</v>
      </c>
      <c r="G44" s="4">
        <f t="shared" si="1"/>
        <v>54.161802952054281</v>
      </c>
      <c r="H44" s="4">
        <f t="shared" si="2"/>
        <v>9215.8648736513514</v>
      </c>
      <c r="I44" s="4">
        <f t="shared" si="3"/>
        <v>1539.5789483851775</v>
      </c>
      <c r="J44" s="9">
        <f>'2000-10'!J44</f>
        <v>597.56597799999997</v>
      </c>
      <c r="K44" s="9">
        <f>'2000-10'!K44</f>
        <v>920000</v>
      </c>
      <c r="L44" s="22">
        <f t="shared" si="4"/>
        <v>14188551.550636044</v>
      </c>
      <c r="M44" s="22">
        <f t="shared" si="5"/>
        <v>920000</v>
      </c>
      <c r="N44" s="19" t="s">
        <v>92</v>
      </c>
      <c r="O44" s="4">
        <f t="shared" si="6"/>
        <v>1022.9581711561229</v>
      </c>
      <c r="P44" s="13">
        <f>'2000-10'!P44</f>
        <v>611285</v>
      </c>
      <c r="Q44" s="22">
        <f t="shared" si="7"/>
        <v>9427444.2767723408</v>
      </c>
      <c r="R44" s="13">
        <f t="shared" si="8"/>
        <v>611285</v>
      </c>
    </row>
    <row r="45" spans="1:18">
      <c r="A45" s="18" t="s">
        <v>68</v>
      </c>
      <c r="B45" s="4">
        <f>'2000-10'!B45</f>
        <v>59.60624</v>
      </c>
      <c r="C45" s="4">
        <f>'2000-10'!C45</f>
        <v>71.52749</v>
      </c>
      <c r="D45" s="36">
        <f t="shared" si="9"/>
        <v>89409.359999999986</v>
      </c>
      <c r="E45" s="4">
        <f>'Interval Circuities'!J45</f>
        <v>1.2640638332535699</v>
      </c>
      <c r="F45" s="4">
        <f t="shared" si="0"/>
        <v>47.154454096340757</v>
      </c>
      <c r="G45" s="4">
        <f t="shared" si="1"/>
        <v>70.731681144511128</v>
      </c>
      <c r="H45" s="4">
        <f t="shared" si="2"/>
        <v>15717.296052313306</v>
      </c>
      <c r="I45" s="4">
        <f t="shared" si="3"/>
        <v>1193.6639046698626</v>
      </c>
      <c r="J45" s="9">
        <f>'2000-10'!J45</f>
        <v>1055.5735119999999</v>
      </c>
      <c r="K45" s="9">
        <f>'2000-10'!K45</f>
        <v>1260000</v>
      </c>
      <c r="L45" s="22">
        <f t="shared" si="4"/>
        <v>18761168.976656519</v>
      </c>
      <c r="M45" s="22">
        <f t="shared" si="5"/>
        <v>1260000</v>
      </c>
      <c r="N45" s="19" t="s">
        <v>92</v>
      </c>
      <c r="O45" s="4">
        <f t="shared" si="6"/>
        <v>601.99786445569703</v>
      </c>
      <c r="P45" s="13">
        <f>'2000-10'!P45</f>
        <v>635453</v>
      </c>
      <c r="Q45" s="22">
        <f t="shared" si="7"/>
        <v>9461778.6585105676</v>
      </c>
      <c r="R45" s="13">
        <f t="shared" si="8"/>
        <v>635453</v>
      </c>
    </row>
    <row r="46" spans="1:18">
      <c r="A46" s="18" t="s">
        <v>69</v>
      </c>
      <c r="B46" s="4">
        <f>'2000-10'!B46</f>
        <v>53.169829999999997</v>
      </c>
      <c r="C46" s="4">
        <f>'2000-10'!C46</f>
        <v>70.715869999999995</v>
      </c>
      <c r="D46" s="36">
        <f t="shared" si="9"/>
        <v>79754.744999999995</v>
      </c>
      <c r="E46" s="4">
        <f>'Interval Circuities'!J46</f>
        <v>1.385095428346623</v>
      </c>
      <c r="F46" s="4">
        <f t="shared" si="0"/>
        <v>38.387124029041367</v>
      </c>
      <c r="G46" s="4">
        <f t="shared" si="1"/>
        <v>57.580686043562054</v>
      </c>
      <c r="H46" s="4">
        <f t="shared" si="2"/>
        <v>10416.061671841655</v>
      </c>
      <c r="I46" s="4">
        <f t="shared" si="3"/>
        <v>1372.086028348845</v>
      </c>
      <c r="J46" s="9">
        <f>'2000-10'!J46</f>
        <v>2026.112024</v>
      </c>
      <c r="K46" s="9">
        <f>'2000-10'!K46</f>
        <v>2780000</v>
      </c>
      <c r="L46" s="22">
        <f t="shared" si="4"/>
        <v>14291732.690353848</v>
      </c>
      <c r="M46" s="22">
        <f t="shared" si="5"/>
        <v>2780000</v>
      </c>
      <c r="N46" s="19" t="s">
        <v>92</v>
      </c>
      <c r="O46" s="4">
        <f t="shared" si="6"/>
        <v>533.91026122255516</v>
      </c>
      <c r="P46" s="13">
        <f>'2000-10'!P46</f>
        <v>1081762</v>
      </c>
      <c r="Q46" s="22">
        <f t="shared" si="7"/>
        <v>5561242.2081232229</v>
      </c>
      <c r="R46" s="13">
        <f t="shared" si="8"/>
        <v>1081762</v>
      </c>
    </row>
    <row r="47" spans="1:18" ht="16">
      <c r="A47" s="18" t="s">
        <v>114</v>
      </c>
      <c r="B47" s="4">
        <f>'2000-10'!B47</f>
        <v>53.325209999999998</v>
      </c>
      <c r="C47" s="4">
        <f>'2000-10'!C47</f>
        <v>72.522279999999995</v>
      </c>
      <c r="D47" s="36">
        <f t="shared" si="9"/>
        <v>79987.815000000002</v>
      </c>
      <c r="E47" s="4">
        <f>'Interval Circuities'!J47</f>
        <v>1.3454145534970212</v>
      </c>
      <c r="F47" s="4">
        <f t="shared" si="0"/>
        <v>39.634780121410408</v>
      </c>
      <c r="G47" s="4">
        <f t="shared" si="1"/>
        <v>59.452170182115609</v>
      </c>
      <c r="H47" s="4">
        <f t="shared" si="2"/>
        <v>11104.14942413192</v>
      </c>
      <c r="I47" s="4">
        <f t="shared" si="3"/>
        <v>3692.1786197984002</v>
      </c>
      <c r="J47" s="9">
        <f>'2000-10'!J47</f>
        <v>1107.747057</v>
      </c>
      <c r="K47" s="9">
        <f>'2000-10'!K47</f>
        <v>4090000</v>
      </c>
      <c r="L47" s="22">
        <f t="shared" si="4"/>
        <v>40998503.094826594</v>
      </c>
      <c r="M47" s="22">
        <f t="shared" si="5"/>
        <v>4090000</v>
      </c>
      <c r="N47" s="19" t="s">
        <v>92</v>
      </c>
      <c r="O47" s="4">
        <f t="shared" si="6"/>
        <v>1849.2479732221034</v>
      </c>
      <c r="P47" s="13">
        <f>'2000-10'!P47</f>
        <v>2048499</v>
      </c>
      <c r="Q47" s="22">
        <f t="shared" si="7"/>
        <v>20534325.816931337</v>
      </c>
      <c r="R47" s="13">
        <f t="shared" si="8"/>
        <v>2048499</v>
      </c>
    </row>
    <row r="48" spans="1:18" ht="16">
      <c r="A48" s="18" t="s">
        <v>72</v>
      </c>
      <c r="B48" s="4">
        <f>'2000-10'!B48</f>
        <v>50.663890000000002</v>
      </c>
      <c r="C48" s="4">
        <f>'2000-10'!C48</f>
        <v>67.889619999999994</v>
      </c>
      <c r="D48" s="36">
        <f t="shared" si="9"/>
        <v>75995.835000000006</v>
      </c>
      <c r="E48" s="4">
        <f>'Interval Circuities'!J48</f>
        <v>1.4122178067631415</v>
      </c>
      <c r="F48" s="4">
        <f t="shared" si="0"/>
        <v>35.875407998234792</v>
      </c>
      <c r="G48" s="4">
        <f t="shared" si="1"/>
        <v>53.813111997352188</v>
      </c>
      <c r="H48" s="4">
        <f t="shared" si="2"/>
        <v>9097.5842992432808</v>
      </c>
      <c r="I48" s="4">
        <f t="shared" si="3"/>
        <v>2486.3299685748229</v>
      </c>
      <c r="J48" s="9">
        <f>'2000-10'!J48</f>
        <v>673.68371100000002</v>
      </c>
      <c r="K48" s="9">
        <f>'2000-10'!K48</f>
        <v>1675000</v>
      </c>
      <c r="L48" s="22">
        <f t="shared" si="4"/>
        <v>22619596.484844349</v>
      </c>
      <c r="M48" s="22">
        <f t="shared" si="5"/>
        <v>1675000</v>
      </c>
      <c r="N48" s="19" t="s">
        <v>92</v>
      </c>
      <c r="O48" s="4">
        <f t="shared" si="6"/>
        <v>1548.2013042170763</v>
      </c>
      <c r="P48" s="13">
        <f>'2000-10'!P48</f>
        <v>1042998</v>
      </c>
      <c r="Q48" s="22">
        <f t="shared" si="7"/>
        <v>14084891.877313243</v>
      </c>
      <c r="R48" s="13">
        <f t="shared" si="8"/>
        <v>1042998</v>
      </c>
    </row>
    <row r="49" spans="1:18">
      <c r="A49" s="18" t="s">
        <v>56</v>
      </c>
      <c r="B49" s="4">
        <f>'2000-10'!B49</f>
        <v>58.18665</v>
      </c>
      <c r="C49" s="4">
        <f>'2000-10'!C49</f>
        <v>73.897040000000004</v>
      </c>
      <c r="D49" s="36">
        <f t="shared" si="9"/>
        <v>87279.975000000006</v>
      </c>
      <c r="E49" s="4">
        <f>'Interval Circuities'!J49</f>
        <v>1.3781595015589834</v>
      </c>
      <c r="F49" s="4">
        <f t="shared" si="0"/>
        <v>42.220548444631312</v>
      </c>
      <c r="G49" s="4">
        <f t="shared" si="1"/>
        <v>63.330822666946972</v>
      </c>
      <c r="H49" s="4">
        <f t="shared" si="2"/>
        <v>12600.278136999083</v>
      </c>
      <c r="I49" s="4">
        <f t="shared" si="3"/>
        <v>1109.3651265048711</v>
      </c>
      <c r="J49" s="9">
        <f>'2000-10'!J49</f>
        <v>2469.8811369999999</v>
      </c>
      <c r="K49" s="9">
        <f>'2000-10'!K49</f>
        <v>2740000</v>
      </c>
      <c r="L49" s="22">
        <f t="shared" si="4"/>
        <v>13978309.149448549</v>
      </c>
      <c r="M49" s="22">
        <f t="shared" si="5"/>
        <v>2740000</v>
      </c>
      <c r="N49" s="19" t="s">
        <v>92</v>
      </c>
      <c r="O49" s="4">
        <f t="shared" si="6"/>
        <v>599.91348482451292</v>
      </c>
      <c r="P49" s="13">
        <f>'2000-10'!P49</f>
        <v>1481715</v>
      </c>
      <c r="Q49" s="22">
        <f t="shared" si="7"/>
        <v>7559076.7669252409</v>
      </c>
      <c r="R49" s="13">
        <f t="shared" si="8"/>
        <v>1481715</v>
      </c>
    </row>
    <row r="50" spans="1:18">
      <c r="A50" s="18" t="s">
        <v>76</v>
      </c>
      <c r="B50" s="4">
        <f>'2000-10'!B50</f>
        <v>59.829090000000001</v>
      </c>
      <c r="C50" s="4">
        <f>'2000-10'!C50</f>
        <v>81.367570000000001</v>
      </c>
      <c r="D50" s="36">
        <f t="shared" si="9"/>
        <v>89743.634999999995</v>
      </c>
      <c r="E50" s="4">
        <f>'Interval Circuities'!J50</f>
        <v>1.2364001942053751</v>
      </c>
      <c r="F50" s="4">
        <f t="shared" si="0"/>
        <v>48.389744906544358</v>
      </c>
      <c r="G50" s="4">
        <f t="shared" si="1"/>
        <v>72.584617359816534</v>
      </c>
      <c r="H50" s="4">
        <f t="shared" si="2"/>
        <v>16551.564704556353</v>
      </c>
      <c r="I50" s="4">
        <f t="shared" si="3"/>
        <v>1717.5958014588689</v>
      </c>
      <c r="J50" s="9">
        <f>'2000-10'!J50</f>
        <v>2890.6684540000001</v>
      </c>
      <c r="K50" s="9">
        <f>'2000-10'!K50</f>
        <v>4965000</v>
      </c>
      <c r="L50" s="22">
        <f t="shared" si="4"/>
        <v>28428898.044120796</v>
      </c>
      <c r="M50" s="22">
        <f t="shared" si="5"/>
        <v>4965000</v>
      </c>
      <c r="N50" s="19" t="s">
        <v>92</v>
      </c>
      <c r="O50" s="4">
        <f t="shared" si="6"/>
        <v>514.0451157391708</v>
      </c>
      <c r="P50" s="13">
        <f>'2000-10'!P50</f>
        <v>1485934</v>
      </c>
      <c r="Q50" s="22">
        <f t="shared" si="7"/>
        <v>8508250.994218044</v>
      </c>
      <c r="R50" s="13">
        <f t="shared" si="8"/>
        <v>1485934</v>
      </c>
    </row>
    <row r="51" spans="1:18">
      <c r="A51" s="18" t="s">
        <v>57</v>
      </c>
      <c r="B51" s="4">
        <f>'2000-10'!B51</f>
        <v>56.502479999999998</v>
      </c>
      <c r="C51" s="4">
        <f>'2000-10'!C51</f>
        <v>66.672929999999994</v>
      </c>
      <c r="D51" s="36">
        <f t="shared" si="9"/>
        <v>84753.72</v>
      </c>
      <c r="E51" s="4">
        <f>'Interval Circuities'!J51</f>
        <v>1.3127942834324253</v>
      </c>
      <c r="F51" s="4">
        <f t="shared" si="0"/>
        <v>43.039858348764973</v>
      </c>
      <c r="G51" s="4">
        <f t="shared" si="1"/>
        <v>64.559787523147463</v>
      </c>
      <c r="H51" s="4">
        <f t="shared" si="2"/>
        <v>13094.051884481471</v>
      </c>
      <c r="I51" s="4">
        <f t="shared" si="3"/>
        <v>957.16105706297958</v>
      </c>
      <c r="J51" s="9">
        <f>'2000-10'!J51</f>
        <v>2146.9741009999998</v>
      </c>
      <c r="K51" s="9">
        <f>'2000-10'!K51</f>
        <v>2055000</v>
      </c>
      <c r="L51" s="22">
        <f t="shared" si="4"/>
        <v>12533116.542987784</v>
      </c>
      <c r="M51" s="22">
        <f t="shared" si="5"/>
        <v>2055000</v>
      </c>
      <c r="N51" s="19" t="s">
        <v>92</v>
      </c>
      <c r="O51" s="4">
        <f t="shared" si="6"/>
        <v>568.5308450770176</v>
      </c>
      <c r="P51" s="13">
        <f>'2000-10'!P51</f>
        <v>1220621</v>
      </c>
      <c r="Q51" s="22">
        <f t="shared" si="7"/>
        <v>7444372.3833665652</v>
      </c>
      <c r="R51" s="13">
        <f t="shared" si="8"/>
        <v>1220621</v>
      </c>
    </row>
    <row r="52" spans="1:18">
      <c r="A52" s="18" t="s">
        <v>71</v>
      </c>
      <c r="B52" s="4">
        <f>'2000-10'!B52</f>
        <v>47.580840000000002</v>
      </c>
      <c r="C52" s="4">
        <f>'2000-10'!C52</f>
        <v>59.951860000000003</v>
      </c>
      <c r="D52" s="36">
        <f t="shared" si="9"/>
        <v>71371.260000000009</v>
      </c>
      <c r="E52" s="4">
        <f>'Interval Circuities'!J52</f>
        <v>1.2345635362029965</v>
      </c>
      <c r="F52" s="4">
        <f t="shared" si="0"/>
        <v>38.540616667116915</v>
      </c>
      <c r="G52" s="4">
        <f t="shared" si="1"/>
        <v>57.810925000675368</v>
      </c>
      <c r="H52" s="4">
        <f t="shared" si="2"/>
        <v>10499.526387640995</v>
      </c>
      <c r="I52" s="4">
        <f t="shared" si="3"/>
        <v>962.52206654026702</v>
      </c>
      <c r="J52" s="9">
        <f>'2000-10'!J52</f>
        <v>2077.87444</v>
      </c>
      <c r="K52" s="9">
        <f>'2000-10'!K52</f>
        <v>2000000</v>
      </c>
      <c r="L52" s="22">
        <f t="shared" si="4"/>
        <v>10106025.836326275</v>
      </c>
      <c r="M52" s="22">
        <f t="shared" si="5"/>
        <v>2000000</v>
      </c>
      <c r="N52" s="19" t="s">
        <v>92</v>
      </c>
      <c r="O52" s="4">
        <f t="shared" si="6"/>
        <v>501.91290672982143</v>
      </c>
      <c r="P52" s="13">
        <f>'2000-10'!P52</f>
        <v>1042912</v>
      </c>
      <c r="Q52" s="22">
        <f t="shared" si="7"/>
        <v>5269847.808507354</v>
      </c>
      <c r="R52" s="13">
        <f t="shared" si="8"/>
        <v>1042912</v>
      </c>
    </row>
    <row r="53" spans="1:18" ht="16">
      <c r="A53" s="18" t="s">
        <v>118</v>
      </c>
      <c r="B53" s="4">
        <f>'2000-10'!B53</f>
        <v>49.556579999999997</v>
      </c>
      <c r="C53" s="4">
        <f>'2000-10'!C53</f>
        <v>67.396950000000004</v>
      </c>
      <c r="D53" s="36">
        <f t="shared" si="9"/>
        <v>74334.87</v>
      </c>
      <c r="E53" s="4">
        <f>'Interval Circuities'!J53</f>
        <v>1.2582503448808215</v>
      </c>
      <c r="F53" s="4">
        <f t="shared" si="0"/>
        <v>39.385310086836398</v>
      </c>
      <c r="G53" s="4">
        <f t="shared" si="1"/>
        <v>59.077965130254597</v>
      </c>
      <c r="H53" s="4">
        <f t="shared" si="2"/>
        <v>10964.805415802728</v>
      </c>
      <c r="I53" s="4">
        <f t="shared" si="3"/>
        <v>1345.122642374673</v>
      </c>
      <c r="J53" s="9">
        <f>'2000-10'!J53</f>
        <v>2996.0093400000001</v>
      </c>
      <c r="K53" s="9">
        <f>'2000-10'!K53</f>
        <v>4030000</v>
      </c>
      <c r="L53" s="22">
        <f t="shared" si="4"/>
        <v>14749008.03402869</v>
      </c>
      <c r="M53" s="22">
        <f t="shared" si="5"/>
        <v>4030000</v>
      </c>
      <c r="N53" s="19" t="s">
        <v>92</v>
      </c>
      <c r="O53" s="4">
        <f t="shared" si="6"/>
        <v>760.55704152110548</v>
      </c>
      <c r="P53" s="13">
        <f>'2000-10'!P53</f>
        <v>2278636</v>
      </c>
      <c r="Q53" s="22">
        <f t="shared" si="7"/>
        <v>8339359.9678975176</v>
      </c>
      <c r="R53" s="13">
        <f t="shared" si="8"/>
        <v>2278636</v>
      </c>
    </row>
    <row r="54" spans="1:18">
      <c r="D54" s="3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"/>
  <sheetViews>
    <sheetView tabSelected="1" workbookViewId="0">
      <selection sqref="A1:XFD1048576"/>
    </sheetView>
  </sheetViews>
  <sheetFormatPr baseColWidth="10" defaultColWidth="11.5" defaultRowHeight="14" x14ac:dyDescent="0"/>
  <cols>
    <col min="9" max="11" width="11.5" style="18"/>
    <col min="18" max="21" width="11.5" style="18"/>
    <col min="24" max="24" width="17.33203125" customWidth="1"/>
    <col min="26" max="26" width="23.83203125" customWidth="1"/>
  </cols>
  <sheetData>
    <row r="1" spans="1:33">
      <c r="A1" s="29" t="s">
        <v>16</v>
      </c>
      <c r="B1" s="29" t="s">
        <v>133</v>
      </c>
      <c r="C1" s="29" t="s">
        <v>134</v>
      </c>
      <c r="D1" s="29" t="s">
        <v>135</v>
      </c>
      <c r="E1" s="29" t="s">
        <v>136</v>
      </c>
      <c r="F1" s="29" t="s">
        <v>137</v>
      </c>
      <c r="G1" s="29" t="s">
        <v>138</v>
      </c>
      <c r="H1" s="29" t="s">
        <v>151</v>
      </c>
      <c r="I1" s="29" t="s">
        <v>152</v>
      </c>
      <c r="J1" s="29" t="s">
        <v>153</v>
      </c>
      <c r="K1" s="29"/>
      <c r="L1" s="29" t="s">
        <v>133</v>
      </c>
      <c r="M1" s="29" t="s">
        <v>139</v>
      </c>
      <c r="N1" s="29" t="s">
        <v>140</v>
      </c>
      <c r="O1" s="29" t="s">
        <v>141</v>
      </c>
      <c r="P1" s="29" t="s">
        <v>142</v>
      </c>
      <c r="Q1" s="29" t="s">
        <v>143</v>
      </c>
      <c r="R1" s="29" t="s">
        <v>154</v>
      </c>
      <c r="S1" s="29" t="s">
        <v>155</v>
      </c>
      <c r="T1" s="29" t="s">
        <v>156</v>
      </c>
      <c r="U1" s="29"/>
      <c r="V1" s="29" t="s">
        <v>144</v>
      </c>
      <c r="W1" s="29"/>
      <c r="X1" s="29" t="s">
        <v>146</v>
      </c>
      <c r="Y1" s="29" t="s">
        <v>130</v>
      </c>
      <c r="Z1" s="29" t="s">
        <v>16</v>
      </c>
      <c r="AA1" s="29">
        <v>10</v>
      </c>
      <c r="AB1" s="29">
        <v>20</v>
      </c>
      <c r="AC1" s="29">
        <v>30</v>
      </c>
      <c r="AD1" s="29">
        <v>40</v>
      </c>
      <c r="AE1" s="29">
        <v>50</v>
      </c>
      <c r="AF1" s="29">
        <v>60</v>
      </c>
      <c r="AG1" s="29" t="str">
        <f>Z1</f>
        <v>Area</v>
      </c>
    </row>
    <row r="2" spans="1:33">
      <c r="A2" s="18" t="s">
        <v>26</v>
      </c>
      <c r="B2" s="13">
        <f>'2000-10'!$R3</f>
        <v>52580.963568120555</v>
      </c>
      <c r="C2" s="13">
        <f>'2000-20'!$R3</f>
        <v>231186.95072177993</v>
      </c>
      <c r="D2" s="13">
        <f>'2000-30'!$R3</f>
        <v>551847.68626492296</v>
      </c>
      <c r="E2" s="13">
        <f>'2000-40'!$R3</f>
        <v>1020888.561686815</v>
      </c>
      <c r="F2" s="13">
        <f>'2000-50'!$R3</f>
        <v>1641561.1498711521</v>
      </c>
      <c r="G2" s="13">
        <f>'2000-60'!$R3</f>
        <v>2129188</v>
      </c>
      <c r="H2" s="13">
        <f>'2000-70'!$R3</f>
        <v>2129188</v>
      </c>
      <c r="I2" s="13">
        <f>'2000-80'!$R3</f>
        <v>2129188</v>
      </c>
      <c r="J2" s="13">
        <f>'2000-90'!$R3</f>
        <v>2129188</v>
      </c>
      <c r="L2" s="13">
        <f>B2</f>
        <v>52580.963568120555</v>
      </c>
      <c r="M2" s="13">
        <f>C2-B2</f>
        <v>178605.98715365937</v>
      </c>
      <c r="N2" s="13">
        <f>D2-C2</f>
        <v>320660.735543143</v>
      </c>
      <c r="O2" s="13">
        <f>E2-D2</f>
        <v>469040.87542189204</v>
      </c>
      <c r="P2" s="13">
        <f>F2-E2</f>
        <v>620672.58818433713</v>
      </c>
      <c r="Q2" s="13">
        <f>G2-F2</f>
        <v>487626.85012884787</v>
      </c>
      <c r="R2" s="13">
        <f t="shared" ref="R2:R52" si="0">H2-G2</f>
        <v>0</v>
      </c>
      <c r="S2" s="13">
        <f t="shared" ref="S2:S52" si="1">I2-H2</f>
        <v>0</v>
      </c>
      <c r="T2" s="13">
        <f t="shared" ref="T2:T52" si="2">J2-I2</f>
        <v>0</v>
      </c>
      <c r="U2" s="13"/>
      <c r="V2" s="13">
        <f>T2+S2+R2+Q2+P2+O2+N2+M2+L2</f>
        <v>2129188</v>
      </c>
      <c r="X2" s="13">
        <f t="shared" ref="X2:X33" si="3">L2*EXP(Beta*10)+M2*EXP(Beta*20)+N2*EXP(Beta*30)+O2*EXP(Beta*40)+P2*EXP(Beta*50)+Q2*EXP(Beta*60)+R2*EXP(Beta*70)+S2*EXP(Beta*80)+T2*EXP(Beta*90)</f>
        <v>123275.96288275224</v>
      </c>
      <c r="Y2">
        <f>RANK(X2,$X$2:$X$52)</f>
        <v>36</v>
      </c>
      <c r="Z2" t="str">
        <f>A2</f>
        <v>Atlanta</v>
      </c>
      <c r="AA2">
        <f t="shared" ref="AA2:AF2" si="4">RANK(B2,B$2:B$52)</f>
        <v>50</v>
      </c>
      <c r="AB2" s="18">
        <f t="shared" si="4"/>
        <v>49</v>
      </c>
      <c r="AC2" s="18">
        <f t="shared" si="4"/>
        <v>41</v>
      </c>
      <c r="AD2" s="18">
        <f t="shared" si="4"/>
        <v>22</v>
      </c>
      <c r="AE2" s="18">
        <f t="shared" si="4"/>
        <v>12</v>
      </c>
      <c r="AF2" s="18">
        <f t="shared" si="4"/>
        <v>8</v>
      </c>
      <c r="AG2" s="18" t="str">
        <f t="shared" ref="AG2:AG52" si="5">Z2</f>
        <v>Atlanta</v>
      </c>
    </row>
    <row r="3" spans="1:33">
      <c r="A3" s="18" t="s">
        <v>27</v>
      </c>
      <c r="B3" s="13">
        <f>'2000-10'!R4</f>
        <v>89209.579127332428</v>
      </c>
      <c r="C3" s="13">
        <f>'2000-20'!$R4</f>
        <v>363947.84006762196</v>
      </c>
      <c r="D3" s="13">
        <f>'2000-30'!$R4</f>
        <v>580485</v>
      </c>
      <c r="E3" s="13">
        <f>'2000-40'!$R4</f>
        <v>580485</v>
      </c>
      <c r="F3" s="13">
        <f>'2000-50'!$R4</f>
        <v>580485</v>
      </c>
      <c r="G3" s="13">
        <f>'2000-60'!$R4</f>
        <v>580485</v>
      </c>
      <c r="H3" s="13">
        <f>'2000-70'!$R4</f>
        <v>580485</v>
      </c>
      <c r="I3" s="13">
        <f>'2000-80'!$R4</f>
        <v>580485</v>
      </c>
      <c r="J3" s="13">
        <f>'2000-90'!$R4</f>
        <v>580485</v>
      </c>
      <c r="L3" s="13">
        <f t="shared" ref="L3:L52" si="6">B3</f>
        <v>89209.579127332428</v>
      </c>
      <c r="M3" s="13">
        <f t="shared" ref="M3:M52" si="7">C3-B3</f>
        <v>274738.26094028953</v>
      </c>
      <c r="N3" s="13">
        <f t="shared" ref="N3:N52" si="8">D3-C3</f>
        <v>216537.15993237804</v>
      </c>
      <c r="O3" s="13">
        <f t="shared" ref="O3:O52" si="9">E3-D3</f>
        <v>0</v>
      </c>
      <c r="P3" s="13">
        <f t="shared" ref="P3:P52" si="10">F3-E3</f>
        <v>0</v>
      </c>
      <c r="Q3" s="13">
        <f t="shared" ref="Q3:Q52" si="11">G3-F3</f>
        <v>0</v>
      </c>
      <c r="R3" s="13">
        <f t="shared" si="0"/>
        <v>0</v>
      </c>
      <c r="S3" s="13">
        <f t="shared" si="1"/>
        <v>0</v>
      </c>
      <c r="T3" s="13">
        <f t="shared" si="2"/>
        <v>0</v>
      </c>
      <c r="U3" s="13"/>
      <c r="V3" s="13">
        <f t="shared" ref="V3:V52" si="12">T3+S3+R3+Q3+P3+O3+N3+M3+L3</f>
        <v>580485</v>
      </c>
      <c r="X3" s="13">
        <f t="shared" si="3"/>
        <v>115196.95398253659</v>
      </c>
      <c r="Y3" s="18">
        <f t="shared" ref="Y3:Y52" si="13">RANK(X3,$X$2:$X$52)</f>
        <v>41</v>
      </c>
      <c r="Z3" s="18" t="str">
        <f t="shared" ref="Z3:Z52" si="14">A3</f>
        <v>Austin</v>
      </c>
      <c r="AA3" s="18">
        <f t="shared" ref="AA3:AA52" si="15">RANK(B3,B$2:B$52)</f>
        <v>29</v>
      </c>
      <c r="AB3" s="18">
        <f t="shared" ref="AB3:AB17" si="16">RANK(C3,C$2:C$52)</f>
        <v>30</v>
      </c>
      <c r="AC3" s="18">
        <f t="shared" ref="AC3:AC17" si="17">RANK(D3,D$2:D$52)</f>
        <v>38</v>
      </c>
      <c r="AD3" s="18">
        <f t="shared" ref="AD3:AD17" si="18">RANK(E3,E$2:E$52)</f>
        <v>40</v>
      </c>
      <c r="AE3" s="18">
        <f t="shared" ref="AE3:AE17" si="19">RANK(F3,F$2:F$52)</f>
        <v>40</v>
      </c>
      <c r="AF3" s="18">
        <f t="shared" ref="AF3:AF17" si="20">RANK(G3,G$2:G$52)</f>
        <v>40</v>
      </c>
      <c r="AG3" s="18" t="str">
        <f t="shared" si="5"/>
        <v>Austin</v>
      </c>
    </row>
    <row r="4" spans="1:33">
      <c r="A4" s="18" t="s">
        <v>28</v>
      </c>
      <c r="B4" s="13">
        <f>'2000-10'!R5</f>
        <v>94681.744208356875</v>
      </c>
      <c r="C4" s="13">
        <f>'2000-20'!$R5</f>
        <v>414860.736443047</v>
      </c>
      <c r="D4" s="13">
        <f>'2000-30'!$R5</f>
        <v>981494.98096133186</v>
      </c>
      <c r="E4" s="13">
        <f>'2000-40'!$R5</f>
        <v>1063684</v>
      </c>
      <c r="F4" s="13">
        <f>'2000-50'!$R5</f>
        <v>1063684</v>
      </c>
      <c r="G4" s="13">
        <f>'2000-60'!$R5</f>
        <v>1063684</v>
      </c>
      <c r="H4" s="13">
        <f>'2000-70'!$R5</f>
        <v>1063684</v>
      </c>
      <c r="I4" s="13">
        <f>'2000-80'!$R5</f>
        <v>1063684</v>
      </c>
      <c r="J4" s="13">
        <f>'2000-90'!$R5</f>
        <v>1063684</v>
      </c>
      <c r="L4" s="13">
        <f t="shared" si="6"/>
        <v>94681.744208356875</v>
      </c>
      <c r="M4" s="13">
        <f t="shared" si="7"/>
        <v>320178.99223469011</v>
      </c>
      <c r="N4" s="13">
        <f t="shared" si="8"/>
        <v>566634.24451828492</v>
      </c>
      <c r="O4" s="13">
        <f t="shared" si="9"/>
        <v>82189.019038668135</v>
      </c>
      <c r="P4" s="13">
        <f t="shared" si="10"/>
        <v>0</v>
      </c>
      <c r="Q4" s="13">
        <f t="shared" si="11"/>
        <v>0</v>
      </c>
      <c r="R4" s="13">
        <f t="shared" si="0"/>
        <v>0</v>
      </c>
      <c r="S4" s="13">
        <f t="shared" si="1"/>
        <v>0</v>
      </c>
      <c r="T4" s="13">
        <f t="shared" si="2"/>
        <v>0</v>
      </c>
      <c r="U4" s="13"/>
      <c r="V4" s="13">
        <f t="shared" si="12"/>
        <v>1063684</v>
      </c>
      <c r="X4" s="13">
        <f t="shared" si="3"/>
        <v>161940.37819840183</v>
      </c>
      <c r="Y4" s="18">
        <f t="shared" si="13"/>
        <v>17</v>
      </c>
      <c r="Z4" s="18" t="str">
        <f t="shared" si="14"/>
        <v>Baltimore</v>
      </c>
      <c r="AA4" s="18">
        <f t="shared" si="15"/>
        <v>24</v>
      </c>
      <c r="AB4" s="18">
        <f t="shared" si="16"/>
        <v>21</v>
      </c>
      <c r="AC4" s="18">
        <f t="shared" si="17"/>
        <v>9</v>
      </c>
      <c r="AD4" s="18">
        <f t="shared" si="18"/>
        <v>19</v>
      </c>
      <c r="AE4" s="18">
        <f t="shared" si="19"/>
        <v>20</v>
      </c>
      <c r="AF4" s="18">
        <f t="shared" si="20"/>
        <v>20</v>
      </c>
      <c r="AG4" s="18" t="str">
        <f t="shared" si="5"/>
        <v>Baltimore</v>
      </c>
    </row>
    <row r="5" spans="1:33">
      <c r="A5" s="18" t="s">
        <v>29</v>
      </c>
      <c r="B5" s="13">
        <f>'2000-10'!R6</f>
        <v>124140.88736123685</v>
      </c>
      <c r="C5" s="13">
        <f>'2000-20'!$R6</f>
        <v>547325.92665787635</v>
      </c>
      <c r="D5" s="13">
        <f>'2000-30'!$R6</f>
        <v>1301383.7363969537</v>
      </c>
      <c r="E5" s="13">
        <f>'2000-40'!$R6</f>
        <v>2377265.3406557571</v>
      </c>
      <c r="F5" s="13">
        <f>'2000-50'!$R6</f>
        <v>3075331</v>
      </c>
      <c r="G5" s="13">
        <f>'2000-60'!$R6</f>
        <v>3075331</v>
      </c>
      <c r="H5" s="13">
        <f>'2000-70'!$R6</f>
        <v>3075331</v>
      </c>
      <c r="I5" s="13">
        <f>'2000-80'!$R6</f>
        <v>3075331</v>
      </c>
      <c r="J5" s="13">
        <f>'2000-90'!$R6</f>
        <v>3075331</v>
      </c>
      <c r="L5" s="13">
        <f t="shared" si="6"/>
        <v>124140.88736123685</v>
      </c>
      <c r="M5" s="13">
        <f t="shared" si="7"/>
        <v>423185.0392966395</v>
      </c>
      <c r="N5" s="13">
        <f t="shared" si="8"/>
        <v>754057.80973907735</v>
      </c>
      <c r="O5" s="13">
        <f t="shared" si="9"/>
        <v>1075881.6042588034</v>
      </c>
      <c r="P5" s="13">
        <f t="shared" si="10"/>
        <v>698065.65934424289</v>
      </c>
      <c r="Q5" s="13">
        <f t="shared" si="11"/>
        <v>0</v>
      </c>
      <c r="R5" s="13">
        <f t="shared" si="0"/>
        <v>0</v>
      </c>
      <c r="S5" s="13">
        <f t="shared" si="1"/>
        <v>0</v>
      </c>
      <c r="T5" s="13">
        <f t="shared" si="2"/>
        <v>0</v>
      </c>
      <c r="U5" s="13"/>
      <c r="V5" s="13">
        <f t="shared" si="12"/>
        <v>3075331</v>
      </c>
      <c r="X5" s="13">
        <f t="shared" si="3"/>
        <v>266267.08733201097</v>
      </c>
      <c r="Y5" s="18">
        <f t="shared" si="13"/>
        <v>4</v>
      </c>
      <c r="Z5" s="18" t="str">
        <f t="shared" si="14"/>
        <v>Boston</v>
      </c>
      <c r="AA5" s="18">
        <f t="shared" si="15"/>
        <v>9</v>
      </c>
      <c r="AB5" s="18">
        <f t="shared" si="16"/>
        <v>7</v>
      </c>
      <c r="AC5" s="18">
        <f t="shared" si="17"/>
        <v>3</v>
      </c>
      <c r="AD5" s="18">
        <f t="shared" si="18"/>
        <v>2</v>
      </c>
      <c r="AE5" s="18">
        <f t="shared" si="19"/>
        <v>3</v>
      </c>
      <c r="AF5" s="18">
        <f t="shared" si="20"/>
        <v>4</v>
      </c>
      <c r="AG5" s="18" t="str">
        <f t="shared" si="5"/>
        <v>Boston</v>
      </c>
    </row>
    <row r="6" spans="1:33">
      <c r="A6" s="18" t="s">
        <v>30</v>
      </c>
      <c r="B6" s="13">
        <f>'2000-10'!R7</f>
        <v>96550.570004951063</v>
      </c>
      <c r="C6" s="13">
        <f>'2000-20'!$R7</f>
        <v>411771.49555091717</v>
      </c>
      <c r="D6" s="13">
        <f>'2000-30'!$R7</f>
        <v>475627</v>
      </c>
      <c r="E6" s="13">
        <f>'2000-40'!$R7</f>
        <v>475627</v>
      </c>
      <c r="F6" s="13">
        <f>'2000-50'!$R7</f>
        <v>475627</v>
      </c>
      <c r="G6" s="13">
        <f>'2000-60'!$R7</f>
        <v>475627</v>
      </c>
      <c r="H6" s="13">
        <f>'2000-70'!$R7</f>
        <v>475627</v>
      </c>
      <c r="I6" s="13">
        <f>'2000-80'!$R7</f>
        <v>475627</v>
      </c>
      <c r="J6" s="13">
        <f>'2000-90'!$R7</f>
        <v>475627</v>
      </c>
      <c r="L6" s="13">
        <f t="shared" si="6"/>
        <v>96550.570004951063</v>
      </c>
      <c r="M6" s="13">
        <f t="shared" si="7"/>
        <v>315220.92554596614</v>
      </c>
      <c r="N6" s="13">
        <f t="shared" si="8"/>
        <v>63855.50444908283</v>
      </c>
      <c r="O6" s="13">
        <f t="shared" si="9"/>
        <v>0</v>
      </c>
      <c r="P6" s="13">
        <f t="shared" si="10"/>
        <v>0</v>
      </c>
      <c r="Q6" s="13">
        <f t="shared" si="11"/>
        <v>0</v>
      </c>
      <c r="R6" s="13">
        <f t="shared" si="0"/>
        <v>0</v>
      </c>
      <c r="S6" s="13">
        <f t="shared" si="1"/>
        <v>0</v>
      </c>
      <c r="T6" s="13">
        <f t="shared" si="2"/>
        <v>0</v>
      </c>
      <c r="U6" s="13"/>
      <c r="V6" s="13">
        <f t="shared" si="12"/>
        <v>475627</v>
      </c>
      <c r="X6" s="13">
        <f t="shared" si="3"/>
        <v>112817.81554191878</v>
      </c>
      <c r="Y6" s="18">
        <f t="shared" si="13"/>
        <v>43</v>
      </c>
      <c r="Z6" s="18" t="str">
        <f t="shared" si="14"/>
        <v>Buffalo</v>
      </c>
      <c r="AA6" s="18">
        <f t="shared" si="15"/>
        <v>23</v>
      </c>
      <c r="AB6" s="18">
        <f t="shared" si="16"/>
        <v>22</v>
      </c>
      <c r="AC6" s="18">
        <f t="shared" si="17"/>
        <v>48</v>
      </c>
      <c r="AD6" s="18">
        <f t="shared" si="18"/>
        <v>48</v>
      </c>
      <c r="AE6" s="18">
        <f t="shared" si="19"/>
        <v>48</v>
      </c>
      <c r="AF6" s="18">
        <f t="shared" si="20"/>
        <v>48</v>
      </c>
      <c r="AG6" s="18" t="str">
        <f t="shared" si="5"/>
        <v>Buffalo</v>
      </c>
    </row>
    <row r="7" spans="1:33">
      <c r="A7" s="18" t="s">
        <v>31</v>
      </c>
      <c r="B7" s="13">
        <f>'2000-10'!R8</f>
        <v>98201.548048153927</v>
      </c>
      <c r="C7" s="13">
        <f>'2000-20'!$R8</f>
        <v>439529.80941039341</v>
      </c>
      <c r="D7" s="13">
        <f>'2000-30'!$R8</f>
        <v>811507</v>
      </c>
      <c r="E7" s="13">
        <f>'2000-40'!$R8</f>
        <v>811507</v>
      </c>
      <c r="F7" s="13">
        <f>'2000-50'!$R8</f>
        <v>811507</v>
      </c>
      <c r="G7" s="13">
        <f>'2000-60'!$R8</f>
        <v>811507</v>
      </c>
      <c r="H7" s="13">
        <f>'2000-70'!$R8</f>
        <v>811507</v>
      </c>
      <c r="I7" s="13">
        <f>'2000-80'!$R8</f>
        <v>811507</v>
      </c>
      <c r="J7" s="13">
        <f>'2000-90'!$R8</f>
        <v>811507</v>
      </c>
      <c r="L7" s="13">
        <f t="shared" si="6"/>
        <v>98201.548048153927</v>
      </c>
      <c r="M7" s="13">
        <f t="shared" si="7"/>
        <v>341328.26136223949</v>
      </c>
      <c r="N7" s="13">
        <f t="shared" si="8"/>
        <v>371977.19058960659</v>
      </c>
      <c r="O7" s="13">
        <f t="shared" si="9"/>
        <v>0</v>
      </c>
      <c r="P7" s="13">
        <f t="shared" si="10"/>
        <v>0</v>
      </c>
      <c r="Q7" s="13">
        <f t="shared" si="11"/>
        <v>0</v>
      </c>
      <c r="R7" s="13">
        <f t="shared" si="0"/>
        <v>0</v>
      </c>
      <c r="S7" s="13">
        <f t="shared" si="1"/>
        <v>0</v>
      </c>
      <c r="T7" s="13">
        <f t="shared" si="2"/>
        <v>0</v>
      </c>
      <c r="U7" s="13"/>
      <c r="V7" s="13">
        <f t="shared" si="12"/>
        <v>811507</v>
      </c>
      <c r="X7" s="13">
        <f t="shared" si="3"/>
        <v>146782.7967220252</v>
      </c>
      <c r="Y7" s="18">
        <f t="shared" si="13"/>
        <v>25</v>
      </c>
      <c r="Z7" s="18" t="str">
        <f t="shared" si="14"/>
        <v>Charlotte</v>
      </c>
      <c r="AA7" s="18">
        <f t="shared" si="15"/>
        <v>22</v>
      </c>
      <c r="AB7" s="18">
        <f t="shared" si="16"/>
        <v>20</v>
      </c>
      <c r="AC7" s="18">
        <f t="shared" si="17"/>
        <v>19</v>
      </c>
      <c r="AD7" s="18">
        <f t="shared" si="18"/>
        <v>30</v>
      </c>
      <c r="AE7" s="18">
        <f t="shared" si="19"/>
        <v>30</v>
      </c>
      <c r="AF7" s="18">
        <f t="shared" si="20"/>
        <v>30</v>
      </c>
      <c r="AG7" s="18" t="str">
        <f t="shared" si="5"/>
        <v>Charlotte</v>
      </c>
    </row>
    <row r="8" spans="1:33">
      <c r="A8" s="18" t="s">
        <v>32</v>
      </c>
      <c r="B8" s="13">
        <f>'2000-10'!R9</f>
        <v>85239.529218861848</v>
      </c>
      <c r="C8" s="13">
        <f>'2000-20'!$R9</f>
        <v>369422.85856905539</v>
      </c>
      <c r="D8" s="13">
        <f>'2000-30'!$R9</f>
        <v>872199.61560959334</v>
      </c>
      <c r="E8" s="13">
        <f>'2000-40'!$R9</f>
        <v>1599790.8489152843</v>
      </c>
      <c r="F8" s="13">
        <f>'2000-50'!$R9</f>
        <v>2561442.9084319472</v>
      </c>
      <c r="G8" s="13">
        <f>'2000-60'!$R9</f>
        <v>3753370.571318584</v>
      </c>
      <c r="H8" s="13">
        <f>'2000-70'!$R9</f>
        <v>4189789</v>
      </c>
      <c r="I8" s="13">
        <f>'2000-80'!$R9</f>
        <v>4189789</v>
      </c>
      <c r="J8" s="13">
        <f>'2000-90'!$R9</f>
        <v>4189789</v>
      </c>
      <c r="L8" s="13">
        <f t="shared" si="6"/>
        <v>85239.529218861848</v>
      </c>
      <c r="M8" s="13">
        <f t="shared" si="7"/>
        <v>284183.32935019356</v>
      </c>
      <c r="N8" s="13">
        <f t="shared" si="8"/>
        <v>502776.75704053795</v>
      </c>
      <c r="O8" s="13">
        <f t="shared" si="9"/>
        <v>727591.23330569093</v>
      </c>
      <c r="P8" s="13">
        <f t="shared" si="10"/>
        <v>961652.05951666296</v>
      </c>
      <c r="Q8" s="13">
        <f t="shared" si="11"/>
        <v>1191927.6628866368</v>
      </c>
      <c r="R8" s="13">
        <f t="shared" si="0"/>
        <v>436418.42868141597</v>
      </c>
      <c r="S8" s="13">
        <f t="shared" si="1"/>
        <v>0</v>
      </c>
      <c r="T8" s="13">
        <f t="shared" si="2"/>
        <v>0</v>
      </c>
      <c r="U8" s="13"/>
      <c r="V8" s="13">
        <f t="shared" si="12"/>
        <v>4189788.9999999995</v>
      </c>
      <c r="X8" s="13">
        <f t="shared" si="3"/>
        <v>199981.66555639353</v>
      </c>
      <c r="Y8" s="18">
        <f t="shared" si="13"/>
        <v>7</v>
      </c>
      <c r="Z8" s="18" t="str">
        <f t="shared" si="14"/>
        <v>Chicago</v>
      </c>
      <c r="AA8" s="18">
        <f t="shared" si="15"/>
        <v>32</v>
      </c>
      <c r="AB8" s="18">
        <f t="shared" si="16"/>
        <v>29</v>
      </c>
      <c r="AC8" s="18">
        <f t="shared" si="17"/>
        <v>15</v>
      </c>
      <c r="AD8" s="18">
        <f t="shared" si="18"/>
        <v>7</v>
      </c>
      <c r="AE8" s="18">
        <f t="shared" si="19"/>
        <v>5</v>
      </c>
      <c r="AF8" s="18">
        <f t="shared" si="20"/>
        <v>3</v>
      </c>
      <c r="AG8" s="18" t="str">
        <f t="shared" si="5"/>
        <v>Chicago</v>
      </c>
    </row>
    <row r="9" spans="1:33">
      <c r="A9" s="18" t="s">
        <v>33</v>
      </c>
      <c r="B9" s="13">
        <f>'2000-10'!R10</f>
        <v>82680.079479523876</v>
      </c>
      <c r="C9" s="13">
        <f>'2000-20'!$R10</f>
        <v>374496.92079137207</v>
      </c>
      <c r="D9" s="13">
        <f>'2000-30'!$R10</f>
        <v>879321.63802840782</v>
      </c>
      <c r="E9" s="13">
        <f>'2000-40'!$R10</f>
        <v>934953</v>
      </c>
      <c r="F9" s="13">
        <f>'2000-50'!$R10</f>
        <v>934953</v>
      </c>
      <c r="G9" s="13">
        <f>'2000-60'!$R10</f>
        <v>934953</v>
      </c>
      <c r="H9" s="13">
        <f>'2000-70'!$R10</f>
        <v>934953</v>
      </c>
      <c r="I9" s="13">
        <f>'2000-80'!$R10</f>
        <v>934953</v>
      </c>
      <c r="J9" s="13">
        <f>'2000-90'!$R10</f>
        <v>934953</v>
      </c>
      <c r="L9" s="13">
        <f t="shared" si="6"/>
        <v>82680.079479523876</v>
      </c>
      <c r="M9" s="13">
        <f t="shared" si="7"/>
        <v>291816.8413118482</v>
      </c>
      <c r="N9" s="13">
        <f t="shared" si="8"/>
        <v>504824.71723703574</v>
      </c>
      <c r="O9" s="13">
        <f t="shared" si="9"/>
        <v>55631.361971592181</v>
      </c>
      <c r="P9" s="13">
        <f t="shared" si="10"/>
        <v>0</v>
      </c>
      <c r="Q9" s="13">
        <f t="shared" si="11"/>
        <v>0</v>
      </c>
      <c r="R9" s="13">
        <f t="shared" si="0"/>
        <v>0</v>
      </c>
      <c r="S9" s="13">
        <f t="shared" si="1"/>
        <v>0</v>
      </c>
      <c r="T9" s="13">
        <f t="shared" si="2"/>
        <v>0</v>
      </c>
      <c r="U9" s="13"/>
      <c r="V9" s="13">
        <f t="shared" si="12"/>
        <v>934953</v>
      </c>
      <c r="X9" s="13">
        <f t="shared" si="3"/>
        <v>144131.68066065572</v>
      </c>
      <c r="Y9" s="18">
        <f t="shared" si="13"/>
        <v>27</v>
      </c>
      <c r="Z9" s="18" t="str">
        <f t="shared" si="14"/>
        <v>Cincinnati</v>
      </c>
      <c r="AA9" s="18">
        <f t="shared" si="15"/>
        <v>34</v>
      </c>
      <c r="AB9" s="18">
        <f t="shared" si="16"/>
        <v>28</v>
      </c>
      <c r="AC9" s="18">
        <f t="shared" si="17"/>
        <v>13</v>
      </c>
      <c r="AD9" s="18">
        <f t="shared" si="18"/>
        <v>24</v>
      </c>
      <c r="AE9" s="18">
        <f t="shared" si="19"/>
        <v>24</v>
      </c>
      <c r="AF9" s="18">
        <f t="shared" si="20"/>
        <v>24</v>
      </c>
      <c r="AG9" s="18" t="str">
        <f t="shared" si="5"/>
        <v>Cincinnati</v>
      </c>
    </row>
    <row r="10" spans="1:33">
      <c r="A10" s="18" t="s">
        <v>34</v>
      </c>
      <c r="B10" s="13">
        <f>'2000-10'!R11</f>
        <v>133427.35195916644</v>
      </c>
      <c r="C10" s="13">
        <f>'2000-20'!$R11</f>
        <v>590453.3352262585</v>
      </c>
      <c r="D10" s="13">
        <f>'2000-30'!$R11</f>
        <v>1077676</v>
      </c>
      <c r="E10" s="13">
        <f>'2000-40'!$R11</f>
        <v>1077676</v>
      </c>
      <c r="F10" s="13">
        <f>'2000-50'!$R11</f>
        <v>1077676</v>
      </c>
      <c r="G10" s="13">
        <f>'2000-60'!$R11</f>
        <v>1077676</v>
      </c>
      <c r="H10" s="13">
        <f>'2000-70'!$R11</f>
        <v>1077676</v>
      </c>
      <c r="I10" s="13">
        <f>'2000-80'!$R11</f>
        <v>1077676</v>
      </c>
      <c r="J10" s="13">
        <f>'2000-90'!$R11</f>
        <v>1077676</v>
      </c>
      <c r="L10" s="13">
        <f t="shared" si="6"/>
        <v>133427.35195916644</v>
      </c>
      <c r="M10" s="13">
        <f t="shared" si="7"/>
        <v>457025.98326709203</v>
      </c>
      <c r="N10" s="13">
        <f t="shared" si="8"/>
        <v>487222.6647737415</v>
      </c>
      <c r="O10" s="13">
        <f t="shared" si="9"/>
        <v>0</v>
      </c>
      <c r="P10" s="13">
        <f t="shared" si="10"/>
        <v>0</v>
      </c>
      <c r="Q10" s="13">
        <f t="shared" si="11"/>
        <v>0</v>
      </c>
      <c r="R10" s="13">
        <f t="shared" si="0"/>
        <v>0</v>
      </c>
      <c r="S10" s="13">
        <f t="shared" si="1"/>
        <v>0</v>
      </c>
      <c r="T10" s="13">
        <f t="shared" si="2"/>
        <v>0</v>
      </c>
      <c r="U10" s="13"/>
      <c r="V10" s="13">
        <f t="shared" si="12"/>
        <v>1077676</v>
      </c>
      <c r="X10" s="13">
        <f t="shared" si="3"/>
        <v>196424.5714399131</v>
      </c>
      <c r="Y10" s="18">
        <f t="shared" si="13"/>
        <v>8</v>
      </c>
      <c r="Z10" s="18" t="str">
        <f t="shared" si="14"/>
        <v>Cleveland</v>
      </c>
      <c r="AA10" s="18">
        <f t="shared" si="15"/>
        <v>6</v>
      </c>
      <c r="AB10" s="18">
        <f t="shared" si="16"/>
        <v>5</v>
      </c>
      <c r="AC10" s="18">
        <f t="shared" si="17"/>
        <v>6</v>
      </c>
      <c r="AD10" s="18">
        <f t="shared" si="18"/>
        <v>18</v>
      </c>
      <c r="AE10" s="18">
        <f t="shared" si="19"/>
        <v>19</v>
      </c>
      <c r="AF10" s="18">
        <f t="shared" si="20"/>
        <v>19</v>
      </c>
      <c r="AG10" s="18" t="str">
        <f t="shared" si="5"/>
        <v>Cleveland</v>
      </c>
    </row>
    <row r="11" spans="1:33">
      <c r="A11" s="18" t="s">
        <v>35</v>
      </c>
      <c r="B11" s="13">
        <f>'2000-10'!R12</f>
        <v>138768.77913430441</v>
      </c>
      <c r="C11" s="13">
        <f>'2000-20'!$R12</f>
        <v>604481.80340689665</v>
      </c>
      <c r="D11" s="13">
        <f>'2000-30'!$R12</f>
        <v>773508</v>
      </c>
      <c r="E11" s="13">
        <f>'2000-40'!$R12</f>
        <v>773508</v>
      </c>
      <c r="F11" s="13">
        <f>'2000-50'!$R12</f>
        <v>773508</v>
      </c>
      <c r="G11" s="13">
        <f>'2000-60'!$R12</f>
        <v>773508</v>
      </c>
      <c r="H11" s="13">
        <f>'2000-70'!$R12</f>
        <v>773508</v>
      </c>
      <c r="I11" s="13">
        <f>'2000-80'!$R12</f>
        <v>773508</v>
      </c>
      <c r="J11" s="13">
        <f>'2000-90'!$R12</f>
        <v>773508</v>
      </c>
      <c r="L11" s="13">
        <f t="shared" si="6"/>
        <v>138768.77913430441</v>
      </c>
      <c r="M11" s="13">
        <f t="shared" si="7"/>
        <v>465713.02427259227</v>
      </c>
      <c r="N11" s="13">
        <f t="shared" si="8"/>
        <v>169026.19659310335</v>
      </c>
      <c r="O11" s="13">
        <f t="shared" si="9"/>
        <v>0</v>
      </c>
      <c r="P11" s="13">
        <f t="shared" si="10"/>
        <v>0</v>
      </c>
      <c r="Q11" s="13">
        <f t="shared" si="11"/>
        <v>0</v>
      </c>
      <c r="R11" s="13">
        <f t="shared" si="0"/>
        <v>0</v>
      </c>
      <c r="S11" s="13">
        <f t="shared" si="1"/>
        <v>0</v>
      </c>
      <c r="T11" s="13">
        <f t="shared" si="2"/>
        <v>0</v>
      </c>
      <c r="U11" s="13"/>
      <c r="V11" s="13">
        <f t="shared" si="12"/>
        <v>773508</v>
      </c>
      <c r="X11" s="13">
        <f t="shared" si="3"/>
        <v>171712.38037284554</v>
      </c>
      <c r="Y11" s="18">
        <f t="shared" si="13"/>
        <v>13</v>
      </c>
      <c r="Z11" s="18" t="str">
        <f t="shared" si="14"/>
        <v>Columbus</v>
      </c>
      <c r="AA11" s="18">
        <f t="shared" si="15"/>
        <v>5</v>
      </c>
      <c r="AB11" s="18">
        <f t="shared" si="16"/>
        <v>3</v>
      </c>
      <c r="AC11" s="18">
        <f t="shared" si="17"/>
        <v>25</v>
      </c>
      <c r="AD11" s="18">
        <f t="shared" si="18"/>
        <v>32</v>
      </c>
      <c r="AE11" s="18">
        <f t="shared" si="19"/>
        <v>32</v>
      </c>
      <c r="AF11" s="18">
        <f t="shared" si="20"/>
        <v>32</v>
      </c>
      <c r="AG11" s="18" t="str">
        <f t="shared" si="5"/>
        <v>Columbus</v>
      </c>
    </row>
    <row r="12" spans="1:33">
      <c r="A12" s="18" t="s">
        <v>62</v>
      </c>
      <c r="B12" s="13">
        <f>'2000-10'!R13</f>
        <v>111074.56801153076</v>
      </c>
      <c r="C12" s="13">
        <f>'2000-20'!$R13</f>
        <v>469360.14631994802</v>
      </c>
      <c r="D12" s="13">
        <f>'2000-30'!$R13</f>
        <v>1108971.8888532596</v>
      </c>
      <c r="E12" s="13">
        <f>'2000-40'!$R13</f>
        <v>2043538.3638478455</v>
      </c>
      <c r="F12" s="13">
        <f>'2000-50'!$R13</f>
        <v>2601083</v>
      </c>
      <c r="G12" s="13">
        <f>'2000-60'!$R13</f>
        <v>2601083</v>
      </c>
      <c r="H12" s="13">
        <f>'2000-70'!$R13</f>
        <v>2601083</v>
      </c>
      <c r="I12" s="13">
        <f>'2000-80'!$R13</f>
        <v>2601083</v>
      </c>
      <c r="J12" s="13">
        <f>'2000-90'!$R13</f>
        <v>2601083</v>
      </c>
      <c r="L12" s="13">
        <f t="shared" si="6"/>
        <v>111074.56801153076</v>
      </c>
      <c r="M12" s="13">
        <f t="shared" si="7"/>
        <v>358285.57830841723</v>
      </c>
      <c r="N12" s="13">
        <f t="shared" si="8"/>
        <v>639611.7425333116</v>
      </c>
      <c r="O12" s="13">
        <f t="shared" si="9"/>
        <v>934566.47499458585</v>
      </c>
      <c r="P12" s="13">
        <f t="shared" si="10"/>
        <v>557544.63615215453</v>
      </c>
      <c r="Q12" s="13">
        <f t="shared" si="11"/>
        <v>0</v>
      </c>
      <c r="R12" s="13">
        <f t="shared" si="0"/>
        <v>0</v>
      </c>
      <c r="S12" s="13">
        <f t="shared" si="1"/>
        <v>0</v>
      </c>
      <c r="T12" s="13">
        <f t="shared" si="2"/>
        <v>0</v>
      </c>
      <c r="U12" s="13"/>
      <c r="V12" s="13">
        <f t="shared" si="12"/>
        <v>2601083</v>
      </c>
      <c r="X12" s="13">
        <f t="shared" si="3"/>
        <v>228576.6749802421</v>
      </c>
      <c r="Y12" s="18">
        <f t="shared" si="13"/>
        <v>5</v>
      </c>
      <c r="Z12" s="18" t="str">
        <f t="shared" si="14"/>
        <v>Dallas-Fort Worth</v>
      </c>
      <c r="AA12" s="18">
        <f t="shared" si="15"/>
        <v>17</v>
      </c>
      <c r="AB12" s="18">
        <f t="shared" si="16"/>
        <v>16</v>
      </c>
      <c r="AC12" s="18">
        <f t="shared" si="17"/>
        <v>5</v>
      </c>
      <c r="AD12" s="18">
        <f t="shared" si="18"/>
        <v>5</v>
      </c>
      <c r="AE12" s="18">
        <f t="shared" si="19"/>
        <v>4</v>
      </c>
      <c r="AF12" s="18">
        <f t="shared" si="20"/>
        <v>5</v>
      </c>
      <c r="AG12" s="18" t="str">
        <f t="shared" si="5"/>
        <v>Dallas-Fort Worth</v>
      </c>
    </row>
    <row r="13" spans="1:33">
      <c r="A13" s="18" t="s">
        <v>36</v>
      </c>
      <c r="B13" s="13">
        <f>'2000-10'!R14</f>
        <v>102263.62953218924</v>
      </c>
      <c r="C13" s="13">
        <f>'2000-20'!$R14</f>
        <v>405808.47111230565</v>
      </c>
      <c r="D13" s="13">
        <f>'2000-30'!$R14</f>
        <v>915879.45326829806</v>
      </c>
      <c r="E13" s="13">
        <f>'2000-40'!$R14</f>
        <v>1080509</v>
      </c>
      <c r="F13" s="13">
        <f>'2000-50'!$R14</f>
        <v>1080509</v>
      </c>
      <c r="G13" s="13">
        <f>'2000-60'!$R14</f>
        <v>1080509</v>
      </c>
      <c r="H13" s="13">
        <f>'2000-70'!$R14</f>
        <v>1080509</v>
      </c>
      <c r="I13" s="13">
        <f>'2000-80'!$R14</f>
        <v>1080509</v>
      </c>
      <c r="J13" s="13">
        <f>'2000-90'!$R14</f>
        <v>1080509</v>
      </c>
      <c r="L13" s="13">
        <f t="shared" si="6"/>
        <v>102263.62953218924</v>
      </c>
      <c r="M13" s="13">
        <f t="shared" si="7"/>
        <v>303544.84158011642</v>
      </c>
      <c r="N13" s="13">
        <f t="shared" si="8"/>
        <v>510070.98215599242</v>
      </c>
      <c r="O13" s="13">
        <f t="shared" si="9"/>
        <v>164629.54673170194</v>
      </c>
      <c r="P13" s="13">
        <f t="shared" si="10"/>
        <v>0</v>
      </c>
      <c r="Q13" s="13">
        <f t="shared" si="11"/>
        <v>0</v>
      </c>
      <c r="R13" s="13">
        <f t="shared" si="0"/>
        <v>0</v>
      </c>
      <c r="S13" s="13">
        <f t="shared" si="1"/>
        <v>0</v>
      </c>
      <c r="T13" s="13">
        <f t="shared" si="2"/>
        <v>0</v>
      </c>
      <c r="U13" s="13"/>
      <c r="V13" s="13">
        <f t="shared" si="12"/>
        <v>1080509</v>
      </c>
      <c r="X13" s="13">
        <f t="shared" si="3"/>
        <v>160217.91599308638</v>
      </c>
      <c r="Y13" s="18">
        <f t="shared" si="13"/>
        <v>19</v>
      </c>
      <c r="Z13" s="18" t="str">
        <f t="shared" si="14"/>
        <v>Denver</v>
      </c>
      <c r="AA13" s="18">
        <f t="shared" si="15"/>
        <v>20</v>
      </c>
      <c r="AB13" s="18">
        <f t="shared" si="16"/>
        <v>23</v>
      </c>
      <c r="AC13" s="18">
        <f t="shared" si="17"/>
        <v>11</v>
      </c>
      <c r="AD13" s="18">
        <f t="shared" si="18"/>
        <v>17</v>
      </c>
      <c r="AE13" s="18">
        <f t="shared" si="19"/>
        <v>18</v>
      </c>
      <c r="AF13" s="18">
        <f t="shared" si="20"/>
        <v>18</v>
      </c>
      <c r="AG13" s="18" t="str">
        <f t="shared" si="5"/>
        <v>Denver</v>
      </c>
    </row>
    <row r="14" spans="1:33">
      <c r="A14" s="18" t="s">
        <v>37</v>
      </c>
      <c r="B14" s="13">
        <f>'2000-10'!R15</f>
        <v>77850.857081578535</v>
      </c>
      <c r="C14" s="13">
        <f>'2000-20'!$R15</f>
        <v>331899.14006039227</v>
      </c>
      <c r="D14" s="13">
        <f>'2000-30'!$R15</f>
        <v>778639.20464801101</v>
      </c>
      <c r="E14" s="13">
        <f>'2000-40'!$R15</f>
        <v>1423351.3221273944</v>
      </c>
      <c r="F14" s="13">
        <f>'2000-50'!$R15</f>
        <v>1953268</v>
      </c>
      <c r="G14" s="13">
        <f>'2000-60'!$R15</f>
        <v>1953268</v>
      </c>
      <c r="H14" s="13">
        <f>'2000-70'!$R15</f>
        <v>1953268</v>
      </c>
      <c r="I14" s="13">
        <f>'2000-80'!$R15</f>
        <v>1953268</v>
      </c>
      <c r="J14" s="13">
        <f>'2000-90'!$R15</f>
        <v>1953268</v>
      </c>
      <c r="L14" s="13">
        <f t="shared" si="6"/>
        <v>77850.857081578535</v>
      </c>
      <c r="M14" s="13">
        <f t="shared" si="7"/>
        <v>254048.28297881375</v>
      </c>
      <c r="N14" s="13">
        <f t="shared" si="8"/>
        <v>446740.06458761875</v>
      </c>
      <c r="O14" s="13">
        <f t="shared" si="9"/>
        <v>644712.11747938336</v>
      </c>
      <c r="P14" s="13">
        <f t="shared" si="10"/>
        <v>529916.67787260562</v>
      </c>
      <c r="Q14" s="13">
        <f t="shared" si="11"/>
        <v>0</v>
      </c>
      <c r="R14" s="13">
        <f t="shared" si="0"/>
        <v>0</v>
      </c>
      <c r="S14" s="13">
        <f t="shared" si="1"/>
        <v>0</v>
      </c>
      <c r="T14" s="13">
        <f t="shared" si="2"/>
        <v>0</v>
      </c>
      <c r="U14" s="13"/>
      <c r="V14" s="13">
        <f t="shared" si="12"/>
        <v>1953268</v>
      </c>
      <c r="X14" s="13">
        <f t="shared" si="3"/>
        <v>162785.102368867</v>
      </c>
      <c r="Y14" s="18">
        <f t="shared" si="13"/>
        <v>15</v>
      </c>
      <c r="Z14" s="18" t="str">
        <f t="shared" si="14"/>
        <v>Detroit</v>
      </c>
      <c r="AA14" s="18">
        <f t="shared" si="15"/>
        <v>37</v>
      </c>
      <c r="AB14" s="18">
        <f t="shared" si="16"/>
        <v>37</v>
      </c>
      <c r="AC14" s="18">
        <f t="shared" si="17"/>
        <v>23</v>
      </c>
      <c r="AD14" s="18">
        <f t="shared" si="18"/>
        <v>12</v>
      </c>
      <c r="AE14" s="18">
        <f t="shared" si="19"/>
        <v>9</v>
      </c>
      <c r="AF14" s="18">
        <f t="shared" si="20"/>
        <v>10</v>
      </c>
      <c r="AG14" s="18" t="str">
        <f t="shared" si="5"/>
        <v>Detroit</v>
      </c>
    </row>
    <row r="15" spans="1:33">
      <c r="A15" s="18" t="s">
        <v>80</v>
      </c>
      <c r="B15" s="13">
        <f>'2000-10'!R16</f>
        <v>126383.4518733748</v>
      </c>
      <c r="C15" s="13">
        <f>'2000-20'!$R16</f>
        <v>530965</v>
      </c>
      <c r="D15" s="13">
        <f>'2000-30'!$R16</f>
        <v>530965</v>
      </c>
      <c r="E15" s="13">
        <f>'2000-40'!$R16</f>
        <v>530965</v>
      </c>
      <c r="F15" s="13">
        <f>'2000-50'!$R16</f>
        <v>530965</v>
      </c>
      <c r="G15" s="13">
        <f>'2000-60'!$R16</f>
        <v>530965</v>
      </c>
      <c r="H15" s="13">
        <f>'2000-70'!$R16</f>
        <v>530965</v>
      </c>
      <c r="I15" s="13">
        <f>'2000-80'!$R16</f>
        <v>530965</v>
      </c>
      <c r="J15" s="13">
        <f>'2000-90'!$R16</f>
        <v>530965</v>
      </c>
      <c r="L15" s="13">
        <f t="shared" si="6"/>
        <v>126383.4518733748</v>
      </c>
      <c r="M15" s="13">
        <f t="shared" si="7"/>
        <v>404581.54812662519</v>
      </c>
      <c r="N15" s="13">
        <f t="shared" si="8"/>
        <v>0</v>
      </c>
      <c r="O15" s="13">
        <f t="shared" si="9"/>
        <v>0</v>
      </c>
      <c r="P15" s="13">
        <f t="shared" si="10"/>
        <v>0</v>
      </c>
      <c r="Q15" s="13">
        <f t="shared" si="11"/>
        <v>0</v>
      </c>
      <c r="R15" s="13">
        <f t="shared" si="0"/>
        <v>0</v>
      </c>
      <c r="S15" s="13">
        <f t="shared" si="1"/>
        <v>0</v>
      </c>
      <c r="T15" s="13">
        <f t="shared" si="2"/>
        <v>0</v>
      </c>
      <c r="U15" s="13"/>
      <c r="V15" s="13">
        <f t="shared" si="12"/>
        <v>530965</v>
      </c>
      <c r="X15" s="13">
        <f t="shared" si="3"/>
        <v>138471.35132347493</v>
      </c>
      <c r="Y15" s="18">
        <f t="shared" si="13"/>
        <v>30</v>
      </c>
      <c r="Z15" s="18" t="str">
        <f t="shared" si="14"/>
        <v>Grand Rapids</v>
      </c>
      <c r="AA15" s="18">
        <f t="shared" si="15"/>
        <v>8</v>
      </c>
      <c r="AB15" s="18">
        <f t="shared" si="16"/>
        <v>9</v>
      </c>
      <c r="AC15" s="18">
        <f t="shared" si="17"/>
        <v>45</v>
      </c>
      <c r="AD15" s="18">
        <f t="shared" si="18"/>
        <v>45</v>
      </c>
      <c r="AE15" s="18">
        <f t="shared" si="19"/>
        <v>45</v>
      </c>
      <c r="AF15" s="18">
        <f t="shared" si="20"/>
        <v>45</v>
      </c>
      <c r="AG15" s="18" t="str">
        <f t="shared" si="5"/>
        <v>Grand Rapids</v>
      </c>
    </row>
    <row r="16" spans="1:33">
      <c r="A16" s="18" t="s">
        <v>58</v>
      </c>
      <c r="B16" s="13">
        <f>'2000-10'!R17</f>
        <v>51946.882290894639</v>
      </c>
      <c r="C16" s="13">
        <f>'2000-20'!$R17</f>
        <v>229936.41591445918</v>
      </c>
      <c r="D16" s="13">
        <f>'2000-30'!$R17</f>
        <v>552406.02361774188</v>
      </c>
      <c r="E16" s="13">
        <f>'2000-40'!$R17</f>
        <v>573634</v>
      </c>
      <c r="F16" s="13">
        <f>'2000-50'!$R17</f>
        <v>573634</v>
      </c>
      <c r="G16" s="13">
        <f>'2000-60'!$R17</f>
        <v>573634</v>
      </c>
      <c r="H16" s="13">
        <f>'2000-70'!$R17</f>
        <v>573634</v>
      </c>
      <c r="I16" s="13">
        <f>'2000-80'!$R17</f>
        <v>573634</v>
      </c>
      <c r="J16" s="13">
        <f>'2000-90'!$R17</f>
        <v>573634</v>
      </c>
      <c r="L16" s="13">
        <f t="shared" si="6"/>
        <v>51946.882290894639</v>
      </c>
      <c r="M16" s="13">
        <f t="shared" si="7"/>
        <v>177989.53362356455</v>
      </c>
      <c r="N16" s="13">
        <f t="shared" si="8"/>
        <v>322469.60770328273</v>
      </c>
      <c r="O16" s="13">
        <f t="shared" si="9"/>
        <v>21227.976382258115</v>
      </c>
      <c r="P16" s="13">
        <f t="shared" si="10"/>
        <v>0</v>
      </c>
      <c r="Q16" s="13">
        <f t="shared" si="11"/>
        <v>0</v>
      </c>
      <c r="R16" s="13">
        <f t="shared" si="0"/>
        <v>0</v>
      </c>
      <c r="S16" s="13">
        <f t="shared" si="1"/>
        <v>0</v>
      </c>
      <c r="T16" s="13">
        <f t="shared" si="2"/>
        <v>0</v>
      </c>
      <c r="U16" s="13"/>
      <c r="V16" s="13">
        <f t="shared" si="12"/>
        <v>573634</v>
      </c>
      <c r="X16" s="13">
        <f t="shared" si="3"/>
        <v>89395.787799200378</v>
      </c>
      <c r="Y16" s="18">
        <f t="shared" si="13"/>
        <v>50</v>
      </c>
      <c r="Z16" s="18" t="str">
        <f t="shared" si="14"/>
        <v>Hampton Roads</v>
      </c>
      <c r="AA16" s="18">
        <f t="shared" si="15"/>
        <v>51</v>
      </c>
      <c r="AB16" s="18">
        <f t="shared" si="16"/>
        <v>50</v>
      </c>
      <c r="AC16" s="18">
        <f t="shared" si="17"/>
        <v>40</v>
      </c>
      <c r="AD16" s="18">
        <f t="shared" si="18"/>
        <v>41</v>
      </c>
      <c r="AE16" s="18">
        <f t="shared" si="19"/>
        <v>41</v>
      </c>
      <c r="AF16" s="18">
        <f t="shared" si="20"/>
        <v>41</v>
      </c>
      <c r="AG16" s="18" t="str">
        <f t="shared" si="5"/>
        <v>Hampton Roads</v>
      </c>
    </row>
    <row r="17" spans="1:33">
      <c r="A17" s="18" t="s">
        <v>38</v>
      </c>
      <c r="B17" s="13">
        <f>'2000-10'!R18</f>
        <v>110120.32659047557</v>
      </c>
      <c r="C17" s="13">
        <f>'2000-20'!$R18</f>
        <v>477770.91454579815</v>
      </c>
      <c r="D17" s="13">
        <f>'2000-30'!$R18</f>
        <v>567921</v>
      </c>
      <c r="E17" s="13">
        <f>'2000-40'!$R18</f>
        <v>567921</v>
      </c>
      <c r="F17" s="13">
        <f>'2000-50'!$R18</f>
        <v>567921</v>
      </c>
      <c r="G17" s="13">
        <f>'2000-60'!$R18</f>
        <v>567921</v>
      </c>
      <c r="H17" s="13">
        <f>'2000-70'!$R18</f>
        <v>567921</v>
      </c>
      <c r="I17" s="13">
        <f>'2000-80'!$R18</f>
        <v>567921</v>
      </c>
      <c r="J17" s="13">
        <f>'2000-90'!$R18</f>
        <v>567921</v>
      </c>
      <c r="L17" s="13">
        <f t="shared" si="6"/>
        <v>110120.32659047557</v>
      </c>
      <c r="M17" s="13">
        <f t="shared" si="7"/>
        <v>367650.58795532258</v>
      </c>
      <c r="N17" s="13">
        <f t="shared" si="8"/>
        <v>90150.08545420185</v>
      </c>
      <c r="O17" s="13">
        <f t="shared" si="9"/>
        <v>0</v>
      </c>
      <c r="P17" s="13">
        <f t="shared" si="10"/>
        <v>0</v>
      </c>
      <c r="Q17" s="13">
        <f t="shared" si="11"/>
        <v>0</v>
      </c>
      <c r="R17" s="13">
        <f t="shared" si="0"/>
        <v>0</v>
      </c>
      <c r="S17" s="13">
        <f t="shared" si="1"/>
        <v>0</v>
      </c>
      <c r="T17" s="13">
        <f t="shared" si="2"/>
        <v>0</v>
      </c>
      <c r="U17" s="13"/>
      <c r="V17" s="13">
        <f t="shared" si="12"/>
        <v>567921</v>
      </c>
      <c r="X17" s="13">
        <f t="shared" si="3"/>
        <v>131885.85706328676</v>
      </c>
      <c r="Y17" s="18">
        <f t="shared" si="13"/>
        <v>31</v>
      </c>
      <c r="Z17" s="18" t="str">
        <f t="shared" si="14"/>
        <v>Hartford</v>
      </c>
      <c r="AA17" s="18">
        <f t="shared" si="15"/>
        <v>18</v>
      </c>
      <c r="AB17" s="18">
        <f t="shared" si="16"/>
        <v>13</v>
      </c>
      <c r="AC17" s="18">
        <f t="shared" si="17"/>
        <v>39</v>
      </c>
      <c r="AD17" s="18">
        <f t="shared" si="18"/>
        <v>42</v>
      </c>
      <c r="AE17" s="18">
        <f t="shared" si="19"/>
        <v>42</v>
      </c>
      <c r="AF17" s="18">
        <f t="shared" si="20"/>
        <v>42</v>
      </c>
      <c r="AG17" s="18" t="str">
        <f t="shared" si="5"/>
        <v>Hartford</v>
      </c>
    </row>
    <row r="18" spans="1:33">
      <c r="A18" s="18" t="s">
        <v>81</v>
      </c>
      <c r="B18" s="13">
        <f>'2000-10'!R19</f>
        <v>123730.87772243061</v>
      </c>
      <c r="C18" s="13">
        <f>'2000-20'!$R19</f>
        <v>320461</v>
      </c>
      <c r="D18" s="13">
        <f>'2000-30'!$R19</f>
        <v>320461</v>
      </c>
      <c r="E18" s="13">
        <f>'2000-40'!$R19</f>
        <v>320461</v>
      </c>
      <c r="F18" s="13">
        <f>'2000-50'!$R19</f>
        <v>320461</v>
      </c>
      <c r="G18" s="13">
        <f>'2000-60'!$R19</f>
        <v>320461</v>
      </c>
      <c r="H18" s="13">
        <f>'2000-70'!$R19</f>
        <v>320461</v>
      </c>
      <c r="I18" s="13">
        <f>'2000-80'!$R19</f>
        <v>320461</v>
      </c>
      <c r="J18" s="13">
        <f>'2000-90'!$R19</f>
        <v>320461</v>
      </c>
      <c r="L18" s="13">
        <f t="shared" si="6"/>
        <v>123730.87772243061</v>
      </c>
      <c r="M18" s="13">
        <f t="shared" si="7"/>
        <v>196730.12227756938</v>
      </c>
      <c r="N18" s="13">
        <f t="shared" si="8"/>
        <v>0</v>
      </c>
      <c r="O18" s="13">
        <f t="shared" si="9"/>
        <v>0</v>
      </c>
      <c r="P18" s="13">
        <f t="shared" si="10"/>
        <v>0</v>
      </c>
      <c r="Q18" s="13">
        <f t="shared" si="11"/>
        <v>0</v>
      </c>
      <c r="R18" s="13">
        <f t="shared" si="0"/>
        <v>0</v>
      </c>
      <c r="S18" s="13">
        <f t="shared" si="1"/>
        <v>0</v>
      </c>
      <c r="T18" s="13">
        <f t="shared" si="2"/>
        <v>0</v>
      </c>
      <c r="U18" s="13"/>
      <c r="V18" s="13">
        <f t="shared" si="12"/>
        <v>320461</v>
      </c>
      <c r="X18" s="13">
        <f t="shared" si="3"/>
        <v>95314.993788838387</v>
      </c>
      <c r="Y18" s="18">
        <f t="shared" si="13"/>
        <v>49</v>
      </c>
      <c r="Z18" s="18" t="str">
        <f t="shared" si="14"/>
        <v>Honolulu</v>
      </c>
      <c r="AA18" s="18">
        <f t="shared" si="15"/>
        <v>10</v>
      </c>
      <c r="AB18" s="18">
        <f t="shared" ref="AB18:AB52" si="21">RANK(C18,C$2:C$52)</f>
        <v>41</v>
      </c>
      <c r="AC18" s="18">
        <f t="shared" ref="AC18:AC52" si="22">RANK(D18,D$2:D$52)</f>
        <v>51</v>
      </c>
      <c r="AD18" s="18">
        <f t="shared" ref="AD18:AD52" si="23">RANK(E18,E$2:E$52)</f>
        <v>51</v>
      </c>
      <c r="AE18" s="18">
        <f t="shared" ref="AE18:AE52" si="24">RANK(F18,F$2:F$52)</f>
        <v>51</v>
      </c>
      <c r="AF18" s="18">
        <f t="shared" ref="AF18:AF52" si="25">RANK(G18,G$2:G$52)</f>
        <v>51</v>
      </c>
      <c r="AG18" s="18" t="str">
        <f t="shared" si="5"/>
        <v>Honolulu</v>
      </c>
    </row>
    <row r="19" spans="1:33">
      <c r="A19" s="18" t="s">
        <v>39</v>
      </c>
      <c r="B19" s="13">
        <f>'2000-10'!R20</f>
        <v>74925.905462191324</v>
      </c>
      <c r="C19" s="13">
        <f>'2000-20'!$R20</f>
        <v>304631.48884600127</v>
      </c>
      <c r="D19" s="13">
        <f>'2000-30'!$R20</f>
        <v>720473.30767160561</v>
      </c>
      <c r="E19" s="13">
        <f>'2000-40'!$R20</f>
        <v>1327460.9070574115</v>
      </c>
      <c r="F19" s="13">
        <f>'2000-50'!$R20</f>
        <v>1870780</v>
      </c>
      <c r="G19" s="13">
        <f>'2000-60'!$R20</f>
        <v>1870780</v>
      </c>
      <c r="H19" s="13">
        <f>'2000-70'!$R20</f>
        <v>1870780</v>
      </c>
      <c r="I19" s="13">
        <f>'2000-80'!$R20</f>
        <v>1870780</v>
      </c>
      <c r="J19" s="13">
        <f>'2000-90'!$R20</f>
        <v>1870780</v>
      </c>
      <c r="L19" s="13">
        <f t="shared" si="6"/>
        <v>74925.905462191324</v>
      </c>
      <c r="M19" s="13">
        <f t="shared" si="7"/>
        <v>229705.58338380995</v>
      </c>
      <c r="N19" s="13">
        <f t="shared" si="8"/>
        <v>415841.81882560434</v>
      </c>
      <c r="O19" s="13">
        <f t="shared" si="9"/>
        <v>606987.59938580589</v>
      </c>
      <c r="P19" s="13">
        <f t="shared" si="10"/>
        <v>543319.0929425885</v>
      </c>
      <c r="Q19" s="13">
        <f t="shared" si="11"/>
        <v>0</v>
      </c>
      <c r="R19" s="13">
        <f t="shared" si="0"/>
        <v>0</v>
      </c>
      <c r="S19" s="13">
        <f t="shared" si="1"/>
        <v>0</v>
      </c>
      <c r="T19" s="13">
        <f t="shared" si="2"/>
        <v>0</v>
      </c>
      <c r="U19" s="13"/>
      <c r="V19" s="13">
        <f t="shared" si="12"/>
        <v>1870780</v>
      </c>
      <c r="X19" s="13">
        <f t="shared" si="3"/>
        <v>152460.84427819314</v>
      </c>
      <c r="Y19" s="18">
        <f t="shared" si="13"/>
        <v>22</v>
      </c>
      <c r="Z19" s="18" t="str">
        <f t="shared" si="14"/>
        <v>Houston</v>
      </c>
      <c r="AA19" s="18">
        <f t="shared" si="15"/>
        <v>43</v>
      </c>
      <c r="AB19" s="18">
        <f t="shared" si="21"/>
        <v>44</v>
      </c>
      <c r="AC19" s="18">
        <f t="shared" si="22"/>
        <v>28</v>
      </c>
      <c r="AD19" s="18">
        <f t="shared" si="23"/>
        <v>14</v>
      </c>
      <c r="AE19" s="18">
        <f t="shared" si="24"/>
        <v>10</v>
      </c>
      <c r="AF19" s="18">
        <f t="shared" si="25"/>
        <v>11</v>
      </c>
      <c r="AG19" s="18" t="str">
        <f t="shared" si="5"/>
        <v>Houston</v>
      </c>
    </row>
    <row r="20" spans="1:33">
      <c r="A20" s="18" t="s">
        <v>40</v>
      </c>
      <c r="B20" s="13">
        <f>'2000-10'!R21</f>
        <v>77505.219062676842</v>
      </c>
      <c r="C20" s="13">
        <f>'2000-20'!$R21</f>
        <v>337462.69147703279</v>
      </c>
      <c r="D20" s="13">
        <f>'2000-30'!$R21</f>
        <v>802613.38824691705</v>
      </c>
      <c r="E20" s="13">
        <f>'2000-40'!$R21</f>
        <v>813465</v>
      </c>
      <c r="F20" s="13">
        <f>'2000-50'!$R21</f>
        <v>813465</v>
      </c>
      <c r="G20" s="13">
        <f>'2000-60'!$R21</f>
        <v>813465</v>
      </c>
      <c r="H20" s="13">
        <f>'2000-70'!$R21</f>
        <v>813465</v>
      </c>
      <c r="I20" s="13">
        <f>'2000-80'!$R21</f>
        <v>813465</v>
      </c>
      <c r="J20" s="13">
        <f>'2000-90'!$R21</f>
        <v>813465</v>
      </c>
      <c r="L20" s="13">
        <f t="shared" si="6"/>
        <v>77505.219062676842</v>
      </c>
      <c r="M20" s="13">
        <f t="shared" si="7"/>
        <v>259957.47241435596</v>
      </c>
      <c r="N20" s="13">
        <f t="shared" si="8"/>
        <v>465150.69676988426</v>
      </c>
      <c r="O20" s="13">
        <f t="shared" si="9"/>
        <v>10851.611753082951</v>
      </c>
      <c r="P20" s="13">
        <f t="shared" si="10"/>
        <v>0</v>
      </c>
      <c r="Q20" s="13">
        <f t="shared" si="11"/>
        <v>0</v>
      </c>
      <c r="R20" s="13">
        <f t="shared" si="0"/>
        <v>0</v>
      </c>
      <c r="S20" s="13">
        <f t="shared" si="1"/>
        <v>0</v>
      </c>
      <c r="T20" s="13">
        <f t="shared" si="2"/>
        <v>0</v>
      </c>
      <c r="U20" s="13"/>
      <c r="V20" s="13">
        <f t="shared" si="12"/>
        <v>813465</v>
      </c>
      <c r="X20" s="13">
        <f t="shared" si="3"/>
        <v>129949.70309614232</v>
      </c>
      <c r="Y20" s="18">
        <f t="shared" si="13"/>
        <v>33</v>
      </c>
      <c r="Z20" s="18" t="str">
        <f t="shared" si="14"/>
        <v>Indianapolis</v>
      </c>
      <c r="AA20" s="18">
        <f t="shared" si="15"/>
        <v>38</v>
      </c>
      <c r="AB20" s="18">
        <f t="shared" si="21"/>
        <v>36</v>
      </c>
      <c r="AC20" s="18">
        <f t="shared" si="22"/>
        <v>21</v>
      </c>
      <c r="AD20" s="18">
        <f t="shared" si="23"/>
        <v>29</v>
      </c>
      <c r="AE20" s="18">
        <f t="shared" si="24"/>
        <v>29</v>
      </c>
      <c r="AF20" s="18">
        <f t="shared" si="25"/>
        <v>29</v>
      </c>
      <c r="AG20" s="18" t="str">
        <f t="shared" si="5"/>
        <v>Indianapolis</v>
      </c>
    </row>
    <row r="21" spans="1:33">
      <c r="A21" s="18" t="s">
        <v>85</v>
      </c>
      <c r="B21" s="13">
        <f>'2000-10'!R22</f>
        <v>120346.64770800371</v>
      </c>
      <c r="C21" s="13">
        <f>'2000-20'!$R22</f>
        <v>470951.41978096985</v>
      </c>
      <c r="D21" s="13">
        <f>'2000-30'!$R22</f>
        <v>877495</v>
      </c>
      <c r="E21" s="13">
        <f>'2000-40'!$R22</f>
        <v>877495</v>
      </c>
      <c r="F21" s="13">
        <f>'2000-50'!$R22</f>
        <v>877495</v>
      </c>
      <c r="G21" s="13">
        <f>'2000-60'!$R22</f>
        <v>877495</v>
      </c>
      <c r="H21" s="13">
        <f>'2000-70'!$R22</f>
        <v>877495</v>
      </c>
      <c r="I21" s="13">
        <f>'2000-80'!$R22</f>
        <v>877495</v>
      </c>
      <c r="J21" s="13">
        <f>'2000-90'!$R22</f>
        <v>877495</v>
      </c>
      <c r="L21" s="13">
        <f t="shared" si="6"/>
        <v>120346.64770800371</v>
      </c>
      <c r="M21" s="13">
        <f t="shared" si="7"/>
        <v>350604.77207296615</v>
      </c>
      <c r="N21" s="13">
        <f t="shared" si="8"/>
        <v>406543.58021903015</v>
      </c>
      <c r="O21" s="13">
        <f t="shared" si="9"/>
        <v>0</v>
      </c>
      <c r="P21" s="13">
        <f t="shared" si="10"/>
        <v>0</v>
      </c>
      <c r="Q21" s="13">
        <f t="shared" si="11"/>
        <v>0</v>
      </c>
      <c r="R21" s="13">
        <f t="shared" si="0"/>
        <v>0</v>
      </c>
      <c r="S21" s="13">
        <f t="shared" si="1"/>
        <v>0</v>
      </c>
      <c r="T21" s="13">
        <f t="shared" si="2"/>
        <v>0</v>
      </c>
      <c r="U21" s="13"/>
      <c r="V21" s="13">
        <f t="shared" si="12"/>
        <v>877495.00000000012</v>
      </c>
      <c r="X21" s="13">
        <f t="shared" si="3"/>
        <v>161741.91874387965</v>
      </c>
      <c r="Y21" s="18">
        <f t="shared" si="13"/>
        <v>18</v>
      </c>
      <c r="Z21" s="18" t="str">
        <f t="shared" si="14"/>
        <v>Inland Empire</v>
      </c>
      <c r="AA21" s="18">
        <f t="shared" si="15"/>
        <v>13</v>
      </c>
      <c r="AB21" s="18">
        <f t="shared" si="21"/>
        <v>14</v>
      </c>
      <c r="AC21" s="18">
        <f t="shared" si="22"/>
        <v>14</v>
      </c>
      <c r="AD21" s="18">
        <f t="shared" si="23"/>
        <v>26</v>
      </c>
      <c r="AE21" s="18">
        <f t="shared" si="24"/>
        <v>26</v>
      </c>
      <c r="AF21" s="18">
        <f t="shared" si="25"/>
        <v>26</v>
      </c>
      <c r="AG21" s="18" t="str">
        <f t="shared" si="5"/>
        <v>Inland Empire</v>
      </c>
    </row>
    <row r="22" spans="1:33">
      <c r="A22" s="18" t="s">
        <v>41</v>
      </c>
      <c r="B22" s="13">
        <f>'2000-10'!R23</f>
        <v>59815.641417604558</v>
      </c>
      <c r="C22" s="13">
        <f>'2000-20'!$R23</f>
        <v>247342.31454258144</v>
      </c>
      <c r="D22" s="13">
        <f>'2000-30'!$R23</f>
        <v>497222</v>
      </c>
      <c r="E22" s="13">
        <f>'2000-40'!$R23</f>
        <v>497222</v>
      </c>
      <c r="F22" s="13">
        <f>'2000-50'!$R23</f>
        <v>497222</v>
      </c>
      <c r="G22" s="13">
        <f>'2000-60'!$R23</f>
        <v>497222</v>
      </c>
      <c r="H22" s="13">
        <f>'2000-70'!$R23</f>
        <v>497222</v>
      </c>
      <c r="I22" s="13">
        <f>'2000-80'!$R23</f>
        <v>497222</v>
      </c>
      <c r="J22" s="13">
        <f>'2000-90'!$R23</f>
        <v>497222</v>
      </c>
      <c r="L22" s="13">
        <f t="shared" si="6"/>
        <v>59815.641417604558</v>
      </c>
      <c r="M22" s="13">
        <f t="shared" si="7"/>
        <v>187526.67312497689</v>
      </c>
      <c r="N22" s="13">
        <f t="shared" si="8"/>
        <v>249879.68545741856</v>
      </c>
      <c r="O22" s="13">
        <f t="shared" si="9"/>
        <v>0</v>
      </c>
      <c r="P22" s="13">
        <f t="shared" si="10"/>
        <v>0</v>
      </c>
      <c r="Q22" s="13">
        <f t="shared" si="11"/>
        <v>0</v>
      </c>
      <c r="R22" s="13">
        <f t="shared" si="0"/>
        <v>0</v>
      </c>
      <c r="S22" s="13">
        <f t="shared" si="1"/>
        <v>0</v>
      </c>
      <c r="T22" s="13">
        <f t="shared" si="2"/>
        <v>0</v>
      </c>
      <c r="U22" s="13"/>
      <c r="V22" s="13">
        <f t="shared" si="12"/>
        <v>497222.00000000006</v>
      </c>
      <c r="X22" s="13">
        <f t="shared" si="3"/>
        <v>87406.45616453336</v>
      </c>
      <c r="Y22" s="18">
        <f t="shared" si="13"/>
        <v>51</v>
      </c>
      <c r="Z22" s="18" t="str">
        <f t="shared" si="14"/>
        <v>Jacksonville</v>
      </c>
      <c r="AA22" s="18">
        <f t="shared" si="15"/>
        <v>48</v>
      </c>
      <c r="AB22" s="18">
        <f t="shared" si="21"/>
        <v>48</v>
      </c>
      <c r="AC22" s="18">
        <f t="shared" si="22"/>
        <v>47</v>
      </c>
      <c r="AD22" s="18">
        <f t="shared" si="23"/>
        <v>47</v>
      </c>
      <c r="AE22" s="18">
        <f t="shared" si="24"/>
        <v>47</v>
      </c>
      <c r="AF22" s="18">
        <f t="shared" si="25"/>
        <v>47</v>
      </c>
      <c r="AG22" s="18" t="str">
        <f t="shared" si="5"/>
        <v>Jacksonville</v>
      </c>
    </row>
    <row r="23" spans="1:33">
      <c r="A23" s="18" t="s">
        <v>75</v>
      </c>
      <c r="B23" s="13">
        <f>'2000-10'!R24</f>
        <v>113674.25458411044</v>
      </c>
      <c r="C23" s="13">
        <f>'2000-20'!$R24</f>
        <v>480572.40485255211</v>
      </c>
      <c r="D23" s="13">
        <f>'2000-30'!$R24</f>
        <v>891412</v>
      </c>
      <c r="E23" s="13">
        <f>'2000-40'!$R24</f>
        <v>891412</v>
      </c>
      <c r="F23" s="13">
        <f>'2000-50'!$R24</f>
        <v>891412</v>
      </c>
      <c r="G23" s="13">
        <f>'2000-60'!$R24</f>
        <v>891412</v>
      </c>
      <c r="H23" s="13">
        <f>'2000-70'!$R24</f>
        <v>891412</v>
      </c>
      <c r="I23" s="13">
        <f>'2000-80'!$R24</f>
        <v>891412</v>
      </c>
      <c r="J23" s="13">
        <f>'2000-90'!$R24</f>
        <v>891412</v>
      </c>
      <c r="L23" s="13">
        <f t="shared" si="6"/>
        <v>113674.25458411044</v>
      </c>
      <c r="M23" s="13">
        <f t="shared" si="7"/>
        <v>366898.15026844165</v>
      </c>
      <c r="N23" s="13">
        <f t="shared" si="8"/>
        <v>410839.59514744789</v>
      </c>
      <c r="O23" s="13">
        <f t="shared" si="9"/>
        <v>0</v>
      </c>
      <c r="P23" s="13">
        <f t="shared" si="10"/>
        <v>0</v>
      </c>
      <c r="Q23" s="13">
        <f t="shared" si="11"/>
        <v>0</v>
      </c>
      <c r="R23" s="13">
        <f t="shared" si="0"/>
        <v>0</v>
      </c>
      <c r="S23" s="13">
        <f t="shared" si="1"/>
        <v>0</v>
      </c>
      <c r="T23" s="13">
        <f t="shared" si="2"/>
        <v>0</v>
      </c>
      <c r="U23" s="13"/>
      <c r="V23" s="13">
        <f t="shared" si="12"/>
        <v>891412</v>
      </c>
      <c r="X23" s="13">
        <f t="shared" si="3"/>
        <v>162423.12125898121</v>
      </c>
      <c r="Y23" s="18">
        <f t="shared" si="13"/>
        <v>16</v>
      </c>
      <c r="Z23" s="18" t="str">
        <f t="shared" si="14"/>
        <v>Kansas City</v>
      </c>
      <c r="AA23" s="18">
        <f t="shared" si="15"/>
        <v>16</v>
      </c>
      <c r="AB23" s="18">
        <f t="shared" si="21"/>
        <v>11</v>
      </c>
      <c r="AC23" s="18">
        <f t="shared" si="22"/>
        <v>12</v>
      </c>
      <c r="AD23" s="18">
        <f t="shared" si="23"/>
        <v>25</v>
      </c>
      <c r="AE23" s="18">
        <f t="shared" si="24"/>
        <v>25</v>
      </c>
      <c r="AF23" s="18">
        <f t="shared" si="25"/>
        <v>25</v>
      </c>
      <c r="AG23" s="18" t="str">
        <f t="shared" si="5"/>
        <v>Kansas City</v>
      </c>
    </row>
    <row r="24" spans="1:33">
      <c r="A24" s="18" t="s">
        <v>63</v>
      </c>
      <c r="B24" s="13">
        <f>'2000-10'!R25</f>
        <v>117543.44361348551</v>
      </c>
      <c r="C24" s="13">
        <f>'2000-20'!$R25</f>
        <v>470620.82063936564</v>
      </c>
      <c r="D24" s="13">
        <f>'2000-30'!$R25</f>
        <v>691875</v>
      </c>
      <c r="E24" s="13">
        <f>'2000-40'!$R25</f>
        <v>691875</v>
      </c>
      <c r="F24" s="13">
        <f>'2000-50'!$R25</f>
        <v>691875</v>
      </c>
      <c r="G24" s="13">
        <f>'2000-60'!$R25</f>
        <v>691875</v>
      </c>
      <c r="H24" s="13">
        <f>'2000-70'!$R25</f>
        <v>691875</v>
      </c>
      <c r="I24" s="13">
        <f>'2000-80'!$R25</f>
        <v>691875</v>
      </c>
      <c r="J24" s="13">
        <f>'2000-90'!$R25</f>
        <v>691875</v>
      </c>
      <c r="L24" s="13">
        <f t="shared" si="6"/>
        <v>117543.44361348551</v>
      </c>
      <c r="M24" s="13">
        <f t="shared" si="7"/>
        <v>353077.37702588015</v>
      </c>
      <c r="N24" s="13">
        <f t="shared" si="8"/>
        <v>221254.17936063436</v>
      </c>
      <c r="O24" s="13">
        <f t="shared" si="9"/>
        <v>0</v>
      </c>
      <c r="P24" s="13">
        <f t="shared" si="10"/>
        <v>0</v>
      </c>
      <c r="Q24" s="13">
        <f t="shared" si="11"/>
        <v>0</v>
      </c>
      <c r="R24" s="13">
        <f t="shared" si="0"/>
        <v>0</v>
      </c>
      <c r="S24" s="13">
        <f t="shared" si="1"/>
        <v>0</v>
      </c>
      <c r="T24" s="13">
        <f t="shared" si="2"/>
        <v>0</v>
      </c>
      <c r="U24" s="13"/>
      <c r="V24" s="13">
        <f t="shared" si="12"/>
        <v>691875.00000000012</v>
      </c>
      <c r="X24" s="13">
        <f t="shared" si="3"/>
        <v>144172.49307015515</v>
      </c>
      <c r="Y24" s="18">
        <f t="shared" si="13"/>
        <v>26</v>
      </c>
      <c r="Z24" s="18" t="str">
        <f t="shared" si="14"/>
        <v>Las Vegas</v>
      </c>
      <c r="AA24" s="18">
        <f t="shared" si="15"/>
        <v>14</v>
      </c>
      <c r="AB24" s="18">
        <f t="shared" si="21"/>
        <v>15</v>
      </c>
      <c r="AC24" s="18">
        <f t="shared" si="22"/>
        <v>29</v>
      </c>
      <c r="AD24" s="18">
        <f t="shared" si="23"/>
        <v>33</v>
      </c>
      <c r="AE24" s="18">
        <f t="shared" si="24"/>
        <v>33</v>
      </c>
      <c r="AF24" s="18">
        <f t="shared" si="25"/>
        <v>33</v>
      </c>
      <c r="AG24" s="18" t="str">
        <f t="shared" si="5"/>
        <v>Las Vegas</v>
      </c>
    </row>
    <row r="25" spans="1:33">
      <c r="A25" s="18" t="s">
        <v>64</v>
      </c>
      <c r="B25" s="13">
        <f>'2000-10'!R26</f>
        <v>141243.32374063993</v>
      </c>
      <c r="C25" s="13">
        <f>'2000-20'!$R26</f>
        <v>597266.98226330744</v>
      </c>
      <c r="D25" s="13">
        <f>'2000-30'!$R26</f>
        <v>1404799.4609376618</v>
      </c>
      <c r="E25" s="13">
        <f>'2000-40'!$R26</f>
        <v>2548253.6515751663</v>
      </c>
      <c r="F25" s="13">
        <f>'2000-50'!$R26</f>
        <v>4034903.8328369861</v>
      </c>
      <c r="G25" s="13">
        <f>'2000-60'!$R26</f>
        <v>5298837</v>
      </c>
      <c r="H25" s="13">
        <f>'2000-70'!$R26</f>
        <v>5298837</v>
      </c>
      <c r="I25" s="13">
        <f>'2000-80'!$R26</f>
        <v>5298837</v>
      </c>
      <c r="J25" s="13">
        <f>'2000-90'!$R26</f>
        <v>5298837</v>
      </c>
      <c r="L25" s="13">
        <f t="shared" si="6"/>
        <v>141243.32374063993</v>
      </c>
      <c r="M25" s="13">
        <f t="shared" si="7"/>
        <v>456023.65852266748</v>
      </c>
      <c r="N25" s="13">
        <f t="shared" si="8"/>
        <v>807532.47867435438</v>
      </c>
      <c r="O25" s="13">
        <f t="shared" si="9"/>
        <v>1143454.1906375044</v>
      </c>
      <c r="P25" s="13">
        <f t="shared" si="10"/>
        <v>1486650.1812618198</v>
      </c>
      <c r="Q25" s="13">
        <f t="shared" si="11"/>
        <v>1263933.1671630139</v>
      </c>
      <c r="R25" s="13">
        <f t="shared" si="0"/>
        <v>0</v>
      </c>
      <c r="S25" s="13">
        <f t="shared" si="1"/>
        <v>0</v>
      </c>
      <c r="T25" s="13">
        <f t="shared" si="2"/>
        <v>0</v>
      </c>
      <c r="U25" s="13"/>
      <c r="V25" s="13">
        <f t="shared" si="12"/>
        <v>5298836.9999999991</v>
      </c>
      <c r="X25" s="13">
        <f t="shared" si="3"/>
        <v>313032.50988899369</v>
      </c>
      <c r="Y25" s="18">
        <f t="shared" si="13"/>
        <v>2</v>
      </c>
      <c r="Z25" s="18" t="str">
        <f t="shared" si="14"/>
        <v>Los Angeles</v>
      </c>
      <c r="AA25" s="18">
        <f t="shared" si="15"/>
        <v>4</v>
      </c>
      <c r="AB25" s="18">
        <f t="shared" si="21"/>
        <v>4</v>
      </c>
      <c r="AC25" s="18">
        <f t="shared" si="22"/>
        <v>2</v>
      </c>
      <c r="AD25" s="18">
        <f t="shared" si="23"/>
        <v>1</v>
      </c>
      <c r="AE25" s="18">
        <f t="shared" si="24"/>
        <v>1</v>
      </c>
      <c r="AF25" s="18">
        <f t="shared" si="25"/>
        <v>1</v>
      </c>
      <c r="AG25" s="18" t="str">
        <f t="shared" si="5"/>
        <v>Los Angeles</v>
      </c>
    </row>
    <row r="26" spans="1:33">
      <c r="A26" s="18" t="s">
        <v>42</v>
      </c>
      <c r="B26" s="13">
        <f>'2000-10'!R27</f>
        <v>75040.356081655365</v>
      </c>
      <c r="C26" s="13">
        <f>'2000-20'!$R27</f>
        <v>321037.60806135181</v>
      </c>
      <c r="D26" s="13">
        <f>'2000-30'!$R27</f>
        <v>516026</v>
      </c>
      <c r="E26" s="13">
        <f>'2000-40'!$R27</f>
        <v>516026</v>
      </c>
      <c r="F26" s="13">
        <f>'2000-50'!$R27</f>
        <v>516026</v>
      </c>
      <c r="G26" s="13">
        <f>'2000-60'!$R27</f>
        <v>516026</v>
      </c>
      <c r="H26" s="13">
        <f>'2000-70'!$R27</f>
        <v>516026</v>
      </c>
      <c r="I26" s="13">
        <f>'2000-80'!$R27</f>
        <v>516026</v>
      </c>
      <c r="J26" s="13">
        <f>'2000-90'!$R27</f>
        <v>516026</v>
      </c>
      <c r="L26" s="13">
        <f t="shared" si="6"/>
        <v>75040.356081655365</v>
      </c>
      <c r="M26" s="13">
        <f t="shared" si="7"/>
        <v>245997.25197969645</v>
      </c>
      <c r="N26" s="13">
        <f t="shared" si="8"/>
        <v>194988.39193864819</v>
      </c>
      <c r="O26" s="13">
        <f t="shared" si="9"/>
        <v>0</v>
      </c>
      <c r="P26" s="13">
        <f t="shared" si="10"/>
        <v>0</v>
      </c>
      <c r="Q26" s="13">
        <f t="shared" si="11"/>
        <v>0</v>
      </c>
      <c r="R26" s="13">
        <f t="shared" si="0"/>
        <v>0</v>
      </c>
      <c r="S26" s="13">
        <f t="shared" si="1"/>
        <v>0</v>
      </c>
      <c r="T26" s="13">
        <f t="shared" si="2"/>
        <v>0</v>
      </c>
      <c r="U26" s="13"/>
      <c r="V26" s="13">
        <f t="shared" si="12"/>
        <v>516026</v>
      </c>
      <c r="X26" s="13">
        <f t="shared" si="3"/>
        <v>101072.74190798016</v>
      </c>
      <c r="Y26" s="18">
        <f t="shared" si="13"/>
        <v>48</v>
      </c>
      <c r="Z26" s="18" t="str">
        <f t="shared" si="14"/>
        <v>Louisville</v>
      </c>
      <c r="AA26" s="18">
        <f t="shared" si="15"/>
        <v>42</v>
      </c>
      <c r="AB26" s="18">
        <f t="shared" si="21"/>
        <v>40</v>
      </c>
      <c r="AC26" s="18">
        <f t="shared" si="22"/>
        <v>46</v>
      </c>
      <c r="AD26" s="18">
        <f t="shared" si="23"/>
        <v>46</v>
      </c>
      <c r="AE26" s="18">
        <f t="shared" si="24"/>
        <v>46</v>
      </c>
      <c r="AF26" s="18">
        <f t="shared" si="25"/>
        <v>46</v>
      </c>
      <c r="AG26" s="18" t="str">
        <f t="shared" si="5"/>
        <v>Louisville</v>
      </c>
    </row>
    <row r="27" spans="1:33">
      <c r="A27" s="18" t="s">
        <v>43</v>
      </c>
      <c r="B27" s="13">
        <f>'2000-10'!R28</f>
        <v>76401.309439263234</v>
      </c>
      <c r="C27" s="13">
        <f>'2000-20'!$R28</f>
        <v>325062.40246808837</v>
      </c>
      <c r="D27" s="13">
        <f>'2000-30'!$R28</f>
        <v>537466</v>
      </c>
      <c r="E27" s="13">
        <f>'2000-40'!$R28</f>
        <v>537466</v>
      </c>
      <c r="F27" s="13">
        <f>'2000-50'!$R28</f>
        <v>537466</v>
      </c>
      <c r="G27" s="13">
        <f>'2000-60'!$R28</f>
        <v>537466</v>
      </c>
      <c r="H27" s="13">
        <f>'2000-70'!$R28</f>
        <v>537466</v>
      </c>
      <c r="I27" s="13">
        <f>'2000-80'!$R28</f>
        <v>537466</v>
      </c>
      <c r="J27" s="13">
        <f>'2000-90'!$R28</f>
        <v>537466</v>
      </c>
      <c r="L27" s="13">
        <f t="shared" si="6"/>
        <v>76401.309439263234</v>
      </c>
      <c r="M27" s="13">
        <f t="shared" si="7"/>
        <v>248661.09302882513</v>
      </c>
      <c r="N27" s="13">
        <f t="shared" si="8"/>
        <v>212403.59753191163</v>
      </c>
      <c r="O27" s="13">
        <f t="shared" si="9"/>
        <v>0</v>
      </c>
      <c r="P27" s="13">
        <f t="shared" si="10"/>
        <v>0</v>
      </c>
      <c r="Q27" s="13">
        <f t="shared" si="11"/>
        <v>0</v>
      </c>
      <c r="R27" s="13">
        <f t="shared" si="0"/>
        <v>0</v>
      </c>
      <c r="S27" s="13">
        <f t="shared" si="1"/>
        <v>0</v>
      </c>
      <c r="T27" s="13">
        <f t="shared" si="2"/>
        <v>0</v>
      </c>
      <c r="U27" s="13"/>
      <c r="V27" s="13">
        <f t="shared" si="12"/>
        <v>537466</v>
      </c>
      <c r="X27" s="13">
        <f t="shared" si="3"/>
        <v>103801.94971021145</v>
      </c>
      <c r="Y27" s="18">
        <f t="shared" si="13"/>
        <v>46</v>
      </c>
      <c r="Z27" s="18" t="str">
        <f t="shared" si="14"/>
        <v>Memphis</v>
      </c>
      <c r="AA27" s="18">
        <f t="shared" si="15"/>
        <v>40</v>
      </c>
      <c r="AB27" s="18">
        <f t="shared" si="21"/>
        <v>39</v>
      </c>
      <c r="AC27" s="18">
        <f t="shared" si="22"/>
        <v>43</v>
      </c>
      <c r="AD27" s="18">
        <f t="shared" si="23"/>
        <v>44</v>
      </c>
      <c r="AE27" s="18">
        <f t="shared" si="24"/>
        <v>44</v>
      </c>
      <c r="AF27" s="18">
        <f t="shared" si="25"/>
        <v>44</v>
      </c>
      <c r="AG27" s="18" t="str">
        <f t="shared" si="5"/>
        <v>Memphis</v>
      </c>
    </row>
    <row r="28" spans="1:33">
      <c r="A28" s="18" t="s">
        <v>44</v>
      </c>
      <c r="B28" s="13">
        <f>'2000-10'!R29</f>
        <v>106668.93664946579</v>
      </c>
      <c r="C28" s="13">
        <f>'2000-20'!$R29</f>
        <v>464062.92986615334</v>
      </c>
      <c r="D28" s="13">
        <f>'2000-30'!$R29</f>
        <v>781664</v>
      </c>
      <c r="E28" s="13">
        <f>'2000-40'!$R29</f>
        <v>781664</v>
      </c>
      <c r="F28" s="13">
        <f>'2000-50'!$R29</f>
        <v>781664</v>
      </c>
      <c r="G28" s="13">
        <f>'2000-60'!$R29</f>
        <v>781664</v>
      </c>
      <c r="H28" s="13">
        <f>'2000-70'!$R29</f>
        <v>781664</v>
      </c>
      <c r="I28" s="13">
        <f>'2000-80'!$R29</f>
        <v>781664</v>
      </c>
      <c r="J28" s="13">
        <f>'2000-90'!$R29</f>
        <v>781664</v>
      </c>
      <c r="L28" s="13">
        <f t="shared" si="6"/>
        <v>106668.93664946579</v>
      </c>
      <c r="M28" s="13">
        <f t="shared" si="7"/>
        <v>357393.99321668758</v>
      </c>
      <c r="N28" s="13">
        <f t="shared" si="8"/>
        <v>317601.07013384666</v>
      </c>
      <c r="O28" s="13">
        <f t="shared" si="9"/>
        <v>0</v>
      </c>
      <c r="P28" s="13">
        <f t="shared" si="10"/>
        <v>0</v>
      </c>
      <c r="Q28" s="13">
        <f t="shared" si="11"/>
        <v>0</v>
      </c>
      <c r="R28" s="13">
        <f t="shared" si="0"/>
        <v>0</v>
      </c>
      <c r="S28" s="13">
        <f t="shared" si="1"/>
        <v>0</v>
      </c>
      <c r="T28" s="13">
        <f t="shared" si="2"/>
        <v>0</v>
      </c>
      <c r="U28" s="13"/>
      <c r="V28" s="13">
        <f t="shared" si="12"/>
        <v>781664.00000000012</v>
      </c>
      <c r="X28" s="13">
        <f t="shared" si="3"/>
        <v>148898.16463591444</v>
      </c>
      <c r="Y28" s="18">
        <f t="shared" si="13"/>
        <v>23</v>
      </c>
      <c r="Z28" s="18" t="str">
        <f t="shared" si="14"/>
        <v>Milwaukee</v>
      </c>
      <c r="AA28" s="18">
        <f t="shared" si="15"/>
        <v>19</v>
      </c>
      <c r="AB28" s="18">
        <f t="shared" si="21"/>
        <v>17</v>
      </c>
      <c r="AC28" s="18">
        <f t="shared" si="22"/>
        <v>22</v>
      </c>
      <c r="AD28" s="18">
        <f t="shared" si="23"/>
        <v>31</v>
      </c>
      <c r="AE28" s="18">
        <f t="shared" si="24"/>
        <v>31</v>
      </c>
      <c r="AF28" s="18">
        <f t="shared" si="25"/>
        <v>31</v>
      </c>
      <c r="AG28" s="18" t="str">
        <f t="shared" si="5"/>
        <v>Milwaukee</v>
      </c>
    </row>
    <row r="29" spans="1:33">
      <c r="A29" s="18" t="s">
        <v>45</v>
      </c>
      <c r="B29" s="13">
        <f>'2000-10'!R30</f>
        <v>101849.47562285762</v>
      </c>
      <c r="C29" s="13">
        <f>'2000-20'!$R30</f>
        <v>448817.96037573373</v>
      </c>
      <c r="D29" s="13">
        <f>'2000-30'!$R30</f>
        <v>1062261.475377528</v>
      </c>
      <c r="E29" s="13">
        <f>'2000-40'!$R30</f>
        <v>1642398</v>
      </c>
      <c r="F29" s="13">
        <f>'2000-50'!$R30</f>
        <v>1642398</v>
      </c>
      <c r="G29" s="13">
        <f>'2000-60'!$R30</f>
        <v>1642398</v>
      </c>
      <c r="H29" s="13">
        <f>'2000-70'!$R30</f>
        <v>1642398</v>
      </c>
      <c r="I29" s="13">
        <f>'2000-80'!$R30</f>
        <v>1642398</v>
      </c>
      <c r="J29" s="13">
        <f>'2000-90'!$R30</f>
        <v>1642398</v>
      </c>
      <c r="L29" s="13">
        <f t="shared" si="6"/>
        <v>101849.47562285762</v>
      </c>
      <c r="M29" s="13">
        <f t="shared" si="7"/>
        <v>346968.4847528761</v>
      </c>
      <c r="N29" s="13">
        <f t="shared" si="8"/>
        <v>613443.51500179432</v>
      </c>
      <c r="O29" s="13">
        <f t="shared" si="9"/>
        <v>580136.524622472</v>
      </c>
      <c r="P29" s="13">
        <f t="shared" si="10"/>
        <v>0</v>
      </c>
      <c r="Q29" s="13">
        <f t="shared" si="11"/>
        <v>0</v>
      </c>
      <c r="R29" s="13">
        <f t="shared" si="0"/>
        <v>0</v>
      </c>
      <c r="S29" s="13">
        <f t="shared" si="1"/>
        <v>0</v>
      </c>
      <c r="T29" s="13">
        <f t="shared" si="2"/>
        <v>0</v>
      </c>
      <c r="U29" s="13"/>
      <c r="V29" s="13">
        <f t="shared" si="12"/>
        <v>1642398.0000000002</v>
      </c>
      <c r="X29" s="13">
        <f t="shared" si="3"/>
        <v>195113.63179457566</v>
      </c>
      <c r="Y29" s="18">
        <f t="shared" si="13"/>
        <v>9</v>
      </c>
      <c r="Z29" s="18" t="str">
        <f t="shared" si="14"/>
        <v>Minneapolis-St.Paul</v>
      </c>
      <c r="AA29" s="18">
        <f t="shared" si="15"/>
        <v>21</v>
      </c>
      <c r="AB29" s="18">
        <f t="shared" si="21"/>
        <v>19</v>
      </c>
      <c r="AC29" s="18">
        <f t="shared" si="22"/>
        <v>7</v>
      </c>
      <c r="AD29" s="18">
        <f t="shared" si="23"/>
        <v>6</v>
      </c>
      <c r="AE29" s="18">
        <f t="shared" si="24"/>
        <v>11</v>
      </c>
      <c r="AF29" s="18">
        <f t="shared" si="25"/>
        <v>12</v>
      </c>
      <c r="AG29" s="18" t="str">
        <f t="shared" si="5"/>
        <v>Minneapolis-St.Paul</v>
      </c>
    </row>
    <row r="30" spans="1:33">
      <c r="A30" s="18" t="s">
        <v>46</v>
      </c>
      <c r="B30" s="13">
        <f>'2000-10'!R31</f>
        <v>85218.072120788464</v>
      </c>
      <c r="C30" s="13">
        <f>'2000-20'!$R31</f>
        <v>362541.3742805993</v>
      </c>
      <c r="D30" s="13">
        <f>'2000-30'!$R31</f>
        <v>634772</v>
      </c>
      <c r="E30" s="13">
        <f>'2000-40'!$R31</f>
        <v>634772</v>
      </c>
      <c r="F30" s="13">
        <f>'2000-50'!$R31</f>
        <v>634772</v>
      </c>
      <c r="G30" s="13">
        <f>'2000-60'!$R31</f>
        <v>634772</v>
      </c>
      <c r="H30" s="13">
        <f>'2000-70'!$R31</f>
        <v>634772</v>
      </c>
      <c r="I30" s="13">
        <f>'2000-80'!$R31</f>
        <v>634772</v>
      </c>
      <c r="J30" s="13">
        <f>'2000-90'!$R31</f>
        <v>634772</v>
      </c>
      <c r="L30" s="13">
        <f t="shared" si="6"/>
        <v>85218.072120788464</v>
      </c>
      <c r="M30" s="13">
        <f t="shared" si="7"/>
        <v>277323.30215981085</v>
      </c>
      <c r="N30" s="13">
        <f t="shared" si="8"/>
        <v>272230.6257194007</v>
      </c>
      <c r="O30" s="13">
        <f t="shared" si="9"/>
        <v>0</v>
      </c>
      <c r="P30" s="13">
        <f t="shared" si="10"/>
        <v>0</v>
      </c>
      <c r="Q30" s="13">
        <f t="shared" si="11"/>
        <v>0</v>
      </c>
      <c r="R30" s="13">
        <f t="shared" si="0"/>
        <v>0</v>
      </c>
      <c r="S30" s="13">
        <f t="shared" si="1"/>
        <v>0</v>
      </c>
      <c r="T30" s="13">
        <f t="shared" si="2"/>
        <v>0</v>
      </c>
      <c r="U30" s="13"/>
      <c r="V30" s="13">
        <f t="shared" si="12"/>
        <v>634772</v>
      </c>
      <c r="X30" s="13">
        <f t="shared" si="3"/>
        <v>118977.76232290619</v>
      </c>
      <c r="Y30" s="18">
        <f t="shared" si="13"/>
        <v>40</v>
      </c>
      <c r="Z30" s="18" t="str">
        <f t="shared" si="14"/>
        <v>Nashville</v>
      </c>
      <c r="AA30" s="18">
        <f t="shared" si="15"/>
        <v>33</v>
      </c>
      <c r="AB30" s="18">
        <f t="shared" si="21"/>
        <v>31</v>
      </c>
      <c r="AC30" s="18">
        <f t="shared" si="22"/>
        <v>32</v>
      </c>
      <c r="AD30" s="18">
        <f t="shared" si="23"/>
        <v>35</v>
      </c>
      <c r="AE30" s="18">
        <f t="shared" si="24"/>
        <v>35</v>
      </c>
      <c r="AF30" s="18">
        <f t="shared" si="25"/>
        <v>35</v>
      </c>
      <c r="AG30" s="18" t="str">
        <f t="shared" si="5"/>
        <v>Nashville</v>
      </c>
    </row>
    <row r="31" spans="1:33">
      <c r="A31" s="18" t="s">
        <v>47</v>
      </c>
      <c r="B31" s="13">
        <f>'2000-10'!R32</f>
        <v>152354.71315265074</v>
      </c>
      <c r="C31" s="13">
        <f>'2000-20'!$R32</f>
        <v>541312</v>
      </c>
      <c r="D31" s="13">
        <f>'2000-30'!$R32</f>
        <v>541312</v>
      </c>
      <c r="E31" s="13">
        <f>'2000-40'!$R32</f>
        <v>541312</v>
      </c>
      <c r="F31" s="13">
        <f>'2000-50'!$R32</f>
        <v>541312</v>
      </c>
      <c r="G31" s="13">
        <f>'2000-60'!$R32</f>
        <v>541312</v>
      </c>
      <c r="H31" s="13">
        <f>'2000-70'!$R32</f>
        <v>541312</v>
      </c>
      <c r="I31" s="13">
        <f>'2000-80'!$R32</f>
        <v>541312</v>
      </c>
      <c r="J31" s="13">
        <f>'2000-90'!$R32</f>
        <v>541312</v>
      </c>
      <c r="L31" s="13">
        <f t="shared" si="6"/>
        <v>152354.71315265074</v>
      </c>
      <c r="M31" s="13">
        <f t="shared" si="7"/>
        <v>388957.28684734926</v>
      </c>
      <c r="N31" s="13">
        <f t="shared" si="8"/>
        <v>0</v>
      </c>
      <c r="O31" s="13">
        <f t="shared" si="9"/>
        <v>0</v>
      </c>
      <c r="P31" s="13">
        <f t="shared" si="10"/>
        <v>0</v>
      </c>
      <c r="Q31" s="13">
        <f t="shared" si="11"/>
        <v>0</v>
      </c>
      <c r="R31" s="13">
        <f t="shared" si="0"/>
        <v>0</v>
      </c>
      <c r="S31" s="13">
        <f t="shared" si="1"/>
        <v>0</v>
      </c>
      <c r="T31" s="13">
        <f t="shared" si="2"/>
        <v>0</v>
      </c>
      <c r="U31" s="13"/>
      <c r="V31" s="13">
        <f t="shared" si="12"/>
        <v>541312</v>
      </c>
      <c r="X31" s="13">
        <f t="shared" si="3"/>
        <v>146986.50730238517</v>
      </c>
      <c r="Y31" s="18">
        <f t="shared" si="13"/>
        <v>24</v>
      </c>
      <c r="Z31" s="18" t="str">
        <f t="shared" si="14"/>
        <v>New Orleans</v>
      </c>
      <c r="AA31" s="18">
        <f t="shared" si="15"/>
        <v>3</v>
      </c>
      <c r="AB31" s="18">
        <f t="shared" si="21"/>
        <v>8</v>
      </c>
      <c r="AC31" s="18">
        <f t="shared" si="22"/>
        <v>42</v>
      </c>
      <c r="AD31" s="18">
        <f t="shared" si="23"/>
        <v>43</v>
      </c>
      <c r="AE31" s="18">
        <f t="shared" si="24"/>
        <v>43</v>
      </c>
      <c r="AF31" s="18">
        <f t="shared" si="25"/>
        <v>43</v>
      </c>
      <c r="AG31" s="18" t="str">
        <f t="shared" si="5"/>
        <v>New Orleans</v>
      </c>
    </row>
    <row r="32" spans="1:33">
      <c r="A32" s="18" t="s">
        <v>65</v>
      </c>
      <c r="B32" s="13">
        <f>'2000-10'!R33</f>
        <v>116053.85583693947</v>
      </c>
      <c r="C32" s="13">
        <f>'2000-20'!$R33</f>
        <v>505200.66033362376</v>
      </c>
      <c r="D32" s="13">
        <f>'2000-30'!$R33</f>
        <v>1196602.6823937611</v>
      </c>
      <c r="E32" s="13">
        <f>'2000-40'!$R33</f>
        <v>2183554.5466758222</v>
      </c>
      <c r="F32" s="13">
        <f>'2000-50'!$R33</f>
        <v>3483335.1653547445</v>
      </c>
      <c r="G32" s="13">
        <f>'2000-60'!$R33</f>
        <v>5100016.8585591372</v>
      </c>
      <c r="H32" s="13">
        <f>'2000-70'!$R33</f>
        <v>7036952.8178481711</v>
      </c>
      <c r="I32" s="13">
        <f>'2000-80'!$R33</f>
        <v>7884550</v>
      </c>
      <c r="J32" s="13">
        <f>'2000-90'!$R33</f>
        <v>7884550</v>
      </c>
      <c r="L32" s="13">
        <f t="shared" si="6"/>
        <v>116053.85583693947</v>
      </c>
      <c r="M32" s="13">
        <f t="shared" si="7"/>
        <v>389146.80449668429</v>
      </c>
      <c r="N32" s="13">
        <f t="shared" si="8"/>
        <v>691402.02206013736</v>
      </c>
      <c r="O32" s="13">
        <f t="shared" si="9"/>
        <v>986951.86428206111</v>
      </c>
      <c r="P32" s="13">
        <f t="shared" si="10"/>
        <v>1299780.6186789223</v>
      </c>
      <c r="Q32" s="13">
        <f t="shared" si="11"/>
        <v>1616681.6932043927</v>
      </c>
      <c r="R32" s="13">
        <f t="shared" si="0"/>
        <v>1936935.9592890339</v>
      </c>
      <c r="S32" s="13">
        <f t="shared" si="1"/>
        <v>847597.18215182889</v>
      </c>
      <c r="T32" s="13">
        <f t="shared" si="2"/>
        <v>0</v>
      </c>
      <c r="U32" s="13"/>
      <c r="V32" s="13">
        <f t="shared" si="12"/>
        <v>7884550</v>
      </c>
      <c r="X32" s="13">
        <f t="shared" si="3"/>
        <v>279348.70349968417</v>
      </c>
      <c r="Y32" s="18">
        <f t="shared" si="13"/>
        <v>3</v>
      </c>
      <c r="Z32" s="18" t="str">
        <f t="shared" si="14"/>
        <v>New York</v>
      </c>
      <c r="AA32" s="18">
        <f t="shared" si="15"/>
        <v>15</v>
      </c>
      <c r="AB32" s="18">
        <f t="shared" si="21"/>
        <v>10</v>
      </c>
      <c r="AC32" s="18">
        <f t="shared" si="22"/>
        <v>4</v>
      </c>
      <c r="AD32" s="18">
        <f t="shared" si="23"/>
        <v>3</v>
      </c>
      <c r="AE32" s="18">
        <f t="shared" si="24"/>
        <v>2</v>
      </c>
      <c r="AF32" s="18">
        <f t="shared" si="25"/>
        <v>2</v>
      </c>
      <c r="AG32" s="18" t="str">
        <f t="shared" si="5"/>
        <v>New York</v>
      </c>
    </row>
    <row r="33" spans="1:33">
      <c r="A33" s="18" t="s">
        <v>66</v>
      </c>
      <c r="B33" s="13">
        <f>'2000-10'!R34</f>
        <v>88919.221685337528</v>
      </c>
      <c r="C33" s="13">
        <f>'2000-20'!$R34</f>
        <v>376503.0511789454</v>
      </c>
      <c r="D33" s="13">
        <f>'2000-30'!$R34</f>
        <v>441416</v>
      </c>
      <c r="E33" s="13">
        <f>'2000-40'!$R34</f>
        <v>441416</v>
      </c>
      <c r="F33" s="13">
        <f>'2000-50'!$R34</f>
        <v>441416</v>
      </c>
      <c r="G33" s="13">
        <f>'2000-60'!$R34</f>
        <v>441416</v>
      </c>
      <c r="H33" s="13">
        <f>'2000-70'!$R34</f>
        <v>441416</v>
      </c>
      <c r="I33" s="13">
        <f>'2000-80'!$R34</f>
        <v>441416</v>
      </c>
      <c r="J33" s="13">
        <f>'2000-90'!$R34</f>
        <v>441416</v>
      </c>
      <c r="L33" s="13">
        <f t="shared" si="6"/>
        <v>88919.221685337528</v>
      </c>
      <c r="M33" s="13">
        <f t="shared" si="7"/>
        <v>287583.82949360786</v>
      </c>
      <c r="N33" s="13">
        <f t="shared" si="8"/>
        <v>64912.948821054597</v>
      </c>
      <c r="O33" s="13">
        <f t="shared" si="9"/>
        <v>0</v>
      </c>
      <c r="P33" s="13">
        <f t="shared" si="10"/>
        <v>0</v>
      </c>
      <c r="Q33" s="13">
        <f t="shared" si="11"/>
        <v>0</v>
      </c>
      <c r="R33" s="13">
        <f t="shared" si="0"/>
        <v>0</v>
      </c>
      <c r="S33" s="13">
        <f t="shared" si="1"/>
        <v>0</v>
      </c>
      <c r="T33" s="13">
        <f t="shared" si="2"/>
        <v>0</v>
      </c>
      <c r="U33" s="13"/>
      <c r="V33" s="13">
        <f t="shared" si="12"/>
        <v>441416</v>
      </c>
      <c r="X33" s="13">
        <f t="shared" si="3"/>
        <v>103904.92543533687</v>
      </c>
      <c r="Y33" s="18">
        <f t="shared" si="13"/>
        <v>45</v>
      </c>
      <c r="Z33" s="18" t="str">
        <f t="shared" si="14"/>
        <v>Oklahoma City</v>
      </c>
      <c r="AA33" s="18">
        <f t="shared" si="15"/>
        <v>30</v>
      </c>
      <c r="AB33" s="18">
        <f t="shared" si="21"/>
        <v>27</v>
      </c>
      <c r="AC33" s="18">
        <f t="shared" si="22"/>
        <v>50</v>
      </c>
      <c r="AD33" s="18">
        <f t="shared" si="23"/>
        <v>50</v>
      </c>
      <c r="AE33" s="18">
        <f t="shared" si="24"/>
        <v>50</v>
      </c>
      <c r="AF33" s="18">
        <f t="shared" si="25"/>
        <v>50</v>
      </c>
      <c r="AG33" s="18" t="str">
        <f t="shared" si="5"/>
        <v>Oklahoma City</v>
      </c>
    </row>
    <row r="34" spans="1:33">
      <c r="A34" s="18" t="s">
        <v>48</v>
      </c>
      <c r="B34" s="13">
        <f>'2000-10'!R35</f>
        <v>67514.434147410328</v>
      </c>
      <c r="C34" s="13">
        <f>'2000-20'!$R35</f>
        <v>284881.76039139851</v>
      </c>
      <c r="D34" s="13">
        <f>'2000-30'!$R35</f>
        <v>664921.83827192558</v>
      </c>
      <c r="E34" s="13">
        <f>'2000-40'!$R35</f>
        <v>818126</v>
      </c>
      <c r="F34" s="13">
        <f>'2000-50'!$R35</f>
        <v>818126</v>
      </c>
      <c r="G34" s="13">
        <f>'2000-60'!$R35</f>
        <v>818126</v>
      </c>
      <c r="H34" s="13">
        <f>'2000-70'!$R35</f>
        <v>818126</v>
      </c>
      <c r="I34" s="13">
        <f>'2000-80'!$R35</f>
        <v>818126</v>
      </c>
      <c r="J34" s="13">
        <f>'2000-90'!$R35</f>
        <v>818126</v>
      </c>
      <c r="L34" s="13">
        <f t="shared" si="6"/>
        <v>67514.434147410328</v>
      </c>
      <c r="M34" s="13">
        <f t="shared" si="7"/>
        <v>217367.32624398818</v>
      </c>
      <c r="N34" s="13">
        <f t="shared" si="8"/>
        <v>380040.07788052707</v>
      </c>
      <c r="O34" s="13">
        <f t="shared" si="9"/>
        <v>153204.16172807442</v>
      </c>
      <c r="P34" s="13">
        <f t="shared" si="10"/>
        <v>0</v>
      </c>
      <c r="Q34" s="13">
        <f t="shared" si="11"/>
        <v>0</v>
      </c>
      <c r="R34" s="13">
        <f t="shared" si="0"/>
        <v>0</v>
      </c>
      <c r="S34" s="13">
        <f t="shared" si="1"/>
        <v>0</v>
      </c>
      <c r="T34" s="13">
        <f t="shared" si="2"/>
        <v>0</v>
      </c>
      <c r="U34" s="13"/>
      <c r="V34" s="13">
        <f t="shared" si="12"/>
        <v>818126</v>
      </c>
      <c r="X34" s="13">
        <f t="shared" ref="X34:X52" si="26">L34*EXP(Beta*10)+M34*EXP(Beta*20)+N34*EXP(Beta*30)+O34*EXP(Beta*40)+P34*EXP(Beta*50)+Q34*EXP(Beta*60)+R34*EXP(Beta*70)+S34*EXP(Beta*80)+T34*EXP(Beta*90)</f>
        <v>114943.29437685045</v>
      </c>
      <c r="Y34" s="18">
        <f t="shared" si="13"/>
        <v>42</v>
      </c>
      <c r="Z34" s="18" t="str">
        <f t="shared" si="14"/>
        <v>Orlando</v>
      </c>
      <c r="AA34" s="18">
        <f t="shared" si="15"/>
        <v>46</v>
      </c>
      <c r="AB34" s="18">
        <f t="shared" si="21"/>
        <v>45</v>
      </c>
      <c r="AC34" s="18">
        <f t="shared" si="22"/>
        <v>30</v>
      </c>
      <c r="AD34" s="18">
        <f t="shared" si="23"/>
        <v>28</v>
      </c>
      <c r="AE34" s="18">
        <f t="shared" si="24"/>
        <v>28</v>
      </c>
      <c r="AF34" s="18">
        <f t="shared" si="25"/>
        <v>28</v>
      </c>
      <c r="AG34" s="18" t="str">
        <f t="shared" si="5"/>
        <v>Orlando</v>
      </c>
    </row>
    <row r="35" spans="1:33">
      <c r="A35" s="18" t="s">
        <v>67</v>
      </c>
      <c r="B35" s="13">
        <f>'2000-10'!R36</f>
        <v>76949.594814075637</v>
      </c>
      <c r="C35" s="13">
        <f>'2000-20'!$R36</f>
        <v>340444.43017490115</v>
      </c>
      <c r="D35" s="13">
        <f>'2000-30'!$R36</f>
        <v>808059.68713907734</v>
      </c>
      <c r="E35" s="13">
        <f>'2000-40'!$R36</f>
        <v>1478739.5821385428</v>
      </c>
      <c r="F35" s="13">
        <f>'2000-50'!$R36</f>
        <v>2354557.1395598641</v>
      </c>
      <c r="G35" s="13">
        <f>'2000-60'!$R36</f>
        <v>2550674</v>
      </c>
      <c r="H35" s="13">
        <f>'2000-70'!$R36</f>
        <v>2550674</v>
      </c>
      <c r="I35" s="13">
        <f>'2000-80'!$R36</f>
        <v>2550674</v>
      </c>
      <c r="J35" s="13">
        <f>'2000-90'!$R36</f>
        <v>2550674</v>
      </c>
      <c r="L35" s="13">
        <f t="shared" si="6"/>
        <v>76949.594814075637</v>
      </c>
      <c r="M35" s="13">
        <f t="shared" si="7"/>
        <v>263494.83536082553</v>
      </c>
      <c r="N35" s="13">
        <f t="shared" si="8"/>
        <v>467615.25696417619</v>
      </c>
      <c r="O35" s="13">
        <f t="shared" si="9"/>
        <v>670679.89499946544</v>
      </c>
      <c r="P35" s="13">
        <f t="shared" si="10"/>
        <v>875817.55742132128</v>
      </c>
      <c r="Q35" s="13">
        <f t="shared" si="11"/>
        <v>196116.86044013593</v>
      </c>
      <c r="R35" s="13">
        <f t="shared" si="0"/>
        <v>0</v>
      </c>
      <c r="S35" s="13">
        <f t="shared" si="1"/>
        <v>0</v>
      </c>
      <c r="T35" s="13">
        <f t="shared" si="2"/>
        <v>0</v>
      </c>
      <c r="U35" s="13"/>
      <c r="V35" s="13">
        <f t="shared" si="12"/>
        <v>2550674</v>
      </c>
      <c r="X35" s="13">
        <f t="shared" si="26"/>
        <v>175189.01148643682</v>
      </c>
      <c r="Y35" s="18">
        <f t="shared" si="13"/>
        <v>11</v>
      </c>
      <c r="Z35" s="18" t="str">
        <f t="shared" si="14"/>
        <v>Philadelphia</v>
      </c>
      <c r="AA35" s="18">
        <f t="shared" si="15"/>
        <v>39</v>
      </c>
      <c r="AB35" s="18">
        <f t="shared" si="21"/>
        <v>35</v>
      </c>
      <c r="AC35" s="18">
        <f t="shared" si="22"/>
        <v>20</v>
      </c>
      <c r="AD35" s="18">
        <f t="shared" si="23"/>
        <v>10</v>
      </c>
      <c r="AE35" s="18">
        <f t="shared" si="24"/>
        <v>6</v>
      </c>
      <c r="AF35" s="18">
        <f t="shared" si="25"/>
        <v>6</v>
      </c>
      <c r="AG35" s="18" t="str">
        <f t="shared" si="5"/>
        <v>Philadelphia</v>
      </c>
    </row>
    <row r="36" spans="1:33">
      <c r="A36" s="18" t="s">
        <v>49</v>
      </c>
      <c r="B36" s="13">
        <f>'2000-10'!R37</f>
        <v>87258.031909666155</v>
      </c>
      <c r="C36" s="13">
        <f>'2000-20'!$R37</f>
        <v>355080.01449104428</v>
      </c>
      <c r="D36" s="13">
        <f>'2000-30'!$R37</f>
        <v>821576.90527404926</v>
      </c>
      <c r="E36" s="13">
        <f>'2000-40'!$R37</f>
        <v>1402830</v>
      </c>
      <c r="F36" s="13">
        <f>'2000-50'!$R37</f>
        <v>1402830</v>
      </c>
      <c r="G36" s="13">
        <f>'2000-60'!$R37</f>
        <v>1402830</v>
      </c>
      <c r="H36" s="13">
        <f>'2000-70'!$R37</f>
        <v>1402830</v>
      </c>
      <c r="I36" s="13">
        <f>'2000-80'!$R37</f>
        <v>1402830</v>
      </c>
      <c r="J36" s="13">
        <f>'2000-90'!$R37</f>
        <v>1402830</v>
      </c>
      <c r="L36" s="13">
        <f t="shared" si="6"/>
        <v>87258.031909666155</v>
      </c>
      <c r="M36" s="13">
        <f t="shared" si="7"/>
        <v>267821.98258137814</v>
      </c>
      <c r="N36" s="13">
        <f t="shared" si="8"/>
        <v>466496.89078300499</v>
      </c>
      <c r="O36" s="13">
        <f t="shared" si="9"/>
        <v>581253.09472595074</v>
      </c>
      <c r="P36" s="13">
        <f t="shared" si="10"/>
        <v>0</v>
      </c>
      <c r="Q36" s="13">
        <f t="shared" si="11"/>
        <v>0</v>
      </c>
      <c r="R36" s="13">
        <f t="shared" si="0"/>
        <v>0</v>
      </c>
      <c r="S36" s="13">
        <f t="shared" si="1"/>
        <v>0</v>
      </c>
      <c r="T36" s="13">
        <f t="shared" si="2"/>
        <v>0</v>
      </c>
      <c r="U36" s="13"/>
      <c r="V36" s="13">
        <f t="shared" si="12"/>
        <v>1402830.0000000002</v>
      </c>
      <c r="X36" s="13">
        <f t="shared" si="26"/>
        <v>159292.68717246788</v>
      </c>
      <c r="Y36" s="18">
        <f t="shared" si="13"/>
        <v>20</v>
      </c>
      <c r="Z36" s="18" t="str">
        <f t="shared" si="14"/>
        <v>Phoenix</v>
      </c>
      <c r="AA36" s="18">
        <f t="shared" si="15"/>
        <v>31</v>
      </c>
      <c r="AB36" s="18">
        <f t="shared" si="21"/>
        <v>33</v>
      </c>
      <c r="AC36" s="18">
        <f t="shared" si="22"/>
        <v>17</v>
      </c>
      <c r="AD36" s="18">
        <f t="shared" si="23"/>
        <v>13</v>
      </c>
      <c r="AE36" s="18">
        <f t="shared" si="24"/>
        <v>15</v>
      </c>
      <c r="AF36" s="18">
        <f t="shared" si="25"/>
        <v>15</v>
      </c>
      <c r="AG36" s="18" t="str">
        <f t="shared" si="5"/>
        <v>Phoenix</v>
      </c>
    </row>
    <row r="37" spans="1:33">
      <c r="A37" s="18" t="s">
        <v>50</v>
      </c>
      <c r="B37" s="13">
        <f>'2000-10'!R38</f>
        <v>69548.040148771834</v>
      </c>
      <c r="C37" s="13">
        <f>'2000-20'!$R38</f>
        <v>313204.32324791176</v>
      </c>
      <c r="D37" s="13">
        <f>'2000-30'!$R38</f>
        <v>745834.77332335</v>
      </c>
      <c r="E37" s="13">
        <f>'2000-40'!$R38</f>
        <v>1038641</v>
      </c>
      <c r="F37" s="13">
        <f>'2000-50'!$R38</f>
        <v>1038641</v>
      </c>
      <c r="G37" s="13">
        <f>'2000-60'!$R38</f>
        <v>1038641</v>
      </c>
      <c r="H37" s="13">
        <f>'2000-70'!$R38</f>
        <v>1038641</v>
      </c>
      <c r="I37" s="13">
        <f>'2000-80'!$R38</f>
        <v>1038641</v>
      </c>
      <c r="J37" s="13">
        <f>'2000-90'!$R38</f>
        <v>1038641</v>
      </c>
      <c r="L37" s="13">
        <f t="shared" si="6"/>
        <v>69548.040148771834</v>
      </c>
      <c r="M37" s="13">
        <f t="shared" si="7"/>
        <v>243656.28309913992</v>
      </c>
      <c r="N37" s="13">
        <f t="shared" si="8"/>
        <v>432630.45007543825</v>
      </c>
      <c r="O37" s="13">
        <f t="shared" si="9"/>
        <v>292806.22667665</v>
      </c>
      <c r="P37" s="13">
        <f t="shared" si="10"/>
        <v>0</v>
      </c>
      <c r="Q37" s="13">
        <f t="shared" si="11"/>
        <v>0</v>
      </c>
      <c r="R37" s="13">
        <f t="shared" si="0"/>
        <v>0</v>
      </c>
      <c r="S37" s="13">
        <f t="shared" si="1"/>
        <v>0</v>
      </c>
      <c r="T37" s="13">
        <f t="shared" si="2"/>
        <v>0</v>
      </c>
      <c r="U37" s="13"/>
      <c r="V37" s="13">
        <f t="shared" si="12"/>
        <v>1038641</v>
      </c>
      <c r="X37" s="13">
        <f t="shared" si="26"/>
        <v>131626.0800811174</v>
      </c>
      <c r="Y37" s="18">
        <f t="shared" si="13"/>
        <v>32</v>
      </c>
      <c r="Z37" s="18" t="str">
        <f t="shared" si="14"/>
        <v>Pittsburgh</v>
      </c>
      <c r="AA37" s="18">
        <f t="shared" si="15"/>
        <v>44</v>
      </c>
      <c r="AB37" s="18">
        <f t="shared" si="21"/>
        <v>43</v>
      </c>
      <c r="AC37" s="18">
        <f t="shared" si="22"/>
        <v>26</v>
      </c>
      <c r="AD37" s="18">
        <f t="shared" si="23"/>
        <v>21</v>
      </c>
      <c r="AE37" s="18">
        <f t="shared" si="24"/>
        <v>23</v>
      </c>
      <c r="AF37" s="18">
        <f t="shared" si="25"/>
        <v>23</v>
      </c>
      <c r="AG37" s="18" t="str">
        <f t="shared" si="5"/>
        <v>Pittsburgh</v>
      </c>
    </row>
    <row r="38" spans="1:33">
      <c r="A38" s="18" t="s">
        <v>51</v>
      </c>
      <c r="B38" s="13">
        <f>'2000-10'!R39</f>
        <v>78417.564089011124</v>
      </c>
      <c r="C38" s="13">
        <f>'2000-20'!$R39</f>
        <v>313402.94199762249</v>
      </c>
      <c r="D38" s="13">
        <f>'2000-30'!$R39</f>
        <v>738058.20079123892</v>
      </c>
      <c r="E38" s="13">
        <f>'2000-40'!$R39</f>
        <v>877359</v>
      </c>
      <c r="F38" s="13">
        <f>'2000-50'!$R39</f>
        <v>877359</v>
      </c>
      <c r="G38" s="13">
        <f>'2000-60'!$R39</f>
        <v>877359</v>
      </c>
      <c r="H38" s="13">
        <f>'2000-70'!$R39</f>
        <v>877359</v>
      </c>
      <c r="I38" s="13">
        <f>'2000-80'!$R39</f>
        <v>877359</v>
      </c>
      <c r="J38" s="13">
        <f>'2000-90'!$R39</f>
        <v>877359</v>
      </c>
      <c r="L38" s="13">
        <f t="shared" si="6"/>
        <v>78417.564089011124</v>
      </c>
      <c r="M38" s="13">
        <f t="shared" si="7"/>
        <v>234985.37790861138</v>
      </c>
      <c r="N38" s="13">
        <f t="shared" si="8"/>
        <v>424655.25879361643</v>
      </c>
      <c r="O38" s="13">
        <f t="shared" si="9"/>
        <v>139300.79920876108</v>
      </c>
      <c r="P38" s="13">
        <f t="shared" si="10"/>
        <v>0</v>
      </c>
      <c r="Q38" s="13">
        <f t="shared" si="11"/>
        <v>0</v>
      </c>
      <c r="R38" s="13">
        <f t="shared" si="0"/>
        <v>0</v>
      </c>
      <c r="S38" s="13">
        <f t="shared" si="1"/>
        <v>0</v>
      </c>
      <c r="T38" s="13">
        <f t="shared" si="2"/>
        <v>0</v>
      </c>
      <c r="U38" s="13"/>
      <c r="V38" s="13">
        <f t="shared" si="12"/>
        <v>877359</v>
      </c>
      <c r="X38" s="13">
        <f t="shared" si="26"/>
        <v>126880.07594315767</v>
      </c>
      <c r="Y38" s="18">
        <f t="shared" si="13"/>
        <v>34</v>
      </c>
      <c r="Z38" s="18" t="str">
        <f t="shared" si="14"/>
        <v>Portland</v>
      </c>
      <c r="AA38" s="18">
        <f t="shared" si="15"/>
        <v>36</v>
      </c>
      <c r="AB38" s="18">
        <f t="shared" si="21"/>
        <v>42</v>
      </c>
      <c r="AC38" s="18">
        <f t="shared" si="22"/>
        <v>27</v>
      </c>
      <c r="AD38" s="18">
        <f t="shared" si="23"/>
        <v>27</v>
      </c>
      <c r="AE38" s="18">
        <f t="shared" si="24"/>
        <v>27</v>
      </c>
      <c r="AF38" s="18">
        <f t="shared" si="25"/>
        <v>27</v>
      </c>
      <c r="AG38" s="18" t="str">
        <f t="shared" si="5"/>
        <v>Portland</v>
      </c>
    </row>
    <row r="39" spans="1:33">
      <c r="A39" s="18" t="s">
        <v>52</v>
      </c>
      <c r="B39" s="13">
        <f>'2000-10'!R40</f>
        <v>93647.667319834014</v>
      </c>
      <c r="C39" s="13">
        <f>'2000-20'!$R40</f>
        <v>401285.34076486801</v>
      </c>
      <c r="D39" s="13">
        <f>'2000-30'!$R40</f>
        <v>629305</v>
      </c>
      <c r="E39" s="13">
        <f>'2000-40'!$R40</f>
        <v>629305</v>
      </c>
      <c r="F39" s="13">
        <f>'2000-50'!$R40</f>
        <v>629305</v>
      </c>
      <c r="G39" s="13">
        <f>'2000-60'!$R40</f>
        <v>629305</v>
      </c>
      <c r="H39" s="13">
        <f>'2000-70'!$R40</f>
        <v>629305</v>
      </c>
      <c r="I39" s="13">
        <f>'2000-80'!$R40</f>
        <v>629305</v>
      </c>
      <c r="J39" s="13">
        <f>'2000-90'!$R40</f>
        <v>629305</v>
      </c>
      <c r="L39" s="13">
        <f t="shared" si="6"/>
        <v>93647.667319834014</v>
      </c>
      <c r="M39" s="13">
        <f t="shared" si="7"/>
        <v>307637.67344503402</v>
      </c>
      <c r="N39" s="13">
        <f t="shared" si="8"/>
        <v>228019.65923513199</v>
      </c>
      <c r="O39" s="13">
        <f t="shared" si="9"/>
        <v>0</v>
      </c>
      <c r="P39" s="13">
        <f t="shared" si="10"/>
        <v>0</v>
      </c>
      <c r="Q39" s="13">
        <f t="shared" si="11"/>
        <v>0</v>
      </c>
      <c r="R39" s="13">
        <f t="shared" si="0"/>
        <v>0</v>
      </c>
      <c r="S39" s="13">
        <f t="shared" si="1"/>
        <v>0</v>
      </c>
      <c r="T39" s="13">
        <f t="shared" si="2"/>
        <v>0</v>
      </c>
      <c r="U39" s="13"/>
      <c r="V39" s="13">
        <f t="shared" si="12"/>
        <v>629305</v>
      </c>
      <c r="X39" s="13">
        <f t="shared" si="26"/>
        <v>124875.06121690488</v>
      </c>
      <c r="Y39" s="18">
        <f t="shared" si="13"/>
        <v>35</v>
      </c>
      <c r="Z39" s="18" t="str">
        <f t="shared" si="14"/>
        <v>Providence</v>
      </c>
      <c r="AA39" s="18">
        <f t="shared" si="15"/>
        <v>25</v>
      </c>
      <c r="AB39" s="18">
        <f t="shared" si="21"/>
        <v>24</v>
      </c>
      <c r="AC39" s="18">
        <f t="shared" si="22"/>
        <v>33</v>
      </c>
      <c r="AD39" s="18">
        <f t="shared" si="23"/>
        <v>36</v>
      </c>
      <c r="AE39" s="18">
        <f t="shared" si="24"/>
        <v>36</v>
      </c>
      <c r="AF39" s="18">
        <f t="shared" si="25"/>
        <v>36</v>
      </c>
      <c r="AG39" s="18" t="str">
        <f t="shared" si="5"/>
        <v>Providence</v>
      </c>
    </row>
    <row r="40" spans="1:33">
      <c r="A40" s="18" t="s">
        <v>53</v>
      </c>
      <c r="B40" s="13">
        <f>'2000-10'!R41</f>
        <v>130697.81828363871</v>
      </c>
      <c r="C40" s="13">
        <f>'2000-20'!$R41</f>
        <v>579732.36264123418</v>
      </c>
      <c r="D40" s="13">
        <f>'2000-30'!$R41</f>
        <v>614595</v>
      </c>
      <c r="E40" s="13">
        <f>'2000-40'!$R41</f>
        <v>614595</v>
      </c>
      <c r="F40" s="13">
        <f>'2000-50'!$R41</f>
        <v>614595</v>
      </c>
      <c r="G40" s="13">
        <f>'2000-60'!$R41</f>
        <v>614595</v>
      </c>
      <c r="H40" s="13">
        <f>'2000-70'!$R41</f>
        <v>614595</v>
      </c>
      <c r="I40" s="13">
        <f>'2000-80'!$R41</f>
        <v>614595</v>
      </c>
      <c r="J40" s="13">
        <f>'2000-90'!$R41</f>
        <v>614595</v>
      </c>
      <c r="L40" s="13">
        <f t="shared" si="6"/>
        <v>130697.81828363871</v>
      </c>
      <c r="M40" s="13">
        <f t="shared" si="7"/>
        <v>449034.5443575955</v>
      </c>
      <c r="N40" s="13">
        <f t="shared" si="8"/>
        <v>34862.637358765816</v>
      </c>
      <c r="O40" s="13">
        <f t="shared" si="9"/>
        <v>0</v>
      </c>
      <c r="P40" s="13">
        <f t="shared" si="10"/>
        <v>0</v>
      </c>
      <c r="Q40" s="13">
        <f t="shared" si="11"/>
        <v>0</v>
      </c>
      <c r="R40" s="13">
        <f t="shared" si="0"/>
        <v>0</v>
      </c>
      <c r="S40" s="13">
        <f t="shared" si="1"/>
        <v>0</v>
      </c>
      <c r="T40" s="13">
        <f t="shared" si="2"/>
        <v>0</v>
      </c>
      <c r="U40" s="13"/>
      <c r="V40" s="13">
        <f t="shared" si="12"/>
        <v>614595</v>
      </c>
      <c r="X40" s="13">
        <f t="shared" si="26"/>
        <v>152547.49337434166</v>
      </c>
      <c r="Y40" s="18">
        <f t="shared" si="13"/>
        <v>21</v>
      </c>
      <c r="Z40" s="18" t="str">
        <f t="shared" si="14"/>
        <v>Raleigh</v>
      </c>
      <c r="AA40" s="18">
        <f t="shared" si="15"/>
        <v>7</v>
      </c>
      <c r="AB40" s="18">
        <f t="shared" si="21"/>
        <v>6</v>
      </c>
      <c r="AC40" s="18">
        <f t="shared" si="22"/>
        <v>34</v>
      </c>
      <c r="AD40" s="18">
        <f t="shared" si="23"/>
        <v>37</v>
      </c>
      <c r="AE40" s="18">
        <f t="shared" si="24"/>
        <v>37</v>
      </c>
      <c r="AF40" s="18">
        <f t="shared" si="25"/>
        <v>37</v>
      </c>
      <c r="AG40" s="18" t="str">
        <f t="shared" si="5"/>
        <v>Raleigh</v>
      </c>
    </row>
    <row r="41" spans="1:33">
      <c r="A41" s="18" t="s">
        <v>82</v>
      </c>
      <c r="B41" s="13">
        <f>'2000-10'!R42</f>
        <v>120971.05053345671</v>
      </c>
      <c r="C41" s="13">
        <f>'2000-20'!$R42</f>
        <v>455184</v>
      </c>
      <c r="D41" s="13">
        <f>'2000-30'!$R42</f>
        <v>455184</v>
      </c>
      <c r="E41" s="13">
        <f>'2000-40'!$R42</f>
        <v>455184</v>
      </c>
      <c r="F41" s="13">
        <f>'2000-50'!$R42</f>
        <v>455184</v>
      </c>
      <c r="G41" s="13">
        <f>'2000-60'!$R42</f>
        <v>455184</v>
      </c>
      <c r="H41" s="13">
        <f>'2000-70'!$R42</f>
        <v>455184</v>
      </c>
      <c r="I41" s="13">
        <f>'2000-80'!$R42</f>
        <v>455184</v>
      </c>
      <c r="J41" s="13">
        <f>'2000-90'!$R42</f>
        <v>455184</v>
      </c>
      <c r="L41" s="13">
        <f t="shared" si="6"/>
        <v>120971.05053345671</v>
      </c>
      <c r="M41" s="13">
        <f t="shared" si="7"/>
        <v>334212.94946654327</v>
      </c>
      <c r="N41" s="13">
        <f t="shared" si="8"/>
        <v>0</v>
      </c>
      <c r="O41" s="13">
        <f t="shared" si="9"/>
        <v>0</v>
      </c>
      <c r="P41" s="13">
        <f t="shared" si="10"/>
        <v>0</v>
      </c>
      <c r="Q41" s="13">
        <f t="shared" si="11"/>
        <v>0</v>
      </c>
      <c r="R41" s="13">
        <f t="shared" si="0"/>
        <v>0</v>
      </c>
      <c r="S41" s="13">
        <f t="shared" si="1"/>
        <v>0</v>
      </c>
      <c r="T41" s="13">
        <f t="shared" si="2"/>
        <v>0</v>
      </c>
      <c r="U41" s="13"/>
      <c r="V41" s="13">
        <f t="shared" si="12"/>
        <v>455184</v>
      </c>
      <c r="X41" s="13">
        <f t="shared" si="26"/>
        <v>121832.22759038897</v>
      </c>
      <c r="Y41" s="18">
        <f t="shared" si="13"/>
        <v>38</v>
      </c>
      <c r="Z41" s="18" t="str">
        <f t="shared" si="14"/>
        <v>Rochester</v>
      </c>
      <c r="AA41" s="18">
        <f t="shared" si="15"/>
        <v>12</v>
      </c>
      <c r="AB41" s="18">
        <f t="shared" si="21"/>
        <v>18</v>
      </c>
      <c r="AC41" s="18">
        <f t="shared" si="22"/>
        <v>49</v>
      </c>
      <c r="AD41" s="18">
        <f t="shared" si="23"/>
        <v>49</v>
      </c>
      <c r="AE41" s="18">
        <f t="shared" si="24"/>
        <v>49</v>
      </c>
      <c r="AF41" s="18">
        <f t="shared" si="25"/>
        <v>49</v>
      </c>
      <c r="AG41" s="18" t="str">
        <f t="shared" si="5"/>
        <v>Rochester</v>
      </c>
    </row>
    <row r="42" spans="1:33">
      <c r="A42" s="18" t="s">
        <v>54</v>
      </c>
      <c r="B42" s="13">
        <f>'2000-10'!R43</f>
        <v>69437.144578546606</v>
      </c>
      <c r="C42" s="13">
        <f>'2000-20'!$R43</f>
        <v>280346.43790219794</v>
      </c>
      <c r="D42" s="13">
        <f>'2000-30'!$R43</f>
        <v>585187</v>
      </c>
      <c r="E42" s="13">
        <f>'2000-40'!$R43</f>
        <v>585187</v>
      </c>
      <c r="F42" s="13">
        <f>'2000-50'!$R43</f>
        <v>585187</v>
      </c>
      <c r="G42" s="13">
        <f>'2000-60'!$R43</f>
        <v>585187</v>
      </c>
      <c r="H42" s="13">
        <f>'2000-70'!$R43</f>
        <v>585187</v>
      </c>
      <c r="I42" s="13">
        <f>'2000-80'!$R43</f>
        <v>585187</v>
      </c>
      <c r="J42" s="13">
        <f>'2000-90'!$R43</f>
        <v>585187</v>
      </c>
      <c r="L42" s="13">
        <f t="shared" si="6"/>
        <v>69437.144578546606</v>
      </c>
      <c r="M42" s="13">
        <f t="shared" si="7"/>
        <v>210909.29332365133</v>
      </c>
      <c r="N42" s="13">
        <f t="shared" si="8"/>
        <v>304840.56209780206</v>
      </c>
      <c r="O42" s="13">
        <f t="shared" si="9"/>
        <v>0</v>
      </c>
      <c r="P42" s="13">
        <f t="shared" si="10"/>
        <v>0</v>
      </c>
      <c r="Q42" s="13">
        <f t="shared" si="11"/>
        <v>0</v>
      </c>
      <c r="R42" s="13">
        <f t="shared" si="0"/>
        <v>0</v>
      </c>
      <c r="S42" s="13">
        <f t="shared" si="1"/>
        <v>0</v>
      </c>
      <c r="T42" s="13">
        <f t="shared" si="2"/>
        <v>0</v>
      </c>
      <c r="U42" s="13"/>
      <c r="V42" s="13">
        <f t="shared" si="12"/>
        <v>585187</v>
      </c>
      <c r="X42" s="13">
        <f t="shared" si="26"/>
        <v>101436.48405260137</v>
      </c>
      <c r="Y42" s="18">
        <f t="shared" si="13"/>
        <v>47</v>
      </c>
      <c r="Z42" s="18" t="str">
        <f t="shared" si="14"/>
        <v>Sacramento</v>
      </c>
      <c r="AA42" s="18">
        <f t="shared" si="15"/>
        <v>45</v>
      </c>
      <c r="AB42" s="18">
        <f t="shared" si="21"/>
        <v>46</v>
      </c>
      <c r="AC42" s="18">
        <f t="shared" si="22"/>
        <v>37</v>
      </c>
      <c r="AD42" s="18">
        <f t="shared" si="23"/>
        <v>39</v>
      </c>
      <c r="AE42" s="18">
        <f t="shared" si="24"/>
        <v>39</v>
      </c>
      <c r="AF42" s="18">
        <f t="shared" si="25"/>
        <v>39</v>
      </c>
      <c r="AG42" s="18" t="str">
        <f t="shared" si="5"/>
        <v>Sacramento</v>
      </c>
    </row>
    <row r="43" spans="1:33">
      <c r="A43" s="18" t="s">
        <v>55</v>
      </c>
      <c r="B43" s="13">
        <f>'2000-10'!R44</f>
        <v>121278.76935308377</v>
      </c>
      <c r="C43" s="13">
        <f>'2000-20'!$R44</f>
        <v>478800.1812265137</v>
      </c>
      <c r="D43" s="13">
        <f>'2000-30'!$R44</f>
        <v>611285</v>
      </c>
      <c r="E43" s="13">
        <f>'2000-40'!$R44</f>
        <v>611285</v>
      </c>
      <c r="F43" s="13">
        <f>'2000-50'!$R44</f>
        <v>611285</v>
      </c>
      <c r="G43" s="13">
        <f>'2000-60'!$R44</f>
        <v>611285</v>
      </c>
      <c r="H43" s="13">
        <f>'2000-70'!$R44</f>
        <v>611285</v>
      </c>
      <c r="I43" s="13">
        <f>'2000-80'!$R44</f>
        <v>611285</v>
      </c>
      <c r="J43" s="13">
        <f>'2000-90'!$R44</f>
        <v>611285</v>
      </c>
      <c r="L43" s="13">
        <f t="shared" si="6"/>
        <v>121278.76935308377</v>
      </c>
      <c r="M43" s="13">
        <f t="shared" si="7"/>
        <v>357521.4118734299</v>
      </c>
      <c r="N43" s="13">
        <f t="shared" si="8"/>
        <v>132484.8187734863</v>
      </c>
      <c r="O43" s="13">
        <f t="shared" si="9"/>
        <v>0</v>
      </c>
      <c r="P43" s="13">
        <f t="shared" si="10"/>
        <v>0</v>
      </c>
      <c r="Q43" s="13">
        <f t="shared" si="11"/>
        <v>0</v>
      </c>
      <c r="R43" s="13">
        <f t="shared" si="0"/>
        <v>0</v>
      </c>
      <c r="S43" s="13">
        <f t="shared" si="1"/>
        <v>0</v>
      </c>
      <c r="T43" s="13">
        <f t="shared" si="2"/>
        <v>0</v>
      </c>
      <c r="U43" s="13"/>
      <c r="V43" s="13">
        <f t="shared" si="12"/>
        <v>611285</v>
      </c>
      <c r="X43" s="13">
        <f t="shared" si="26"/>
        <v>138695.14356966052</v>
      </c>
      <c r="Y43" s="18">
        <f t="shared" si="13"/>
        <v>29</v>
      </c>
      <c r="Z43" s="18" t="str">
        <f t="shared" si="14"/>
        <v>Salt Lake City</v>
      </c>
      <c r="AA43" s="18">
        <f t="shared" si="15"/>
        <v>11</v>
      </c>
      <c r="AB43" s="18">
        <f t="shared" si="21"/>
        <v>12</v>
      </c>
      <c r="AC43" s="18">
        <f t="shared" si="22"/>
        <v>36</v>
      </c>
      <c r="AD43" s="18">
        <f t="shared" si="23"/>
        <v>38</v>
      </c>
      <c r="AE43" s="18">
        <f t="shared" si="24"/>
        <v>38</v>
      </c>
      <c r="AF43" s="18">
        <f t="shared" si="25"/>
        <v>38</v>
      </c>
      <c r="AG43" s="18" t="str">
        <f t="shared" si="5"/>
        <v>Salt Lake City</v>
      </c>
    </row>
    <row r="44" spans="1:33">
      <c r="A44" s="18" t="s">
        <v>68</v>
      </c>
      <c r="B44" s="13">
        <f>'2000-10'!R45</f>
        <v>89504.191011199102</v>
      </c>
      <c r="C44" s="13">
        <f>'2000-20'!$R45</f>
        <v>379567.76149430493</v>
      </c>
      <c r="D44" s="13">
        <f>'2000-30'!$R45</f>
        <v>635453</v>
      </c>
      <c r="E44" s="13">
        <f>'2000-40'!$R45</f>
        <v>635453</v>
      </c>
      <c r="F44" s="13">
        <f>'2000-50'!$R45</f>
        <v>635453</v>
      </c>
      <c r="G44" s="13">
        <f>'2000-60'!$R45</f>
        <v>635453</v>
      </c>
      <c r="H44" s="13">
        <f>'2000-70'!$R45</f>
        <v>635453</v>
      </c>
      <c r="I44" s="13">
        <f>'2000-80'!$R45</f>
        <v>635453</v>
      </c>
      <c r="J44" s="13">
        <f>'2000-90'!$R45</f>
        <v>635453</v>
      </c>
      <c r="L44" s="13">
        <f t="shared" si="6"/>
        <v>89504.191011199102</v>
      </c>
      <c r="M44" s="13">
        <f t="shared" si="7"/>
        <v>290063.57048310584</v>
      </c>
      <c r="N44" s="13">
        <f t="shared" si="8"/>
        <v>255885.23850569507</v>
      </c>
      <c r="O44" s="13">
        <f t="shared" si="9"/>
        <v>0</v>
      </c>
      <c r="P44" s="13">
        <f t="shared" si="10"/>
        <v>0</v>
      </c>
      <c r="Q44" s="13">
        <f t="shared" si="11"/>
        <v>0</v>
      </c>
      <c r="R44" s="13">
        <f t="shared" si="0"/>
        <v>0</v>
      </c>
      <c r="S44" s="13">
        <f t="shared" si="1"/>
        <v>0</v>
      </c>
      <c r="T44" s="13">
        <f t="shared" si="2"/>
        <v>0</v>
      </c>
      <c r="U44" s="13"/>
      <c r="V44" s="13">
        <f t="shared" si="12"/>
        <v>635453.00000000012</v>
      </c>
      <c r="X44" s="13">
        <f t="shared" si="26"/>
        <v>121993.03542305822</v>
      </c>
      <c r="Y44" s="18">
        <f t="shared" si="13"/>
        <v>37</v>
      </c>
      <c r="Z44" s="18" t="str">
        <f t="shared" si="14"/>
        <v>San Antonio</v>
      </c>
      <c r="AA44" s="18">
        <f t="shared" si="15"/>
        <v>28</v>
      </c>
      <c r="AB44" s="18">
        <f t="shared" si="21"/>
        <v>26</v>
      </c>
      <c r="AC44" s="18">
        <f t="shared" si="22"/>
        <v>31</v>
      </c>
      <c r="AD44" s="18">
        <f t="shared" si="23"/>
        <v>34</v>
      </c>
      <c r="AE44" s="18">
        <f t="shared" si="24"/>
        <v>34</v>
      </c>
      <c r="AF44" s="18">
        <f t="shared" si="25"/>
        <v>34</v>
      </c>
      <c r="AG44" s="18" t="str">
        <f t="shared" si="5"/>
        <v>San Antonio</v>
      </c>
    </row>
    <row r="45" spans="1:33">
      <c r="A45" s="18" t="s">
        <v>69</v>
      </c>
      <c r="B45" s="13">
        <f>'2000-10'!R46</f>
        <v>65657.85470436317</v>
      </c>
      <c r="C45" s="13">
        <f>'2000-20'!$R46</f>
        <v>266243.57553190482</v>
      </c>
      <c r="D45" s="13">
        <f>'2000-30'!$R46</f>
        <v>612935.02581265778</v>
      </c>
      <c r="E45" s="13">
        <f>'2000-40'!$R46</f>
        <v>1081762</v>
      </c>
      <c r="F45" s="13">
        <f>'2000-50'!$R46</f>
        <v>1081762</v>
      </c>
      <c r="G45" s="13">
        <f>'2000-60'!$R46</f>
        <v>1081762</v>
      </c>
      <c r="H45" s="13">
        <f>'2000-70'!$R46</f>
        <v>1081762</v>
      </c>
      <c r="I45" s="13">
        <f>'2000-80'!$R46</f>
        <v>1081762</v>
      </c>
      <c r="J45" s="13">
        <f>'2000-90'!$R46</f>
        <v>1081762</v>
      </c>
      <c r="L45" s="13">
        <f t="shared" si="6"/>
        <v>65657.85470436317</v>
      </c>
      <c r="M45" s="13">
        <f t="shared" si="7"/>
        <v>200585.72082754166</v>
      </c>
      <c r="N45" s="13">
        <f t="shared" si="8"/>
        <v>346691.45028075296</v>
      </c>
      <c r="O45" s="13">
        <f t="shared" si="9"/>
        <v>468826.97418734222</v>
      </c>
      <c r="P45" s="13">
        <f t="shared" si="10"/>
        <v>0</v>
      </c>
      <c r="Q45" s="13">
        <f t="shared" si="11"/>
        <v>0</v>
      </c>
      <c r="R45" s="13">
        <f t="shared" si="0"/>
        <v>0</v>
      </c>
      <c r="S45" s="13">
        <f t="shared" si="1"/>
        <v>0</v>
      </c>
      <c r="T45" s="13">
        <f t="shared" si="2"/>
        <v>0</v>
      </c>
      <c r="U45" s="13"/>
      <c r="V45" s="13">
        <f t="shared" si="12"/>
        <v>1081762</v>
      </c>
      <c r="X45" s="13">
        <f t="shared" si="26"/>
        <v>120561.09397979194</v>
      </c>
      <c r="Y45" s="18">
        <f t="shared" si="13"/>
        <v>39</v>
      </c>
      <c r="Z45" s="18" t="str">
        <f t="shared" si="14"/>
        <v>San Diego</v>
      </c>
      <c r="AA45" s="18">
        <f t="shared" si="15"/>
        <v>47</v>
      </c>
      <c r="AB45" s="18">
        <f t="shared" si="21"/>
        <v>47</v>
      </c>
      <c r="AC45" s="18">
        <f t="shared" si="22"/>
        <v>35</v>
      </c>
      <c r="AD45" s="18">
        <f t="shared" si="23"/>
        <v>16</v>
      </c>
      <c r="AE45" s="18">
        <f t="shared" si="24"/>
        <v>17</v>
      </c>
      <c r="AF45" s="18">
        <f t="shared" si="25"/>
        <v>17</v>
      </c>
      <c r="AG45" s="18" t="str">
        <f t="shared" si="5"/>
        <v>San Diego</v>
      </c>
    </row>
    <row r="46" spans="1:33">
      <c r="A46" s="18" t="s">
        <v>70</v>
      </c>
      <c r="B46" s="13">
        <f>'2000-10'!R47</f>
        <v>225620.62082706077</v>
      </c>
      <c r="C46" s="13">
        <f>'2000-20'!$R47</f>
        <v>904626.73112282471</v>
      </c>
      <c r="D46" s="13">
        <f>'2000-30'!$R47</f>
        <v>2048499</v>
      </c>
      <c r="E46" s="13">
        <f>'2000-40'!$R47</f>
        <v>2048499</v>
      </c>
      <c r="F46" s="13">
        <f>'2000-50'!$R47</f>
        <v>2048499</v>
      </c>
      <c r="G46" s="13">
        <f>'2000-60'!$R47</f>
        <v>2048499</v>
      </c>
      <c r="H46" s="13">
        <f>'2000-70'!$R47</f>
        <v>2048499</v>
      </c>
      <c r="I46" s="13">
        <f>'2000-80'!$R47</f>
        <v>2048499</v>
      </c>
      <c r="J46" s="13">
        <f>'2000-90'!$R47</f>
        <v>2048499</v>
      </c>
      <c r="L46" s="13">
        <f t="shared" si="6"/>
        <v>225620.62082706077</v>
      </c>
      <c r="M46" s="13">
        <f t="shared" si="7"/>
        <v>679006.11029576394</v>
      </c>
      <c r="N46" s="13">
        <f t="shared" si="8"/>
        <v>1143872.2688771752</v>
      </c>
      <c r="O46" s="13">
        <f t="shared" si="9"/>
        <v>0</v>
      </c>
      <c r="P46" s="13">
        <f t="shared" si="10"/>
        <v>0</v>
      </c>
      <c r="Q46" s="13">
        <f t="shared" si="11"/>
        <v>0</v>
      </c>
      <c r="R46" s="13">
        <f t="shared" si="0"/>
        <v>0</v>
      </c>
      <c r="S46" s="13">
        <f t="shared" si="1"/>
        <v>0</v>
      </c>
      <c r="T46" s="13">
        <f t="shared" si="2"/>
        <v>0</v>
      </c>
      <c r="U46" s="13"/>
      <c r="V46" s="13">
        <f t="shared" si="12"/>
        <v>2048499</v>
      </c>
      <c r="X46" s="13">
        <f t="shared" si="26"/>
        <v>342236.60026257124</v>
      </c>
      <c r="Y46" s="18">
        <f t="shared" si="13"/>
        <v>1</v>
      </c>
      <c r="Z46" s="18" t="str">
        <f t="shared" si="14"/>
        <v>San Francisco</v>
      </c>
      <c r="AA46" s="18">
        <f t="shared" si="15"/>
        <v>1</v>
      </c>
      <c r="AB46" s="18">
        <f t="shared" si="21"/>
        <v>1</v>
      </c>
      <c r="AC46" s="18">
        <f t="shared" si="22"/>
        <v>1</v>
      </c>
      <c r="AD46" s="18">
        <f t="shared" si="23"/>
        <v>4</v>
      </c>
      <c r="AE46" s="18">
        <f t="shared" si="24"/>
        <v>8</v>
      </c>
      <c r="AF46" s="18">
        <f t="shared" si="25"/>
        <v>9</v>
      </c>
      <c r="AG46" s="18" t="str">
        <f t="shared" si="5"/>
        <v>San Francisco</v>
      </c>
    </row>
    <row r="47" spans="1:33">
      <c r="A47" s="18" t="s">
        <v>86</v>
      </c>
      <c r="B47" s="13">
        <f>'2000-10'!R48</f>
        <v>165044.43695978055</v>
      </c>
      <c r="C47" s="13">
        <f>'2000-20'!$R48</f>
        <v>685650.69980338193</v>
      </c>
      <c r="D47" s="13">
        <f>'2000-30'!$R48</f>
        <v>1042998</v>
      </c>
      <c r="E47" s="13">
        <f>'2000-40'!$R48</f>
        <v>1042998</v>
      </c>
      <c r="F47" s="13">
        <f>'2000-50'!$R48</f>
        <v>1042998</v>
      </c>
      <c r="G47" s="13">
        <f>'2000-60'!$R48</f>
        <v>1042998</v>
      </c>
      <c r="H47" s="13">
        <f>'2000-70'!$R48</f>
        <v>1042998</v>
      </c>
      <c r="I47" s="13">
        <f>'2000-80'!$R48</f>
        <v>1042998</v>
      </c>
      <c r="J47" s="13">
        <f>'2000-90'!$R48</f>
        <v>1042998</v>
      </c>
      <c r="L47" s="13">
        <f t="shared" si="6"/>
        <v>165044.43695978055</v>
      </c>
      <c r="M47" s="13">
        <f t="shared" si="7"/>
        <v>520606.26284360141</v>
      </c>
      <c r="N47" s="13">
        <f t="shared" si="8"/>
        <v>357347.30019661807</v>
      </c>
      <c r="O47" s="13">
        <f t="shared" si="9"/>
        <v>0</v>
      </c>
      <c r="P47" s="13">
        <f t="shared" si="10"/>
        <v>0</v>
      </c>
      <c r="Q47" s="13">
        <f t="shared" si="11"/>
        <v>0</v>
      </c>
      <c r="R47" s="13">
        <f t="shared" si="0"/>
        <v>0</v>
      </c>
      <c r="S47" s="13">
        <f t="shared" si="1"/>
        <v>0</v>
      </c>
      <c r="T47" s="13">
        <f t="shared" si="2"/>
        <v>0</v>
      </c>
      <c r="U47" s="13"/>
      <c r="V47" s="13">
        <f t="shared" si="12"/>
        <v>1042998</v>
      </c>
      <c r="X47" s="13">
        <f t="shared" si="26"/>
        <v>211685.6532941162</v>
      </c>
      <c r="Y47" s="18">
        <f t="shared" si="13"/>
        <v>6</v>
      </c>
      <c r="Z47" s="18" t="str">
        <f t="shared" si="14"/>
        <v>San Jose</v>
      </c>
      <c r="AA47" s="18">
        <f t="shared" si="15"/>
        <v>2</v>
      </c>
      <c r="AB47" s="18">
        <f t="shared" si="21"/>
        <v>2</v>
      </c>
      <c r="AC47" s="18">
        <f t="shared" si="22"/>
        <v>8</v>
      </c>
      <c r="AD47" s="18">
        <f t="shared" si="23"/>
        <v>20</v>
      </c>
      <c r="AE47" s="18">
        <f t="shared" si="24"/>
        <v>21</v>
      </c>
      <c r="AF47" s="18">
        <f t="shared" si="25"/>
        <v>21</v>
      </c>
      <c r="AG47" s="18" t="str">
        <f t="shared" si="5"/>
        <v>San Jose</v>
      </c>
    </row>
    <row r="48" spans="1:33">
      <c r="A48" s="18" t="s">
        <v>56</v>
      </c>
      <c r="B48" s="13">
        <f>'2000-10'!R49</f>
        <v>90377.587153207656</v>
      </c>
      <c r="C48" s="13">
        <f>'2000-20'!$R49</f>
        <v>361348.46374000947</v>
      </c>
      <c r="D48" s="13">
        <f>'2000-30'!$R49</f>
        <v>816532.63540650415</v>
      </c>
      <c r="E48" s="13">
        <f>'2000-40'!$R49</f>
        <v>1462959.5415133936</v>
      </c>
      <c r="F48" s="13">
        <f>'2000-50'!$R49</f>
        <v>1481715</v>
      </c>
      <c r="G48" s="13">
        <f>'2000-60'!$R49</f>
        <v>1481715</v>
      </c>
      <c r="H48" s="13">
        <f>'2000-70'!$R49</f>
        <v>1481715</v>
      </c>
      <c r="I48" s="13">
        <f>'2000-80'!$R49</f>
        <v>1481715</v>
      </c>
      <c r="J48" s="13">
        <f>'2000-90'!$R49</f>
        <v>1481715</v>
      </c>
      <c r="L48" s="13">
        <f t="shared" si="6"/>
        <v>90377.587153207656</v>
      </c>
      <c r="M48" s="13">
        <f t="shared" si="7"/>
        <v>270970.87658680184</v>
      </c>
      <c r="N48" s="13">
        <f t="shared" si="8"/>
        <v>455184.17166649469</v>
      </c>
      <c r="O48" s="13">
        <f t="shared" si="9"/>
        <v>646426.90610688948</v>
      </c>
      <c r="P48" s="13">
        <f t="shared" si="10"/>
        <v>18755.458486606367</v>
      </c>
      <c r="Q48" s="13">
        <f t="shared" si="11"/>
        <v>0</v>
      </c>
      <c r="R48" s="13">
        <f t="shared" si="0"/>
        <v>0</v>
      </c>
      <c r="S48" s="13">
        <f t="shared" si="1"/>
        <v>0</v>
      </c>
      <c r="T48" s="13">
        <f t="shared" si="2"/>
        <v>0</v>
      </c>
      <c r="U48" s="13"/>
      <c r="V48" s="13">
        <f t="shared" si="12"/>
        <v>1481715.0000000002</v>
      </c>
      <c r="X48" s="13">
        <f t="shared" si="26"/>
        <v>163304.024107787</v>
      </c>
      <c r="Y48" s="18">
        <f t="shared" si="13"/>
        <v>14</v>
      </c>
      <c r="Z48" s="18" t="str">
        <f t="shared" si="14"/>
        <v>Seattle</v>
      </c>
      <c r="AA48" s="18">
        <f t="shared" si="15"/>
        <v>26</v>
      </c>
      <c r="AB48" s="18">
        <f t="shared" si="21"/>
        <v>32</v>
      </c>
      <c r="AC48" s="18">
        <f t="shared" si="22"/>
        <v>18</v>
      </c>
      <c r="AD48" s="18">
        <f t="shared" si="23"/>
        <v>11</v>
      </c>
      <c r="AE48" s="18">
        <f t="shared" si="24"/>
        <v>14</v>
      </c>
      <c r="AF48" s="18">
        <f t="shared" si="25"/>
        <v>14</v>
      </c>
      <c r="AG48" s="18" t="str">
        <f t="shared" si="5"/>
        <v>Seattle</v>
      </c>
    </row>
    <row r="49" spans="1:33">
      <c r="A49" s="18" t="s">
        <v>76</v>
      </c>
      <c r="B49" s="13">
        <f>'2000-10'!R50</f>
        <v>90130.656429136419</v>
      </c>
      <c r="C49" s="13">
        <f>'2000-20'!$R50</f>
        <v>395285.7516417508</v>
      </c>
      <c r="D49" s="13">
        <f>'2000-30'!$R50</f>
        <v>917913.04181061895</v>
      </c>
      <c r="E49" s="13">
        <f>'2000-40'!$R50</f>
        <v>1485934</v>
      </c>
      <c r="F49" s="13">
        <f>'2000-50'!$R50</f>
        <v>1485934</v>
      </c>
      <c r="G49" s="13">
        <f>'2000-60'!$R50</f>
        <v>1485934</v>
      </c>
      <c r="H49" s="13">
        <f>'2000-70'!$R50</f>
        <v>1485934</v>
      </c>
      <c r="I49" s="13">
        <f>'2000-80'!$R50</f>
        <v>1485934</v>
      </c>
      <c r="J49" s="13">
        <f>'2000-90'!$R50</f>
        <v>1485934</v>
      </c>
      <c r="L49" s="13">
        <f t="shared" si="6"/>
        <v>90130.656429136419</v>
      </c>
      <c r="M49" s="13">
        <f t="shared" si="7"/>
        <v>305155.0952126144</v>
      </c>
      <c r="N49" s="13">
        <f t="shared" si="8"/>
        <v>522627.29016886814</v>
      </c>
      <c r="O49" s="13">
        <f t="shared" si="9"/>
        <v>568020.95818938105</v>
      </c>
      <c r="P49" s="13">
        <f t="shared" si="10"/>
        <v>0</v>
      </c>
      <c r="Q49" s="13">
        <f t="shared" si="11"/>
        <v>0</v>
      </c>
      <c r="R49" s="13">
        <f t="shared" si="0"/>
        <v>0</v>
      </c>
      <c r="S49" s="13">
        <f t="shared" si="1"/>
        <v>0</v>
      </c>
      <c r="T49" s="13">
        <f t="shared" si="2"/>
        <v>0</v>
      </c>
      <c r="U49" s="13"/>
      <c r="V49" s="13">
        <f t="shared" si="12"/>
        <v>1485934</v>
      </c>
      <c r="X49" s="13">
        <f t="shared" si="26"/>
        <v>172673.52991927764</v>
      </c>
      <c r="Y49" s="18">
        <f t="shared" si="13"/>
        <v>12</v>
      </c>
      <c r="Z49" s="18" t="str">
        <f t="shared" si="14"/>
        <v>South Florida</v>
      </c>
      <c r="AA49" s="18">
        <f t="shared" si="15"/>
        <v>27</v>
      </c>
      <c r="AB49" s="18">
        <f t="shared" si="21"/>
        <v>25</v>
      </c>
      <c r="AC49" s="18">
        <f t="shared" si="22"/>
        <v>10</v>
      </c>
      <c r="AD49" s="18">
        <f t="shared" si="23"/>
        <v>9</v>
      </c>
      <c r="AE49" s="18">
        <f t="shared" si="24"/>
        <v>13</v>
      </c>
      <c r="AF49" s="18">
        <f t="shared" si="25"/>
        <v>13</v>
      </c>
      <c r="AG49" s="18" t="str">
        <f t="shared" si="5"/>
        <v>South Florida</v>
      </c>
    </row>
    <row r="50" spans="1:33">
      <c r="A50" s="18" t="s">
        <v>57</v>
      </c>
      <c r="B50" s="13">
        <f>'2000-10'!R51</f>
        <v>76186.347702959538</v>
      </c>
      <c r="C50" s="13">
        <f>'2000-20'!$R51</f>
        <v>328248.7088759474</v>
      </c>
      <c r="D50" s="13">
        <f>'2000-30'!$R51</f>
        <v>778592.74549232842</v>
      </c>
      <c r="E50" s="13">
        <f>'2000-40'!$R51</f>
        <v>1220621</v>
      </c>
      <c r="F50" s="13">
        <f>'2000-50'!$R51</f>
        <v>1220621</v>
      </c>
      <c r="G50" s="13">
        <f>'2000-60'!$R51</f>
        <v>1220621</v>
      </c>
      <c r="H50" s="13">
        <f>'2000-70'!$R51</f>
        <v>1220621</v>
      </c>
      <c r="I50" s="13">
        <f>'2000-80'!$R51</f>
        <v>1220621</v>
      </c>
      <c r="J50" s="13">
        <f>'2000-90'!$R51</f>
        <v>1220621</v>
      </c>
      <c r="L50" s="13">
        <f t="shared" si="6"/>
        <v>76186.347702959538</v>
      </c>
      <c r="M50" s="13">
        <f t="shared" si="7"/>
        <v>252062.36117298785</v>
      </c>
      <c r="N50" s="13">
        <f t="shared" si="8"/>
        <v>450344.03661638102</v>
      </c>
      <c r="O50" s="13">
        <f t="shared" si="9"/>
        <v>442028.25450767158</v>
      </c>
      <c r="P50" s="13">
        <f t="shared" si="10"/>
        <v>0</v>
      </c>
      <c r="Q50" s="13">
        <f t="shared" si="11"/>
        <v>0</v>
      </c>
      <c r="R50" s="13">
        <f t="shared" si="0"/>
        <v>0</v>
      </c>
      <c r="S50" s="13">
        <f t="shared" si="1"/>
        <v>0</v>
      </c>
      <c r="T50" s="13">
        <f t="shared" si="2"/>
        <v>0</v>
      </c>
      <c r="U50" s="13"/>
      <c r="V50" s="13">
        <f t="shared" si="12"/>
        <v>1220621</v>
      </c>
      <c r="X50" s="13">
        <f t="shared" si="26"/>
        <v>143995.58088395593</v>
      </c>
      <c r="Y50" s="18">
        <f t="shared" si="13"/>
        <v>28</v>
      </c>
      <c r="Z50" s="18" t="str">
        <f t="shared" si="14"/>
        <v>St. Louis</v>
      </c>
      <c r="AA50" s="18">
        <f t="shared" si="15"/>
        <v>41</v>
      </c>
      <c r="AB50" s="18">
        <f t="shared" si="21"/>
        <v>38</v>
      </c>
      <c r="AC50" s="18">
        <f t="shared" si="22"/>
        <v>24</v>
      </c>
      <c r="AD50" s="18">
        <f t="shared" si="23"/>
        <v>15</v>
      </c>
      <c r="AE50" s="18">
        <f t="shared" si="24"/>
        <v>16</v>
      </c>
      <c r="AF50" s="18">
        <f t="shared" si="25"/>
        <v>16</v>
      </c>
      <c r="AG50" s="18" t="str">
        <f t="shared" si="5"/>
        <v>St. Louis</v>
      </c>
    </row>
    <row r="51" spans="1:33">
      <c r="A51" s="18" t="s">
        <v>71</v>
      </c>
      <c r="B51" s="13">
        <f>'2000-10'!R52</f>
        <v>53011.942818767238</v>
      </c>
      <c r="C51" s="13">
        <f>'2000-20'!$R52</f>
        <v>228331.03865435542</v>
      </c>
      <c r="D51" s="13">
        <f>'2000-30'!$R52</f>
        <v>534028.07356863981</v>
      </c>
      <c r="E51" s="13">
        <f>'2000-40'!$R52</f>
        <v>972301.98096668778</v>
      </c>
      <c r="F51" s="13">
        <f>'2000-50'!$R52</f>
        <v>1042912</v>
      </c>
      <c r="G51" s="13">
        <f>'2000-60'!$R52</f>
        <v>1042912</v>
      </c>
      <c r="H51" s="13">
        <f>'2000-70'!$R52</f>
        <v>1042912</v>
      </c>
      <c r="I51" s="13">
        <f>'2000-80'!$R52</f>
        <v>1042912</v>
      </c>
      <c r="J51" s="13">
        <f>'2000-90'!$R52</f>
        <v>1042912</v>
      </c>
      <c r="L51" s="13">
        <f t="shared" si="6"/>
        <v>53011.942818767238</v>
      </c>
      <c r="M51" s="13">
        <f t="shared" si="7"/>
        <v>175319.09583558817</v>
      </c>
      <c r="N51" s="13">
        <f t="shared" si="8"/>
        <v>305697.03491428436</v>
      </c>
      <c r="O51" s="13">
        <f t="shared" si="9"/>
        <v>438273.90739804797</v>
      </c>
      <c r="P51" s="13">
        <f t="shared" si="10"/>
        <v>70610.019033312215</v>
      </c>
      <c r="Q51" s="13">
        <f t="shared" si="11"/>
        <v>0</v>
      </c>
      <c r="R51" s="13">
        <f t="shared" si="0"/>
        <v>0</v>
      </c>
      <c r="S51" s="13">
        <f t="shared" si="1"/>
        <v>0</v>
      </c>
      <c r="T51" s="13">
        <f t="shared" si="2"/>
        <v>0</v>
      </c>
      <c r="U51" s="13"/>
      <c r="V51" s="13">
        <f t="shared" si="12"/>
        <v>1042912</v>
      </c>
      <c r="X51" s="13">
        <f t="shared" si="26"/>
        <v>106106.60369613617</v>
      </c>
      <c r="Y51" s="18">
        <f t="shared" si="13"/>
        <v>44</v>
      </c>
      <c r="Z51" s="18" t="str">
        <f t="shared" si="14"/>
        <v>Tampa Bay</v>
      </c>
      <c r="AA51" s="18">
        <f t="shared" si="15"/>
        <v>49</v>
      </c>
      <c r="AB51" s="18">
        <f t="shared" si="21"/>
        <v>51</v>
      </c>
      <c r="AC51" s="18">
        <f t="shared" si="22"/>
        <v>44</v>
      </c>
      <c r="AD51" s="18">
        <f t="shared" si="23"/>
        <v>23</v>
      </c>
      <c r="AE51" s="18">
        <f t="shared" si="24"/>
        <v>22</v>
      </c>
      <c r="AF51" s="18">
        <f t="shared" si="25"/>
        <v>22</v>
      </c>
      <c r="AG51" s="18" t="str">
        <f t="shared" si="5"/>
        <v>Tampa Bay</v>
      </c>
    </row>
    <row r="52" spans="1:33">
      <c r="A52" s="18" t="s">
        <v>59</v>
      </c>
      <c r="B52" s="13">
        <f>'2000-10'!R53</f>
        <v>78450.671571825893</v>
      </c>
      <c r="C52" s="13">
        <f>'2000-20'!$R53</f>
        <v>342742.7522613394</v>
      </c>
      <c r="D52" s="13">
        <f>'2000-30'!$R53</f>
        <v>832937.8935741249</v>
      </c>
      <c r="E52" s="13">
        <f>'2000-40'!$R53</f>
        <v>1549330.9669608616</v>
      </c>
      <c r="F52" s="13">
        <f>'2000-50'!$R53</f>
        <v>2278636</v>
      </c>
      <c r="G52" s="13">
        <f>'2000-60'!$R53</f>
        <v>2278636</v>
      </c>
      <c r="H52" s="13">
        <f>'2000-70'!$R53</f>
        <v>2278636</v>
      </c>
      <c r="I52" s="13">
        <f>'2000-80'!$R53</f>
        <v>2278636</v>
      </c>
      <c r="J52" s="13">
        <f>'2000-90'!$R53</f>
        <v>2278636</v>
      </c>
      <c r="L52" s="13">
        <f t="shared" si="6"/>
        <v>78450.671571825893</v>
      </c>
      <c r="M52" s="13">
        <f t="shared" si="7"/>
        <v>264292.08068951347</v>
      </c>
      <c r="N52" s="13">
        <f t="shared" si="8"/>
        <v>490195.1413127855</v>
      </c>
      <c r="O52" s="13">
        <f t="shared" si="9"/>
        <v>716393.07338673668</v>
      </c>
      <c r="P52" s="13">
        <f t="shared" si="10"/>
        <v>729305.03303913842</v>
      </c>
      <c r="Q52" s="13">
        <f t="shared" si="11"/>
        <v>0</v>
      </c>
      <c r="R52" s="13">
        <f t="shared" si="0"/>
        <v>0</v>
      </c>
      <c r="S52" s="13">
        <f t="shared" si="1"/>
        <v>0</v>
      </c>
      <c r="T52" s="13">
        <f t="shared" si="2"/>
        <v>0</v>
      </c>
      <c r="U52" s="13"/>
      <c r="V52" s="13">
        <f t="shared" si="12"/>
        <v>2278636</v>
      </c>
      <c r="X52" s="13">
        <f t="shared" si="26"/>
        <v>175638.75795971445</v>
      </c>
      <c r="Y52" s="18">
        <f t="shared" si="13"/>
        <v>10</v>
      </c>
      <c r="Z52" s="18" t="str">
        <f t="shared" si="14"/>
        <v>Washington</v>
      </c>
      <c r="AA52" s="18">
        <f t="shared" si="15"/>
        <v>35</v>
      </c>
      <c r="AB52" s="18">
        <f t="shared" si="21"/>
        <v>34</v>
      </c>
      <c r="AC52" s="18">
        <f t="shared" si="22"/>
        <v>16</v>
      </c>
      <c r="AD52" s="18">
        <f t="shared" si="23"/>
        <v>8</v>
      </c>
      <c r="AE52" s="18">
        <f t="shared" si="24"/>
        <v>7</v>
      </c>
      <c r="AF52" s="18">
        <f t="shared" si="25"/>
        <v>7</v>
      </c>
      <c r="AG52" s="18" t="str">
        <f t="shared" si="5"/>
        <v>Washington</v>
      </c>
    </row>
    <row r="54" spans="1:33"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 s="18">
        <v>1</v>
      </c>
      <c r="S54" s="18">
        <v>1</v>
      </c>
      <c r="T54" s="18">
        <v>1</v>
      </c>
      <c r="X54" s="28">
        <f>L54*EXP(Beta*10)+M54*EXP(Beta*20)+N54*EXP(Beta*30)+O54*EXP(Beta*40)+P54*EXP(Beta*50)+Q54*EXP(Beta*60)</f>
        <v>0.80925102531740989</v>
      </c>
      <c r="AA54" t="s">
        <v>149</v>
      </c>
    </row>
    <row r="55" spans="1:33">
      <c r="A55" t="s">
        <v>145</v>
      </c>
      <c r="B55">
        <v>-0.08</v>
      </c>
      <c r="Y55" s="29" t="s">
        <v>150</v>
      </c>
      <c r="Z55" s="29" t="s">
        <v>130</v>
      </c>
      <c r="AA55" s="29">
        <f>AA1</f>
        <v>10</v>
      </c>
      <c r="AB55" s="29">
        <f t="shared" ref="AB55:AF55" si="27">AB1</f>
        <v>20</v>
      </c>
      <c r="AC55" s="29">
        <f t="shared" si="27"/>
        <v>30</v>
      </c>
      <c r="AD55" s="29">
        <f t="shared" si="27"/>
        <v>40</v>
      </c>
      <c r="AE55" s="29">
        <f t="shared" si="27"/>
        <v>50</v>
      </c>
      <c r="AF55" s="29">
        <f t="shared" si="27"/>
        <v>60</v>
      </c>
      <c r="AG55" t="s">
        <v>150</v>
      </c>
    </row>
    <row r="56" spans="1:33">
      <c r="Y56" s="18" t="str">
        <f>VLOOKUP($Z56,Y$2:$Z$52,2,FALSE)</f>
        <v>San Francisco</v>
      </c>
      <c r="Z56">
        <v>1</v>
      </c>
      <c r="AA56" t="str">
        <f>VLOOKUP($Z56,AA$2:$AG$52,8-AA$1/10,FALSE)</f>
        <v>San Francisco</v>
      </c>
      <c r="AB56" s="18" t="str">
        <f>VLOOKUP($Z56,AB$2:$AG$52,8-AB$1/10,FALSE)</f>
        <v>San Francisco</v>
      </c>
      <c r="AC56" s="18" t="str">
        <f>VLOOKUP($Z56,AC$2:$AG$52,8-AC$1/10,FALSE)</f>
        <v>San Francisco</v>
      </c>
      <c r="AD56" s="18" t="str">
        <f>VLOOKUP($Z56,AD$2:$AG$52,8-AD$1/10,FALSE)</f>
        <v>Los Angeles</v>
      </c>
      <c r="AE56" s="18" t="str">
        <f>VLOOKUP($Z56,AE$2:$AG$52,8-AE$1/10,FALSE)</f>
        <v>Los Angeles</v>
      </c>
      <c r="AF56" s="18" t="str">
        <f>VLOOKUP($Z56,AF$2:$AG$52,8-AF$1/10,FALSE)</f>
        <v>Los Angeles</v>
      </c>
      <c r="AG56" t="str">
        <f>Y56</f>
        <v>San Francisco</v>
      </c>
    </row>
    <row r="57" spans="1:33">
      <c r="A57" t="s">
        <v>147</v>
      </c>
      <c r="Y57" s="18" t="str">
        <f>VLOOKUP($Z57,Y$2:$Z$52,2,FALSE)</f>
        <v>Los Angeles</v>
      </c>
      <c r="Z57">
        <v>2</v>
      </c>
      <c r="AA57" s="18" t="str">
        <f>VLOOKUP($Z57,AA$2:$AG$52,8-AA$1/10,FALSE)</f>
        <v>San Jose</v>
      </c>
      <c r="AB57" s="18" t="str">
        <f>VLOOKUP($Z57,AB$2:$AG$52,8-AB$1/10,FALSE)</f>
        <v>San Jose</v>
      </c>
      <c r="AC57" s="18" t="str">
        <f>VLOOKUP($Z57,AC$2:$AG$52,8-AC$1/10,FALSE)</f>
        <v>Los Angeles</v>
      </c>
      <c r="AD57" s="18" t="str">
        <f>VLOOKUP($Z57,AD$2:$AG$52,8-AD$1/10,FALSE)</f>
        <v>Boston</v>
      </c>
      <c r="AE57" s="18" t="str">
        <f>VLOOKUP($Z57,AE$2:$AG$52,8-AE$1/10,FALSE)</f>
        <v>New York</v>
      </c>
      <c r="AF57" s="18" t="str">
        <f>VLOOKUP($Z57,AF$2:$AG$52,8-AF$1/10,FALSE)</f>
        <v>New York</v>
      </c>
      <c r="AG57" s="18" t="str">
        <f t="shared" ref="AG57:AG105" si="28">Y57</f>
        <v>Los Angeles</v>
      </c>
    </row>
    <row r="58" spans="1:33">
      <c r="Y58" s="18" t="str">
        <f>VLOOKUP($Z58,Y$2:$Z$52,2,FALSE)</f>
        <v>New York</v>
      </c>
      <c r="Z58">
        <v>3</v>
      </c>
      <c r="AA58" s="18" t="str">
        <f>VLOOKUP($Z58,AA$2:$AG$52,8-AA$1/10,FALSE)</f>
        <v>New Orleans</v>
      </c>
      <c r="AB58" s="18" t="str">
        <f>VLOOKUP($Z58,AB$2:$AG$52,8-AB$1/10,FALSE)</f>
        <v>Columbus</v>
      </c>
      <c r="AC58" s="18" t="str">
        <f>VLOOKUP($Z58,AC$2:$AG$52,8-AC$1/10,FALSE)</f>
        <v>Boston</v>
      </c>
      <c r="AD58" s="18" t="str">
        <f>VLOOKUP($Z58,AD$2:$AG$52,8-AD$1/10,FALSE)</f>
        <v>New York</v>
      </c>
      <c r="AE58" s="18" t="str">
        <f>VLOOKUP($Z58,AE$2:$AG$52,8-AE$1/10,FALSE)</f>
        <v>Boston</v>
      </c>
      <c r="AF58" s="18" t="str">
        <f>VLOOKUP($Z58,AF$2:$AG$52,8-AF$1/10,FALSE)</f>
        <v>Chicago</v>
      </c>
      <c r="AG58" s="18" t="str">
        <f t="shared" si="28"/>
        <v>New York</v>
      </c>
    </row>
    <row r="59" spans="1:33">
      <c r="Y59" s="18" t="str">
        <f>VLOOKUP($Z59,Y$2:$Z$52,2,FALSE)</f>
        <v>Boston</v>
      </c>
      <c r="Z59">
        <f>Z58+1</f>
        <v>4</v>
      </c>
      <c r="AA59" s="18" t="str">
        <f>VLOOKUP($Z59,AA$2:$AG$52,8-AA$1/10,FALSE)</f>
        <v>Los Angeles</v>
      </c>
      <c r="AB59" s="18" t="str">
        <f>VLOOKUP($Z59,AB$2:$AG$52,8-AB$1/10,FALSE)</f>
        <v>Los Angeles</v>
      </c>
      <c r="AC59" s="18" t="str">
        <f>VLOOKUP($Z59,AC$2:$AG$52,8-AC$1/10,FALSE)</f>
        <v>New York</v>
      </c>
      <c r="AD59" s="18" t="str">
        <f>VLOOKUP($Z59,AD$2:$AG$52,8-AD$1/10,FALSE)</f>
        <v>San Francisco</v>
      </c>
      <c r="AE59" s="18" t="str">
        <f>VLOOKUP($Z59,AE$2:$AG$52,8-AE$1/10,FALSE)</f>
        <v>Dallas-Fort Worth</v>
      </c>
      <c r="AF59" s="18" t="str">
        <f>VLOOKUP($Z59,AF$2:$AG$52,8-AF$1/10,FALSE)</f>
        <v>Boston</v>
      </c>
      <c r="AG59" s="18" t="str">
        <f t="shared" si="28"/>
        <v>Boston</v>
      </c>
    </row>
    <row r="60" spans="1:33">
      <c r="Y60" s="18" t="str">
        <f>VLOOKUP($Z60,Y$2:$Z$52,2,FALSE)</f>
        <v>Dallas-Fort Worth</v>
      </c>
      <c r="Z60" s="18">
        <f t="shared" ref="Z60:Z105" si="29">Z59+1</f>
        <v>5</v>
      </c>
      <c r="AA60" s="18" t="str">
        <f>VLOOKUP($Z60,AA$2:$AG$52,8-AA$1/10,FALSE)</f>
        <v>Columbus</v>
      </c>
      <c r="AB60" s="18" t="str">
        <f>VLOOKUP($Z60,AB$2:$AG$52,8-AB$1/10,FALSE)</f>
        <v>Cleveland</v>
      </c>
      <c r="AC60" s="18" t="str">
        <f>VLOOKUP($Z60,AC$2:$AG$52,8-AC$1/10,FALSE)</f>
        <v>Dallas-Fort Worth</v>
      </c>
      <c r="AD60" s="18" t="str">
        <f>VLOOKUP($Z60,AD$2:$AG$52,8-AD$1/10,FALSE)</f>
        <v>Dallas-Fort Worth</v>
      </c>
      <c r="AE60" s="18" t="str">
        <f>VLOOKUP($Z60,AE$2:$AG$52,8-AE$1/10,FALSE)</f>
        <v>Chicago</v>
      </c>
      <c r="AF60" s="18" t="str">
        <f>VLOOKUP($Z60,AF$2:$AG$52,8-AF$1/10,FALSE)</f>
        <v>Dallas-Fort Worth</v>
      </c>
      <c r="AG60" s="18" t="str">
        <f t="shared" si="28"/>
        <v>Dallas-Fort Worth</v>
      </c>
    </row>
    <row r="61" spans="1:33">
      <c r="Y61" s="18" t="str">
        <f>VLOOKUP($Z61,Y$2:$Z$52,2,FALSE)</f>
        <v>San Jose</v>
      </c>
      <c r="Z61" s="18">
        <f t="shared" si="29"/>
        <v>6</v>
      </c>
      <c r="AA61" s="18" t="str">
        <f>VLOOKUP($Z61,AA$2:$AG$52,8-AA$1/10,FALSE)</f>
        <v>Cleveland</v>
      </c>
      <c r="AB61" s="18" t="str">
        <f>VLOOKUP($Z61,AB$2:$AG$52,8-AB$1/10,FALSE)</f>
        <v>Raleigh</v>
      </c>
      <c r="AC61" s="18" t="str">
        <f>VLOOKUP($Z61,AC$2:$AG$52,8-AC$1/10,FALSE)</f>
        <v>Cleveland</v>
      </c>
      <c r="AD61" s="18" t="str">
        <f>VLOOKUP($Z61,AD$2:$AG$52,8-AD$1/10,FALSE)</f>
        <v>Minneapolis-St.Paul</v>
      </c>
      <c r="AE61" s="18" t="str">
        <f>VLOOKUP($Z61,AE$2:$AG$52,8-AE$1/10,FALSE)</f>
        <v>Philadelphia</v>
      </c>
      <c r="AF61" s="18" t="str">
        <f>VLOOKUP($Z61,AF$2:$AG$52,8-AF$1/10,FALSE)</f>
        <v>Philadelphia</v>
      </c>
      <c r="AG61" s="18" t="str">
        <f t="shared" si="28"/>
        <v>San Jose</v>
      </c>
    </row>
    <row r="62" spans="1:33">
      <c r="Y62" s="18" t="str">
        <f>VLOOKUP($Z62,Y$2:$Z$52,2,FALSE)</f>
        <v>Chicago</v>
      </c>
      <c r="Z62" s="18">
        <f t="shared" si="29"/>
        <v>7</v>
      </c>
      <c r="AA62" s="18" t="str">
        <f>VLOOKUP($Z62,AA$2:$AG$52,8-AA$1/10,FALSE)</f>
        <v>Raleigh</v>
      </c>
      <c r="AB62" s="18" t="str">
        <f>VLOOKUP($Z62,AB$2:$AG$52,8-AB$1/10,FALSE)</f>
        <v>Boston</v>
      </c>
      <c r="AC62" s="18" t="str">
        <f>VLOOKUP($Z62,AC$2:$AG$52,8-AC$1/10,FALSE)</f>
        <v>Minneapolis-St.Paul</v>
      </c>
      <c r="AD62" s="18" t="str">
        <f>VLOOKUP($Z62,AD$2:$AG$52,8-AD$1/10,FALSE)</f>
        <v>Chicago</v>
      </c>
      <c r="AE62" s="18" t="str">
        <f>VLOOKUP($Z62,AE$2:$AG$52,8-AE$1/10,FALSE)</f>
        <v>Washington</v>
      </c>
      <c r="AF62" s="18" t="str">
        <f>VLOOKUP($Z62,AF$2:$AG$52,8-AF$1/10,FALSE)</f>
        <v>Washington</v>
      </c>
      <c r="AG62" s="18" t="str">
        <f t="shared" si="28"/>
        <v>Chicago</v>
      </c>
    </row>
    <row r="63" spans="1:33">
      <c r="Y63" s="18" t="str">
        <f>VLOOKUP($Z63,Y$2:$Z$52,2,FALSE)</f>
        <v>Cleveland</v>
      </c>
      <c r="Z63" s="18">
        <f t="shared" si="29"/>
        <v>8</v>
      </c>
      <c r="AA63" s="18" t="str">
        <f>VLOOKUP($Z63,AA$2:$AG$52,8-AA$1/10,FALSE)</f>
        <v>Grand Rapids</v>
      </c>
      <c r="AB63" s="18" t="str">
        <f>VLOOKUP($Z63,AB$2:$AG$52,8-AB$1/10,FALSE)</f>
        <v>New Orleans</v>
      </c>
      <c r="AC63" s="18" t="str">
        <f>VLOOKUP($Z63,AC$2:$AG$52,8-AC$1/10,FALSE)</f>
        <v>San Jose</v>
      </c>
      <c r="AD63" s="18" t="str">
        <f>VLOOKUP($Z63,AD$2:$AG$52,8-AD$1/10,FALSE)</f>
        <v>Washington</v>
      </c>
      <c r="AE63" s="18" t="str">
        <f>VLOOKUP($Z63,AE$2:$AG$52,8-AE$1/10,FALSE)</f>
        <v>San Francisco</v>
      </c>
      <c r="AF63" s="18" t="str">
        <f>VLOOKUP($Z63,AF$2:$AG$52,8-AF$1/10,FALSE)</f>
        <v>Atlanta</v>
      </c>
      <c r="AG63" s="18" t="str">
        <f t="shared" si="28"/>
        <v>Cleveland</v>
      </c>
    </row>
    <row r="64" spans="1:33">
      <c r="Y64" s="18" t="str">
        <f>VLOOKUP($Z64,Y$2:$Z$52,2,FALSE)</f>
        <v>Minneapolis-St.Paul</v>
      </c>
      <c r="Z64" s="18">
        <f t="shared" si="29"/>
        <v>9</v>
      </c>
      <c r="AA64" s="18" t="str">
        <f>VLOOKUP($Z64,AA$2:$AG$52,8-AA$1/10,FALSE)</f>
        <v>Boston</v>
      </c>
      <c r="AB64" s="18" t="str">
        <f>VLOOKUP($Z64,AB$2:$AG$52,8-AB$1/10,FALSE)</f>
        <v>Grand Rapids</v>
      </c>
      <c r="AC64" s="18" t="str">
        <f>VLOOKUP($Z64,AC$2:$AG$52,8-AC$1/10,FALSE)</f>
        <v>Baltimore</v>
      </c>
      <c r="AD64" s="18" t="str">
        <f>VLOOKUP($Z64,AD$2:$AG$52,8-AD$1/10,FALSE)</f>
        <v>South Florida</v>
      </c>
      <c r="AE64" s="18" t="str">
        <f>VLOOKUP($Z64,AE$2:$AG$52,8-AE$1/10,FALSE)</f>
        <v>Detroit</v>
      </c>
      <c r="AF64" s="18" t="str">
        <f>VLOOKUP($Z64,AF$2:$AG$52,8-AF$1/10,FALSE)</f>
        <v>San Francisco</v>
      </c>
      <c r="AG64" s="18" t="str">
        <f t="shared" si="28"/>
        <v>Minneapolis-St.Paul</v>
      </c>
    </row>
    <row r="65" spans="25:33" customFormat="1">
      <c r="Y65" s="18" t="str">
        <f>VLOOKUP($Z65,Y$2:$Z$52,2,FALSE)</f>
        <v>Washington</v>
      </c>
      <c r="Z65" s="18">
        <f t="shared" si="29"/>
        <v>10</v>
      </c>
      <c r="AA65" s="18" t="str">
        <f>VLOOKUP($Z65,AA$2:$AG$52,8-AA$1/10,FALSE)</f>
        <v>Honolulu</v>
      </c>
      <c r="AB65" s="18" t="str">
        <f>VLOOKUP($Z65,AB$2:$AG$52,8-AB$1/10,FALSE)</f>
        <v>New York</v>
      </c>
      <c r="AC65" s="18" t="str">
        <f>VLOOKUP($Z65,AC$2:$AG$52,8-AC$1/10,FALSE)</f>
        <v>South Florida</v>
      </c>
      <c r="AD65" s="18" t="str">
        <f>VLOOKUP($Z65,AD$2:$AG$52,8-AD$1/10,FALSE)</f>
        <v>Philadelphia</v>
      </c>
      <c r="AE65" s="18" t="str">
        <f>VLOOKUP($Z65,AE$2:$AG$52,8-AE$1/10,FALSE)</f>
        <v>Houston</v>
      </c>
      <c r="AF65" s="18" t="str">
        <f>VLOOKUP($Z65,AF$2:$AG$52,8-AF$1/10,FALSE)</f>
        <v>Detroit</v>
      </c>
      <c r="AG65" s="18" t="str">
        <f t="shared" si="28"/>
        <v>Washington</v>
      </c>
    </row>
    <row r="66" spans="25:33" customFormat="1">
      <c r="Y66" s="18" t="str">
        <f>VLOOKUP($Z66,Y$2:$Z$52,2,FALSE)</f>
        <v>Philadelphia</v>
      </c>
      <c r="Z66" s="18">
        <f t="shared" si="29"/>
        <v>11</v>
      </c>
      <c r="AA66" s="18" t="str">
        <f>VLOOKUP($Z66,AA$2:$AG$52,8-AA$1/10,FALSE)</f>
        <v>Salt Lake City</v>
      </c>
      <c r="AB66" s="18" t="str">
        <f>VLOOKUP($Z66,AB$2:$AG$52,8-AB$1/10,FALSE)</f>
        <v>Kansas City</v>
      </c>
      <c r="AC66" s="18" t="str">
        <f>VLOOKUP($Z66,AC$2:$AG$52,8-AC$1/10,FALSE)</f>
        <v>Denver</v>
      </c>
      <c r="AD66" s="18" t="str">
        <f>VLOOKUP($Z66,AD$2:$AG$52,8-AD$1/10,FALSE)</f>
        <v>Seattle</v>
      </c>
      <c r="AE66" s="18" t="str">
        <f>VLOOKUP($Z66,AE$2:$AG$52,8-AE$1/10,FALSE)</f>
        <v>Minneapolis-St.Paul</v>
      </c>
      <c r="AF66" s="18" t="str">
        <f>VLOOKUP($Z66,AF$2:$AG$52,8-AF$1/10,FALSE)</f>
        <v>Houston</v>
      </c>
      <c r="AG66" s="18" t="str">
        <f t="shared" si="28"/>
        <v>Philadelphia</v>
      </c>
    </row>
    <row r="67" spans="25:33" customFormat="1">
      <c r="Y67" s="18" t="str">
        <f>VLOOKUP($Z67,Y$2:$Z$52,2,FALSE)</f>
        <v>South Florida</v>
      </c>
      <c r="Z67" s="18">
        <f t="shared" si="29"/>
        <v>12</v>
      </c>
      <c r="AA67" s="18" t="str">
        <f>VLOOKUP($Z67,AA$2:$AG$52,8-AA$1/10,FALSE)</f>
        <v>Rochester</v>
      </c>
      <c r="AB67" s="18" t="str">
        <f>VLOOKUP($Z67,AB$2:$AG$52,8-AB$1/10,FALSE)</f>
        <v>Salt Lake City</v>
      </c>
      <c r="AC67" s="18" t="str">
        <f>VLOOKUP($Z67,AC$2:$AG$52,8-AC$1/10,FALSE)</f>
        <v>Kansas City</v>
      </c>
      <c r="AD67" s="18" t="str">
        <f>VLOOKUP($Z67,AD$2:$AG$52,8-AD$1/10,FALSE)</f>
        <v>Detroit</v>
      </c>
      <c r="AE67" s="18" t="str">
        <f>VLOOKUP($Z67,AE$2:$AG$52,8-AE$1/10,FALSE)</f>
        <v>Atlanta</v>
      </c>
      <c r="AF67" s="18" t="str">
        <f>VLOOKUP($Z67,AF$2:$AG$52,8-AF$1/10,FALSE)</f>
        <v>Minneapolis-St.Paul</v>
      </c>
      <c r="AG67" s="18" t="str">
        <f t="shared" si="28"/>
        <v>South Florida</v>
      </c>
    </row>
    <row r="68" spans="25:33" customFormat="1">
      <c r="Y68" s="18" t="str">
        <f>VLOOKUP($Z68,Y$2:$Z$52,2,FALSE)</f>
        <v>Columbus</v>
      </c>
      <c r="Z68" s="18">
        <f t="shared" si="29"/>
        <v>13</v>
      </c>
      <c r="AA68" s="18" t="str">
        <f>VLOOKUP($Z68,AA$2:$AG$52,8-AA$1/10,FALSE)</f>
        <v>Inland Empire</v>
      </c>
      <c r="AB68" s="18" t="str">
        <f>VLOOKUP($Z68,AB$2:$AG$52,8-AB$1/10,FALSE)</f>
        <v>Hartford</v>
      </c>
      <c r="AC68" s="18" t="str">
        <f>VLOOKUP($Z68,AC$2:$AG$52,8-AC$1/10,FALSE)</f>
        <v>Cincinnati</v>
      </c>
      <c r="AD68" s="18" t="str">
        <f>VLOOKUP($Z68,AD$2:$AG$52,8-AD$1/10,FALSE)</f>
        <v>Phoenix</v>
      </c>
      <c r="AE68" s="18" t="str">
        <f>VLOOKUP($Z68,AE$2:$AG$52,8-AE$1/10,FALSE)</f>
        <v>South Florida</v>
      </c>
      <c r="AF68" s="18" t="str">
        <f>VLOOKUP($Z68,AF$2:$AG$52,8-AF$1/10,FALSE)</f>
        <v>South Florida</v>
      </c>
      <c r="AG68" s="18" t="str">
        <f t="shared" si="28"/>
        <v>Columbus</v>
      </c>
    </row>
    <row r="69" spans="25:33" customFormat="1">
      <c r="Y69" s="18" t="str">
        <f>VLOOKUP($Z69,Y$2:$Z$52,2,FALSE)</f>
        <v>Seattle</v>
      </c>
      <c r="Z69" s="18">
        <f t="shared" si="29"/>
        <v>14</v>
      </c>
      <c r="AA69" s="18" t="str">
        <f>VLOOKUP($Z69,AA$2:$AG$52,8-AA$1/10,FALSE)</f>
        <v>Las Vegas</v>
      </c>
      <c r="AB69" s="18" t="str">
        <f>VLOOKUP($Z69,AB$2:$AG$52,8-AB$1/10,FALSE)</f>
        <v>Inland Empire</v>
      </c>
      <c r="AC69" s="18" t="str">
        <f>VLOOKUP($Z69,AC$2:$AG$52,8-AC$1/10,FALSE)</f>
        <v>Inland Empire</v>
      </c>
      <c r="AD69" s="18" t="str">
        <f>VLOOKUP($Z69,AD$2:$AG$52,8-AD$1/10,FALSE)</f>
        <v>Houston</v>
      </c>
      <c r="AE69" s="18" t="str">
        <f>VLOOKUP($Z69,AE$2:$AG$52,8-AE$1/10,FALSE)</f>
        <v>Seattle</v>
      </c>
      <c r="AF69" s="18" t="str">
        <f>VLOOKUP($Z69,AF$2:$AG$52,8-AF$1/10,FALSE)</f>
        <v>Seattle</v>
      </c>
      <c r="AG69" s="18" t="str">
        <f t="shared" si="28"/>
        <v>Seattle</v>
      </c>
    </row>
    <row r="70" spans="25:33" customFormat="1">
      <c r="Y70" s="18" t="str">
        <f>VLOOKUP($Z70,Y$2:$Z$52,2,FALSE)</f>
        <v>Detroit</v>
      </c>
      <c r="Z70" s="18">
        <f t="shared" si="29"/>
        <v>15</v>
      </c>
      <c r="AA70" s="18" t="str">
        <f>VLOOKUP($Z70,AA$2:$AG$52,8-AA$1/10,FALSE)</f>
        <v>New York</v>
      </c>
      <c r="AB70" s="18" t="str">
        <f>VLOOKUP($Z70,AB$2:$AG$52,8-AB$1/10,FALSE)</f>
        <v>Las Vegas</v>
      </c>
      <c r="AC70" s="18" t="str">
        <f>VLOOKUP($Z70,AC$2:$AG$52,8-AC$1/10,FALSE)</f>
        <v>Chicago</v>
      </c>
      <c r="AD70" s="18" t="str">
        <f>VLOOKUP($Z70,AD$2:$AG$52,8-AD$1/10,FALSE)</f>
        <v>St. Louis</v>
      </c>
      <c r="AE70" s="18" t="str">
        <f>VLOOKUP($Z70,AE$2:$AG$52,8-AE$1/10,FALSE)</f>
        <v>Phoenix</v>
      </c>
      <c r="AF70" s="18" t="str">
        <f>VLOOKUP($Z70,AF$2:$AG$52,8-AF$1/10,FALSE)</f>
        <v>Phoenix</v>
      </c>
      <c r="AG70" s="18" t="str">
        <f t="shared" si="28"/>
        <v>Detroit</v>
      </c>
    </row>
    <row r="71" spans="25:33" customFormat="1">
      <c r="Y71" s="18" t="str">
        <f>VLOOKUP($Z71,Y$2:$Z$52,2,FALSE)</f>
        <v>Kansas City</v>
      </c>
      <c r="Z71" s="18">
        <f t="shared" si="29"/>
        <v>16</v>
      </c>
      <c r="AA71" s="18" t="str">
        <f>VLOOKUP($Z71,AA$2:$AG$52,8-AA$1/10,FALSE)</f>
        <v>Kansas City</v>
      </c>
      <c r="AB71" s="18" t="str">
        <f>VLOOKUP($Z71,AB$2:$AG$52,8-AB$1/10,FALSE)</f>
        <v>Dallas-Fort Worth</v>
      </c>
      <c r="AC71" s="18" t="str">
        <f>VLOOKUP($Z71,AC$2:$AG$52,8-AC$1/10,FALSE)</f>
        <v>Washington</v>
      </c>
      <c r="AD71" s="18" t="str">
        <f>VLOOKUP($Z71,AD$2:$AG$52,8-AD$1/10,FALSE)</f>
        <v>San Diego</v>
      </c>
      <c r="AE71" s="18" t="str">
        <f>VLOOKUP($Z71,AE$2:$AG$52,8-AE$1/10,FALSE)</f>
        <v>St. Louis</v>
      </c>
      <c r="AF71" s="18" t="str">
        <f>VLOOKUP($Z71,AF$2:$AG$52,8-AF$1/10,FALSE)</f>
        <v>St. Louis</v>
      </c>
      <c r="AG71" s="18" t="str">
        <f t="shared" si="28"/>
        <v>Kansas City</v>
      </c>
    </row>
    <row r="72" spans="25:33" customFormat="1">
      <c r="Y72" s="18" t="str">
        <f>VLOOKUP($Z72,Y$2:$Z$52,2,FALSE)</f>
        <v>Baltimore</v>
      </c>
      <c r="Z72" s="18">
        <f t="shared" si="29"/>
        <v>17</v>
      </c>
      <c r="AA72" s="18" t="str">
        <f>VLOOKUP($Z72,AA$2:$AG$52,8-AA$1/10,FALSE)</f>
        <v>Dallas-Fort Worth</v>
      </c>
      <c r="AB72" s="18" t="str">
        <f>VLOOKUP($Z72,AB$2:$AG$52,8-AB$1/10,FALSE)</f>
        <v>Milwaukee</v>
      </c>
      <c r="AC72" s="18" t="str">
        <f>VLOOKUP($Z72,AC$2:$AG$52,8-AC$1/10,FALSE)</f>
        <v>Phoenix</v>
      </c>
      <c r="AD72" s="18" t="str">
        <f>VLOOKUP($Z72,AD$2:$AG$52,8-AD$1/10,FALSE)</f>
        <v>Denver</v>
      </c>
      <c r="AE72" s="18" t="str">
        <f>VLOOKUP($Z72,AE$2:$AG$52,8-AE$1/10,FALSE)</f>
        <v>San Diego</v>
      </c>
      <c r="AF72" s="18" t="str">
        <f>VLOOKUP($Z72,AF$2:$AG$52,8-AF$1/10,FALSE)</f>
        <v>San Diego</v>
      </c>
      <c r="AG72" s="18" t="str">
        <f t="shared" si="28"/>
        <v>Baltimore</v>
      </c>
    </row>
    <row r="73" spans="25:33" customFormat="1">
      <c r="Y73" s="18" t="str">
        <f>VLOOKUP($Z73,Y$2:$Z$52,2,FALSE)</f>
        <v>Inland Empire</v>
      </c>
      <c r="Z73" s="18">
        <f t="shared" si="29"/>
        <v>18</v>
      </c>
      <c r="AA73" s="18" t="str">
        <f>VLOOKUP($Z73,AA$2:$AG$52,8-AA$1/10,FALSE)</f>
        <v>Hartford</v>
      </c>
      <c r="AB73" s="18" t="str">
        <f>VLOOKUP($Z73,AB$2:$AG$52,8-AB$1/10,FALSE)</f>
        <v>Rochester</v>
      </c>
      <c r="AC73" s="18" t="str">
        <f>VLOOKUP($Z73,AC$2:$AG$52,8-AC$1/10,FALSE)</f>
        <v>Seattle</v>
      </c>
      <c r="AD73" s="18" t="str">
        <f>VLOOKUP($Z73,AD$2:$AG$52,8-AD$1/10,FALSE)</f>
        <v>Cleveland</v>
      </c>
      <c r="AE73" s="18" t="str">
        <f>VLOOKUP($Z73,AE$2:$AG$52,8-AE$1/10,FALSE)</f>
        <v>Denver</v>
      </c>
      <c r="AF73" s="18" t="str">
        <f>VLOOKUP($Z73,AF$2:$AG$52,8-AF$1/10,FALSE)</f>
        <v>Denver</v>
      </c>
      <c r="AG73" s="18" t="str">
        <f t="shared" si="28"/>
        <v>Inland Empire</v>
      </c>
    </row>
    <row r="74" spans="25:33" customFormat="1">
      <c r="Y74" s="18" t="str">
        <f>VLOOKUP($Z74,Y$2:$Z$52,2,FALSE)</f>
        <v>Denver</v>
      </c>
      <c r="Z74" s="18">
        <f t="shared" si="29"/>
        <v>19</v>
      </c>
      <c r="AA74" s="18" t="str">
        <f>VLOOKUP($Z74,AA$2:$AG$52,8-AA$1/10,FALSE)</f>
        <v>Milwaukee</v>
      </c>
      <c r="AB74" s="18" t="str">
        <f>VLOOKUP($Z74,AB$2:$AG$52,8-AB$1/10,FALSE)</f>
        <v>Minneapolis-St.Paul</v>
      </c>
      <c r="AC74" s="18" t="str">
        <f>VLOOKUP($Z74,AC$2:$AG$52,8-AC$1/10,FALSE)</f>
        <v>Charlotte</v>
      </c>
      <c r="AD74" s="18" t="str">
        <f>VLOOKUP($Z74,AD$2:$AG$52,8-AD$1/10,FALSE)</f>
        <v>Baltimore</v>
      </c>
      <c r="AE74" s="18" t="str">
        <f>VLOOKUP($Z74,AE$2:$AG$52,8-AE$1/10,FALSE)</f>
        <v>Cleveland</v>
      </c>
      <c r="AF74" s="18" t="str">
        <f>VLOOKUP($Z74,AF$2:$AG$52,8-AF$1/10,FALSE)</f>
        <v>Cleveland</v>
      </c>
      <c r="AG74" s="18" t="str">
        <f t="shared" si="28"/>
        <v>Denver</v>
      </c>
    </row>
    <row r="75" spans="25:33" customFormat="1">
      <c r="Y75" s="18" t="str">
        <f>VLOOKUP($Z75,Y$2:$Z$52,2,FALSE)</f>
        <v>Phoenix</v>
      </c>
      <c r="Z75" s="18">
        <f t="shared" si="29"/>
        <v>20</v>
      </c>
      <c r="AA75" s="18" t="str">
        <f>VLOOKUP($Z75,AA$2:$AG$52,8-AA$1/10,FALSE)</f>
        <v>Denver</v>
      </c>
      <c r="AB75" s="18" t="str">
        <f>VLOOKUP($Z75,AB$2:$AG$52,8-AB$1/10,FALSE)</f>
        <v>Charlotte</v>
      </c>
      <c r="AC75" s="18" t="str">
        <f>VLOOKUP($Z75,AC$2:$AG$52,8-AC$1/10,FALSE)</f>
        <v>Philadelphia</v>
      </c>
      <c r="AD75" s="18" t="str">
        <f>VLOOKUP($Z75,AD$2:$AG$52,8-AD$1/10,FALSE)</f>
        <v>San Jose</v>
      </c>
      <c r="AE75" s="18" t="str">
        <f>VLOOKUP($Z75,AE$2:$AG$52,8-AE$1/10,FALSE)</f>
        <v>Baltimore</v>
      </c>
      <c r="AF75" s="18" t="str">
        <f>VLOOKUP($Z75,AF$2:$AG$52,8-AF$1/10,FALSE)</f>
        <v>Baltimore</v>
      </c>
      <c r="AG75" s="18" t="str">
        <f t="shared" si="28"/>
        <v>Phoenix</v>
      </c>
    </row>
    <row r="76" spans="25:33" customFormat="1">
      <c r="Y76" s="18" t="str">
        <f>VLOOKUP($Z76,Y$2:$Z$52,2,FALSE)</f>
        <v>Raleigh</v>
      </c>
      <c r="Z76" s="18">
        <f t="shared" si="29"/>
        <v>21</v>
      </c>
      <c r="AA76" s="18" t="str">
        <f>VLOOKUP($Z76,AA$2:$AG$52,8-AA$1/10,FALSE)</f>
        <v>Minneapolis-St.Paul</v>
      </c>
      <c r="AB76" s="18" t="str">
        <f>VLOOKUP($Z76,AB$2:$AG$52,8-AB$1/10,FALSE)</f>
        <v>Baltimore</v>
      </c>
      <c r="AC76" s="18" t="str">
        <f>VLOOKUP($Z76,AC$2:$AG$52,8-AC$1/10,FALSE)</f>
        <v>Indianapolis</v>
      </c>
      <c r="AD76" s="18" t="str">
        <f>VLOOKUP($Z76,AD$2:$AG$52,8-AD$1/10,FALSE)</f>
        <v>Pittsburgh</v>
      </c>
      <c r="AE76" s="18" t="str">
        <f>VLOOKUP($Z76,AE$2:$AG$52,8-AE$1/10,FALSE)</f>
        <v>San Jose</v>
      </c>
      <c r="AF76" s="18" t="str">
        <f>VLOOKUP($Z76,AF$2:$AG$52,8-AF$1/10,FALSE)</f>
        <v>San Jose</v>
      </c>
      <c r="AG76" s="18" t="str">
        <f t="shared" si="28"/>
        <v>Raleigh</v>
      </c>
    </row>
    <row r="77" spans="25:33" customFormat="1">
      <c r="Y77" s="18" t="str">
        <f>VLOOKUP($Z77,Y$2:$Z$52,2,FALSE)</f>
        <v>Houston</v>
      </c>
      <c r="Z77" s="18">
        <f t="shared" si="29"/>
        <v>22</v>
      </c>
      <c r="AA77" s="18" t="str">
        <f>VLOOKUP($Z77,AA$2:$AG$52,8-AA$1/10,FALSE)</f>
        <v>Charlotte</v>
      </c>
      <c r="AB77" s="18" t="str">
        <f>VLOOKUP($Z77,AB$2:$AG$52,8-AB$1/10,FALSE)</f>
        <v>Buffalo</v>
      </c>
      <c r="AC77" s="18" t="str">
        <f>VLOOKUP($Z77,AC$2:$AG$52,8-AC$1/10,FALSE)</f>
        <v>Milwaukee</v>
      </c>
      <c r="AD77" s="18" t="str">
        <f>VLOOKUP($Z77,AD$2:$AG$52,8-AD$1/10,FALSE)</f>
        <v>Atlanta</v>
      </c>
      <c r="AE77" s="18" t="str">
        <f>VLOOKUP($Z77,AE$2:$AG$52,8-AE$1/10,FALSE)</f>
        <v>Tampa Bay</v>
      </c>
      <c r="AF77" s="18" t="str">
        <f>VLOOKUP($Z77,AF$2:$AG$52,8-AF$1/10,FALSE)</f>
        <v>Tampa Bay</v>
      </c>
      <c r="AG77" s="18" t="str">
        <f t="shared" si="28"/>
        <v>Houston</v>
      </c>
    </row>
    <row r="78" spans="25:33" customFormat="1">
      <c r="Y78" s="18" t="str">
        <f>VLOOKUP($Z78,Y$2:$Z$52,2,FALSE)</f>
        <v>Milwaukee</v>
      </c>
      <c r="Z78" s="18">
        <f t="shared" si="29"/>
        <v>23</v>
      </c>
      <c r="AA78" s="18" t="str">
        <f>VLOOKUP($Z78,AA$2:$AG$52,8-AA$1/10,FALSE)</f>
        <v>Buffalo</v>
      </c>
      <c r="AB78" s="18" t="str">
        <f>VLOOKUP($Z78,AB$2:$AG$52,8-AB$1/10,FALSE)</f>
        <v>Denver</v>
      </c>
      <c r="AC78" s="18" t="str">
        <f>VLOOKUP($Z78,AC$2:$AG$52,8-AC$1/10,FALSE)</f>
        <v>Detroit</v>
      </c>
      <c r="AD78" s="18" t="str">
        <f>VLOOKUP($Z78,AD$2:$AG$52,8-AD$1/10,FALSE)</f>
        <v>Tampa Bay</v>
      </c>
      <c r="AE78" s="18" t="str">
        <f>VLOOKUP($Z78,AE$2:$AG$52,8-AE$1/10,FALSE)</f>
        <v>Pittsburgh</v>
      </c>
      <c r="AF78" s="18" t="str">
        <f>VLOOKUP($Z78,AF$2:$AG$52,8-AF$1/10,FALSE)</f>
        <v>Pittsburgh</v>
      </c>
      <c r="AG78" s="18" t="str">
        <f t="shared" si="28"/>
        <v>Milwaukee</v>
      </c>
    </row>
    <row r="79" spans="25:33" customFormat="1">
      <c r="Y79" s="18" t="str">
        <f>VLOOKUP($Z79,Y$2:$Z$52,2,FALSE)</f>
        <v>New Orleans</v>
      </c>
      <c r="Z79" s="18">
        <f t="shared" si="29"/>
        <v>24</v>
      </c>
      <c r="AA79" s="18" t="str">
        <f>VLOOKUP($Z79,AA$2:$AG$52,8-AA$1/10,FALSE)</f>
        <v>Baltimore</v>
      </c>
      <c r="AB79" s="18" t="str">
        <f>VLOOKUP($Z79,AB$2:$AG$52,8-AB$1/10,FALSE)</f>
        <v>Providence</v>
      </c>
      <c r="AC79" s="18" t="str">
        <f>VLOOKUP($Z79,AC$2:$AG$52,8-AC$1/10,FALSE)</f>
        <v>St. Louis</v>
      </c>
      <c r="AD79" s="18" t="str">
        <f>VLOOKUP($Z79,AD$2:$AG$52,8-AD$1/10,FALSE)</f>
        <v>Cincinnati</v>
      </c>
      <c r="AE79" s="18" t="str">
        <f>VLOOKUP($Z79,AE$2:$AG$52,8-AE$1/10,FALSE)</f>
        <v>Cincinnati</v>
      </c>
      <c r="AF79" s="18" t="str">
        <f>VLOOKUP($Z79,AF$2:$AG$52,8-AF$1/10,FALSE)</f>
        <v>Cincinnati</v>
      </c>
      <c r="AG79" s="18" t="str">
        <f t="shared" si="28"/>
        <v>New Orleans</v>
      </c>
    </row>
    <row r="80" spans="25:33" customFormat="1">
      <c r="Y80" s="18" t="str">
        <f>VLOOKUP($Z80,Y$2:$Z$52,2,FALSE)</f>
        <v>Charlotte</v>
      </c>
      <c r="Z80" s="18">
        <f t="shared" si="29"/>
        <v>25</v>
      </c>
      <c r="AA80" s="18" t="str">
        <f>VLOOKUP($Z80,AA$2:$AG$52,8-AA$1/10,FALSE)</f>
        <v>Providence</v>
      </c>
      <c r="AB80" s="18" t="str">
        <f>VLOOKUP($Z80,AB$2:$AG$52,8-AB$1/10,FALSE)</f>
        <v>South Florida</v>
      </c>
      <c r="AC80" s="18" t="str">
        <f>VLOOKUP($Z80,AC$2:$AG$52,8-AC$1/10,FALSE)</f>
        <v>Columbus</v>
      </c>
      <c r="AD80" s="18" t="str">
        <f>VLOOKUP($Z80,AD$2:$AG$52,8-AD$1/10,FALSE)</f>
        <v>Kansas City</v>
      </c>
      <c r="AE80" s="18" t="str">
        <f>VLOOKUP($Z80,AE$2:$AG$52,8-AE$1/10,FALSE)</f>
        <v>Kansas City</v>
      </c>
      <c r="AF80" s="18" t="str">
        <f>VLOOKUP($Z80,AF$2:$AG$52,8-AF$1/10,FALSE)</f>
        <v>Kansas City</v>
      </c>
      <c r="AG80" s="18" t="str">
        <f t="shared" si="28"/>
        <v>Charlotte</v>
      </c>
    </row>
    <row r="81" spans="25:33" customFormat="1">
      <c r="Y81" s="18" t="str">
        <f>VLOOKUP($Z81,Y$2:$Z$52,2,FALSE)</f>
        <v>Las Vegas</v>
      </c>
      <c r="Z81" s="18">
        <f t="shared" si="29"/>
        <v>26</v>
      </c>
      <c r="AA81" s="18" t="str">
        <f>VLOOKUP($Z81,AA$2:$AG$52,8-AA$1/10,FALSE)</f>
        <v>Seattle</v>
      </c>
      <c r="AB81" s="18" t="str">
        <f>VLOOKUP($Z81,AB$2:$AG$52,8-AB$1/10,FALSE)</f>
        <v>San Antonio</v>
      </c>
      <c r="AC81" s="18" t="str">
        <f>VLOOKUP($Z81,AC$2:$AG$52,8-AC$1/10,FALSE)</f>
        <v>Pittsburgh</v>
      </c>
      <c r="AD81" s="18" t="str">
        <f>VLOOKUP($Z81,AD$2:$AG$52,8-AD$1/10,FALSE)</f>
        <v>Inland Empire</v>
      </c>
      <c r="AE81" s="18" t="str">
        <f>VLOOKUP($Z81,AE$2:$AG$52,8-AE$1/10,FALSE)</f>
        <v>Inland Empire</v>
      </c>
      <c r="AF81" s="18" t="str">
        <f>VLOOKUP($Z81,AF$2:$AG$52,8-AF$1/10,FALSE)</f>
        <v>Inland Empire</v>
      </c>
      <c r="AG81" s="18" t="str">
        <f t="shared" si="28"/>
        <v>Las Vegas</v>
      </c>
    </row>
    <row r="82" spans="25:33" customFormat="1">
      <c r="Y82" s="18" t="str">
        <f>VLOOKUP($Z82,Y$2:$Z$52,2,FALSE)</f>
        <v>Cincinnati</v>
      </c>
      <c r="Z82" s="18">
        <f t="shared" si="29"/>
        <v>27</v>
      </c>
      <c r="AA82" s="18" t="str">
        <f>VLOOKUP($Z82,AA$2:$AG$52,8-AA$1/10,FALSE)</f>
        <v>South Florida</v>
      </c>
      <c r="AB82" s="18" t="str">
        <f>VLOOKUP($Z82,AB$2:$AG$52,8-AB$1/10,FALSE)</f>
        <v>Oklahoma City</v>
      </c>
      <c r="AC82" s="18" t="str">
        <f>VLOOKUP($Z82,AC$2:$AG$52,8-AC$1/10,FALSE)</f>
        <v>Portland</v>
      </c>
      <c r="AD82" s="18" t="str">
        <f>VLOOKUP($Z82,AD$2:$AG$52,8-AD$1/10,FALSE)</f>
        <v>Portland</v>
      </c>
      <c r="AE82" s="18" t="str">
        <f>VLOOKUP($Z82,AE$2:$AG$52,8-AE$1/10,FALSE)</f>
        <v>Portland</v>
      </c>
      <c r="AF82" s="18" t="str">
        <f>VLOOKUP($Z82,AF$2:$AG$52,8-AF$1/10,FALSE)</f>
        <v>Portland</v>
      </c>
      <c r="AG82" s="18" t="str">
        <f t="shared" si="28"/>
        <v>Cincinnati</v>
      </c>
    </row>
    <row r="83" spans="25:33" customFormat="1">
      <c r="Y83" s="18" t="str">
        <f>VLOOKUP($Z83,Y$2:$Z$52,2,FALSE)</f>
        <v>St. Louis</v>
      </c>
      <c r="Z83" s="18">
        <f t="shared" si="29"/>
        <v>28</v>
      </c>
      <c r="AA83" s="18" t="str">
        <f>VLOOKUP($Z83,AA$2:$AG$52,8-AA$1/10,FALSE)</f>
        <v>San Antonio</v>
      </c>
      <c r="AB83" s="18" t="str">
        <f>VLOOKUP($Z83,AB$2:$AG$52,8-AB$1/10,FALSE)</f>
        <v>Cincinnati</v>
      </c>
      <c r="AC83" s="18" t="str">
        <f>VLOOKUP($Z83,AC$2:$AG$52,8-AC$1/10,FALSE)</f>
        <v>Houston</v>
      </c>
      <c r="AD83" s="18" t="str">
        <f>VLOOKUP($Z83,AD$2:$AG$52,8-AD$1/10,FALSE)</f>
        <v>Orlando</v>
      </c>
      <c r="AE83" s="18" t="str">
        <f>VLOOKUP($Z83,AE$2:$AG$52,8-AE$1/10,FALSE)</f>
        <v>Orlando</v>
      </c>
      <c r="AF83" s="18" t="str">
        <f>VLOOKUP($Z83,AF$2:$AG$52,8-AF$1/10,FALSE)</f>
        <v>Orlando</v>
      </c>
      <c r="AG83" s="18" t="str">
        <f t="shared" si="28"/>
        <v>St. Louis</v>
      </c>
    </row>
    <row r="84" spans="25:33" customFormat="1">
      <c r="Y84" s="18" t="str">
        <f>VLOOKUP($Z84,Y$2:$Z$52,2,FALSE)</f>
        <v>Salt Lake City</v>
      </c>
      <c r="Z84" s="18">
        <f t="shared" si="29"/>
        <v>29</v>
      </c>
      <c r="AA84" s="18" t="str">
        <f>VLOOKUP($Z84,AA$2:$AG$52,8-AA$1/10,FALSE)</f>
        <v>Austin</v>
      </c>
      <c r="AB84" s="18" t="str">
        <f>VLOOKUP($Z84,AB$2:$AG$52,8-AB$1/10,FALSE)</f>
        <v>Chicago</v>
      </c>
      <c r="AC84" s="18" t="str">
        <f>VLOOKUP($Z84,AC$2:$AG$52,8-AC$1/10,FALSE)</f>
        <v>Las Vegas</v>
      </c>
      <c r="AD84" s="18" t="str">
        <f>VLOOKUP($Z84,AD$2:$AG$52,8-AD$1/10,FALSE)</f>
        <v>Indianapolis</v>
      </c>
      <c r="AE84" s="18" t="str">
        <f>VLOOKUP($Z84,AE$2:$AG$52,8-AE$1/10,FALSE)</f>
        <v>Indianapolis</v>
      </c>
      <c r="AF84" s="18" t="str">
        <f>VLOOKUP($Z84,AF$2:$AG$52,8-AF$1/10,FALSE)</f>
        <v>Indianapolis</v>
      </c>
      <c r="AG84" s="18" t="str">
        <f t="shared" si="28"/>
        <v>Salt Lake City</v>
      </c>
    </row>
    <row r="85" spans="25:33" customFormat="1">
      <c r="Y85" s="18" t="str">
        <f>VLOOKUP($Z85,Y$2:$Z$52,2,FALSE)</f>
        <v>Grand Rapids</v>
      </c>
      <c r="Z85" s="18">
        <f t="shared" si="29"/>
        <v>30</v>
      </c>
      <c r="AA85" s="18" t="str">
        <f>VLOOKUP($Z85,AA$2:$AG$52,8-AA$1/10,FALSE)</f>
        <v>Oklahoma City</v>
      </c>
      <c r="AB85" s="18" t="str">
        <f>VLOOKUP($Z85,AB$2:$AG$52,8-AB$1/10,FALSE)</f>
        <v>Austin</v>
      </c>
      <c r="AC85" s="18" t="str">
        <f>VLOOKUP($Z85,AC$2:$AG$52,8-AC$1/10,FALSE)</f>
        <v>Orlando</v>
      </c>
      <c r="AD85" s="18" t="str">
        <f>VLOOKUP($Z85,AD$2:$AG$52,8-AD$1/10,FALSE)</f>
        <v>Charlotte</v>
      </c>
      <c r="AE85" s="18" t="str">
        <f>VLOOKUP($Z85,AE$2:$AG$52,8-AE$1/10,FALSE)</f>
        <v>Charlotte</v>
      </c>
      <c r="AF85" s="18" t="str">
        <f>VLOOKUP($Z85,AF$2:$AG$52,8-AF$1/10,FALSE)</f>
        <v>Charlotte</v>
      </c>
      <c r="AG85" s="18" t="str">
        <f t="shared" si="28"/>
        <v>Grand Rapids</v>
      </c>
    </row>
    <row r="86" spans="25:33" customFormat="1">
      <c r="Y86" s="18" t="str">
        <f>VLOOKUP($Z86,Y$2:$Z$52,2,FALSE)</f>
        <v>Hartford</v>
      </c>
      <c r="Z86" s="18">
        <f t="shared" si="29"/>
        <v>31</v>
      </c>
      <c r="AA86" s="18" t="str">
        <f>VLOOKUP($Z86,AA$2:$AG$52,8-AA$1/10,FALSE)</f>
        <v>Phoenix</v>
      </c>
      <c r="AB86" s="18" t="str">
        <f>VLOOKUP($Z86,AB$2:$AG$52,8-AB$1/10,FALSE)</f>
        <v>Nashville</v>
      </c>
      <c r="AC86" s="18" t="str">
        <f>VLOOKUP($Z86,AC$2:$AG$52,8-AC$1/10,FALSE)</f>
        <v>San Antonio</v>
      </c>
      <c r="AD86" s="18" t="str">
        <f>VLOOKUP($Z86,AD$2:$AG$52,8-AD$1/10,FALSE)</f>
        <v>Milwaukee</v>
      </c>
      <c r="AE86" s="18" t="str">
        <f>VLOOKUP($Z86,AE$2:$AG$52,8-AE$1/10,FALSE)</f>
        <v>Milwaukee</v>
      </c>
      <c r="AF86" s="18" t="str">
        <f>VLOOKUP($Z86,AF$2:$AG$52,8-AF$1/10,FALSE)</f>
        <v>Milwaukee</v>
      </c>
      <c r="AG86" s="18" t="str">
        <f t="shared" si="28"/>
        <v>Hartford</v>
      </c>
    </row>
    <row r="87" spans="25:33" customFormat="1">
      <c r="Y87" s="18" t="str">
        <f>VLOOKUP($Z87,Y$2:$Z$52,2,FALSE)</f>
        <v>Pittsburgh</v>
      </c>
      <c r="Z87" s="18">
        <f t="shared" si="29"/>
        <v>32</v>
      </c>
      <c r="AA87" s="18" t="str">
        <f>VLOOKUP($Z87,AA$2:$AG$52,8-AA$1/10,FALSE)</f>
        <v>Chicago</v>
      </c>
      <c r="AB87" s="18" t="str">
        <f>VLOOKUP($Z87,AB$2:$AG$52,8-AB$1/10,FALSE)</f>
        <v>Seattle</v>
      </c>
      <c r="AC87" s="18" t="str">
        <f>VLOOKUP($Z87,AC$2:$AG$52,8-AC$1/10,FALSE)</f>
        <v>Nashville</v>
      </c>
      <c r="AD87" s="18" t="str">
        <f>VLOOKUP($Z87,AD$2:$AG$52,8-AD$1/10,FALSE)</f>
        <v>Columbus</v>
      </c>
      <c r="AE87" s="18" t="str">
        <f>VLOOKUP($Z87,AE$2:$AG$52,8-AE$1/10,FALSE)</f>
        <v>Columbus</v>
      </c>
      <c r="AF87" s="18" t="str">
        <f>VLOOKUP($Z87,AF$2:$AG$52,8-AF$1/10,FALSE)</f>
        <v>Columbus</v>
      </c>
      <c r="AG87" s="18" t="str">
        <f t="shared" si="28"/>
        <v>Pittsburgh</v>
      </c>
    </row>
    <row r="88" spans="25:33" customFormat="1">
      <c r="Y88" s="18" t="str">
        <f>VLOOKUP($Z88,Y$2:$Z$52,2,FALSE)</f>
        <v>Indianapolis</v>
      </c>
      <c r="Z88" s="18">
        <f t="shared" si="29"/>
        <v>33</v>
      </c>
      <c r="AA88" s="18" t="str">
        <f>VLOOKUP($Z88,AA$2:$AG$52,8-AA$1/10,FALSE)</f>
        <v>Nashville</v>
      </c>
      <c r="AB88" s="18" t="str">
        <f>VLOOKUP($Z88,AB$2:$AG$52,8-AB$1/10,FALSE)</f>
        <v>Phoenix</v>
      </c>
      <c r="AC88" s="18" t="str">
        <f>VLOOKUP($Z88,AC$2:$AG$52,8-AC$1/10,FALSE)</f>
        <v>Providence</v>
      </c>
      <c r="AD88" s="18" t="str">
        <f>VLOOKUP($Z88,AD$2:$AG$52,8-AD$1/10,FALSE)</f>
        <v>Las Vegas</v>
      </c>
      <c r="AE88" s="18" t="str">
        <f>VLOOKUP($Z88,AE$2:$AG$52,8-AE$1/10,FALSE)</f>
        <v>Las Vegas</v>
      </c>
      <c r="AF88" s="18" t="str">
        <f>VLOOKUP($Z88,AF$2:$AG$52,8-AF$1/10,FALSE)</f>
        <v>Las Vegas</v>
      </c>
      <c r="AG88" s="18" t="str">
        <f t="shared" si="28"/>
        <v>Indianapolis</v>
      </c>
    </row>
    <row r="89" spans="25:33" customFormat="1">
      <c r="Y89" s="18" t="str">
        <f>VLOOKUP($Z89,Y$2:$Z$52,2,FALSE)</f>
        <v>Portland</v>
      </c>
      <c r="Z89" s="18">
        <f t="shared" si="29"/>
        <v>34</v>
      </c>
      <c r="AA89" s="18" t="str">
        <f>VLOOKUP($Z89,AA$2:$AG$52,8-AA$1/10,FALSE)</f>
        <v>Cincinnati</v>
      </c>
      <c r="AB89" s="18" t="str">
        <f>VLOOKUP($Z89,AB$2:$AG$52,8-AB$1/10,FALSE)</f>
        <v>Washington</v>
      </c>
      <c r="AC89" s="18" t="str">
        <f>VLOOKUP($Z89,AC$2:$AG$52,8-AC$1/10,FALSE)</f>
        <v>Raleigh</v>
      </c>
      <c r="AD89" s="18" t="str">
        <f>VLOOKUP($Z89,AD$2:$AG$52,8-AD$1/10,FALSE)</f>
        <v>San Antonio</v>
      </c>
      <c r="AE89" s="18" t="str">
        <f>VLOOKUP($Z89,AE$2:$AG$52,8-AE$1/10,FALSE)</f>
        <v>San Antonio</v>
      </c>
      <c r="AF89" s="18" t="str">
        <f>VLOOKUP($Z89,AF$2:$AG$52,8-AF$1/10,FALSE)</f>
        <v>San Antonio</v>
      </c>
      <c r="AG89" s="18" t="str">
        <f t="shared" si="28"/>
        <v>Portland</v>
      </c>
    </row>
    <row r="90" spans="25:33" customFormat="1">
      <c r="Y90" s="18" t="str">
        <f>VLOOKUP($Z90,Y$2:$Z$52,2,FALSE)</f>
        <v>Providence</v>
      </c>
      <c r="Z90" s="18">
        <f t="shared" si="29"/>
        <v>35</v>
      </c>
      <c r="AA90" s="18" t="str">
        <f>VLOOKUP($Z90,AA$2:$AG$52,8-AA$1/10,FALSE)</f>
        <v>Washington</v>
      </c>
      <c r="AB90" s="18" t="str">
        <f>VLOOKUP($Z90,AB$2:$AG$52,8-AB$1/10,FALSE)</f>
        <v>Philadelphia</v>
      </c>
      <c r="AC90" s="18" t="str">
        <f>VLOOKUP($Z90,AC$2:$AG$52,8-AC$1/10,FALSE)</f>
        <v>San Diego</v>
      </c>
      <c r="AD90" s="18" t="str">
        <f>VLOOKUP($Z90,AD$2:$AG$52,8-AD$1/10,FALSE)</f>
        <v>Nashville</v>
      </c>
      <c r="AE90" s="18" t="str">
        <f>VLOOKUP($Z90,AE$2:$AG$52,8-AE$1/10,FALSE)</f>
        <v>Nashville</v>
      </c>
      <c r="AF90" s="18" t="str">
        <f>VLOOKUP($Z90,AF$2:$AG$52,8-AF$1/10,FALSE)</f>
        <v>Nashville</v>
      </c>
      <c r="AG90" s="18" t="str">
        <f t="shared" si="28"/>
        <v>Providence</v>
      </c>
    </row>
    <row r="91" spans="25:33" customFormat="1">
      <c r="Y91" s="18" t="str">
        <f>VLOOKUP($Z91,Y$2:$Z$52,2,FALSE)</f>
        <v>Atlanta</v>
      </c>
      <c r="Z91" s="18">
        <f t="shared" si="29"/>
        <v>36</v>
      </c>
      <c r="AA91" s="18" t="str">
        <f>VLOOKUP($Z91,AA$2:$AG$52,8-AA$1/10,FALSE)</f>
        <v>Portland</v>
      </c>
      <c r="AB91" s="18" t="str">
        <f>VLOOKUP($Z91,AB$2:$AG$52,8-AB$1/10,FALSE)</f>
        <v>Indianapolis</v>
      </c>
      <c r="AC91" s="18" t="str">
        <f>VLOOKUP($Z91,AC$2:$AG$52,8-AC$1/10,FALSE)</f>
        <v>Salt Lake City</v>
      </c>
      <c r="AD91" s="18" t="str">
        <f>VLOOKUP($Z91,AD$2:$AG$52,8-AD$1/10,FALSE)</f>
        <v>Providence</v>
      </c>
      <c r="AE91" s="18" t="str">
        <f>VLOOKUP($Z91,AE$2:$AG$52,8-AE$1/10,FALSE)</f>
        <v>Providence</v>
      </c>
      <c r="AF91" s="18" t="str">
        <f>VLOOKUP($Z91,AF$2:$AG$52,8-AF$1/10,FALSE)</f>
        <v>Providence</v>
      </c>
      <c r="AG91" s="18" t="str">
        <f t="shared" si="28"/>
        <v>Atlanta</v>
      </c>
    </row>
    <row r="92" spans="25:33" customFormat="1">
      <c r="Y92" s="18" t="str">
        <f>VLOOKUP($Z92,Y$2:$Z$52,2,FALSE)</f>
        <v>San Antonio</v>
      </c>
      <c r="Z92" s="18">
        <f t="shared" si="29"/>
        <v>37</v>
      </c>
      <c r="AA92" s="18" t="str">
        <f>VLOOKUP($Z92,AA$2:$AG$52,8-AA$1/10,FALSE)</f>
        <v>Detroit</v>
      </c>
      <c r="AB92" s="18" t="str">
        <f>VLOOKUP($Z92,AB$2:$AG$52,8-AB$1/10,FALSE)</f>
        <v>Detroit</v>
      </c>
      <c r="AC92" s="18" t="str">
        <f>VLOOKUP($Z92,AC$2:$AG$52,8-AC$1/10,FALSE)</f>
        <v>Sacramento</v>
      </c>
      <c r="AD92" s="18" t="str">
        <f>VLOOKUP($Z92,AD$2:$AG$52,8-AD$1/10,FALSE)</f>
        <v>Raleigh</v>
      </c>
      <c r="AE92" s="18" t="str">
        <f>VLOOKUP($Z92,AE$2:$AG$52,8-AE$1/10,FALSE)</f>
        <v>Raleigh</v>
      </c>
      <c r="AF92" s="18" t="str">
        <f>VLOOKUP($Z92,AF$2:$AG$52,8-AF$1/10,FALSE)</f>
        <v>Raleigh</v>
      </c>
      <c r="AG92" s="18" t="str">
        <f t="shared" si="28"/>
        <v>San Antonio</v>
      </c>
    </row>
    <row r="93" spans="25:33" customFormat="1">
      <c r="Y93" s="18" t="str">
        <f>VLOOKUP($Z93,Y$2:$Z$52,2,FALSE)</f>
        <v>Rochester</v>
      </c>
      <c r="Z93" s="18">
        <f t="shared" si="29"/>
        <v>38</v>
      </c>
      <c r="AA93" s="18" t="str">
        <f>VLOOKUP($Z93,AA$2:$AG$52,8-AA$1/10,FALSE)</f>
        <v>Indianapolis</v>
      </c>
      <c r="AB93" s="18" t="str">
        <f>VLOOKUP($Z93,AB$2:$AG$52,8-AB$1/10,FALSE)</f>
        <v>St. Louis</v>
      </c>
      <c r="AC93" s="18" t="str">
        <f>VLOOKUP($Z93,AC$2:$AG$52,8-AC$1/10,FALSE)</f>
        <v>Austin</v>
      </c>
      <c r="AD93" s="18" t="str">
        <f>VLOOKUP($Z93,AD$2:$AG$52,8-AD$1/10,FALSE)</f>
        <v>Salt Lake City</v>
      </c>
      <c r="AE93" s="18" t="str">
        <f>VLOOKUP($Z93,AE$2:$AG$52,8-AE$1/10,FALSE)</f>
        <v>Salt Lake City</v>
      </c>
      <c r="AF93" s="18" t="str">
        <f>VLOOKUP($Z93,AF$2:$AG$52,8-AF$1/10,FALSE)</f>
        <v>Salt Lake City</v>
      </c>
      <c r="AG93" s="18" t="str">
        <f t="shared" si="28"/>
        <v>Rochester</v>
      </c>
    </row>
    <row r="94" spans="25:33" customFormat="1">
      <c r="Y94" s="18" t="str">
        <f>VLOOKUP($Z94,Y$2:$Z$52,2,FALSE)</f>
        <v>San Diego</v>
      </c>
      <c r="Z94" s="18">
        <f t="shared" si="29"/>
        <v>39</v>
      </c>
      <c r="AA94" s="18" t="str">
        <f>VLOOKUP($Z94,AA$2:$AG$52,8-AA$1/10,FALSE)</f>
        <v>Philadelphia</v>
      </c>
      <c r="AB94" s="18" t="str">
        <f>VLOOKUP($Z94,AB$2:$AG$52,8-AB$1/10,FALSE)</f>
        <v>Memphis</v>
      </c>
      <c r="AC94" s="18" t="str">
        <f>VLOOKUP($Z94,AC$2:$AG$52,8-AC$1/10,FALSE)</f>
        <v>Hartford</v>
      </c>
      <c r="AD94" s="18" t="str">
        <f>VLOOKUP($Z94,AD$2:$AG$52,8-AD$1/10,FALSE)</f>
        <v>Sacramento</v>
      </c>
      <c r="AE94" s="18" t="str">
        <f>VLOOKUP($Z94,AE$2:$AG$52,8-AE$1/10,FALSE)</f>
        <v>Sacramento</v>
      </c>
      <c r="AF94" s="18" t="str">
        <f>VLOOKUP($Z94,AF$2:$AG$52,8-AF$1/10,FALSE)</f>
        <v>Sacramento</v>
      </c>
      <c r="AG94" s="18" t="str">
        <f t="shared" si="28"/>
        <v>San Diego</v>
      </c>
    </row>
    <row r="95" spans="25:33" customFormat="1">
      <c r="Y95" s="18" t="str">
        <f>VLOOKUP($Z95,Y$2:$Z$52,2,FALSE)</f>
        <v>Nashville</v>
      </c>
      <c r="Z95" s="18">
        <f t="shared" si="29"/>
        <v>40</v>
      </c>
      <c r="AA95" s="18" t="str">
        <f>VLOOKUP($Z95,AA$2:$AG$52,8-AA$1/10,FALSE)</f>
        <v>Memphis</v>
      </c>
      <c r="AB95" s="18" t="str">
        <f>VLOOKUP($Z95,AB$2:$AG$52,8-AB$1/10,FALSE)</f>
        <v>Louisville</v>
      </c>
      <c r="AC95" s="18" t="str">
        <f>VLOOKUP($Z95,AC$2:$AG$52,8-AC$1/10,FALSE)</f>
        <v>Hampton Roads</v>
      </c>
      <c r="AD95" s="18" t="str">
        <f>VLOOKUP($Z95,AD$2:$AG$52,8-AD$1/10,FALSE)</f>
        <v>Austin</v>
      </c>
      <c r="AE95" s="18" t="str">
        <f>VLOOKUP($Z95,AE$2:$AG$52,8-AE$1/10,FALSE)</f>
        <v>Austin</v>
      </c>
      <c r="AF95" s="18" t="str">
        <f>VLOOKUP($Z95,AF$2:$AG$52,8-AF$1/10,FALSE)</f>
        <v>Austin</v>
      </c>
      <c r="AG95" s="18" t="str">
        <f t="shared" si="28"/>
        <v>Nashville</v>
      </c>
    </row>
    <row r="96" spans="25:33" customFormat="1">
      <c r="Y96" s="18" t="str">
        <f>VLOOKUP($Z96,Y$2:$Z$52,2,FALSE)</f>
        <v>Austin</v>
      </c>
      <c r="Z96" s="18">
        <f t="shared" si="29"/>
        <v>41</v>
      </c>
      <c r="AA96" s="18" t="str">
        <f>VLOOKUP($Z96,AA$2:$AG$52,8-AA$1/10,FALSE)</f>
        <v>St. Louis</v>
      </c>
      <c r="AB96" s="18" t="str">
        <f>VLOOKUP($Z96,AB$2:$AG$52,8-AB$1/10,FALSE)</f>
        <v>Honolulu</v>
      </c>
      <c r="AC96" s="18" t="str">
        <f>VLOOKUP($Z96,AC$2:$AG$52,8-AC$1/10,FALSE)</f>
        <v>Atlanta</v>
      </c>
      <c r="AD96" s="18" t="str">
        <f>VLOOKUP($Z96,AD$2:$AG$52,8-AD$1/10,FALSE)</f>
        <v>Hampton Roads</v>
      </c>
      <c r="AE96" s="18" t="str">
        <f>VLOOKUP($Z96,AE$2:$AG$52,8-AE$1/10,FALSE)</f>
        <v>Hampton Roads</v>
      </c>
      <c r="AF96" s="18" t="str">
        <f>VLOOKUP($Z96,AF$2:$AG$52,8-AF$1/10,FALSE)</f>
        <v>Hampton Roads</v>
      </c>
      <c r="AG96" s="18" t="str">
        <f t="shared" si="28"/>
        <v>Austin</v>
      </c>
    </row>
    <row r="97" spans="25:33" customFormat="1">
      <c r="Y97" s="18" t="str">
        <f>VLOOKUP($Z97,Y$2:$Z$52,2,FALSE)</f>
        <v>Orlando</v>
      </c>
      <c r="Z97" s="18">
        <f t="shared" si="29"/>
        <v>42</v>
      </c>
      <c r="AA97" s="18" t="str">
        <f>VLOOKUP($Z97,AA$2:$AG$52,8-AA$1/10,FALSE)</f>
        <v>Louisville</v>
      </c>
      <c r="AB97" s="18" t="str">
        <f>VLOOKUP($Z97,AB$2:$AG$52,8-AB$1/10,FALSE)</f>
        <v>Portland</v>
      </c>
      <c r="AC97" s="18" t="str">
        <f>VLOOKUP($Z97,AC$2:$AG$52,8-AC$1/10,FALSE)</f>
        <v>New Orleans</v>
      </c>
      <c r="AD97" s="18" t="str">
        <f>VLOOKUP($Z97,AD$2:$AG$52,8-AD$1/10,FALSE)</f>
        <v>Hartford</v>
      </c>
      <c r="AE97" s="18" t="str">
        <f>VLOOKUP($Z97,AE$2:$AG$52,8-AE$1/10,FALSE)</f>
        <v>Hartford</v>
      </c>
      <c r="AF97" s="18" t="str">
        <f>VLOOKUP($Z97,AF$2:$AG$52,8-AF$1/10,FALSE)</f>
        <v>Hartford</v>
      </c>
      <c r="AG97" s="18" t="str">
        <f t="shared" si="28"/>
        <v>Orlando</v>
      </c>
    </row>
    <row r="98" spans="25:33" customFormat="1">
      <c r="Y98" s="18" t="str">
        <f>VLOOKUP($Z98,Y$2:$Z$52,2,FALSE)</f>
        <v>Buffalo</v>
      </c>
      <c r="Z98" s="18">
        <f t="shared" si="29"/>
        <v>43</v>
      </c>
      <c r="AA98" s="18" t="str">
        <f>VLOOKUP($Z98,AA$2:$AG$52,8-AA$1/10,FALSE)</f>
        <v>Houston</v>
      </c>
      <c r="AB98" s="18" t="str">
        <f>VLOOKUP($Z98,AB$2:$AG$52,8-AB$1/10,FALSE)</f>
        <v>Pittsburgh</v>
      </c>
      <c r="AC98" s="18" t="str">
        <f>VLOOKUP($Z98,AC$2:$AG$52,8-AC$1/10,FALSE)</f>
        <v>Memphis</v>
      </c>
      <c r="AD98" s="18" t="str">
        <f>VLOOKUP($Z98,AD$2:$AG$52,8-AD$1/10,FALSE)</f>
        <v>New Orleans</v>
      </c>
      <c r="AE98" s="18" t="str">
        <f>VLOOKUP($Z98,AE$2:$AG$52,8-AE$1/10,FALSE)</f>
        <v>New Orleans</v>
      </c>
      <c r="AF98" s="18" t="str">
        <f>VLOOKUP($Z98,AF$2:$AG$52,8-AF$1/10,FALSE)</f>
        <v>New Orleans</v>
      </c>
      <c r="AG98" s="18" t="str">
        <f t="shared" si="28"/>
        <v>Buffalo</v>
      </c>
    </row>
    <row r="99" spans="25:33" customFormat="1">
      <c r="Y99" s="18" t="str">
        <f>VLOOKUP($Z99,Y$2:$Z$52,2,FALSE)</f>
        <v>Tampa Bay</v>
      </c>
      <c r="Z99" s="18">
        <f t="shared" si="29"/>
        <v>44</v>
      </c>
      <c r="AA99" s="18" t="str">
        <f>VLOOKUP($Z99,AA$2:$AG$52,8-AA$1/10,FALSE)</f>
        <v>Pittsburgh</v>
      </c>
      <c r="AB99" s="18" t="str">
        <f>VLOOKUP($Z99,AB$2:$AG$52,8-AB$1/10,FALSE)</f>
        <v>Houston</v>
      </c>
      <c r="AC99" s="18" t="str">
        <f>VLOOKUP($Z99,AC$2:$AG$52,8-AC$1/10,FALSE)</f>
        <v>Tampa Bay</v>
      </c>
      <c r="AD99" s="18" t="str">
        <f>VLOOKUP($Z99,AD$2:$AG$52,8-AD$1/10,FALSE)</f>
        <v>Memphis</v>
      </c>
      <c r="AE99" s="18" t="str">
        <f>VLOOKUP($Z99,AE$2:$AG$52,8-AE$1/10,FALSE)</f>
        <v>Memphis</v>
      </c>
      <c r="AF99" s="18" t="str">
        <f>VLOOKUP($Z99,AF$2:$AG$52,8-AF$1/10,FALSE)</f>
        <v>Memphis</v>
      </c>
      <c r="AG99" s="18" t="str">
        <f t="shared" si="28"/>
        <v>Tampa Bay</v>
      </c>
    </row>
    <row r="100" spans="25:33" customFormat="1">
      <c r="Y100" s="18" t="str">
        <f>VLOOKUP($Z100,Y$2:$Z$52,2,FALSE)</f>
        <v>Oklahoma City</v>
      </c>
      <c r="Z100" s="18">
        <f t="shared" si="29"/>
        <v>45</v>
      </c>
      <c r="AA100" s="18" t="str">
        <f>VLOOKUP($Z100,AA$2:$AG$52,8-AA$1/10,FALSE)</f>
        <v>Sacramento</v>
      </c>
      <c r="AB100" s="18" t="str">
        <f>VLOOKUP($Z100,AB$2:$AG$52,8-AB$1/10,FALSE)</f>
        <v>Orlando</v>
      </c>
      <c r="AC100" s="18" t="str">
        <f>VLOOKUP($Z100,AC$2:$AG$52,8-AC$1/10,FALSE)</f>
        <v>Grand Rapids</v>
      </c>
      <c r="AD100" s="18" t="str">
        <f>VLOOKUP($Z100,AD$2:$AG$52,8-AD$1/10,FALSE)</f>
        <v>Grand Rapids</v>
      </c>
      <c r="AE100" s="18" t="str">
        <f>VLOOKUP($Z100,AE$2:$AG$52,8-AE$1/10,FALSE)</f>
        <v>Grand Rapids</v>
      </c>
      <c r="AF100" s="18" t="str">
        <f>VLOOKUP($Z100,AF$2:$AG$52,8-AF$1/10,FALSE)</f>
        <v>Grand Rapids</v>
      </c>
      <c r="AG100" s="18" t="str">
        <f t="shared" si="28"/>
        <v>Oklahoma City</v>
      </c>
    </row>
    <row r="101" spans="25:33" customFormat="1">
      <c r="Y101" s="18" t="str">
        <f>VLOOKUP($Z101,Y$2:$Z$52,2,FALSE)</f>
        <v>Memphis</v>
      </c>
      <c r="Z101" s="18">
        <f t="shared" si="29"/>
        <v>46</v>
      </c>
      <c r="AA101" s="18" t="str">
        <f>VLOOKUP($Z101,AA$2:$AG$52,8-AA$1/10,FALSE)</f>
        <v>Orlando</v>
      </c>
      <c r="AB101" s="18" t="str">
        <f>VLOOKUP($Z101,AB$2:$AG$52,8-AB$1/10,FALSE)</f>
        <v>Sacramento</v>
      </c>
      <c r="AC101" s="18" t="str">
        <f>VLOOKUP($Z101,AC$2:$AG$52,8-AC$1/10,FALSE)</f>
        <v>Louisville</v>
      </c>
      <c r="AD101" s="18" t="str">
        <f>VLOOKUP($Z101,AD$2:$AG$52,8-AD$1/10,FALSE)</f>
        <v>Louisville</v>
      </c>
      <c r="AE101" s="18" t="str">
        <f>VLOOKUP($Z101,AE$2:$AG$52,8-AE$1/10,FALSE)</f>
        <v>Louisville</v>
      </c>
      <c r="AF101" s="18" t="str">
        <f>VLOOKUP($Z101,AF$2:$AG$52,8-AF$1/10,FALSE)</f>
        <v>Louisville</v>
      </c>
      <c r="AG101" s="18" t="str">
        <f t="shared" si="28"/>
        <v>Memphis</v>
      </c>
    </row>
    <row r="102" spans="25:33" customFormat="1">
      <c r="Y102" s="18" t="str">
        <f>VLOOKUP($Z102,Y$2:$Z$52,2,FALSE)</f>
        <v>Sacramento</v>
      </c>
      <c r="Z102" s="18">
        <f t="shared" si="29"/>
        <v>47</v>
      </c>
      <c r="AA102" s="18" t="str">
        <f>VLOOKUP($Z102,AA$2:$AG$52,8-AA$1/10,FALSE)</f>
        <v>San Diego</v>
      </c>
      <c r="AB102" s="18" t="str">
        <f>VLOOKUP($Z102,AB$2:$AG$52,8-AB$1/10,FALSE)</f>
        <v>San Diego</v>
      </c>
      <c r="AC102" s="18" t="str">
        <f>VLOOKUP($Z102,AC$2:$AG$52,8-AC$1/10,FALSE)</f>
        <v>Jacksonville</v>
      </c>
      <c r="AD102" s="18" t="str">
        <f>VLOOKUP($Z102,AD$2:$AG$52,8-AD$1/10,FALSE)</f>
        <v>Jacksonville</v>
      </c>
      <c r="AE102" s="18" t="str">
        <f>VLOOKUP($Z102,AE$2:$AG$52,8-AE$1/10,FALSE)</f>
        <v>Jacksonville</v>
      </c>
      <c r="AF102" s="18" t="str">
        <f>VLOOKUP($Z102,AF$2:$AG$52,8-AF$1/10,FALSE)</f>
        <v>Jacksonville</v>
      </c>
      <c r="AG102" s="18" t="str">
        <f t="shared" si="28"/>
        <v>Sacramento</v>
      </c>
    </row>
    <row r="103" spans="25:33" customFormat="1">
      <c r="Y103" s="18" t="str">
        <f>VLOOKUP($Z103,Y$2:$Z$52,2,FALSE)</f>
        <v>Louisville</v>
      </c>
      <c r="Z103" s="18">
        <f t="shared" si="29"/>
        <v>48</v>
      </c>
      <c r="AA103" s="18" t="str">
        <f>VLOOKUP($Z103,AA$2:$AG$52,8-AA$1/10,FALSE)</f>
        <v>Jacksonville</v>
      </c>
      <c r="AB103" s="18" t="str">
        <f>VLOOKUP($Z103,AB$2:$AG$52,8-AB$1/10,FALSE)</f>
        <v>Jacksonville</v>
      </c>
      <c r="AC103" s="18" t="str">
        <f>VLOOKUP($Z103,AC$2:$AG$52,8-AC$1/10,FALSE)</f>
        <v>Buffalo</v>
      </c>
      <c r="AD103" s="18" t="str">
        <f>VLOOKUP($Z103,AD$2:$AG$52,8-AD$1/10,FALSE)</f>
        <v>Buffalo</v>
      </c>
      <c r="AE103" s="18" t="str">
        <f>VLOOKUP($Z103,AE$2:$AG$52,8-AE$1/10,FALSE)</f>
        <v>Buffalo</v>
      </c>
      <c r="AF103" s="18" t="str">
        <f>VLOOKUP($Z103,AF$2:$AG$52,8-AF$1/10,FALSE)</f>
        <v>Buffalo</v>
      </c>
      <c r="AG103" s="18" t="str">
        <f t="shared" si="28"/>
        <v>Louisville</v>
      </c>
    </row>
    <row r="104" spans="25:33" customFormat="1">
      <c r="Y104" s="18" t="str">
        <f>VLOOKUP($Z104,Y$2:$Z$52,2,FALSE)</f>
        <v>Honolulu</v>
      </c>
      <c r="Z104" s="18">
        <f t="shared" si="29"/>
        <v>49</v>
      </c>
      <c r="AA104" s="18" t="str">
        <f>VLOOKUP($Z104,AA$2:$AG$52,8-AA$1/10,FALSE)</f>
        <v>Tampa Bay</v>
      </c>
      <c r="AB104" s="18" t="str">
        <f>VLOOKUP($Z104,AB$2:$AG$52,8-AB$1/10,FALSE)</f>
        <v>Atlanta</v>
      </c>
      <c r="AC104" s="18" t="str">
        <f>VLOOKUP($Z104,AC$2:$AG$52,8-AC$1/10,FALSE)</f>
        <v>Rochester</v>
      </c>
      <c r="AD104" s="18" t="str">
        <f>VLOOKUP($Z104,AD$2:$AG$52,8-AD$1/10,FALSE)</f>
        <v>Rochester</v>
      </c>
      <c r="AE104" s="18" t="str">
        <f>VLOOKUP($Z104,AE$2:$AG$52,8-AE$1/10,FALSE)</f>
        <v>Rochester</v>
      </c>
      <c r="AF104" s="18" t="str">
        <f>VLOOKUP($Z104,AF$2:$AG$52,8-AF$1/10,FALSE)</f>
        <v>Rochester</v>
      </c>
      <c r="AG104" s="18" t="str">
        <f t="shared" si="28"/>
        <v>Honolulu</v>
      </c>
    </row>
    <row r="105" spans="25:33" customFormat="1">
      <c r="Y105" s="18" t="str">
        <f>VLOOKUP($Z105,Y$2:$Z$52,2,FALSE)</f>
        <v>Hampton Roads</v>
      </c>
      <c r="Z105" s="18">
        <f t="shared" si="29"/>
        <v>50</v>
      </c>
      <c r="AA105" s="18" t="str">
        <f>VLOOKUP($Z105,AA$2:$AG$52,8-AA$1/10,FALSE)</f>
        <v>Atlanta</v>
      </c>
      <c r="AB105" s="18" t="str">
        <f>VLOOKUP($Z105,AB$2:$AG$52,8-AB$1/10,FALSE)</f>
        <v>Hampton Roads</v>
      </c>
      <c r="AC105" s="18" t="str">
        <f>VLOOKUP($Z105,AC$2:$AG$52,8-AC$1/10,FALSE)</f>
        <v>Oklahoma City</v>
      </c>
      <c r="AD105" s="18" t="str">
        <f>VLOOKUP($Z105,AD$2:$AG$52,8-AD$1/10,FALSE)</f>
        <v>Oklahoma City</v>
      </c>
      <c r="AE105" s="18" t="str">
        <f>VLOOKUP($Z105,AE$2:$AG$52,8-AE$1/10,FALSE)</f>
        <v>Oklahoma City</v>
      </c>
      <c r="AF105" s="18" t="str">
        <f>VLOOKUP($Z105,AF$2:$AG$52,8-AF$1/10,FALSE)</f>
        <v>Oklahoma City</v>
      </c>
      <c r="AG105" s="18" t="str">
        <f t="shared" si="28"/>
        <v>Hampton Roads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"/>
  <sheetViews>
    <sheetView workbookViewId="0">
      <selection activeCell="B1" sqref="B1:S1"/>
    </sheetView>
  </sheetViews>
  <sheetFormatPr baseColWidth="10" defaultColWidth="8.83203125" defaultRowHeight="14" x14ac:dyDescent="0"/>
  <cols>
    <col min="1" max="1" width="19.1640625" bestFit="1" customWidth="1"/>
    <col min="2" max="19" width="5.5" bestFit="1" customWidth="1"/>
    <col min="20" max="20" width="8.33203125" bestFit="1" customWidth="1"/>
    <col min="21" max="21" width="7.5" bestFit="1" customWidth="1"/>
    <col min="22" max="22" width="10.83203125" bestFit="1" customWidth="1"/>
    <col min="23" max="23" width="5.5" bestFit="1" customWidth="1"/>
  </cols>
  <sheetData>
    <row r="1" spans="1:29" ht="15" thickBot="1">
      <c r="A1" s="43"/>
      <c r="B1" s="79" t="s">
        <v>167</v>
      </c>
      <c r="C1" s="80"/>
      <c r="D1" s="80"/>
      <c r="E1" s="80"/>
      <c r="F1" s="80"/>
      <c r="G1" s="80"/>
      <c r="H1" s="80"/>
      <c r="I1" s="80"/>
      <c r="J1" s="81"/>
      <c r="K1" s="79" t="s">
        <v>176</v>
      </c>
      <c r="L1" s="80"/>
      <c r="M1" s="80"/>
      <c r="N1" s="80"/>
      <c r="O1" s="80"/>
      <c r="P1" s="80"/>
      <c r="Q1" s="80"/>
      <c r="R1" s="80"/>
      <c r="S1" s="81"/>
      <c r="T1" s="82" t="s">
        <v>172</v>
      </c>
      <c r="U1" s="83"/>
      <c r="V1" s="83"/>
      <c r="W1" s="83"/>
      <c r="X1" s="82" t="s">
        <v>173</v>
      </c>
      <c r="Y1" s="83"/>
      <c r="Z1" s="83"/>
      <c r="AA1" s="59" t="s">
        <v>174</v>
      </c>
      <c r="AB1" s="59" t="s">
        <v>175</v>
      </c>
      <c r="AC1" s="59"/>
    </row>
    <row r="2" spans="1:29" ht="17" thickBot="1">
      <c r="A2" s="44"/>
      <c r="B2" s="45">
        <v>10</v>
      </c>
      <c r="C2" s="46">
        <v>20</v>
      </c>
      <c r="D2" s="46">
        <v>30</v>
      </c>
      <c r="E2" s="46">
        <v>40</v>
      </c>
      <c r="F2" s="46">
        <v>50</v>
      </c>
      <c r="G2" s="46">
        <v>60</v>
      </c>
      <c r="H2" s="46">
        <v>70</v>
      </c>
      <c r="I2" s="46">
        <v>80</v>
      </c>
      <c r="J2" s="47">
        <v>90</v>
      </c>
      <c r="K2" s="62">
        <f>LN(B2)</f>
        <v>2.3025850929940459</v>
      </c>
      <c r="L2" s="63">
        <f t="shared" ref="L2:S17" si="0">LN(C2)</f>
        <v>2.9957322735539909</v>
      </c>
      <c r="M2" s="63">
        <f t="shared" si="0"/>
        <v>3.4011973816621555</v>
      </c>
      <c r="N2" s="63">
        <f t="shared" si="0"/>
        <v>3.6888794541139363</v>
      </c>
      <c r="O2" s="63">
        <f t="shared" si="0"/>
        <v>3.912023005428146</v>
      </c>
      <c r="P2" s="63">
        <f t="shared" si="0"/>
        <v>4.0943445622221004</v>
      </c>
      <c r="Q2" s="63">
        <f t="shared" si="0"/>
        <v>4.2484952420493594</v>
      </c>
      <c r="R2" s="63">
        <f t="shared" si="0"/>
        <v>4.3820266346738812</v>
      </c>
      <c r="S2" s="72">
        <f t="shared" si="0"/>
        <v>4.499809670330265</v>
      </c>
      <c r="T2" s="73" t="s">
        <v>168</v>
      </c>
      <c r="U2" s="74"/>
      <c r="V2" s="74" t="s">
        <v>169</v>
      </c>
      <c r="W2" s="75" t="s">
        <v>170</v>
      </c>
      <c r="X2" s="73" t="s">
        <v>168</v>
      </c>
      <c r="Y2" s="74" t="s">
        <v>169</v>
      </c>
      <c r="Z2" s="75" t="s">
        <v>170</v>
      </c>
      <c r="AA2" s="75" t="s">
        <v>170</v>
      </c>
      <c r="AB2" s="75" t="s">
        <v>170</v>
      </c>
      <c r="AC2" s="75"/>
    </row>
    <row r="3" spans="1:29">
      <c r="A3" s="42" t="s">
        <v>26</v>
      </c>
      <c r="B3" s="49">
        <f>'[1]2000'!K$24</f>
        <v>1.3794149811619634</v>
      </c>
      <c r="C3" s="50">
        <f>'[1]2000'!L$24</f>
        <v>1.3157020332333682</v>
      </c>
      <c r="D3" s="50">
        <f>'[1]2000'!M$24</f>
        <v>1.277382171194746</v>
      </c>
      <c r="E3" s="50">
        <f>'[1]2000'!N$24</f>
        <v>1.2522182557617958</v>
      </c>
      <c r="F3" s="50">
        <f>'[1]2000'!O$24</f>
        <v>1.2343851268810277</v>
      </c>
      <c r="G3" s="50">
        <f>'[1]2000'!P$24</f>
        <v>1.2220844387618242</v>
      </c>
      <c r="H3" s="50">
        <f>'[1]2000'!Q$24</f>
        <v>1.2119364714264287</v>
      </c>
      <c r="I3" s="50">
        <f>'[1]2000'!R$24</f>
        <v>1.2039045707227536</v>
      </c>
      <c r="J3" s="51">
        <f>'[1]2000'!S$24</f>
        <v>1.197270048016269</v>
      </c>
      <c r="K3" s="64">
        <f>LN(B3)</f>
        <v>0.32165948259255961</v>
      </c>
      <c r="L3" s="65">
        <f t="shared" si="0"/>
        <v>0.27437038875090586</v>
      </c>
      <c r="M3" s="65">
        <f t="shared" si="0"/>
        <v>0.24481280494347726</v>
      </c>
      <c r="N3" s="65">
        <f t="shared" si="0"/>
        <v>0.22491658317328495</v>
      </c>
      <c r="O3" s="65">
        <f t="shared" si="0"/>
        <v>0.21057297312921272</v>
      </c>
      <c r="P3" s="65">
        <f t="shared" si="0"/>
        <v>0.20055795718528657</v>
      </c>
      <c r="Q3" s="65">
        <f t="shared" si="0"/>
        <v>0.19221946995851186</v>
      </c>
      <c r="R3" s="65">
        <f t="shared" si="0"/>
        <v>0.18557008354832538</v>
      </c>
      <c r="S3" s="60">
        <f t="shared" si="0"/>
        <v>0.18004400515469179</v>
      </c>
      <c r="T3" s="71">
        <f t="array" ref="T3:U3">LINEST(K3:S3,$K$2:$S$2)</f>
        <v>-6.5124673694920088E-2</v>
      </c>
      <c r="U3" s="71">
        <v>0.4686705012554937</v>
      </c>
      <c r="V3" s="71">
        <f>EXP(U3)</f>
        <v>1.5978684163682075</v>
      </c>
      <c r="W3" s="76">
        <f>RSQ(K3:S3,$K$2:$S$2)</f>
        <v>0.99629630725580931</v>
      </c>
      <c r="X3" s="59">
        <f t="array" ref="X3:Y3">LINEST(B3:J3,$K$2:$S$2)</f>
        <v>-8.3417842739196071E-2</v>
      </c>
      <c r="Y3" s="71">
        <v>1.5656543399218759</v>
      </c>
      <c r="Z3" s="76">
        <f>RSQ(B3:J3,$K$2:$S$2)</f>
        <v>0.99380512088040618</v>
      </c>
      <c r="AA3" s="76">
        <f>RSQ(K3:S3,$B$2:$J$2)</f>
        <v>0.87619440566341644</v>
      </c>
      <c r="AB3" s="76">
        <f>RSQ(B3:J3,$B$2:$J$2)</f>
        <v>0.86305431452826242</v>
      </c>
      <c r="AC3" s="59"/>
    </row>
    <row r="4" spans="1:29">
      <c r="A4" s="41" t="s">
        <v>27</v>
      </c>
      <c r="B4" s="52">
        <f>'[2]2000'!K$24</f>
        <v>1.3965836559136842</v>
      </c>
      <c r="C4" s="39">
        <f>'[2]2000'!L$24</f>
        <v>1.3828756291035995</v>
      </c>
      <c r="D4" s="39">
        <f>'[2]2000'!M$24</f>
        <v>1.3559568799763722</v>
      </c>
      <c r="E4" s="39">
        <f>'[2]2000'!N$24</f>
        <v>1.3340543253297621</v>
      </c>
      <c r="F4" s="39">
        <f>'[2]2000'!O$24</f>
        <v>1.3146605064293353</v>
      </c>
      <c r="G4" s="39">
        <f>'[2]2000'!P$24</f>
        <v>1.2986850640774117</v>
      </c>
      <c r="H4" s="39">
        <f>'[2]2000'!Q$24</f>
        <v>1.2859272567065165</v>
      </c>
      <c r="I4" s="39">
        <f>'[2]2000'!R$24</f>
        <v>1.275232209735718</v>
      </c>
      <c r="J4" s="53">
        <f>'[2]2000'!S$24</f>
        <v>1.2676232456597074</v>
      </c>
      <c r="K4" s="66">
        <f t="shared" ref="K4:S44" si="1">LN(B4)</f>
        <v>0.33402900859294254</v>
      </c>
      <c r="L4" s="67">
        <f t="shared" si="0"/>
        <v>0.32416512029724875</v>
      </c>
      <c r="M4" s="67">
        <f t="shared" si="0"/>
        <v>0.30450738958513718</v>
      </c>
      <c r="N4" s="67">
        <f t="shared" si="0"/>
        <v>0.28822267029975107</v>
      </c>
      <c r="O4" s="67">
        <f t="shared" si="0"/>
        <v>0.27357846228239785</v>
      </c>
      <c r="P4" s="67">
        <f t="shared" si="0"/>
        <v>0.26135226339588064</v>
      </c>
      <c r="Q4" s="67">
        <f t="shared" si="0"/>
        <v>0.25148005866850454</v>
      </c>
      <c r="R4" s="67">
        <f t="shared" si="0"/>
        <v>0.24312828731050964</v>
      </c>
      <c r="S4" s="61">
        <f t="shared" si="0"/>
        <v>0.23714368699064534</v>
      </c>
      <c r="T4" s="71">
        <f t="array" ref="T4:U4">LINEST(K4:S4,$K$2:$S$2)</f>
        <v>-4.7778753193356886E-2</v>
      </c>
      <c r="U4" s="71">
        <v>0.45771045631128343</v>
      </c>
      <c r="V4" s="71">
        <f t="shared" ref="V4:V53" si="2">EXP(U4)</f>
        <v>1.5804513270989389</v>
      </c>
      <c r="W4" s="76">
        <f t="shared" ref="W4:W53" si="3">RSQ(K4:S4,$K$2:$S$2)</f>
        <v>0.95088894928433565</v>
      </c>
      <c r="X4" s="59">
        <f t="array" ref="X4:Y4">LINEST(B4:J4,$K$2:$S$2)</f>
        <v>-6.3701492371092225E-2</v>
      </c>
      <c r="Y4" s="71">
        <v>1.5607996943452125</v>
      </c>
      <c r="Z4" s="76">
        <f t="shared" ref="Z4:Z53" si="4">RSQ(B4:J4,$K$2:$S$2)</f>
        <v>0.95481371095844492</v>
      </c>
      <c r="AA4" s="76">
        <f t="shared" ref="AA4:AA53" si="5">RSQ(K4:S4,$B$2:$J$2)</f>
        <v>0.97802555738742369</v>
      </c>
      <c r="AB4" s="76">
        <f t="shared" ref="AB4:AB53" si="6">RSQ(B4:J4,$B$2:$J$2)</f>
        <v>0.97465633844304578</v>
      </c>
      <c r="AC4" s="59"/>
    </row>
    <row r="5" spans="1:29">
      <c r="A5" s="41" t="s">
        <v>28</v>
      </c>
      <c r="B5" s="54">
        <f>'[3]2000'!K$24</f>
        <v>1.3553895308629194</v>
      </c>
      <c r="C5" s="40">
        <f>'[3]2000'!L$24</f>
        <v>1.2950188214707048</v>
      </c>
      <c r="D5" s="40">
        <f>'[3]2000'!M$24</f>
        <v>1.2629159984496836</v>
      </c>
      <c r="E5" s="40">
        <f>'[3]2000'!N$24</f>
        <v>1.241973035714903</v>
      </c>
      <c r="F5" s="40">
        <f>'[3]2000'!O$24</f>
        <v>1.2277641503228947</v>
      </c>
      <c r="G5" s="40">
        <f>'[3]2000'!P$24</f>
        <v>1.219096781650074</v>
      </c>
      <c r="H5" s="40">
        <f>'[3]2000'!Q$24</f>
        <v>1.2137406790089036</v>
      </c>
      <c r="I5" s="40">
        <f>'[3]2000'!R$24</f>
        <v>1.2113349779208948</v>
      </c>
      <c r="J5" s="55">
        <f>'[3]2000'!S$24</f>
        <v>1.2115601906349527</v>
      </c>
      <c r="K5" s="66">
        <f t="shared" si="1"/>
        <v>0.30408888966977021</v>
      </c>
      <c r="L5" s="67">
        <f t="shared" si="0"/>
        <v>0.25852522900009639</v>
      </c>
      <c r="M5" s="67">
        <f t="shared" si="0"/>
        <v>0.23342333161547002</v>
      </c>
      <c r="N5" s="67">
        <f t="shared" si="0"/>
        <v>0.21670127290113922</v>
      </c>
      <c r="O5" s="67">
        <f t="shared" si="0"/>
        <v>0.20519475128142473</v>
      </c>
      <c r="P5" s="67">
        <f t="shared" si="0"/>
        <v>0.19811024164624003</v>
      </c>
      <c r="Q5" s="67">
        <f t="shared" si="0"/>
        <v>0.19370706109558145</v>
      </c>
      <c r="R5" s="67">
        <f t="shared" si="0"/>
        <v>0.19172303897217005</v>
      </c>
      <c r="S5" s="61">
        <f t="shared" si="0"/>
        <v>0.19190894277653539</v>
      </c>
      <c r="T5" s="71">
        <f t="array" ref="T5:U5">LINEST(K5:S5,$K$2:$S$2)</f>
        <v>-5.2406263793894167E-2</v>
      </c>
      <c r="U5" s="71">
        <v>0.41670084922727879</v>
      </c>
      <c r="V5" s="71">
        <f t="shared" si="2"/>
        <v>1.5169486486911155</v>
      </c>
      <c r="W5" s="76">
        <f t="shared" si="3"/>
        <v>0.97111662147263544</v>
      </c>
      <c r="X5" s="59">
        <f t="array" ref="X5:Y5">LINEST(B5:J5,$K$2:$S$2)</f>
        <v>-6.6777497775660027E-2</v>
      </c>
      <c r="Y5" s="71">
        <v>1.4975017789380616</v>
      </c>
      <c r="Z5" s="76">
        <f t="shared" si="4"/>
        <v>0.9668746008649266</v>
      </c>
      <c r="AA5" s="76">
        <f t="shared" si="5"/>
        <v>0.79488632956436567</v>
      </c>
      <c r="AB5" s="76">
        <f t="shared" si="6"/>
        <v>0.78404434429164649</v>
      </c>
      <c r="AC5" s="59"/>
    </row>
    <row r="6" spans="1:29">
      <c r="A6" s="41" t="s">
        <v>29</v>
      </c>
      <c r="B6" s="54">
        <f>'[4]2000'!K$24</f>
        <v>1.3218966779948818</v>
      </c>
      <c r="C6" s="40">
        <f>'[4]2000'!L$24</f>
        <v>1.2591049144229887</v>
      </c>
      <c r="D6" s="40">
        <f>'[4]2000'!M$24</f>
        <v>1.224823473981425</v>
      </c>
      <c r="E6" s="40">
        <f>'[4]2000'!N$24</f>
        <v>1.2083036736912636</v>
      </c>
      <c r="F6" s="40">
        <f>'[4]2000'!O$24</f>
        <v>1.1981600358493794</v>
      </c>
      <c r="G6" s="40">
        <f>'[4]2000'!P$24</f>
        <v>1.1922530135207596</v>
      </c>
      <c r="H6" s="40">
        <f>'[4]2000'!Q$24</f>
        <v>1.1888351991034369</v>
      </c>
      <c r="I6" s="40">
        <f>'[4]2000'!R$24</f>
        <v>1.1867711870318272</v>
      </c>
      <c r="J6" s="55">
        <f>'[4]2000'!S$24</f>
        <v>1.1843400560567672</v>
      </c>
      <c r="K6" s="66">
        <f t="shared" si="1"/>
        <v>0.27906758254678871</v>
      </c>
      <c r="L6" s="67">
        <f t="shared" si="0"/>
        <v>0.23040108314155142</v>
      </c>
      <c r="M6" s="67">
        <f t="shared" si="0"/>
        <v>0.2027967307405677</v>
      </c>
      <c r="N6" s="67">
        <f t="shared" si="0"/>
        <v>0.18921745342659418</v>
      </c>
      <c r="O6" s="67">
        <f t="shared" si="0"/>
        <v>0.18078707662236335</v>
      </c>
      <c r="P6" s="67">
        <f t="shared" si="0"/>
        <v>0.17584480578432934</v>
      </c>
      <c r="Q6" s="67">
        <f t="shared" si="0"/>
        <v>0.17297400347929107</v>
      </c>
      <c r="R6" s="67">
        <f t="shared" si="0"/>
        <v>0.17123633127651053</v>
      </c>
      <c r="S6" s="61">
        <f t="shared" si="0"/>
        <v>0.16918570473246361</v>
      </c>
      <c r="T6" s="71">
        <f t="array" ref="T6:U6">LINEST(K6:S6,$K$2:$S$2)</f>
        <v>-4.943331573006407E-2</v>
      </c>
      <c r="U6" s="71">
        <v>0.3809741438412178</v>
      </c>
      <c r="V6" s="71">
        <f t="shared" si="2"/>
        <v>1.4637097590085093</v>
      </c>
      <c r="W6" s="76">
        <f t="shared" si="3"/>
        <v>0.94787636066595793</v>
      </c>
      <c r="X6" s="59">
        <f t="array" ref="X6:Y6">LINEST(B6:J6,$K$2:$S$2)</f>
        <v>-6.1542425764180966E-2</v>
      </c>
      <c r="Y6" s="71">
        <v>1.4475226442614617</v>
      </c>
      <c r="Z6" s="76">
        <f t="shared" si="4"/>
        <v>0.94205557027587294</v>
      </c>
      <c r="AA6" s="76">
        <f t="shared" si="5"/>
        <v>0.74378102535016988</v>
      </c>
      <c r="AB6" s="76">
        <f t="shared" si="6"/>
        <v>0.7326607736467019</v>
      </c>
      <c r="AC6" s="59"/>
    </row>
    <row r="7" spans="1:29">
      <c r="A7" s="41" t="s">
        <v>30</v>
      </c>
      <c r="B7" s="52">
        <f>'[5]2000'!K$24</f>
        <v>1.2781328461764727</v>
      </c>
      <c r="C7" s="39">
        <f>'[5]2000'!L$24</f>
        <v>1.2378136642204387</v>
      </c>
      <c r="D7" s="39">
        <f>'[5]2000'!M$24</f>
        <v>1.2153632188052614</v>
      </c>
      <c r="E7" s="39">
        <f>'[5]2000'!N$24</f>
        <v>1.2012191507795758</v>
      </c>
      <c r="F7" s="39">
        <f>'[5]2000'!O$24</f>
        <v>1.1921182294652177</v>
      </c>
      <c r="G7" s="39">
        <f>'[5]2000'!P$24</f>
        <v>1.1856225230260624</v>
      </c>
      <c r="H7" s="39">
        <f>'[5]2000'!Q$24</f>
        <v>1.1808396571201218</v>
      </c>
      <c r="I7" s="39">
        <f>'[5]2000'!R$24</f>
        <v>1.177150456163321</v>
      </c>
      <c r="J7" s="53">
        <f>'[5]2000'!S$24</f>
        <v>1.1744390850186677</v>
      </c>
      <c r="K7" s="66">
        <f t="shared" si="1"/>
        <v>0.2454002990479652</v>
      </c>
      <c r="L7" s="67">
        <f t="shared" si="0"/>
        <v>0.21334664938033751</v>
      </c>
      <c r="M7" s="67">
        <f t="shared" si="0"/>
        <v>0.19504297763593731</v>
      </c>
      <c r="N7" s="67">
        <f t="shared" si="0"/>
        <v>0.18333700003988909</v>
      </c>
      <c r="O7" s="67">
        <f t="shared" si="0"/>
        <v>0.17573174951754039</v>
      </c>
      <c r="P7" s="67">
        <f t="shared" si="0"/>
        <v>0.17026797253347792</v>
      </c>
      <c r="Q7" s="67">
        <f t="shared" si="0"/>
        <v>0.16622575925956165</v>
      </c>
      <c r="R7" s="67">
        <f t="shared" si="0"/>
        <v>0.16309665032377993</v>
      </c>
      <c r="S7" s="61">
        <f t="shared" si="0"/>
        <v>0.16079065916446539</v>
      </c>
      <c r="T7" s="71">
        <f t="array" ref="T7:U7">LINEST(K7:S7,$K$2:$S$2)</f>
        <v>-3.8642556430378734E-2</v>
      </c>
      <c r="U7" s="71">
        <v>0.32985944747110196</v>
      </c>
      <c r="V7" s="71">
        <f t="shared" si="2"/>
        <v>1.3907726381143615</v>
      </c>
      <c r="W7" s="76">
        <f t="shared" si="3"/>
        <v>0.98580969103469984</v>
      </c>
      <c r="X7" s="59">
        <f t="array" ref="X7:Y7">LINEST(B7:J7,$K$2:$S$2)</f>
        <v>-4.7204406735136387E-2</v>
      </c>
      <c r="Y7" s="71">
        <v>1.3805812190606142</v>
      </c>
      <c r="Z7" s="76">
        <f t="shared" si="4"/>
        <v>0.98306372118839269</v>
      </c>
      <c r="AA7" s="76">
        <f t="shared" si="5"/>
        <v>0.83340184578870868</v>
      </c>
      <c r="AB7" s="76">
        <f t="shared" si="6"/>
        <v>0.82492808709481313</v>
      </c>
      <c r="AC7" s="59"/>
    </row>
    <row r="8" spans="1:29">
      <c r="A8" s="41" t="s">
        <v>31</v>
      </c>
      <c r="B8" s="54">
        <f>'[6]2000'!K$24</f>
        <v>1.3850358656052615</v>
      </c>
      <c r="C8" s="40">
        <f>'[6]2000'!L$24</f>
        <v>1.3093507911063191</v>
      </c>
      <c r="D8" s="40">
        <f>'[6]2000'!M$24</f>
        <v>1.2727722820087417</v>
      </c>
      <c r="E8" s="40">
        <f>'[6]2000'!N$24</f>
        <v>1.2496185258545462</v>
      </c>
      <c r="F8" s="40">
        <f>'[6]2000'!O$24</f>
        <v>1.2362160989566715</v>
      </c>
      <c r="G8" s="40">
        <f>'[6]2000'!P$24</f>
        <v>1.2291117906328803</v>
      </c>
      <c r="H8" s="40">
        <f>'[6]2000'!Q$24</f>
        <v>1.2247359431640967</v>
      </c>
      <c r="I8" s="40">
        <f>'[6]2000'!R$24</f>
        <v>1.2142402320640244</v>
      </c>
      <c r="J8" s="55">
        <f>'[6]2000'!S$24</f>
        <v>1.2206007378419359</v>
      </c>
      <c r="K8" s="66">
        <f t="shared" si="1"/>
        <v>0.32572603504788394</v>
      </c>
      <c r="L8" s="67">
        <f t="shared" si="0"/>
        <v>0.26953143506489519</v>
      </c>
      <c r="M8" s="67">
        <f t="shared" si="0"/>
        <v>0.24119742062702107</v>
      </c>
      <c r="N8" s="67">
        <f t="shared" si="0"/>
        <v>0.22283832542116278</v>
      </c>
      <c r="O8" s="67">
        <f t="shared" si="0"/>
        <v>0.21205518109681729</v>
      </c>
      <c r="P8" s="67">
        <f t="shared" si="0"/>
        <v>0.20629178709237181</v>
      </c>
      <c r="Q8" s="67">
        <f t="shared" si="0"/>
        <v>0.20272526416028977</v>
      </c>
      <c r="R8" s="67">
        <f t="shared" si="0"/>
        <v>0.19411855779219195</v>
      </c>
      <c r="S8" s="61">
        <f t="shared" si="0"/>
        <v>0.19934314561925612</v>
      </c>
      <c r="T8" s="71">
        <f t="array" ref="T8:U8">LINEST(K8:S8,$K$2:$S$2)</f>
        <v>-5.8491112851593911E-2</v>
      </c>
      <c r="U8" s="71">
        <v>0.44830524094315383</v>
      </c>
      <c r="V8" s="71">
        <f t="shared" si="2"/>
        <v>1.5656565251976475</v>
      </c>
      <c r="W8" s="76">
        <f t="shared" si="3"/>
        <v>0.95952938144108735</v>
      </c>
      <c r="X8" s="59">
        <f t="array" ref="X8:Y8">LINEST(B8:J8,$K$2:$S$2)</f>
        <v>-7.5509883551022242E-2</v>
      </c>
      <c r="Y8" s="71">
        <v>1.5414620177378231</v>
      </c>
      <c r="Z8" s="76">
        <f t="shared" si="4"/>
        <v>0.95346151579749427</v>
      </c>
      <c r="AA8" s="76">
        <f t="shared" si="5"/>
        <v>0.76921140203919525</v>
      </c>
      <c r="AB8" s="76">
        <f t="shared" si="6"/>
        <v>0.75614708523179619</v>
      </c>
      <c r="AC8" s="59"/>
    </row>
    <row r="9" spans="1:29">
      <c r="A9" s="41" t="s">
        <v>32</v>
      </c>
      <c r="B9" s="54">
        <f>'[7]2000'!K$24</f>
        <v>1.3268247325815479</v>
      </c>
      <c r="C9" s="40">
        <f>'[7]2000'!L$24</f>
        <v>1.2746829975191114</v>
      </c>
      <c r="D9" s="40">
        <f>'[7]2000'!M$24</f>
        <v>1.2443638582661067</v>
      </c>
      <c r="E9" s="40">
        <f>'[7]2000'!N$24</f>
        <v>1.2250744060553518</v>
      </c>
      <c r="F9" s="40">
        <f>'[7]2000'!O$24</f>
        <v>1.2102128047420824</v>
      </c>
      <c r="G9" s="40">
        <f>'[7]2000'!P$24</f>
        <v>1.1997053834772908</v>
      </c>
      <c r="H9" s="40">
        <f>'[7]2000'!Q$24</f>
        <v>1.1909479168044974</v>
      </c>
      <c r="I9" s="40">
        <f>'[7]2000'!R$24</f>
        <v>1.184717774513276</v>
      </c>
      <c r="J9" s="55">
        <f>'[7]2000'!S$24</f>
        <v>1.1800793381164683</v>
      </c>
      <c r="K9" s="66">
        <f t="shared" si="1"/>
        <v>0.2827886686929863</v>
      </c>
      <c r="L9" s="67">
        <f t="shared" si="0"/>
        <v>0.24269751830020153</v>
      </c>
      <c r="M9" s="67">
        <f t="shared" si="0"/>
        <v>0.21862444211757065</v>
      </c>
      <c r="N9" s="67">
        <f t="shared" si="0"/>
        <v>0.2030015817891351</v>
      </c>
      <c r="O9" s="67">
        <f t="shared" si="0"/>
        <v>0.19079621583270889</v>
      </c>
      <c r="P9" s="67">
        <f t="shared" si="0"/>
        <v>0.18207601288159109</v>
      </c>
      <c r="Q9" s="67">
        <f t="shared" si="0"/>
        <v>0.17474955877421125</v>
      </c>
      <c r="R9" s="67">
        <f t="shared" si="0"/>
        <v>0.16950458125361509</v>
      </c>
      <c r="S9" s="61">
        <f t="shared" si="0"/>
        <v>0.16558167190927783</v>
      </c>
      <c r="T9" s="71">
        <f t="array" ref="T9:U9">LINEST(K9:S9,$K$2:$S$2)</f>
        <v>-5.3954350722065759E-2</v>
      </c>
      <c r="U9" s="71">
        <v>0.40429387715202258</v>
      </c>
      <c r="V9" s="71">
        <f t="shared" si="2"/>
        <v>1.4982441820007011</v>
      </c>
      <c r="W9" s="76">
        <f t="shared" si="3"/>
        <v>0.9963439472541018</v>
      </c>
      <c r="X9" s="59">
        <f t="array" ref="X9:Y9">LINEST(B9:J9,$K$2:$S$2)</f>
        <v>-6.7303127538168056E-2</v>
      </c>
      <c r="Y9" s="71">
        <v>1.4769947603689606</v>
      </c>
      <c r="Z9" s="76">
        <f t="shared" si="4"/>
        <v>0.99426759809250365</v>
      </c>
      <c r="AA9" s="76">
        <f t="shared" si="5"/>
        <v>0.87568318954214752</v>
      </c>
      <c r="AB9" s="76">
        <f t="shared" si="6"/>
        <v>0.86472602484512384</v>
      </c>
      <c r="AC9" s="59"/>
    </row>
    <row r="10" spans="1:29">
      <c r="A10" s="41" t="s">
        <v>33</v>
      </c>
      <c r="B10" s="54">
        <f>'[8]2000'!K$24</f>
        <v>1.4218194575187977</v>
      </c>
      <c r="C10" s="40">
        <f>'[8]2000'!L$24</f>
        <v>1.3361363092522838</v>
      </c>
      <c r="D10" s="40">
        <f>'[8]2000'!M$24</f>
        <v>1.3079533981931</v>
      </c>
      <c r="E10" s="40">
        <f>'[8]2000'!N$24</f>
        <v>1.2926910343618965</v>
      </c>
      <c r="F10" s="40">
        <f>'[8]2000'!O$24</f>
        <v>1.278311142456642</v>
      </c>
      <c r="G10" s="40">
        <f>'[8]2000'!P$24</f>
        <v>1.2714840664035174</v>
      </c>
      <c r="H10" s="40">
        <f>'[8]2000'!Q$24</f>
        <v>1.2667491733231422</v>
      </c>
      <c r="I10" s="40">
        <f>'[8]2000'!R$24</f>
        <v>1.264435337754819</v>
      </c>
      <c r="J10" s="55">
        <f>'[8]2000'!S$24</f>
        <v>1.2610486496962503</v>
      </c>
      <c r="K10" s="66">
        <f t="shared" si="1"/>
        <v>0.35193735955028294</v>
      </c>
      <c r="L10" s="67">
        <f t="shared" si="0"/>
        <v>0.28978209779340941</v>
      </c>
      <c r="M10" s="67">
        <f t="shared" si="0"/>
        <v>0.26846362410756724</v>
      </c>
      <c r="N10" s="67">
        <f t="shared" si="0"/>
        <v>0.25672611869300926</v>
      </c>
      <c r="O10" s="67">
        <f t="shared" si="0"/>
        <v>0.24553978677486332</v>
      </c>
      <c r="P10" s="67">
        <f t="shared" si="0"/>
        <v>0.24018477446334985</v>
      </c>
      <c r="Q10" s="67">
        <f t="shared" si="0"/>
        <v>0.23645391277697855</v>
      </c>
      <c r="R10" s="67">
        <f t="shared" si="0"/>
        <v>0.23462564920890971</v>
      </c>
      <c r="S10" s="61">
        <f t="shared" si="0"/>
        <v>0.23194363648937702</v>
      </c>
      <c r="T10" s="71">
        <f t="array" ref="T10:U10">LINEST(K10:S10,$K$2:$S$2)</f>
        <v>-5.2159801986595422E-2</v>
      </c>
      <c r="U10" s="71">
        <v>0.45603546542845058</v>
      </c>
      <c r="V10" s="71">
        <f t="shared" si="2"/>
        <v>1.5778063013506993</v>
      </c>
      <c r="W10" s="76">
        <f t="shared" si="3"/>
        <v>0.93975828905510306</v>
      </c>
      <c r="X10" s="59">
        <f t="array" ref="X10:Y10">LINEST(B10:J10,$K$2:$S$2)</f>
        <v>-6.9462387893451036E-2</v>
      </c>
      <c r="Y10" s="71">
        <v>1.5588179561235538</v>
      </c>
      <c r="Z10" s="76">
        <f t="shared" si="4"/>
        <v>0.93168019834307148</v>
      </c>
      <c r="AA10" s="76">
        <f t="shared" si="5"/>
        <v>0.73317566856729854</v>
      </c>
      <c r="AB10" s="76">
        <f t="shared" si="6"/>
        <v>0.71932130334508582</v>
      </c>
      <c r="AC10" s="59"/>
    </row>
    <row r="11" spans="1:29">
      <c r="A11" s="41" t="s">
        <v>34</v>
      </c>
      <c r="B11" s="54">
        <f>'[9]2000'!K$24</f>
        <v>1.2874615484699874</v>
      </c>
      <c r="C11" s="40">
        <f>'[9]2000'!L$24</f>
        <v>1.2240351976160513</v>
      </c>
      <c r="D11" s="40">
        <f>'[9]2000'!M$24</f>
        <v>1.1963456562532266</v>
      </c>
      <c r="E11" s="40">
        <f>'[9]2000'!N$24</f>
        <v>1.1805955763627878</v>
      </c>
      <c r="F11" s="40">
        <f>'[9]2000'!O$24</f>
        <v>1.1707432163655211</v>
      </c>
      <c r="G11" s="40">
        <f>'[9]2000'!P$24</f>
        <v>1.1653581060286888</v>
      </c>
      <c r="H11" s="40">
        <f>'[9]2000'!Q$24</f>
        <v>1.1621016171922494</v>
      </c>
      <c r="I11" s="40">
        <f>'[9]2000'!R$24</f>
        <v>1.15916441938689</v>
      </c>
      <c r="J11" s="55">
        <f>'[9]2000'!S$24</f>
        <v>1.1569339520395503</v>
      </c>
      <c r="K11" s="66">
        <f t="shared" si="1"/>
        <v>0.25267248784374902</v>
      </c>
      <c r="L11" s="67">
        <f t="shared" si="0"/>
        <v>0.20215293989894623</v>
      </c>
      <c r="M11" s="67">
        <f t="shared" si="0"/>
        <v>0.17927162401819682</v>
      </c>
      <c r="N11" s="67">
        <f t="shared" si="0"/>
        <v>0.1660190368775607</v>
      </c>
      <c r="O11" s="67">
        <f t="shared" si="0"/>
        <v>0.15763877480081195</v>
      </c>
      <c r="P11" s="67">
        <f t="shared" si="0"/>
        <v>0.15302842693300242</v>
      </c>
      <c r="Q11" s="67">
        <f t="shared" si="0"/>
        <v>0.15023010485767463</v>
      </c>
      <c r="R11" s="67">
        <f t="shared" si="0"/>
        <v>0.14769941744257328</v>
      </c>
      <c r="S11" s="61">
        <f t="shared" si="0"/>
        <v>0.14577336105016275</v>
      </c>
      <c r="T11" s="71">
        <f t="array" ref="T11:U11">LINEST(K11:S11,$K$2:$S$2)</f>
        <v>-4.7419222407215918E-2</v>
      </c>
      <c r="U11" s="71">
        <v>0.34935778110505455</v>
      </c>
      <c r="V11" s="71">
        <f t="shared" si="2"/>
        <v>1.4181564891814447</v>
      </c>
      <c r="W11" s="76">
        <f t="shared" si="3"/>
        <v>0.94771134267689872</v>
      </c>
      <c r="X11" s="59">
        <f t="array" ref="X11:Y11">LINEST(B11:J11,$K$2:$S$2)</f>
        <v>-5.7591398104582053E-2</v>
      </c>
      <c r="Y11" s="71">
        <v>1.4037218094921298</v>
      </c>
      <c r="Z11" s="76">
        <f t="shared" si="4"/>
        <v>0.94146710358068508</v>
      </c>
      <c r="AA11" s="76">
        <f t="shared" si="5"/>
        <v>0.74388881440823118</v>
      </c>
      <c r="AB11" s="76">
        <f t="shared" si="6"/>
        <v>0.73238756724030274</v>
      </c>
      <c r="AC11" s="59"/>
    </row>
    <row r="12" spans="1:29">
      <c r="A12" s="41" t="s">
        <v>35</v>
      </c>
      <c r="B12" s="54">
        <f>'[10]2000'!K$24</f>
        <v>1.3211732291308345</v>
      </c>
      <c r="C12" s="40">
        <f>'[10]2000'!L$24</f>
        <v>1.2660300919887804</v>
      </c>
      <c r="D12" s="40">
        <f>'[10]2000'!M$24</f>
        <v>1.2318007117105125</v>
      </c>
      <c r="E12" s="40">
        <f>'[10]2000'!N$24</f>
        <v>1.2124553551766681</v>
      </c>
      <c r="F12" s="40">
        <f>'[10]2000'!O$24</f>
        <v>1.1995705003285038</v>
      </c>
      <c r="G12" s="40">
        <f>'[10]2000'!P$24</f>
        <v>1.1898957814338935</v>
      </c>
      <c r="H12" s="40">
        <f>'[10]2000'!Q$24</f>
        <v>1.183542306862122</v>
      </c>
      <c r="I12" s="40">
        <f>'[10]2000'!R$24</f>
        <v>1.1788996888743091</v>
      </c>
      <c r="J12" s="55">
        <f>'[10]2000'!S$24</f>
        <v>1.1759384342154522</v>
      </c>
      <c r="K12" s="66">
        <f t="shared" si="1"/>
        <v>0.27852015178821227</v>
      </c>
      <c r="L12" s="67">
        <f t="shared" si="0"/>
        <v>0.23588609278292649</v>
      </c>
      <c r="M12" s="67">
        <f t="shared" si="0"/>
        <v>0.20847709205153886</v>
      </c>
      <c r="N12" s="67">
        <f t="shared" si="0"/>
        <v>0.19264752267875992</v>
      </c>
      <c r="O12" s="67">
        <f t="shared" si="0"/>
        <v>0.18196357633368132</v>
      </c>
      <c r="P12" s="67">
        <f t="shared" si="0"/>
        <v>0.17386572466122591</v>
      </c>
      <c r="Q12" s="67">
        <f t="shared" si="0"/>
        <v>0.16851189657601073</v>
      </c>
      <c r="R12" s="67">
        <f t="shared" si="0"/>
        <v>0.1645815364040506</v>
      </c>
      <c r="S12" s="61">
        <f t="shared" si="0"/>
        <v>0.16206649624842018</v>
      </c>
      <c r="T12" s="71">
        <f t="array" ref="T12:U12">LINEST(K12:S12,$K$2:$S$2)</f>
        <v>-5.3763116465802958E-2</v>
      </c>
      <c r="U12" s="71">
        <v>0.39654817622834543</v>
      </c>
      <c r="V12" s="71">
        <f t="shared" si="2"/>
        <v>1.4866840590802661</v>
      </c>
      <c r="W12" s="76">
        <f t="shared" si="3"/>
        <v>0.98476883516427438</v>
      </c>
      <c r="X12" s="59">
        <f t="array" ref="X12:Y12">LINEST(B12:J12,$K$2:$S$2)</f>
        <v>-6.6734754831576759E-2</v>
      </c>
      <c r="Y12" s="71">
        <v>1.4662883314376292</v>
      </c>
      <c r="Z12" s="76">
        <f t="shared" si="4"/>
        <v>0.98110321698277492</v>
      </c>
      <c r="AA12" s="76">
        <f t="shared" si="5"/>
        <v>0.83138228587553653</v>
      </c>
      <c r="AB12" s="76">
        <f t="shared" si="6"/>
        <v>0.81999165563911436</v>
      </c>
      <c r="AC12" s="59"/>
    </row>
    <row r="13" spans="1:29">
      <c r="A13" s="41" t="s">
        <v>62</v>
      </c>
      <c r="B13" s="54">
        <f>'[11]2000'!K$24</f>
        <v>1.3489383096006093</v>
      </c>
      <c r="C13" s="40">
        <f>'[11]2000'!L$24</f>
        <v>1.3124304425407802</v>
      </c>
      <c r="D13" s="40">
        <f>'[11]2000'!M$24</f>
        <v>1.2807382824125499</v>
      </c>
      <c r="E13" s="40">
        <f>'[11]2000'!N$24</f>
        <v>1.2579633803655981</v>
      </c>
      <c r="F13" s="40">
        <f>'[11]2000'!O$24</f>
        <v>1.2440120064290328</v>
      </c>
      <c r="G13" s="40">
        <f>'[11]2000'!P$24</f>
        <v>1.2309440205397102</v>
      </c>
      <c r="H13" s="40">
        <f>'[11]2000'!Q$24</f>
        <v>1.2193729675148768</v>
      </c>
      <c r="I13" s="40">
        <f>'[11]2000'!R$24</f>
        <v>1.2091550470584023</v>
      </c>
      <c r="J13" s="55">
        <f>'[11]2000'!S$24</f>
        <v>1.2002522476829509</v>
      </c>
      <c r="K13" s="66">
        <f t="shared" si="1"/>
        <v>0.29931784571338826</v>
      </c>
      <c r="L13" s="67">
        <f t="shared" si="0"/>
        <v>0.27188071791989016</v>
      </c>
      <c r="M13" s="67">
        <f t="shared" si="0"/>
        <v>0.24743669479087166</v>
      </c>
      <c r="N13" s="67">
        <f t="shared" si="0"/>
        <v>0.22949404844724702</v>
      </c>
      <c r="O13" s="67">
        <f t="shared" si="0"/>
        <v>0.21834164574069612</v>
      </c>
      <c r="P13" s="67">
        <f t="shared" si="0"/>
        <v>0.20778137138334379</v>
      </c>
      <c r="Q13" s="67">
        <f t="shared" si="0"/>
        <v>0.19833676556853055</v>
      </c>
      <c r="R13" s="67">
        <f t="shared" si="0"/>
        <v>0.18992180746170501</v>
      </c>
      <c r="S13" s="61">
        <f t="shared" si="0"/>
        <v>0.18253174110614354</v>
      </c>
      <c r="T13" s="71">
        <f t="array" ref="T13:U13">LINEST(K13:S13,$K$2:$S$2)</f>
        <v>-5.4326703448374085E-2</v>
      </c>
      <c r="U13" s="71">
        <v>0.42959449342722866</v>
      </c>
      <c r="V13" s="71">
        <f t="shared" si="2"/>
        <v>1.5366342818912748</v>
      </c>
      <c r="W13" s="76">
        <f t="shared" si="3"/>
        <v>0.99424059137667187</v>
      </c>
      <c r="X13" s="59">
        <f t="array" ref="X13:Y13">LINEST(B13:J13,$K$2:$S$2)</f>
        <v>-6.9121575322351511E-2</v>
      </c>
      <c r="Y13" s="71">
        <v>1.5134571074495908</v>
      </c>
      <c r="Z13" s="76">
        <f t="shared" si="4"/>
        <v>0.99601012769164698</v>
      </c>
      <c r="AA13" s="76">
        <f t="shared" si="5"/>
        <v>0.94117450459378893</v>
      </c>
      <c r="AB13" s="76">
        <f t="shared" si="6"/>
        <v>0.93318179185169992</v>
      </c>
      <c r="AC13" s="59"/>
    </row>
    <row r="14" spans="1:29">
      <c r="A14" s="41" t="s">
        <v>36</v>
      </c>
      <c r="B14" s="54">
        <f>'[12]2000'!K$24</f>
        <v>1.359087374496782</v>
      </c>
      <c r="C14" s="40">
        <f>'[12]2000'!L$24</f>
        <v>1.3645121928036035</v>
      </c>
      <c r="D14" s="40">
        <f>'[12]2000'!M$24</f>
        <v>1.3624170687198283</v>
      </c>
      <c r="E14" s="40">
        <f>'[12]2000'!N$24</f>
        <v>1.3442031119981503</v>
      </c>
      <c r="F14" s="40">
        <f>'[12]2000'!O$24</f>
        <v>1.3352477307392645</v>
      </c>
      <c r="G14" s="40">
        <f>'[12]2000'!P$24</f>
        <v>1.3276568365990167</v>
      </c>
      <c r="H14" s="40">
        <f>'[12]2000'!Q$24</f>
        <v>1.3202083793328145</v>
      </c>
      <c r="I14" s="40">
        <f>'[12]2000'!R$24</f>
        <v>1.3134913106716788</v>
      </c>
      <c r="J14" s="55">
        <f>'[12]2000'!S$24</f>
        <v>1.3104707921217478</v>
      </c>
      <c r="K14" s="66">
        <f t="shared" si="1"/>
        <v>0.30681342633023412</v>
      </c>
      <c r="L14" s="67">
        <f t="shared" si="0"/>
        <v>0.31079699685634626</v>
      </c>
      <c r="M14" s="67">
        <f t="shared" si="0"/>
        <v>0.30926037870816991</v>
      </c>
      <c r="N14" s="67">
        <f t="shared" si="0"/>
        <v>0.29580135568134935</v>
      </c>
      <c r="O14" s="67">
        <f t="shared" si="0"/>
        <v>0.28911684073378174</v>
      </c>
      <c r="P14" s="67">
        <f t="shared" si="0"/>
        <v>0.28341561148617439</v>
      </c>
      <c r="Q14" s="67">
        <f t="shared" si="0"/>
        <v>0.27778958727012676</v>
      </c>
      <c r="R14" s="67">
        <f t="shared" si="0"/>
        <v>0.27268871472125494</v>
      </c>
      <c r="S14" s="61">
        <f t="shared" si="0"/>
        <v>0.27038645594939453</v>
      </c>
      <c r="T14" s="71">
        <f t="array" ref="T14:U14">LINEST(K14:S14,$K$2:$S$2)</f>
        <v>-1.959269264473321E-2</v>
      </c>
      <c r="U14" s="71">
        <v>0.36365735744259542</v>
      </c>
      <c r="V14" s="71">
        <f t="shared" si="2"/>
        <v>1.4385812105558431</v>
      </c>
      <c r="W14" s="76">
        <f t="shared" si="3"/>
        <v>0.79702693118191392</v>
      </c>
      <c r="X14" s="59">
        <f t="array" ref="X14:Y14">LINEST(B14:J14,$K$2:$S$2)</f>
        <v>-2.6225928121968421E-2</v>
      </c>
      <c r="Y14" s="71">
        <v>1.4351690538997273</v>
      </c>
      <c r="Z14" s="76">
        <f t="shared" si="4"/>
        <v>0.79749638771915143</v>
      </c>
      <c r="AA14" s="76">
        <f t="shared" si="5"/>
        <v>0.9403551923841077</v>
      </c>
      <c r="AB14" s="76">
        <f t="shared" si="6"/>
        <v>0.93920875149933059</v>
      </c>
      <c r="AC14" s="59"/>
    </row>
    <row r="15" spans="1:29">
      <c r="A15" s="41" t="s">
        <v>37</v>
      </c>
      <c r="B15" s="54">
        <f>'[13]2000'!K$24</f>
        <v>1.3076805956202735</v>
      </c>
      <c r="C15" s="40">
        <f>'[13]2000'!L$24</f>
        <v>1.2666607420839804</v>
      </c>
      <c r="D15" s="40">
        <f>'[13]2000'!M$24</f>
        <v>1.2404706690512513</v>
      </c>
      <c r="E15" s="40">
        <f>'[13]2000'!N$24</f>
        <v>1.2233122234408498</v>
      </c>
      <c r="F15" s="40">
        <f>'[13]2000'!O$24</f>
        <v>1.2124781174465198</v>
      </c>
      <c r="G15" s="40">
        <f>'[13]2000'!P$24</f>
        <v>1.2042531320189953</v>
      </c>
      <c r="H15" s="40">
        <f>'[13]2000'!Q$24</f>
        <v>1.1988194858743704</v>
      </c>
      <c r="I15" s="40">
        <f>'[13]2000'!R$24</f>
        <v>1.1948231585674078</v>
      </c>
      <c r="J15" s="55">
        <f>'[13]2000'!S$24</f>
        <v>1.1919255954887613</v>
      </c>
      <c r="K15" s="66">
        <f t="shared" si="1"/>
        <v>0.26825503026419245</v>
      </c>
      <c r="L15" s="67">
        <f t="shared" si="0"/>
        <v>0.23638410075117103</v>
      </c>
      <c r="M15" s="67">
        <f t="shared" si="0"/>
        <v>0.21549087941331285</v>
      </c>
      <c r="N15" s="67">
        <f t="shared" si="0"/>
        <v>0.2015621172065799</v>
      </c>
      <c r="O15" s="67">
        <f t="shared" si="0"/>
        <v>0.19266629619985592</v>
      </c>
      <c r="P15" s="67">
        <f t="shared" si="0"/>
        <v>0.18585956732945733</v>
      </c>
      <c r="Q15" s="67">
        <f t="shared" si="0"/>
        <v>0.18133731081139351</v>
      </c>
      <c r="R15" s="67">
        <f t="shared" si="0"/>
        <v>0.17799818997027284</v>
      </c>
      <c r="S15" s="61">
        <f t="shared" si="0"/>
        <v>0.17557014680297672</v>
      </c>
      <c r="T15" s="71">
        <f t="array" ref="T15:U15">LINEST(K15:S15,$K$2:$S$2)</f>
        <v>-4.3115407213577657E-2</v>
      </c>
      <c r="U15" s="71">
        <v>0.36450796544289565</v>
      </c>
      <c r="V15" s="71">
        <f t="shared" si="2"/>
        <v>1.4398053998214031</v>
      </c>
      <c r="W15" s="76">
        <f t="shared" si="3"/>
        <v>0.99006277916168794</v>
      </c>
      <c r="X15" s="59">
        <f t="array" ref="X15:Y15">LINEST(B15:J15,$K$2:$S$2)</f>
        <v>-5.3664144515757753E-2</v>
      </c>
      <c r="Y15" s="71">
        <v>1.4266132413624066</v>
      </c>
      <c r="Z15" s="76">
        <f t="shared" si="4"/>
        <v>0.98791012773039855</v>
      </c>
      <c r="AA15" s="76">
        <f t="shared" si="5"/>
        <v>0.85101079989717476</v>
      </c>
      <c r="AB15" s="76">
        <f t="shared" si="6"/>
        <v>0.84239918607451048</v>
      </c>
      <c r="AC15" s="59"/>
    </row>
    <row r="16" spans="1:29">
      <c r="A16" s="41" t="s">
        <v>80</v>
      </c>
      <c r="B16" s="54">
        <f>'[14]2000'!K$24</f>
        <v>1.333044375428845</v>
      </c>
      <c r="C16" s="40">
        <f>'[14]2000'!L$24</f>
        <v>1.2972507514545506</v>
      </c>
      <c r="D16" s="40">
        <f>'[14]2000'!M$24</f>
        <v>1.2691423531186306</v>
      </c>
      <c r="E16" s="40">
        <f>'[14]2000'!N$24</f>
        <v>1.2540828830470812</v>
      </c>
      <c r="F16" s="40">
        <f>'[14]2000'!O$24</f>
        <v>1.2450835724358407</v>
      </c>
      <c r="G16" s="40">
        <f>'[14]2000'!P$24</f>
        <v>1.2399504797661269</v>
      </c>
      <c r="H16" s="40">
        <f>'[14]2000'!Q$24</f>
        <v>1.2359442356366064</v>
      </c>
      <c r="I16" s="40">
        <f>'[14]2000'!R$24</f>
        <v>1.2341094254813656</v>
      </c>
      <c r="J16" s="55">
        <f>'[14]2000'!S$24</f>
        <v>1.2333929873842566</v>
      </c>
      <c r="K16" s="66">
        <f t="shared" si="1"/>
        <v>0.28746533053658269</v>
      </c>
      <c r="L16" s="67">
        <f t="shared" si="0"/>
        <v>0.26024721853287941</v>
      </c>
      <c r="M16" s="67">
        <f t="shared" si="0"/>
        <v>0.23834135983928478</v>
      </c>
      <c r="N16" s="67">
        <f t="shared" si="0"/>
        <v>0.22640453496043156</v>
      </c>
      <c r="O16" s="67">
        <f t="shared" si="0"/>
        <v>0.2192026541182818</v>
      </c>
      <c r="P16" s="67">
        <f t="shared" si="0"/>
        <v>0.21507144314701701</v>
      </c>
      <c r="Q16" s="67">
        <f t="shared" si="0"/>
        <v>0.21183524121884351</v>
      </c>
      <c r="R16" s="67">
        <f t="shared" si="0"/>
        <v>0.21034959698236669</v>
      </c>
      <c r="S16" s="61">
        <f t="shared" si="0"/>
        <v>0.20976889796176512</v>
      </c>
      <c r="T16" s="71">
        <f t="array" ref="T16:U16">LINEST(K16:S16,$K$2:$S$2)</f>
        <v>-3.6725862527839596E-2</v>
      </c>
      <c r="U16" s="71">
        <v>0.3677693606324014</v>
      </c>
      <c r="V16" s="71">
        <f t="shared" si="2"/>
        <v>1.4445088399456139</v>
      </c>
      <c r="W16" s="76">
        <f t="shared" si="3"/>
        <v>0.96979166628495073</v>
      </c>
      <c r="X16" s="59">
        <f t="array" ref="X16:Y16">LINEST(B16:J16,$K$2:$S$2)</f>
        <v>-4.692918145554334E-2</v>
      </c>
      <c r="Y16" s="71">
        <v>1.4350340279269029</v>
      </c>
      <c r="Z16" s="76">
        <f t="shared" si="4"/>
        <v>0.96733375658189913</v>
      </c>
      <c r="AA16" s="76">
        <f t="shared" si="5"/>
        <v>0.79752848775509355</v>
      </c>
      <c r="AB16" s="76">
        <f t="shared" si="6"/>
        <v>0.79059361238927317</v>
      </c>
      <c r="AC16" s="59"/>
    </row>
    <row r="17" spans="1:29">
      <c r="A17" s="41" t="s">
        <v>58</v>
      </c>
      <c r="B17" s="54">
        <f>'[15]2000'!K$24</f>
        <v>1.4488158168802765</v>
      </c>
      <c r="C17" s="40">
        <f>'[15]2000'!L$24</f>
        <v>1.3772698461965009</v>
      </c>
      <c r="D17" s="40">
        <f>'[15]2000'!M$24</f>
        <v>1.33286134896737</v>
      </c>
      <c r="E17" s="40">
        <f>'[15]2000'!N$24</f>
        <v>1.3104065938842495</v>
      </c>
      <c r="F17" s="40">
        <f>'[15]2000'!O$24</f>
        <v>1.3018592631885946</v>
      </c>
      <c r="G17" s="40">
        <f>'[15]2000'!P$24</f>
        <v>1.3027672864567084</v>
      </c>
      <c r="H17" s="40">
        <f>'[15]2000'!Q$24</f>
        <v>1.3090934331770356</v>
      </c>
      <c r="I17" s="40">
        <f>'[15]2000'!R$24</f>
        <v>1.3145741534748603</v>
      </c>
      <c r="J17" s="55">
        <f>'[15]2000'!S$24</f>
        <v>1.3216948690468169</v>
      </c>
      <c r="K17" s="66">
        <f t="shared" si="1"/>
        <v>0.37074654475571572</v>
      </c>
      <c r="L17" s="67">
        <f t="shared" si="0"/>
        <v>0.32010316728429228</v>
      </c>
      <c r="M17" s="67">
        <f t="shared" si="0"/>
        <v>0.28732802150866943</v>
      </c>
      <c r="N17" s="67">
        <f t="shared" si="0"/>
        <v>0.27033746606695752</v>
      </c>
      <c r="O17" s="67">
        <f t="shared" si="0"/>
        <v>0.26379344515483311</v>
      </c>
      <c r="P17" s="67">
        <f t="shared" si="0"/>
        <v>0.26449068392407094</v>
      </c>
      <c r="Q17" s="67">
        <f t="shared" si="0"/>
        <v>0.26933486190307221</v>
      </c>
      <c r="R17" s="67">
        <f t="shared" si="0"/>
        <v>0.273512775521286</v>
      </c>
      <c r="S17" s="61">
        <f t="shared" si="0"/>
        <v>0.27891490468800018</v>
      </c>
      <c r="T17" s="71">
        <f t="array" ref="T17:U17">LINEST(K17:S17,$K$2:$S$2)</f>
        <v>-4.3442420956194196E-2</v>
      </c>
      <c r="U17" s="71">
        <v>0.45055256525343512</v>
      </c>
      <c r="V17" s="71">
        <f t="shared" si="2"/>
        <v>1.5691790197796083</v>
      </c>
      <c r="W17" s="76">
        <f t="shared" si="3"/>
        <v>0.78384208882566353</v>
      </c>
      <c r="X17" s="59">
        <f t="array" ref="X17:Y17">LINEST(B17:J17,$K$2:$S$2)</f>
        <v>-5.9567665184181003E-2</v>
      </c>
      <c r="Y17" s="71">
        <v>1.5573726828055061</v>
      </c>
      <c r="Z17" s="76">
        <f t="shared" si="4"/>
        <v>0.78318961763163775</v>
      </c>
      <c r="AA17" s="76">
        <f t="shared" si="5"/>
        <v>0.50398813806524634</v>
      </c>
      <c r="AB17" s="76">
        <f t="shared" si="6"/>
        <v>0.50231083399587784</v>
      </c>
      <c r="AC17" s="59"/>
    </row>
    <row r="18" spans="1:29">
      <c r="A18" s="41" t="s">
        <v>38</v>
      </c>
      <c r="B18" s="54">
        <f>'[16]2000'!K$24</f>
        <v>1.3193656310596753</v>
      </c>
      <c r="C18" s="40">
        <f>'[16]2000'!L$24</f>
        <v>1.2668320843698671</v>
      </c>
      <c r="D18" s="40">
        <f>'[16]2000'!M$24</f>
        <v>1.2481884274968069</v>
      </c>
      <c r="E18" s="40">
        <f>'[16]2000'!N$24</f>
        <v>1.2353693886062498</v>
      </c>
      <c r="F18" s="40">
        <f>'[16]2000'!O$24</f>
        <v>1.2275720367568776</v>
      </c>
      <c r="G18" s="40">
        <f>'[16]2000'!P$24</f>
        <v>1.2235905996964451</v>
      </c>
      <c r="H18" s="40">
        <f>'[16]2000'!Q$24</f>
        <v>1.220435517139151</v>
      </c>
      <c r="I18" s="40">
        <f>'[16]2000'!R$24</f>
        <v>1.219127930649105</v>
      </c>
      <c r="J18" s="55">
        <f>'[16]2000'!S$24</f>
        <v>1.2189440766417452</v>
      </c>
      <c r="K18" s="66">
        <f t="shared" si="1"/>
        <v>0.27715103855093443</v>
      </c>
      <c r="L18" s="67">
        <f t="shared" si="1"/>
        <v>0.23651936246129612</v>
      </c>
      <c r="M18" s="67">
        <f t="shared" si="1"/>
        <v>0.22169324212152308</v>
      </c>
      <c r="N18" s="67">
        <f t="shared" si="1"/>
        <v>0.21137002544445926</v>
      </c>
      <c r="O18" s="67">
        <f t="shared" si="1"/>
        <v>0.20503826471358122</v>
      </c>
      <c r="P18" s="67">
        <f t="shared" si="1"/>
        <v>0.20178965076791638</v>
      </c>
      <c r="Q18" s="67">
        <f t="shared" si="1"/>
        <v>0.19920777630411379</v>
      </c>
      <c r="R18" s="67">
        <f t="shared" si="1"/>
        <v>0.19813579220265559</v>
      </c>
      <c r="S18" s="61">
        <f t="shared" si="1"/>
        <v>0.19798497302491314</v>
      </c>
      <c r="T18" s="71">
        <f t="array" ref="T18:U18">LINEST(K18:S18,$K$2:$S$2)</f>
        <v>-3.5133544581925351E-2</v>
      </c>
      <c r="U18" s="71">
        <v>0.34741616513982221</v>
      </c>
      <c r="V18" s="71">
        <f t="shared" si="2"/>
        <v>1.4154056453062391</v>
      </c>
      <c r="W18" s="76">
        <f t="shared" si="3"/>
        <v>0.93575222705856453</v>
      </c>
      <c r="X18" s="59">
        <f t="array" ref="X18:Y18">LINEST(B18:J18,$K$2:$S$2)</f>
        <v>-4.4361194314437039E-2</v>
      </c>
      <c r="Y18" s="71">
        <v>1.4074043190513592</v>
      </c>
      <c r="Z18" s="76">
        <f t="shared" si="4"/>
        <v>0.93071606725984946</v>
      </c>
      <c r="AA18" s="76">
        <f t="shared" si="5"/>
        <v>0.72215157967287857</v>
      </c>
      <c r="AB18" s="76">
        <f t="shared" si="6"/>
        <v>0.7135366968489727</v>
      </c>
      <c r="AC18" s="59"/>
    </row>
    <row r="19" spans="1:29">
      <c r="A19" s="41" t="s">
        <v>81</v>
      </c>
      <c r="B19" s="54">
        <f>'[17]2000'!K$24</f>
        <v>1.3897112960764897</v>
      </c>
      <c r="C19" s="40">
        <f>'[17]2000'!L$24</f>
        <v>1.3789645464267373</v>
      </c>
      <c r="D19" s="40">
        <f>'[17]2000'!M$24</f>
        <v>1.4345760151247269</v>
      </c>
      <c r="E19" s="40">
        <f>'[17]2000'!N$24</f>
        <v>1.4385434202611773</v>
      </c>
      <c r="F19" s="40">
        <f>'[17]2000'!O$24</f>
        <v>1.4430980214790774</v>
      </c>
      <c r="G19" s="40">
        <f>'[17]2000'!P$24</f>
        <v>1.4504032271365455</v>
      </c>
      <c r="H19" s="40">
        <f>'[17]2000'!Q$24</f>
        <v>1.4583947115917961</v>
      </c>
      <c r="I19" s="40">
        <f>'[17]2000'!R$24</f>
        <v>1.4620608998697906</v>
      </c>
      <c r="J19" s="55">
        <f>'[17]2000'!S$24</f>
        <v>1.4625638767711695</v>
      </c>
      <c r="K19" s="66">
        <f t="shared" si="1"/>
        <v>0.32909602490543433</v>
      </c>
      <c r="L19" s="67">
        <f t="shared" si="1"/>
        <v>0.32133288885538552</v>
      </c>
      <c r="M19" s="67">
        <f t="shared" si="1"/>
        <v>0.36086934571132956</v>
      </c>
      <c r="N19" s="67">
        <f t="shared" si="1"/>
        <v>0.36363108795516119</v>
      </c>
      <c r="O19" s="67">
        <f t="shared" si="1"/>
        <v>0.36679220643759658</v>
      </c>
      <c r="P19" s="67">
        <f t="shared" si="1"/>
        <v>0.37184160545364714</v>
      </c>
      <c r="Q19" s="67">
        <f t="shared" si="1"/>
        <v>0.3773363182044554</v>
      </c>
      <c r="R19" s="67">
        <f t="shared" si="1"/>
        <v>0.37984701563772927</v>
      </c>
      <c r="S19" s="61">
        <f t="shared" si="1"/>
        <v>0.38019097559481851</v>
      </c>
      <c r="T19" s="71">
        <f t="array" ref="T19:U19">LINEST(K19:S19,$K$2:$S$2)</f>
        <v>2.7822190884242225E-2</v>
      </c>
      <c r="U19" s="71">
        <v>0.2575773247863527</v>
      </c>
      <c r="V19" s="71">
        <f t="shared" si="2"/>
        <v>1.2937918492908769</v>
      </c>
      <c r="W19" s="76">
        <f t="shared" si="3"/>
        <v>0.85674687284173523</v>
      </c>
      <c r="X19" s="59">
        <f t="array" ref="X19:Y19">LINEST(B19:J19,$K$2:$S$2)</f>
        <v>3.9597084975402763E-2</v>
      </c>
      <c r="Y19" s="71">
        <v>1.2878688939838721</v>
      </c>
      <c r="Z19" s="76">
        <f t="shared" si="4"/>
        <v>0.86009240882227389</v>
      </c>
      <c r="AA19" s="76">
        <f t="shared" si="5"/>
        <v>0.79023466122575214</v>
      </c>
      <c r="AB19" s="76">
        <f t="shared" si="6"/>
        <v>0.79577490264268202</v>
      </c>
      <c r="AC19" s="59"/>
    </row>
    <row r="20" spans="1:29">
      <c r="A20" s="41" t="s">
        <v>39</v>
      </c>
      <c r="B20" s="54">
        <f>'[18]2000'!K$24</f>
        <v>1.3702791459157309</v>
      </c>
      <c r="C20" s="40">
        <f>'[18]2000'!L$24</f>
        <v>1.3591508074014103</v>
      </c>
      <c r="D20" s="40">
        <f>'[18]2000'!M$24</f>
        <v>1.3256758820161785</v>
      </c>
      <c r="E20" s="40">
        <f>'[18]2000'!N$24</f>
        <v>1.3021894411274739</v>
      </c>
      <c r="F20" s="40">
        <f>'[18]2000'!O$24</f>
        <v>1.2854059986592492</v>
      </c>
      <c r="G20" s="40">
        <f>'[18]2000'!P$24</f>
        <v>1.2697550623600664</v>
      </c>
      <c r="H20" s="40">
        <f>'[18]2000'!Q$24</f>
        <v>1.2582598860553782</v>
      </c>
      <c r="I20" s="40">
        <f>'[18]2000'!R$24</f>
        <v>1.2496789685528904</v>
      </c>
      <c r="J20" s="55">
        <f>'[18]2000'!S$24</f>
        <v>1.2429210709119736</v>
      </c>
      <c r="K20" s="66">
        <f t="shared" si="1"/>
        <v>0.31501447522743925</v>
      </c>
      <c r="L20" s="67">
        <f t="shared" si="1"/>
        <v>0.30686009840265382</v>
      </c>
      <c r="M20" s="67">
        <f t="shared" si="1"/>
        <v>0.28192242901644449</v>
      </c>
      <c r="N20" s="67">
        <f t="shared" si="1"/>
        <v>0.26404703330017115</v>
      </c>
      <c r="O20" s="67">
        <f t="shared" si="1"/>
        <v>0.25107462070878461</v>
      </c>
      <c r="P20" s="67">
        <f t="shared" si="1"/>
        <v>0.23882401758638008</v>
      </c>
      <c r="Q20" s="67">
        <f t="shared" si="1"/>
        <v>0.22972972363164693</v>
      </c>
      <c r="R20" s="67">
        <f t="shared" si="1"/>
        <v>0.22288669317129353</v>
      </c>
      <c r="S20" s="61">
        <f t="shared" si="1"/>
        <v>0.21746431164837596</v>
      </c>
      <c r="T20" s="71">
        <f t="array" ref="T20:U20">LINEST(K20:S20,$K$2:$S$2)</f>
        <v>-4.889210468408265E-2</v>
      </c>
      <c r="U20" s="71">
        <v>0.44077064163255075</v>
      </c>
      <c r="V20" s="71">
        <f t="shared" si="2"/>
        <v>1.5539042605230455</v>
      </c>
      <c r="W20" s="76">
        <f t="shared" si="3"/>
        <v>0.95735413110304446</v>
      </c>
      <c r="X20" s="59">
        <f t="array" ref="X20:Y20">LINEST(B20:J20,$K$2:$S$2)</f>
        <v>-6.3917138185581771E-2</v>
      </c>
      <c r="Y20" s="71">
        <v>1.5340160316921498</v>
      </c>
      <c r="Z20" s="76">
        <f t="shared" si="4"/>
        <v>0.96000443915647693</v>
      </c>
      <c r="AA20" s="76">
        <f t="shared" si="5"/>
        <v>0.9605271432265261</v>
      </c>
      <c r="AB20" s="76">
        <f t="shared" si="6"/>
        <v>0.9559912597114093</v>
      </c>
      <c r="AC20" s="59"/>
    </row>
    <row r="21" spans="1:29">
      <c r="A21" s="41" t="s">
        <v>40</v>
      </c>
      <c r="B21" s="54">
        <f>'[19]2000'!K$24</f>
        <v>1.3488678199601605</v>
      </c>
      <c r="C21" s="40">
        <f>'[19]2000'!L$24</f>
        <v>1.2928614336114883</v>
      </c>
      <c r="D21" s="40">
        <f>'[19]2000'!M$24</f>
        <v>1.2574853167659508</v>
      </c>
      <c r="E21" s="40">
        <f>'[19]2000'!N$24</f>
        <v>1.2352371312880448</v>
      </c>
      <c r="F21" s="40">
        <f>'[19]2000'!O$24</f>
        <v>1.2195803066681994</v>
      </c>
      <c r="G21" s="40">
        <f>'[19]2000'!P$24</f>
        <v>1.2090913485990811</v>
      </c>
      <c r="H21" s="40">
        <f>'[19]2000'!Q$24</f>
        <v>1.2012103014721891</v>
      </c>
      <c r="I21" s="40">
        <f>'[19]2000'!R$24</f>
        <v>1.1955482791344592</v>
      </c>
      <c r="J21" s="55">
        <f>'[19]2000'!S$24</f>
        <v>1.1911732672424977</v>
      </c>
      <c r="K21" s="66">
        <f t="shared" si="1"/>
        <v>0.29926558870374437</v>
      </c>
      <c r="L21" s="67">
        <f t="shared" si="1"/>
        <v>0.25685792746653002</v>
      </c>
      <c r="M21" s="67">
        <f t="shared" si="1"/>
        <v>0.22911394639551508</v>
      </c>
      <c r="N21" s="67">
        <f t="shared" si="1"/>
        <v>0.21126296078866211</v>
      </c>
      <c r="O21" s="67">
        <f t="shared" si="1"/>
        <v>0.19850678863212659</v>
      </c>
      <c r="P21" s="67">
        <f t="shared" si="1"/>
        <v>0.18986912593227084</v>
      </c>
      <c r="Q21" s="67">
        <f t="shared" si="1"/>
        <v>0.18332963307443803</v>
      </c>
      <c r="R21" s="67">
        <f t="shared" si="1"/>
        <v>0.17860489115307371</v>
      </c>
      <c r="S21" s="61">
        <f t="shared" si="1"/>
        <v>0.17493876026419566</v>
      </c>
      <c r="T21" s="71">
        <f t="array" ref="T21:U21">LINEST(K21:S21,$K$2:$S$2)</f>
        <v>-5.7679793141313697E-2</v>
      </c>
      <c r="U21" s="71">
        <v>0.428385563331107</v>
      </c>
      <c r="V21" s="71">
        <f t="shared" si="2"/>
        <v>1.5347777209135003</v>
      </c>
      <c r="W21" s="76">
        <f t="shared" si="3"/>
        <v>0.99184227516176227</v>
      </c>
      <c r="X21" s="59">
        <f t="array" ref="X21:Y21">LINEST(B21:J21,$K$2:$S$2)</f>
        <v>-7.2842515167688901E-2</v>
      </c>
      <c r="Y21" s="71">
        <v>1.5103452581317625</v>
      </c>
      <c r="Z21" s="76">
        <f t="shared" si="4"/>
        <v>0.98905868612340175</v>
      </c>
      <c r="AA21" s="76">
        <f t="shared" si="5"/>
        <v>0.85728031671898641</v>
      </c>
      <c r="AB21" s="76">
        <f t="shared" si="6"/>
        <v>0.84567972155952553</v>
      </c>
      <c r="AC21" s="59"/>
    </row>
    <row r="22" spans="1:29">
      <c r="A22" s="41" t="s">
        <v>85</v>
      </c>
      <c r="B22" s="52">
        <f>'[20]2000'!K$24</f>
        <v>1.3681548557259369</v>
      </c>
      <c r="C22" s="39">
        <f>'[20]2000'!L$24</f>
        <v>1.3832293494151615</v>
      </c>
      <c r="D22" s="39">
        <f>'[20]2000'!M$24</f>
        <v>1.358982264831871</v>
      </c>
      <c r="E22" s="39">
        <f>'[20]2000'!N$24</f>
        <v>1.3487422082338905</v>
      </c>
      <c r="F22" s="39">
        <f>'[20]2000'!O$24</f>
        <v>1.3428497354800004</v>
      </c>
      <c r="G22" s="39">
        <f>'[20]2000'!P$24</f>
        <v>1.3357289838271622</v>
      </c>
      <c r="H22" s="39">
        <f>'[20]2000'!Q$24</f>
        <v>1.3290744574755469</v>
      </c>
      <c r="I22" s="39">
        <f>'[20]2000'!R$24</f>
        <v>1.3211799054302493</v>
      </c>
      <c r="J22" s="53">
        <f>'[20]2000'!S$24</f>
        <v>1.3180757902251596</v>
      </c>
      <c r="K22" s="66">
        <f t="shared" si="1"/>
        <v>0.31346301142394806</v>
      </c>
      <c r="L22" s="67">
        <f t="shared" si="1"/>
        <v>0.32442087365168543</v>
      </c>
      <c r="M22" s="67">
        <f t="shared" si="1"/>
        <v>0.30673608492334559</v>
      </c>
      <c r="N22" s="67">
        <f t="shared" si="1"/>
        <v>0.29917246054582092</v>
      </c>
      <c r="O22" s="67">
        <f t="shared" si="1"/>
        <v>0.2947940240735164</v>
      </c>
      <c r="P22" s="67">
        <f t="shared" si="1"/>
        <v>0.28947719811951333</v>
      </c>
      <c r="Q22" s="67">
        <f t="shared" si="1"/>
        <v>0.28448280335027887</v>
      </c>
      <c r="R22" s="67">
        <f t="shared" si="1"/>
        <v>0.27852520508659812</v>
      </c>
      <c r="S22" s="61">
        <f t="shared" si="1"/>
        <v>0.27617293839148693</v>
      </c>
      <c r="T22" s="71">
        <f t="array" ref="T22:U22">LINEST(K22:S22,$K$2:$S$2)</f>
        <v>-2.0456791805358126E-2</v>
      </c>
      <c r="U22" s="71">
        <v>0.37256227264531511</v>
      </c>
      <c r="V22" s="71">
        <f t="shared" si="2"/>
        <v>1.4514488618891073</v>
      </c>
      <c r="W22" s="76">
        <f t="shared" si="3"/>
        <v>0.82006373755471984</v>
      </c>
      <c r="X22" s="59">
        <f t="array" ref="X22:Y22">LINEST(B22:J22,$K$2:$S$2)</f>
        <v>-2.758177970291225E-2</v>
      </c>
      <c r="Y22" s="71">
        <v>1.4478554765594243</v>
      </c>
      <c r="Z22" s="76">
        <f t="shared" si="4"/>
        <v>0.81917813237827575</v>
      </c>
      <c r="AA22" s="76">
        <f t="shared" si="5"/>
        <v>0.91789065963642402</v>
      </c>
      <c r="AB22" s="76">
        <f t="shared" si="6"/>
        <v>0.91474231427313035</v>
      </c>
      <c r="AC22" s="59"/>
    </row>
    <row r="23" spans="1:29">
      <c r="A23" s="41" t="s">
        <v>41</v>
      </c>
      <c r="B23" s="52">
        <f>'[21]2000'!K$24</f>
        <v>1.4208874155489499</v>
      </c>
      <c r="C23" s="39">
        <f>'[21]2000'!L$24</f>
        <v>1.3974871890605931</v>
      </c>
      <c r="D23" s="39">
        <f>'[21]2000'!M$24</f>
        <v>1.3650878893320424</v>
      </c>
      <c r="E23" s="39">
        <f>'[21]2000'!N$24</f>
        <v>1.3444632410423609</v>
      </c>
      <c r="F23" s="39">
        <f>'[21]2000'!O$24</f>
        <v>1.3281521441278763</v>
      </c>
      <c r="G23" s="39">
        <f>'[21]2000'!P$24</f>
        <v>1.3149776646779339</v>
      </c>
      <c r="H23" s="39">
        <f>'[21]2000'!Q$24</f>
        <v>1.3068389112987391</v>
      </c>
      <c r="I23" s="39">
        <f>'[21]2000'!R$24</f>
        <v>1.3007096204396755</v>
      </c>
      <c r="J23" s="53">
        <f>'[21]2000'!S$24</f>
        <v>1.2965501526898231</v>
      </c>
      <c r="K23" s="66">
        <f t="shared" si="1"/>
        <v>0.35128161694658633</v>
      </c>
      <c r="L23" s="67">
        <f t="shared" si="1"/>
        <v>0.33467575896437912</v>
      </c>
      <c r="M23" s="67">
        <f t="shared" si="1"/>
        <v>0.3112188143531604</v>
      </c>
      <c r="N23" s="67">
        <f t="shared" si="1"/>
        <v>0.29599485610934262</v>
      </c>
      <c r="O23" s="67">
        <f t="shared" si="1"/>
        <v>0.28378861085337037</v>
      </c>
      <c r="P23" s="67">
        <f t="shared" si="1"/>
        <v>0.2738196804496888</v>
      </c>
      <c r="Q23" s="67">
        <f t="shared" si="1"/>
        <v>0.26761117631826964</v>
      </c>
      <c r="R23" s="67">
        <f t="shared" si="1"/>
        <v>0.26290997741576411</v>
      </c>
      <c r="S23" s="61">
        <f t="shared" si="1"/>
        <v>0.25970700838749322</v>
      </c>
      <c r="T23" s="71">
        <f t="array" ref="T23:U23">LINEST(K23:S23,$K$2:$S$2)</f>
        <v>-4.5174648121845198E-2</v>
      </c>
      <c r="U23" s="71">
        <v>0.46172131040520142</v>
      </c>
      <c r="V23" s="71">
        <f t="shared" si="2"/>
        <v>1.5868030161084654</v>
      </c>
      <c r="W23" s="76">
        <f t="shared" si="3"/>
        <v>0.98394288891121806</v>
      </c>
      <c r="X23" s="59">
        <f t="array" ref="X23:Y23">LINEST(B23:J23,$K$2:$S$2)</f>
        <v>-6.1265926988389868E-2</v>
      </c>
      <c r="Y23" s="71">
        <v>1.5699000164064425</v>
      </c>
      <c r="Z23" s="76">
        <f t="shared" si="4"/>
        <v>0.98513240487832676</v>
      </c>
      <c r="AA23" s="76">
        <f t="shared" si="5"/>
        <v>0.92705102536225137</v>
      </c>
      <c r="AB23" s="76">
        <f t="shared" si="6"/>
        <v>0.92134764854367379</v>
      </c>
      <c r="AC23" s="59"/>
    </row>
    <row r="24" spans="1:29">
      <c r="A24" s="41" t="s">
        <v>75</v>
      </c>
      <c r="B24" s="52">
        <f>'[22]2000'!K$24</f>
        <v>1.3468144074036565</v>
      </c>
      <c r="C24" s="39">
        <f>'[22]2000'!L$24</f>
        <v>1.3100545868250937</v>
      </c>
      <c r="D24" s="39">
        <f>'[22]2000'!M$24</f>
        <v>1.2891952834704137</v>
      </c>
      <c r="E24" s="39">
        <f>'[22]2000'!N$24</f>
        <v>1.2721274780071143</v>
      </c>
      <c r="F24" s="39">
        <f>'[22]2000'!O$24</f>
        <v>1.260951367742545</v>
      </c>
      <c r="G24" s="39">
        <f>'[22]2000'!P$24</f>
        <v>1.2505370553354251</v>
      </c>
      <c r="H24" s="39">
        <f>'[22]2000'!Q$24</f>
        <v>1.2430838792741741</v>
      </c>
      <c r="I24" s="39">
        <f>'[22]2000'!R$24</f>
        <v>1.236981758474198</v>
      </c>
      <c r="J24" s="53">
        <f>'[22]2000'!S$24</f>
        <v>1.2336222029544657</v>
      </c>
      <c r="K24" s="66">
        <f t="shared" si="1"/>
        <v>0.29774210575547694</v>
      </c>
      <c r="L24" s="67">
        <f t="shared" si="1"/>
        <v>0.27006880567705027</v>
      </c>
      <c r="M24" s="67">
        <f t="shared" si="1"/>
        <v>0.25401821245913486</v>
      </c>
      <c r="N24" s="67">
        <f t="shared" si="1"/>
        <v>0.24069067845543826</v>
      </c>
      <c r="O24" s="67">
        <f t="shared" si="1"/>
        <v>0.23186648981762378</v>
      </c>
      <c r="P24" s="67">
        <f t="shared" si="1"/>
        <v>0.2235731033118793</v>
      </c>
      <c r="Q24" s="67">
        <f t="shared" si="1"/>
        <v>0.21759529156651417</v>
      </c>
      <c r="R24" s="67">
        <f t="shared" si="1"/>
        <v>0.21267434671649196</v>
      </c>
      <c r="S24" s="61">
        <f t="shared" si="1"/>
        <v>0.20995472216890115</v>
      </c>
      <c r="T24" s="71">
        <f t="array" ref="T24:U24">LINEST(K24:S24,$K$2:$S$2)</f>
        <v>-4.0876493552504924E-2</v>
      </c>
      <c r="U24" s="71">
        <v>0.39206355741656962</v>
      </c>
      <c r="V24" s="71">
        <f t="shared" si="2"/>
        <v>1.4800317754091101</v>
      </c>
      <c r="W24" s="76">
        <f t="shared" si="3"/>
        <v>0.99899238341096885</v>
      </c>
      <c r="X24" s="59">
        <f t="array" ref="X24:Y24">LINEST(B24:J24,$K$2:$S$2)</f>
        <v>-5.2580720884722446E-2</v>
      </c>
      <c r="Y24" s="71">
        <v>1.4673490659804447</v>
      </c>
      <c r="Z24" s="76">
        <f t="shared" si="4"/>
        <v>0.99875553686867724</v>
      </c>
      <c r="AA24" s="76">
        <f t="shared" si="5"/>
        <v>0.90560780158098775</v>
      </c>
      <c r="AB24" s="76">
        <f t="shared" si="6"/>
        <v>0.8982873517067701</v>
      </c>
      <c r="AC24" s="59"/>
    </row>
    <row r="25" spans="1:29">
      <c r="A25" s="41" t="s">
        <v>63</v>
      </c>
      <c r="B25" s="54">
        <f>'[23]2000'!K$24</f>
        <v>1.3370217985664918</v>
      </c>
      <c r="C25" s="40">
        <f>'[23]2000'!L$24</f>
        <v>1.3363866242621312</v>
      </c>
      <c r="D25" s="40">
        <f>'[23]2000'!M$24</f>
        <v>1.3357992608385252</v>
      </c>
      <c r="E25" s="40">
        <f>'[23]2000'!N$24</f>
        <v>1.3380426267568104</v>
      </c>
      <c r="F25" s="40">
        <f>'[23]2000'!O$24</f>
        <v>1.3387178028445357</v>
      </c>
      <c r="G25" s="40">
        <f>'[23]2000'!P$24</f>
        <v>1.3388863814804914</v>
      </c>
      <c r="H25" s="40">
        <f>'[23]2000'!Q$24</f>
        <v>1.3374697435173433</v>
      </c>
      <c r="I25" s="40">
        <f>'[23]2000'!R$24</f>
        <v>1.3364317768339691</v>
      </c>
      <c r="J25" s="55">
        <f>'[23]2000'!S$24</f>
        <v>1.3361795601528677</v>
      </c>
      <c r="K25" s="66">
        <f t="shared" si="1"/>
        <v>0.29044460207552109</v>
      </c>
      <c r="L25" s="67">
        <f t="shared" si="1"/>
        <v>0.28996942266717596</v>
      </c>
      <c r="M25" s="67">
        <f t="shared" si="1"/>
        <v>0.28952980996183203</v>
      </c>
      <c r="N25" s="67">
        <f t="shared" si="1"/>
        <v>0.29120781976120202</v>
      </c>
      <c r="O25" s="67">
        <f t="shared" si="1"/>
        <v>0.29171229232779983</v>
      </c>
      <c r="P25" s="67">
        <f t="shared" si="1"/>
        <v>0.2918382098455311</v>
      </c>
      <c r="Q25" s="67">
        <f t="shared" si="1"/>
        <v>0.29077957786287467</v>
      </c>
      <c r="R25" s="67">
        <f t="shared" si="1"/>
        <v>0.29000320915399724</v>
      </c>
      <c r="S25" s="61">
        <f t="shared" si="1"/>
        <v>0.28981446739543354</v>
      </c>
      <c r="T25" s="71">
        <f t="array" ref="T25:U25">LINEST(K25:S25,$K$2:$S$2)</f>
        <v>1.8462049999403555E-4</v>
      </c>
      <c r="U25" s="71">
        <v>0.28990111017342562</v>
      </c>
      <c r="V25" s="71">
        <f t="shared" si="2"/>
        <v>1.336295335477331</v>
      </c>
      <c r="W25" s="76">
        <f t="shared" si="3"/>
        <v>2.4699854312485989E-2</v>
      </c>
      <c r="X25" s="59">
        <f t="array" ref="X25:Y25">LINEST(B25:J25,$K$2:$S$2)</f>
        <v>2.470122086441026E-4</v>
      </c>
      <c r="Y25" s="71">
        <v>1.3362949408786586</v>
      </c>
      <c r="Z25" s="76">
        <f t="shared" si="4"/>
        <v>2.4720283894753933E-2</v>
      </c>
      <c r="AA25" s="76">
        <f t="shared" si="5"/>
        <v>1.4741737640154801E-3</v>
      </c>
      <c r="AB25" s="76">
        <f t="shared" si="6"/>
        <v>1.4762736303838855E-3</v>
      </c>
      <c r="AC25" s="59"/>
    </row>
    <row r="26" spans="1:29">
      <c r="A26" s="41" t="s">
        <v>64</v>
      </c>
      <c r="B26" s="52">
        <f>'[24]2000'!K$24</f>
        <v>1.3204750649321098</v>
      </c>
      <c r="C26" s="39">
        <f>'[24]2000'!L$24</f>
        <v>1.2842805673772817</v>
      </c>
      <c r="D26" s="39">
        <f>'[24]2000'!M$24</f>
        <v>1.2561116913129733</v>
      </c>
      <c r="E26" s="39">
        <f>'[24]2000'!N$24</f>
        <v>1.2435201666903379</v>
      </c>
      <c r="F26" s="39">
        <f>'[24]2000'!O$24</f>
        <v>1.2352861702677442</v>
      </c>
      <c r="G26" s="39">
        <f>'[24]2000'!P$24</f>
        <v>1.2308234563011322</v>
      </c>
      <c r="H26" s="39">
        <f>'[24]2000'!Q$24</f>
        <v>1.2292552252506423</v>
      </c>
      <c r="I26" s="39">
        <f>'[24]2000'!R$24</f>
        <v>1.2302944348754707</v>
      </c>
      <c r="J26" s="53">
        <f>'[24]2000'!S$24</f>
        <v>1.2331588006074046</v>
      </c>
      <c r="K26" s="66">
        <f t="shared" si="1"/>
        <v>0.27799156952648624</v>
      </c>
      <c r="L26" s="67">
        <f t="shared" si="1"/>
        <v>0.25019869181628879</v>
      </c>
      <c r="M26" s="67">
        <f t="shared" si="1"/>
        <v>0.22802099029690295</v>
      </c>
      <c r="N26" s="67">
        <f t="shared" si="1"/>
        <v>0.21794620181404542</v>
      </c>
      <c r="O26" s="67">
        <f t="shared" si="1"/>
        <v>0.2113026600537328</v>
      </c>
      <c r="P26" s="67">
        <f t="shared" si="1"/>
        <v>0.20768342205237847</v>
      </c>
      <c r="Q26" s="67">
        <f t="shared" si="1"/>
        <v>0.20640847806405996</v>
      </c>
      <c r="R26" s="67">
        <f t="shared" si="1"/>
        <v>0.20725351868553388</v>
      </c>
      <c r="S26" s="61">
        <f t="shared" si="1"/>
        <v>0.20957900794713344</v>
      </c>
      <c r="T26" s="71">
        <f t="array" ref="T26:U26">LINEST(K26:S26,$K$2:$S$2)</f>
        <v>-3.3047611353444015E-2</v>
      </c>
      <c r="U26" s="71">
        <v>0.34714542164284917</v>
      </c>
      <c r="V26" s="71">
        <f t="shared" si="2"/>
        <v>1.4150224853035736</v>
      </c>
      <c r="W26" s="76">
        <f t="shared" si="3"/>
        <v>0.92632079698948178</v>
      </c>
      <c r="X26" s="59">
        <f t="array" ref="X26:Y26">LINEST(B26:J26,$K$2:$S$2)</f>
        <v>-4.1964775611422173E-2</v>
      </c>
      <c r="Y26" s="71">
        <v>1.4077865106684624</v>
      </c>
      <c r="Z26" s="76">
        <f t="shared" si="4"/>
        <v>0.92394587836682107</v>
      </c>
      <c r="AA26" s="76">
        <f t="shared" si="5"/>
        <v>0.71014187560795616</v>
      </c>
      <c r="AB26" s="76">
        <f t="shared" si="6"/>
        <v>0.70496146611017274</v>
      </c>
      <c r="AC26" s="59"/>
    </row>
    <row r="27" spans="1:29">
      <c r="A27" s="41" t="s">
        <v>42</v>
      </c>
      <c r="B27" s="52">
        <f>'[25]2000'!K$24</f>
        <v>1.4104777673151672</v>
      </c>
      <c r="C27" s="39">
        <f>'[25]2000'!L$24</f>
        <v>1.3638472371305759</v>
      </c>
      <c r="D27" s="39">
        <f>'[25]2000'!M$24</f>
        <v>1.3315074307179493</v>
      </c>
      <c r="E27" s="39">
        <f>'[25]2000'!N$24</f>
        <v>1.3133710009486699</v>
      </c>
      <c r="F27" s="39">
        <f>'[25]2000'!O$24</f>
        <v>1.3023257892532003</v>
      </c>
      <c r="G27" s="39">
        <f>'[25]2000'!P$24</f>
        <v>1.296112586143717</v>
      </c>
      <c r="H27" s="39">
        <f>'[25]2000'!Q$24</f>
        <v>1.2944463386591094</v>
      </c>
      <c r="I27" s="39">
        <f>'[25]2000'!R$24</f>
        <v>1.2954053626339028</v>
      </c>
      <c r="J27" s="53">
        <f>'[25]2000'!S$24</f>
        <v>1.3000371072973886</v>
      </c>
      <c r="K27" s="66">
        <f t="shared" si="1"/>
        <v>0.34392848906356266</v>
      </c>
      <c r="L27" s="67">
        <f t="shared" si="1"/>
        <v>0.3103095569106426</v>
      </c>
      <c r="M27" s="67">
        <f t="shared" si="1"/>
        <v>0.28631170696821867</v>
      </c>
      <c r="N27" s="67">
        <f t="shared" si="1"/>
        <v>0.27259711515582602</v>
      </c>
      <c r="O27" s="67">
        <f t="shared" si="1"/>
        <v>0.26415173464671005</v>
      </c>
      <c r="P27" s="67">
        <f t="shared" si="1"/>
        <v>0.25936946618140017</v>
      </c>
      <c r="Q27" s="67">
        <f t="shared" si="1"/>
        <v>0.25808306601622077</v>
      </c>
      <c r="R27" s="67">
        <f t="shared" si="1"/>
        <v>0.25882366750946401</v>
      </c>
      <c r="S27" s="61">
        <f t="shared" si="1"/>
        <v>0.26239280813503102</v>
      </c>
      <c r="T27" s="71">
        <f t="array" ref="T27:U27">LINEST(K27:S27,$K$2:$S$2)</f>
        <v>-3.9728811497144204E-2</v>
      </c>
      <c r="U27" s="71">
        <v>0.42754219148927175</v>
      </c>
      <c r="V27" s="71">
        <f t="shared" si="2"/>
        <v>1.5334838782721214</v>
      </c>
      <c r="W27" s="76">
        <f t="shared" si="3"/>
        <v>0.93135044524086286</v>
      </c>
      <c r="X27" s="59">
        <f t="array" ref="X27:Y27">LINEST(B27:J27,$K$2:$S$2)</f>
        <v>-5.3469035684860257E-2</v>
      </c>
      <c r="Y27" s="71">
        <v>1.5222316701117902</v>
      </c>
      <c r="Z27" s="76">
        <f t="shared" si="4"/>
        <v>0.92872628252272327</v>
      </c>
      <c r="AA27" s="76">
        <f t="shared" si="5"/>
        <v>0.71955228514302771</v>
      </c>
      <c r="AB27" s="76">
        <f t="shared" si="6"/>
        <v>0.71339806393689498</v>
      </c>
      <c r="AC27" s="59"/>
    </row>
    <row r="28" spans="1:29">
      <c r="A28" s="41" t="s">
        <v>43</v>
      </c>
      <c r="B28" s="54">
        <f>'[26]2000'!K$24</f>
        <v>1.3956795616705349</v>
      </c>
      <c r="C28" s="40">
        <f>'[26]2000'!L$24</f>
        <v>1.3532646739122924</v>
      </c>
      <c r="D28" s="40">
        <f>'[26]2000'!M$24</f>
        <v>1.3251931697179655</v>
      </c>
      <c r="E28" s="40">
        <f>'[26]2000'!N$24</f>
        <v>1.3040973992371134</v>
      </c>
      <c r="F28" s="40">
        <f>'[26]2000'!O$24</f>
        <v>1.2855937423383883</v>
      </c>
      <c r="G28" s="40">
        <f>'[26]2000'!P$24</f>
        <v>1.2742871207174382</v>
      </c>
      <c r="H28" s="40">
        <f>'[26]2000'!Q$24</f>
        <v>1.2681540262370201</v>
      </c>
      <c r="I28" s="40">
        <f>'[26]2000'!R$24</f>
        <v>1.2654725937451707</v>
      </c>
      <c r="J28" s="55">
        <f>'[26]2000'!S$24</f>
        <v>1.264721877219898</v>
      </c>
      <c r="K28" s="66">
        <f t="shared" si="1"/>
        <v>0.33338143764114264</v>
      </c>
      <c r="L28" s="67">
        <f t="shared" si="1"/>
        <v>0.30251995009619537</v>
      </c>
      <c r="M28" s="67">
        <f t="shared" si="1"/>
        <v>0.2815582372784689</v>
      </c>
      <c r="N28" s="67">
        <f t="shared" si="1"/>
        <v>0.26551115338160092</v>
      </c>
      <c r="O28" s="67">
        <f t="shared" si="1"/>
        <v>0.2512206679265101</v>
      </c>
      <c r="P28" s="67">
        <f t="shared" si="1"/>
        <v>0.24238690123802112</v>
      </c>
      <c r="Q28" s="67">
        <f t="shared" si="1"/>
        <v>0.23756232043369019</v>
      </c>
      <c r="R28" s="67">
        <f t="shared" si="1"/>
        <v>0.23544564430482373</v>
      </c>
      <c r="S28" s="61">
        <f t="shared" si="1"/>
        <v>0.23485223810153252</v>
      </c>
      <c r="T28" s="71">
        <f t="array" ref="T28:U28">LINEST(K28:S28,$K$2:$S$2)</f>
        <v>-4.7859990114818278E-2</v>
      </c>
      <c r="U28" s="71">
        <v>0.44321657612814447</v>
      </c>
      <c r="V28" s="71">
        <f t="shared" si="2"/>
        <v>1.5577096605391128</v>
      </c>
      <c r="W28" s="76">
        <f t="shared" si="3"/>
        <v>0.98806188467208067</v>
      </c>
      <c r="X28" s="59">
        <f t="array" ref="X28:Y28">LINEST(B28:J28,$K$2:$S$2)</f>
        <v>-6.3335769413249518E-2</v>
      </c>
      <c r="Y28" s="71">
        <v>1.539977971631197</v>
      </c>
      <c r="Z28" s="76">
        <f t="shared" si="4"/>
        <v>0.98733726389983678</v>
      </c>
      <c r="AA28" s="76">
        <f t="shared" si="5"/>
        <v>0.86694879351267495</v>
      </c>
      <c r="AB28" s="76">
        <f t="shared" si="6"/>
        <v>0.85929135125979361</v>
      </c>
      <c r="AC28" s="59"/>
    </row>
    <row r="29" spans="1:29">
      <c r="A29" s="41" t="s">
        <v>44</v>
      </c>
      <c r="B29" s="54">
        <f>'[27]2000'!K$24</f>
        <v>1.2891527648949177</v>
      </c>
      <c r="C29" s="40">
        <f>'[27]2000'!L$24</f>
        <v>1.2361322131572663</v>
      </c>
      <c r="D29" s="40">
        <f>'[27]2000'!M$24</f>
        <v>1.2090232904836757</v>
      </c>
      <c r="E29" s="40">
        <f>'[27]2000'!N$24</f>
        <v>1.194758035210173</v>
      </c>
      <c r="F29" s="40">
        <f>'[27]2000'!O$24</f>
        <v>1.1856457781021521</v>
      </c>
      <c r="G29" s="40">
        <f>'[27]2000'!P$24</f>
        <v>1.1797064153855987</v>
      </c>
      <c r="H29" s="40">
        <f>'[27]2000'!Q$24</f>
        <v>1.1757944886828606</v>
      </c>
      <c r="I29" s="40">
        <f>'[27]2000'!R$24</f>
        <v>1.1738743598449186</v>
      </c>
      <c r="J29" s="55">
        <f>'[27]2000'!S$24</f>
        <v>1.1739192330214512</v>
      </c>
      <c r="K29" s="66">
        <f t="shared" si="1"/>
        <v>0.25398523120547767</v>
      </c>
      <c r="L29" s="67">
        <f t="shared" si="1"/>
        <v>0.21198732188860914</v>
      </c>
      <c r="M29" s="67">
        <f t="shared" si="1"/>
        <v>0.18981283570159005</v>
      </c>
      <c r="N29" s="67">
        <f t="shared" si="1"/>
        <v>0.17794368388575849</v>
      </c>
      <c r="O29" s="67">
        <f t="shared" si="1"/>
        <v>0.17028758657384557</v>
      </c>
      <c r="P29" s="67">
        <f t="shared" si="1"/>
        <v>0.16526560700091011</v>
      </c>
      <c r="Q29" s="67">
        <f t="shared" si="1"/>
        <v>0.16194407968370761</v>
      </c>
      <c r="R29" s="67">
        <f t="shared" si="1"/>
        <v>0.16030969680752746</v>
      </c>
      <c r="S29" s="61">
        <f t="shared" si="1"/>
        <v>0.16034792263510819</v>
      </c>
      <c r="T29" s="71">
        <f t="array" ref="T29:U29">LINEST(K29:S29,$K$2:$S$2)</f>
        <v>-4.2656571615257793E-2</v>
      </c>
      <c r="U29" s="71">
        <v>0.34243883437428158</v>
      </c>
      <c r="V29" s="71">
        <f t="shared" si="2"/>
        <v>1.4083782066933785</v>
      </c>
      <c r="W29" s="76">
        <f t="shared" si="3"/>
        <v>0.95374611689913391</v>
      </c>
      <c r="X29" s="59">
        <f t="array" ref="X29:Y29">LINEST(B29:J29,$K$2:$S$2)</f>
        <v>-5.2219050142759654E-2</v>
      </c>
      <c r="Y29" s="71">
        <v>1.3965172341939545</v>
      </c>
      <c r="Z29" s="76">
        <f t="shared" si="4"/>
        <v>0.94890978484544941</v>
      </c>
      <c r="AA29" s="76">
        <f t="shared" si="5"/>
        <v>0.7548217927982166</v>
      </c>
      <c r="AB29" s="76">
        <f t="shared" si="6"/>
        <v>0.74518648563159395</v>
      </c>
      <c r="AC29" s="59"/>
    </row>
    <row r="30" spans="1:29">
      <c r="A30" s="41" t="s">
        <v>45</v>
      </c>
      <c r="B30" s="54">
        <f>'[28]2000'!K$24</f>
        <v>1.3631972364714742</v>
      </c>
      <c r="C30" s="40">
        <f>'[28]2000'!L$24</f>
        <v>1.2987721802626533</v>
      </c>
      <c r="D30" s="40">
        <f>'[28]2000'!M$24</f>
        <v>1.2663204916847495</v>
      </c>
      <c r="E30" s="40">
        <f>'[28]2000'!N$24</f>
        <v>1.2497082381994984</v>
      </c>
      <c r="F30" s="40">
        <f>'[28]2000'!O$24</f>
        <v>1.236196286175002</v>
      </c>
      <c r="G30" s="40">
        <f>'[28]2000'!P$24</f>
        <v>1.2276081587009786</v>
      </c>
      <c r="H30" s="40">
        <f>'[28]2000'!Q$24</f>
        <v>1.2190258818005368</v>
      </c>
      <c r="I30" s="40">
        <f>'[28]2000'!R$24</f>
        <v>1.2115563910021403</v>
      </c>
      <c r="J30" s="55">
        <f>'[28]2000'!S$24</f>
        <v>1.2057332857453171</v>
      </c>
      <c r="K30" s="66">
        <f t="shared" si="1"/>
        <v>0.30983284985455817</v>
      </c>
      <c r="L30" s="67">
        <f t="shared" si="1"/>
        <v>0.26141934144728191</v>
      </c>
      <c r="M30" s="67">
        <f t="shared" si="1"/>
        <v>0.23611544467370679</v>
      </c>
      <c r="N30" s="67">
        <f t="shared" si="1"/>
        <v>0.22291011462958557</v>
      </c>
      <c r="O30" s="67">
        <f t="shared" si="1"/>
        <v>0.21203915401186246</v>
      </c>
      <c r="P30" s="67">
        <f t="shared" si="1"/>
        <v>0.20506768979950396</v>
      </c>
      <c r="Q30" s="67">
        <f t="shared" si="1"/>
        <v>0.1980520822676165</v>
      </c>
      <c r="R30" s="67">
        <f t="shared" si="1"/>
        <v>0.19190580662300388</v>
      </c>
      <c r="S30" s="61">
        <f t="shared" si="1"/>
        <v>0.18708791774796724</v>
      </c>
      <c r="T30" s="71">
        <f t="array" ref="T30:U30">LINEST(K30:S30,$K$2:$S$2)</f>
        <v>-5.4548992859473608E-2</v>
      </c>
      <c r="U30" s="71">
        <v>0.42813227522431407</v>
      </c>
      <c r="V30" s="71">
        <f t="shared" si="2"/>
        <v>1.5343890291977946</v>
      </c>
      <c r="W30" s="76">
        <f t="shared" si="3"/>
        <v>0.98719069314480212</v>
      </c>
      <c r="X30" s="59">
        <f t="array" ref="X30:Y30">LINEST(B30:J30,$K$2:$S$2)</f>
        <v>-6.9702821877215049E-2</v>
      </c>
      <c r="Y30" s="71">
        <v>1.5127679731040173</v>
      </c>
      <c r="Z30" s="76">
        <f t="shared" si="4"/>
        <v>0.98280018384683498</v>
      </c>
      <c r="AA30" s="76">
        <f t="shared" si="5"/>
        <v>0.84119066814794963</v>
      </c>
      <c r="AB30" s="76">
        <f t="shared" si="6"/>
        <v>0.82801065291204756</v>
      </c>
      <c r="AC30" s="59"/>
    </row>
    <row r="31" spans="1:29">
      <c r="A31" s="41" t="s">
        <v>46</v>
      </c>
      <c r="B31" s="54">
        <f>'[29]2000'!K$24</f>
        <v>1.4676806157574025</v>
      </c>
      <c r="C31" s="40">
        <f>'[29]2000'!L$24</f>
        <v>1.4231432529786021</v>
      </c>
      <c r="D31" s="40">
        <f>'[29]2000'!M$24</f>
        <v>1.3801075382586201</v>
      </c>
      <c r="E31" s="40">
        <f>'[29]2000'!N$24</f>
        <v>1.3573621949948915</v>
      </c>
      <c r="F31" s="40">
        <f>'[29]2000'!O$24</f>
        <v>1.3398349765569897</v>
      </c>
      <c r="G31" s="40">
        <f>'[29]2000'!P$24</f>
        <v>1.3252661972176361</v>
      </c>
      <c r="H31" s="40">
        <f>'[29]2000'!Q$24</f>
        <v>1.3121928723308884</v>
      </c>
      <c r="I31" s="40">
        <f>'[29]2000'!R$24</f>
        <v>1.3016525744538432</v>
      </c>
      <c r="J31" s="55">
        <f>'[29]2000'!S$24</f>
        <v>1.2927428976800106</v>
      </c>
      <c r="K31" s="66">
        <f t="shared" si="1"/>
        <v>0.38368334232384571</v>
      </c>
      <c r="L31" s="67">
        <f t="shared" si="1"/>
        <v>0.35286798373770056</v>
      </c>
      <c r="M31" s="67">
        <f t="shared" si="1"/>
        <v>0.32216142240738133</v>
      </c>
      <c r="N31" s="67">
        <f t="shared" si="1"/>
        <v>0.30554325385715947</v>
      </c>
      <c r="O31" s="67">
        <f t="shared" si="1"/>
        <v>0.29254645455586958</v>
      </c>
      <c r="P31" s="67">
        <f t="shared" si="1"/>
        <v>0.28161334282024786</v>
      </c>
      <c r="Q31" s="67">
        <f t="shared" si="1"/>
        <v>0.27169968606728523</v>
      </c>
      <c r="R31" s="67">
        <f t="shared" si="1"/>
        <v>0.26363466828107568</v>
      </c>
      <c r="S31" s="61">
        <f t="shared" si="1"/>
        <v>0.25676623831662704</v>
      </c>
      <c r="T31" s="71">
        <f t="array" ref="T31:U31">LINEST(K31:S31,$K$2:$S$2)</f>
        <v>-5.9283025934761938E-2</v>
      </c>
      <c r="U31" s="71">
        <v>0.52422059654954112</v>
      </c>
      <c r="V31" s="71">
        <f t="shared" si="2"/>
        <v>1.689141812237734</v>
      </c>
      <c r="W31" s="76">
        <f t="shared" si="3"/>
        <v>0.99609235527435913</v>
      </c>
      <c r="X31" s="59">
        <f t="array" ref="X31:Y31">LINEST(B31:J31,$K$2:$S$2)</f>
        <v>-8.1596622595616994E-2</v>
      </c>
      <c r="Y31" s="71">
        <v>1.6595019452334721</v>
      </c>
      <c r="Z31" s="76">
        <f t="shared" si="4"/>
        <v>0.99686940616250752</v>
      </c>
      <c r="AA31" s="76">
        <f t="shared" si="5"/>
        <v>0.92495882073660485</v>
      </c>
      <c r="AB31" s="76">
        <f t="shared" si="6"/>
        <v>0.9153861550991782</v>
      </c>
      <c r="AC31" s="59"/>
    </row>
    <row r="32" spans="1:29">
      <c r="A32" s="41" t="s">
        <v>47</v>
      </c>
      <c r="B32" s="52">
        <f>'[30]2000'!K$24</f>
        <v>1.3950623483411841</v>
      </c>
      <c r="C32" s="39">
        <f>'[30]2000'!L$24</f>
        <v>1.3650398146680178</v>
      </c>
      <c r="D32" s="39">
        <f>'[30]2000'!M$24</f>
        <v>1.3350927949246025</v>
      </c>
      <c r="E32" s="39">
        <f>'[30]2000'!N$24</f>
        <v>1.3143268546747766</v>
      </c>
      <c r="F32" s="39">
        <f>'[30]2000'!O$24</f>
        <v>1.3043409575027876</v>
      </c>
      <c r="G32" s="39">
        <f>'[30]2000'!P$24</f>
        <v>1.3006707215343141</v>
      </c>
      <c r="H32" s="39">
        <f>'[30]2000'!Q$24</f>
        <v>1.3071078254450557</v>
      </c>
      <c r="I32" s="39">
        <f>'[30]2000'!R$24</f>
        <v>1.3214772641258683</v>
      </c>
      <c r="J32" s="53">
        <f>'[30]2000'!S$24</f>
        <v>1.3330135876488414</v>
      </c>
      <c r="K32" s="66">
        <f t="shared" si="1"/>
        <v>0.33293910842596158</v>
      </c>
      <c r="L32" s="67">
        <f t="shared" si="1"/>
        <v>0.3111835964664959</v>
      </c>
      <c r="M32" s="67">
        <f t="shared" si="1"/>
        <v>0.28900079874337131</v>
      </c>
      <c r="N32" s="67">
        <f t="shared" si="1"/>
        <v>0.27332463697970794</v>
      </c>
      <c r="O32" s="67">
        <f t="shared" si="1"/>
        <v>0.26569789980461117</v>
      </c>
      <c r="P32" s="67">
        <f t="shared" si="1"/>
        <v>0.2628800710581764</v>
      </c>
      <c r="Q32" s="67">
        <f t="shared" si="1"/>
        <v>0.26781692966701637</v>
      </c>
      <c r="R32" s="67">
        <f t="shared" si="1"/>
        <v>0.27875025031781431</v>
      </c>
      <c r="S32" s="61">
        <f t="shared" si="1"/>
        <v>0.28744223442957273</v>
      </c>
      <c r="T32" s="71">
        <f t="array" ref="T32:U32">LINEST(K32:S32,$K$2:$S$2)</f>
        <v>-2.6855516183410963E-2</v>
      </c>
      <c r="U32" s="71">
        <v>0.38548546800205918</v>
      </c>
      <c r="V32" s="71">
        <f t="shared" si="2"/>
        <v>1.4703279453763494</v>
      </c>
      <c r="W32" s="76">
        <f t="shared" si="3"/>
        <v>0.68833921246006358</v>
      </c>
      <c r="X32" s="59">
        <f t="array" ref="X32:Y32">LINEST(B32:J32,$K$2:$S$2)</f>
        <v>-3.6258258841021879E-2</v>
      </c>
      <c r="Y32" s="71">
        <v>1.4657437422248507</v>
      </c>
      <c r="Z32" s="76">
        <f t="shared" si="4"/>
        <v>0.69288464286372964</v>
      </c>
      <c r="AA32" s="76">
        <f t="shared" si="5"/>
        <v>0.42389407722859557</v>
      </c>
      <c r="AB32" s="76">
        <f t="shared" si="6"/>
        <v>0.42694647830304566</v>
      </c>
      <c r="AC32" s="59"/>
    </row>
    <row r="33" spans="1:29">
      <c r="A33" s="41" t="s">
        <v>65</v>
      </c>
      <c r="B33" s="52">
        <f>'[31]2000'!K$24</f>
        <v>1.3553383712449574</v>
      </c>
      <c r="C33" s="39">
        <f>'[31]2000'!L$24</f>
        <v>1.2991986539036269</v>
      </c>
      <c r="D33" s="39">
        <f>'[31]2000'!M$24</f>
        <v>1.2662626287716936</v>
      </c>
      <c r="E33" s="39">
        <f>'[31]2000'!N$24</f>
        <v>1.2498430790883075</v>
      </c>
      <c r="F33" s="39">
        <f>'[31]2000'!O$24</f>
        <v>1.2369435869548919</v>
      </c>
      <c r="G33" s="39">
        <f>'[31]2000'!P$24</f>
        <v>1.2267129939635493</v>
      </c>
      <c r="H33" s="39">
        <f>'[31]2000'!Q$24</f>
        <v>1.2183813470006961</v>
      </c>
      <c r="I33" s="39">
        <f>'[31]2000'!R$24</f>
        <v>1.2130954343370983</v>
      </c>
      <c r="J33" s="53">
        <f>'[31]2000'!S$24</f>
        <v>1.2106142764802332</v>
      </c>
      <c r="K33" s="66">
        <f t="shared" si="1"/>
        <v>0.30405114363267938</v>
      </c>
      <c r="L33" s="67">
        <f t="shared" si="1"/>
        <v>0.26174765432839342</v>
      </c>
      <c r="M33" s="67">
        <f t="shared" si="1"/>
        <v>0.23606974989465015</v>
      </c>
      <c r="N33" s="67">
        <f t="shared" si="1"/>
        <v>0.22301800670446101</v>
      </c>
      <c r="O33" s="67">
        <f t="shared" si="1"/>
        <v>0.21264348764519492</v>
      </c>
      <c r="P33" s="67">
        <f t="shared" si="1"/>
        <v>0.20433822961769238</v>
      </c>
      <c r="Q33" s="67">
        <f t="shared" si="1"/>
        <v>0.19752321306000289</v>
      </c>
      <c r="R33" s="67">
        <f t="shared" si="1"/>
        <v>0.19317530315489373</v>
      </c>
      <c r="S33" s="61">
        <f t="shared" si="1"/>
        <v>0.1911278973021914</v>
      </c>
      <c r="T33" s="71">
        <f t="array" ref="T33:U33">LINEST(K33:S33,$K$2:$S$2)</f>
        <v>-5.1763938119832591E-2</v>
      </c>
      <c r="U33" s="71">
        <v>0.41767617125160039</v>
      </c>
      <c r="V33" s="71">
        <f t="shared" si="2"/>
        <v>1.5184288838535864</v>
      </c>
      <c r="W33" s="76">
        <f t="shared" si="3"/>
        <v>0.98834515585500005</v>
      </c>
      <c r="X33" s="59">
        <f t="array" ref="X33:Y33">LINEST(B33:J33,$K$2:$S$2)</f>
        <v>-6.6043173728170812E-2</v>
      </c>
      <c r="Y33" s="71">
        <v>1.4989437704371851</v>
      </c>
      <c r="Z33" s="76">
        <f t="shared" si="4"/>
        <v>0.98485023091420476</v>
      </c>
      <c r="AA33" s="76">
        <f t="shared" si="5"/>
        <v>0.84263487096564715</v>
      </c>
      <c r="AB33" s="76">
        <f t="shared" si="6"/>
        <v>0.83119760119756569</v>
      </c>
      <c r="AC33" s="59"/>
    </row>
    <row r="34" spans="1:29">
      <c r="A34" s="41" t="s">
        <v>66</v>
      </c>
      <c r="B34" s="52">
        <f>'[32]2000'!K$24</f>
        <v>1.3557576382913992</v>
      </c>
      <c r="C34" s="39">
        <f>'[32]2000'!L$24</f>
        <v>1.3177275680450702</v>
      </c>
      <c r="D34" s="39">
        <f>'[32]2000'!M$24</f>
        <v>1.2967907813321766</v>
      </c>
      <c r="E34" s="39">
        <f>'[32]2000'!N$24</f>
        <v>1.2786718249910956</v>
      </c>
      <c r="F34" s="39">
        <f>'[32]2000'!O$24</f>
        <v>1.2646048380286166</v>
      </c>
      <c r="G34" s="39">
        <f>'[32]2000'!P$24</f>
        <v>1.2533188324747175</v>
      </c>
      <c r="H34" s="39">
        <f>'[32]2000'!Q$24</f>
        <v>1.2445778552587923</v>
      </c>
      <c r="I34" s="39">
        <f>'[32]2000'!R$24</f>
        <v>1.2377226598834135</v>
      </c>
      <c r="J34" s="53">
        <f>'[32]2000'!S$24</f>
        <v>1.2328346506072771</v>
      </c>
      <c r="K34" s="66">
        <f t="shared" si="1"/>
        <v>0.30436044072013729</v>
      </c>
      <c r="L34" s="67">
        <f t="shared" si="1"/>
        <v>0.27590871368669417</v>
      </c>
      <c r="M34" s="67">
        <f t="shared" si="1"/>
        <v>0.25989258263258169</v>
      </c>
      <c r="N34" s="67">
        <f t="shared" si="1"/>
        <v>0.24582190248813751</v>
      </c>
      <c r="O34" s="67">
        <f t="shared" si="1"/>
        <v>0.23475969237332792</v>
      </c>
      <c r="P34" s="67">
        <f t="shared" si="1"/>
        <v>0.22579509883276044</v>
      </c>
      <c r="Q34" s="67">
        <f t="shared" si="1"/>
        <v>0.21879640033744377</v>
      </c>
      <c r="R34" s="67">
        <f t="shared" si="1"/>
        <v>0.21327312645427082</v>
      </c>
      <c r="S34" s="61">
        <f t="shared" si="1"/>
        <v>0.20931611187023211</v>
      </c>
      <c r="T34" s="71">
        <f t="array" ref="T34:U34">LINEST(K34:S34,$K$2:$S$2)</f>
        <v>-4.4228147004316841E-2</v>
      </c>
      <c r="U34" s="71">
        <v>0.4078529805505039</v>
      </c>
      <c r="V34" s="71">
        <f t="shared" si="2"/>
        <v>1.5035860885205161</v>
      </c>
      <c r="W34" s="76">
        <f t="shared" si="3"/>
        <v>0.99833583893494759</v>
      </c>
      <c r="X34" s="59">
        <f t="array" ref="X34:Y34">LINEST(B34:J34,$K$2:$S$2)</f>
        <v>-5.7085387330268529E-2</v>
      </c>
      <c r="Y34" s="71">
        <v>1.4884221762442771</v>
      </c>
      <c r="Z34" s="76">
        <f t="shared" si="4"/>
        <v>0.9989259770942176</v>
      </c>
      <c r="AA34" s="76">
        <f t="shared" si="5"/>
        <v>0.9234350080527377</v>
      </c>
      <c r="AB34" s="76">
        <f t="shared" si="6"/>
        <v>0.91614430159680782</v>
      </c>
      <c r="AC34" s="59"/>
    </row>
    <row r="35" spans="1:29">
      <c r="A35" s="41" t="s">
        <v>48</v>
      </c>
      <c r="B35" s="54">
        <f>'[33]2000'!K$24</f>
        <v>1.3729301491749999</v>
      </c>
      <c r="C35" s="40">
        <f>'[33]2000'!L$24</f>
        <v>1.3367322675178506</v>
      </c>
      <c r="D35" s="40">
        <f>'[33]2000'!M$24</f>
        <v>1.3124498405407798</v>
      </c>
      <c r="E35" s="40">
        <f>'[33]2000'!N$24</f>
        <v>1.2956393515451121</v>
      </c>
      <c r="F35" s="40">
        <f>'[33]2000'!O$24</f>
        <v>1.2845455265090662</v>
      </c>
      <c r="G35" s="40">
        <f>'[33]2000'!P$24</f>
        <v>1.2777769397089942</v>
      </c>
      <c r="H35" s="40">
        <f>'[33]2000'!Q$24</f>
        <v>1.2721723423067837</v>
      </c>
      <c r="I35" s="40">
        <f>'[33]2000'!R$24</f>
        <v>1.2697044700607121</v>
      </c>
      <c r="J35" s="55">
        <f>'[33]2000'!S$24</f>
        <v>1.2671796412298331</v>
      </c>
      <c r="K35" s="66">
        <f t="shared" si="1"/>
        <v>0.31694725089226028</v>
      </c>
      <c r="L35" s="67">
        <f t="shared" si="1"/>
        <v>0.29022802938961434</v>
      </c>
      <c r="M35" s="67">
        <f t="shared" si="1"/>
        <v>0.27189549802252949</v>
      </c>
      <c r="N35" s="67">
        <f t="shared" si="1"/>
        <v>0.25900428107476831</v>
      </c>
      <c r="O35" s="67">
        <f t="shared" si="1"/>
        <v>0.25040497992069155</v>
      </c>
      <c r="P35" s="67">
        <f t="shared" si="1"/>
        <v>0.24512180215285231</v>
      </c>
      <c r="Q35" s="67">
        <f t="shared" si="1"/>
        <v>0.24072594497498581</v>
      </c>
      <c r="R35" s="67">
        <f t="shared" si="1"/>
        <v>0.23878417265188506</v>
      </c>
      <c r="S35" s="61">
        <f t="shared" si="1"/>
        <v>0.23679367600028592</v>
      </c>
      <c r="T35" s="71">
        <f t="array" ref="T35:U35">LINEST(K35:S35,$K$2:$S$2)</f>
        <v>-3.7732178593084691E-2</v>
      </c>
      <c r="U35" s="71">
        <v>0.40165338260753325</v>
      </c>
      <c r="V35" s="71">
        <f t="shared" si="2"/>
        <v>1.4942932948553267</v>
      </c>
      <c r="W35" s="76">
        <f t="shared" si="3"/>
        <v>0.98833729269109538</v>
      </c>
      <c r="X35" s="59">
        <f t="array" ref="X35:Y35">LINEST(B35:J35,$K$2:$S$2)</f>
        <v>-4.962876735733366E-2</v>
      </c>
      <c r="Y35" s="71">
        <v>1.4836599539397566</v>
      </c>
      <c r="Z35" s="76">
        <f t="shared" si="4"/>
        <v>0.98670544894965229</v>
      </c>
      <c r="AA35" s="76">
        <f t="shared" si="5"/>
        <v>0.84924513720981898</v>
      </c>
      <c r="AB35" s="76">
        <f t="shared" si="6"/>
        <v>0.84213976519988687</v>
      </c>
      <c r="AC35" s="59"/>
    </row>
    <row r="36" spans="1:29">
      <c r="A36" s="41" t="s">
        <v>67</v>
      </c>
      <c r="B36" s="54">
        <f>'[34]2000'!K$24</f>
        <v>1.3170343911047411</v>
      </c>
      <c r="C36" s="40">
        <f>'[34]2000'!L$24</f>
        <v>1.2522964899975129</v>
      </c>
      <c r="D36" s="40">
        <f>'[34]2000'!M$24</f>
        <v>1.2192698044836818</v>
      </c>
      <c r="E36" s="40">
        <f>'[34]2000'!N$24</f>
        <v>1.2017508186336832</v>
      </c>
      <c r="F36" s="40">
        <f>'[34]2000'!O$24</f>
        <v>1.1904623684865012</v>
      </c>
      <c r="G36" s="40">
        <f>'[34]2000'!P$24</f>
        <v>1.1821917542948417</v>
      </c>
      <c r="H36" s="40">
        <f>'[34]2000'!Q$24</f>
        <v>1.1752189030826308</v>
      </c>
      <c r="I36" s="40">
        <f>'[34]2000'!R$24</f>
        <v>1.1694593523593295</v>
      </c>
      <c r="J36" s="55">
        <f>'[34]2000'!S$24</f>
        <v>1.1650001894224682</v>
      </c>
      <c r="K36" s="66">
        <f t="shared" si="1"/>
        <v>0.27538253563564491</v>
      </c>
      <c r="L36" s="67">
        <f t="shared" si="1"/>
        <v>0.2249790577391664</v>
      </c>
      <c r="M36" s="67">
        <f t="shared" si="1"/>
        <v>0.1982521586450065</v>
      </c>
      <c r="N36" s="67">
        <f t="shared" si="1"/>
        <v>0.1837795089930184</v>
      </c>
      <c r="O36" s="67">
        <f t="shared" si="1"/>
        <v>0.17434177660603672</v>
      </c>
      <c r="P36" s="67">
        <f t="shared" si="1"/>
        <v>0.16737013450209684</v>
      </c>
      <c r="Q36" s="67">
        <f t="shared" si="1"/>
        <v>0.16145443074019594</v>
      </c>
      <c r="R36" s="67">
        <f t="shared" si="1"/>
        <v>0.15654155001168177</v>
      </c>
      <c r="S36" s="61">
        <f t="shared" si="1"/>
        <v>0.15272124961204397</v>
      </c>
      <c r="T36" s="71">
        <f t="array" ref="T36:U36">LINEST(K36:S36,$K$2:$S$2)</f>
        <v>-5.472798970769311E-2</v>
      </c>
      <c r="U36" s="71">
        <v>0.39217592938762719</v>
      </c>
      <c r="V36" s="71">
        <f t="shared" si="2"/>
        <v>1.4801980988418115</v>
      </c>
      <c r="W36" s="76">
        <f t="shared" si="3"/>
        <v>0.97789758373068836</v>
      </c>
      <c r="X36" s="59">
        <f t="array" ref="X36:Y36">LINEST(B36:J36,$K$2:$S$2)</f>
        <v>-6.7516650408035853E-2</v>
      </c>
      <c r="Y36" s="71">
        <v>1.4595762308053266</v>
      </c>
      <c r="Z36" s="76">
        <f t="shared" si="4"/>
        <v>0.97252386204200636</v>
      </c>
      <c r="AA36" s="76">
        <f t="shared" si="5"/>
        <v>0.81219918108950029</v>
      </c>
      <c r="AB36" s="76">
        <f t="shared" si="6"/>
        <v>0.79890571076960337</v>
      </c>
      <c r="AC36" s="59"/>
    </row>
    <row r="37" spans="1:29">
      <c r="A37" s="41" t="s">
        <v>49</v>
      </c>
      <c r="B37" s="54">
        <f>'[35]2000'!K$24</f>
        <v>1.3654756153734526</v>
      </c>
      <c r="C37" s="40">
        <f>'[35]2000'!L$24</f>
        <v>1.3537969670023915</v>
      </c>
      <c r="D37" s="40">
        <f>'[35]2000'!M$24</f>
        <v>1.3350077872231905</v>
      </c>
      <c r="E37" s="40">
        <f>'[35]2000'!N$24</f>
        <v>1.3223138537990862</v>
      </c>
      <c r="F37" s="40">
        <f>'[35]2000'!O$24</f>
        <v>1.3124725655296565</v>
      </c>
      <c r="G37" s="40">
        <f>'[35]2000'!P$24</f>
        <v>1.3048098988433554</v>
      </c>
      <c r="H37" s="40">
        <f>'[35]2000'!Q$24</f>
        <v>1.3000415167328212</v>
      </c>
      <c r="I37" s="40">
        <f>'[35]2000'!R$24</f>
        <v>1.2966216191463009</v>
      </c>
      <c r="J37" s="55">
        <f>'[35]2000'!S$24</f>
        <v>1.2935690740771228</v>
      </c>
      <c r="K37" s="66">
        <f t="shared" si="1"/>
        <v>0.31150280411816528</v>
      </c>
      <c r="L37" s="67">
        <f t="shared" si="1"/>
        <v>0.30291321273116029</v>
      </c>
      <c r="M37" s="67">
        <f t="shared" si="1"/>
        <v>0.28893712496118562</v>
      </c>
      <c r="N37" s="67">
        <f t="shared" si="1"/>
        <v>0.27938312157263379</v>
      </c>
      <c r="O37" s="67">
        <f t="shared" si="1"/>
        <v>0.27191281281158741</v>
      </c>
      <c r="P37" s="67">
        <f t="shared" si="1"/>
        <v>0.2660573587791481</v>
      </c>
      <c r="Q37" s="67">
        <f t="shared" si="1"/>
        <v>0.26239619990587354</v>
      </c>
      <c r="R37" s="67">
        <f t="shared" si="1"/>
        <v>0.25976212734048515</v>
      </c>
      <c r="S37" s="61">
        <f t="shared" si="1"/>
        <v>0.25740512212819822</v>
      </c>
      <c r="T37" s="71">
        <f t="array" ref="T37:U37">LINEST(K37:S37,$K$2:$S$2)</f>
        <v>-2.6837513077384214E-2</v>
      </c>
      <c r="U37" s="71">
        <v>0.37777777940718876</v>
      </c>
      <c r="V37" s="71">
        <f t="shared" si="2"/>
        <v>1.4590386784079596</v>
      </c>
      <c r="W37" s="76">
        <f t="shared" si="3"/>
        <v>0.97919808181869461</v>
      </c>
      <c r="X37" s="59">
        <f t="array" ref="X37:Y37">LINEST(B37:J37,$K$2:$S$2)</f>
        <v>-3.5658739781759527E-2</v>
      </c>
      <c r="Y37" s="71">
        <v>1.4532857196087199</v>
      </c>
      <c r="Z37" s="76">
        <f t="shared" si="4"/>
        <v>0.98001558569437475</v>
      </c>
      <c r="AA37" s="76">
        <f t="shared" si="5"/>
        <v>0.9304546851143809</v>
      </c>
      <c r="AB37" s="76">
        <f t="shared" si="6"/>
        <v>0.92727131304842259</v>
      </c>
      <c r="AC37" s="59"/>
    </row>
    <row r="38" spans="1:29">
      <c r="A38" s="41" t="s">
        <v>50</v>
      </c>
      <c r="B38" s="54">
        <f>'[36]2000'!K$24</f>
        <v>1.4225893665687803</v>
      </c>
      <c r="C38" s="40">
        <f>'[36]2000'!L$24</f>
        <v>1.3407201231248913</v>
      </c>
      <c r="D38" s="40">
        <f>'[36]2000'!M$24</f>
        <v>1.303232635642618</v>
      </c>
      <c r="E38" s="40">
        <f>'[36]2000'!N$24</f>
        <v>1.2817842722978614</v>
      </c>
      <c r="F38" s="40">
        <f>'[36]2000'!O$24</f>
        <v>1.2654254316691831</v>
      </c>
      <c r="G38" s="40">
        <f>'[36]2000'!P$24</f>
        <v>1.2524970796019175</v>
      </c>
      <c r="H38" s="40">
        <f>'[36]2000'!Q$24</f>
        <v>1.2428095550962583</v>
      </c>
      <c r="I38" s="40">
        <f>'[36]2000'!R$24</f>
        <v>1.2358291642611903</v>
      </c>
      <c r="J38" s="55">
        <f>'[36]2000'!S$24</f>
        <v>1.2304769714182997</v>
      </c>
      <c r="K38" s="66">
        <f t="shared" si="1"/>
        <v>0.35247870864346892</v>
      </c>
      <c r="L38" s="67">
        <f t="shared" si="1"/>
        <v>0.2932068749293798</v>
      </c>
      <c r="M38" s="67">
        <f t="shared" si="1"/>
        <v>0.264847820689049</v>
      </c>
      <c r="N38" s="67">
        <f t="shared" si="1"/>
        <v>0.24825307000012162</v>
      </c>
      <c r="O38" s="67">
        <f t="shared" si="1"/>
        <v>0.23540837525998706</v>
      </c>
      <c r="P38" s="67">
        <f t="shared" si="1"/>
        <v>0.22513922231900879</v>
      </c>
      <c r="Q38" s="67">
        <f t="shared" si="1"/>
        <v>0.2173745868691716</v>
      </c>
      <c r="R38" s="67">
        <f t="shared" si="1"/>
        <v>0.21174213286554217</v>
      </c>
      <c r="S38" s="61">
        <f t="shared" si="1"/>
        <v>0.20740187585735154</v>
      </c>
      <c r="T38" s="71">
        <f t="array" ref="T38:U38">LINEST(K38:S38,$K$2:$S$2)</f>
        <v>-6.5033333371756874E-2</v>
      </c>
      <c r="U38" s="71">
        <v>0.49290013749317918</v>
      </c>
      <c r="V38" s="71">
        <f t="shared" si="2"/>
        <v>1.6370570326070215</v>
      </c>
      <c r="W38" s="76">
        <f t="shared" si="3"/>
        <v>0.98546784382227048</v>
      </c>
      <c r="X38" s="59">
        <f t="array" ref="X38:Y38">LINEST(B38:J38,$K$2:$S$2)</f>
        <v>-8.5639267641930764E-2</v>
      </c>
      <c r="Y38" s="71">
        <v>1.6051587821087396</v>
      </c>
      <c r="Z38" s="76">
        <f t="shared" si="4"/>
        <v>0.97988884371402207</v>
      </c>
      <c r="AA38" s="76">
        <f t="shared" si="5"/>
        <v>0.83398639546188125</v>
      </c>
      <c r="AB38" s="76">
        <f t="shared" si="6"/>
        <v>0.81831739360283973</v>
      </c>
      <c r="AC38" s="59"/>
    </row>
    <row r="39" spans="1:29">
      <c r="A39" s="41" t="s">
        <v>51</v>
      </c>
      <c r="B39" s="54">
        <f>'[37]2000'!K$24</f>
        <v>1.497231860923961</v>
      </c>
      <c r="C39" s="40">
        <f>'[37]2000'!L$24</f>
        <v>1.497870250379743</v>
      </c>
      <c r="D39" s="40">
        <f>'[37]2000'!M$24</f>
        <v>1.4641031792120254</v>
      </c>
      <c r="E39" s="40">
        <f>'[37]2000'!N$24</f>
        <v>1.4488770189259779</v>
      </c>
      <c r="F39" s="40">
        <f>'[37]2000'!O$24</f>
        <v>1.4341566094342491</v>
      </c>
      <c r="G39" s="40">
        <f>'[37]2000'!P$24</f>
        <v>1.4225778372422739</v>
      </c>
      <c r="H39" s="40">
        <f>'[37]2000'!Q$24</f>
        <v>1.416923050931576</v>
      </c>
      <c r="I39" s="40">
        <f>'[37]2000'!R$24</f>
        <v>1.4127784794158622</v>
      </c>
      <c r="J39" s="55">
        <f>'[37]2000'!S$24</f>
        <v>1.4115063877313381</v>
      </c>
      <c r="K39" s="66">
        <f t="shared" si="1"/>
        <v>0.40361797716098763</v>
      </c>
      <c r="L39" s="67">
        <f t="shared" si="1"/>
        <v>0.4040442661098953</v>
      </c>
      <c r="M39" s="67">
        <f t="shared" si="1"/>
        <v>0.38124289065953265</v>
      </c>
      <c r="N39" s="67">
        <f t="shared" si="1"/>
        <v>0.3707887866696648</v>
      </c>
      <c r="O39" s="67">
        <f t="shared" si="1"/>
        <v>0.36057694781417071</v>
      </c>
      <c r="P39" s="67">
        <f t="shared" si="1"/>
        <v>0.3524706041450823</v>
      </c>
      <c r="Q39" s="67">
        <f t="shared" si="1"/>
        <v>0.34848765502200219</v>
      </c>
      <c r="R39" s="67">
        <f t="shared" si="1"/>
        <v>0.34555831817500016</v>
      </c>
      <c r="S39" s="61">
        <f t="shared" si="1"/>
        <v>0.34465749419272779</v>
      </c>
      <c r="T39" s="71">
        <f t="array" ref="T39:U39">LINEST(K39:S39,$K$2:$S$2)</f>
        <v>-3.1775090223412739E-2</v>
      </c>
      <c r="U39" s="71">
        <v>0.48630086720510618</v>
      </c>
      <c r="V39" s="71">
        <f t="shared" si="2"/>
        <v>1.6262892197042254</v>
      </c>
      <c r="W39" s="76">
        <f t="shared" si="3"/>
        <v>0.93347928043461648</v>
      </c>
      <c r="X39" s="59">
        <f t="array" ref="X39:Y39">LINEST(B39:J39,$K$2:$S$2)</f>
        <v>-4.6223866919538267E-2</v>
      </c>
      <c r="Y39" s="71">
        <v>1.6172982362387116</v>
      </c>
      <c r="Z39" s="76">
        <f t="shared" si="4"/>
        <v>0.93359031937257841</v>
      </c>
      <c r="AA39" s="76">
        <f t="shared" si="5"/>
        <v>0.91274895141198287</v>
      </c>
      <c r="AB39" s="76">
        <f t="shared" si="6"/>
        <v>0.90921946525527786</v>
      </c>
      <c r="AC39" s="59"/>
    </row>
    <row r="40" spans="1:29">
      <c r="A40" s="41" t="s">
        <v>52</v>
      </c>
      <c r="B40" s="52">
        <f>'[38]2000'!K$24</f>
        <v>1.3248231024651607</v>
      </c>
      <c r="C40" s="39">
        <f>'[38]2000'!L$24</f>
        <v>1.2799992729673748</v>
      </c>
      <c r="D40" s="39">
        <f>'[38]2000'!M$24</f>
        <v>1.2557177280711931</v>
      </c>
      <c r="E40" s="39">
        <f>'[38]2000'!N$24</f>
        <v>1.2418056503342398</v>
      </c>
      <c r="F40" s="39">
        <f>'[38]2000'!O$24</f>
        <v>1.2289095956943288</v>
      </c>
      <c r="G40" s="39">
        <f>'[38]2000'!P$24</f>
        <v>1.2268427061874936</v>
      </c>
      <c r="H40" s="39">
        <f>'[38]2000'!Q$24</f>
        <v>1.2357077469651359</v>
      </c>
      <c r="I40" s="39">
        <f>'[38]2000'!R$24</f>
        <v>1.2543582471342962</v>
      </c>
      <c r="J40" s="53">
        <f>'[38]2000'!S$24</f>
        <v>1.2775150349767577</v>
      </c>
      <c r="K40" s="66">
        <f t="shared" si="1"/>
        <v>0.28127894295179251</v>
      </c>
      <c r="L40" s="67">
        <f t="shared" si="1"/>
        <v>0.24685950993712605</v>
      </c>
      <c r="M40" s="67">
        <f t="shared" si="1"/>
        <v>0.22770730399163844</v>
      </c>
      <c r="N40" s="67">
        <f t="shared" si="1"/>
        <v>0.21656649005445747</v>
      </c>
      <c r="O40" s="67">
        <f t="shared" si="1"/>
        <v>0.20612726863851918</v>
      </c>
      <c r="P40" s="67">
        <f t="shared" si="1"/>
        <v>0.20444396369502119</v>
      </c>
      <c r="Q40" s="67">
        <f t="shared" si="1"/>
        <v>0.21164388040117429</v>
      </c>
      <c r="R40" s="67">
        <f t="shared" si="1"/>
        <v>0.22662408493113489</v>
      </c>
      <c r="S40" s="61">
        <f t="shared" si="1"/>
        <v>0.2449168120885088</v>
      </c>
      <c r="T40" s="71">
        <f t="array" ref="T40:U40">LINEST(K40:S40,$K$2:$S$2)</f>
        <v>-2.3722610640640063E-2</v>
      </c>
      <c r="U40" s="71">
        <v>0.31794122134892777</v>
      </c>
      <c r="V40" s="71">
        <f t="shared" si="2"/>
        <v>1.3742954796190008</v>
      </c>
      <c r="W40" s="76">
        <f t="shared" si="3"/>
        <v>0.47613119869842174</v>
      </c>
      <c r="X40" s="59">
        <f t="array" ref="X40:Y40">LINEST(B40:J40,$K$2:$S$2)</f>
        <v>-3.0362207764592121E-2</v>
      </c>
      <c r="Y40" s="71">
        <v>1.3715083259349914</v>
      </c>
      <c r="Z40" s="76">
        <f t="shared" si="4"/>
        <v>0.48152988389586626</v>
      </c>
      <c r="AA40" s="76">
        <f t="shared" si="5"/>
        <v>0.2136334807473918</v>
      </c>
      <c r="AB40" s="76">
        <f t="shared" si="6"/>
        <v>0.21693276411117202</v>
      </c>
      <c r="AC40" s="59"/>
    </row>
    <row r="41" spans="1:29">
      <c r="A41" s="41" t="s">
        <v>53</v>
      </c>
      <c r="B41" s="52">
        <f>'[39]2000'!K$24</f>
        <v>1.3721700809670998</v>
      </c>
      <c r="C41" s="39">
        <f>'[39]2000'!L$24</f>
        <v>1.303041771028012</v>
      </c>
      <c r="D41" s="39">
        <f>'[39]2000'!M$24</f>
        <v>1.2616296466943198</v>
      </c>
      <c r="E41" s="39">
        <f>'[39]2000'!N$24</f>
        <v>1.2359949913684607</v>
      </c>
      <c r="F41" s="39">
        <f>'[39]2000'!O$24</f>
        <v>1.2183864320048754</v>
      </c>
      <c r="G41" s="39">
        <f>'[39]2000'!P$24</f>
        <v>1.2062063895874686</v>
      </c>
      <c r="H41" s="39">
        <f>'[39]2000'!Q$24</f>
        <v>1.1984192034035577</v>
      </c>
      <c r="I41" s="39">
        <f>'[39]2000'!R$24</f>
        <v>1.1937612048010895</v>
      </c>
      <c r="J41" s="53">
        <f>'[39]2000'!S$24</f>
        <v>1.1912350631549053</v>
      </c>
      <c r="K41" s="66">
        <f t="shared" si="1"/>
        <v>0.31639348734003914</v>
      </c>
      <c r="L41" s="67">
        <f t="shared" si="1"/>
        <v>0.264701355209851</v>
      </c>
      <c r="M41" s="67">
        <f t="shared" si="1"/>
        <v>0.23240425567270553</v>
      </c>
      <c r="N41" s="67">
        <f t="shared" si="1"/>
        <v>0.21187630673639907</v>
      </c>
      <c r="O41" s="67">
        <f t="shared" si="1"/>
        <v>0.19752738662485639</v>
      </c>
      <c r="P41" s="67">
        <f t="shared" si="1"/>
        <v>0.18748021930762693</v>
      </c>
      <c r="Q41" s="67">
        <f t="shared" si="1"/>
        <v>0.18100335785433241</v>
      </c>
      <c r="R41" s="67">
        <f t="shared" si="1"/>
        <v>0.17710899898956062</v>
      </c>
      <c r="S41" s="61">
        <f t="shared" si="1"/>
        <v>0.17499063710800369</v>
      </c>
      <c r="T41" s="71">
        <f t="array" ref="T41:U41">LINEST(K41:S41,$K$2:$S$2)</f>
        <v>-6.5990771400394291E-2</v>
      </c>
      <c r="U41" s="71">
        <v>0.4617591971226942</v>
      </c>
      <c r="V41" s="71">
        <f t="shared" si="2"/>
        <v>1.5868631360049188</v>
      </c>
      <c r="W41" s="76">
        <f t="shared" si="3"/>
        <v>0.98431166645806578</v>
      </c>
      <c r="X41" s="59">
        <f t="array" ref="X41:Y41">LINEST(B41:J41,$K$2:$S$2)</f>
        <v>-8.3912537357085135E-2</v>
      </c>
      <c r="Y41" s="71">
        <v>1.5548911587082954</v>
      </c>
      <c r="Z41" s="76">
        <f t="shared" si="4"/>
        <v>0.98012119170480194</v>
      </c>
      <c r="AA41" s="76">
        <f t="shared" si="5"/>
        <v>0.83117145038694129</v>
      </c>
      <c r="AB41" s="76">
        <f t="shared" si="6"/>
        <v>0.81770067050445205</v>
      </c>
      <c r="AC41" s="59"/>
    </row>
    <row r="42" spans="1:29">
      <c r="A42" s="41" t="s">
        <v>166</v>
      </c>
      <c r="B42" s="54">
        <f>'[40]2000'!K$24</f>
        <v>1.2868299509717198</v>
      </c>
      <c r="C42" s="40">
        <f>'[40]2000'!L$24</f>
        <v>1.2447690700796408</v>
      </c>
      <c r="D42" s="40">
        <f>'[40]2000'!M$24</f>
        <v>1.2237660442513634</v>
      </c>
      <c r="E42" s="40">
        <f>'[40]2000'!N$24</f>
        <v>1.2099790394559939</v>
      </c>
      <c r="F42" s="40">
        <f>'[40]2000'!O$24</f>
        <v>1.2005095924358498</v>
      </c>
      <c r="G42" s="40">
        <f>'[40]2000'!P$24</f>
        <v>1.1924475099044769</v>
      </c>
      <c r="H42" s="40">
        <f>'[40]2000'!Q$24</f>
        <v>1.1879150051013052</v>
      </c>
      <c r="I42" s="40">
        <f>'[40]2000'!R$24</f>
        <v>1.1840092169585228</v>
      </c>
      <c r="J42" s="55">
        <f>'[40]2000'!S$24</f>
        <v>1.1828582702966295</v>
      </c>
      <c r="K42" s="66">
        <f t="shared" si="1"/>
        <v>0.25218179165718452</v>
      </c>
      <c r="L42" s="67">
        <f t="shared" si="1"/>
        <v>0.21895002683223103</v>
      </c>
      <c r="M42" s="67">
        <f t="shared" si="1"/>
        <v>0.20193302550298217</v>
      </c>
      <c r="N42" s="67">
        <f t="shared" si="1"/>
        <v>0.19060303669496756</v>
      </c>
      <c r="O42" s="67">
        <f t="shared" si="1"/>
        <v>0.18274612701446982</v>
      </c>
      <c r="P42" s="67">
        <f t="shared" si="1"/>
        <v>0.17600792595999748</v>
      </c>
      <c r="Q42" s="67">
        <f t="shared" si="1"/>
        <v>0.17219967385350055</v>
      </c>
      <c r="R42" s="67">
        <f t="shared" si="1"/>
        <v>0.16890632102486111</v>
      </c>
      <c r="S42" s="61">
        <f t="shared" si="1"/>
        <v>0.16793377249072522</v>
      </c>
      <c r="T42" s="71">
        <f t="array" ref="T42:U42">LINEST(K42:S42,$K$2:$S$2)</f>
        <v>-3.8718832229968761E-2</v>
      </c>
      <c r="U42" s="71">
        <v>0.33661268496299657</v>
      </c>
      <c r="V42" s="71">
        <f t="shared" si="2"/>
        <v>1.4001966414871592</v>
      </c>
      <c r="W42" s="76">
        <f t="shared" si="3"/>
        <v>0.9858829148641135</v>
      </c>
      <c r="X42" s="59">
        <f t="array" ref="X42:Y42">LINEST(B42:J42,$K$2:$S$2)</f>
        <v>-4.7604901252664651E-2</v>
      </c>
      <c r="Y42" s="71">
        <v>1.3898936062554423</v>
      </c>
      <c r="Z42" s="76">
        <f t="shared" si="4"/>
        <v>0.98313560979114489</v>
      </c>
      <c r="AA42" s="76">
        <f t="shared" si="5"/>
        <v>0.83402194530098683</v>
      </c>
      <c r="AB42" s="76">
        <f t="shared" si="6"/>
        <v>0.82549324475448316</v>
      </c>
      <c r="AC42" s="59"/>
    </row>
    <row r="43" spans="1:29">
      <c r="A43" s="41" t="s">
        <v>54</v>
      </c>
      <c r="B43" s="54">
        <f>'[41]2000'!K$24</f>
        <v>1.4784314673911618</v>
      </c>
      <c r="C43" s="40">
        <f>'[41]2000'!L$24</f>
        <v>1.4715655044194689</v>
      </c>
      <c r="D43" s="40">
        <f>'[41]2000'!M$24</f>
        <v>1.460694660423109</v>
      </c>
      <c r="E43" s="40">
        <f>'[41]2000'!N$24</f>
        <v>1.4598012095586894</v>
      </c>
      <c r="F43" s="40">
        <f>'[41]2000'!O$24</f>
        <v>1.4609362263196859</v>
      </c>
      <c r="G43" s="40">
        <f>'[41]2000'!P$24</f>
        <v>1.4590868581547622</v>
      </c>
      <c r="H43" s="40">
        <f>'[41]2000'!Q$24</f>
        <v>1.4543258899652016</v>
      </c>
      <c r="I43" s="40">
        <f>'[41]2000'!R$24</f>
        <v>1.4448832015359987</v>
      </c>
      <c r="J43" s="55">
        <f>'[41]2000'!S$24</f>
        <v>1.4368804320559494</v>
      </c>
      <c r="K43" s="66">
        <f t="shared" si="1"/>
        <v>0.39098170644010316</v>
      </c>
      <c r="L43" s="67">
        <f t="shared" si="1"/>
        <v>0.38632680310629647</v>
      </c>
      <c r="M43" s="67">
        <f t="shared" si="1"/>
        <v>0.37891211737613373</v>
      </c>
      <c r="N43" s="67">
        <f t="shared" si="1"/>
        <v>0.37830026861341126</v>
      </c>
      <c r="O43" s="67">
        <f t="shared" si="1"/>
        <v>0.37907748111063111</v>
      </c>
      <c r="P43" s="67">
        <f t="shared" si="1"/>
        <v>0.37781080043126974</v>
      </c>
      <c r="Q43" s="67">
        <f t="shared" si="1"/>
        <v>0.37454248739829094</v>
      </c>
      <c r="R43" s="67">
        <f t="shared" si="1"/>
        <v>0.36802848891067241</v>
      </c>
      <c r="S43" s="61">
        <f t="shared" si="1"/>
        <v>0.36247439699337353</v>
      </c>
      <c r="T43" s="71">
        <f t="array" ref="T43:U43">LINEST(K43:S43,$K$2:$S$2)</f>
        <v>-1.0897924345936314E-2</v>
      </c>
      <c r="U43" s="71">
        <v>0.4179787201155119</v>
      </c>
      <c r="V43" s="71">
        <f t="shared" si="2"/>
        <v>1.5188883522896488</v>
      </c>
      <c r="W43" s="76">
        <f t="shared" si="3"/>
        <v>0.83453071537188217</v>
      </c>
      <c r="X43" s="59">
        <f t="array" ref="X43:Y43">LINEST(B43:J43,$K$2:$S$2)</f>
        <v>-1.5910081717828577E-2</v>
      </c>
      <c r="Y43" s="71">
        <v>1.517776936010641</v>
      </c>
      <c r="Z43" s="76">
        <f t="shared" si="4"/>
        <v>0.83743290567661999</v>
      </c>
      <c r="AA43" s="76">
        <f t="shared" si="5"/>
        <v>0.89810083470896529</v>
      </c>
      <c r="AB43" s="76">
        <f t="shared" si="6"/>
        <v>0.89855250425339983</v>
      </c>
      <c r="AC43" s="59"/>
    </row>
    <row r="44" spans="1:29">
      <c r="A44" s="41" t="s">
        <v>55</v>
      </c>
      <c r="B44" s="54">
        <f>'[42]2000'!K$24</f>
        <v>1.4171473677066153</v>
      </c>
      <c r="C44" s="40">
        <f>'[42]2000'!L$24</f>
        <v>1.4264621343935362</v>
      </c>
      <c r="D44" s="40">
        <f>'[42]2000'!M$24</f>
        <v>1.4182941706786207</v>
      </c>
      <c r="E44" s="40">
        <f>'[42]2000'!N$24</f>
        <v>1.4209858227873893</v>
      </c>
      <c r="F44" s="40">
        <f>'[42]2000'!O$24</f>
        <v>1.4267127699626749</v>
      </c>
      <c r="G44" s="40">
        <f>'[42]2000'!P$24</f>
        <v>1.4326770952358594</v>
      </c>
      <c r="H44" s="40">
        <f>'[42]2000'!Q$24</f>
        <v>1.4364702362674819</v>
      </c>
      <c r="I44" s="40">
        <f>'[42]2000'!R$24</f>
        <v>1.4425243734765654</v>
      </c>
      <c r="J44" s="55">
        <f>'[42]2000'!S$24</f>
        <v>1.4466148785585848</v>
      </c>
      <c r="K44" s="66">
        <f t="shared" si="1"/>
        <v>0.34864595509389351</v>
      </c>
      <c r="L44" s="67">
        <f t="shared" si="1"/>
        <v>0.35519734690518362</v>
      </c>
      <c r="M44" s="67">
        <f t="shared" si="1"/>
        <v>0.34945486123356351</v>
      </c>
      <c r="N44" s="67">
        <f t="shared" si="1"/>
        <v>0.35135087213865557</v>
      </c>
      <c r="O44" s="67">
        <f t="shared" si="1"/>
        <v>0.35537303579786295</v>
      </c>
      <c r="P44" s="67">
        <f t="shared" si="1"/>
        <v>0.35954478865730727</v>
      </c>
      <c r="Q44" s="67">
        <f t="shared" si="1"/>
        <v>0.36218887960367507</v>
      </c>
      <c r="R44" s="67">
        <f t="shared" ref="R44:S53" si="7">LN(I44)</f>
        <v>0.36639461594822997</v>
      </c>
      <c r="S44" s="61">
        <f t="shared" si="7"/>
        <v>0.36922626057203883</v>
      </c>
      <c r="T44" s="71">
        <f t="array" ref="T44:U44">LINEST(K44:S44,$K$2:$S$2)</f>
        <v>8.4186260148462148E-3</v>
      </c>
      <c r="U44" s="71">
        <v>0.32612682146683691</v>
      </c>
      <c r="V44" s="71">
        <f t="shared" si="2"/>
        <v>1.3855910804238063</v>
      </c>
      <c r="W44" s="76">
        <f t="shared" si="3"/>
        <v>0.67657620565531262</v>
      </c>
      <c r="X44" s="59">
        <f t="array" ref="X44:Y44">LINEST(B44:J44,$K$2:$S$2)</f>
        <v>1.204270126153501E-2</v>
      </c>
      <c r="Y44" s="71">
        <v>1.3849062406094754</v>
      </c>
      <c r="Z44" s="76">
        <f t="shared" si="4"/>
        <v>0.67574018394849544</v>
      </c>
      <c r="AA44" s="76">
        <f t="shared" si="5"/>
        <v>0.86007579171036586</v>
      </c>
      <c r="AB44" s="76">
        <f t="shared" si="6"/>
        <v>0.86010295183690788</v>
      </c>
      <c r="AC44" s="59"/>
    </row>
    <row r="45" spans="1:29">
      <c r="A45" s="41" t="s">
        <v>68</v>
      </c>
      <c r="B45" s="54">
        <f>'[43]2000'!K$24</f>
        <v>1.4440798318595534</v>
      </c>
      <c r="C45" s="40">
        <f>'[43]2000'!L$24</f>
        <v>1.4024849990694783</v>
      </c>
      <c r="D45" s="40">
        <f>'[43]2000'!M$24</f>
        <v>1.3653202546365113</v>
      </c>
      <c r="E45" s="40">
        <f>'[43]2000'!N$24</f>
        <v>1.3389842253117796</v>
      </c>
      <c r="F45" s="40">
        <f>'[43]2000'!O$24</f>
        <v>1.3157998447651269</v>
      </c>
      <c r="G45" s="40">
        <f>'[43]2000'!P$24</f>
        <v>1.2985411671488387</v>
      </c>
      <c r="H45" s="40">
        <f>'[43]2000'!Q$24</f>
        <v>1.2836412305500746</v>
      </c>
      <c r="I45" s="40">
        <f>'[43]2000'!R$24</f>
        <v>1.2726925163670118</v>
      </c>
      <c r="J45" s="55">
        <f>'[43]2000'!S$24</f>
        <v>1.2640638332535699</v>
      </c>
      <c r="K45" s="66">
        <f t="shared" ref="K45:Q53" si="8">LN(B45)</f>
        <v>0.3674723241637603</v>
      </c>
      <c r="L45" s="67">
        <f t="shared" si="8"/>
        <v>0.33824566250687399</v>
      </c>
      <c r="M45" s="67">
        <f t="shared" si="8"/>
        <v>0.31138901989956791</v>
      </c>
      <c r="N45" s="67">
        <f t="shared" si="8"/>
        <v>0.29191128569249963</v>
      </c>
      <c r="O45" s="67">
        <f t="shared" si="8"/>
        <v>0.27444472769219375</v>
      </c>
      <c r="P45" s="67">
        <f t="shared" si="8"/>
        <v>0.26124145523678372</v>
      </c>
      <c r="Q45" s="67">
        <f t="shared" si="8"/>
        <v>0.24970075076455336</v>
      </c>
      <c r="R45" s="67">
        <f t="shared" si="7"/>
        <v>0.24113474787522585</v>
      </c>
      <c r="S45" s="61">
        <f t="shared" si="7"/>
        <v>0.23433179544128183</v>
      </c>
      <c r="T45" s="71">
        <f t="array" ref="T45:U45">LINEST(K45:S45,$K$2:$S$2)</f>
        <v>-6.3363270853668746E-2</v>
      </c>
      <c r="U45" s="71">
        <v>0.52157014861267759</v>
      </c>
      <c r="V45" s="71">
        <f t="shared" si="2"/>
        <v>1.6846707575726079</v>
      </c>
      <c r="W45" s="76">
        <f t="shared" si="3"/>
        <v>0.98956945349937264</v>
      </c>
      <c r="X45" s="59">
        <f t="array" ref="X45:Y45">LINEST(B45:J45,$K$2:$S$2)</f>
        <v>-8.5576408514495078E-2</v>
      </c>
      <c r="Y45" s="71">
        <v>1.6505072204607214</v>
      </c>
      <c r="Z45" s="76">
        <f t="shared" si="4"/>
        <v>0.99238531209593273</v>
      </c>
      <c r="AA45" s="76">
        <f t="shared" si="5"/>
        <v>0.94925115340189681</v>
      </c>
      <c r="AB45" s="76">
        <f t="shared" si="6"/>
        <v>0.9411235135342354</v>
      </c>
      <c r="AC45" s="59"/>
    </row>
    <row r="46" spans="1:29">
      <c r="A46" s="41" t="s">
        <v>69</v>
      </c>
      <c r="B46" s="54">
        <f>'[44]2000'!K$24</f>
        <v>1.4163798747179295</v>
      </c>
      <c r="C46" s="40">
        <f>'[44]2000'!L$24</f>
        <v>1.4067389702269151</v>
      </c>
      <c r="D46" s="40">
        <f>'[44]2000'!M$24</f>
        <v>1.3907117579567645</v>
      </c>
      <c r="E46" s="40">
        <f>'[44]2000'!N$24</f>
        <v>1.3899334671917452</v>
      </c>
      <c r="F46" s="40">
        <f>'[44]2000'!O$24</f>
        <v>1.3889482459828102</v>
      </c>
      <c r="G46" s="40">
        <f>'[44]2000'!P$24</f>
        <v>1.3877001661275203</v>
      </c>
      <c r="H46" s="40">
        <f>'[44]2000'!Q$24</f>
        <v>1.3854840987267374</v>
      </c>
      <c r="I46" s="40">
        <f>'[44]2000'!R$24</f>
        <v>1.3854243472002545</v>
      </c>
      <c r="J46" s="55">
        <f>'[44]2000'!S$24</f>
        <v>1.385095428346623</v>
      </c>
      <c r="K46" s="66">
        <f t="shared" si="8"/>
        <v>0.34810423239861538</v>
      </c>
      <c r="L46" s="67">
        <f t="shared" si="8"/>
        <v>0.34127423869409107</v>
      </c>
      <c r="M46" s="67">
        <f t="shared" si="8"/>
        <v>0.3298156721706238</v>
      </c>
      <c r="N46" s="67">
        <f t="shared" si="8"/>
        <v>0.32925588066733918</v>
      </c>
      <c r="O46" s="67">
        <f t="shared" si="8"/>
        <v>0.32854680316645524</v>
      </c>
      <c r="P46" s="67">
        <f t="shared" si="8"/>
        <v>0.32764782010911064</v>
      </c>
      <c r="Q46" s="67">
        <f t="shared" si="8"/>
        <v>0.32604960833460078</v>
      </c>
      <c r="R46" s="67">
        <f t="shared" si="7"/>
        <v>0.32600648058234322</v>
      </c>
      <c r="S46" s="61">
        <f t="shared" si="7"/>
        <v>0.32576903859901579</v>
      </c>
      <c r="T46" s="71">
        <f t="array" ref="T46:U46">LINEST(K46:S46,$K$2:$S$2)</f>
        <v>-1.0389204696727362E-2</v>
      </c>
      <c r="U46" s="71">
        <v>0.370085425741076</v>
      </c>
      <c r="V46" s="71">
        <f t="shared" si="2"/>
        <v>1.4478582937482769</v>
      </c>
      <c r="W46" s="76">
        <f t="shared" si="3"/>
        <v>0.90193812915416127</v>
      </c>
      <c r="X46" s="59">
        <f t="array" ref="X46:Y46">LINEST(B46:J46,$K$2:$S$2)</f>
        <v>-1.4539647613344848E-2</v>
      </c>
      <c r="Y46" s="71">
        <v>1.4470954888345988</v>
      </c>
      <c r="Z46" s="76">
        <f t="shared" si="4"/>
        <v>0.90120081609807023</v>
      </c>
      <c r="AA46" s="76">
        <f t="shared" si="5"/>
        <v>0.70054241819962471</v>
      </c>
      <c r="AB46" s="76">
        <f t="shared" si="6"/>
        <v>0.69889623338282503</v>
      </c>
      <c r="AC46" s="59"/>
    </row>
    <row r="47" spans="1:29">
      <c r="A47" s="41" t="s">
        <v>70</v>
      </c>
      <c r="B47" s="54">
        <f>'[45]2000'!K$24</f>
        <v>1.4261474874002367</v>
      </c>
      <c r="C47" s="40">
        <f>'[45]2000'!L$24</f>
        <v>1.4244562772079725</v>
      </c>
      <c r="D47" s="40">
        <f>'[45]2000'!M$24</f>
        <v>1.414488153559522</v>
      </c>
      <c r="E47" s="40">
        <f>'[45]2000'!N$24</f>
        <v>1.3996972613723737</v>
      </c>
      <c r="F47" s="40">
        <f>'[45]2000'!O$24</f>
        <v>1.3789938650441405</v>
      </c>
      <c r="G47" s="40">
        <f>'[45]2000'!P$24</f>
        <v>1.3646077790643381</v>
      </c>
      <c r="H47" s="40">
        <f>'[45]2000'!Q$24</f>
        <v>1.3542857809644531</v>
      </c>
      <c r="I47" s="40">
        <f>'[45]2000'!R$24</f>
        <v>1.3473357563058721</v>
      </c>
      <c r="J47" s="55">
        <f>'[45]2000'!S$24</f>
        <v>1.3454145534970212</v>
      </c>
      <c r="K47" s="66">
        <f t="shared" si="8"/>
        <v>0.35497674399325924</v>
      </c>
      <c r="L47" s="67">
        <f t="shared" si="8"/>
        <v>0.35379018105407622</v>
      </c>
      <c r="M47" s="67">
        <f t="shared" si="8"/>
        <v>0.34676773672230893</v>
      </c>
      <c r="N47" s="67">
        <f t="shared" si="8"/>
        <v>0.3362559713606913</v>
      </c>
      <c r="O47" s="67">
        <f t="shared" si="8"/>
        <v>0.32135414995728057</v>
      </c>
      <c r="P47" s="67">
        <f t="shared" si="8"/>
        <v>0.31086704600168175</v>
      </c>
      <c r="Q47" s="67">
        <f t="shared" si="8"/>
        <v>0.30327421644697156</v>
      </c>
      <c r="R47" s="67">
        <f t="shared" si="7"/>
        <v>0.29812912865846564</v>
      </c>
      <c r="S47" s="61">
        <f t="shared" si="7"/>
        <v>0.29670218377772539</v>
      </c>
      <c r="T47" s="71">
        <f t="array" ref="T47:U47">LINEST(K47:S47,$K$2:$S$2)</f>
        <v>-3.0914407235015148E-2</v>
      </c>
      <c r="U47" s="71">
        <v>0.4398361939296605</v>
      </c>
      <c r="V47" s="71">
        <f t="shared" si="2"/>
        <v>1.5524528964737994</v>
      </c>
      <c r="W47" s="76">
        <f t="shared" si="3"/>
        <v>0.87219687467395812</v>
      </c>
      <c r="X47" s="59">
        <f t="array" ref="X47:Y47">LINEST(B47:J47,$K$2:$S$2)</f>
        <v>-4.2895927372655754E-2</v>
      </c>
      <c r="Y47" s="71">
        <v>1.5437240980560738</v>
      </c>
      <c r="Z47" s="76">
        <f t="shared" si="4"/>
        <v>0.87471991332293986</v>
      </c>
      <c r="AA47" s="76">
        <f t="shared" si="5"/>
        <v>0.96514524006671931</v>
      </c>
      <c r="AB47" s="76">
        <f t="shared" si="6"/>
        <v>0.96444648270599453</v>
      </c>
      <c r="AC47" s="59"/>
    </row>
    <row r="48" spans="1:29">
      <c r="A48" s="41" t="s">
        <v>86</v>
      </c>
      <c r="B48" s="54">
        <f>'[46]2000'!K$24</f>
        <v>1.4495576335346807</v>
      </c>
      <c r="C48" s="40">
        <f>'[46]2000'!L$24</f>
        <v>1.422376165865789</v>
      </c>
      <c r="D48" s="40">
        <f>'[46]2000'!M$24</f>
        <v>1.4093660178430478</v>
      </c>
      <c r="E48" s="40">
        <f>'[46]2000'!N$24</f>
        <v>1.4076053621420885</v>
      </c>
      <c r="F48" s="40">
        <f>'[46]2000'!O$24</f>
        <v>1.4123729863549019</v>
      </c>
      <c r="G48" s="40">
        <f>'[46]2000'!P$24</f>
        <v>1.4170743509548436</v>
      </c>
      <c r="H48" s="40">
        <f>'[46]2000'!Q$24</f>
        <v>1.4206037187584837</v>
      </c>
      <c r="I48" s="40">
        <f>'[46]2000'!R$24</f>
        <v>1.4174729145652822</v>
      </c>
      <c r="J48" s="55">
        <f>'[46]2000'!S$24</f>
        <v>1.4122178067631415</v>
      </c>
      <c r="K48" s="66">
        <f t="shared" si="8"/>
        <v>0.37125842956510491</v>
      </c>
      <c r="L48" s="67">
        <f t="shared" si="8"/>
        <v>0.35232882935603305</v>
      </c>
      <c r="M48" s="67">
        <f t="shared" si="8"/>
        <v>0.34313997053954054</v>
      </c>
      <c r="N48" s="67">
        <f t="shared" si="8"/>
        <v>0.34188993587981081</v>
      </c>
      <c r="O48" s="67">
        <f t="shared" si="8"/>
        <v>0.34527125883063747</v>
      </c>
      <c r="P48" s="67">
        <f t="shared" si="8"/>
        <v>0.34859443001291118</v>
      </c>
      <c r="Q48" s="67">
        <f t="shared" si="8"/>
        <v>0.35108193531606241</v>
      </c>
      <c r="R48" s="67">
        <f t="shared" si="7"/>
        <v>0.34887564854675857</v>
      </c>
      <c r="S48" s="61">
        <f t="shared" si="7"/>
        <v>0.34516138125665774</v>
      </c>
      <c r="T48" s="71">
        <f t="array" ref="T48:U48">LINEST(K48:S48,$K$2:$S$2)</f>
        <v>-8.3956886377814007E-3</v>
      </c>
      <c r="U48" s="71">
        <v>0.38100756270509434</v>
      </c>
      <c r="V48" s="71">
        <f t="shared" si="2"/>
        <v>1.46375867534306</v>
      </c>
      <c r="W48" s="76">
        <f t="shared" si="3"/>
        <v>0.47073877574378681</v>
      </c>
      <c r="X48" s="59">
        <f t="array" ref="X48:Y48">LINEST(B48:J48,$K$2:$S$2)</f>
        <v>-1.2024537563045156E-2</v>
      </c>
      <c r="Y48" s="71">
        <v>1.4635300778530507</v>
      </c>
      <c r="Z48" s="76">
        <f t="shared" si="4"/>
        <v>0.4727804804240478</v>
      </c>
      <c r="AA48" s="76">
        <f t="shared" si="5"/>
        <v>0.22841798224804469</v>
      </c>
      <c r="AB48" s="76">
        <f t="shared" si="6"/>
        <v>0.22986620295022167</v>
      </c>
      <c r="AC48" s="59"/>
    </row>
    <row r="49" spans="1:29">
      <c r="A49" s="41" t="s">
        <v>56</v>
      </c>
      <c r="B49" s="54">
        <f>'[47]2000'!K$24</f>
        <v>1.4004286301414794</v>
      </c>
      <c r="C49" s="40">
        <f>'[47]2000'!L$24</f>
        <v>1.4007422925029942</v>
      </c>
      <c r="D49" s="40">
        <f>'[47]2000'!M$24</f>
        <v>1.3977381955141213</v>
      </c>
      <c r="E49" s="40">
        <f>'[47]2000'!N$24</f>
        <v>1.3923075737424608</v>
      </c>
      <c r="F49" s="40">
        <f>'[47]2000'!O$24</f>
        <v>1.3905647350876666</v>
      </c>
      <c r="G49" s="40">
        <f>'[47]2000'!P$24</f>
        <v>1.3860933513733014</v>
      </c>
      <c r="H49" s="40">
        <f>'[47]2000'!Q$24</f>
        <v>1.3832680690468055</v>
      </c>
      <c r="I49" s="40">
        <f>'[47]2000'!R$24</f>
        <v>1.380083662031049</v>
      </c>
      <c r="J49" s="55">
        <f>'[47]2000'!S$24</f>
        <v>1.3781595015589834</v>
      </c>
      <c r="K49" s="66">
        <f t="shared" si="8"/>
        <v>0.33677835414923218</v>
      </c>
      <c r="L49" s="67">
        <f t="shared" si="8"/>
        <v>0.33700230504083262</v>
      </c>
      <c r="M49" s="67">
        <f t="shared" si="8"/>
        <v>0.33485535554044626</v>
      </c>
      <c r="N49" s="67">
        <f t="shared" si="8"/>
        <v>0.33096249565289115</v>
      </c>
      <c r="O49" s="67">
        <f t="shared" si="8"/>
        <v>0.32970994886723959</v>
      </c>
      <c r="P49" s="67">
        <f t="shared" si="8"/>
        <v>0.32648925158278447</v>
      </c>
      <c r="Q49" s="67">
        <f t="shared" si="8"/>
        <v>0.32444886545922386</v>
      </c>
      <c r="R49" s="67">
        <f t="shared" si="7"/>
        <v>0.32214412199169334</v>
      </c>
      <c r="S49" s="61">
        <f t="shared" si="7"/>
        <v>0.32074891448454029</v>
      </c>
      <c r="T49" s="71">
        <f t="array" ref="T49:U49">LINEST(K49:S49,$K$2:$S$2)</f>
        <v>-7.9593358356948307E-3</v>
      </c>
      <c r="U49" s="71">
        <v>0.35888634326690189</v>
      </c>
      <c r="V49" s="71">
        <f t="shared" si="2"/>
        <v>1.4317340661072242</v>
      </c>
      <c r="W49" s="76">
        <f t="shared" si="3"/>
        <v>0.8602865558762034</v>
      </c>
      <c r="X49" s="59">
        <f t="array" ref="X49:Y49">LINEST(B49:J49,$K$2:$S$2)</f>
        <v>-1.106812627821422E-2</v>
      </c>
      <c r="Y49" s="71">
        <v>1.4311606641467378</v>
      </c>
      <c r="Z49" s="76">
        <f t="shared" si="4"/>
        <v>0.86116015562749515</v>
      </c>
      <c r="AA49" s="76">
        <f t="shared" si="5"/>
        <v>0.98162231912111186</v>
      </c>
      <c r="AB49" s="76">
        <f t="shared" si="6"/>
        <v>0.98154832402700809</v>
      </c>
      <c r="AC49" s="59"/>
    </row>
    <row r="50" spans="1:29">
      <c r="A50" s="41" t="s">
        <v>76</v>
      </c>
      <c r="B50" s="54">
        <f>'[48]2000'!K$24</f>
        <v>1.3347515525831062</v>
      </c>
      <c r="C50" s="40">
        <f>'[48]2000'!L$24</f>
        <v>1.2747091913515094</v>
      </c>
      <c r="D50" s="40">
        <f>'[48]2000'!M$24</f>
        <v>1.2547499477207007</v>
      </c>
      <c r="E50" s="40">
        <f>'[48]2000'!N$24</f>
        <v>1.245572849470862</v>
      </c>
      <c r="F50" s="40">
        <f>'[48]2000'!O$24</f>
        <v>1.2360454239245779</v>
      </c>
      <c r="G50" s="40">
        <f>'[48]2000'!P$24</f>
        <v>1.230661832206752</v>
      </c>
      <c r="H50" s="40">
        <f>'[48]2000'!Q$24</f>
        <v>1.2291219062835725</v>
      </c>
      <c r="I50" s="40">
        <f>'[48]2000'!R$24</f>
        <v>1.2311570010379047</v>
      </c>
      <c r="J50" s="55">
        <f>'[48]2000'!S$24</f>
        <v>1.2364001942053751</v>
      </c>
      <c r="K50" s="66">
        <f t="shared" si="8"/>
        <v>0.28874517159891017</v>
      </c>
      <c r="L50" s="67">
        <f t="shared" si="8"/>
        <v>0.24271806738049861</v>
      </c>
      <c r="M50" s="67">
        <f t="shared" si="8"/>
        <v>0.22693630788779312</v>
      </c>
      <c r="N50" s="67">
        <f t="shared" si="8"/>
        <v>0.21959554415081436</v>
      </c>
      <c r="O50" s="67">
        <f t="shared" si="8"/>
        <v>0.21191710910824724</v>
      </c>
      <c r="P50" s="67">
        <f t="shared" si="8"/>
        <v>0.20755209963873894</v>
      </c>
      <c r="Q50" s="67">
        <f t="shared" si="8"/>
        <v>0.20630001710785401</v>
      </c>
      <c r="R50" s="67">
        <f t="shared" si="7"/>
        <v>0.20795437849950937</v>
      </c>
      <c r="S50" s="61">
        <f t="shared" si="7"/>
        <v>0.21220408834906895</v>
      </c>
      <c r="T50" s="71">
        <f t="array" ref="T50:U50">LINEST(K50:S50,$K$2:$S$2)</f>
        <v>-3.4749855115006605E-2</v>
      </c>
      <c r="U50" s="71">
        <v>0.35432387991169217</v>
      </c>
      <c r="V50" s="71">
        <f t="shared" si="2"/>
        <v>1.4252167107990619</v>
      </c>
      <c r="W50" s="76">
        <f t="shared" si="3"/>
        <v>0.87836530648666744</v>
      </c>
      <c r="X50" s="59">
        <f t="array" ref="X50:Y50">LINEST(B50:J50,$K$2:$S$2)</f>
        <v>-4.4349484534381305E-2</v>
      </c>
      <c r="Y50" s="71">
        <v>1.4177767229290643</v>
      </c>
      <c r="Z50" s="76">
        <f t="shared" si="4"/>
        <v>0.87337924174828174</v>
      </c>
      <c r="AA50" s="76">
        <f t="shared" si="5"/>
        <v>0.63003063733900411</v>
      </c>
      <c r="AB50" s="76">
        <f t="shared" si="6"/>
        <v>0.6229475358472587</v>
      </c>
      <c r="AC50" s="59"/>
    </row>
    <row r="51" spans="1:29">
      <c r="A51" s="41" t="s">
        <v>57</v>
      </c>
      <c r="B51" s="54">
        <f>'[49]2000'!K$24</f>
        <v>1.4418817166593685</v>
      </c>
      <c r="C51" s="40">
        <f>'[49]2000'!L$24</f>
        <v>1.3893021075874425</v>
      </c>
      <c r="D51" s="40">
        <f>'[49]2000'!M$24</f>
        <v>1.3531136975500511</v>
      </c>
      <c r="E51" s="40">
        <f>'[49]2000'!N$24</f>
        <v>1.3350915399406345</v>
      </c>
      <c r="F51" s="40">
        <f>'[49]2000'!O$24</f>
        <v>1.3198572141603853</v>
      </c>
      <c r="G51" s="40">
        <f>'[49]2000'!P$24</f>
        <v>1.3131610835082415</v>
      </c>
      <c r="H51" s="40">
        <f>'[49]2000'!Q$24</f>
        <v>1.3101087912686977</v>
      </c>
      <c r="I51" s="40">
        <f>'[49]2000'!R$24</f>
        <v>1.3102948697881154</v>
      </c>
      <c r="J51" s="55">
        <f>'[49]2000'!S$24</f>
        <v>1.3127942834324253</v>
      </c>
      <c r="K51" s="66">
        <f t="shared" si="8"/>
        <v>0.36594900821634452</v>
      </c>
      <c r="L51" s="67">
        <f t="shared" si="8"/>
        <v>0.32880154018545077</v>
      </c>
      <c r="M51" s="67">
        <f t="shared" si="8"/>
        <v>0.30240837932398557</v>
      </c>
      <c r="N51" s="67">
        <f t="shared" si="8"/>
        <v>0.28899985874537065</v>
      </c>
      <c r="O51" s="67">
        <f t="shared" si="8"/>
        <v>0.27752355965674791</v>
      </c>
      <c r="P51" s="67">
        <f t="shared" si="8"/>
        <v>0.27243727135104817</v>
      </c>
      <c r="Q51" s="67">
        <f t="shared" si="8"/>
        <v>0.27011018053486635</v>
      </c>
      <c r="R51" s="67">
        <f t="shared" si="7"/>
        <v>0.27025220332509203</v>
      </c>
      <c r="S51" s="61">
        <f t="shared" si="7"/>
        <v>0.27215790629951719</v>
      </c>
      <c r="T51" s="71">
        <f t="array" ref="T51:U51">LINEST(K51:S51,$K$2:$S$2)</f>
        <v>-4.5024063491485536E-2</v>
      </c>
      <c r="U51" s="71">
        <v>0.46200842641136264</v>
      </c>
      <c r="V51" s="71">
        <f t="shared" si="2"/>
        <v>1.5872586780638052</v>
      </c>
      <c r="W51" s="76">
        <f t="shared" si="3"/>
        <v>0.95005287112403491</v>
      </c>
      <c r="X51" s="59">
        <f t="array" ref="X51:Y51">LINEST(B51:J51,$K$2:$S$2)</f>
        <v>-6.1581112867024577E-2</v>
      </c>
      <c r="Y51" s="71">
        <v>1.5722353177031987</v>
      </c>
      <c r="Z51" s="76">
        <f t="shared" si="4"/>
        <v>0.94685300165251784</v>
      </c>
      <c r="AA51" s="76">
        <f t="shared" si="5"/>
        <v>0.75376812752804712</v>
      </c>
      <c r="AB51" s="76">
        <f t="shared" si="6"/>
        <v>0.74592080521761706</v>
      </c>
      <c r="AC51" s="59"/>
    </row>
    <row r="52" spans="1:29">
      <c r="A52" s="41" t="s">
        <v>71</v>
      </c>
      <c r="B52" s="54">
        <f>'[50]2000'!K$24</f>
        <v>1.367675641952371</v>
      </c>
      <c r="C52" s="40">
        <f>'[50]2000'!L$24</f>
        <v>1.3180063184920632</v>
      </c>
      <c r="D52" s="40">
        <f>'[50]2000'!M$24</f>
        <v>1.2927340358099582</v>
      </c>
      <c r="E52" s="40">
        <f>'[50]2000'!N$24</f>
        <v>1.2774072560392229</v>
      </c>
      <c r="F52" s="40">
        <f>'[50]2000'!O$24</f>
        <v>1.2631026062750048</v>
      </c>
      <c r="G52" s="40">
        <f>'[50]2000'!P$24</f>
        <v>1.2530147875169688</v>
      </c>
      <c r="H52" s="40">
        <f>'[50]2000'!Q$24</f>
        <v>1.2453125015229971</v>
      </c>
      <c r="I52" s="40">
        <f>'[50]2000'!R$24</f>
        <v>1.2390870041430293</v>
      </c>
      <c r="J52" s="55">
        <f>'[50]2000'!S$24</f>
        <v>1.2345635362029965</v>
      </c>
      <c r="K52" s="66">
        <f t="shared" si="8"/>
        <v>0.31311268725081415</v>
      </c>
      <c r="L52" s="67">
        <f t="shared" si="8"/>
        <v>0.27612023006887221</v>
      </c>
      <c r="M52" s="67">
        <f t="shared" si="8"/>
        <v>0.25675938320224745</v>
      </c>
      <c r="N52" s="67">
        <f t="shared" si="8"/>
        <v>0.24483244244800922</v>
      </c>
      <c r="O52" s="67">
        <f t="shared" si="8"/>
        <v>0.23357108019128148</v>
      </c>
      <c r="P52" s="67">
        <f t="shared" si="8"/>
        <v>0.22555247753381208</v>
      </c>
      <c r="Q52" s="67">
        <f t="shared" si="8"/>
        <v>0.21938650365948137</v>
      </c>
      <c r="R52" s="67">
        <f t="shared" si="7"/>
        <v>0.21437482144313288</v>
      </c>
      <c r="S52" s="61">
        <f t="shared" si="7"/>
        <v>0.21071749563382927</v>
      </c>
      <c r="T52" s="71">
        <f t="array" ref="T52:U52">LINEST(K52:S52,$K$2:$S$2)</f>
        <v>-4.6583163018495417E-2</v>
      </c>
      <c r="U52" s="71">
        <v>0.41734800095876234</v>
      </c>
      <c r="V52" s="71">
        <f t="shared" si="2"/>
        <v>1.517930662357337</v>
      </c>
      <c r="W52" s="76">
        <f t="shared" si="3"/>
        <v>0.99658017658117426</v>
      </c>
      <c r="X52" s="59">
        <f t="array" ref="X52:Y52">LINEST(B52:J52,$K$2:$S$2)</f>
        <v>-6.0363989066701387E-2</v>
      </c>
      <c r="Y52" s="71">
        <v>1.5016235616004252</v>
      </c>
      <c r="Z52" s="76">
        <f t="shared" si="4"/>
        <v>0.9946608085890134</v>
      </c>
      <c r="AA52" s="76">
        <f t="shared" si="5"/>
        <v>0.87756431534693291</v>
      </c>
      <c r="AB52" s="76">
        <f t="shared" si="6"/>
        <v>0.86768427708992224</v>
      </c>
      <c r="AC52" s="59"/>
    </row>
    <row r="53" spans="1:29" ht="15" thickBot="1">
      <c r="A53" s="48" t="s">
        <v>59</v>
      </c>
      <c r="B53" s="56">
        <f>'[51]2000'!K$24</f>
        <v>1.4414267455336287</v>
      </c>
      <c r="C53" s="57">
        <f>'[51]2000'!L$24</f>
        <v>1.3792302211610383</v>
      </c>
      <c r="D53" s="57">
        <f>'[51]2000'!M$24</f>
        <v>1.3271067359638802</v>
      </c>
      <c r="E53" s="57">
        <f>'[51]2000'!N$24</f>
        <v>1.2974146561291391</v>
      </c>
      <c r="F53" s="57">
        <f>'[51]2000'!O$24</f>
        <v>1.2809627684955263</v>
      </c>
      <c r="G53" s="57">
        <f>'[51]2000'!P$24</f>
        <v>1.271343586465266</v>
      </c>
      <c r="H53" s="57">
        <f>'[51]2000'!Q$24</f>
        <v>1.2653662483066039</v>
      </c>
      <c r="I53" s="57">
        <f>'[51]2000'!R$24</f>
        <v>1.2611691566316285</v>
      </c>
      <c r="J53" s="58">
        <f>'[51]2000'!S$24</f>
        <v>1.2582503448808215</v>
      </c>
      <c r="K53" s="68">
        <f t="shared" si="8"/>
        <v>0.36563341858347542</v>
      </c>
      <c r="L53" s="69">
        <f t="shared" si="8"/>
        <v>0.32152553278194551</v>
      </c>
      <c r="M53" s="69">
        <f t="shared" si="8"/>
        <v>0.2830011861500013</v>
      </c>
      <c r="N53" s="69">
        <f t="shared" si="8"/>
        <v>0.26037355827158132</v>
      </c>
      <c r="O53" s="69">
        <f t="shared" si="8"/>
        <v>0.24761195808591646</v>
      </c>
      <c r="P53" s="69">
        <f t="shared" si="8"/>
        <v>0.24007428334277719</v>
      </c>
      <c r="Q53" s="69">
        <f t="shared" si="8"/>
        <v>0.23536160462844261</v>
      </c>
      <c r="R53" s="69">
        <f t="shared" si="7"/>
        <v>0.23203919281696112</v>
      </c>
      <c r="S53" s="70">
        <f t="shared" si="7"/>
        <v>0.22972214076992087</v>
      </c>
      <c r="T53" s="71">
        <f t="array" ref="T53:U53">LINEST(K53:S53,$K$2:$S$2)</f>
        <v>-6.4510604289519186E-2</v>
      </c>
      <c r="U53" s="71">
        <v>0.50867410046389017</v>
      </c>
      <c r="V53" s="71">
        <f t="shared" si="2"/>
        <v>1.6630846492752209</v>
      </c>
      <c r="W53" s="76">
        <f t="shared" si="3"/>
        <v>0.97317943513167748</v>
      </c>
      <c r="X53" s="59">
        <f t="array" ref="X53:Y53">LINEST(B53:J53,$K$2:$S$2)</f>
        <v>-8.6444547931272209E-2</v>
      </c>
      <c r="Y53" s="71">
        <v>1.6311479999679694</v>
      </c>
      <c r="Z53" s="76">
        <f t="shared" si="4"/>
        <v>0.96943116716887934</v>
      </c>
      <c r="AA53" s="76">
        <f t="shared" si="5"/>
        <v>0.8104272087058888</v>
      </c>
      <c r="AB53" s="76">
        <f t="shared" si="6"/>
        <v>0.79868028580744521</v>
      </c>
      <c r="AC53" s="59"/>
    </row>
    <row r="54" spans="1:29">
      <c r="T54" s="59"/>
      <c r="U54" s="59"/>
      <c r="V54" s="77" t="s">
        <v>171</v>
      </c>
      <c r="W54" s="78">
        <f>AVERAGE(W3:W53)</f>
        <v>0.90111688262308298</v>
      </c>
      <c r="X54" s="59"/>
      <c r="Y54" s="59"/>
      <c r="Z54" s="78">
        <f>AVERAGE(Z3:Z53)</f>
        <v>0.89969989638694958</v>
      </c>
      <c r="AA54" s="78">
        <f>AVERAGE(AA3:AA53)</f>
        <v>0.78776255794828665</v>
      </c>
      <c r="AB54" s="78">
        <f>AVERAGE(AB3:AB53)</f>
        <v>0.78103372233292556</v>
      </c>
      <c r="AC54" s="78"/>
    </row>
  </sheetData>
  <mergeCells count="4">
    <mergeCell ref="B1:J1"/>
    <mergeCell ref="K1:S1"/>
    <mergeCell ref="T1:W1"/>
    <mergeCell ref="X1:Z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1990</vt:lpstr>
      <vt:lpstr>1995</vt:lpstr>
      <vt:lpstr>2001</vt:lpstr>
      <vt:lpstr>2000-10</vt:lpstr>
      <vt:lpstr>2000-20</vt:lpstr>
      <vt:lpstr>2000-30</vt:lpstr>
      <vt:lpstr>2000-40</vt:lpstr>
      <vt:lpstr>2000-50</vt:lpstr>
      <vt:lpstr>2000-60</vt:lpstr>
      <vt:lpstr>2000-70</vt:lpstr>
      <vt:lpstr>2000-80</vt:lpstr>
      <vt:lpstr>2000-90</vt:lpstr>
      <vt:lpstr>Summary-2000</vt:lpstr>
      <vt:lpstr>Interval Circuities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2013-02-18T13:58:54Z</dcterms:modified>
</cp:coreProperties>
</file>