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905"/>
  <workbookPr filterPrivacy="1" autoCompressPictures="0"/>
  <bookViews>
    <workbookView xWindow="15500" yWindow="200" windowWidth="23820" windowHeight="23040" tabRatio="735" firstSheet="3" activeTab="3"/>
  </bookViews>
  <sheets>
    <sheet name="1990" sheetId="4" r:id="rId1"/>
    <sheet name="1995" sheetId="2" r:id="rId2"/>
    <sheet name="2001" sheetId="1" r:id="rId3"/>
    <sheet name="1990-10" sheetId="7" r:id="rId4"/>
    <sheet name="1990-20" sheetId="9" r:id="rId5"/>
    <sheet name="1990-30" sheetId="10" r:id="rId6"/>
    <sheet name="1990-40" sheetId="11" r:id="rId7"/>
    <sheet name="1990-50" sheetId="12" r:id="rId8"/>
    <sheet name="1990-60" sheetId="13" r:id="rId9"/>
    <sheet name="1990-70" sheetId="14" r:id="rId10"/>
    <sheet name="1990-80" sheetId="15" r:id="rId11"/>
    <sheet name="1990-90" sheetId="16" r:id="rId12"/>
    <sheet name="Summary-1990" sheetId="8" r:id="rId13"/>
    <sheet name="Interval Circuities" sheetId="17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Beta">'Summary-1990'!$B$55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6" i="7" l="1"/>
  <c r="P47" i="7"/>
  <c r="P26" i="7"/>
  <c r="S2" i="17"/>
  <c r="R2" i="17"/>
  <c r="Q2" i="17"/>
  <c r="P2" i="17"/>
  <c r="O2" i="17"/>
  <c r="N2" i="17"/>
  <c r="M2" i="17"/>
  <c r="L2" i="17"/>
  <c r="K2" i="17"/>
  <c r="J53" i="17"/>
  <c r="S53" i="17"/>
  <c r="J52" i="17"/>
  <c r="S52" i="17"/>
  <c r="J51" i="17"/>
  <c r="S51" i="17"/>
  <c r="J50" i="17"/>
  <c r="S50" i="17"/>
  <c r="J49" i="17"/>
  <c r="S49" i="17"/>
  <c r="J48" i="17"/>
  <c r="S48" i="17"/>
  <c r="J47" i="17"/>
  <c r="S47" i="17"/>
  <c r="J46" i="17"/>
  <c r="S46" i="17"/>
  <c r="J45" i="17"/>
  <c r="S45" i="17"/>
  <c r="J44" i="17"/>
  <c r="S44" i="17"/>
  <c r="J43" i="17"/>
  <c r="S43" i="17"/>
  <c r="J42" i="17"/>
  <c r="S42" i="17"/>
  <c r="J41" i="17"/>
  <c r="S41" i="17"/>
  <c r="J40" i="17"/>
  <c r="S40" i="17"/>
  <c r="J39" i="17"/>
  <c r="S39" i="17"/>
  <c r="J38" i="17"/>
  <c r="S38" i="17"/>
  <c r="J37" i="17"/>
  <c r="S37" i="17"/>
  <c r="J36" i="17"/>
  <c r="S36" i="17"/>
  <c r="J35" i="17"/>
  <c r="S35" i="17"/>
  <c r="J34" i="17"/>
  <c r="S34" i="17"/>
  <c r="J33" i="17"/>
  <c r="S33" i="17"/>
  <c r="J32" i="17"/>
  <c r="S32" i="17"/>
  <c r="J31" i="17"/>
  <c r="S31" i="17"/>
  <c r="J30" i="17"/>
  <c r="S30" i="17"/>
  <c r="J29" i="17"/>
  <c r="S29" i="17"/>
  <c r="J28" i="17"/>
  <c r="S28" i="17"/>
  <c r="J27" i="17"/>
  <c r="S27" i="17"/>
  <c r="J26" i="17"/>
  <c r="S26" i="17"/>
  <c r="J25" i="17"/>
  <c r="S25" i="17"/>
  <c r="J24" i="17"/>
  <c r="S24" i="17"/>
  <c r="J23" i="17"/>
  <c r="S23" i="17"/>
  <c r="J22" i="17"/>
  <c r="S22" i="17"/>
  <c r="J21" i="17"/>
  <c r="S21" i="17"/>
  <c r="J20" i="17"/>
  <c r="S20" i="17"/>
  <c r="J19" i="17"/>
  <c r="S19" i="17"/>
  <c r="J18" i="17"/>
  <c r="S18" i="17"/>
  <c r="J17" i="17"/>
  <c r="S17" i="17"/>
  <c r="J16" i="17"/>
  <c r="S16" i="17"/>
  <c r="J15" i="17"/>
  <c r="S15" i="17"/>
  <c r="J14" i="17"/>
  <c r="S14" i="17"/>
  <c r="J13" i="17"/>
  <c r="S13" i="17"/>
  <c r="J12" i="17"/>
  <c r="S12" i="17"/>
  <c r="J11" i="17"/>
  <c r="S11" i="17"/>
  <c r="J10" i="17"/>
  <c r="S10" i="17"/>
  <c r="J9" i="17"/>
  <c r="S9" i="17"/>
  <c r="J8" i="17"/>
  <c r="S8" i="17"/>
  <c r="J7" i="17"/>
  <c r="S7" i="17"/>
  <c r="J6" i="17"/>
  <c r="S6" i="17"/>
  <c r="J5" i="17"/>
  <c r="S5" i="17"/>
  <c r="J4" i="17"/>
  <c r="S4" i="17"/>
  <c r="J3" i="17"/>
  <c r="S3" i="17"/>
  <c r="I53" i="17"/>
  <c r="R53" i="17"/>
  <c r="I52" i="17"/>
  <c r="R52" i="17"/>
  <c r="I51" i="17"/>
  <c r="R51" i="17"/>
  <c r="I50" i="17"/>
  <c r="R50" i="17"/>
  <c r="I49" i="17"/>
  <c r="R49" i="17"/>
  <c r="I48" i="17"/>
  <c r="R48" i="17"/>
  <c r="I47" i="17"/>
  <c r="R47" i="17"/>
  <c r="I46" i="17"/>
  <c r="R46" i="17"/>
  <c r="I45" i="17"/>
  <c r="R45" i="17"/>
  <c r="I44" i="17"/>
  <c r="R44" i="17"/>
  <c r="I43" i="17"/>
  <c r="R43" i="17"/>
  <c r="I42" i="17"/>
  <c r="R42" i="17"/>
  <c r="I41" i="17"/>
  <c r="R41" i="17"/>
  <c r="I40" i="17"/>
  <c r="R40" i="17"/>
  <c r="I39" i="17"/>
  <c r="R39" i="17"/>
  <c r="I38" i="17"/>
  <c r="R38" i="17"/>
  <c r="I37" i="17"/>
  <c r="R37" i="17"/>
  <c r="I36" i="17"/>
  <c r="R36" i="17"/>
  <c r="I35" i="17"/>
  <c r="R35" i="17"/>
  <c r="I34" i="17"/>
  <c r="R34" i="17"/>
  <c r="I33" i="17"/>
  <c r="R33" i="17"/>
  <c r="I32" i="17"/>
  <c r="R32" i="17"/>
  <c r="I31" i="17"/>
  <c r="R31" i="17"/>
  <c r="I30" i="17"/>
  <c r="R30" i="17"/>
  <c r="I29" i="17"/>
  <c r="R29" i="17"/>
  <c r="I28" i="17"/>
  <c r="R28" i="17"/>
  <c r="I27" i="17"/>
  <c r="R27" i="17"/>
  <c r="I26" i="17"/>
  <c r="R26" i="17"/>
  <c r="I25" i="17"/>
  <c r="R25" i="17"/>
  <c r="I24" i="17"/>
  <c r="R24" i="17"/>
  <c r="I23" i="17"/>
  <c r="R23" i="17"/>
  <c r="I22" i="17"/>
  <c r="R22" i="17"/>
  <c r="I21" i="17"/>
  <c r="R21" i="17"/>
  <c r="I20" i="17"/>
  <c r="R20" i="17"/>
  <c r="I19" i="17"/>
  <c r="R19" i="17"/>
  <c r="I18" i="17"/>
  <c r="R18" i="17"/>
  <c r="I17" i="17"/>
  <c r="R17" i="17"/>
  <c r="I16" i="17"/>
  <c r="R16" i="17"/>
  <c r="I15" i="17"/>
  <c r="R15" i="17"/>
  <c r="I14" i="17"/>
  <c r="R14" i="17"/>
  <c r="I13" i="17"/>
  <c r="R13" i="17"/>
  <c r="I12" i="17"/>
  <c r="R12" i="17"/>
  <c r="I11" i="17"/>
  <c r="R11" i="17"/>
  <c r="I10" i="17"/>
  <c r="R10" i="17"/>
  <c r="I9" i="17"/>
  <c r="R9" i="17"/>
  <c r="I8" i="17"/>
  <c r="R8" i="17"/>
  <c r="I7" i="17"/>
  <c r="R7" i="17"/>
  <c r="I6" i="17"/>
  <c r="R6" i="17"/>
  <c r="I5" i="17"/>
  <c r="R5" i="17"/>
  <c r="I4" i="17"/>
  <c r="R4" i="17"/>
  <c r="I3" i="17"/>
  <c r="R3" i="17"/>
  <c r="H14" i="17"/>
  <c r="Q14" i="17"/>
  <c r="H53" i="17"/>
  <c r="Q53" i="17"/>
  <c r="H52" i="17"/>
  <c r="Q52" i="17"/>
  <c r="H51" i="17"/>
  <c r="Q51" i="17"/>
  <c r="H50" i="17"/>
  <c r="Q50" i="17"/>
  <c r="H49" i="17"/>
  <c r="Q49" i="17"/>
  <c r="H48" i="17"/>
  <c r="Q48" i="17"/>
  <c r="H47" i="17"/>
  <c r="Q47" i="17"/>
  <c r="H46" i="17"/>
  <c r="Q46" i="17"/>
  <c r="H45" i="17"/>
  <c r="Q45" i="17"/>
  <c r="H44" i="17"/>
  <c r="Q44" i="17"/>
  <c r="H43" i="17"/>
  <c r="Q43" i="17"/>
  <c r="H42" i="17"/>
  <c r="Q42" i="17"/>
  <c r="H41" i="17"/>
  <c r="Q41" i="17"/>
  <c r="H40" i="17"/>
  <c r="Q40" i="17"/>
  <c r="H39" i="17"/>
  <c r="Q39" i="17"/>
  <c r="H38" i="17"/>
  <c r="Q38" i="17"/>
  <c r="H37" i="17"/>
  <c r="Q37" i="17"/>
  <c r="H36" i="17"/>
  <c r="Q36" i="17"/>
  <c r="H35" i="17"/>
  <c r="Q35" i="17"/>
  <c r="H34" i="17"/>
  <c r="Q34" i="17"/>
  <c r="H33" i="17"/>
  <c r="Q33" i="17"/>
  <c r="H32" i="17"/>
  <c r="Q32" i="17"/>
  <c r="H31" i="17"/>
  <c r="Q31" i="17"/>
  <c r="H30" i="17"/>
  <c r="Q30" i="17"/>
  <c r="H29" i="17"/>
  <c r="Q29" i="17"/>
  <c r="H28" i="17"/>
  <c r="Q28" i="17"/>
  <c r="H27" i="17"/>
  <c r="Q27" i="17"/>
  <c r="H26" i="17"/>
  <c r="Q26" i="17"/>
  <c r="H25" i="17"/>
  <c r="Q25" i="17"/>
  <c r="H24" i="17"/>
  <c r="Q24" i="17"/>
  <c r="H23" i="17"/>
  <c r="Q23" i="17"/>
  <c r="H22" i="17"/>
  <c r="Q22" i="17"/>
  <c r="H21" i="17"/>
  <c r="Q21" i="17"/>
  <c r="H20" i="17"/>
  <c r="Q20" i="17"/>
  <c r="H19" i="17"/>
  <c r="Q19" i="17"/>
  <c r="H18" i="17"/>
  <c r="Q18" i="17"/>
  <c r="H17" i="17"/>
  <c r="Q17" i="17"/>
  <c r="H16" i="17"/>
  <c r="Q16" i="17"/>
  <c r="H15" i="17"/>
  <c r="Q15" i="17"/>
  <c r="H13" i="17"/>
  <c r="Q13" i="17"/>
  <c r="H12" i="17"/>
  <c r="Q12" i="17"/>
  <c r="H11" i="17"/>
  <c r="Q11" i="17"/>
  <c r="H10" i="17"/>
  <c r="Q10" i="17"/>
  <c r="H9" i="17"/>
  <c r="Q9" i="17"/>
  <c r="H8" i="17"/>
  <c r="Q8" i="17"/>
  <c r="H7" i="17"/>
  <c r="Q7" i="17"/>
  <c r="H6" i="17"/>
  <c r="Q6" i="17"/>
  <c r="H5" i="17"/>
  <c r="Q5" i="17"/>
  <c r="H4" i="17"/>
  <c r="Q4" i="17"/>
  <c r="H3" i="17"/>
  <c r="Q3" i="17"/>
  <c r="G53" i="17"/>
  <c r="P53" i="17"/>
  <c r="G52" i="17"/>
  <c r="P52" i="17"/>
  <c r="G51" i="17"/>
  <c r="P51" i="17"/>
  <c r="G50" i="17"/>
  <c r="P50" i="17"/>
  <c r="G49" i="17"/>
  <c r="P49" i="17"/>
  <c r="G48" i="17"/>
  <c r="P48" i="17"/>
  <c r="G47" i="17"/>
  <c r="P47" i="17"/>
  <c r="G46" i="17"/>
  <c r="P46" i="17"/>
  <c r="G45" i="17"/>
  <c r="P45" i="17"/>
  <c r="G44" i="17"/>
  <c r="P44" i="17"/>
  <c r="G43" i="17"/>
  <c r="P43" i="17"/>
  <c r="G42" i="17"/>
  <c r="P42" i="17"/>
  <c r="G41" i="17"/>
  <c r="P41" i="17"/>
  <c r="G40" i="17"/>
  <c r="P40" i="17"/>
  <c r="G39" i="17"/>
  <c r="P39" i="17"/>
  <c r="G38" i="17"/>
  <c r="P38" i="17"/>
  <c r="G37" i="17"/>
  <c r="P37" i="17"/>
  <c r="G36" i="17"/>
  <c r="P36" i="17"/>
  <c r="G35" i="17"/>
  <c r="P35" i="17"/>
  <c r="G34" i="17"/>
  <c r="P34" i="17"/>
  <c r="G33" i="17"/>
  <c r="P33" i="17"/>
  <c r="G32" i="17"/>
  <c r="P32" i="17"/>
  <c r="G31" i="17"/>
  <c r="P31" i="17"/>
  <c r="G30" i="17"/>
  <c r="P30" i="17"/>
  <c r="G29" i="17"/>
  <c r="P29" i="17"/>
  <c r="G28" i="17"/>
  <c r="P28" i="17"/>
  <c r="G27" i="17"/>
  <c r="P27" i="17"/>
  <c r="G26" i="17"/>
  <c r="P26" i="17"/>
  <c r="G25" i="17"/>
  <c r="P25" i="17"/>
  <c r="G24" i="17"/>
  <c r="P24" i="17"/>
  <c r="G23" i="17"/>
  <c r="P23" i="17"/>
  <c r="G22" i="17"/>
  <c r="P22" i="17"/>
  <c r="G21" i="17"/>
  <c r="P21" i="17"/>
  <c r="G20" i="17"/>
  <c r="P20" i="17"/>
  <c r="G19" i="17"/>
  <c r="P19" i="17"/>
  <c r="G18" i="17"/>
  <c r="P18" i="17"/>
  <c r="G17" i="17"/>
  <c r="P17" i="17"/>
  <c r="G16" i="17"/>
  <c r="P16" i="17"/>
  <c r="G15" i="17"/>
  <c r="P15" i="17"/>
  <c r="G14" i="17"/>
  <c r="P14" i="17"/>
  <c r="G13" i="17"/>
  <c r="P13" i="17"/>
  <c r="G12" i="17"/>
  <c r="P12" i="17"/>
  <c r="G11" i="17"/>
  <c r="P11" i="17"/>
  <c r="G10" i="17"/>
  <c r="P10" i="17"/>
  <c r="G9" i="17"/>
  <c r="P9" i="17"/>
  <c r="G8" i="17"/>
  <c r="P8" i="17"/>
  <c r="G7" i="17"/>
  <c r="P7" i="17"/>
  <c r="G6" i="17"/>
  <c r="P6" i="17"/>
  <c r="G5" i="17"/>
  <c r="P5" i="17"/>
  <c r="G4" i="17"/>
  <c r="P4" i="17"/>
  <c r="G3" i="17"/>
  <c r="P3" i="17"/>
  <c r="F53" i="17"/>
  <c r="O53" i="17"/>
  <c r="F52" i="17"/>
  <c r="O52" i="17"/>
  <c r="F51" i="17"/>
  <c r="O51" i="17"/>
  <c r="F50" i="17"/>
  <c r="O50" i="17"/>
  <c r="F49" i="17"/>
  <c r="O49" i="17"/>
  <c r="F48" i="17"/>
  <c r="O48" i="17"/>
  <c r="F47" i="17"/>
  <c r="O47" i="17"/>
  <c r="F46" i="17"/>
  <c r="O46" i="17"/>
  <c r="F45" i="17"/>
  <c r="O45" i="17"/>
  <c r="F44" i="17"/>
  <c r="O44" i="17"/>
  <c r="F43" i="17"/>
  <c r="O43" i="17"/>
  <c r="F42" i="17"/>
  <c r="O42" i="17"/>
  <c r="F41" i="17"/>
  <c r="O41" i="17"/>
  <c r="F40" i="17"/>
  <c r="O40" i="17"/>
  <c r="F39" i="17"/>
  <c r="O39" i="17"/>
  <c r="F38" i="17"/>
  <c r="O38" i="17"/>
  <c r="F37" i="17"/>
  <c r="O37" i="17"/>
  <c r="F36" i="17"/>
  <c r="O36" i="17"/>
  <c r="F35" i="17"/>
  <c r="O35" i="17"/>
  <c r="F34" i="17"/>
  <c r="O34" i="17"/>
  <c r="F33" i="17"/>
  <c r="O33" i="17"/>
  <c r="F32" i="17"/>
  <c r="O32" i="17"/>
  <c r="F31" i="17"/>
  <c r="O31" i="17"/>
  <c r="F30" i="17"/>
  <c r="O30" i="17"/>
  <c r="F29" i="17"/>
  <c r="O29" i="17"/>
  <c r="F28" i="17"/>
  <c r="O28" i="17"/>
  <c r="F27" i="17"/>
  <c r="O27" i="17"/>
  <c r="F26" i="17"/>
  <c r="O26" i="17"/>
  <c r="F25" i="17"/>
  <c r="O25" i="17"/>
  <c r="F24" i="17"/>
  <c r="O24" i="17"/>
  <c r="F23" i="17"/>
  <c r="O23" i="17"/>
  <c r="F22" i="17"/>
  <c r="O22" i="17"/>
  <c r="F21" i="17"/>
  <c r="O21" i="17"/>
  <c r="F20" i="17"/>
  <c r="O20" i="17"/>
  <c r="F19" i="17"/>
  <c r="O19" i="17"/>
  <c r="F18" i="17"/>
  <c r="O18" i="17"/>
  <c r="F17" i="17"/>
  <c r="O17" i="17"/>
  <c r="F16" i="17"/>
  <c r="O16" i="17"/>
  <c r="F15" i="17"/>
  <c r="O15" i="17"/>
  <c r="F14" i="17"/>
  <c r="O14" i="17"/>
  <c r="F13" i="17"/>
  <c r="O13" i="17"/>
  <c r="F12" i="17"/>
  <c r="O12" i="17"/>
  <c r="F11" i="17"/>
  <c r="O11" i="17"/>
  <c r="F10" i="17"/>
  <c r="O10" i="17"/>
  <c r="F9" i="17"/>
  <c r="O9" i="17"/>
  <c r="F8" i="17"/>
  <c r="O8" i="17"/>
  <c r="F7" i="17"/>
  <c r="O7" i="17"/>
  <c r="F6" i="17"/>
  <c r="O6" i="17"/>
  <c r="F5" i="17"/>
  <c r="O5" i="17"/>
  <c r="F4" i="17"/>
  <c r="O4" i="17"/>
  <c r="F3" i="17"/>
  <c r="O3" i="17"/>
  <c r="E53" i="17"/>
  <c r="N53" i="17"/>
  <c r="E52" i="17"/>
  <c r="N52" i="17"/>
  <c r="E51" i="17"/>
  <c r="N51" i="17"/>
  <c r="E50" i="17"/>
  <c r="N50" i="17"/>
  <c r="E49" i="17"/>
  <c r="N49" i="17"/>
  <c r="E48" i="17"/>
  <c r="N48" i="17"/>
  <c r="E47" i="17"/>
  <c r="N47" i="17"/>
  <c r="E46" i="17"/>
  <c r="N46" i="17"/>
  <c r="E45" i="17"/>
  <c r="N45" i="17"/>
  <c r="E44" i="17"/>
  <c r="N44" i="17"/>
  <c r="E43" i="17"/>
  <c r="N43" i="17"/>
  <c r="E42" i="17"/>
  <c r="N42" i="17"/>
  <c r="E41" i="17"/>
  <c r="N41" i="17"/>
  <c r="E40" i="17"/>
  <c r="N40" i="17"/>
  <c r="E39" i="17"/>
  <c r="N39" i="17"/>
  <c r="E38" i="17"/>
  <c r="N38" i="17"/>
  <c r="E37" i="17"/>
  <c r="N37" i="17"/>
  <c r="E36" i="17"/>
  <c r="N36" i="17"/>
  <c r="E35" i="17"/>
  <c r="N35" i="17"/>
  <c r="E34" i="17"/>
  <c r="N34" i="17"/>
  <c r="E33" i="17"/>
  <c r="N33" i="17"/>
  <c r="E32" i="17"/>
  <c r="N32" i="17"/>
  <c r="E31" i="17"/>
  <c r="N31" i="17"/>
  <c r="E30" i="17"/>
  <c r="N30" i="17"/>
  <c r="E29" i="17"/>
  <c r="N29" i="17"/>
  <c r="E28" i="17"/>
  <c r="N28" i="17"/>
  <c r="E27" i="17"/>
  <c r="N27" i="17"/>
  <c r="E26" i="17"/>
  <c r="N26" i="17"/>
  <c r="E25" i="17"/>
  <c r="N25" i="17"/>
  <c r="E24" i="17"/>
  <c r="N24" i="17"/>
  <c r="E23" i="17"/>
  <c r="N23" i="17"/>
  <c r="E22" i="17"/>
  <c r="N22" i="17"/>
  <c r="E21" i="17"/>
  <c r="N21" i="17"/>
  <c r="E20" i="17"/>
  <c r="N20" i="17"/>
  <c r="E19" i="17"/>
  <c r="N19" i="17"/>
  <c r="E18" i="17"/>
  <c r="N18" i="17"/>
  <c r="E17" i="17"/>
  <c r="N17" i="17"/>
  <c r="E16" i="17"/>
  <c r="N16" i="17"/>
  <c r="E15" i="17"/>
  <c r="N15" i="17"/>
  <c r="E14" i="17"/>
  <c r="N14" i="17"/>
  <c r="E13" i="17"/>
  <c r="N13" i="17"/>
  <c r="E12" i="17"/>
  <c r="N12" i="17"/>
  <c r="E11" i="17"/>
  <c r="N11" i="17"/>
  <c r="E10" i="17"/>
  <c r="N10" i="17"/>
  <c r="E9" i="17"/>
  <c r="N9" i="17"/>
  <c r="E8" i="17"/>
  <c r="N8" i="17"/>
  <c r="E7" i="17"/>
  <c r="N7" i="17"/>
  <c r="E6" i="17"/>
  <c r="N6" i="17"/>
  <c r="E5" i="17"/>
  <c r="N5" i="17"/>
  <c r="E4" i="17"/>
  <c r="N4" i="17"/>
  <c r="E3" i="17"/>
  <c r="N3" i="17"/>
  <c r="D53" i="17"/>
  <c r="M53" i="17"/>
  <c r="D52" i="17"/>
  <c r="M52" i="17"/>
  <c r="D51" i="17"/>
  <c r="M51" i="17"/>
  <c r="D50" i="17"/>
  <c r="M50" i="17"/>
  <c r="D49" i="17"/>
  <c r="M49" i="17"/>
  <c r="D48" i="17"/>
  <c r="M48" i="17"/>
  <c r="D47" i="17"/>
  <c r="M47" i="17"/>
  <c r="D46" i="17"/>
  <c r="M46" i="17"/>
  <c r="D45" i="17"/>
  <c r="M45" i="17"/>
  <c r="D44" i="17"/>
  <c r="M44" i="17"/>
  <c r="D43" i="17"/>
  <c r="M43" i="17"/>
  <c r="D42" i="17"/>
  <c r="M42" i="17"/>
  <c r="D41" i="17"/>
  <c r="M41" i="17"/>
  <c r="D40" i="17"/>
  <c r="M40" i="17"/>
  <c r="D39" i="17"/>
  <c r="M39" i="17"/>
  <c r="D38" i="17"/>
  <c r="M38" i="17"/>
  <c r="D37" i="17"/>
  <c r="M37" i="17"/>
  <c r="D36" i="17"/>
  <c r="M36" i="17"/>
  <c r="D35" i="17"/>
  <c r="M35" i="17"/>
  <c r="D34" i="17"/>
  <c r="M34" i="17"/>
  <c r="D33" i="17"/>
  <c r="M33" i="17"/>
  <c r="D32" i="17"/>
  <c r="M32" i="17"/>
  <c r="D31" i="17"/>
  <c r="M31" i="17"/>
  <c r="D30" i="17"/>
  <c r="M30" i="17"/>
  <c r="D29" i="17"/>
  <c r="M29" i="17"/>
  <c r="D28" i="17"/>
  <c r="M28" i="17"/>
  <c r="D27" i="17"/>
  <c r="M27" i="17"/>
  <c r="D26" i="17"/>
  <c r="M26" i="17"/>
  <c r="D25" i="17"/>
  <c r="M25" i="17"/>
  <c r="D24" i="17"/>
  <c r="M24" i="17"/>
  <c r="D23" i="17"/>
  <c r="M23" i="17"/>
  <c r="D22" i="17"/>
  <c r="M22" i="17"/>
  <c r="D21" i="17"/>
  <c r="M21" i="17"/>
  <c r="D20" i="17"/>
  <c r="M20" i="17"/>
  <c r="D19" i="17"/>
  <c r="M19" i="17"/>
  <c r="D18" i="17"/>
  <c r="M18" i="17"/>
  <c r="D17" i="17"/>
  <c r="M17" i="17"/>
  <c r="D16" i="17"/>
  <c r="M16" i="17"/>
  <c r="D15" i="17"/>
  <c r="M15" i="17"/>
  <c r="D14" i="17"/>
  <c r="M14" i="17"/>
  <c r="D13" i="17"/>
  <c r="M13" i="17"/>
  <c r="D12" i="17"/>
  <c r="M12" i="17"/>
  <c r="D11" i="17"/>
  <c r="M11" i="17"/>
  <c r="D10" i="17"/>
  <c r="M10" i="17"/>
  <c r="D9" i="17"/>
  <c r="M9" i="17"/>
  <c r="D8" i="17"/>
  <c r="M8" i="17"/>
  <c r="D7" i="17"/>
  <c r="M7" i="17"/>
  <c r="D6" i="17"/>
  <c r="M6" i="17"/>
  <c r="D5" i="17"/>
  <c r="M5" i="17"/>
  <c r="D4" i="17"/>
  <c r="M4" i="17"/>
  <c r="D3" i="17"/>
  <c r="M3" i="17"/>
  <c r="C53" i="17"/>
  <c r="L53" i="17"/>
  <c r="C52" i="17"/>
  <c r="L52" i="17"/>
  <c r="C51" i="17"/>
  <c r="L51" i="17"/>
  <c r="C50" i="17"/>
  <c r="L50" i="17"/>
  <c r="C49" i="17"/>
  <c r="L49" i="17"/>
  <c r="C48" i="17"/>
  <c r="L48" i="17"/>
  <c r="C47" i="17"/>
  <c r="L47" i="17"/>
  <c r="C46" i="17"/>
  <c r="L46" i="17"/>
  <c r="C45" i="17"/>
  <c r="L45" i="17"/>
  <c r="C44" i="17"/>
  <c r="L44" i="17"/>
  <c r="C43" i="17"/>
  <c r="L43" i="17"/>
  <c r="C42" i="17"/>
  <c r="L42" i="17"/>
  <c r="C41" i="17"/>
  <c r="L41" i="17"/>
  <c r="C40" i="17"/>
  <c r="L40" i="17"/>
  <c r="C39" i="17"/>
  <c r="L39" i="17"/>
  <c r="C38" i="17"/>
  <c r="L38" i="17"/>
  <c r="C37" i="17"/>
  <c r="L37" i="17"/>
  <c r="C36" i="17"/>
  <c r="L36" i="17"/>
  <c r="C35" i="17"/>
  <c r="L35" i="17"/>
  <c r="C34" i="17"/>
  <c r="L34" i="17"/>
  <c r="C33" i="17"/>
  <c r="L33" i="17"/>
  <c r="C32" i="17"/>
  <c r="L32" i="17"/>
  <c r="C31" i="17"/>
  <c r="L31" i="17"/>
  <c r="C30" i="17"/>
  <c r="L30" i="17"/>
  <c r="C29" i="17"/>
  <c r="L29" i="17"/>
  <c r="C28" i="17"/>
  <c r="L28" i="17"/>
  <c r="C27" i="17"/>
  <c r="L27" i="17"/>
  <c r="C26" i="17"/>
  <c r="L26" i="17"/>
  <c r="C25" i="17"/>
  <c r="L25" i="17"/>
  <c r="C24" i="17"/>
  <c r="L24" i="17"/>
  <c r="C23" i="17"/>
  <c r="L23" i="17"/>
  <c r="C22" i="17"/>
  <c r="L22" i="17"/>
  <c r="C21" i="17"/>
  <c r="L21" i="17"/>
  <c r="C20" i="17"/>
  <c r="L20" i="17"/>
  <c r="C19" i="17"/>
  <c r="L19" i="17"/>
  <c r="C18" i="17"/>
  <c r="L18" i="17"/>
  <c r="C17" i="17"/>
  <c r="L17" i="17"/>
  <c r="C16" i="17"/>
  <c r="L16" i="17"/>
  <c r="C15" i="17"/>
  <c r="L15" i="17"/>
  <c r="C14" i="17"/>
  <c r="L14" i="17"/>
  <c r="C13" i="17"/>
  <c r="L13" i="17"/>
  <c r="C12" i="17"/>
  <c r="L12" i="17"/>
  <c r="C11" i="17"/>
  <c r="L11" i="17"/>
  <c r="C10" i="17"/>
  <c r="L10" i="17"/>
  <c r="C9" i="17"/>
  <c r="L9" i="17"/>
  <c r="C8" i="17"/>
  <c r="L8" i="17"/>
  <c r="C7" i="17"/>
  <c r="L7" i="17"/>
  <c r="C6" i="17"/>
  <c r="L6" i="17"/>
  <c r="C5" i="17"/>
  <c r="L5" i="17"/>
  <c r="C4" i="17"/>
  <c r="L4" i="17"/>
  <c r="C3" i="17"/>
  <c r="L3" i="17"/>
  <c r="B45" i="17"/>
  <c r="K45" i="17"/>
  <c r="W45" i="17"/>
  <c r="B44" i="17"/>
  <c r="K44" i="17"/>
  <c r="AA44" i="17"/>
  <c r="B43" i="17"/>
  <c r="K43" i="17"/>
  <c r="W43" i="17"/>
  <c r="B42" i="17"/>
  <c r="K42" i="17"/>
  <c r="T42" i="17" a="1"/>
  <c r="T42" i="17"/>
  <c r="B41" i="17"/>
  <c r="K41" i="17"/>
  <c r="T41" i="17" a="1"/>
  <c r="T41" i="17"/>
  <c r="B40" i="17"/>
  <c r="K40" i="17"/>
  <c r="T40" i="17" a="1"/>
  <c r="B39" i="17"/>
  <c r="K39" i="17"/>
  <c r="W39" i="17"/>
  <c r="B38" i="17"/>
  <c r="K38" i="17"/>
  <c r="W38" i="17"/>
  <c r="B37" i="17"/>
  <c r="K37" i="17"/>
  <c r="W37" i="17"/>
  <c r="B36" i="17"/>
  <c r="K36" i="17"/>
  <c r="AA36" i="17"/>
  <c r="B35" i="17"/>
  <c r="K35" i="17"/>
  <c r="W35" i="17"/>
  <c r="B34" i="17"/>
  <c r="K34" i="17"/>
  <c r="T34" i="17" a="1"/>
  <c r="T34" i="17"/>
  <c r="B33" i="17"/>
  <c r="K33" i="17"/>
  <c r="T33" i="17" a="1"/>
  <c r="T33" i="17"/>
  <c r="B32" i="17"/>
  <c r="K32" i="17"/>
  <c r="W32" i="17"/>
  <c r="B31" i="17"/>
  <c r="K31" i="17"/>
  <c r="AA31" i="17"/>
  <c r="B30" i="17"/>
  <c r="K30" i="17"/>
  <c r="AA30" i="17"/>
  <c r="B29" i="17"/>
  <c r="K29" i="17"/>
  <c r="AA29" i="17"/>
  <c r="B28" i="17"/>
  <c r="K28" i="17"/>
  <c r="AA28" i="17"/>
  <c r="B27" i="17"/>
  <c r="K27" i="17"/>
  <c r="AA27" i="17"/>
  <c r="B26" i="17"/>
  <c r="K26" i="17"/>
  <c r="AA26" i="17"/>
  <c r="B25" i="17"/>
  <c r="K25" i="17"/>
  <c r="AA25" i="17"/>
  <c r="B24" i="17"/>
  <c r="K24" i="17"/>
  <c r="AA24" i="17"/>
  <c r="B23" i="17"/>
  <c r="K23" i="17"/>
  <c r="AA23" i="17"/>
  <c r="B22" i="17"/>
  <c r="K22" i="17"/>
  <c r="AA22" i="17"/>
  <c r="B21" i="17"/>
  <c r="K21" i="17"/>
  <c r="AA21" i="17"/>
  <c r="B20" i="17"/>
  <c r="K20" i="17"/>
  <c r="T20" i="17" a="1"/>
  <c r="U20" i="17"/>
  <c r="V20" i="17"/>
  <c r="B19" i="17"/>
  <c r="K19" i="17"/>
  <c r="T19" i="17" a="1"/>
  <c r="B18" i="17"/>
  <c r="K18" i="17"/>
  <c r="T18" i="17" a="1"/>
  <c r="T18" i="17"/>
  <c r="B17" i="17"/>
  <c r="K17" i="17"/>
  <c r="T17" i="17" a="1"/>
  <c r="T17" i="17"/>
  <c r="B16" i="17"/>
  <c r="K16" i="17"/>
  <c r="W16" i="17"/>
  <c r="B15" i="17"/>
  <c r="K15" i="17"/>
  <c r="W15" i="17"/>
  <c r="B14" i="17"/>
  <c r="K14" i="17"/>
  <c r="W14" i="17"/>
  <c r="B13" i="17"/>
  <c r="K13" i="17"/>
  <c r="W13" i="17"/>
  <c r="B12" i="17"/>
  <c r="K12" i="17"/>
  <c r="AA12" i="17"/>
  <c r="B11" i="17"/>
  <c r="K11" i="17"/>
  <c r="W11" i="17"/>
  <c r="B10" i="17"/>
  <c r="K10" i="17"/>
  <c r="AA10" i="17"/>
  <c r="B9" i="17"/>
  <c r="K9" i="17"/>
  <c r="AA9" i="17"/>
  <c r="B8" i="17"/>
  <c r="K8" i="17"/>
  <c r="AA8" i="17"/>
  <c r="B7" i="17"/>
  <c r="K7" i="17"/>
  <c r="AA7" i="17"/>
  <c r="B6" i="17"/>
  <c r="K6" i="17"/>
  <c r="AA6" i="17"/>
  <c r="B5" i="17"/>
  <c r="K5" i="17"/>
  <c r="T5" i="17" a="1"/>
  <c r="B4" i="17"/>
  <c r="K4" i="17"/>
  <c r="T4" i="17" a="1"/>
  <c r="U4" i="17"/>
  <c r="V4" i="17"/>
  <c r="B3" i="17"/>
  <c r="K3" i="17"/>
  <c r="W3" i="17"/>
  <c r="T5" i="17"/>
  <c r="U5" i="17"/>
  <c r="V5" i="17"/>
  <c r="T19" i="17"/>
  <c r="U19" i="17"/>
  <c r="V19" i="17"/>
  <c r="U40" i="17"/>
  <c r="V40" i="17"/>
  <c r="T40" i="17"/>
  <c r="AB4" i="17"/>
  <c r="AA5" i="17"/>
  <c r="W8" i="17"/>
  <c r="W9" i="17"/>
  <c r="W10" i="17"/>
  <c r="W12" i="17"/>
  <c r="T14" i="17" a="1"/>
  <c r="T14" i="17"/>
  <c r="T15" i="17" a="1"/>
  <c r="T16" i="17" a="1"/>
  <c r="AA16" i="17"/>
  <c r="AA17" i="17"/>
  <c r="AB18" i="17"/>
  <c r="AA19" i="17"/>
  <c r="AA20" i="17"/>
  <c r="Z21" i="17"/>
  <c r="Z22" i="17"/>
  <c r="Z23" i="17"/>
  <c r="Z26" i="17"/>
  <c r="X27" i="17" a="1"/>
  <c r="X27" i="17"/>
  <c r="W29" i="17"/>
  <c r="X31" i="17" a="1"/>
  <c r="AB32" i="17"/>
  <c r="AB33" i="17"/>
  <c r="W36" i="17"/>
  <c r="T38" i="17" a="1"/>
  <c r="T38" i="17"/>
  <c r="T39" i="17" a="1"/>
  <c r="AB39" i="17"/>
  <c r="AA40" i="17"/>
  <c r="AA41" i="17"/>
  <c r="T43" i="17" a="1"/>
  <c r="T43" i="17"/>
  <c r="X44" i="17" a="1"/>
  <c r="AA4" i="17"/>
  <c r="Z5" i="17"/>
  <c r="X7" i="17" a="1"/>
  <c r="T9" i="17" a="1"/>
  <c r="T9" i="17"/>
  <c r="T10" i="17" a="1"/>
  <c r="T10" i="17"/>
  <c r="T12" i="17" a="1"/>
  <c r="U12" i="17"/>
  <c r="V12" i="17"/>
  <c r="T13" i="17" a="1"/>
  <c r="AB13" i="17"/>
  <c r="AB14" i="17"/>
  <c r="AB15" i="17"/>
  <c r="Z16" i="17"/>
  <c r="Z17" i="17"/>
  <c r="AA18" i="17"/>
  <c r="Z19" i="17"/>
  <c r="Z20" i="17"/>
  <c r="X21" i="17" a="1"/>
  <c r="Y21" i="17"/>
  <c r="X24" i="17" a="1"/>
  <c r="X25" i="17" a="1"/>
  <c r="X26" i="17" a="1"/>
  <c r="X26" i="17"/>
  <c r="W27" i="17"/>
  <c r="X30" i="17" a="1"/>
  <c r="W31" i="17"/>
  <c r="AA32" i="17"/>
  <c r="AA33" i="17"/>
  <c r="T35" i="17" a="1"/>
  <c r="T36" i="17" a="1"/>
  <c r="U36" i="17"/>
  <c r="V36" i="17"/>
  <c r="T37" i="17" a="1"/>
  <c r="AB37" i="17"/>
  <c r="AB38" i="17"/>
  <c r="AA39" i="17"/>
  <c r="Z40" i="17"/>
  <c r="Z41" i="17"/>
  <c r="AB42" i="17"/>
  <c r="W44" i="17"/>
  <c r="Z4" i="17"/>
  <c r="X5" i="17" a="1"/>
  <c r="X5" i="17"/>
  <c r="X6" i="17" a="1"/>
  <c r="W7" i="17"/>
  <c r="AB8" i="17"/>
  <c r="AB9" i="17"/>
  <c r="T11" i="17" a="1"/>
  <c r="AB11" i="17"/>
  <c r="AB12" i="17"/>
  <c r="AA13" i="17"/>
  <c r="AA14" i="17"/>
  <c r="AA15" i="17"/>
  <c r="Z18" i="17"/>
  <c r="X19" i="17" a="1"/>
  <c r="X19" i="17"/>
  <c r="W21" i="17"/>
  <c r="X23" i="17" a="1"/>
  <c r="W24" i="17"/>
  <c r="W25" i="17"/>
  <c r="W26" i="17"/>
  <c r="X28" i="17" a="1"/>
  <c r="W30" i="17"/>
  <c r="T32" i="17" a="1"/>
  <c r="Z32" i="17"/>
  <c r="Z33" i="17"/>
  <c r="AB34" i="17"/>
  <c r="AB35" i="17"/>
  <c r="AB36" i="17"/>
  <c r="AA37" i="17"/>
  <c r="AA38" i="17"/>
  <c r="Z39" i="17"/>
  <c r="AA42" i="17"/>
  <c r="T44" i="17" a="1"/>
  <c r="U44" i="17"/>
  <c r="V44" i="17"/>
  <c r="W5" i="17"/>
  <c r="W6" i="17"/>
  <c r="T8" i="17" a="1"/>
  <c r="AB10" i="17"/>
  <c r="AA11" i="17"/>
  <c r="Z13" i="17"/>
  <c r="Z14" i="17"/>
  <c r="Z15" i="17"/>
  <c r="W19" i="17"/>
  <c r="X22" i="17" a="1"/>
  <c r="W23" i="17"/>
  <c r="T25" i="17" a="1"/>
  <c r="T25" i="17"/>
  <c r="T26" i="17" a="1"/>
  <c r="T26" i="17"/>
  <c r="W28" i="17"/>
  <c r="T30" i="17" a="1"/>
  <c r="T30" i="17"/>
  <c r="T31" i="17" a="1"/>
  <c r="AB31" i="17"/>
  <c r="AA34" i="17"/>
  <c r="AA35" i="17"/>
  <c r="Z37" i="17"/>
  <c r="Z38" i="17"/>
  <c r="Z42" i="17"/>
  <c r="AB43" i="17"/>
  <c r="T45" i="17" a="1"/>
  <c r="AB45" i="17"/>
  <c r="T7" i="17" a="1"/>
  <c r="AB7" i="17"/>
  <c r="Z8" i="17"/>
  <c r="Z9" i="17"/>
  <c r="Z11" i="17"/>
  <c r="Z12" i="17"/>
  <c r="X13" i="17" a="1"/>
  <c r="X13" i="17"/>
  <c r="X16" i="17" a="1"/>
  <c r="X17" i="17" a="1"/>
  <c r="X18" i="17" a="1"/>
  <c r="X20" i="17" a="1"/>
  <c r="W22" i="17"/>
  <c r="AB24" i="17"/>
  <c r="AB25" i="17"/>
  <c r="T28" i="17" a="1"/>
  <c r="U28" i="17"/>
  <c r="V28" i="17"/>
  <c r="T29" i="17" a="1"/>
  <c r="AB29" i="17"/>
  <c r="AB30" i="17"/>
  <c r="Z34" i="17"/>
  <c r="Z35" i="17"/>
  <c r="Z36" i="17"/>
  <c r="X37" i="17" a="1"/>
  <c r="Y37" i="17"/>
  <c r="X40" i="17" a="1"/>
  <c r="X41" i="17" a="1"/>
  <c r="X42" i="17" a="1"/>
  <c r="X42" i="17"/>
  <c r="AA43" i="17"/>
  <c r="AB44" i="17"/>
  <c r="AA45" i="17"/>
  <c r="X4" i="17" a="1"/>
  <c r="AB6" i="17"/>
  <c r="Z10" i="17"/>
  <c r="X11" i="17" a="1"/>
  <c r="X11" i="17"/>
  <c r="X15" i="17" a="1"/>
  <c r="W17" i="17"/>
  <c r="W18" i="17"/>
  <c r="W20" i="17"/>
  <c r="T22" i="17" a="1"/>
  <c r="T22" i="17"/>
  <c r="T23" i="17" a="1"/>
  <c r="T24" i="17" a="1"/>
  <c r="T27" i="17" a="1"/>
  <c r="AB27" i="17"/>
  <c r="AB28" i="17"/>
  <c r="Z31" i="17"/>
  <c r="X32" i="17" a="1"/>
  <c r="X33" i="17" a="1"/>
  <c r="X34" i="17" a="1"/>
  <c r="X34" i="17"/>
  <c r="X35" i="17" a="1"/>
  <c r="X35" i="17"/>
  <c r="X39" i="17" a="1"/>
  <c r="W40" i="17"/>
  <c r="W41" i="17"/>
  <c r="W42" i="17"/>
  <c r="Z43" i="17"/>
  <c r="Z45" i="17"/>
  <c r="W4" i="17"/>
  <c r="T6" i="17" a="1"/>
  <c r="Z7" i="17"/>
  <c r="X14" i="17" a="1"/>
  <c r="T21" i="17" a="1"/>
  <c r="AB21" i="17"/>
  <c r="AB22" i="17"/>
  <c r="AB23" i="17"/>
  <c r="Z24" i="17"/>
  <c r="Z25" i="17"/>
  <c r="AB26" i="17"/>
  <c r="Z29" i="17"/>
  <c r="Z30" i="17"/>
  <c r="W33" i="17"/>
  <c r="W34" i="17"/>
  <c r="X38" i="17" a="1"/>
  <c r="X43" i="17" a="1"/>
  <c r="X43" i="17"/>
  <c r="Z44" i="17"/>
  <c r="X45" i="17" a="1"/>
  <c r="Y45" i="17"/>
  <c r="AB5" i="17"/>
  <c r="Z6" i="17"/>
  <c r="X8" i="17" a="1"/>
  <c r="X9" i="17" a="1"/>
  <c r="X10" i="17" a="1"/>
  <c r="X12" i="17" a="1"/>
  <c r="AB16" i="17"/>
  <c r="AB17" i="17"/>
  <c r="AB19" i="17"/>
  <c r="AB20" i="17"/>
  <c r="Z27" i="17"/>
  <c r="Z28" i="17"/>
  <c r="X29" i="17" a="1"/>
  <c r="Y29" i="17"/>
  <c r="X36" i="17" a="1"/>
  <c r="AB40" i="17"/>
  <c r="AB41" i="17"/>
  <c r="T3" i="17" a="1"/>
  <c r="AB3" i="17"/>
  <c r="AA3" i="17"/>
  <c r="Z3" i="17"/>
  <c r="X3" i="17" a="1"/>
  <c r="X3" i="17"/>
  <c r="Y5" i="17"/>
  <c r="Y13" i="17"/>
  <c r="T4" i="17"/>
  <c r="U9" i="17"/>
  <c r="V9" i="17"/>
  <c r="T12" i="17"/>
  <c r="U17" i="17"/>
  <c r="V17" i="17"/>
  <c r="T20" i="17"/>
  <c r="X21" i="17"/>
  <c r="U25" i="17"/>
  <c r="V25" i="17"/>
  <c r="Y26" i="17"/>
  <c r="T28" i="17"/>
  <c r="U33" i="17"/>
  <c r="V33" i="17"/>
  <c r="Y34" i="17"/>
  <c r="T36" i="17"/>
  <c r="X37" i="17"/>
  <c r="U41" i="17"/>
  <c r="V41" i="17"/>
  <c r="Y42" i="17"/>
  <c r="T44" i="17"/>
  <c r="X45" i="17"/>
  <c r="U14" i="17"/>
  <c r="V14" i="17"/>
  <c r="U22" i="17"/>
  <c r="V22" i="17"/>
  <c r="U30" i="17"/>
  <c r="V30" i="17"/>
  <c r="U38" i="17"/>
  <c r="V38" i="17"/>
  <c r="U43" i="17"/>
  <c r="V43" i="17"/>
  <c r="Y3" i="17"/>
  <c r="U10" i="17"/>
  <c r="V10" i="17"/>
  <c r="Y11" i="17"/>
  <c r="U18" i="17"/>
  <c r="V18" i="17"/>
  <c r="Y19" i="17"/>
  <c r="U26" i="17"/>
  <c r="V26" i="17"/>
  <c r="Y27" i="17"/>
  <c r="U34" i="17"/>
  <c r="V34" i="17"/>
  <c r="Y35" i="17"/>
  <c r="U42" i="17"/>
  <c r="V42" i="17"/>
  <c r="Y43" i="17"/>
  <c r="E3" i="7"/>
  <c r="E6" i="15"/>
  <c r="E48" i="16"/>
  <c r="E47" i="16"/>
  <c r="E46" i="16"/>
  <c r="E45" i="16"/>
  <c r="E44" i="16"/>
  <c r="E43" i="16"/>
  <c r="E42" i="16"/>
  <c r="E38" i="16"/>
  <c r="E13" i="16"/>
  <c r="E6" i="16"/>
  <c r="E30" i="15"/>
  <c r="E32" i="14"/>
  <c r="E31" i="14"/>
  <c r="E38" i="13"/>
  <c r="E39" i="13"/>
  <c r="E40" i="13"/>
  <c r="E41" i="13"/>
  <c r="E42" i="13"/>
  <c r="E43" i="13"/>
  <c r="E44" i="13"/>
  <c r="E45" i="13"/>
  <c r="E46" i="13"/>
  <c r="E47" i="13"/>
  <c r="E48" i="13"/>
  <c r="E3" i="13"/>
  <c r="E4" i="12"/>
  <c r="E36" i="12"/>
  <c r="E18" i="11"/>
  <c r="E25" i="11"/>
  <c r="E7" i="10"/>
  <c r="E43" i="10"/>
  <c r="E44" i="10"/>
  <c r="E47" i="10"/>
  <c r="E48" i="10"/>
  <c r="E21" i="9"/>
  <c r="E28" i="9"/>
  <c r="E13" i="7"/>
  <c r="E11" i="7"/>
  <c r="E10" i="7"/>
  <c r="E9" i="7"/>
  <c r="E4" i="7"/>
  <c r="E53" i="16"/>
  <c r="E53" i="15"/>
  <c r="E53" i="14"/>
  <c r="E53" i="13"/>
  <c r="E53" i="12"/>
  <c r="E53" i="11"/>
  <c r="E53" i="10"/>
  <c r="E53" i="9"/>
  <c r="B53" i="17"/>
  <c r="E52" i="16"/>
  <c r="E52" i="15"/>
  <c r="E52" i="14"/>
  <c r="E52" i="13"/>
  <c r="E52" i="12"/>
  <c r="E52" i="11"/>
  <c r="E52" i="10"/>
  <c r="E52" i="9"/>
  <c r="B52" i="17"/>
  <c r="E51" i="16"/>
  <c r="E51" i="15"/>
  <c r="E51" i="14"/>
  <c r="E51" i="13"/>
  <c r="E51" i="12"/>
  <c r="E51" i="11"/>
  <c r="E51" i="10"/>
  <c r="E51" i="9"/>
  <c r="B51" i="17"/>
  <c r="E50" i="16"/>
  <c r="E50" i="15"/>
  <c r="E50" i="14"/>
  <c r="E50" i="13"/>
  <c r="E50" i="12"/>
  <c r="E50" i="11"/>
  <c r="E50" i="10"/>
  <c r="E50" i="9"/>
  <c r="B50" i="17"/>
  <c r="E48" i="15"/>
  <c r="E48" i="14"/>
  <c r="E48" i="12"/>
  <c r="E48" i="11"/>
  <c r="E48" i="9"/>
  <c r="B48" i="17"/>
  <c r="E47" i="15"/>
  <c r="E47" i="14"/>
  <c r="E47" i="12"/>
  <c r="E47" i="11"/>
  <c r="E47" i="9"/>
  <c r="B47" i="17"/>
  <c r="E46" i="15"/>
  <c r="E46" i="14"/>
  <c r="E46" i="12"/>
  <c r="E46" i="11"/>
  <c r="E46" i="10"/>
  <c r="E46" i="9"/>
  <c r="B46" i="17"/>
  <c r="E45" i="15"/>
  <c r="E45" i="14"/>
  <c r="E45" i="12"/>
  <c r="E45" i="11"/>
  <c r="E45" i="10"/>
  <c r="E45" i="9"/>
  <c r="E45" i="7"/>
  <c r="E44" i="15"/>
  <c r="E44" i="14"/>
  <c r="E44" i="12"/>
  <c r="E44" i="11"/>
  <c r="E44" i="9"/>
  <c r="E44" i="7"/>
  <c r="E43" i="15"/>
  <c r="E43" i="14"/>
  <c r="E43" i="12"/>
  <c r="E43" i="11"/>
  <c r="E43" i="9"/>
  <c r="E43" i="7"/>
  <c r="E42" i="15"/>
  <c r="E42" i="14"/>
  <c r="E42" i="12"/>
  <c r="E42" i="11"/>
  <c r="E42" i="10"/>
  <c r="E42" i="9"/>
  <c r="E42" i="7"/>
  <c r="E41" i="16"/>
  <c r="E41" i="15"/>
  <c r="E41" i="14"/>
  <c r="E41" i="12"/>
  <c r="E41" i="11"/>
  <c r="E41" i="10"/>
  <c r="E41" i="9"/>
  <c r="E41" i="7"/>
  <c r="E40" i="16"/>
  <c r="E40" i="15"/>
  <c r="E40" i="14"/>
  <c r="E40" i="12"/>
  <c r="E40" i="11"/>
  <c r="E40" i="10"/>
  <c r="E40" i="9"/>
  <c r="E40" i="7"/>
  <c r="E39" i="16"/>
  <c r="E39" i="15"/>
  <c r="E39" i="14"/>
  <c r="E39" i="12"/>
  <c r="E39" i="11"/>
  <c r="E39" i="10"/>
  <c r="E39" i="9"/>
  <c r="E39" i="7"/>
  <c r="E38" i="15"/>
  <c r="E38" i="14"/>
  <c r="E38" i="12"/>
  <c r="E38" i="11"/>
  <c r="E38" i="10"/>
  <c r="E38" i="9"/>
  <c r="E38" i="7"/>
  <c r="E37" i="16"/>
  <c r="E37" i="15"/>
  <c r="E37" i="14"/>
  <c r="E37" i="13"/>
  <c r="E37" i="12"/>
  <c r="E37" i="11"/>
  <c r="E37" i="10"/>
  <c r="E37" i="9"/>
  <c r="E37" i="7"/>
  <c r="E36" i="16"/>
  <c r="E36" i="15"/>
  <c r="E36" i="14"/>
  <c r="E36" i="13"/>
  <c r="E36" i="11"/>
  <c r="E36" i="10"/>
  <c r="E36" i="9"/>
  <c r="E36" i="7"/>
  <c r="E35" i="16"/>
  <c r="E35" i="15"/>
  <c r="E35" i="14"/>
  <c r="E35" i="13"/>
  <c r="E35" i="12"/>
  <c r="E35" i="11"/>
  <c r="E35" i="10"/>
  <c r="E35" i="9"/>
  <c r="E35" i="7"/>
  <c r="E34" i="16"/>
  <c r="E34" i="15"/>
  <c r="E34" i="14"/>
  <c r="E34" i="13"/>
  <c r="E34" i="12"/>
  <c r="E34" i="11"/>
  <c r="E34" i="10"/>
  <c r="E34" i="9"/>
  <c r="E34" i="7"/>
  <c r="E33" i="16"/>
  <c r="E33" i="15"/>
  <c r="E33" i="14"/>
  <c r="E33" i="13"/>
  <c r="E33" i="12"/>
  <c r="E33" i="11"/>
  <c r="E33" i="10"/>
  <c r="E33" i="9"/>
  <c r="E33" i="7"/>
  <c r="E32" i="16"/>
  <c r="E32" i="15"/>
  <c r="E32" i="13"/>
  <c r="E32" i="12"/>
  <c r="E32" i="11"/>
  <c r="E32" i="10"/>
  <c r="E32" i="9"/>
  <c r="E32" i="7"/>
  <c r="E31" i="16"/>
  <c r="E31" i="15"/>
  <c r="E31" i="13"/>
  <c r="E31" i="12"/>
  <c r="E31" i="11"/>
  <c r="E31" i="10"/>
  <c r="E31" i="9"/>
  <c r="E31" i="7"/>
  <c r="E30" i="16"/>
  <c r="E30" i="14"/>
  <c r="E30" i="13"/>
  <c r="E30" i="12"/>
  <c r="E30" i="11"/>
  <c r="E30" i="10"/>
  <c r="E30" i="9"/>
  <c r="E30" i="7"/>
  <c r="E29" i="16"/>
  <c r="E29" i="15"/>
  <c r="E29" i="14"/>
  <c r="E29" i="13"/>
  <c r="E29" i="12"/>
  <c r="E29" i="11"/>
  <c r="E29" i="10"/>
  <c r="E29" i="9"/>
  <c r="E29" i="7"/>
  <c r="E28" i="16"/>
  <c r="E28" i="15"/>
  <c r="E28" i="14"/>
  <c r="E28" i="13"/>
  <c r="E28" i="12"/>
  <c r="E28" i="11"/>
  <c r="E28" i="10"/>
  <c r="E28" i="7"/>
  <c r="E27" i="16"/>
  <c r="E27" i="15"/>
  <c r="E27" i="14"/>
  <c r="E27" i="13"/>
  <c r="E27" i="12"/>
  <c r="E27" i="11"/>
  <c r="E27" i="10"/>
  <c r="E27" i="9"/>
  <c r="E27" i="7"/>
  <c r="E26" i="16"/>
  <c r="E26" i="15"/>
  <c r="E26" i="14"/>
  <c r="E26" i="13"/>
  <c r="E26" i="12"/>
  <c r="E26" i="11"/>
  <c r="E26" i="10"/>
  <c r="E26" i="9"/>
  <c r="E26" i="7"/>
  <c r="E25" i="16"/>
  <c r="E25" i="15"/>
  <c r="E25" i="14"/>
  <c r="E25" i="13"/>
  <c r="E25" i="12"/>
  <c r="E25" i="10"/>
  <c r="E25" i="9"/>
  <c r="E25" i="7"/>
  <c r="E24" i="16"/>
  <c r="E24" i="15"/>
  <c r="E24" i="14"/>
  <c r="E24" i="13"/>
  <c r="E24" i="12"/>
  <c r="E24" i="11"/>
  <c r="E24" i="10"/>
  <c r="E24" i="9"/>
  <c r="E24" i="7"/>
  <c r="E23" i="16"/>
  <c r="E23" i="15"/>
  <c r="E23" i="14"/>
  <c r="E23" i="13"/>
  <c r="E23" i="12"/>
  <c r="E23" i="11"/>
  <c r="E23" i="10"/>
  <c r="E23" i="9"/>
  <c r="E23" i="7"/>
  <c r="E22" i="16"/>
  <c r="E22" i="15"/>
  <c r="E22" i="14"/>
  <c r="E22" i="13"/>
  <c r="E22" i="12"/>
  <c r="E22" i="11"/>
  <c r="E22" i="10"/>
  <c r="E22" i="9"/>
  <c r="E22" i="7"/>
  <c r="E21" i="16"/>
  <c r="E21" i="15"/>
  <c r="E21" i="14"/>
  <c r="E21" i="13"/>
  <c r="E21" i="12"/>
  <c r="E21" i="11"/>
  <c r="E21" i="10"/>
  <c r="E21" i="7"/>
  <c r="E20" i="16"/>
  <c r="E20" i="15"/>
  <c r="E20" i="14"/>
  <c r="E20" i="13"/>
  <c r="E20" i="12"/>
  <c r="E20" i="11"/>
  <c r="E20" i="10"/>
  <c r="E20" i="9"/>
  <c r="E20" i="7"/>
  <c r="E19" i="16"/>
  <c r="E19" i="15"/>
  <c r="E19" i="14"/>
  <c r="E19" i="13"/>
  <c r="E19" i="12"/>
  <c r="E19" i="11"/>
  <c r="E19" i="10"/>
  <c r="E19" i="9"/>
  <c r="E19" i="7"/>
  <c r="E18" i="16"/>
  <c r="E18" i="15"/>
  <c r="E18" i="14"/>
  <c r="E18" i="13"/>
  <c r="E18" i="12"/>
  <c r="E18" i="10"/>
  <c r="E18" i="9"/>
  <c r="E18" i="7"/>
  <c r="E17" i="16"/>
  <c r="E17" i="15"/>
  <c r="E17" i="14"/>
  <c r="E17" i="13"/>
  <c r="E17" i="12"/>
  <c r="E17" i="11"/>
  <c r="E17" i="10"/>
  <c r="E17" i="9"/>
  <c r="E17" i="7"/>
  <c r="E16" i="16"/>
  <c r="E16" i="15"/>
  <c r="E16" i="14"/>
  <c r="E16" i="13"/>
  <c r="E16" i="12"/>
  <c r="E16" i="11"/>
  <c r="E16" i="10"/>
  <c r="E16" i="9"/>
  <c r="E16" i="7"/>
  <c r="E15" i="16"/>
  <c r="E15" i="15"/>
  <c r="E15" i="14"/>
  <c r="E15" i="13"/>
  <c r="E15" i="12"/>
  <c r="E15" i="11"/>
  <c r="E15" i="10"/>
  <c r="E15" i="9"/>
  <c r="E15" i="7"/>
  <c r="E14" i="16"/>
  <c r="E14" i="15"/>
  <c r="E14" i="14"/>
  <c r="E14" i="13"/>
  <c r="E14" i="12"/>
  <c r="E14" i="11"/>
  <c r="E14" i="10"/>
  <c r="E14" i="9"/>
  <c r="E14" i="7"/>
  <c r="E13" i="15"/>
  <c r="E13" i="14"/>
  <c r="E13" i="13"/>
  <c r="E13" i="12"/>
  <c r="E13" i="11"/>
  <c r="E13" i="10"/>
  <c r="E13" i="9"/>
  <c r="E12" i="16"/>
  <c r="E12" i="15"/>
  <c r="E12" i="14"/>
  <c r="E12" i="13"/>
  <c r="E12" i="12"/>
  <c r="E12" i="11"/>
  <c r="E12" i="10"/>
  <c r="E12" i="9"/>
  <c r="E12" i="7"/>
  <c r="E11" i="16"/>
  <c r="E11" i="15"/>
  <c r="E11" i="14"/>
  <c r="E11" i="13"/>
  <c r="E11" i="12"/>
  <c r="E11" i="11"/>
  <c r="E11" i="10"/>
  <c r="E11" i="9"/>
  <c r="E10" i="16"/>
  <c r="E10" i="15"/>
  <c r="E10" i="14"/>
  <c r="E10" i="13"/>
  <c r="E10" i="12"/>
  <c r="E10" i="11"/>
  <c r="E10" i="10"/>
  <c r="E10" i="9"/>
  <c r="E9" i="16"/>
  <c r="E9" i="15"/>
  <c r="E9" i="14"/>
  <c r="E9" i="13"/>
  <c r="E9" i="12"/>
  <c r="E9" i="11"/>
  <c r="E9" i="10"/>
  <c r="E9" i="9"/>
  <c r="E8" i="16"/>
  <c r="E8" i="15"/>
  <c r="E8" i="14"/>
  <c r="E8" i="13"/>
  <c r="E8" i="12"/>
  <c r="E8" i="11"/>
  <c r="E8" i="10"/>
  <c r="E8" i="9"/>
  <c r="E8" i="7"/>
  <c r="E7" i="16"/>
  <c r="E7" i="15"/>
  <c r="E7" i="14"/>
  <c r="E7" i="13"/>
  <c r="E7" i="12"/>
  <c r="E7" i="11"/>
  <c r="E7" i="9"/>
  <c r="E7" i="7"/>
  <c r="E6" i="14"/>
  <c r="E6" i="13"/>
  <c r="E6" i="12"/>
  <c r="E6" i="11"/>
  <c r="E6" i="10"/>
  <c r="E6" i="9"/>
  <c r="E6" i="7"/>
  <c r="E5" i="16"/>
  <c r="E5" i="15"/>
  <c r="E5" i="14"/>
  <c r="E5" i="13"/>
  <c r="E5" i="12"/>
  <c r="E5" i="11"/>
  <c r="E5" i="10"/>
  <c r="E5" i="9"/>
  <c r="E5" i="7"/>
  <c r="E4" i="16"/>
  <c r="E4" i="15"/>
  <c r="E4" i="14"/>
  <c r="E4" i="13"/>
  <c r="E4" i="11"/>
  <c r="E4" i="10"/>
  <c r="E4" i="9"/>
  <c r="E3" i="16"/>
  <c r="E3" i="15"/>
  <c r="E3" i="14"/>
  <c r="E3" i="12"/>
  <c r="E3" i="11"/>
  <c r="E3" i="10"/>
  <c r="E3" i="9"/>
  <c r="X50" i="17" a="1"/>
  <c r="Z50" i="17"/>
  <c r="AB50" i="17"/>
  <c r="X39" i="17"/>
  <c r="Y39" i="17"/>
  <c r="T27" i="17"/>
  <c r="U27" i="17"/>
  <c r="V27" i="17"/>
  <c r="X41" i="17"/>
  <c r="Y41" i="17"/>
  <c r="T29" i="17"/>
  <c r="U29" i="17"/>
  <c r="V29" i="17"/>
  <c r="X16" i="17"/>
  <c r="Y16" i="17"/>
  <c r="X14" i="17"/>
  <c r="Y14" i="17"/>
  <c r="Y15" i="17"/>
  <c r="X15" i="17"/>
  <c r="X17" i="17"/>
  <c r="Y17" i="17"/>
  <c r="U7" i="17"/>
  <c r="V7" i="17"/>
  <c r="T7" i="17"/>
  <c r="X22" i="17"/>
  <c r="Y22" i="17"/>
  <c r="Y30" i="17"/>
  <c r="X30" i="17"/>
  <c r="X29" i="17"/>
  <c r="T21" i="17"/>
  <c r="U21" i="17"/>
  <c r="V21" i="17"/>
  <c r="Y18" i="17"/>
  <c r="X18" i="17"/>
  <c r="T8" i="17"/>
  <c r="U8" i="17"/>
  <c r="V8" i="17"/>
  <c r="X6" i="17"/>
  <c r="Y6" i="17"/>
  <c r="X31" i="17"/>
  <c r="Y31" i="17"/>
  <c r="X46" i="17" a="1"/>
  <c r="Z46" i="17"/>
  <c r="AB46" i="17"/>
  <c r="X8" i="17"/>
  <c r="Y8" i="17"/>
  <c r="X20" i="17"/>
  <c r="Y20" i="17"/>
  <c r="X28" i="17"/>
  <c r="Y28" i="17"/>
  <c r="U13" i="17"/>
  <c r="V13" i="17"/>
  <c r="T13" i="17"/>
  <c r="X47" i="17" a="1"/>
  <c r="Z47" i="17"/>
  <c r="AB47" i="17"/>
  <c r="X9" i="17"/>
  <c r="Y9" i="17"/>
  <c r="X32" i="17"/>
  <c r="Y32" i="17"/>
  <c r="X44" i="17"/>
  <c r="Y44" i="17"/>
  <c r="X53" i="17" a="1"/>
  <c r="Z53" i="17"/>
  <c r="AB53" i="17"/>
  <c r="Y10" i="17"/>
  <c r="X10" i="17"/>
  <c r="X38" i="17"/>
  <c r="Y38" i="17"/>
  <c r="X33" i="17"/>
  <c r="Y33" i="17"/>
  <c r="X4" i="17"/>
  <c r="Y4" i="17"/>
  <c r="T32" i="17"/>
  <c r="U32" i="17"/>
  <c r="V32" i="17"/>
  <c r="T35" i="17"/>
  <c r="U35" i="17"/>
  <c r="V35" i="17"/>
  <c r="Y24" i="17"/>
  <c r="X24" i="17"/>
  <c r="U15" i="17"/>
  <c r="V15" i="17"/>
  <c r="T15" i="17"/>
  <c r="X48" i="17" a="1"/>
  <c r="Z48" i="17"/>
  <c r="AB48" i="17"/>
  <c r="AB52" i="17"/>
  <c r="X52" i="17" a="1"/>
  <c r="Z52" i="17"/>
  <c r="X36" i="17"/>
  <c r="Y36" i="17"/>
  <c r="X12" i="17"/>
  <c r="Y12" i="17"/>
  <c r="U23" i="17"/>
  <c r="V23" i="17"/>
  <c r="T23" i="17"/>
  <c r="T11" i="17"/>
  <c r="U11" i="17"/>
  <c r="V11" i="17"/>
  <c r="Y25" i="17"/>
  <c r="X25" i="17"/>
  <c r="T16" i="17"/>
  <c r="U16" i="17"/>
  <c r="V16" i="17"/>
  <c r="X51" i="17" a="1"/>
  <c r="Z51" i="17"/>
  <c r="AB51" i="17"/>
  <c r="T6" i="17"/>
  <c r="U6" i="17"/>
  <c r="V6" i="17"/>
  <c r="T24" i="17"/>
  <c r="U24" i="17"/>
  <c r="V24" i="17"/>
  <c r="X40" i="17"/>
  <c r="Y40" i="17"/>
  <c r="T45" i="17"/>
  <c r="U45" i="17"/>
  <c r="V45" i="17"/>
  <c r="U31" i="17"/>
  <c r="V31" i="17"/>
  <c r="T31" i="17"/>
  <c r="Y23" i="17"/>
  <c r="X23" i="17"/>
  <c r="U37" i="17"/>
  <c r="V37" i="17"/>
  <c r="T37" i="17"/>
  <c r="Y7" i="17"/>
  <c r="X7" i="17"/>
  <c r="U39" i="17"/>
  <c r="V39" i="17"/>
  <c r="T39" i="17"/>
  <c r="T3" i="17"/>
  <c r="U3" i="17"/>
  <c r="V3" i="17"/>
  <c r="K50" i="17"/>
  <c r="K52" i="17"/>
  <c r="E47" i="7"/>
  <c r="K47" i="17"/>
  <c r="E53" i="7"/>
  <c r="K53" i="17"/>
  <c r="E52" i="7"/>
  <c r="E48" i="7"/>
  <c r="K48" i="17"/>
  <c r="E51" i="7"/>
  <c r="K51" i="17"/>
  <c r="E50" i="7"/>
  <c r="E46" i="7"/>
  <c r="K46" i="17"/>
  <c r="P53" i="16"/>
  <c r="P52" i="16"/>
  <c r="P51" i="16"/>
  <c r="P50" i="16"/>
  <c r="P49" i="16"/>
  <c r="P48" i="16"/>
  <c r="P47" i="16"/>
  <c r="P46" i="16"/>
  <c r="P45" i="16"/>
  <c r="P44" i="16"/>
  <c r="P43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5" i="16"/>
  <c r="P14" i="16"/>
  <c r="P13" i="16"/>
  <c r="P12" i="16"/>
  <c r="P11" i="16"/>
  <c r="P10" i="16"/>
  <c r="P9" i="16"/>
  <c r="P8" i="16"/>
  <c r="P7" i="16"/>
  <c r="P6" i="16"/>
  <c r="P5" i="16"/>
  <c r="P4" i="16"/>
  <c r="P3" i="16"/>
  <c r="P53" i="15"/>
  <c r="P52" i="15"/>
  <c r="P51" i="15"/>
  <c r="P50" i="15"/>
  <c r="P49" i="15"/>
  <c r="P48" i="15"/>
  <c r="P47" i="15"/>
  <c r="P46" i="15"/>
  <c r="P45" i="15"/>
  <c r="P44" i="15"/>
  <c r="P43" i="15"/>
  <c r="P42" i="15"/>
  <c r="P41" i="15"/>
  <c r="P40" i="15"/>
  <c r="P39" i="15"/>
  <c r="P38" i="15"/>
  <c r="P37" i="15"/>
  <c r="P36" i="15"/>
  <c r="P35" i="15"/>
  <c r="P34" i="15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5" i="15"/>
  <c r="P14" i="15"/>
  <c r="P13" i="15"/>
  <c r="P12" i="15"/>
  <c r="P11" i="15"/>
  <c r="P10" i="15"/>
  <c r="P9" i="15"/>
  <c r="P8" i="15"/>
  <c r="P7" i="15"/>
  <c r="P6" i="15"/>
  <c r="P5" i="15"/>
  <c r="P4" i="15"/>
  <c r="P3" i="15"/>
  <c r="P53" i="14"/>
  <c r="P52" i="14"/>
  <c r="P51" i="14"/>
  <c r="P50" i="14"/>
  <c r="P49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5" i="12"/>
  <c r="P14" i="12"/>
  <c r="P13" i="12"/>
  <c r="P12" i="12"/>
  <c r="P11" i="12"/>
  <c r="P10" i="12"/>
  <c r="P9" i="12"/>
  <c r="P8" i="12"/>
  <c r="P7" i="12"/>
  <c r="P6" i="12"/>
  <c r="P5" i="12"/>
  <c r="P4" i="12"/>
  <c r="P3" i="12"/>
  <c r="P53" i="11"/>
  <c r="P52" i="11"/>
  <c r="P51" i="11"/>
  <c r="P50" i="11"/>
  <c r="P49" i="11"/>
  <c r="P48" i="11"/>
  <c r="P47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5" i="11"/>
  <c r="P14" i="11"/>
  <c r="P13" i="11"/>
  <c r="P12" i="11"/>
  <c r="P11" i="11"/>
  <c r="P10" i="11"/>
  <c r="P9" i="11"/>
  <c r="P8" i="11"/>
  <c r="P7" i="11"/>
  <c r="P6" i="11"/>
  <c r="P5" i="11"/>
  <c r="P4" i="11"/>
  <c r="P3" i="11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5" i="10"/>
  <c r="P14" i="10"/>
  <c r="P13" i="10"/>
  <c r="P12" i="10"/>
  <c r="P11" i="10"/>
  <c r="P10" i="10"/>
  <c r="P9" i="10"/>
  <c r="P8" i="10"/>
  <c r="J8" i="10"/>
  <c r="O8" i="10"/>
  <c r="P7" i="10"/>
  <c r="P6" i="10"/>
  <c r="J6" i="10"/>
  <c r="O6" i="10"/>
  <c r="P5" i="10"/>
  <c r="J5" i="10"/>
  <c r="O5" i="10"/>
  <c r="P4" i="10"/>
  <c r="P3" i="10"/>
  <c r="J3" i="10"/>
  <c r="O3" i="10"/>
  <c r="B3" i="10"/>
  <c r="J4" i="10"/>
  <c r="O4" i="10"/>
  <c r="B4" i="10"/>
  <c r="B5" i="10"/>
  <c r="B6" i="10"/>
  <c r="J7" i="10"/>
  <c r="B7" i="10"/>
  <c r="F7" i="10"/>
  <c r="B8" i="10"/>
  <c r="J9" i="10"/>
  <c r="O9" i="10"/>
  <c r="B9" i="10"/>
  <c r="F9" i="10"/>
  <c r="J10" i="10"/>
  <c r="O10" i="10"/>
  <c r="B10" i="10"/>
  <c r="J11" i="10"/>
  <c r="B11" i="10"/>
  <c r="F11" i="10"/>
  <c r="J12" i="10"/>
  <c r="O12" i="10"/>
  <c r="B12" i="10"/>
  <c r="J13" i="10"/>
  <c r="B13" i="10"/>
  <c r="J14" i="10"/>
  <c r="O14" i="10"/>
  <c r="B14" i="10"/>
  <c r="J15" i="10"/>
  <c r="B15" i="10"/>
  <c r="J16" i="10"/>
  <c r="B16" i="10"/>
  <c r="F16" i="10"/>
  <c r="J17" i="10"/>
  <c r="B17" i="10"/>
  <c r="J18" i="10"/>
  <c r="O18" i="10"/>
  <c r="B18" i="10"/>
  <c r="J19" i="10"/>
  <c r="O19" i="10"/>
  <c r="B19" i="10"/>
  <c r="J20" i="10"/>
  <c r="O20" i="10"/>
  <c r="B20" i="10"/>
  <c r="J21" i="10"/>
  <c r="O21" i="10"/>
  <c r="B21" i="10"/>
  <c r="J22" i="10"/>
  <c r="O22" i="10"/>
  <c r="B22" i="10"/>
  <c r="J23" i="10"/>
  <c r="B23" i="10"/>
  <c r="J24" i="10"/>
  <c r="B24" i="10"/>
  <c r="J25" i="10"/>
  <c r="O25" i="10"/>
  <c r="B25" i="10"/>
  <c r="J26" i="10"/>
  <c r="O26" i="10"/>
  <c r="B26" i="10"/>
  <c r="J27" i="10"/>
  <c r="B27" i="10"/>
  <c r="J28" i="10"/>
  <c r="O28" i="10"/>
  <c r="B28" i="10"/>
  <c r="J29" i="10"/>
  <c r="O29" i="10"/>
  <c r="B29" i="10"/>
  <c r="J30" i="10"/>
  <c r="O30" i="10"/>
  <c r="B30" i="10"/>
  <c r="J31" i="10"/>
  <c r="B31" i="10"/>
  <c r="J32" i="10"/>
  <c r="B32" i="10"/>
  <c r="J33" i="10"/>
  <c r="O33" i="10"/>
  <c r="B33" i="10"/>
  <c r="F33" i="10"/>
  <c r="J34" i="10"/>
  <c r="O34" i="10"/>
  <c r="B34" i="10"/>
  <c r="J35" i="10"/>
  <c r="B35" i="10"/>
  <c r="J36" i="10"/>
  <c r="O36" i="10"/>
  <c r="B36" i="10"/>
  <c r="J37" i="10"/>
  <c r="O37" i="10"/>
  <c r="B37" i="10"/>
  <c r="J38" i="10"/>
  <c r="O38" i="10"/>
  <c r="B38" i="10"/>
  <c r="J39" i="10"/>
  <c r="B39" i="10"/>
  <c r="J40" i="10"/>
  <c r="B40" i="10"/>
  <c r="J41" i="10"/>
  <c r="O41" i="10"/>
  <c r="B41" i="10"/>
  <c r="F41" i="10"/>
  <c r="J42" i="10"/>
  <c r="O42" i="10"/>
  <c r="B42" i="10"/>
  <c r="J43" i="10"/>
  <c r="B43" i="10"/>
  <c r="J44" i="10"/>
  <c r="O44" i="10"/>
  <c r="B44" i="10"/>
  <c r="J45" i="10"/>
  <c r="O45" i="10"/>
  <c r="B45" i="10"/>
  <c r="J46" i="10"/>
  <c r="O46" i="10"/>
  <c r="B46" i="10"/>
  <c r="J47" i="10"/>
  <c r="B47" i="10"/>
  <c r="J48" i="10"/>
  <c r="B48" i="10"/>
  <c r="J49" i="10"/>
  <c r="O49" i="10"/>
  <c r="B49" i="10"/>
  <c r="J50" i="10"/>
  <c r="O50" i="10"/>
  <c r="B50" i="10"/>
  <c r="J51" i="10"/>
  <c r="O51" i="10"/>
  <c r="B51" i="10"/>
  <c r="F51" i="10"/>
  <c r="J52" i="10"/>
  <c r="O52" i="10"/>
  <c r="B52" i="10"/>
  <c r="J53" i="10"/>
  <c r="O53" i="10"/>
  <c r="B53" i="10"/>
  <c r="F53" i="10"/>
  <c r="J3" i="11"/>
  <c r="O3" i="11"/>
  <c r="B3" i="11"/>
  <c r="J4" i="11"/>
  <c r="O4" i="11"/>
  <c r="B4" i="11"/>
  <c r="J5" i="11"/>
  <c r="B5" i="11"/>
  <c r="J6" i="11"/>
  <c r="O6" i="11"/>
  <c r="B6" i="11"/>
  <c r="J7" i="11"/>
  <c r="O7" i="11"/>
  <c r="B7" i="11"/>
  <c r="J8" i="11"/>
  <c r="O8" i="11"/>
  <c r="B8" i="11"/>
  <c r="J9" i="11"/>
  <c r="O9" i="11"/>
  <c r="B9" i="11"/>
  <c r="J10" i="11"/>
  <c r="O10" i="11"/>
  <c r="B10" i="11"/>
  <c r="J11" i="11"/>
  <c r="O11" i="11"/>
  <c r="B11" i="11"/>
  <c r="J12" i="11"/>
  <c r="B12" i="11"/>
  <c r="F12" i="11"/>
  <c r="J13" i="11"/>
  <c r="B13" i="11"/>
  <c r="J14" i="11"/>
  <c r="O14" i="11"/>
  <c r="B14" i="11"/>
  <c r="J15" i="11"/>
  <c r="O15" i="11"/>
  <c r="B15" i="11"/>
  <c r="J16" i="11"/>
  <c r="B16" i="11"/>
  <c r="J17" i="11"/>
  <c r="O17" i="11"/>
  <c r="B17" i="11"/>
  <c r="J18" i="11"/>
  <c r="O18" i="11"/>
  <c r="B18" i="11"/>
  <c r="J19" i="11"/>
  <c r="O19" i="11"/>
  <c r="B19" i="11"/>
  <c r="J20" i="11"/>
  <c r="B20" i="11"/>
  <c r="F20" i="11"/>
  <c r="J21" i="11"/>
  <c r="B21" i="11"/>
  <c r="J22" i="11"/>
  <c r="O22" i="11"/>
  <c r="B22" i="11"/>
  <c r="J23" i="11"/>
  <c r="O23" i="11"/>
  <c r="B23" i="11"/>
  <c r="J24" i="11"/>
  <c r="O24" i="11"/>
  <c r="B24" i="11"/>
  <c r="J25" i="11"/>
  <c r="O25" i="11"/>
  <c r="B25" i="11"/>
  <c r="J26" i="11"/>
  <c r="O26" i="11"/>
  <c r="B26" i="11"/>
  <c r="J27" i="11"/>
  <c r="O27" i="11"/>
  <c r="B27" i="11"/>
  <c r="J28" i="11"/>
  <c r="O28" i="11"/>
  <c r="B28" i="11"/>
  <c r="J29" i="11"/>
  <c r="B29" i="11"/>
  <c r="J30" i="11"/>
  <c r="O30" i="11"/>
  <c r="B30" i="11"/>
  <c r="J31" i="11"/>
  <c r="O31" i="11"/>
  <c r="B31" i="11"/>
  <c r="J32" i="11"/>
  <c r="O32" i="11"/>
  <c r="B32" i="11"/>
  <c r="J33" i="11"/>
  <c r="O33" i="11"/>
  <c r="B33" i="11"/>
  <c r="J34" i="11"/>
  <c r="O34" i="11"/>
  <c r="B34" i="11"/>
  <c r="J35" i="11"/>
  <c r="O35" i="11"/>
  <c r="B35" i="11"/>
  <c r="J36" i="11"/>
  <c r="O36" i="11"/>
  <c r="B36" i="11"/>
  <c r="J37" i="11"/>
  <c r="O37" i="11"/>
  <c r="B37" i="11"/>
  <c r="J38" i="11"/>
  <c r="O38" i="11"/>
  <c r="B38" i="11"/>
  <c r="F38" i="11"/>
  <c r="J39" i="11"/>
  <c r="O39" i="11"/>
  <c r="B39" i="11"/>
  <c r="F39" i="11"/>
  <c r="J40" i="11"/>
  <c r="O40" i="11"/>
  <c r="B40" i="11"/>
  <c r="J41" i="11"/>
  <c r="O41" i="11"/>
  <c r="B41" i="11"/>
  <c r="J42" i="11"/>
  <c r="O42" i="11"/>
  <c r="B42" i="11"/>
  <c r="J43" i="11"/>
  <c r="O43" i="11"/>
  <c r="B43" i="11"/>
  <c r="J44" i="11"/>
  <c r="O44" i="11"/>
  <c r="B44" i="11"/>
  <c r="J45" i="11"/>
  <c r="O45" i="11"/>
  <c r="B45" i="11"/>
  <c r="J46" i="11"/>
  <c r="O46" i="11"/>
  <c r="B46" i="11"/>
  <c r="F46" i="11"/>
  <c r="J47" i="11"/>
  <c r="O47" i="11"/>
  <c r="B47" i="11"/>
  <c r="F47" i="11"/>
  <c r="J48" i="11"/>
  <c r="O48" i="11"/>
  <c r="B48" i="11"/>
  <c r="J49" i="11"/>
  <c r="O49" i="11"/>
  <c r="B49" i="11"/>
  <c r="J50" i="11"/>
  <c r="O50" i="11"/>
  <c r="B50" i="11"/>
  <c r="J51" i="11"/>
  <c r="O51" i="11"/>
  <c r="B51" i="11"/>
  <c r="J52" i="11"/>
  <c r="O52" i="11"/>
  <c r="B52" i="11"/>
  <c r="J53" i="11"/>
  <c r="O53" i="11"/>
  <c r="B53" i="11"/>
  <c r="J3" i="12"/>
  <c r="O3" i="12"/>
  <c r="B3" i="12"/>
  <c r="J4" i="12"/>
  <c r="O4" i="12"/>
  <c r="B4" i="12"/>
  <c r="F4" i="12"/>
  <c r="J5" i="12"/>
  <c r="O5" i="12"/>
  <c r="B5" i="12"/>
  <c r="J6" i="12"/>
  <c r="O6" i="12"/>
  <c r="B6" i="12"/>
  <c r="F6" i="12"/>
  <c r="J7" i="12"/>
  <c r="B7" i="12"/>
  <c r="F7" i="12"/>
  <c r="J8" i="12"/>
  <c r="B8" i="12"/>
  <c r="F8" i="12"/>
  <c r="J9" i="12"/>
  <c r="B9" i="12"/>
  <c r="F9" i="12"/>
  <c r="J10" i="12"/>
  <c r="B10" i="12"/>
  <c r="J11" i="12"/>
  <c r="O11" i="12"/>
  <c r="B11" i="12"/>
  <c r="J12" i="12"/>
  <c r="O12" i="12"/>
  <c r="B12" i="12"/>
  <c r="J13" i="12"/>
  <c r="O13" i="12"/>
  <c r="B13" i="12"/>
  <c r="F13" i="12"/>
  <c r="J14" i="12"/>
  <c r="O14" i="12"/>
  <c r="B14" i="12"/>
  <c r="J15" i="12"/>
  <c r="O15" i="12"/>
  <c r="B15" i="12"/>
  <c r="J16" i="12"/>
  <c r="B16" i="12"/>
  <c r="J17" i="12"/>
  <c r="B17" i="12"/>
  <c r="F17" i="12"/>
  <c r="J18" i="12"/>
  <c r="B18" i="12"/>
  <c r="F18" i="12"/>
  <c r="J19" i="12"/>
  <c r="O19" i="12"/>
  <c r="B19" i="12"/>
  <c r="F19" i="12"/>
  <c r="J20" i="12"/>
  <c r="O20" i="12"/>
  <c r="B20" i="12"/>
  <c r="F20" i="12"/>
  <c r="J21" i="12"/>
  <c r="O21" i="12"/>
  <c r="B21" i="12"/>
  <c r="J22" i="12"/>
  <c r="O22" i="12"/>
  <c r="B22" i="12"/>
  <c r="J23" i="12"/>
  <c r="O23" i="12"/>
  <c r="B23" i="12"/>
  <c r="F23" i="12"/>
  <c r="J24" i="12"/>
  <c r="O24" i="12"/>
  <c r="B24" i="12"/>
  <c r="F24" i="12"/>
  <c r="J25" i="12"/>
  <c r="O25" i="12"/>
  <c r="B25" i="12"/>
  <c r="F25" i="12"/>
  <c r="J26" i="12"/>
  <c r="O26" i="12"/>
  <c r="B26" i="12"/>
  <c r="F26" i="12"/>
  <c r="J27" i="12"/>
  <c r="O27" i="12"/>
  <c r="B27" i="12"/>
  <c r="J28" i="12"/>
  <c r="O28" i="12"/>
  <c r="B28" i="12"/>
  <c r="J29" i="12"/>
  <c r="O29" i="12"/>
  <c r="B29" i="12"/>
  <c r="F29" i="12"/>
  <c r="J30" i="12"/>
  <c r="O30" i="12"/>
  <c r="B30" i="12"/>
  <c r="F30" i="12"/>
  <c r="J31" i="12"/>
  <c r="O31" i="12"/>
  <c r="B31" i="12"/>
  <c r="J32" i="12"/>
  <c r="O32" i="12"/>
  <c r="B32" i="12"/>
  <c r="F32" i="12"/>
  <c r="J33" i="12"/>
  <c r="O33" i="12"/>
  <c r="B33" i="12"/>
  <c r="F33" i="12"/>
  <c r="J34" i="12"/>
  <c r="O34" i="12"/>
  <c r="B34" i="12"/>
  <c r="F34" i="12"/>
  <c r="J35" i="12"/>
  <c r="O35" i="12"/>
  <c r="B35" i="12"/>
  <c r="J36" i="12"/>
  <c r="O36" i="12"/>
  <c r="B36" i="12"/>
  <c r="F36" i="12"/>
  <c r="J37" i="12"/>
  <c r="O37" i="12"/>
  <c r="B37" i="12"/>
  <c r="F37" i="12"/>
  <c r="J38" i="12"/>
  <c r="O38" i="12"/>
  <c r="B38" i="12"/>
  <c r="F38" i="12"/>
  <c r="J39" i="12"/>
  <c r="O39" i="12"/>
  <c r="B39" i="12"/>
  <c r="J40" i="12"/>
  <c r="O40" i="12"/>
  <c r="B40" i="12"/>
  <c r="J41" i="12"/>
  <c r="O41" i="12"/>
  <c r="B41" i="12"/>
  <c r="J42" i="12"/>
  <c r="O42" i="12"/>
  <c r="B42" i="12"/>
  <c r="J43" i="12"/>
  <c r="O43" i="12"/>
  <c r="B43" i="12"/>
  <c r="J44" i="12"/>
  <c r="O44" i="12"/>
  <c r="B44" i="12"/>
  <c r="J45" i="12"/>
  <c r="O45" i="12"/>
  <c r="B45" i="12"/>
  <c r="J46" i="12"/>
  <c r="O46" i="12"/>
  <c r="B46" i="12"/>
  <c r="J47" i="12"/>
  <c r="O47" i="12"/>
  <c r="B47" i="12"/>
  <c r="J48" i="12"/>
  <c r="O48" i="12"/>
  <c r="B48" i="12"/>
  <c r="J49" i="12"/>
  <c r="O49" i="12"/>
  <c r="B49" i="12"/>
  <c r="J50" i="12"/>
  <c r="O50" i="12"/>
  <c r="B50" i="12"/>
  <c r="F50" i="12"/>
  <c r="J51" i="12"/>
  <c r="O51" i="12"/>
  <c r="B51" i="12"/>
  <c r="J52" i="12"/>
  <c r="O52" i="12"/>
  <c r="B52" i="12"/>
  <c r="F52" i="12"/>
  <c r="J53" i="12"/>
  <c r="O53" i="12"/>
  <c r="B53" i="12"/>
  <c r="P4" i="9"/>
  <c r="P5" i="9"/>
  <c r="P6" i="9"/>
  <c r="P7" i="9"/>
  <c r="P8" i="9"/>
  <c r="P9" i="9"/>
  <c r="P10" i="9"/>
  <c r="P11" i="9"/>
  <c r="P12" i="9"/>
  <c r="P13" i="9"/>
  <c r="P14" i="9"/>
  <c r="P15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3" i="9"/>
  <c r="P16" i="11"/>
  <c r="K53" i="16"/>
  <c r="J53" i="16"/>
  <c r="K52" i="16"/>
  <c r="J52" i="16"/>
  <c r="K51" i="16"/>
  <c r="J51" i="16"/>
  <c r="K50" i="16"/>
  <c r="J50" i="16"/>
  <c r="K49" i="16"/>
  <c r="J49" i="16"/>
  <c r="K48" i="16"/>
  <c r="J48" i="16"/>
  <c r="K47" i="16"/>
  <c r="J47" i="16"/>
  <c r="K46" i="16"/>
  <c r="J46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O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O7" i="16"/>
  <c r="K6" i="16"/>
  <c r="J6" i="16"/>
  <c r="K5" i="16"/>
  <c r="J5" i="16"/>
  <c r="K4" i="16"/>
  <c r="J4" i="16"/>
  <c r="K3" i="16"/>
  <c r="J3" i="16"/>
  <c r="K53" i="15"/>
  <c r="J53" i="15"/>
  <c r="K52" i="15"/>
  <c r="J52" i="15"/>
  <c r="K51" i="15"/>
  <c r="J51" i="15"/>
  <c r="K50" i="15"/>
  <c r="J50" i="15"/>
  <c r="K49" i="15"/>
  <c r="J49" i="15"/>
  <c r="K48" i="15"/>
  <c r="J48" i="15"/>
  <c r="K47" i="15"/>
  <c r="J47" i="15"/>
  <c r="K46" i="15"/>
  <c r="J46" i="15"/>
  <c r="K45" i="15"/>
  <c r="J45" i="15"/>
  <c r="K44" i="15"/>
  <c r="J44" i="15"/>
  <c r="K43" i="15"/>
  <c r="J43" i="15"/>
  <c r="K42" i="15"/>
  <c r="J42" i="15"/>
  <c r="K41" i="15"/>
  <c r="J41" i="15"/>
  <c r="K40" i="15"/>
  <c r="J40" i="15"/>
  <c r="K39" i="15"/>
  <c r="J39" i="15"/>
  <c r="K38" i="15"/>
  <c r="J38" i="15"/>
  <c r="K37" i="15"/>
  <c r="J37" i="15"/>
  <c r="K36" i="15"/>
  <c r="J36" i="15"/>
  <c r="K35" i="15"/>
  <c r="J35" i="15"/>
  <c r="K34" i="15"/>
  <c r="J34" i="15"/>
  <c r="K33" i="15"/>
  <c r="J33" i="15"/>
  <c r="K32" i="15"/>
  <c r="J32" i="15"/>
  <c r="K31" i="15"/>
  <c r="J31" i="15"/>
  <c r="K30" i="15"/>
  <c r="J30" i="15"/>
  <c r="K29" i="15"/>
  <c r="J29" i="15"/>
  <c r="K28" i="15"/>
  <c r="J28" i="15"/>
  <c r="K27" i="15"/>
  <c r="J27" i="15"/>
  <c r="K26" i="15"/>
  <c r="J26" i="15"/>
  <c r="K25" i="15"/>
  <c r="J25" i="15"/>
  <c r="K24" i="15"/>
  <c r="J24" i="15"/>
  <c r="K23" i="15"/>
  <c r="J23" i="15"/>
  <c r="K22" i="15"/>
  <c r="J22" i="15"/>
  <c r="K21" i="15"/>
  <c r="J21" i="15"/>
  <c r="K20" i="15"/>
  <c r="J20" i="15"/>
  <c r="K19" i="15"/>
  <c r="J19" i="15"/>
  <c r="K18" i="15"/>
  <c r="J18" i="15"/>
  <c r="K17" i="15"/>
  <c r="J17" i="15"/>
  <c r="K16" i="15"/>
  <c r="J16" i="15"/>
  <c r="K15" i="15"/>
  <c r="J15" i="15"/>
  <c r="K14" i="15"/>
  <c r="J14" i="15"/>
  <c r="K13" i="15"/>
  <c r="J13" i="15"/>
  <c r="K12" i="15"/>
  <c r="J12" i="15"/>
  <c r="K11" i="15"/>
  <c r="J11" i="15"/>
  <c r="K10" i="15"/>
  <c r="J10" i="15"/>
  <c r="K9" i="15"/>
  <c r="J9" i="15"/>
  <c r="K8" i="15"/>
  <c r="J8" i="15"/>
  <c r="K7" i="15"/>
  <c r="J7" i="15"/>
  <c r="K6" i="15"/>
  <c r="J6" i="15"/>
  <c r="K5" i="15"/>
  <c r="J5" i="15"/>
  <c r="K4" i="15"/>
  <c r="J4" i="15"/>
  <c r="K3" i="15"/>
  <c r="J3" i="15"/>
  <c r="O3" i="15"/>
  <c r="K53" i="14"/>
  <c r="J53" i="14"/>
  <c r="K52" i="14"/>
  <c r="J52" i="14"/>
  <c r="K51" i="14"/>
  <c r="J51" i="14"/>
  <c r="K50" i="14"/>
  <c r="J50" i="14"/>
  <c r="K49" i="14"/>
  <c r="J49" i="14"/>
  <c r="K48" i="14"/>
  <c r="J48" i="14"/>
  <c r="K47" i="14"/>
  <c r="J47" i="14"/>
  <c r="K46" i="14"/>
  <c r="J46" i="14"/>
  <c r="K45" i="14"/>
  <c r="J45" i="14"/>
  <c r="K44" i="14"/>
  <c r="J44" i="14"/>
  <c r="K43" i="14"/>
  <c r="J43" i="14"/>
  <c r="K42" i="14"/>
  <c r="J42" i="14"/>
  <c r="K41" i="14"/>
  <c r="J41" i="14"/>
  <c r="K40" i="14"/>
  <c r="J40" i="14"/>
  <c r="K39" i="14"/>
  <c r="J39" i="14"/>
  <c r="K38" i="14"/>
  <c r="J38" i="14"/>
  <c r="K37" i="14"/>
  <c r="J37" i="14"/>
  <c r="K36" i="14"/>
  <c r="J36" i="14"/>
  <c r="K35" i="14"/>
  <c r="J35" i="14"/>
  <c r="K34" i="14"/>
  <c r="J34" i="14"/>
  <c r="K33" i="14"/>
  <c r="J33" i="14"/>
  <c r="K32" i="14"/>
  <c r="J32" i="14"/>
  <c r="K31" i="14"/>
  <c r="J31" i="14"/>
  <c r="K30" i="14"/>
  <c r="J30" i="14"/>
  <c r="K29" i="14"/>
  <c r="J29" i="14"/>
  <c r="O29" i="14"/>
  <c r="K28" i="14"/>
  <c r="J28" i="14"/>
  <c r="K27" i="14"/>
  <c r="J27" i="14"/>
  <c r="K26" i="14"/>
  <c r="J26" i="14"/>
  <c r="K25" i="14"/>
  <c r="J25" i="14"/>
  <c r="K24" i="14"/>
  <c r="J24" i="14"/>
  <c r="K23" i="14"/>
  <c r="J23" i="14"/>
  <c r="O23" i="14"/>
  <c r="K22" i="14"/>
  <c r="J22" i="14"/>
  <c r="K21" i="14"/>
  <c r="J21" i="14"/>
  <c r="K20" i="14"/>
  <c r="J20" i="14"/>
  <c r="K19" i="14"/>
  <c r="J19" i="14"/>
  <c r="K18" i="14"/>
  <c r="J18" i="14"/>
  <c r="K17" i="14"/>
  <c r="J17" i="14"/>
  <c r="O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O11" i="14"/>
  <c r="K10" i="14"/>
  <c r="J10" i="14"/>
  <c r="K9" i="14"/>
  <c r="J9" i="14"/>
  <c r="K8" i="14"/>
  <c r="J8" i="14"/>
  <c r="K7" i="14"/>
  <c r="J7" i="14"/>
  <c r="O7" i="14"/>
  <c r="K6" i="14"/>
  <c r="J6" i="14"/>
  <c r="K5" i="14"/>
  <c r="J5" i="14"/>
  <c r="K4" i="14"/>
  <c r="J4" i="14"/>
  <c r="K3" i="14"/>
  <c r="J3" i="14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J10" i="13"/>
  <c r="K9" i="13"/>
  <c r="J9" i="13"/>
  <c r="K8" i="13"/>
  <c r="J8" i="13"/>
  <c r="O8" i="13"/>
  <c r="K7" i="13"/>
  <c r="J7" i="13"/>
  <c r="O7" i="13"/>
  <c r="K6" i="13"/>
  <c r="J6" i="13"/>
  <c r="O6" i="13"/>
  <c r="K5" i="13"/>
  <c r="J5" i="13"/>
  <c r="K4" i="13"/>
  <c r="J4" i="13"/>
  <c r="K3" i="13"/>
  <c r="J3" i="13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53" i="9"/>
  <c r="J53" i="9"/>
  <c r="K52" i="9"/>
  <c r="J52" i="9"/>
  <c r="K51" i="9"/>
  <c r="J51" i="9"/>
  <c r="K50" i="9"/>
  <c r="J50" i="9"/>
  <c r="K49" i="9"/>
  <c r="J49" i="9"/>
  <c r="K48" i="9"/>
  <c r="J48" i="9"/>
  <c r="K47" i="9"/>
  <c r="J47" i="9"/>
  <c r="K46" i="9"/>
  <c r="J46" i="9"/>
  <c r="K45" i="9"/>
  <c r="J45" i="9"/>
  <c r="K44" i="9"/>
  <c r="J44" i="9"/>
  <c r="K43" i="9"/>
  <c r="J43" i="9"/>
  <c r="K42" i="9"/>
  <c r="J42" i="9"/>
  <c r="K41" i="9"/>
  <c r="J41" i="9"/>
  <c r="K40" i="9"/>
  <c r="J40" i="9"/>
  <c r="K39" i="9"/>
  <c r="J39" i="9"/>
  <c r="K38" i="9"/>
  <c r="J38" i="9"/>
  <c r="K37" i="9"/>
  <c r="J37" i="9"/>
  <c r="K36" i="9"/>
  <c r="J36" i="9"/>
  <c r="K35" i="9"/>
  <c r="J35" i="9"/>
  <c r="K34" i="9"/>
  <c r="J34" i="9"/>
  <c r="K33" i="9"/>
  <c r="J33" i="9"/>
  <c r="K32" i="9"/>
  <c r="J32" i="9"/>
  <c r="K31" i="9"/>
  <c r="J31" i="9"/>
  <c r="K30" i="9"/>
  <c r="J30" i="9"/>
  <c r="K29" i="9"/>
  <c r="J29" i="9"/>
  <c r="K28" i="9"/>
  <c r="J28" i="9"/>
  <c r="K27" i="9"/>
  <c r="J27" i="9"/>
  <c r="K26" i="9"/>
  <c r="J26" i="9"/>
  <c r="K25" i="9"/>
  <c r="J25" i="9"/>
  <c r="K24" i="9"/>
  <c r="J24" i="9"/>
  <c r="K23" i="9"/>
  <c r="J23" i="9"/>
  <c r="O23" i="9"/>
  <c r="K22" i="9"/>
  <c r="J22" i="9"/>
  <c r="K21" i="9"/>
  <c r="J21" i="9"/>
  <c r="K20" i="9"/>
  <c r="J20" i="9"/>
  <c r="K19" i="9"/>
  <c r="J19" i="9"/>
  <c r="O19" i="9"/>
  <c r="K18" i="9"/>
  <c r="J18" i="9"/>
  <c r="K17" i="9"/>
  <c r="J17" i="9"/>
  <c r="K16" i="9"/>
  <c r="J16" i="9"/>
  <c r="K15" i="9"/>
  <c r="J15" i="9"/>
  <c r="O15" i="9"/>
  <c r="K14" i="9"/>
  <c r="J14" i="9"/>
  <c r="K13" i="9"/>
  <c r="J13" i="9"/>
  <c r="K12" i="9"/>
  <c r="J12" i="9"/>
  <c r="K11" i="9"/>
  <c r="J11" i="9"/>
  <c r="O11" i="9"/>
  <c r="K10" i="9"/>
  <c r="J10" i="9"/>
  <c r="K9" i="9"/>
  <c r="J9" i="9"/>
  <c r="K8" i="9"/>
  <c r="J8" i="9"/>
  <c r="K7" i="9"/>
  <c r="J7" i="9"/>
  <c r="O7" i="9"/>
  <c r="K6" i="9"/>
  <c r="J6" i="9"/>
  <c r="K5" i="9"/>
  <c r="J5" i="9"/>
  <c r="K4" i="9"/>
  <c r="J4" i="9"/>
  <c r="K3" i="9"/>
  <c r="J3" i="9"/>
  <c r="C53" i="16"/>
  <c r="B53" i="16"/>
  <c r="C52" i="16"/>
  <c r="B52" i="16"/>
  <c r="F52" i="16"/>
  <c r="B51" i="16"/>
  <c r="F51" i="16"/>
  <c r="C51" i="16"/>
  <c r="C50" i="16"/>
  <c r="B50" i="16"/>
  <c r="C49" i="16"/>
  <c r="B49" i="16"/>
  <c r="C48" i="16"/>
  <c r="B48" i="16"/>
  <c r="C47" i="16"/>
  <c r="B47" i="16"/>
  <c r="B46" i="16"/>
  <c r="F46" i="16"/>
  <c r="C46" i="16"/>
  <c r="C45" i="16"/>
  <c r="B45" i="16"/>
  <c r="C44" i="16"/>
  <c r="B44" i="16"/>
  <c r="C43" i="16"/>
  <c r="B43" i="16"/>
  <c r="F43" i="16"/>
  <c r="C42" i="16"/>
  <c r="B42" i="16"/>
  <c r="C41" i="16"/>
  <c r="B41" i="16"/>
  <c r="B40" i="16"/>
  <c r="F40" i="16"/>
  <c r="C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F34" i="16"/>
  <c r="C33" i="16"/>
  <c r="B33" i="16"/>
  <c r="C32" i="16"/>
  <c r="B32" i="16"/>
  <c r="C31" i="16"/>
  <c r="B31" i="16"/>
  <c r="C30" i="16"/>
  <c r="B30" i="16"/>
  <c r="C29" i="16"/>
  <c r="B29" i="16"/>
  <c r="B28" i="16"/>
  <c r="F28" i="16"/>
  <c r="C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B21" i="16"/>
  <c r="C20" i="16"/>
  <c r="B20" i="16"/>
  <c r="C19" i="16"/>
  <c r="B19" i="16"/>
  <c r="F19" i="16"/>
  <c r="C18" i="16"/>
  <c r="B18" i="16"/>
  <c r="C17" i="16"/>
  <c r="B17" i="16"/>
  <c r="B16" i="16"/>
  <c r="F16" i="16"/>
  <c r="C16" i="16"/>
  <c r="C15" i="16"/>
  <c r="B15" i="16"/>
  <c r="B14" i="16"/>
  <c r="F14" i="16"/>
  <c r="C14" i="16"/>
  <c r="C13" i="16"/>
  <c r="B13" i="16"/>
  <c r="C12" i="16"/>
  <c r="B12" i="16"/>
  <c r="C11" i="16"/>
  <c r="B11" i="16"/>
  <c r="C10" i="16"/>
  <c r="B10" i="16"/>
  <c r="C9" i="16"/>
  <c r="B9" i="16"/>
  <c r="C8" i="16"/>
  <c r="B8" i="16"/>
  <c r="C7" i="16"/>
  <c r="B7" i="16"/>
  <c r="B6" i="16"/>
  <c r="F6" i="16"/>
  <c r="C6" i="16"/>
  <c r="C5" i="16"/>
  <c r="B5" i="16"/>
  <c r="C4" i="16"/>
  <c r="B4" i="16"/>
  <c r="C3" i="16"/>
  <c r="B3" i="16"/>
  <c r="C53" i="15"/>
  <c r="B53" i="15"/>
  <c r="C52" i="15"/>
  <c r="B52" i="15"/>
  <c r="C51" i="15"/>
  <c r="B51" i="15"/>
  <c r="B50" i="15"/>
  <c r="F50" i="15"/>
  <c r="C50" i="15"/>
  <c r="C49" i="15"/>
  <c r="B49" i="15"/>
  <c r="C48" i="15"/>
  <c r="B48" i="15"/>
  <c r="C47" i="15"/>
  <c r="B47" i="15"/>
  <c r="C46" i="15"/>
  <c r="B46" i="15"/>
  <c r="C45" i="15"/>
  <c r="B45" i="15"/>
  <c r="B44" i="15"/>
  <c r="F44" i="15"/>
  <c r="C44" i="15"/>
  <c r="C43" i="15"/>
  <c r="B43" i="15"/>
  <c r="C42" i="15"/>
  <c r="B42" i="15"/>
  <c r="C41" i="15"/>
  <c r="B41" i="15"/>
  <c r="F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B33" i="15"/>
  <c r="F33" i="15"/>
  <c r="C33" i="15"/>
  <c r="C32" i="15"/>
  <c r="B32" i="15"/>
  <c r="B31" i="15"/>
  <c r="F31" i="15"/>
  <c r="C31" i="15"/>
  <c r="C30" i="15"/>
  <c r="B30" i="15"/>
  <c r="C29" i="15"/>
  <c r="B29" i="15"/>
  <c r="B28" i="15"/>
  <c r="F28" i="15"/>
  <c r="C28" i="15"/>
  <c r="C27" i="15"/>
  <c r="B27" i="15"/>
  <c r="F27" i="15"/>
  <c r="C26" i="15"/>
  <c r="B26" i="15"/>
  <c r="B25" i="15"/>
  <c r="F25" i="15"/>
  <c r="C25" i="15"/>
  <c r="C24" i="15"/>
  <c r="B24" i="15"/>
  <c r="F24" i="15"/>
  <c r="C23" i="15"/>
  <c r="B23" i="15"/>
  <c r="C22" i="15"/>
  <c r="B22" i="15"/>
  <c r="C21" i="15"/>
  <c r="B21" i="15"/>
  <c r="C20" i="15"/>
  <c r="B20" i="15"/>
  <c r="C19" i="15"/>
  <c r="B19" i="15"/>
  <c r="B18" i="15"/>
  <c r="F18" i="15"/>
  <c r="C18" i="15"/>
  <c r="C17" i="15"/>
  <c r="B17" i="15"/>
  <c r="F17" i="15"/>
  <c r="C16" i="15"/>
  <c r="B16" i="15"/>
  <c r="F16" i="15"/>
  <c r="C15" i="15"/>
  <c r="B15" i="15"/>
  <c r="C14" i="15"/>
  <c r="B14" i="15"/>
  <c r="C13" i="15"/>
  <c r="B13" i="15"/>
  <c r="B12" i="15"/>
  <c r="F12" i="15"/>
  <c r="C12" i="15"/>
  <c r="B11" i="15"/>
  <c r="F11" i="15"/>
  <c r="C11" i="15"/>
  <c r="C10" i="15"/>
  <c r="B10" i="15"/>
  <c r="B9" i="15"/>
  <c r="F9" i="15"/>
  <c r="C9" i="15"/>
  <c r="C8" i="15"/>
  <c r="B8" i="15"/>
  <c r="C7" i="15"/>
  <c r="B7" i="15"/>
  <c r="C6" i="15"/>
  <c r="B6" i="15"/>
  <c r="C5" i="15"/>
  <c r="B5" i="15"/>
  <c r="C4" i="15"/>
  <c r="B4" i="15"/>
  <c r="C3" i="15"/>
  <c r="B3" i="15"/>
  <c r="C53" i="14"/>
  <c r="B53" i="14"/>
  <c r="C52" i="14"/>
  <c r="B52" i="14"/>
  <c r="C51" i="14"/>
  <c r="B51" i="14"/>
  <c r="C50" i="14"/>
  <c r="B50" i="14"/>
  <c r="C49" i="14"/>
  <c r="B49" i="14"/>
  <c r="C48" i="14"/>
  <c r="B48" i="14"/>
  <c r="C47" i="14"/>
  <c r="B47" i="14"/>
  <c r="C46" i="14"/>
  <c r="B46" i="14"/>
  <c r="B45" i="14"/>
  <c r="F45" i="14"/>
  <c r="C45" i="14"/>
  <c r="C44" i="14"/>
  <c r="B44" i="14"/>
  <c r="C43" i="14"/>
  <c r="B43" i="14"/>
  <c r="C42" i="14"/>
  <c r="B42" i="14"/>
  <c r="C41" i="14"/>
  <c r="B41" i="14"/>
  <c r="C40" i="14"/>
  <c r="B40" i="14"/>
  <c r="C39" i="14"/>
  <c r="B39" i="14"/>
  <c r="F39" i="14"/>
  <c r="B38" i="14"/>
  <c r="F38" i="14"/>
  <c r="C38" i="14"/>
  <c r="B37" i="14"/>
  <c r="F37" i="14"/>
  <c r="C37" i="14"/>
  <c r="C36" i="14"/>
  <c r="B36" i="14"/>
  <c r="C35" i="14"/>
  <c r="B35" i="14"/>
  <c r="C34" i="14"/>
  <c r="B34" i="14"/>
  <c r="C33" i="14"/>
  <c r="B33" i="14"/>
  <c r="C32" i="14"/>
  <c r="B32" i="14"/>
  <c r="C31" i="14"/>
  <c r="B31" i="14"/>
  <c r="C30" i="14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B22" i="14"/>
  <c r="F22" i="14"/>
  <c r="C22" i="14"/>
  <c r="C21" i="14"/>
  <c r="B21" i="14"/>
  <c r="C20" i="14"/>
  <c r="B20" i="14"/>
  <c r="C19" i="14"/>
  <c r="B19" i="14"/>
  <c r="C18" i="14"/>
  <c r="B18" i="14"/>
  <c r="C17" i="14"/>
  <c r="B17" i="14"/>
  <c r="C16" i="14"/>
  <c r="B16" i="14"/>
  <c r="C15" i="14"/>
  <c r="B15" i="14"/>
  <c r="C14" i="14"/>
  <c r="B14" i="14"/>
  <c r="C13" i="14"/>
  <c r="B13" i="14"/>
  <c r="C12" i="14"/>
  <c r="B12" i="14"/>
  <c r="C11" i="14"/>
  <c r="B11" i="14"/>
  <c r="C10" i="14"/>
  <c r="B10" i="14"/>
  <c r="B9" i="14"/>
  <c r="F9" i="14"/>
  <c r="C9" i="14"/>
  <c r="C8" i="14"/>
  <c r="B8" i="14"/>
  <c r="C7" i="14"/>
  <c r="B7" i="14"/>
  <c r="C6" i="14"/>
  <c r="B6" i="14"/>
  <c r="F6" i="14"/>
  <c r="C5" i="14"/>
  <c r="B5" i="14"/>
  <c r="C4" i="14"/>
  <c r="B4" i="14"/>
  <c r="C3" i="14"/>
  <c r="B3" i="14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B44" i="13"/>
  <c r="F44" i="13"/>
  <c r="C44" i="13"/>
  <c r="C43" i="13"/>
  <c r="B43" i="13"/>
  <c r="C42" i="13"/>
  <c r="B42" i="13"/>
  <c r="C41" i="13"/>
  <c r="B41" i="13"/>
  <c r="C40" i="13"/>
  <c r="B40" i="13"/>
  <c r="B39" i="13"/>
  <c r="F39" i="13"/>
  <c r="C39" i="13"/>
  <c r="C38" i="13"/>
  <c r="B38" i="13"/>
  <c r="C37" i="13"/>
  <c r="B37" i="13"/>
  <c r="C36" i="13"/>
  <c r="B36" i="13"/>
  <c r="C35" i="13"/>
  <c r="B35" i="13"/>
  <c r="F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B27" i="13"/>
  <c r="F27" i="13"/>
  <c r="C27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C19" i="13"/>
  <c r="B19" i="13"/>
  <c r="B18" i="13"/>
  <c r="F18" i="13"/>
  <c r="C18" i="13"/>
  <c r="C17" i="13"/>
  <c r="B17" i="13"/>
  <c r="C16" i="13"/>
  <c r="B16" i="13"/>
  <c r="B15" i="13"/>
  <c r="F15" i="13"/>
  <c r="C15" i="13"/>
  <c r="C14" i="13"/>
  <c r="B14" i="13"/>
  <c r="F14" i="13"/>
  <c r="C13" i="13"/>
  <c r="B13" i="13"/>
  <c r="F13" i="13"/>
  <c r="C12" i="13"/>
  <c r="B12" i="13"/>
  <c r="C11" i="13"/>
  <c r="B11" i="13"/>
  <c r="F11" i="13"/>
  <c r="C10" i="13"/>
  <c r="B10" i="13"/>
  <c r="B9" i="13"/>
  <c r="F9" i="13"/>
  <c r="C9" i="13"/>
  <c r="C8" i="13"/>
  <c r="B8" i="13"/>
  <c r="C7" i="13"/>
  <c r="B7" i="13"/>
  <c r="C6" i="13"/>
  <c r="B6" i="13"/>
  <c r="C5" i="13"/>
  <c r="B5" i="13"/>
  <c r="F5" i="13"/>
  <c r="C4" i="13"/>
  <c r="B4" i="13"/>
  <c r="C3" i="13"/>
  <c r="B3" i="13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B53" i="9"/>
  <c r="F53" i="9"/>
  <c r="C53" i="9"/>
  <c r="C52" i="9"/>
  <c r="B52" i="9"/>
  <c r="C51" i="9"/>
  <c r="B51" i="9"/>
  <c r="C50" i="9"/>
  <c r="B50" i="9"/>
  <c r="F50" i="9"/>
  <c r="C49" i="9"/>
  <c r="B49" i="9"/>
  <c r="C48" i="9"/>
  <c r="B48" i="9"/>
  <c r="C47" i="9"/>
  <c r="B47" i="9"/>
  <c r="F47" i="9"/>
  <c r="B46" i="9"/>
  <c r="F46" i="9"/>
  <c r="C46" i="9"/>
  <c r="C45" i="9"/>
  <c r="B45" i="9"/>
  <c r="C44" i="9"/>
  <c r="B44" i="9"/>
  <c r="C43" i="9"/>
  <c r="B43" i="9"/>
  <c r="C42" i="9"/>
  <c r="B42" i="9"/>
  <c r="C41" i="9"/>
  <c r="B41" i="9"/>
  <c r="C40" i="9"/>
  <c r="B40" i="9"/>
  <c r="F40" i="9"/>
  <c r="C39" i="9"/>
  <c r="B39" i="9"/>
  <c r="B38" i="9"/>
  <c r="F38" i="9"/>
  <c r="C38" i="9"/>
  <c r="C37" i="9"/>
  <c r="B37" i="9"/>
  <c r="F37" i="9"/>
  <c r="C36" i="9"/>
  <c r="B36" i="9"/>
  <c r="C35" i="9"/>
  <c r="B35" i="9"/>
  <c r="C34" i="9"/>
  <c r="B34" i="9"/>
  <c r="F34" i="9"/>
  <c r="C33" i="9"/>
  <c r="B33" i="9"/>
  <c r="B32" i="9"/>
  <c r="F32" i="9"/>
  <c r="C32" i="9"/>
  <c r="C31" i="9"/>
  <c r="B31" i="9"/>
  <c r="C30" i="9"/>
  <c r="B30" i="9"/>
  <c r="F30" i="9"/>
  <c r="C29" i="9"/>
  <c r="B29" i="9"/>
  <c r="B28" i="9"/>
  <c r="F28" i="9"/>
  <c r="C28" i="9"/>
  <c r="C27" i="9"/>
  <c r="B27" i="9"/>
  <c r="C26" i="9"/>
  <c r="B26" i="9"/>
  <c r="C25" i="9"/>
  <c r="B25" i="9"/>
  <c r="B24" i="9"/>
  <c r="F24" i="9"/>
  <c r="C24" i="9"/>
  <c r="C23" i="9"/>
  <c r="B23" i="9"/>
  <c r="F23" i="9"/>
  <c r="B22" i="9"/>
  <c r="F22" i="9"/>
  <c r="C22" i="9"/>
  <c r="C21" i="9"/>
  <c r="B21" i="9"/>
  <c r="C20" i="9"/>
  <c r="B20" i="9"/>
  <c r="F20" i="9"/>
  <c r="B19" i="9"/>
  <c r="F19" i="9"/>
  <c r="C19" i="9"/>
  <c r="C18" i="9"/>
  <c r="B18" i="9"/>
  <c r="F18" i="9"/>
  <c r="C17" i="9"/>
  <c r="B17" i="9"/>
  <c r="C16" i="9"/>
  <c r="B16" i="9"/>
  <c r="C15" i="9"/>
  <c r="B15" i="9"/>
  <c r="F15" i="9"/>
  <c r="C14" i="9"/>
  <c r="B14" i="9"/>
  <c r="C13" i="9"/>
  <c r="B13" i="9"/>
  <c r="C12" i="9"/>
  <c r="B12" i="9"/>
  <c r="C11" i="9"/>
  <c r="B11" i="9"/>
  <c r="C10" i="9"/>
  <c r="B10" i="9"/>
  <c r="F10" i="9"/>
  <c r="C9" i="9"/>
  <c r="B9" i="9"/>
  <c r="B8" i="9"/>
  <c r="F8" i="9"/>
  <c r="C8" i="9"/>
  <c r="C7" i="9"/>
  <c r="B7" i="9"/>
  <c r="F7" i="9"/>
  <c r="C6" i="9"/>
  <c r="B6" i="9"/>
  <c r="F6" i="9"/>
  <c r="C5" i="9"/>
  <c r="B5" i="9"/>
  <c r="C4" i="9"/>
  <c r="B4" i="9"/>
  <c r="F4" i="9"/>
  <c r="C3" i="9"/>
  <c r="B3" i="9"/>
  <c r="F3" i="7"/>
  <c r="O3" i="7"/>
  <c r="O3" i="13"/>
  <c r="F3" i="14"/>
  <c r="O3" i="14"/>
  <c r="F3" i="15"/>
  <c r="F3" i="16"/>
  <c r="O3" i="16"/>
  <c r="O4" i="9"/>
  <c r="F4" i="7"/>
  <c r="O4" i="7"/>
  <c r="O4" i="13"/>
  <c r="O4" i="14"/>
  <c r="F4" i="15"/>
  <c r="O4" i="15"/>
  <c r="F4" i="16"/>
  <c r="O4" i="16"/>
  <c r="O5" i="9"/>
  <c r="F5" i="7"/>
  <c r="O5" i="7"/>
  <c r="O5" i="13"/>
  <c r="F5" i="14"/>
  <c r="O5" i="14"/>
  <c r="O5" i="15"/>
  <c r="F5" i="16"/>
  <c r="O5" i="16"/>
  <c r="O6" i="9"/>
  <c r="F6" i="7"/>
  <c r="O6" i="7"/>
  <c r="O6" i="14"/>
  <c r="F6" i="15"/>
  <c r="O6" i="15"/>
  <c r="O6" i="16"/>
  <c r="F7" i="7"/>
  <c r="O7" i="7"/>
  <c r="F7" i="14"/>
  <c r="O7" i="15"/>
  <c r="O8" i="9"/>
  <c r="F8" i="7"/>
  <c r="O8" i="7"/>
  <c r="O8" i="14"/>
  <c r="F8" i="15"/>
  <c r="O8" i="15"/>
  <c r="F8" i="16"/>
  <c r="O8" i="16"/>
  <c r="O9" i="9"/>
  <c r="F9" i="7"/>
  <c r="O9" i="7"/>
  <c r="O9" i="13"/>
  <c r="O9" i="14"/>
  <c r="O9" i="15"/>
  <c r="O9" i="16"/>
  <c r="O10" i="9"/>
  <c r="F10" i="7"/>
  <c r="O10" i="7"/>
  <c r="O10" i="13"/>
  <c r="F10" i="14"/>
  <c r="O10" i="14"/>
  <c r="O10" i="15"/>
  <c r="O10" i="16"/>
  <c r="F11" i="7"/>
  <c r="O11" i="7"/>
  <c r="O11" i="13"/>
  <c r="F11" i="14"/>
  <c r="O11" i="15"/>
  <c r="F11" i="16"/>
  <c r="O11" i="16"/>
  <c r="O12" i="9"/>
  <c r="F12" i="7"/>
  <c r="O12" i="7"/>
  <c r="O12" i="13"/>
  <c r="O12" i="14"/>
  <c r="O12" i="15"/>
  <c r="O12" i="16"/>
  <c r="O13" i="9"/>
  <c r="F13" i="7"/>
  <c r="O13" i="7"/>
  <c r="O13" i="13"/>
  <c r="O13" i="14"/>
  <c r="O13" i="15"/>
  <c r="F13" i="16"/>
  <c r="A1" i="16"/>
  <c r="G13" i="16"/>
  <c r="H13" i="16"/>
  <c r="O13" i="16"/>
  <c r="O14" i="9"/>
  <c r="F14" i="7"/>
  <c r="O14" i="7"/>
  <c r="O14" i="13"/>
  <c r="O14" i="14"/>
  <c r="F14" i="15"/>
  <c r="O14" i="15"/>
  <c r="O14" i="16"/>
  <c r="F15" i="7"/>
  <c r="O15" i="7"/>
  <c r="O15" i="13"/>
  <c r="O15" i="14"/>
  <c r="F15" i="15"/>
  <c r="O15" i="15"/>
  <c r="O15" i="16"/>
  <c r="F16" i="7"/>
  <c r="O16" i="7"/>
  <c r="F16" i="14"/>
  <c r="O17" i="9"/>
  <c r="F17" i="7"/>
  <c r="O17" i="7"/>
  <c r="F17" i="13"/>
  <c r="O17" i="13"/>
  <c r="O17" i="15"/>
  <c r="F17" i="16"/>
  <c r="O17" i="16"/>
  <c r="O18" i="9"/>
  <c r="F18" i="7"/>
  <c r="O18" i="7"/>
  <c r="O18" i="13"/>
  <c r="F18" i="14"/>
  <c r="O18" i="14"/>
  <c r="O18" i="15"/>
  <c r="F18" i="16"/>
  <c r="O18" i="16"/>
  <c r="F19" i="7"/>
  <c r="O19" i="7"/>
  <c r="O19" i="13"/>
  <c r="F19" i="14"/>
  <c r="O19" i="14"/>
  <c r="O19" i="15"/>
  <c r="O19" i="16"/>
  <c r="O20" i="9"/>
  <c r="F20" i="7"/>
  <c r="O20" i="7"/>
  <c r="F20" i="13"/>
  <c r="O20" i="13"/>
  <c r="F20" i="14"/>
  <c r="O20" i="14"/>
  <c r="F20" i="15"/>
  <c r="O20" i="15"/>
  <c r="F20" i="16"/>
  <c r="O20" i="16"/>
  <c r="O21" i="9"/>
  <c r="F21" i="7"/>
  <c r="O21" i="7"/>
  <c r="F21" i="13"/>
  <c r="O21" i="13"/>
  <c r="O21" i="14"/>
  <c r="O21" i="15"/>
  <c r="F21" i="16"/>
  <c r="O21" i="16"/>
  <c r="O22" i="9"/>
  <c r="F22" i="7"/>
  <c r="O22" i="7"/>
  <c r="O22" i="13"/>
  <c r="O22" i="14"/>
  <c r="F22" i="15"/>
  <c r="O22" i="15"/>
  <c r="O22" i="16"/>
  <c r="F23" i="7"/>
  <c r="O23" i="7"/>
  <c r="O23" i="13"/>
  <c r="F23" i="14"/>
  <c r="F23" i="15"/>
  <c r="O23" i="15"/>
  <c r="O23" i="16"/>
  <c r="O24" i="9"/>
  <c r="F24" i="7"/>
  <c r="O24" i="7"/>
  <c r="F24" i="13"/>
  <c r="O24" i="13"/>
  <c r="O24" i="14"/>
  <c r="O24" i="15"/>
  <c r="O24" i="16"/>
  <c r="O25" i="9"/>
  <c r="F25" i="7"/>
  <c r="O25" i="7"/>
  <c r="F25" i="13"/>
  <c r="O25" i="13"/>
  <c r="F25" i="14"/>
  <c r="O25" i="14"/>
  <c r="O25" i="15"/>
  <c r="F25" i="16"/>
  <c r="G25" i="16"/>
  <c r="H25" i="16"/>
  <c r="O26" i="9"/>
  <c r="F26" i="7"/>
  <c r="O26" i="7"/>
  <c r="F26" i="13"/>
  <c r="O26" i="13"/>
  <c r="F26" i="14"/>
  <c r="O26" i="14"/>
  <c r="F26" i="15"/>
  <c r="O26" i="15"/>
  <c r="F26" i="16"/>
  <c r="G26" i="16"/>
  <c r="H26" i="16"/>
  <c r="O26" i="16"/>
  <c r="F27" i="9"/>
  <c r="O27" i="9"/>
  <c r="F27" i="7"/>
  <c r="O27" i="7"/>
  <c r="O27" i="13"/>
  <c r="O27" i="14"/>
  <c r="O27" i="15"/>
  <c r="F27" i="16"/>
  <c r="O27" i="16"/>
  <c r="O28" i="9"/>
  <c r="F28" i="7"/>
  <c r="O28" i="7"/>
  <c r="F28" i="13"/>
  <c r="O28" i="13"/>
  <c r="F28" i="14"/>
  <c r="O28" i="14"/>
  <c r="O28" i="15"/>
  <c r="O28" i="16"/>
  <c r="O29" i="9"/>
  <c r="F29" i="7"/>
  <c r="O29" i="7"/>
  <c r="F29" i="13"/>
  <c r="O29" i="13"/>
  <c r="F29" i="14"/>
  <c r="O29" i="15"/>
  <c r="O29" i="16"/>
  <c r="O30" i="9"/>
  <c r="F30" i="7"/>
  <c r="O30" i="7"/>
  <c r="F30" i="13"/>
  <c r="O30" i="13"/>
  <c r="O30" i="14"/>
  <c r="F30" i="15"/>
  <c r="O30" i="15"/>
  <c r="O30" i="16"/>
  <c r="F31" i="9"/>
  <c r="O31" i="9"/>
  <c r="F31" i="7"/>
  <c r="O31" i="7"/>
  <c r="O31" i="13"/>
  <c r="F31" i="14"/>
  <c r="O31" i="14"/>
  <c r="O31" i="15"/>
  <c r="F31" i="16"/>
  <c r="O31" i="16"/>
  <c r="O32" i="9"/>
  <c r="F32" i="7"/>
  <c r="O32" i="7"/>
  <c r="F32" i="13"/>
  <c r="O32" i="13"/>
  <c r="O32" i="14"/>
  <c r="F32" i="15"/>
  <c r="O32" i="15"/>
  <c r="O32" i="16"/>
  <c r="O33" i="9"/>
  <c r="F33" i="7"/>
  <c r="O33" i="7"/>
  <c r="F33" i="13"/>
  <c r="O33" i="13"/>
  <c r="O33" i="14"/>
  <c r="O33" i="15"/>
  <c r="F33" i="16"/>
  <c r="G33" i="16"/>
  <c r="H33" i="16"/>
  <c r="O33" i="16"/>
  <c r="O34" i="9"/>
  <c r="F34" i="7"/>
  <c r="O34" i="7"/>
  <c r="F34" i="13"/>
  <c r="O34" i="13"/>
  <c r="F34" i="14"/>
  <c r="O34" i="14"/>
  <c r="F34" i="15"/>
  <c r="O34" i="15"/>
  <c r="O34" i="16"/>
  <c r="F35" i="9"/>
  <c r="O35" i="9"/>
  <c r="F35" i="7"/>
  <c r="O35" i="7"/>
  <c r="O35" i="13"/>
  <c r="O35" i="14"/>
  <c r="O35" i="15"/>
  <c r="O35" i="16"/>
  <c r="O36" i="9"/>
  <c r="F36" i="7"/>
  <c r="O36" i="7"/>
  <c r="F36" i="13"/>
  <c r="O36" i="13"/>
  <c r="O36" i="14"/>
  <c r="F36" i="15"/>
  <c r="O36" i="15"/>
  <c r="O36" i="16"/>
  <c r="O37" i="9"/>
  <c r="F37" i="7"/>
  <c r="O37" i="7"/>
  <c r="O37" i="13"/>
  <c r="O37" i="14"/>
  <c r="F37" i="15"/>
  <c r="O37" i="15"/>
  <c r="F37" i="16"/>
  <c r="O37" i="16"/>
  <c r="O38" i="9"/>
  <c r="F38" i="7"/>
  <c r="O38" i="7"/>
  <c r="F38" i="13"/>
  <c r="O38" i="13"/>
  <c r="O38" i="14"/>
  <c r="F38" i="15"/>
  <c r="O38" i="15"/>
  <c r="O38" i="16"/>
  <c r="O39" i="9"/>
  <c r="F39" i="7"/>
  <c r="O39" i="7"/>
  <c r="O39" i="13"/>
  <c r="O39" i="14"/>
  <c r="F39" i="15"/>
  <c r="O39" i="15"/>
  <c r="O39" i="16"/>
  <c r="O40" i="9"/>
  <c r="F40" i="7"/>
  <c r="O40" i="7"/>
  <c r="F40" i="13"/>
  <c r="O40" i="13"/>
  <c r="O40" i="14"/>
  <c r="F40" i="15"/>
  <c r="O40" i="15"/>
  <c r="O40" i="16"/>
  <c r="O41" i="9"/>
  <c r="F41" i="7"/>
  <c r="O41" i="7"/>
  <c r="F41" i="13"/>
  <c r="O41" i="13"/>
  <c r="F41" i="14"/>
  <c r="O41" i="14"/>
  <c r="O41" i="15"/>
  <c r="F41" i="16"/>
  <c r="G41" i="16"/>
  <c r="H41" i="16"/>
  <c r="O41" i="16"/>
  <c r="F42" i="9"/>
  <c r="O42" i="9"/>
  <c r="F42" i="7"/>
  <c r="O42" i="7"/>
  <c r="O42" i="13"/>
  <c r="F42" i="14"/>
  <c r="O42" i="14"/>
  <c r="O42" i="15"/>
  <c r="F42" i="16"/>
  <c r="G42" i="16"/>
  <c r="H42" i="16"/>
  <c r="O42" i="16"/>
  <c r="O43" i="9"/>
  <c r="F43" i="7"/>
  <c r="O43" i="7"/>
  <c r="O43" i="13"/>
  <c r="O43" i="14"/>
  <c r="F43" i="15"/>
  <c r="O43" i="15"/>
  <c r="O43" i="16"/>
  <c r="F44" i="9"/>
  <c r="O44" i="9"/>
  <c r="F44" i="7"/>
  <c r="O44" i="7"/>
  <c r="O44" i="13"/>
  <c r="F44" i="14"/>
  <c r="O44" i="14"/>
  <c r="O44" i="15"/>
  <c r="F44" i="16"/>
  <c r="O44" i="16"/>
  <c r="F45" i="9"/>
  <c r="O45" i="9"/>
  <c r="F45" i="7"/>
  <c r="O45" i="7"/>
  <c r="F45" i="13"/>
  <c r="O45" i="13"/>
  <c r="O45" i="14"/>
  <c r="F45" i="15"/>
  <c r="O45" i="15"/>
  <c r="F45" i="16"/>
  <c r="G45" i="16"/>
  <c r="H45" i="16"/>
  <c r="O45" i="16"/>
  <c r="O46" i="9"/>
  <c r="F46" i="7"/>
  <c r="O46" i="7"/>
  <c r="F46" i="13"/>
  <c r="O46" i="13"/>
  <c r="F46" i="14"/>
  <c r="O46" i="14"/>
  <c r="F46" i="15"/>
  <c r="A1" i="15"/>
  <c r="G46" i="15"/>
  <c r="H46" i="15"/>
  <c r="O46" i="15"/>
  <c r="O46" i="16"/>
  <c r="O47" i="9"/>
  <c r="F47" i="7"/>
  <c r="O47" i="7"/>
  <c r="O47" i="13"/>
  <c r="O47" i="14"/>
  <c r="F47" i="15"/>
  <c r="G47" i="15"/>
  <c r="H47" i="15"/>
  <c r="O47" i="15"/>
  <c r="F47" i="16"/>
  <c r="G47" i="16"/>
  <c r="H47" i="16"/>
  <c r="O47" i="16"/>
  <c r="F48" i="9"/>
  <c r="O48" i="9"/>
  <c r="F48" i="7"/>
  <c r="O48" i="7"/>
  <c r="F48" i="13"/>
  <c r="O48" i="13"/>
  <c r="O48" i="14"/>
  <c r="F48" i="15"/>
  <c r="O48" i="15"/>
  <c r="F48" i="16"/>
  <c r="O48" i="16"/>
  <c r="O49" i="9"/>
  <c r="O49" i="7"/>
  <c r="O49" i="13"/>
  <c r="O49" i="14"/>
  <c r="O49" i="15"/>
  <c r="O49" i="16"/>
  <c r="O50" i="9"/>
  <c r="F50" i="7"/>
  <c r="O50" i="7"/>
  <c r="F50" i="13"/>
  <c r="O50" i="13"/>
  <c r="F50" i="14"/>
  <c r="O50" i="14"/>
  <c r="O50" i="15"/>
  <c r="O50" i="16"/>
  <c r="F51" i="9"/>
  <c r="O51" i="9"/>
  <c r="F51" i="7"/>
  <c r="O51" i="7"/>
  <c r="F51" i="13"/>
  <c r="O51" i="13"/>
  <c r="F51" i="14"/>
  <c r="O51" i="14"/>
  <c r="F51" i="15"/>
  <c r="G51" i="15"/>
  <c r="H51" i="15"/>
  <c r="O51" i="15"/>
  <c r="O51" i="16"/>
  <c r="F52" i="9"/>
  <c r="O52" i="9"/>
  <c r="F52" i="7"/>
  <c r="O52" i="7"/>
  <c r="F52" i="13"/>
  <c r="O52" i="13"/>
  <c r="O52" i="14"/>
  <c r="O52" i="15"/>
  <c r="O52" i="16"/>
  <c r="O53" i="9"/>
  <c r="F53" i="7"/>
  <c r="O53" i="7"/>
  <c r="F53" i="13"/>
  <c r="O53" i="13"/>
  <c r="O53" i="14"/>
  <c r="F53" i="15"/>
  <c r="O53" i="15"/>
  <c r="O53" i="16"/>
  <c r="A1" i="14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AF55" i="8"/>
  <c r="AE55" i="8"/>
  <c r="AD55" i="8"/>
  <c r="AC55" i="8"/>
  <c r="AB55" i="8"/>
  <c r="AA55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3" i="8"/>
  <c r="AG13" i="8"/>
  <c r="Z43" i="8"/>
  <c r="AG43" i="8"/>
  <c r="AG1" i="8"/>
  <c r="X54" i="8"/>
  <c r="Z3" i="8"/>
  <c r="AG3" i="8"/>
  <c r="Z4" i="8"/>
  <c r="AG4" i="8"/>
  <c r="Z5" i="8"/>
  <c r="AG5" i="8"/>
  <c r="Z6" i="8"/>
  <c r="AG6" i="8"/>
  <c r="Z7" i="8"/>
  <c r="AG7" i="8"/>
  <c r="Z8" i="8"/>
  <c r="AG8" i="8"/>
  <c r="Z9" i="8"/>
  <c r="AG9" i="8"/>
  <c r="Z10" i="8"/>
  <c r="AG10" i="8"/>
  <c r="Z11" i="8"/>
  <c r="AG11" i="8"/>
  <c r="Z12" i="8"/>
  <c r="AG12" i="8"/>
  <c r="Z14" i="8"/>
  <c r="AG14" i="8"/>
  <c r="Z15" i="8"/>
  <c r="AG15" i="8"/>
  <c r="Z16" i="8"/>
  <c r="AG16" i="8"/>
  <c r="Z17" i="8"/>
  <c r="AG17" i="8"/>
  <c r="Z18" i="8"/>
  <c r="AG18" i="8"/>
  <c r="Z19" i="8"/>
  <c r="AG19" i="8"/>
  <c r="Z20" i="8"/>
  <c r="AG20" i="8"/>
  <c r="Z21" i="8"/>
  <c r="AG21" i="8"/>
  <c r="Z22" i="8"/>
  <c r="AG22" i="8"/>
  <c r="Z23" i="8"/>
  <c r="AG23" i="8"/>
  <c r="Z24" i="8"/>
  <c r="AG24" i="8"/>
  <c r="Z25" i="8"/>
  <c r="AG25" i="8"/>
  <c r="Z26" i="8"/>
  <c r="AG26" i="8"/>
  <c r="Z27" i="8"/>
  <c r="AG27" i="8"/>
  <c r="Z28" i="8"/>
  <c r="AG28" i="8"/>
  <c r="Z29" i="8"/>
  <c r="AG29" i="8"/>
  <c r="Z30" i="8"/>
  <c r="AG30" i="8"/>
  <c r="Z31" i="8"/>
  <c r="AG31" i="8"/>
  <c r="Z32" i="8"/>
  <c r="AG32" i="8"/>
  <c r="Z33" i="8"/>
  <c r="AG33" i="8"/>
  <c r="Z34" i="8"/>
  <c r="AG34" i="8"/>
  <c r="Z35" i="8"/>
  <c r="AG35" i="8"/>
  <c r="Z36" i="8"/>
  <c r="AG36" i="8"/>
  <c r="Z37" i="8"/>
  <c r="AG37" i="8"/>
  <c r="Z38" i="8"/>
  <c r="AG38" i="8"/>
  <c r="Z39" i="8"/>
  <c r="AG39" i="8"/>
  <c r="Z40" i="8"/>
  <c r="AG40" i="8"/>
  <c r="Z41" i="8"/>
  <c r="AG41" i="8"/>
  <c r="Z42" i="8"/>
  <c r="AG42" i="8"/>
  <c r="Z44" i="8"/>
  <c r="AG44" i="8"/>
  <c r="Z45" i="8"/>
  <c r="AG45" i="8"/>
  <c r="Z46" i="8"/>
  <c r="AG46" i="8"/>
  <c r="Z47" i="8"/>
  <c r="AG47" i="8"/>
  <c r="Z48" i="8"/>
  <c r="AG48" i="8"/>
  <c r="Z49" i="8"/>
  <c r="AG49" i="8"/>
  <c r="Z50" i="8"/>
  <c r="AG50" i="8"/>
  <c r="Z51" i="8"/>
  <c r="AG51" i="8"/>
  <c r="Z52" i="8"/>
  <c r="AG52" i="8"/>
  <c r="Z2" i="8"/>
  <c r="AG2" i="8"/>
  <c r="A1" i="9"/>
  <c r="A1" i="10"/>
  <c r="A1" i="11"/>
  <c r="A1" i="12"/>
  <c r="A1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A1" i="7"/>
  <c r="D11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N22" i="4"/>
  <c r="E53" i="4"/>
  <c r="F53" i="4"/>
  <c r="G53" i="4"/>
  <c r="N53" i="4"/>
  <c r="E52" i="4"/>
  <c r="F52" i="4"/>
  <c r="G52" i="4"/>
  <c r="N52" i="4"/>
  <c r="P52" i="4"/>
  <c r="Q52" i="4"/>
  <c r="E51" i="4"/>
  <c r="F51" i="4"/>
  <c r="G51" i="4"/>
  <c r="N51" i="4"/>
  <c r="E50" i="4"/>
  <c r="F50" i="4"/>
  <c r="G50" i="4"/>
  <c r="N50" i="4"/>
  <c r="E49" i="4"/>
  <c r="F49" i="4"/>
  <c r="G49" i="4"/>
  <c r="N49" i="4"/>
  <c r="N48" i="4"/>
  <c r="E48" i="4"/>
  <c r="F48" i="4"/>
  <c r="G48" i="4"/>
  <c r="P48" i="4"/>
  <c r="Q48" i="4"/>
  <c r="E47" i="4"/>
  <c r="F47" i="4"/>
  <c r="G47" i="4"/>
  <c r="N47" i="4"/>
  <c r="E46" i="4"/>
  <c r="F46" i="4"/>
  <c r="G46" i="4"/>
  <c r="N46" i="4"/>
  <c r="E45" i="4"/>
  <c r="F45" i="4"/>
  <c r="G45" i="4"/>
  <c r="N45" i="4"/>
  <c r="E44" i="4"/>
  <c r="F44" i="4"/>
  <c r="G44" i="4"/>
  <c r="N44" i="4"/>
  <c r="P44" i="4"/>
  <c r="Q44" i="4"/>
  <c r="E43" i="4"/>
  <c r="F43" i="4"/>
  <c r="G43" i="4"/>
  <c r="N43" i="4"/>
  <c r="E42" i="4"/>
  <c r="F42" i="4"/>
  <c r="G42" i="4"/>
  <c r="N42" i="4"/>
  <c r="E41" i="4"/>
  <c r="F41" i="4"/>
  <c r="G41" i="4"/>
  <c r="N41" i="4"/>
  <c r="E40" i="4"/>
  <c r="F40" i="4"/>
  <c r="G40" i="4"/>
  <c r="N40" i="4"/>
  <c r="P40" i="4"/>
  <c r="Q40" i="4"/>
  <c r="E39" i="4"/>
  <c r="F39" i="4"/>
  <c r="G39" i="4"/>
  <c r="N39" i="4"/>
  <c r="E38" i="4"/>
  <c r="F38" i="4"/>
  <c r="G38" i="4"/>
  <c r="N38" i="4"/>
  <c r="E37" i="4"/>
  <c r="F37" i="4"/>
  <c r="G37" i="4"/>
  <c r="N37" i="4"/>
  <c r="E36" i="4"/>
  <c r="F36" i="4"/>
  <c r="G36" i="4"/>
  <c r="N36" i="4"/>
  <c r="P36" i="4"/>
  <c r="Q36" i="4"/>
  <c r="E35" i="4"/>
  <c r="F35" i="4"/>
  <c r="G35" i="4"/>
  <c r="N35" i="4"/>
  <c r="E34" i="4"/>
  <c r="F34" i="4"/>
  <c r="G34" i="4"/>
  <c r="N34" i="4"/>
  <c r="E33" i="4"/>
  <c r="F33" i="4"/>
  <c r="G33" i="4"/>
  <c r="N33" i="4"/>
  <c r="E32" i="4"/>
  <c r="F32" i="4"/>
  <c r="G32" i="4"/>
  <c r="N32" i="4"/>
  <c r="P32" i="4"/>
  <c r="Q32" i="4"/>
  <c r="E31" i="4"/>
  <c r="F31" i="4"/>
  <c r="G31" i="4"/>
  <c r="N31" i="4"/>
  <c r="E30" i="4"/>
  <c r="F30" i="4"/>
  <c r="G30" i="4"/>
  <c r="N30" i="4"/>
  <c r="E29" i="4"/>
  <c r="F29" i="4"/>
  <c r="G29" i="4"/>
  <c r="N29" i="4"/>
  <c r="E28" i="4"/>
  <c r="F28" i="4"/>
  <c r="G28" i="4"/>
  <c r="N28" i="4"/>
  <c r="P28" i="4"/>
  <c r="Q28" i="4"/>
  <c r="E27" i="4"/>
  <c r="F27" i="4"/>
  <c r="G27" i="4"/>
  <c r="N27" i="4"/>
  <c r="E26" i="4"/>
  <c r="F26" i="4"/>
  <c r="G26" i="4"/>
  <c r="N26" i="4"/>
  <c r="E25" i="4"/>
  <c r="F25" i="4"/>
  <c r="G25" i="4"/>
  <c r="N25" i="4"/>
  <c r="E24" i="4"/>
  <c r="F24" i="4"/>
  <c r="G24" i="4"/>
  <c r="N24" i="4"/>
  <c r="P24" i="4"/>
  <c r="Q24" i="4"/>
  <c r="E23" i="4"/>
  <c r="F23" i="4"/>
  <c r="G23" i="4"/>
  <c r="N23" i="4"/>
  <c r="E22" i="4"/>
  <c r="F22" i="4"/>
  <c r="G22" i="4"/>
  <c r="E21" i="4"/>
  <c r="F21" i="4"/>
  <c r="G21" i="4"/>
  <c r="N21" i="4"/>
  <c r="E20" i="4"/>
  <c r="F20" i="4"/>
  <c r="G20" i="4"/>
  <c r="N20" i="4"/>
  <c r="E19" i="4"/>
  <c r="F19" i="4"/>
  <c r="G19" i="4"/>
  <c r="N19" i="4"/>
  <c r="E18" i="4"/>
  <c r="F18" i="4"/>
  <c r="G18" i="4"/>
  <c r="N18" i="4"/>
  <c r="E17" i="4"/>
  <c r="F17" i="4"/>
  <c r="G17" i="4"/>
  <c r="N17" i="4"/>
  <c r="E16" i="4"/>
  <c r="F16" i="4"/>
  <c r="G16" i="4"/>
  <c r="O16" i="4"/>
  <c r="N16" i="4"/>
  <c r="E15" i="4"/>
  <c r="F15" i="4"/>
  <c r="G15" i="4"/>
  <c r="N15" i="4"/>
  <c r="E14" i="4"/>
  <c r="F14" i="4"/>
  <c r="G14" i="4"/>
  <c r="N14" i="4"/>
  <c r="E13" i="4"/>
  <c r="F13" i="4"/>
  <c r="G13" i="4"/>
  <c r="N13" i="4"/>
  <c r="E12" i="4"/>
  <c r="F12" i="4"/>
  <c r="G12" i="4"/>
  <c r="N12" i="4"/>
  <c r="P12" i="4"/>
  <c r="Q12" i="4"/>
  <c r="E11" i="4"/>
  <c r="F11" i="4"/>
  <c r="G11" i="4"/>
  <c r="N11" i="4"/>
  <c r="E10" i="4"/>
  <c r="F10" i="4"/>
  <c r="G10" i="4"/>
  <c r="N10" i="4"/>
  <c r="E9" i="4"/>
  <c r="F9" i="4"/>
  <c r="G9" i="4"/>
  <c r="N9" i="4"/>
  <c r="E8" i="4"/>
  <c r="F8" i="4"/>
  <c r="G8" i="4"/>
  <c r="N8" i="4"/>
  <c r="P8" i="4"/>
  <c r="Q8" i="4"/>
  <c r="E7" i="4"/>
  <c r="F7" i="4"/>
  <c r="G7" i="4"/>
  <c r="N7" i="4"/>
  <c r="E6" i="4"/>
  <c r="F6" i="4"/>
  <c r="G6" i="4"/>
  <c r="N6" i="4"/>
  <c r="E5" i="4"/>
  <c r="F5" i="4"/>
  <c r="G5" i="4"/>
  <c r="N5" i="4"/>
  <c r="E4" i="4"/>
  <c r="F4" i="4"/>
  <c r="G4" i="4"/>
  <c r="N4" i="4"/>
  <c r="P4" i="4"/>
  <c r="Q4" i="4"/>
  <c r="E3" i="4"/>
  <c r="F3" i="4"/>
  <c r="G3" i="4"/>
  <c r="N3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L2" i="4"/>
  <c r="E53" i="2"/>
  <c r="F53" i="2"/>
  <c r="G53" i="2"/>
  <c r="N53" i="2"/>
  <c r="P53" i="2"/>
  <c r="Q53" i="2"/>
  <c r="E52" i="2"/>
  <c r="F52" i="2"/>
  <c r="G52" i="2"/>
  <c r="N52" i="2"/>
  <c r="E51" i="2"/>
  <c r="F51" i="2"/>
  <c r="G51" i="2"/>
  <c r="N51" i="2"/>
  <c r="E50" i="2"/>
  <c r="F50" i="2"/>
  <c r="G50" i="2"/>
  <c r="H50" i="2"/>
  <c r="K50" i="2"/>
  <c r="L50" i="2"/>
  <c r="O50" i="2"/>
  <c r="N50" i="2"/>
  <c r="E49" i="2"/>
  <c r="F49" i="2"/>
  <c r="G49" i="2"/>
  <c r="O49" i="2"/>
  <c r="N49" i="2"/>
  <c r="E48" i="2"/>
  <c r="F48" i="2"/>
  <c r="G48" i="2"/>
  <c r="N48" i="2"/>
  <c r="E47" i="2"/>
  <c r="F47" i="2"/>
  <c r="G47" i="2"/>
  <c r="O47" i="2"/>
  <c r="N47" i="2"/>
  <c r="E46" i="2"/>
  <c r="F46" i="2"/>
  <c r="G46" i="2"/>
  <c r="N46" i="2"/>
  <c r="E45" i="2"/>
  <c r="F45" i="2"/>
  <c r="G45" i="2"/>
  <c r="N45" i="2"/>
  <c r="E44" i="2"/>
  <c r="F44" i="2"/>
  <c r="G44" i="2"/>
  <c r="N44" i="2"/>
  <c r="E43" i="2"/>
  <c r="F43" i="2"/>
  <c r="G43" i="2"/>
  <c r="N43" i="2"/>
  <c r="E42" i="2"/>
  <c r="F42" i="2"/>
  <c r="G42" i="2"/>
  <c r="N42" i="2"/>
  <c r="P42" i="2"/>
  <c r="Q42" i="2"/>
  <c r="E41" i="2"/>
  <c r="F41" i="2"/>
  <c r="G41" i="2"/>
  <c r="N41" i="2"/>
  <c r="E40" i="2"/>
  <c r="F40" i="2"/>
  <c r="G40" i="2"/>
  <c r="N40" i="2"/>
  <c r="E39" i="2"/>
  <c r="F39" i="2"/>
  <c r="G39" i="2"/>
  <c r="N39" i="2"/>
  <c r="E38" i="2"/>
  <c r="F38" i="2"/>
  <c r="G38" i="2"/>
  <c r="N38" i="2"/>
  <c r="E37" i="2"/>
  <c r="F37" i="2"/>
  <c r="G37" i="2"/>
  <c r="N37" i="2"/>
  <c r="E36" i="2"/>
  <c r="F36" i="2"/>
  <c r="G36" i="2"/>
  <c r="O36" i="2"/>
  <c r="N36" i="2"/>
  <c r="E35" i="2"/>
  <c r="F35" i="2"/>
  <c r="G35" i="2"/>
  <c r="N35" i="2"/>
  <c r="E34" i="2"/>
  <c r="F34" i="2"/>
  <c r="G34" i="2"/>
  <c r="N34" i="2"/>
  <c r="E33" i="2"/>
  <c r="F33" i="2"/>
  <c r="G33" i="2"/>
  <c r="O33" i="2"/>
  <c r="N33" i="2"/>
  <c r="E32" i="2"/>
  <c r="F32" i="2"/>
  <c r="G32" i="2"/>
  <c r="N32" i="2"/>
  <c r="E31" i="2"/>
  <c r="F31" i="2"/>
  <c r="G31" i="2"/>
  <c r="N31" i="2"/>
  <c r="E30" i="2"/>
  <c r="F30" i="2"/>
  <c r="G30" i="2"/>
  <c r="N30" i="2"/>
  <c r="E29" i="2"/>
  <c r="F29" i="2"/>
  <c r="G29" i="2"/>
  <c r="N29" i="2"/>
  <c r="P29" i="2"/>
  <c r="Q29" i="2"/>
  <c r="E28" i="2"/>
  <c r="F28" i="2"/>
  <c r="G28" i="2"/>
  <c r="N28" i="2"/>
  <c r="E27" i="2"/>
  <c r="F27" i="2"/>
  <c r="G27" i="2"/>
  <c r="N27" i="2"/>
  <c r="P27" i="2"/>
  <c r="Q27" i="2"/>
  <c r="E26" i="2"/>
  <c r="F26" i="2"/>
  <c r="G26" i="2"/>
  <c r="O26" i="2"/>
  <c r="N26" i="2"/>
  <c r="E25" i="2"/>
  <c r="F25" i="2"/>
  <c r="G25" i="2"/>
  <c r="N25" i="2"/>
  <c r="E24" i="2"/>
  <c r="F24" i="2"/>
  <c r="G24" i="2"/>
  <c r="N24" i="2"/>
  <c r="E23" i="2"/>
  <c r="F23" i="2"/>
  <c r="G23" i="2"/>
  <c r="N23" i="2"/>
  <c r="E22" i="2"/>
  <c r="F22" i="2"/>
  <c r="G22" i="2"/>
  <c r="N22" i="2"/>
  <c r="E21" i="2"/>
  <c r="F21" i="2"/>
  <c r="G21" i="2"/>
  <c r="N21" i="2"/>
  <c r="P21" i="2"/>
  <c r="Q21" i="2"/>
  <c r="E20" i="2"/>
  <c r="F20" i="2"/>
  <c r="G20" i="2"/>
  <c r="N20" i="2"/>
  <c r="E19" i="2"/>
  <c r="F19" i="2"/>
  <c r="G19" i="2"/>
  <c r="N19" i="2"/>
  <c r="E18" i="2"/>
  <c r="F18" i="2"/>
  <c r="G18" i="2"/>
  <c r="N18" i="2"/>
  <c r="P18" i="2"/>
  <c r="Q18" i="2"/>
  <c r="E17" i="2"/>
  <c r="F17" i="2"/>
  <c r="G17" i="2"/>
  <c r="N17" i="2"/>
  <c r="E16" i="2"/>
  <c r="F16" i="2"/>
  <c r="G16" i="2"/>
  <c r="N16" i="2"/>
  <c r="E15" i="2"/>
  <c r="F15" i="2"/>
  <c r="G15" i="2"/>
  <c r="N15" i="2"/>
  <c r="E14" i="2"/>
  <c r="F14" i="2"/>
  <c r="G14" i="2"/>
  <c r="N14" i="2"/>
  <c r="E13" i="2"/>
  <c r="F13" i="2"/>
  <c r="G13" i="2"/>
  <c r="O13" i="2"/>
  <c r="N13" i="2"/>
  <c r="E12" i="2"/>
  <c r="F12" i="2"/>
  <c r="G12" i="2"/>
  <c r="N12" i="2"/>
  <c r="E11" i="2"/>
  <c r="F11" i="2"/>
  <c r="G11" i="2"/>
  <c r="N11" i="2"/>
  <c r="E10" i="2"/>
  <c r="F10" i="2"/>
  <c r="G10" i="2"/>
  <c r="O10" i="2"/>
  <c r="N10" i="2"/>
  <c r="E9" i="2"/>
  <c r="F9" i="2"/>
  <c r="G9" i="2"/>
  <c r="H9" i="2"/>
  <c r="K9" i="2"/>
  <c r="O9" i="2"/>
  <c r="N9" i="2"/>
  <c r="P9" i="2"/>
  <c r="Q9" i="2"/>
  <c r="E8" i="2"/>
  <c r="F8" i="2"/>
  <c r="G8" i="2"/>
  <c r="N8" i="2"/>
  <c r="P8" i="2"/>
  <c r="Q8" i="2"/>
  <c r="E7" i="2"/>
  <c r="F7" i="2"/>
  <c r="G7" i="2"/>
  <c r="N7" i="2"/>
  <c r="E6" i="2"/>
  <c r="F6" i="2"/>
  <c r="G6" i="2"/>
  <c r="N6" i="2"/>
  <c r="E5" i="2"/>
  <c r="F5" i="2"/>
  <c r="G5" i="2"/>
  <c r="H5" i="2"/>
  <c r="K5" i="2"/>
  <c r="L5" i="2"/>
  <c r="N5" i="2"/>
  <c r="E4" i="2"/>
  <c r="F4" i="2"/>
  <c r="G4" i="2"/>
  <c r="N4" i="2"/>
  <c r="E3" i="2"/>
  <c r="F3" i="2"/>
  <c r="G3" i="2"/>
  <c r="N3" i="2"/>
  <c r="H53" i="2"/>
  <c r="H52" i="2"/>
  <c r="H51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K26" i="2"/>
  <c r="L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L9" i="2"/>
  <c r="H8" i="2"/>
  <c r="H7" i="2"/>
  <c r="H6" i="2"/>
  <c r="H4" i="2"/>
  <c r="H3" i="2"/>
  <c r="L2" i="2"/>
  <c r="E23" i="1"/>
  <c r="F23" i="1"/>
  <c r="G23" i="1"/>
  <c r="K23" i="1"/>
  <c r="L23" i="1"/>
  <c r="N23" i="1"/>
  <c r="E52" i="1"/>
  <c r="F52" i="1"/>
  <c r="G52" i="1"/>
  <c r="K52" i="1"/>
  <c r="N52" i="1"/>
  <c r="E35" i="1"/>
  <c r="F35" i="1"/>
  <c r="G35" i="1"/>
  <c r="N35" i="1"/>
  <c r="E31" i="1"/>
  <c r="F31" i="1"/>
  <c r="G31" i="1"/>
  <c r="N31" i="1"/>
  <c r="E3" i="1"/>
  <c r="F3" i="1"/>
  <c r="G3" i="1"/>
  <c r="N3" i="1"/>
  <c r="E17" i="1"/>
  <c r="F17" i="1"/>
  <c r="G17" i="1"/>
  <c r="N17" i="1"/>
  <c r="E4" i="1"/>
  <c r="F4" i="1"/>
  <c r="G4" i="1"/>
  <c r="N4" i="1"/>
  <c r="E41" i="1"/>
  <c r="F41" i="1"/>
  <c r="G41" i="1"/>
  <c r="N41" i="1"/>
  <c r="E44" i="1"/>
  <c r="F44" i="1"/>
  <c r="G44" i="1"/>
  <c r="N44" i="1"/>
  <c r="E38" i="1"/>
  <c r="F38" i="1"/>
  <c r="G38" i="1"/>
  <c r="N38" i="1"/>
  <c r="E8" i="1"/>
  <c r="F8" i="1"/>
  <c r="G8" i="1"/>
  <c r="N8" i="1"/>
  <c r="E51" i="1"/>
  <c r="F51" i="1"/>
  <c r="G51" i="1"/>
  <c r="N51" i="1"/>
  <c r="E24" i="1"/>
  <c r="F24" i="1"/>
  <c r="G24" i="1"/>
  <c r="N24" i="1"/>
  <c r="E34" i="1"/>
  <c r="F34" i="1"/>
  <c r="G34" i="1"/>
  <c r="N34" i="1"/>
  <c r="E20" i="1"/>
  <c r="F20" i="1"/>
  <c r="G20" i="1"/>
  <c r="N20" i="1"/>
  <c r="E14" i="1"/>
  <c r="F14" i="1"/>
  <c r="G14" i="1"/>
  <c r="N14" i="1"/>
  <c r="E27" i="1"/>
  <c r="F27" i="1"/>
  <c r="G27" i="1"/>
  <c r="N27" i="1"/>
  <c r="E21" i="1"/>
  <c r="F21" i="1"/>
  <c r="G21" i="1"/>
  <c r="N21" i="1"/>
  <c r="E28" i="1"/>
  <c r="F28" i="1"/>
  <c r="G28" i="1"/>
  <c r="N28" i="1"/>
  <c r="E10" i="1"/>
  <c r="F10" i="1"/>
  <c r="G10" i="1"/>
  <c r="O10" i="1"/>
  <c r="N10" i="1"/>
  <c r="E49" i="1"/>
  <c r="F49" i="1"/>
  <c r="G49" i="1"/>
  <c r="K49" i="1"/>
  <c r="L49" i="1"/>
  <c r="N49" i="1"/>
  <c r="E37" i="1"/>
  <c r="F37" i="1"/>
  <c r="G37" i="1"/>
  <c r="N37" i="1"/>
  <c r="E40" i="1"/>
  <c r="F40" i="1"/>
  <c r="G40" i="1"/>
  <c r="N40" i="1"/>
  <c r="E30" i="1"/>
  <c r="F30" i="1"/>
  <c r="G30" i="1"/>
  <c r="N30" i="1"/>
  <c r="E47" i="1"/>
  <c r="F47" i="1"/>
  <c r="G47" i="1"/>
  <c r="K47" i="1"/>
  <c r="O47" i="1"/>
  <c r="N47" i="1"/>
  <c r="E9" i="1"/>
  <c r="F9" i="1"/>
  <c r="G9" i="1"/>
  <c r="O9" i="1"/>
  <c r="N9" i="1"/>
  <c r="E18" i="1"/>
  <c r="F18" i="1"/>
  <c r="G18" i="1"/>
  <c r="N18" i="1"/>
  <c r="P18" i="1"/>
  <c r="Q18" i="1"/>
  <c r="E13" i="1"/>
  <c r="F13" i="1"/>
  <c r="G13" i="1"/>
  <c r="O13" i="1"/>
  <c r="N13" i="1"/>
  <c r="E39" i="1"/>
  <c r="F39" i="1"/>
  <c r="G39" i="1"/>
  <c r="N39" i="1"/>
  <c r="E42" i="1"/>
  <c r="F42" i="1"/>
  <c r="G42" i="1"/>
  <c r="N42" i="1"/>
  <c r="E45" i="1"/>
  <c r="F45" i="1"/>
  <c r="G45" i="1"/>
  <c r="N45" i="1"/>
  <c r="E36" i="1"/>
  <c r="F36" i="1"/>
  <c r="G36" i="1"/>
  <c r="O36" i="1"/>
  <c r="N36" i="1"/>
  <c r="E7" i="1"/>
  <c r="F7" i="1"/>
  <c r="G7" i="1"/>
  <c r="N7" i="1"/>
  <c r="E53" i="1"/>
  <c r="F53" i="1"/>
  <c r="G53" i="1"/>
  <c r="N53" i="1"/>
  <c r="E12" i="1"/>
  <c r="F12" i="1"/>
  <c r="G12" i="1"/>
  <c r="N12" i="1"/>
  <c r="E6" i="1"/>
  <c r="F6" i="1"/>
  <c r="G6" i="1"/>
  <c r="N6" i="1"/>
  <c r="E15" i="1"/>
  <c r="F15" i="1"/>
  <c r="G15" i="1"/>
  <c r="N15" i="1"/>
  <c r="E43" i="1"/>
  <c r="F43" i="1"/>
  <c r="G43" i="1"/>
  <c r="K43" i="1"/>
  <c r="L43" i="1"/>
  <c r="N43" i="1"/>
  <c r="E22" i="1"/>
  <c r="F22" i="1"/>
  <c r="G22" i="1"/>
  <c r="N22" i="1"/>
  <c r="E48" i="1"/>
  <c r="F48" i="1"/>
  <c r="G48" i="1"/>
  <c r="N48" i="1"/>
  <c r="E46" i="1"/>
  <c r="F46" i="1"/>
  <c r="G46" i="1"/>
  <c r="N46" i="1"/>
  <c r="E16" i="1"/>
  <c r="F16" i="1"/>
  <c r="G16" i="1"/>
  <c r="N16" i="1"/>
  <c r="E29" i="1"/>
  <c r="F29" i="1"/>
  <c r="G29" i="1"/>
  <c r="N29" i="1"/>
  <c r="E11" i="1"/>
  <c r="F11" i="1"/>
  <c r="G11" i="1"/>
  <c r="N11" i="1"/>
  <c r="E5" i="1"/>
  <c r="F5" i="1"/>
  <c r="G5" i="1"/>
  <c r="N5" i="1"/>
  <c r="E32" i="1"/>
  <c r="F32" i="1"/>
  <c r="G32" i="1"/>
  <c r="K32" i="1"/>
  <c r="L32" i="1"/>
  <c r="N32" i="1"/>
  <c r="E25" i="1"/>
  <c r="F25" i="1"/>
  <c r="G25" i="1"/>
  <c r="N25" i="1"/>
  <c r="E33" i="1"/>
  <c r="F33" i="1"/>
  <c r="G33" i="1"/>
  <c r="O33" i="1"/>
  <c r="N33" i="1"/>
  <c r="E50" i="1"/>
  <c r="F50" i="1"/>
  <c r="G50" i="1"/>
  <c r="O50" i="1"/>
  <c r="N50" i="1"/>
  <c r="E19" i="1"/>
  <c r="F19" i="1"/>
  <c r="G19" i="1"/>
  <c r="N19" i="1"/>
  <c r="E26" i="1"/>
  <c r="F26" i="1"/>
  <c r="G26" i="1"/>
  <c r="O26" i="1"/>
  <c r="N26" i="1"/>
  <c r="Q2" i="1"/>
  <c r="L52" i="1"/>
  <c r="L47" i="1"/>
  <c r="L2" i="1"/>
  <c r="W48" i="17"/>
  <c r="AA48" i="17"/>
  <c r="T48" i="17" a="1"/>
  <c r="W50" i="17"/>
  <c r="AA50" i="17"/>
  <c r="T50" i="17" a="1"/>
  <c r="AA52" i="17"/>
  <c r="T52" i="17" a="1"/>
  <c r="W52" i="17"/>
  <c r="X51" i="17"/>
  <c r="Y51" i="17"/>
  <c r="Y50" i="17"/>
  <c r="X50" i="17"/>
  <c r="AA51" i="17"/>
  <c r="T51" i="17" a="1"/>
  <c r="W51" i="17"/>
  <c r="X47" i="17"/>
  <c r="Y47" i="17"/>
  <c r="W47" i="17"/>
  <c r="AA47" i="17"/>
  <c r="T47" i="17" a="1"/>
  <c r="X52" i="17"/>
  <c r="Y52" i="17"/>
  <c r="Y53" i="17"/>
  <c r="X53" i="17"/>
  <c r="AA46" i="17"/>
  <c r="T46" i="17" a="1"/>
  <c r="W46" i="17"/>
  <c r="T53" i="17" a="1"/>
  <c r="W53" i="17"/>
  <c r="AA53" i="17"/>
  <c r="X46" i="17"/>
  <c r="Y46" i="17"/>
  <c r="X48" i="17"/>
  <c r="Y48" i="17"/>
  <c r="P12" i="1"/>
  <c r="Q12" i="1"/>
  <c r="K12" i="1"/>
  <c r="L12" i="1"/>
  <c r="P25" i="1"/>
  <c r="Q25" i="1"/>
  <c r="K25" i="1"/>
  <c r="L25" i="1"/>
  <c r="P45" i="1"/>
  <c r="Q45" i="1"/>
  <c r="K45" i="1"/>
  <c r="L45" i="1"/>
  <c r="K24" i="1"/>
  <c r="L24" i="1"/>
  <c r="P24" i="1"/>
  <c r="Q24" i="1"/>
  <c r="P22" i="1"/>
  <c r="Q22" i="1"/>
  <c r="K22" i="1"/>
  <c r="L22" i="1"/>
  <c r="P29" i="1"/>
  <c r="Q29" i="1"/>
  <c r="K29" i="1"/>
  <c r="L29" i="1"/>
  <c r="P10" i="1"/>
  <c r="Q10" i="1"/>
  <c r="K10" i="1"/>
  <c r="L10" i="1"/>
  <c r="K22" i="2"/>
  <c r="L22" i="2"/>
  <c r="P22" i="2"/>
  <c r="Q22" i="2"/>
  <c r="P37" i="2"/>
  <c r="Q37" i="2"/>
  <c r="K37" i="2"/>
  <c r="L37" i="2"/>
  <c r="P45" i="2"/>
  <c r="Q45" i="2"/>
  <c r="K45" i="2"/>
  <c r="L45" i="2"/>
  <c r="K21" i="1"/>
  <c r="L21" i="1"/>
  <c r="P21" i="1"/>
  <c r="Q21" i="1"/>
  <c r="K14" i="2"/>
  <c r="L14" i="2"/>
  <c r="P14" i="2"/>
  <c r="Q14" i="2"/>
  <c r="P26" i="1"/>
  <c r="Q26" i="1"/>
  <c r="K26" i="1"/>
  <c r="L26" i="1"/>
  <c r="G6" i="9"/>
  <c r="H6" i="9"/>
  <c r="D9" i="9"/>
  <c r="D29" i="9"/>
  <c r="G50" i="9"/>
  <c r="H50" i="9"/>
  <c r="D6" i="13"/>
  <c r="D20" i="13"/>
  <c r="D24" i="13"/>
  <c r="G35" i="13"/>
  <c r="H35" i="13"/>
  <c r="D39" i="13"/>
  <c r="D10" i="14"/>
  <c r="D14" i="14"/>
  <c r="D21" i="14"/>
  <c r="D24" i="14"/>
  <c r="D28" i="14"/>
  <c r="D32" i="14"/>
  <c r="D42" i="14"/>
  <c r="D6" i="15"/>
  <c r="D33" i="15"/>
  <c r="D44" i="15"/>
  <c r="D51" i="15"/>
  <c r="D4" i="16"/>
  <c r="D11" i="16"/>
  <c r="D18" i="16"/>
  <c r="D22" i="16"/>
  <c r="D26" i="16"/>
  <c r="D37" i="16"/>
  <c r="D48" i="16"/>
  <c r="D35" i="12"/>
  <c r="G32" i="12"/>
  <c r="H32" i="12"/>
  <c r="D21" i="12"/>
  <c r="D15" i="12"/>
  <c r="D8" i="12"/>
  <c r="D52" i="11"/>
  <c r="D30" i="11"/>
  <c r="D52" i="10"/>
  <c r="D48" i="10"/>
  <c r="D44" i="10"/>
  <c r="D40" i="10"/>
  <c r="D36" i="10"/>
  <c r="D32" i="10"/>
  <c r="D28" i="10"/>
  <c r="D24" i="10"/>
  <c r="D17" i="10"/>
  <c r="D13" i="10"/>
  <c r="D6" i="10"/>
  <c r="D3" i="10"/>
  <c r="D12" i="9"/>
  <c r="D16" i="9"/>
  <c r="D25" i="9"/>
  <c r="D36" i="9"/>
  <c r="D39" i="9"/>
  <c r="D43" i="9"/>
  <c r="D16" i="13"/>
  <c r="D31" i="13"/>
  <c r="D42" i="13"/>
  <c r="D45" i="13"/>
  <c r="D49" i="13"/>
  <c r="D53" i="13"/>
  <c r="G6" i="14"/>
  <c r="H6" i="14"/>
  <c r="D17" i="14"/>
  <c r="D35" i="14"/>
  <c r="D49" i="14"/>
  <c r="D53" i="14"/>
  <c r="G16" i="15"/>
  <c r="H16" i="15"/>
  <c r="D19" i="15"/>
  <c r="D23" i="15"/>
  <c r="D26" i="15"/>
  <c r="D29" i="15"/>
  <c r="D36" i="15"/>
  <c r="D40" i="15"/>
  <c r="D47" i="15"/>
  <c r="D7" i="16"/>
  <c r="D29" i="16"/>
  <c r="D33" i="16"/>
  <c r="D44" i="16"/>
  <c r="D53" i="12"/>
  <c r="D46" i="12"/>
  <c r="D42" i="12"/>
  <c r="D38" i="12"/>
  <c r="G25" i="12"/>
  <c r="H25" i="12"/>
  <c r="D12" i="12"/>
  <c r="D5" i="12"/>
  <c r="D49" i="11"/>
  <c r="D45" i="11"/>
  <c r="D41" i="11"/>
  <c r="D37" i="11"/>
  <c r="D34" i="11"/>
  <c r="D27" i="11"/>
  <c r="D24" i="11"/>
  <c r="D21" i="11"/>
  <c r="D17" i="11"/>
  <c r="D13" i="11"/>
  <c r="D9" i="11"/>
  <c r="D5" i="11"/>
  <c r="O5" i="11"/>
  <c r="G27" i="16"/>
  <c r="H27" i="16"/>
  <c r="G17" i="16"/>
  <c r="H17" i="16"/>
  <c r="D5" i="9"/>
  <c r="D19" i="9"/>
  <c r="D22" i="9"/>
  <c r="D32" i="9"/>
  <c r="D46" i="9"/>
  <c r="D49" i="9"/>
  <c r="D53" i="9"/>
  <c r="G5" i="13"/>
  <c r="H5" i="13"/>
  <c r="D9" i="13"/>
  <c r="D19" i="13"/>
  <c r="D23" i="13"/>
  <c r="D27" i="13"/>
  <c r="D34" i="13"/>
  <c r="D38" i="13"/>
  <c r="D13" i="14"/>
  <c r="D20" i="14"/>
  <c r="D23" i="14"/>
  <c r="D27" i="14"/>
  <c r="D31" i="14"/>
  <c r="D38" i="14"/>
  <c r="D41" i="14"/>
  <c r="D45" i="14"/>
  <c r="D5" i="15"/>
  <c r="D9" i="15"/>
  <c r="D12" i="15"/>
  <c r="D32" i="15"/>
  <c r="D43" i="15"/>
  <c r="D3" i="16"/>
  <c r="D10" i="16"/>
  <c r="D14" i="16"/>
  <c r="D17" i="16"/>
  <c r="D21" i="16"/>
  <c r="D25" i="16"/>
  <c r="D36" i="16"/>
  <c r="D40" i="16"/>
  <c r="D47" i="16"/>
  <c r="D51" i="16"/>
  <c r="D50" i="12"/>
  <c r="D29" i="12"/>
  <c r="D22" i="12"/>
  <c r="D19" i="12"/>
  <c r="D16" i="12"/>
  <c r="D53" i="11"/>
  <c r="D31" i="11"/>
  <c r="D45" i="10"/>
  <c r="D37" i="10"/>
  <c r="D29" i="10"/>
  <c r="D25" i="10"/>
  <c r="D21" i="10"/>
  <c r="D18" i="10"/>
  <c r="D14" i="10"/>
  <c r="D10" i="10"/>
  <c r="D4" i="10"/>
  <c r="O29" i="11"/>
  <c r="G18" i="16"/>
  <c r="H18" i="16"/>
  <c r="D8" i="9"/>
  <c r="D11" i="9"/>
  <c r="G15" i="9"/>
  <c r="H15" i="9"/>
  <c r="D28" i="9"/>
  <c r="D35" i="9"/>
  <c r="D42" i="9"/>
  <c r="D12" i="13"/>
  <c r="D30" i="13"/>
  <c r="D41" i="13"/>
  <c r="D48" i="13"/>
  <c r="D52" i="13"/>
  <c r="D5" i="14"/>
  <c r="D9" i="14"/>
  <c r="D16" i="14"/>
  <c r="D34" i="14"/>
  <c r="D48" i="14"/>
  <c r="D52" i="14"/>
  <c r="D15" i="15"/>
  <c r="D22" i="15"/>
  <c r="D35" i="15"/>
  <c r="D39" i="15"/>
  <c r="D46" i="15"/>
  <c r="D50" i="15"/>
  <c r="D32" i="16"/>
  <c r="G43" i="16"/>
  <c r="H43" i="16"/>
  <c r="D47" i="12"/>
  <c r="D43" i="12"/>
  <c r="D39" i="12"/>
  <c r="D36" i="12"/>
  <c r="D33" i="12"/>
  <c r="G9" i="12"/>
  <c r="H9" i="12"/>
  <c r="D42" i="11"/>
  <c r="D28" i="11"/>
  <c r="D18" i="11"/>
  <c r="D14" i="11"/>
  <c r="D10" i="11"/>
  <c r="D6" i="11"/>
  <c r="K42" i="2"/>
  <c r="L42" i="2"/>
  <c r="P23" i="1"/>
  <c r="Q23" i="1"/>
  <c r="K13" i="2"/>
  <c r="L13" i="2"/>
  <c r="K31" i="2"/>
  <c r="L31" i="2"/>
  <c r="F6" i="13"/>
  <c r="G4" i="9"/>
  <c r="H4" i="9"/>
  <c r="G18" i="9"/>
  <c r="H18" i="9"/>
  <c r="D21" i="9"/>
  <c r="D24" i="9"/>
  <c r="D31" i="9"/>
  <c r="D38" i="9"/>
  <c r="D45" i="9"/>
  <c r="D48" i="9"/>
  <c r="D52" i="9"/>
  <c r="D4" i="13"/>
  <c r="D8" i="13"/>
  <c r="D15" i="13"/>
  <c r="D22" i="13"/>
  <c r="D26" i="13"/>
  <c r="D33" i="13"/>
  <c r="D37" i="13"/>
  <c r="D44" i="13"/>
  <c r="D12" i="14"/>
  <c r="D19" i="14"/>
  <c r="D26" i="14"/>
  <c r="D30" i="14"/>
  <c r="D40" i="14"/>
  <c r="D44" i="14"/>
  <c r="D4" i="15"/>
  <c r="D8" i="15"/>
  <c r="D18" i="15"/>
  <c r="D25" i="15"/>
  <c r="D28" i="15"/>
  <c r="D42" i="15"/>
  <c r="D53" i="15"/>
  <c r="D6" i="16"/>
  <c r="D9" i="16"/>
  <c r="D13" i="16"/>
  <c r="D20" i="16"/>
  <c r="D24" i="16"/>
  <c r="D28" i="16"/>
  <c r="D35" i="16"/>
  <c r="D39" i="16"/>
  <c r="D50" i="16"/>
  <c r="D51" i="12"/>
  <c r="G30" i="12"/>
  <c r="H30" i="12"/>
  <c r="G17" i="12"/>
  <c r="H17" i="12"/>
  <c r="D13" i="12"/>
  <c r="D6" i="12"/>
  <c r="D3" i="12"/>
  <c r="D50" i="11"/>
  <c r="D35" i="11"/>
  <c r="D32" i="11"/>
  <c r="D25" i="11"/>
  <c r="D22" i="11"/>
  <c r="D3" i="11"/>
  <c r="D50" i="10"/>
  <c r="D46" i="10"/>
  <c r="D42" i="10"/>
  <c r="D38" i="10"/>
  <c r="D34" i="10"/>
  <c r="D30" i="10"/>
  <c r="D26" i="10"/>
  <c r="D22" i="10"/>
  <c r="D15" i="10"/>
  <c r="D8" i="10"/>
  <c r="K29" i="2"/>
  <c r="L29" i="2"/>
  <c r="K53" i="2"/>
  <c r="L53" i="2"/>
  <c r="K27" i="2"/>
  <c r="L27" i="2"/>
  <c r="P34" i="2"/>
  <c r="Q34" i="2"/>
  <c r="G44" i="16"/>
  <c r="H44" i="16"/>
  <c r="G37" i="16"/>
  <c r="H37" i="16"/>
  <c r="D14" i="9"/>
  <c r="D27" i="9"/>
  <c r="G34" i="9"/>
  <c r="H34" i="9"/>
  <c r="D41" i="9"/>
  <c r="G11" i="13"/>
  <c r="H11" i="13"/>
  <c r="D18" i="13"/>
  <c r="D29" i="13"/>
  <c r="D40" i="13"/>
  <c r="D47" i="13"/>
  <c r="D51" i="13"/>
  <c r="D4" i="14"/>
  <c r="D8" i="14"/>
  <c r="D15" i="14"/>
  <c r="D22" i="14"/>
  <c r="D33" i="14"/>
  <c r="D37" i="14"/>
  <c r="D47" i="14"/>
  <c r="D51" i="14"/>
  <c r="D11" i="15"/>
  <c r="D14" i="15"/>
  <c r="D21" i="15"/>
  <c r="D31" i="15"/>
  <c r="D34" i="15"/>
  <c r="D38" i="15"/>
  <c r="D45" i="15"/>
  <c r="D49" i="15"/>
  <c r="D16" i="16"/>
  <c r="D31" i="16"/>
  <c r="D42" i="16"/>
  <c r="D46" i="16"/>
  <c r="D53" i="16"/>
  <c r="D48" i="12"/>
  <c r="D44" i="12"/>
  <c r="D40" i="12"/>
  <c r="D27" i="12"/>
  <c r="D23" i="12"/>
  <c r="D20" i="12"/>
  <c r="D10" i="12"/>
  <c r="D43" i="11"/>
  <c r="D29" i="11"/>
  <c r="D19" i="11"/>
  <c r="D15" i="11"/>
  <c r="D11" i="11"/>
  <c r="D7" i="11"/>
  <c r="D19" i="10"/>
  <c r="D5" i="10"/>
  <c r="O11" i="10"/>
  <c r="D3" i="9"/>
  <c r="D7" i="9"/>
  <c r="D10" i="9"/>
  <c r="D17" i="9"/>
  <c r="D30" i="9"/>
  <c r="D44" i="9"/>
  <c r="D51" i="9"/>
  <c r="D3" i="13"/>
  <c r="D7" i="13"/>
  <c r="D21" i="13"/>
  <c r="D25" i="13"/>
  <c r="D32" i="13"/>
  <c r="D36" i="13"/>
  <c r="D43" i="13"/>
  <c r="D11" i="14"/>
  <c r="F14" i="14"/>
  <c r="D18" i="14"/>
  <c r="F21" i="14"/>
  <c r="D25" i="14"/>
  <c r="D29" i="14"/>
  <c r="F32" i="14"/>
  <c r="D43" i="14"/>
  <c r="D3" i="15"/>
  <c r="D7" i="15"/>
  <c r="D52" i="15"/>
  <c r="D5" i="16"/>
  <c r="D8" i="16"/>
  <c r="D12" i="16"/>
  <c r="G19" i="16"/>
  <c r="H19" i="16"/>
  <c r="D23" i="16"/>
  <c r="D27" i="16"/>
  <c r="D38" i="16"/>
  <c r="D37" i="12"/>
  <c r="D31" i="12"/>
  <c r="D14" i="12"/>
  <c r="G7" i="12"/>
  <c r="H7" i="12"/>
  <c r="D51" i="11"/>
  <c r="D23" i="11"/>
  <c r="D47" i="10"/>
  <c r="D43" i="10"/>
  <c r="D39" i="10"/>
  <c r="D35" i="10"/>
  <c r="D31" i="10"/>
  <c r="D27" i="10"/>
  <c r="D23" i="10"/>
  <c r="D12" i="10"/>
  <c r="P47" i="1"/>
  <c r="Q47" i="1"/>
  <c r="P26" i="2"/>
  <c r="Q26" i="2"/>
  <c r="D13" i="9"/>
  <c r="F16" i="9"/>
  <c r="D20" i="9"/>
  <c r="D23" i="9"/>
  <c r="D26" i="9"/>
  <c r="D33" i="9"/>
  <c r="D37" i="9"/>
  <c r="G40" i="9"/>
  <c r="H40" i="9"/>
  <c r="F43" i="9"/>
  <c r="D47" i="9"/>
  <c r="D10" i="13"/>
  <c r="D14" i="13"/>
  <c r="D17" i="13"/>
  <c r="D28" i="13"/>
  <c r="F31" i="13"/>
  <c r="F42" i="13"/>
  <c r="D46" i="13"/>
  <c r="D50" i="13"/>
  <c r="D3" i="14"/>
  <c r="D7" i="14"/>
  <c r="F17" i="14"/>
  <c r="D36" i="14"/>
  <c r="D39" i="14"/>
  <c r="D46" i="14"/>
  <c r="D50" i="14"/>
  <c r="F53" i="14"/>
  <c r="D10" i="15"/>
  <c r="D13" i="15"/>
  <c r="D17" i="15"/>
  <c r="D20" i="15"/>
  <c r="D24" i="15"/>
  <c r="D27" i="15"/>
  <c r="D30" i="15"/>
  <c r="D37" i="15"/>
  <c r="D41" i="15"/>
  <c r="D48" i="15"/>
  <c r="F7" i="16"/>
  <c r="D15" i="16"/>
  <c r="D30" i="16"/>
  <c r="D34" i="16"/>
  <c r="D41" i="16"/>
  <c r="D45" i="16"/>
  <c r="G52" i="16"/>
  <c r="H52" i="16"/>
  <c r="D52" i="12"/>
  <c r="D45" i="12"/>
  <c r="D41" i="12"/>
  <c r="F35" i="12"/>
  <c r="D28" i="12"/>
  <c r="G24" i="12"/>
  <c r="H24" i="12"/>
  <c r="F21" i="12"/>
  <c r="D18" i="12"/>
  <c r="D11" i="12"/>
  <c r="D4" i="12"/>
  <c r="D48" i="11"/>
  <c r="D44" i="11"/>
  <c r="D40" i="11"/>
  <c r="D36" i="11"/>
  <c r="D33" i="11"/>
  <c r="D26" i="11"/>
  <c r="D16" i="11"/>
  <c r="D8" i="11"/>
  <c r="D4" i="11"/>
  <c r="D20" i="10"/>
  <c r="O13" i="10"/>
  <c r="K42" i="1"/>
  <c r="L42" i="1"/>
  <c r="P42" i="1"/>
  <c r="Q42" i="1"/>
  <c r="P48" i="1"/>
  <c r="Q48" i="1"/>
  <c r="K48" i="1"/>
  <c r="L48" i="1"/>
  <c r="K53" i="1"/>
  <c r="L53" i="1"/>
  <c r="P53" i="1"/>
  <c r="Q53" i="1"/>
  <c r="K39" i="1"/>
  <c r="L39" i="1"/>
  <c r="P39" i="1"/>
  <c r="Q39" i="1"/>
  <c r="K9" i="1"/>
  <c r="L9" i="1"/>
  <c r="P9" i="1"/>
  <c r="Q9" i="1"/>
  <c r="P40" i="1"/>
  <c r="Q40" i="1"/>
  <c r="K40" i="1"/>
  <c r="L40" i="1"/>
  <c r="P51" i="1"/>
  <c r="Q51" i="1"/>
  <c r="K51" i="1"/>
  <c r="L51" i="1"/>
  <c r="K41" i="1"/>
  <c r="L41" i="1"/>
  <c r="P41" i="1"/>
  <c r="Q41" i="1"/>
  <c r="P6" i="2"/>
  <c r="Q6" i="2"/>
  <c r="K6" i="2"/>
  <c r="L6" i="2"/>
  <c r="P11" i="1"/>
  <c r="Q11" i="1"/>
  <c r="K11" i="1"/>
  <c r="L11" i="1"/>
  <c r="P46" i="1"/>
  <c r="Q46" i="1"/>
  <c r="K46" i="1"/>
  <c r="L46" i="1"/>
  <c r="P36" i="1"/>
  <c r="Q36" i="1"/>
  <c r="K36" i="1"/>
  <c r="L36" i="1"/>
  <c r="K3" i="1"/>
  <c r="L3" i="1"/>
  <c r="P3" i="1"/>
  <c r="Q3" i="1"/>
  <c r="P20" i="2"/>
  <c r="Q20" i="2"/>
  <c r="K20" i="2"/>
  <c r="L20" i="2"/>
  <c r="K44" i="1"/>
  <c r="L44" i="1"/>
  <c r="P44" i="1"/>
  <c r="Q44" i="1"/>
  <c r="P11" i="2"/>
  <c r="Q11" i="2"/>
  <c r="K11" i="2"/>
  <c r="L11" i="2"/>
  <c r="K28" i="2"/>
  <c r="L28" i="2"/>
  <c r="P28" i="2"/>
  <c r="Q28" i="2"/>
  <c r="P5" i="1"/>
  <c r="Q5" i="1"/>
  <c r="K5" i="1"/>
  <c r="L5" i="1"/>
  <c r="K17" i="1"/>
  <c r="L17" i="1"/>
  <c r="P17" i="1"/>
  <c r="Q17" i="1"/>
  <c r="P6" i="1"/>
  <c r="Q6" i="1"/>
  <c r="K6" i="1"/>
  <c r="L6" i="1"/>
  <c r="K14" i="1"/>
  <c r="L14" i="1"/>
  <c r="P14" i="1"/>
  <c r="Q14" i="1"/>
  <c r="K38" i="1"/>
  <c r="L38" i="1"/>
  <c r="P38" i="1"/>
  <c r="Q38" i="1"/>
  <c r="P16" i="2"/>
  <c r="Q16" i="2"/>
  <c r="K16" i="2"/>
  <c r="L16" i="2"/>
  <c r="P24" i="2"/>
  <c r="Q24" i="2"/>
  <c r="K24" i="2"/>
  <c r="L24" i="2"/>
  <c r="P19" i="1"/>
  <c r="Q19" i="1"/>
  <c r="K19" i="1"/>
  <c r="L19" i="1"/>
  <c r="P20" i="1"/>
  <c r="Q20" i="1"/>
  <c r="K20" i="1"/>
  <c r="L20" i="1"/>
  <c r="P30" i="1"/>
  <c r="Q30" i="1"/>
  <c r="K30" i="1"/>
  <c r="L30" i="1"/>
  <c r="K33" i="1"/>
  <c r="L33" i="1"/>
  <c r="P33" i="1"/>
  <c r="Q33" i="1"/>
  <c r="K16" i="1"/>
  <c r="L16" i="1"/>
  <c r="P16" i="1"/>
  <c r="Q16" i="1"/>
  <c r="P7" i="1"/>
  <c r="Q7" i="1"/>
  <c r="K7" i="1"/>
  <c r="L7" i="1"/>
  <c r="P28" i="1"/>
  <c r="Q28" i="1"/>
  <c r="K28" i="1"/>
  <c r="L28" i="1"/>
  <c r="P35" i="1"/>
  <c r="Q35" i="1"/>
  <c r="K35" i="1"/>
  <c r="L35" i="1"/>
  <c r="K50" i="1"/>
  <c r="L50" i="1"/>
  <c r="P50" i="1"/>
  <c r="Q50" i="1"/>
  <c r="P15" i="1"/>
  <c r="Q15" i="1"/>
  <c r="K15" i="1"/>
  <c r="L15" i="1"/>
  <c r="P13" i="1"/>
  <c r="Q13" i="1"/>
  <c r="K13" i="1"/>
  <c r="L13" i="1"/>
  <c r="K27" i="1"/>
  <c r="L27" i="1"/>
  <c r="P27" i="1"/>
  <c r="Q27" i="1"/>
  <c r="P8" i="1"/>
  <c r="Q8" i="1"/>
  <c r="K8" i="1"/>
  <c r="L8" i="1"/>
  <c r="P4" i="1"/>
  <c r="Q4" i="1"/>
  <c r="K4" i="1"/>
  <c r="L4" i="1"/>
  <c r="K34" i="1"/>
  <c r="L34" i="1"/>
  <c r="P34" i="1"/>
  <c r="Q34" i="1"/>
  <c r="P31" i="1"/>
  <c r="Q31" i="1"/>
  <c r="K31" i="1"/>
  <c r="L31" i="1"/>
  <c r="K7" i="2"/>
  <c r="L7" i="2"/>
  <c r="P7" i="2"/>
  <c r="Q7" i="2"/>
  <c r="P23" i="2"/>
  <c r="Q23" i="2"/>
  <c r="K23" i="2"/>
  <c r="L23" i="2"/>
  <c r="K30" i="2"/>
  <c r="L30" i="2"/>
  <c r="P30" i="2"/>
  <c r="Q30" i="2"/>
  <c r="P33" i="2"/>
  <c r="Q33" i="2"/>
  <c r="K33" i="2"/>
  <c r="L33" i="2"/>
  <c r="K36" i="2"/>
  <c r="L36" i="2"/>
  <c r="P36" i="2"/>
  <c r="Q36" i="2"/>
  <c r="K39" i="2"/>
  <c r="L39" i="2"/>
  <c r="P39" i="2"/>
  <c r="Q39" i="2"/>
  <c r="P46" i="2"/>
  <c r="Q46" i="2"/>
  <c r="K46" i="2"/>
  <c r="L46" i="2"/>
  <c r="K3" i="4"/>
  <c r="L3" i="4"/>
  <c r="P3" i="4"/>
  <c r="Q3" i="4"/>
  <c r="P21" i="4"/>
  <c r="Q21" i="4"/>
  <c r="K21" i="4"/>
  <c r="L21" i="4"/>
  <c r="K30" i="4"/>
  <c r="L30" i="4"/>
  <c r="P30" i="4"/>
  <c r="Q30" i="4"/>
  <c r="K39" i="4"/>
  <c r="L39" i="4"/>
  <c r="P39" i="4"/>
  <c r="Q39" i="4"/>
  <c r="K4" i="2"/>
  <c r="L4" i="2"/>
  <c r="P4" i="2"/>
  <c r="Q4" i="2"/>
  <c r="K25" i="2"/>
  <c r="L25" i="2"/>
  <c r="P25" i="2"/>
  <c r="Q25" i="2"/>
  <c r="K49" i="2"/>
  <c r="L49" i="2"/>
  <c r="P49" i="2"/>
  <c r="Q49" i="2"/>
  <c r="K52" i="2"/>
  <c r="L52" i="2"/>
  <c r="P52" i="2"/>
  <c r="Q52" i="2"/>
  <c r="P5" i="4"/>
  <c r="Q5" i="4"/>
  <c r="K5" i="4"/>
  <c r="L5" i="4"/>
  <c r="K14" i="4"/>
  <c r="L14" i="4"/>
  <c r="P14" i="4"/>
  <c r="Q14" i="4"/>
  <c r="P17" i="4"/>
  <c r="Q17" i="4"/>
  <c r="K17" i="4"/>
  <c r="L17" i="4"/>
  <c r="K27" i="4"/>
  <c r="L27" i="4"/>
  <c r="P27" i="4"/>
  <c r="Q27" i="4"/>
  <c r="P41" i="4"/>
  <c r="Q41" i="4"/>
  <c r="K41" i="4"/>
  <c r="L41" i="4"/>
  <c r="P49" i="4"/>
  <c r="Q49" i="4"/>
  <c r="K49" i="4"/>
  <c r="L49" i="4"/>
  <c r="P10" i="2"/>
  <c r="Q10" i="2"/>
  <c r="P5" i="2"/>
  <c r="Q5" i="2"/>
  <c r="P52" i="1"/>
  <c r="Q52" i="1"/>
  <c r="P37" i="1"/>
  <c r="Q37" i="1"/>
  <c r="K37" i="1"/>
  <c r="L37" i="1"/>
  <c r="P38" i="2"/>
  <c r="Q38" i="2"/>
  <c r="K38" i="2"/>
  <c r="L38" i="2"/>
  <c r="K11" i="4"/>
  <c r="L11" i="4"/>
  <c r="P11" i="4"/>
  <c r="Q11" i="4"/>
  <c r="P20" i="4"/>
  <c r="Q20" i="4"/>
  <c r="K20" i="4"/>
  <c r="L20" i="4"/>
  <c r="P29" i="4"/>
  <c r="Q29" i="4"/>
  <c r="K29" i="4"/>
  <c r="L29" i="4"/>
  <c r="K38" i="4"/>
  <c r="L38" i="4"/>
  <c r="P38" i="4"/>
  <c r="Q38" i="4"/>
  <c r="K10" i="2"/>
  <c r="L10" i="2"/>
  <c r="P32" i="2"/>
  <c r="Q32" i="2"/>
  <c r="K32" i="2"/>
  <c r="L32" i="2"/>
  <c r="P51" i="2"/>
  <c r="Q51" i="2"/>
  <c r="K51" i="2"/>
  <c r="L51" i="2"/>
  <c r="P13" i="4"/>
  <c r="Q13" i="4"/>
  <c r="K13" i="4"/>
  <c r="L13" i="4"/>
  <c r="P16" i="4"/>
  <c r="Q16" i="4"/>
  <c r="K16" i="4"/>
  <c r="L16" i="4"/>
  <c r="K26" i="4"/>
  <c r="L26" i="4"/>
  <c r="P26" i="4"/>
  <c r="Q26" i="4"/>
  <c r="K35" i="4"/>
  <c r="L35" i="4"/>
  <c r="P35" i="4"/>
  <c r="Q35" i="4"/>
  <c r="K46" i="4"/>
  <c r="L46" i="4"/>
  <c r="P46" i="4"/>
  <c r="Q46" i="4"/>
  <c r="K51" i="4"/>
  <c r="L51" i="4"/>
  <c r="P51" i="4"/>
  <c r="Q51" i="4"/>
  <c r="K3" i="2"/>
  <c r="L3" i="2"/>
  <c r="P3" i="2"/>
  <c r="Q3" i="2"/>
  <c r="P35" i="2"/>
  <c r="Q35" i="2"/>
  <c r="K35" i="2"/>
  <c r="L35" i="2"/>
  <c r="K41" i="2"/>
  <c r="L41" i="2"/>
  <c r="P41" i="2"/>
  <c r="Q41" i="2"/>
  <c r="P48" i="2"/>
  <c r="Q48" i="2"/>
  <c r="K48" i="2"/>
  <c r="L48" i="2"/>
  <c r="K10" i="4"/>
  <c r="L10" i="4"/>
  <c r="P10" i="4"/>
  <c r="Q10" i="4"/>
  <c r="K19" i="4"/>
  <c r="L19" i="4"/>
  <c r="P19" i="4"/>
  <c r="Q19" i="4"/>
  <c r="K23" i="4"/>
  <c r="L23" i="4"/>
  <c r="P23" i="4"/>
  <c r="Q23" i="4"/>
  <c r="P37" i="4"/>
  <c r="Q37" i="4"/>
  <c r="K37" i="4"/>
  <c r="L37" i="4"/>
  <c r="P53" i="4"/>
  <c r="Q53" i="4"/>
  <c r="K53" i="4"/>
  <c r="L53" i="4"/>
  <c r="K18" i="1"/>
  <c r="L18" i="1"/>
  <c r="K18" i="2"/>
  <c r="L18" i="2"/>
  <c r="K34" i="2"/>
  <c r="L34" i="2"/>
  <c r="P13" i="2"/>
  <c r="Q13" i="2"/>
  <c r="K7" i="4"/>
  <c r="L7" i="4"/>
  <c r="P7" i="4"/>
  <c r="Q7" i="4"/>
  <c r="P25" i="4"/>
  <c r="Q25" i="4"/>
  <c r="K25" i="4"/>
  <c r="L25" i="4"/>
  <c r="K34" i="4"/>
  <c r="L34" i="4"/>
  <c r="P34" i="4"/>
  <c r="Q34" i="4"/>
  <c r="K43" i="4"/>
  <c r="L43" i="4"/>
  <c r="P43" i="4"/>
  <c r="Q43" i="4"/>
  <c r="K17" i="2"/>
  <c r="L17" i="2"/>
  <c r="P17" i="2"/>
  <c r="Q17" i="2"/>
  <c r="P40" i="2"/>
  <c r="Q40" i="2"/>
  <c r="K40" i="2"/>
  <c r="L40" i="2"/>
  <c r="K47" i="2"/>
  <c r="L47" i="2"/>
  <c r="P47" i="2"/>
  <c r="Q47" i="2"/>
  <c r="P9" i="4"/>
  <c r="Q9" i="4"/>
  <c r="K9" i="4"/>
  <c r="L9" i="4"/>
  <c r="P18" i="4"/>
  <c r="Q18" i="4"/>
  <c r="K18" i="4"/>
  <c r="L18" i="4"/>
  <c r="P22" i="4"/>
  <c r="Q22" i="4"/>
  <c r="K22" i="4"/>
  <c r="L22" i="4"/>
  <c r="K31" i="4"/>
  <c r="L31" i="4"/>
  <c r="P31" i="4"/>
  <c r="Q31" i="4"/>
  <c r="P45" i="4"/>
  <c r="Q45" i="4"/>
  <c r="K45" i="4"/>
  <c r="L45" i="4"/>
  <c r="K50" i="4"/>
  <c r="L50" i="4"/>
  <c r="P50" i="4"/>
  <c r="Q50" i="4"/>
  <c r="P12" i="2"/>
  <c r="Q12" i="2"/>
  <c r="K12" i="2"/>
  <c r="L12" i="2"/>
  <c r="P19" i="2"/>
  <c r="Q19" i="2"/>
  <c r="K19" i="2"/>
  <c r="L19" i="2"/>
  <c r="P43" i="2"/>
  <c r="Q43" i="2"/>
  <c r="K43" i="2"/>
  <c r="L43" i="2"/>
  <c r="K6" i="4"/>
  <c r="L6" i="4"/>
  <c r="P6" i="4"/>
  <c r="Q6" i="4"/>
  <c r="K15" i="4"/>
  <c r="L15" i="4"/>
  <c r="P15" i="4"/>
  <c r="Q15" i="4"/>
  <c r="P33" i="4"/>
  <c r="Q33" i="4"/>
  <c r="K33" i="4"/>
  <c r="L33" i="4"/>
  <c r="K42" i="4"/>
  <c r="L42" i="4"/>
  <c r="P42" i="4"/>
  <c r="Q42" i="4"/>
  <c r="K8" i="2"/>
  <c r="L8" i="2"/>
  <c r="P32" i="1"/>
  <c r="Q32" i="1"/>
  <c r="P43" i="1"/>
  <c r="Q43" i="1"/>
  <c r="P49" i="1"/>
  <c r="Q49" i="1"/>
  <c r="K21" i="2"/>
  <c r="L21" i="2"/>
  <c r="P31" i="2"/>
  <c r="Q31" i="2"/>
  <c r="P50" i="2"/>
  <c r="Q50" i="2"/>
  <c r="P15" i="2"/>
  <c r="Q15" i="2"/>
  <c r="K15" i="2"/>
  <c r="L15" i="2"/>
  <c r="K44" i="2"/>
  <c r="L44" i="2"/>
  <c r="P44" i="2"/>
  <c r="Q44" i="2"/>
  <c r="K47" i="4"/>
  <c r="L47" i="4"/>
  <c r="P47" i="4"/>
  <c r="Q47" i="4"/>
  <c r="K4" i="4"/>
  <c r="L4" i="4"/>
  <c r="K12" i="4"/>
  <c r="L12" i="4"/>
  <c r="K28" i="4"/>
  <c r="L28" i="4"/>
  <c r="K36" i="4"/>
  <c r="L36" i="4"/>
  <c r="K44" i="4"/>
  <c r="L44" i="4"/>
  <c r="K52" i="4"/>
  <c r="L52" i="4"/>
  <c r="G53" i="7"/>
  <c r="H53" i="7"/>
  <c r="G52" i="7"/>
  <c r="H52" i="7"/>
  <c r="G48" i="16"/>
  <c r="H48" i="16"/>
  <c r="L48" i="16"/>
  <c r="M48" i="16"/>
  <c r="G45" i="15"/>
  <c r="H45" i="15"/>
  <c r="G43" i="7"/>
  <c r="H43" i="7"/>
  <c r="G41" i="14"/>
  <c r="H41" i="14"/>
  <c r="G40" i="15"/>
  <c r="H40" i="15"/>
  <c r="G36" i="7"/>
  <c r="H36" i="7"/>
  <c r="G35" i="7"/>
  <c r="H35" i="7"/>
  <c r="G32" i="15"/>
  <c r="H32" i="15"/>
  <c r="G31" i="16"/>
  <c r="H31" i="16"/>
  <c r="G31" i="9"/>
  <c r="H31" i="9"/>
  <c r="G30" i="7"/>
  <c r="H30" i="7"/>
  <c r="G28" i="13"/>
  <c r="H28" i="13"/>
  <c r="G26" i="15"/>
  <c r="H26" i="15"/>
  <c r="F26" i="9"/>
  <c r="G26" i="9"/>
  <c r="H26" i="9"/>
  <c r="G25" i="7"/>
  <c r="H25" i="7"/>
  <c r="G24" i="7"/>
  <c r="H24" i="7"/>
  <c r="L24" i="7"/>
  <c r="M24" i="7"/>
  <c r="G23" i="7"/>
  <c r="H23" i="7"/>
  <c r="G21" i="7"/>
  <c r="H21" i="7"/>
  <c r="G19" i="14"/>
  <c r="H19" i="14"/>
  <c r="G18" i="14"/>
  <c r="H18" i="14"/>
  <c r="G16" i="14"/>
  <c r="H16" i="14"/>
  <c r="G9" i="7"/>
  <c r="H9" i="7"/>
  <c r="Q9" i="7"/>
  <c r="R9" i="7"/>
  <c r="G8" i="7"/>
  <c r="H8" i="7"/>
  <c r="G6" i="15"/>
  <c r="H6" i="15"/>
  <c r="G5" i="16"/>
  <c r="H5" i="16"/>
  <c r="F3" i="13"/>
  <c r="G3" i="13"/>
  <c r="H3" i="13"/>
  <c r="F14" i="9"/>
  <c r="G14" i="9"/>
  <c r="H14" i="9"/>
  <c r="F39" i="9"/>
  <c r="G39" i="9"/>
  <c r="H39" i="9"/>
  <c r="F4" i="13"/>
  <c r="G4" i="13"/>
  <c r="H4" i="13"/>
  <c r="F7" i="13"/>
  <c r="G7" i="13"/>
  <c r="H7" i="13"/>
  <c r="F16" i="13"/>
  <c r="G16" i="13"/>
  <c r="H16" i="13"/>
  <c r="L16" i="13"/>
  <c r="M16" i="13"/>
  <c r="F19" i="13"/>
  <c r="G19" i="13"/>
  <c r="H19" i="13"/>
  <c r="F37" i="13"/>
  <c r="G37" i="13"/>
  <c r="H37" i="13"/>
  <c r="F48" i="14"/>
  <c r="G48" i="14"/>
  <c r="H48" i="14"/>
  <c r="F13" i="15"/>
  <c r="G13" i="15"/>
  <c r="H13" i="15"/>
  <c r="F29" i="15"/>
  <c r="G29" i="15"/>
  <c r="H29" i="15"/>
  <c r="F22" i="16"/>
  <c r="G22" i="16"/>
  <c r="H22" i="16"/>
  <c r="F32" i="16"/>
  <c r="G32" i="16"/>
  <c r="H32" i="16"/>
  <c r="F35" i="16"/>
  <c r="G35" i="16"/>
  <c r="H35" i="16"/>
  <c r="L35" i="16"/>
  <c r="M35" i="16"/>
  <c r="F53" i="12"/>
  <c r="G53" i="12"/>
  <c r="H53" i="12"/>
  <c r="F28" i="12"/>
  <c r="G28" i="12"/>
  <c r="H28" i="12"/>
  <c r="F22" i="12"/>
  <c r="G22" i="12"/>
  <c r="H22" i="12"/>
  <c r="F5" i="12"/>
  <c r="G5" i="12"/>
  <c r="H5" i="12"/>
  <c r="G46" i="11"/>
  <c r="H46" i="11"/>
  <c r="G38" i="11"/>
  <c r="H38" i="11"/>
  <c r="O48" i="10"/>
  <c r="O40" i="10"/>
  <c r="O32" i="10"/>
  <c r="P16" i="16"/>
  <c r="O16" i="16"/>
  <c r="D52" i="7"/>
  <c r="D44" i="7"/>
  <c r="D36" i="7"/>
  <c r="D28" i="7"/>
  <c r="D20" i="7"/>
  <c r="D12" i="7"/>
  <c r="D4" i="7"/>
  <c r="D18" i="9"/>
  <c r="D34" i="9"/>
  <c r="D50" i="9"/>
  <c r="D7" i="10"/>
  <c r="D12" i="11"/>
  <c r="D20" i="11"/>
  <c r="D9" i="12"/>
  <c r="D17" i="12"/>
  <c r="D25" i="12"/>
  <c r="D49" i="12"/>
  <c r="D16" i="15"/>
  <c r="G51" i="14"/>
  <c r="H51" i="14"/>
  <c r="G48" i="7"/>
  <c r="H48" i="7"/>
  <c r="G46" i="14"/>
  <c r="H46" i="14"/>
  <c r="G45" i="9"/>
  <c r="H45" i="9"/>
  <c r="G44" i="7"/>
  <c r="H44" i="7"/>
  <c r="L44" i="7"/>
  <c r="M44" i="7"/>
  <c r="G37" i="7"/>
  <c r="H37" i="7"/>
  <c r="Q37" i="7"/>
  <c r="R37" i="7"/>
  <c r="B36" i="8"/>
  <c r="L36" i="8"/>
  <c r="G34" i="14"/>
  <c r="H34" i="14"/>
  <c r="G29" i="13"/>
  <c r="H29" i="13"/>
  <c r="G22" i="7"/>
  <c r="H22" i="7"/>
  <c r="G20" i="14"/>
  <c r="H20" i="14"/>
  <c r="G15" i="15"/>
  <c r="H15" i="15"/>
  <c r="G4" i="7"/>
  <c r="H4" i="7"/>
  <c r="Q4" i="7"/>
  <c r="R4" i="7"/>
  <c r="F43" i="13"/>
  <c r="G43" i="13"/>
  <c r="H43" i="13"/>
  <c r="F13" i="14"/>
  <c r="G13" i="14"/>
  <c r="H13" i="14"/>
  <c r="F7" i="15"/>
  <c r="G7" i="15"/>
  <c r="H7" i="15"/>
  <c r="F10" i="15"/>
  <c r="G10" i="15"/>
  <c r="H10" i="15"/>
  <c r="F35" i="15"/>
  <c r="G35" i="15"/>
  <c r="H35" i="15"/>
  <c r="F42" i="15"/>
  <c r="G42" i="15"/>
  <c r="H42" i="15"/>
  <c r="F52" i="15"/>
  <c r="G52" i="15"/>
  <c r="H52" i="15"/>
  <c r="F15" i="16"/>
  <c r="G15" i="16"/>
  <c r="H15" i="16"/>
  <c r="L15" i="16"/>
  <c r="M15" i="16"/>
  <c r="F38" i="16"/>
  <c r="G38" i="16"/>
  <c r="H38" i="16"/>
  <c r="F31" i="12"/>
  <c r="G31" i="12"/>
  <c r="H31" i="12"/>
  <c r="F11" i="12"/>
  <c r="G11" i="12"/>
  <c r="H11" i="12"/>
  <c r="G51" i="10"/>
  <c r="H51" i="10"/>
  <c r="O15" i="10"/>
  <c r="G11" i="10"/>
  <c r="H11" i="10"/>
  <c r="P16" i="13"/>
  <c r="O16" i="13"/>
  <c r="D53" i="7"/>
  <c r="D45" i="7"/>
  <c r="D37" i="7"/>
  <c r="D29" i="7"/>
  <c r="D21" i="7"/>
  <c r="D13" i="7"/>
  <c r="D5" i="7"/>
  <c r="D24" i="12"/>
  <c r="D32" i="12"/>
  <c r="D5" i="13"/>
  <c r="D13" i="13"/>
  <c r="D52" i="16"/>
  <c r="G53" i="13"/>
  <c r="H53" i="13"/>
  <c r="G52" i="13"/>
  <c r="H52" i="13"/>
  <c r="Q52" i="13"/>
  <c r="R52" i="13"/>
  <c r="G51" i="8"/>
  <c r="G42" i="14"/>
  <c r="H42" i="14"/>
  <c r="Q42" i="14"/>
  <c r="R42" i="14"/>
  <c r="H41" i="8"/>
  <c r="G38" i="7"/>
  <c r="H38" i="7"/>
  <c r="G36" i="13"/>
  <c r="H36" i="13"/>
  <c r="G31" i="7"/>
  <c r="H31" i="7"/>
  <c r="Q31" i="7"/>
  <c r="R31" i="7"/>
  <c r="B30" i="8"/>
  <c r="L30" i="8"/>
  <c r="G30" i="13"/>
  <c r="H30" i="13"/>
  <c r="G28" i="14"/>
  <c r="H28" i="14"/>
  <c r="G26" i="7"/>
  <c r="H26" i="7"/>
  <c r="G25" i="13"/>
  <c r="H25" i="13"/>
  <c r="G24" i="13"/>
  <c r="H24" i="13"/>
  <c r="G21" i="13"/>
  <c r="H21" i="13"/>
  <c r="G14" i="15"/>
  <c r="H14" i="15"/>
  <c r="G11" i="14"/>
  <c r="H11" i="14"/>
  <c r="G10" i="14"/>
  <c r="H10" i="14"/>
  <c r="Q10" i="14"/>
  <c r="R10" i="14"/>
  <c r="H9" i="8"/>
  <c r="G5" i="7"/>
  <c r="H5" i="7"/>
  <c r="Q5" i="7"/>
  <c r="R5" i="7"/>
  <c r="G3" i="14"/>
  <c r="H3" i="14"/>
  <c r="G7" i="9"/>
  <c r="H7" i="9"/>
  <c r="G10" i="9"/>
  <c r="H10" i="9"/>
  <c r="G16" i="9"/>
  <c r="H16" i="9"/>
  <c r="G19" i="9"/>
  <c r="H19" i="9"/>
  <c r="G22" i="9"/>
  <c r="H22" i="9"/>
  <c r="G32" i="9"/>
  <c r="H32" i="9"/>
  <c r="G9" i="13"/>
  <c r="H9" i="13"/>
  <c r="G13" i="13"/>
  <c r="H13" i="13"/>
  <c r="G9" i="14"/>
  <c r="H9" i="14"/>
  <c r="G37" i="14"/>
  <c r="H37" i="14"/>
  <c r="G28" i="16"/>
  <c r="H28" i="16"/>
  <c r="G51" i="16"/>
  <c r="H51" i="16"/>
  <c r="F51" i="12"/>
  <c r="G51" i="12"/>
  <c r="H51" i="12"/>
  <c r="G37" i="12"/>
  <c r="H37" i="12"/>
  <c r="G34" i="12"/>
  <c r="H34" i="12"/>
  <c r="G20" i="12"/>
  <c r="H20" i="12"/>
  <c r="F14" i="12"/>
  <c r="G14" i="12"/>
  <c r="H14" i="12"/>
  <c r="G8" i="12"/>
  <c r="H8" i="12"/>
  <c r="F3" i="12"/>
  <c r="G3" i="12"/>
  <c r="H3" i="12"/>
  <c r="G47" i="11"/>
  <c r="H47" i="11"/>
  <c r="G39" i="11"/>
  <c r="H39" i="11"/>
  <c r="P16" i="10"/>
  <c r="O10" i="12"/>
  <c r="O18" i="12"/>
  <c r="D3" i="7"/>
  <c r="D46" i="7"/>
  <c r="D38" i="7"/>
  <c r="D30" i="7"/>
  <c r="D22" i="7"/>
  <c r="D14" i="7"/>
  <c r="D6" i="7"/>
  <c r="D40" i="9"/>
  <c r="D53" i="10"/>
  <c r="D7" i="12"/>
  <c r="D19" i="16"/>
  <c r="D43" i="16"/>
  <c r="G51" i="9"/>
  <c r="H51" i="9"/>
  <c r="G50" i="7"/>
  <c r="H50" i="7"/>
  <c r="G48" i="13"/>
  <c r="H48" i="13"/>
  <c r="G45" i="7"/>
  <c r="H45" i="7"/>
  <c r="G40" i="7"/>
  <c r="H40" i="7"/>
  <c r="G39" i="7"/>
  <c r="H39" i="7"/>
  <c r="G34" i="15"/>
  <c r="H34" i="15"/>
  <c r="L34" i="15"/>
  <c r="M34" i="15"/>
  <c r="G32" i="7"/>
  <c r="H32" i="7"/>
  <c r="L32" i="7"/>
  <c r="M32" i="7"/>
  <c r="G29" i="14"/>
  <c r="H29" i="14"/>
  <c r="G23" i="14"/>
  <c r="H23" i="14"/>
  <c r="G20" i="15"/>
  <c r="H20" i="15"/>
  <c r="G8" i="15"/>
  <c r="H8" i="15"/>
  <c r="G7" i="7"/>
  <c r="H7" i="7"/>
  <c r="G6" i="7"/>
  <c r="H6" i="7"/>
  <c r="G28" i="9"/>
  <c r="H28" i="9"/>
  <c r="G38" i="9"/>
  <c r="H38" i="9"/>
  <c r="G15" i="13"/>
  <c r="H15" i="13"/>
  <c r="G18" i="13"/>
  <c r="H18" i="13"/>
  <c r="G39" i="13"/>
  <c r="H39" i="13"/>
  <c r="G22" i="14"/>
  <c r="H22" i="14"/>
  <c r="G12" i="15"/>
  <c r="H12" i="15"/>
  <c r="G18" i="15"/>
  <c r="H18" i="15"/>
  <c r="G25" i="15"/>
  <c r="H25" i="15"/>
  <c r="G28" i="15"/>
  <c r="H28" i="15"/>
  <c r="Q28" i="15"/>
  <c r="R28" i="15"/>
  <c r="I27" i="8"/>
  <c r="G31" i="15"/>
  <c r="H31" i="15"/>
  <c r="L31" i="15"/>
  <c r="M31" i="15"/>
  <c r="G7" i="16"/>
  <c r="H7" i="16"/>
  <c r="G34" i="16"/>
  <c r="H34" i="16"/>
  <c r="G29" i="12"/>
  <c r="H29" i="12"/>
  <c r="G23" i="12"/>
  <c r="H23" i="12"/>
  <c r="G6" i="12"/>
  <c r="H6" i="12"/>
  <c r="G41" i="10"/>
  <c r="H41" i="10"/>
  <c r="G33" i="10"/>
  <c r="H33" i="10"/>
  <c r="O16" i="10"/>
  <c r="G9" i="10"/>
  <c r="H9" i="10"/>
  <c r="O9" i="12"/>
  <c r="O17" i="12"/>
  <c r="P16" i="15"/>
  <c r="O16" i="15"/>
  <c r="D47" i="7"/>
  <c r="D39" i="7"/>
  <c r="D31" i="7"/>
  <c r="D23" i="7"/>
  <c r="D15" i="7"/>
  <c r="D7" i="7"/>
  <c r="D15" i="9"/>
  <c r="D30" i="12"/>
  <c r="D11" i="13"/>
  <c r="D35" i="13"/>
  <c r="K8" i="4"/>
  <c r="L8" i="4"/>
  <c r="K24" i="4"/>
  <c r="L24" i="4"/>
  <c r="K32" i="4"/>
  <c r="L32" i="4"/>
  <c r="K40" i="4"/>
  <c r="L40" i="4"/>
  <c r="K48" i="4"/>
  <c r="L48" i="4"/>
  <c r="G44" i="14"/>
  <c r="H44" i="14"/>
  <c r="G43" i="15"/>
  <c r="H43" i="15"/>
  <c r="G41" i="7"/>
  <c r="H41" i="7"/>
  <c r="G38" i="13"/>
  <c r="H38" i="13"/>
  <c r="G33" i="7"/>
  <c r="H33" i="7"/>
  <c r="Q33" i="7"/>
  <c r="R33" i="7"/>
  <c r="B32" i="8"/>
  <c r="L32" i="8"/>
  <c r="G27" i="9"/>
  <c r="H27" i="9"/>
  <c r="G26" i="13"/>
  <c r="H26" i="13"/>
  <c r="G25" i="14"/>
  <c r="H25" i="14"/>
  <c r="G23" i="15"/>
  <c r="H23" i="15"/>
  <c r="G11" i="16"/>
  <c r="H11" i="16"/>
  <c r="G3" i="15"/>
  <c r="H3" i="15"/>
  <c r="G24" i="9"/>
  <c r="H24" i="9"/>
  <c r="G47" i="9"/>
  <c r="H47" i="9"/>
  <c r="G42" i="13"/>
  <c r="H42" i="13"/>
  <c r="G39" i="14"/>
  <c r="H39" i="14"/>
  <c r="G53" i="14"/>
  <c r="H53" i="14"/>
  <c r="G9" i="15"/>
  <c r="H9" i="15"/>
  <c r="G41" i="15"/>
  <c r="H41" i="15"/>
  <c r="G44" i="15"/>
  <c r="H44" i="15"/>
  <c r="G14" i="16"/>
  <c r="H14" i="16"/>
  <c r="Q14" i="16"/>
  <c r="R14" i="16"/>
  <c r="J13" i="8"/>
  <c r="G40" i="16"/>
  <c r="H40" i="16"/>
  <c r="L40" i="16"/>
  <c r="M40" i="16"/>
  <c r="O3" i="9"/>
  <c r="G35" i="12"/>
  <c r="H35" i="12"/>
  <c r="G26" i="12"/>
  <c r="H26" i="12"/>
  <c r="G18" i="12"/>
  <c r="H18" i="12"/>
  <c r="F12" i="12"/>
  <c r="G12" i="12"/>
  <c r="H12" i="12"/>
  <c r="O20" i="11"/>
  <c r="O16" i="11"/>
  <c r="O12" i="11"/>
  <c r="G16" i="10"/>
  <c r="H16" i="10"/>
  <c r="O7" i="10"/>
  <c r="O8" i="12"/>
  <c r="P16" i="12"/>
  <c r="D48" i="7"/>
  <c r="D40" i="7"/>
  <c r="D32" i="7"/>
  <c r="D24" i="7"/>
  <c r="D16" i="7"/>
  <c r="D8" i="7"/>
  <c r="D6" i="9"/>
  <c r="D11" i="10"/>
  <c r="D51" i="10"/>
  <c r="D49" i="16"/>
  <c r="G53" i="15"/>
  <c r="H53" i="15"/>
  <c r="G51" i="7"/>
  <c r="H51" i="7"/>
  <c r="G50" i="13"/>
  <c r="H50" i="13"/>
  <c r="G46" i="7"/>
  <c r="H46" i="7"/>
  <c r="L46" i="7"/>
  <c r="M46" i="7"/>
  <c r="G45" i="13"/>
  <c r="H45" i="13"/>
  <c r="Q45" i="13"/>
  <c r="R45" i="13"/>
  <c r="G44" i="8"/>
  <c r="G42" i="9"/>
  <c r="H42" i="9"/>
  <c r="G40" i="13"/>
  <c r="H40" i="13"/>
  <c r="G37" i="15"/>
  <c r="H37" i="15"/>
  <c r="Q37" i="15"/>
  <c r="R37" i="15"/>
  <c r="I36" i="8"/>
  <c r="G36" i="15"/>
  <c r="H36" i="15"/>
  <c r="G34" i="7"/>
  <c r="H34" i="7"/>
  <c r="L34" i="7"/>
  <c r="M34" i="7"/>
  <c r="G32" i="13"/>
  <c r="H32" i="13"/>
  <c r="G31" i="14"/>
  <c r="H31" i="14"/>
  <c r="G30" i="15"/>
  <c r="H30" i="15"/>
  <c r="G22" i="15"/>
  <c r="H22" i="15"/>
  <c r="G20" i="16"/>
  <c r="H20" i="16"/>
  <c r="G20" i="7"/>
  <c r="H20" i="7"/>
  <c r="L20" i="7"/>
  <c r="M20" i="7"/>
  <c r="G19" i="7"/>
  <c r="H19" i="7"/>
  <c r="Q19" i="7"/>
  <c r="R19" i="7"/>
  <c r="B18" i="8"/>
  <c r="L18" i="8"/>
  <c r="G18" i="7"/>
  <c r="H18" i="7"/>
  <c r="Q18" i="7"/>
  <c r="R18" i="7"/>
  <c r="B17" i="8"/>
  <c r="L17" i="8"/>
  <c r="G17" i="7"/>
  <c r="H17" i="7"/>
  <c r="Q17" i="7"/>
  <c r="R17" i="7"/>
  <c r="B16" i="8"/>
  <c r="L16" i="8"/>
  <c r="G16" i="7"/>
  <c r="H16" i="7"/>
  <c r="L16" i="7"/>
  <c r="M16" i="7"/>
  <c r="G15" i="7"/>
  <c r="H15" i="7"/>
  <c r="L15" i="7"/>
  <c r="M15" i="7"/>
  <c r="G8" i="16"/>
  <c r="H8" i="16"/>
  <c r="G7" i="14"/>
  <c r="H7" i="14"/>
  <c r="G6" i="13"/>
  <c r="H6" i="13"/>
  <c r="G5" i="14"/>
  <c r="H5" i="14"/>
  <c r="Q5" i="14"/>
  <c r="R5" i="14"/>
  <c r="H4" i="8"/>
  <c r="G4" i="15"/>
  <c r="H4" i="15"/>
  <c r="L4" i="15"/>
  <c r="M4" i="15"/>
  <c r="G3" i="16"/>
  <c r="H3" i="16"/>
  <c r="Q3" i="16"/>
  <c r="R3" i="16"/>
  <c r="J2" i="8"/>
  <c r="F12" i="9"/>
  <c r="G12" i="9"/>
  <c r="H12" i="9"/>
  <c r="F8" i="13"/>
  <c r="G8" i="13"/>
  <c r="H8" i="13"/>
  <c r="F4" i="14"/>
  <c r="G4" i="14"/>
  <c r="H4" i="14"/>
  <c r="F36" i="14"/>
  <c r="G36" i="14"/>
  <c r="H36" i="14"/>
  <c r="F23" i="16"/>
  <c r="G23" i="16"/>
  <c r="H23" i="16"/>
  <c r="F30" i="16"/>
  <c r="G30" i="16"/>
  <c r="H30" i="16"/>
  <c r="Q30" i="16"/>
  <c r="R30" i="16"/>
  <c r="J29" i="8"/>
  <c r="G52" i="12"/>
  <c r="H52" i="12"/>
  <c r="G38" i="12"/>
  <c r="H38" i="12"/>
  <c r="G21" i="12"/>
  <c r="H21" i="12"/>
  <c r="G4" i="12"/>
  <c r="H4" i="12"/>
  <c r="G20" i="11"/>
  <c r="H20" i="11"/>
  <c r="G12" i="11"/>
  <c r="H12" i="11"/>
  <c r="O23" i="10"/>
  <c r="O17" i="10"/>
  <c r="G7" i="10"/>
  <c r="H7" i="10"/>
  <c r="O7" i="12"/>
  <c r="D49" i="7"/>
  <c r="D41" i="7"/>
  <c r="D33" i="7"/>
  <c r="D25" i="7"/>
  <c r="D17" i="7"/>
  <c r="D9" i="7"/>
  <c r="D39" i="11"/>
  <c r="D47" i="11"/>
  <c r="D6" i="14"/>
  <c r="G52" i="9"/>
  <c r="H52" i="9"/>
  <c r="G48" i="15"/>
  <c r="H48" i="15"/>
  <c r="G41" i="13"/>
  <c r="H41" i="13"/>
  <c r="F36" i="9"/>
  <c r="G36" i="9"/>
  <c r="H36" i="9"/>
  <c r="G35" i="9"/>
  <c r="H35" i="9"/>
  <c r="Q35" i="9"/>
  <c r="R35" i="9"/>
  <c r="C34" i="8"/>
  <c r="G33" i="13"/>
  <c r="H33" i="13"/>
  <c r="L33" i="13"/>
  <c r="M33" i="13"/>
  <c r="G30" i="9"/>
  <c r="H30" i="9"/>
  <c r="G28" i="7"/>
  <c r="H28" i="7"/>
  <c r="Q28" i="7"/>
  <c r="R28" i="7"/>
  <c r="B27" i="8"/>
  <c r="L27" i="8"/>
  <c r="G27" i="7"/>
  <c r="H27" i="7"/>
  <c r="L27" i="7"/>
  <c r="M27" i="7"/>
  <c r="G26" i="14"/>
  <c r="H26" i="14"/>
  <c r="G21" i="16"/>
  <c r="H21" i="16"/>
  <c r="G14" i="7"/>
  <c r="H14" i="7"/>
  <c r="Q14" i="7"/>
  <c r="R14" i="7"/>
  <c r="G13" i="7"/>
  <c r="H13" i="7"/>
  <c r="L13" i="7"/>
  <c r="M13" i="7"/>
  <c r="F11" i="9"/>
  <c r="G11" i="9"/>
  <c r="H11" i="9"/>
  <c r="G3" i="7"/>
  <c r="H3" i="7"/>
  <c r="Q3" i="7"/>
  <c r="R3" i="7"/>
  <c r="B2" i="8"/>
  <c r="G37" i="9"/>
  <c r="H37" i="9"/>
  <c r="G43" i="9"/>
  <c r="H43" i="9"/>
  <c r="G53" i="9"/>
  <c r="H53" i="9"/>
  <c r="G14" i="13"/>
  <c r="H14" i="13"/>
  <c r="G31" i="13"/>
  <c r="H31" i="13"/>
  <c r="G44" i="13"/>
  <c r="H44" i="13"/>
  <c r="G14" i="14"/>
  <c r="H14" i="14"/>
  <c r="L14" i="14"/>
  <c r="M14" i="14"/>
  <c r="G21" i="14"/>
  <c r="H21" i="14"/>
  <c r="Q21" i="14"/>
  <c r="R21" i="14"/>
  <c r="H20" i="8"/>
  <c r="G32" i="14"/>
  <c r="H32" i="14"/>
  <c r="G11" i="15"/>
  <c r="H11" i="15"/>
  <c r="G17" i="15"/>
  <c r="H17" i="15"/>
  <c r="G24" i="15"/>
  <c r="H24" i="15"/>
  <c r="G27" i="15"/>
  <c r="H27" i="15"/>
  <c r="Q27" i="15"/>
  <c r="R27" i="15"/>
  <c r="I26" i="8"/>
  <c r="G33" i="15"/>
  <c r="H33" i="15"/>
  <c r="G50" i="15"/>
  <c r="H50" i="15"/>
  <c r="Q50" i="15"/>
  <c r="R50" i="15"/>
  <c r="I49" i="8"/>
  <c r="G6" i="16"/>
  <c r="H6" i="16"/>
  <c r="Q6" i="16"/>
  <c r="R6" i="16"/>
  <c r="J5" i="8"/>
  <c r="G16" i="16"/>
  <c r="H16" i="16"/>
  <c r="Q16" i="16"/>
  <c r="R16" i="16"/>
  <c r="J15" i="8"/>
  <c r="G46" i="16"/>
  <c r="H46" i="16"/>
  <c r="Q46" i="16"/>
  <c r="R46" i="16"/>
  <c r="J45" i="8"/>
  <c r="P16" i="9"/>
  <c r="O16" i="9"/>
  <c r="O16" i="12"/>
  <c r="O21" i="11"/>
  <c r="O13" i="11"/>
  <c r="O47" i="10"/>
  <c r="O43" i="10"/>
  <c r="O39" i="10"/>
  <c r="O35" i="10"/>
  <c r="O31" i="10"/>
  <c r="O27" i="10"/>
  <c r="P16" i="14"/>
  <c r="O16" i="14"/>
  <c r="D50" i="7"/>
  <c r="D42" i="7"/>
  <c r="D34" i="7"/>
  <c r="D26" i="7"/>
  <c r="D18" i="7"/>
  <c r="D10" i="7"/>
  <c r="D4" i="9"/>
  <c r="D9" i="10"/>
  <c r="D33" i="10"/>
  <c r="D41" i="10"/>
  <c r="D49" i="10"/>
  <c r="D38" i="11"/>
  <c r="D46" i="11"/>
  <c r="G51" i="13"/>
  <c r="H51" i="13"/>
  <c r="G50" i="14"/>
  <c r="H50" i="14"/>
  <c r="G48" i="9"/>
  <c r="H48" i="9"/>
  <c r="G47" i="7"/>
  <c r="H47" i="7"/>
  <c r="L47" i="7"/>
  <c r="M47" i="7"/>
  <c r="G46" i="13"/>
  <c r="H46" i="13"/>
  <c r="L46" i="13"/>
  <c r="M46" i="13"/>
  <c r="G44" i="9"/>
  <c r="H44" i="9"/>
  <c r="G42" i="7"/>
  <c r="H42" i="7"/>
  <c r="Q42" i="7"/>
  <c r="R42" i="7"/>
  <c r="B41" i="8"/>
  <c r="L41" i="8"/>
  <c r="G39" i="15"/>
  <c r="H39" i="15"/>
  <c r="G38" i="15"/>
  <c r="H38" i="15"/>
  <c r="G34" i="13"/>
  <c r="H34" i="13"/>
  <c r="G29" i="7"/>
  <c r="H29" i="7"/>
  <c r="Q29" i="7"/>
  <c r="R29" i="7"/>
  <c r="B28" i="8"/>
  <c r="L28" i="8"/>
  <c r="G20" i="13"/>
  <c r="H20" i="13"/>
  <c r="L20" i="13"/>
  <c r="M20" i="13"/>
  <c r="G17" i="13"/>
  <c r="H17" i="13"/>
  <c r="G12" i="7"/>
  <c r="H12" i="7"/>
  <c r="L12" i="7"/>
  <c r="M12" i="7"/>
  <c r="G11" i="7"/>
  <c r="H11" i="7"/>
  <c r="Q11" i="7"/>
  <c r="R11" i="7"/>
  <c r="G10" i="7"/>
  <c r="H10" i="7"/>
  <c r="L10" i="7"/>
  <c r="M10" i="7"/>
  <c r="G4" i="16"/>
  <c r="H4" i="16"/>
  <c r="G8" i="9"/>
  <c r="H8" i="9"/>
  <c r="G20" i="9"/>
  <c r="H20" i="9"/>
  <c r="G23" i="9"/>
  <c r="H23" i="9"/>
  <c r="G46" i="9"/>
  <c r="H46" i="9"/>
  <c r="G27" i="13"/>
  <c r="H27" i="13"/>
  <c r="F47" i="13"/>
  <c r="G47" i="13"/>
  <c r="H47" i="13"/>
  <c r="G17" i="14"/>
  <c r="H17" i="14"/>
  <c r="G38" i="14"/>
  <c r="H38" i="14"/>
  <c r="G45" i="14"/>
  <c r="H45" i="14"/>
  <c r="F52" i="14"/>
  <c r="G52" i="14"/>
  <c r="H52" i="14"/>
  <c r="Q52" i="14"/>
  <c r="R52" i="14"/>
  <c r="H51" i="8"/>
  <c r="G50" i="12"/>
  <c r="H50" i="12"/>
  <c r="L50" i="12"/>
  <c r="M50" i="12"/>
  <c r="G36" i="12"/>
  <c r="H36" i="12"/>
  <c r="Q36" i="12"/>
  <c r="R36" i="12"/>
  <c r="F35" i="8"/>
  <c r="G33" i="12"/>
  <c r="H33" i="12"/>
  <c r="L33" i="12"/>
  <c r="M33" i="12"/>
  <c r="G19" i="12"/>
  <c r="H19" i="12"/>
  <c r="G13" i="12"/>
  <c r="H13" i="12"/>
  <c r="G53" i="10"/>
  <c r="H53" i="10"/>
  <c r="O24" i="10"/>
  <c r="D51" i="7"/>
  <c r="D43" i="7"/>
  <c r="D35" i="7"/>
  <c r="D27" i="7"/>
  <c r="D19" i="7"/>
  <c r="D16" i="10"/>
  <c r="D26" i="12"/>
  <c r="D34" i="12"/>
  <c r="F44" i="12"/>
  <c r="G44" i="12"/>
  <c r="H44" i="12"/>
  <c r="F50" i="11"/>
  <c r="G50" i="11"/>
  <c r="H50" i="11"/>
  <c r="L50" i="11"/>
  <c r="M50" i="11"/>
  <c r="F48" i="11"/>
  <c r="G48" i="11"/>
  <c r="H48" i="11"/>
  <c r="F40" i="11"/>
  <c r="G40" i="11"/>
  <c r="H40" i="11"/>
  <c r="F29" i="11"/>
  <c r="G29" i="11"/>
  <c r="H29" i="11"/>
  <c r="Q29" i="11"/>
  <c r="R29" i="11"/>
  <c r="E28" i="8"/>
  <c r="F27" i="11"/>
  <c r="G27" i="11"/>
  <c r="H27" i="11"/>
  <c r="F25" i="11"/>
  <c r="G25" i="11"/>
  <c r="H25" i="11"/>
  <c r="F23" i="11"/>
  <c r="G23" i="11"/>
  <c r="H23" i="11"/>
  <c r="F21" i="11"/>
  <c r="G21" i="11"/>
  <c r="H21" i="11"/>
  <c r="F13" i="11"/>
  <c r="G13" i="11"/>
  <c r="H13" i="11"/>
  <c r="L13" i="11"/>
  <c r="M13" i="11"/>
  <c r="F5" i="11"/>
  <c r="G5" i="11"/>
  <c r="H5" i="11"/>
  <c r="L5" i="11"/>
  <c r="M5" i="11"/>
  <c r="F42" i="10"/>
  <c r="G42" i="10"/>
  <c r="H42" i="10"/>
  <c r="F34" i="10"/>
  <c r="G34" i="10"/>
  <c r="H34" i="10"/>
  <c r="F26" i="10"/>
  <c r="G26" i="10"/>
  <c r="H26" i="10"/>
  <c r="F12" i="16"/>
  <c r="G12" i="16"/>
  <c r="H12" i="16"/>
  <c r="F36" i="16"/>
  <c r="G36" i="16"/>
  <c r="H36" i="16"/>
  <c r="F15" i="12"/>
  <c r="G15" i="12"/>
  <c r="H15" i="12"/>
  <c r="L15" i="12"/>
  <c r="M15" i="12"/>
  <c r="F48" i="12"/>
  <c r="G48" i="12"/>
  <c r="H48" i="12"/>
  <c r="F40" i="12"/>
  <c r="G40" i="12"/>
  <c r="H40" i="12"/>
  <c r="F44" i="11"/>
  <c r="G44" i="11"/>
  <c r="H44" i="11"/>
  <c r="F30" i="11"/>
  <c r="G30" i="11"/>
  <c r="H30" i="11"/>
  <c r="F28" i="11"/>
  <c r="G28" i="11"/>
  <c r="H28" i="11"/>
  <c r="F26" i="11"/>
  <c r="G26" i="11"/>
  <c r="H26" i="11"/>
  <c r="Q26" i="11"/>
  <c r="R26" i="11"/>
  <c r="E25" i="8"/>
  <c r="F24" i="11"/>
  <c r="G24" i="11"/>
  <c r="H24" i="11"/>
  <c r="F22" i="11"/>
  <c r="G22" i="11"/>
  <c r="H22" i="11"/>
  <c r="F17" i="11"/>
  <c r="G17" i="11"/>
  <c r="H17" i="11"/>
  <c r="F9" i="11"/>
  <c r="G9" i="11"/>
  <c r="H9" i="11"/>
  <c r="F4" i="11"/>
  <c r="G4" i="11"/>
  <c r="H4" i="11"/>
  <c r="F46" i="10"/>
  <c r="G46" i="10"/>
  <c r="H46" i="10"/>
  <c r="F38" i="10"/>
  <c r="G38" i="10"/>
  <c r="H38" i="10"/>
  <c r="F30" i="10"/>
  <c r="G30" i="10"/>
  <c r="H30" i="10"/>
  <c r="F25" i="10"/>
  <c r="G25" i="10"/>
  <c r="H25" i="10"/>
  <c r="L25" i="10"/>
  <c r="M25" i="10"/>
  <c r="F20" i="10"/>
  <c r="G20" i="10"/>
  <c r="H20" i="10"/>
  <c r="F18" i="10"/>
  <c r="G18" i="10"/>
  <c r="H18" i="10"/>
  <c r="F13" i="10"/>
  <c r="G13" i="10"/>
  <c r="H13" i="10"/>
  <c r="L13" i="10"/>
  <c r="M13" i="10"/>
  <c r="F46" i="12"/>
  <c r="G46" i="12"/>
  <c r="H46" i="12"/>
  <c r="L46" i="12"/>
  <c r="M46" i="12"/>
  <c r="F16" i="12"/>
  <c r="G16" i="12"/>
  <c r="H16" i="12"/>
  <c r="F10" i="13"/>
  <c r="G10" i="13"/>
  <c r="H10" i="13"/>
  <c r="F15" i="14"/>
  <c r="G15" i="14"/>
  <c r="H15" i="14"/>
  <c r="F47" i="14"/>
  <c r="G47" i="14"/>
  <c r="H47" i="14"/>
  <c r="L47" i="14"/>
  <c r="M47" i="14"/>
  <c r="F9" i="16"/>
  <c r="G9" i="16"/>
  <c r="H9" i="16"/>
  <c r="Q9" i="16"/>
  <c r="R9" i="16"/>
  <c r="J8" i="8"/>
  <c r="F47" i="12"/>
  <c r="G47" i="12"/>
  <c r="H47" i="12"/>
  <c r="F39" i="12"/>
  <c r="G39" i="12"/>
  <c r="H39" i="12"/>
  <c r="Q40" i="7"/>
  <c r="R40" i="7"/>
  <c r="B39" i="8"/>
  <c r="L39" i="8"/>
  <c r="L40" i="7"/>
  <c r="M40" i="7"/>
  <c r="L25" i="7"/>
  <c r="M25" i="7"/>
  <c r="Q25" i="7"/>
  <c r="R25" i="7"/>
  <c r="B24" i="8"/>
  <c r="L24" i="8"/>
  <c r="Q24" i="7"/>
  <c r="R24" i="7"/>
  <c r="B23" i="8"/>
  <c r="L23" i="8"/>
  <c r="L52" i="7"/>
  <c r="M52" i="7"/>
  <c r="Q52" i="7"/>
  <c r="R52" i="7"/>
  <c r="B51" i="8"/>
  <c r="L51" i="8"/>
  <c r="Q46" i="7"/>
  <c r="R46" i="7"/>
  <c r="B45" i="8"/>
  <c r="L45" i="8"/>
  <c r="Q43" i="7"/>
  <c r="R43" i="7"/>
  <c r="B42" i="8"/>
  <c r="L42" i="8"/>
  <c r="L43" i="7"/>
  <c r="M43" i="7"/>
  <c r="L41" i="7"/>
  <c r="M41" i="7"/>
  <c r="Q41" i="7"/>
  <c r="R41" i="7"/>
  <c r="B40" i="8"/>
  <c r="L40" i="8"/>
  <c r="Q50" i="7"/>
  <c r="R50" i="7"/>
  <c r="B49" i="8"/>
  <c r="L49" i="8"/>
  <c r="L50" i="7"/>
  <c r="M50" i="7"/>
  <c r="Q38" i="7"/>
  <c r="R38" i="7"/>
  <c r="B37" i="8"/>
  <c r="L37" i="8"/>
  <c r="L38" i="7"/>
  <c r="M38" i="7"/>
  <c r="Q26" i="7"/>
  <c r="R26" i="7"/>
  <c r="B25" i="8"/>
  <c r="L25" i="8"/>
  <c r="L26" i="7"/>
  <c r="M26" i="7"/>
  <c r="L9" i="7"/>
  <c r="M9" i="7"/>
  <c r="Q8" i="7"/>
  <c r="R8" i="7"/>
  <c r="L8" i="7"/>
  <c r="M8" i="7"/>
  <c r="Q7" i="7"/>
  <c r="R7" i="7"/>
  <c r="L7" i="7"/>
  <c r="M7" i="7"/>
  <c r="Q6" i="7"/>
  <c r="R6" i="7"/>
  <c r="L6" i="7"/>
  <c r="M6" i="7"/>
  <c r="L29" i="7"/>
  <c r="M29" i="7"/>
  <c r="Q53" i="7"/>
  <c r="R53" i="7"/>
  <c r="B52" i="8"/>
  <c r="L52" i="8"/>
  <c r="L53" i="7"/>
  <c r="M53" i="7"/>
  <c r="L42" i="7"/>
  <c r="M42" i="7"/>
  <c r="Q35" i="7"/>
  <c r="R35" i="7"/>
  <c r="B34" i="8"/>
  <c r="L34" i="8"/>
  <c r="L35" i="7"/>
  <c r="M35" i="7"/>
  <c r="Q21" i="7"/>
  <c r="R21" i="7"/>
  <c r="B20" i="8"/>
  <c r="L20" i="8"/>
  <c r="L21" i="7"/>
  <c r="M21" i="7"/>
  <c r="L39" i="7"/>
  <c r="M39" i="7"/>
  <c r="Q39" i="7"/>
  <c r="R39" i="7"/>
  <c r="B38" i="8"/>
  <c r="L38" i="8"/>
  <c r="Q30" i="7"/>
  <c r="R30" i="7"/>
  <c r="B29" i="8"/>
  <c r="L29" i="8"/>
  <c r="L30" i="7"/>
  <c r="M30" i="7"/>
  <c r="Q51" i="7"/>
  <c r="R51" i="7"/>
  <c r="B50" i="8"/>
  <c r="L50" i="8"/>
  <c r="L51" i="7"/>
  <c r="M51" i="7"/>
  <c r="L36" i="7"/>
  <c r="M36" i="7"/>
  <c r="Q36" i="7"/>
  <c r="R36" i="7"/>
  <c r="B35" i="8"/>
  <c r="L35" i="8"/>
  <c r="Q22" i="7"/>
  <c r="R22" i="7"/>
  <c r="B21" i="8"/>
  <c r="L21" i="8"/>
  <c r="L22" i="7"/>
  <c r="M22" i="7"/>
  <c r="L14" i="7"/>
  <c r="M14" i="7"/>
  <c r="Q48" i="7"/>
  <c r="R48" i="7"/>
  <c r="B47" i="8"/>
  <c r="L47" i="8"/>
  <c r="L48" i="7"/>
  <c r="M48" i="7"/>
  <c r="Q45" i="7"/>
  <c r="R45" i="7"/>
  <c r="B44" i="8"/>
  <c r="L44" i="8"/>
  <c r="L45" i="7"/>
  <c r="M45" i="7"/>
  <c r="L23" i="7"/>
  <c r="M23" i="7"/>
  <c r="Q23" i="7"/>
  <c r="R23" i="7"/>
  <c r="B22" i="8"/>
  <c r="L22" i="8"/>
  <c r="L4" i="7"/>
  <c r="M4" i="7"/>
  <c r="L52" i="13"/>
  <c r="M52" i="13"/>
  <c r="F9" i="9"/>
  <c r="G9" i="9"/>
  <c r="H9" i="9"/>
  <c r="L9" i="9"/>
  <c r="M9" i="9"/>
  <c r="F17" i="9"/>
  <c r="G17" i="9"/>
  <c r="H17" i="9"/>
  <c r="F25" i="9"/>
  <c r="G25" i="9"/>
  <c r="H25" i="9"/>
  <c r="F33" i="9"/>
  <c r="G33" i="9"/>
  <c r="H33" i="9"/>
  <c r="F41" i="9"/>
  <c r="G41" i="9"/>
  <c r="H41" i="9"/>
  <c r="F8" i="14"/>
  <c r="G8" i="14"/>
  <c r="H8" i="14"/>
  <c r="F24" i="14"/>
  <c r="G24" i="14"/>
  <c r="H24" i="14"/>
  <c r="F40" i="14"/>
  <c r="G40" i="14"/>
  <c r="H40" i="14"/>
  <c r="F5" i="15"/>
  <c r="G5" i="15"/>
  <c r="H5" i="15"/>
  <c r="L5" i="15"/>
  <c r="M5" i="15"/>
  <c r="F21" i="15"/>
  <c r="G21" i="15"/>
  <c r="H21" i="15"/>
  <c r="Q21" i="15"/>
  <c r="R21" i="15"/>
  <c r="I20" i="8"/>
  <c r="F10" i="16"/>
  <c r="G10" i="16"/>
  <c r="H10" i="16"/>
  <c r="L10" i="16"/>
  <c r="M10" i="16"/>
  <c r="F50" i="16"/>
  <c r="G50" i="16"/>
  <c r="H50" i="16"/>
  <c r="Q50" i="16"/>
  <c r="R50" i="16"/>
  <c r="J49" i="8"/>
  <c r="F41" i="12"/>
  <c r="G41" i="12"/>
  <c r="H41" i="12"/>
  <c r="F51" i="11"/>
  <c r="G51" i="11"/>
  <c r="H51" i="11"/>
  <c r="F41" i="11"/>
  <c r="G41" i="11"/>
  <c r="H41" i="11"/>
  <c r="F36" i="11"/>
  <c r="G36" i="11"/>
  <c r="H36" i="11"/>
  <c r="F34" i="11"/>
  <c r="G34" i="11"/>
  <c r="H34" i="11"/>
  <c r="L34" i="11"/>
  <c r="M34" i="11"/>
  <c r="F32" i="11"/>
  <c r="G32" i="11"/>
  <c r="H32" i="11"/>
  <c r="Q32" i="11"/>
  <c r="R32" i="11"/>
  <c r="E31" i="8"/>
  <c r="F14" i="11"/>
  <c r="G14" i="11"/>
  <c r="H14" i="11"/>
  <c r="L14" i="11"/>
  <c r="M14" i="11"/>
  <c r="F6" i="11"/>
  <c r="G6" i="11"/>
  <c r="H6" i="11"/>
  <c r="F43" i="10"/>
  <c r="G43" i="10"/>
  <c r="H43" i="10"/>
  <c r="F35" i="10"/>
  <c r="G35" i="10"/>
  <c r="H35" i="10"/>
  <c r="F27" i="10"/>
  <c r="G27" i="10"/>
  <c r="H27" i="10"/>
  <c r="F22" i="10"/>
  <c r="G22" i="10"/>
  <c r="H22" i="10"/>
  <c r="F39" i="16"/>
  <c r="G39" i="16"/>
  <c r="H39" i="16"/>
  <c r="L39" i="16"/>
  <c r="M39" i="16"/>
  <c r="F42" i="12"/>
  <c r="G42" i="12"/>
  <c r="H42" i="12"/>
  <c r="L42" i="12"/>
  <c r="M42" i="12"/>
  <c r="F52" i="11"/>
  <c r="G52" i="11"/>
  <c r="H52" i="11"/>
  <c r="F42" i="11"/>
  <c r="G42" i="11"/>
  <c r="H42" i="11"/>
  <c r="F15" i="11"/>
  <c r="G15" i="11"/>
  <c r="H15" i="11"/>
  <c r="F7" i="11"/>
  <c r="G7" i="11"/>
  <c r="H7" i="11"/>
  <c r="F44" i="10"/>
  <c r="G44" i="10"/>
  <c r="H44" i="10"/>
  <c r="F36" i="10"/>
  <c r="G36" i="10"/>
  <c r="H36" i="10"/>
  <c r="F28" i="10"/>
  <c r="G28" i="10"/>
  <c r="H28" i="10"/>
  <c r="L28" i="10"/>
  <c r="M28" i="10"/>
  <c r="F23" i="10"/>
  <c r="G23" i="10"/>
  <c r="H23" i="10"/>
  <c r="F5" i="10"/>
  <c r="G5" i="10"/>
  <c r="H5" i="10"/>
  <c r="F5" i="9"/>
  <c r="G5" i="9"/>
  <c r="H5" i="9"/>
  <c r="F13" i="9"/>
  <c r="G13" i="9"/>
  <c r="H13" i="9"/>
  <c r="F21" i="9"/>
  <c r="G21" i="9"/>
  <c r="H21" i="9"/>
  <c r="F29" i="9"/>
  <c r="G29" i="9"/>
  <c r="H29" i="9"/>
  <c r="F23" i="13"/>
  <c r="G23" i="13"/>
  <c r="H23" i="13"/>
  <c r="L23" i="13"/>
  <c r="M23" i="13"/>
  <c r="F12" i="14"/>
  <c r="G12" i="14"/>
  <c r="H12" i="14"/>
  <c r="L12" i="14"/>
  <c r="M12" i="14"/>
  <c r="F45" i="12"/>
  <c r="G45" i="12"/>
  <c r="H45" i="12"/>
  <c r="Q45" i="12"/>
  <c r="R45" i="12"/>
  <c r="F44" i="8"/>
  <c r="F27" i="12"/>
  <c r="G27" i="12"/>
  <c r="H27" i="12"/>
  <c r="F10" i="12"/>
  <c r="G10" i="12"/>
  <c r="H10" i="12"/>
  <c r="L10" i="12"/>
  <c r="M10" i="12"/>
  <c r="F45" i="11"/>
  <c r="G45" i="11"/>
  <c r="H45" i="11"/>
  <c r="F37" i="11"/>
  <c r="G37" i="11"/>
  <c r="H37" i="11"/>
  <c r="F35" i="11"/>
  <c r="G35" i="11"/>
  <c r="H35" i="11"/>
  <c r="F33" i="11"/>
  <c r="G33" i="11"/>
  <c r="H33" i="11"/>
  <c r="Q33" i="11"/>
  <c r="R33" i="11"/>
  <c r="E32" i="8"/>
  <c r="F31" i="11"/>
  <c r="G31" i="11"/>
  <c r="H31" i="11"/>
  <c r="L31" i="11"/>
  <c r="M31" i="11"/>
  <c r="F18" i="11"/>
  <c r="G18" i="11"/>
  <c r="H18" i="11"/>
  <c r="Q18" i="11"/>
  <c r="R18" i="11"/>
  <c r="E17" i="8"/>
  <c r="F10" i="11"/>
  <c r="G10" i="11"/>
  <c r="H10" i="11"/>
  <c r="Q10" i="11"/>
  <c r="R10" i="11"/>
  <c r="E9" i="8"/>
  <c r="F47" i="10"/>
  <c r="G47" i="10"/>
  <c r="H47" i="10"/>
  <c r="F39" i="10"/>
  <c r="G39" i="10"/>
  <c r="H39" i="10"/>
  <c r="F31" i="10"/>
  <c r="G31" i="10"/>
  <c r="H31" i="10"/>
  <c r="F14" i="10"/>
  <c r="G14" i="10"/>
  <c r="H14" i="10"/>
  <c r="F12" i="13"/>
  <c r="G12" i="13"/>
  <c r="H12" i="13"/>
  <c r="L12" i="13"/>
  <c r="M12" i="13"/>
  <c r="F33" i="14"/>
  <c r="G33" i="14"/>
  <c r="H33" i="14"/>
  <c r="L33" i="14"/>
  <c r="M33" i="14"/>
  <c r="F21" i="10"/>
  <c r="G21" i="10"/>
  <c r="H21" i="10"/>
  <c r="F19" i="10"/>
  <c r="G19" i="10"/>
  <c r="H19" i="10"/>
  <c r="Q19" i="10"/>
  <c r="R19" i="10"/>
  <c r="D18" i="8"/>
  <c r="F17" i="10"/>
  <c r="G17" i="10"/>
  <c r="H17" i="10"/>
  <c r="F30" i="14"/>
  <c r="G30" i="14"/>
  <c r="H30" i="14"/>
  <c r="Q30" i="14"/>
  <c r="R30" i="14"/>
  <c r="H29" i="8"/>
  <c r="F19" i="15"/>
  <c r="G19" i="15"/>
  <c r="H19" i="15"/>
  <c r="Q19" i="15"/>
  <c r="R19" i="15"/>
  <c r="I18" i="8"/>
  <c r="F24" i="16"/>
  <c r="G24" i="16"/>
  <c r="H24" i="16"/>
  <c r="L24" i="16"/>
  <c r="M24" i="16"/>
  <c r="F43" i="12"/>
  <c r="G43" i="12"/>
  <c r="H43" i="12"/>
  <c r="F53" i="11"/>
  <c r="G53" i="11"/>
  <c r="H53" i="11"/>
  <c r="Q53" i="11"/>
  <c r="R53" i="11"/>
  <c r="E52" i="8"/>
  <c r="F43" i="11"/>
  <c r="G43" i="11"/>
  <c r="H43" i="11"/>
  <c r="F16" i="11"/>
  <c r="G16" i="11"/>
  <c r="H16" i="11"/>
  <c r="F8" i="11"/>
  <c r="G8" i="11"/>
  <c r="H8" i="11"/>
  <c r="Q8" i="11"/>
  <c r="R8" i="11"/>
  <c r="E7" i="8"/>
  <c r="F52" i="10"/>
  <c r="G52" i="10"/>
  <c r="H52" i="10"/>
  <c r="F50" i="10"/>
  <c r="G50" i="10"/>
  <c r="H50" i="10"/>
  <c r="F45" i="10"/>
  <c r="G45" i="10"/>
  <c r="H45" i="10"/>
  <c r="F37" i="10"/>
  <c r="G37" i="10"/>
  <c r="H37" i="10"/>
  <c r="F29" i="10"/>
  <c r="G29" i="10"/>
  <c r="H29" i="10"/>
  <c r="F24" i="10"/>
  <c r="G24" i="10"/>
  <c r="H24" i="10"/>
  <c r="Q24" i="10"/>
  <c r="R24" i="10"/>
  <c r="D23" i="8"/>
  <c r="F12" i="10"/>
  <c r="G12" i="10"/>
  <c r="H12" i="10"/>
  <c r="F10" i="10"/>
  <c r="G10" i="10"/>
  <c r="H10" i="10"/>
  <c r="F8" i="10"/>
  <c r="G8" i="10"/>
  <c r="H8" i="10"/>
  <c r="F22" i="13"/>
  <c r="G22" i="13"/>
  <c r="H22" i="13"/>
  <c r="F27" i="14"/>
  <c r="G27" i="14"/>
  <c r="H27" i="14"/>
  <c r="L27" i="14"/>
  <c r="M27" i="14"/>
  <c r="F35" i="14"/>
  <c r="G35" i="14"/>
  <c r="H35" i="14"/>
  <c r="L35" i="14"/>
  <c r="M35" i="14"/>
  <c r="F43" i="14"/>
  <c r="G43" i="14"/>
  <c r="H43" i="14"/>
  <c r="L43" i="14"/>
  <c r="M43" i="14"/>
  <c r="F29" i="16"/>
  <c r="G29" i="16"/>
  <c r="H29" i="16"/>
  <c r="L29" i="16"/>
  <c r="M29" i="16"/>
  <c r="F53" i="16"/>
  <c r="G53" i="16"/>
  <c r="H53" i="16"/>
  <c r="Q53" i="16"/>
  <c r="R53" i="16"/>
  <c r="J52" i="8"/>
  <c r="F19" i="11"/>
  <c r="G19" i="11"/>
  <c r="H19" i="11"/>
  <c r="Q19" i="11"/>
  <c r="R19" i="11"/>
  <c r="E18" i="8"/>
  <c r="F11" i="11"/>
  <c r="G11" i="11"/>
  <c r="H11" i="11"/>
  <c r="F48" i="10"/>
  <c r="G48" i="10"/>
  <c r="H48" i="10"/>
  <c r="F40" i="10"/>
  <c r="G40" i="10"/>
  <c r="H40" i="10"/>
  <c r="F32" i="10"/>
  <c r="G32" i="10"/>
  <c r="H32" i="10"/>
  <c r="Q32" i="10"/>
  <c r="R32" i="10"/>
  <c r="D31" i="8"/>
  <c r="F15" i="10"/>
  <c r="G15" i="10"/>
  <c r="H15" i="10"/>
  <c r="Q15" i="10"/>
  <c r="R15" i="10"/>
  <c r="D14" i="8"/>
  <c r="F6" i="10"/>
  <c r="G6" i="10"/>
  <c r="H6" i="10"/>
  <c r="Q6" i="10"/>
  <c r="R6" i="10"/>
  <c r="D5" i="8"/>
  <c r="F4" i="10"/>
  <c r="G4" i="10"/>
  <c r="H4" i="10"/>
  <c r="F3" i="10"/>
  <c r="G3" i="10"/>
  <c r="H3" i="10"/>
  <c r="F3" i="11"/>
  <c r="G3" i="11"/>
  <c r="H3" i="11"/>
  <c r="L13" i="16"/>
  <c r="M13" i="16"/>
  <c r="Q13" i="16"/>
  <c r="R13" i="16"/>
  <c r="J12" i="8"/>
  <c r="Q4" i="16"/>
  <c r="R4" i="16"/>
  <c r="J3" i="8"/>
  <c r="L4" i="16"/>
  <c r="M4" i="16"/>
  <c r="L45" i="16"/>
  <c r="M45" i="16"/>
  <c r="Q45" i="16"/>
  <c r="R45" i="16"/>
  <c r="J44" i="8"/>
  <c r="Q37" i="16"/>
  <c r="R37" i="16"/>
  <c r="J36" i="8"/>
  <c r="L37" i="16"/>
  <c r="M37" i="16"/>
  <c r="L27" i="16"/>
  <c r="M27" i="16"/>
  <c r="Q27" i="16"/>
  <c r="R27" i="16"/>
  <c r="J26" i="8"/>
  <c r="L19" i="16"/>
  <c r="M19" i="16"/>
  <c r="Q19" i="16"/>
  <c r="R19" i="16"/>
  <c r="J18" i="8"/>
  <c r="L18" i="16"/>
  <c r="M18" i="16"/>
  <c r="Q18" i="16"/>
  <c r="R18" i="16"/>
  <c r="J17" i="8"/>
  <c r="L11" i="16"/>
  <c r="M11" i="16"/>
  <c r="Q11" i="16"/>
  <c r="R11" i="16"/>
  <c r="J10" i="8"/>
  <c r="L42" i="16"/>
  <c r="M42" i="16"/>
  <c r="Q42" i="16"/>
  <c r="R42" i="16"/>
  <c r="J41" i="8"/>
  <c r="L32" i="16"/>
  <c r="M32" i="16"/>
  <c r="Q32" i="16"/>
  <c r="R32" i="16"/>
  <c r="J31" i="8"/>
  <c r="Q8" i="16"/>
  <c r="R8" i="16"/>
  <c r="J7" i="8"/>
  <c r="L8" i="16"/>
  <c r="M8" i="16"/>
  <c r="L21" i="16"/>
  <c r="M21" i="16"/>
  <c r="Q21" i="16"/>
  <c r="R21" i="16"/>
  <c r="J20" i="8"/>
  <c r="Q33" i="16"/>
  <c r="R33" i="16"/>
  <c r="J32" i="8"/>
  <c r="L33" i="16"/>
  <c r="M33" i="16"/>
  <c r="Q44" i="16"/>
  <c r="R44" i="16"/>
  <c r="J43" i="8"/>
  <c r="L44" i="16"/>
  <c r="M44" i="16"/>
  <c r="Q34" i="16"/>
  <c r="R34" i="16"/>
  <c r="J33" i="8"/>
  <c r="L34" i="16"/>
  <c r="M34" i="16"/>
  <c r="L30" i="16"/>
  <c r="M30" i="16"/>
  <c r="Q28" i="16"/>
  <c r="R28" i="16"/>
  <c r="J27" i="8"/>
  <c r="L28" i="16"/>
  <c r="M28" i="16"/>
  <c r="Q20" i="16"/>
  <c r="R20" i="16"/>
  <c r="J19" i="8"/>
  <c r="L20" i="16"/>
  <c r="M20" i="16"/>
  <c r="L14" i="16"/>
  <c r="M14" i="16"/>
  <c r="Q51" i="16"/>
  <c r="R51" i="16"/>
  <c r="J50" i="8"/>
  <c r="L51" i="16"/>
  <c r="M51" i="16"/>
  <c r="L46" i="16"/>
  <c r="M46" i="16"/>
  <c r="Q40" i="16"/>
  <c r="R40" i="16"/>
  <c r="J39" i="8"/>
  <c r="Q23" i="16"/>
  <c r="R23" i="16"/>
  <c r="J22" i="8"/>
  <c r="L23" i="16"/>
  <c r="M23" i="16"/>
  <c r="Q22" i="16"/>
  <c r="R22" i="16"/>
  <c r="J21" i="8"/>
  <c r="L22" i="16"/>
  <c r="M22" i="16"/>
  <c r="Q15" i="16"/>
  <c r="R15" i="16"/>
  <c r="J14" i="8"/>
  <c r="Q10" i="16"/>
  <c r="R10" i="16"/>
  <c r="J9" i="8"/>
  <c r="Q52" i="16"/>
  <c r="R52" i="16"/>
  <c r="J51" i="8"/>
  <c r="L52" i="16"/>
  <c r="M52" i="16"/>
  <c r="Q47" i="16"/>
  <c r="R47" i="16"/>
  <c r="J46" i="8"/>
  <c r="L47" i="16"/>
  <c r="M47" i="16"/>
  <c r="L41" i="16"/>
  <c r="M41" i="16"/>
  <c r="Q41" i="16"/>
  <c r="R41" i="16"/>
  <c r="J40" i="8"/>
  <c r="Q31" i="16"/>
  <c r="R31" i="16"/>
  <c r="J30" i="8"/>
  <c r="L31" i="16"/>
  <c r="M31" i="16"/>
  <c r="Q25" i="16"/>
  <c r="R25" i="16"/>
  <c r="J24" i="8"/>
  <c r="L25" i="16"/>
  <c r="M25" i="16"/>
  <c r="Q17" i="16"/>
  <c r="R17" i="16"/>
  <c r="J16" i="8"/>
  <c r="L17" i="16"/>
  <c r="M17" i="16"/>
  <c r="L16" i="16"/>
  <c r="M16" i="16"/>
  <c r="L6" i="16"/>
  <c r="M6" i="16"/>
  <c r="Q12" i="16"/>
  <c r="R12" i="16"/>
  <c r="J11" i="8"/>
  <c r="L12" i="16"/>
  <c r="M12" i="16"/>
  <c r="Q36" i="16"/>
  <c r="R36" i="16"/>
  <c r="J35" i="8"/>
  <c r="L36" i="16"/>
  <c r="M36" i="16"/>
  <c r="Q38" i="16"/>
  <c r="R38" i="16"/>
  <c r="J37" i="8"/>
  <c r="L38" i="16"/>
  <c r="M38" i="16"/>
  <c r="L9" i="16"/>
  <c r="M9" i="16"/>
  <c r="Q43" i="16"/>
  <c r="R43" i="16"/>
  <c r="J42" i="8"/>
  <c r="L43" i="16"/>
  <c r="M43" i="16"/>
  <c r="L26" i="16"/>
  <c r="M26" i="16"/>
  <c r="Q26" i="16"/>
  <c r="R26" i="16"/>
  <c r="J25" i="8"/>
  <c r="Q7" i="16"/>
  <c r="R7" i="16"/>
  <c r="J6" i="8"/>
  <c r="L7" i="16"/>
  <c r="M7" i="16"/>
  <c r="Q5" i="16"/>
  <c r="R5" i="16"/>
  <c r="J4" i="8"/>
  <c r="L5" i="16"/>
  <c r="M5" i="16"/>
  <c r="Q44" i="15"/>
  <c r="R44" i="15"/>
  <c r="I43" i="8"/>
  <c r="L44" i="15"/>
  <c r="M44" i="15"/>
  <c r="Q33" i="15"/>
  <c r="R33" i="15"/>
  <c r="I32" i="8"/>
  <c r="L33" i="15"/>
  <c r="M33" i="15"/>
  <c r="Q23" i="15"/>
  <c r="R23" i="15"/>
  <c r="I22" i="8"/>
  <c r="L23" i="15"/>
  <c r="M23" i="15"/>
  <c r="Q16" i="15"/>
  <c r="R16" i="15"/>
  <c r="I15" i="8"/>
  <c r="L16" i="15"/>
  <c r="M16" i="15"/>
  <c r="Q8" i="15"/>
  <c r="R8" i="15"/>
  <c r="I7" i="8"/>
  <c r="L8" i="15"/>
  <c r="M8" i="15"/>
  <c r="Q47" i="15"/>
  <c r="R47" i="15"/>
  <c r="I46" i="8"/>
  <c r="L47" i="15"/>
  <c r="M47" i="15"/>
  <c r="Q42" i="15"/>
  <c r="R42" i="15"/>
  <c r="I41" i="8"/>
  <c r="L42" i="15"/>
  <c r="M42" i="15"/>
  <c r="Q34" i="15"/>
  <c r="R34" i="15"/>
  <c r="I33" i="8"/>
  <c r="L20" i="15"/>
  <c r="M20" i="15"/>
  <c r="Q20" i="15"/>
  <c r="R20" i="15"/>
  <c r="I19" i="8"/>
  <c r="L15" i="15"/>
  <c r="M15" i="15"/>
  <c r="Q15" i="15"/>
  <c r="R15" i="15"/>
  <c r="I14" i="8"/>
  <c r="Q41" i="15"/>
  <c r="R41" i="15"/>
  <c r="I40" i="8"/>
  <c r="L41" i="15"/>
  <c r="M41" i="15"/>
  <c r="L28" i="15"/>
  <c r="M28" i="15"/>
  <c r="Q13" i="15"/>
  <c r="R13" i="15"/>
  <c r="I12" i="8"/>
  <c r="L13" i="15"/>
  <c r="M13" i="15"/>
  <c r="L11" i="15"/>
  <c r="M11" i="15"/>
  <c r="Q11" i="15"/>
  <c r="R11" i="15"/>
  <c r="I10" i="8"/>
  <c r="L46" i="15"/>
  <c r="M46" i="15"/>
  <c r="Q46" i="15"/>
  <c r="R46" i="15"/>
  <c r="I45" i="8"/>
  <c r="Q45" i="15"/>
  <c r="R45" i="15"/>
  <c r="I44" i="8"/>
  <c r="L45" i="15"/>
  <c r="M45" i="15"/>
  <c r="Q32" i="15"/>
  <c r="R32" i="15"/>
  <c r="I31" i="8"/>
  <c r="L32" i="15"/>
  <c r="M32" i="15"/>
  <c r="L27" i="15"/>
  <c r="M27" i="15"/>
  <c r="Q14" i="15"/>
  <c r="R14" i="15"/>
  <c r="I13" i="8"/>
  <c r="L14" i="15"/>
  <c r="M14" i="15"/>
  <c r="L3" i="15"/>
  <c r="M3" i="15"/>
  <c r="Q3" i="15"/>
  <c r="R3" i="15"/>
  <c r="I2" i="8"/>
  <c r="Q40" i="15"/>
  <c r="R40" i="15"/>
  <c r="I39" i="8"/>
  <c r="L40" i="15"/>
  <c r="M40" i="15"/>
  <c r="Q31" i="15"/>
  <c r="R31" i="15"/>
  <c r="I30" i="8"/>
  <c r="L25" i="15"/>
  <c r="M25" i="15"/>
  <c r="Q25" i="15"/>
  <c r="R25" i="15"/>
  <c r="I24" i="8"/>
  <c r="L22" i="15"/>
  <c r="M22" i="15"/>
  <c r="Q22" i="15"/>
  <c r="R22" i="15"/>
  <c r="I21" i="8"/>
  <c r="Q7" i="15"/>
  <c r="R7" i="15"/>
  <c r="I6" i="8"/>
  <c r="L7" i="15"/>
  <c r="M7" i="15"/>
  <c r="Q48" i="15"/>
  <c r="R48" i="15"/>
  <c r="I47" i="8"/>
  <c r="L48" i="15"/>
  <c r="M48" i="15"/>
  <c r="L30" i="15"/>
  <c r="M30" i="15"/>
  <c r="Q30" i="15"/>
  <c r="R30" i="15"/>
  <c r="I29" i="8"/>
  <c r="Q26" i="15"/>
  <c r="R26" i="15"/>
  <c r="I25" i="8"/>
  <c r="L26" i="15"/>
  <c r="M26" i="15"/>
  <c r="L18" i="15"/>
  <c r="M18" i="15"/>
  <c r="Q18" i="15"/>
  <c r="R18" i="15"/>
  <c r="I17" i="8"/>
  <c r="L17" i="15"/>
  <c r="M17" i="15"/>
  <c r="Q17" i="15"/>
  <c r="R17" i="15"/>
  <c r="I16" i="8"/>
  <c r="Q12" i="15"/>
  <c r="R12" i="15"/>
  <c r="I11" i="8"/>
  <c r="L12" i="15"/>
  <c r="M12" i="15"/>
  <c r="L51" i="15"/>
  <c r="M51" i="15"/>
  <c r="Q51" i="15"/>
  <c r="R51" i="15"/>
  <c r="I50" i="8"/>
  <c r="Q39" i="15"/>
  <c r="R39" i="15"/>
  <c r="I38" i="8"/>
  <c r="L39" i="15"/>
  <c r="M39" i="15"/>
  <c r="Q24" i="15"/>
  <c r="R24" i="15"/>
  <c r="I23" i="8"/>
  <c r="L24" i="15"/>
  <c r="M24" i="15"/>
  <c r="L10" i="15"/>
  <c r="M10" i="15"/>
  <c r="Q10" i="15"/>
  <c r="R10" i="15"/>
  <c r="I9" i="8"/>
  <c r="L9" i="15"/>
  <c r="M9" i="15"/>
  <c r="Q9" i="15"/>
  <c r="R9" i="15"/>
  <c r="I8" i="8"/>
  <c r="L53" i="15"/>
  <c r="M53" i="15"/>
  <c r="Q53" i="15"/>
  <c r="R53" i="15"/>
  <c r="I52" i="8"/>
  <c r="L52" i="15"/>
  <c r="M52" i="15"/>
  <c r="Q52" i="15"/>
  <c r="R52" i="15"/>
  <c r="I51" i="8"/>
  <c r="Q43" i="15"/>
  <c r="R43" i="15"/>
  <c r="I42" i="8"/>
  <c r="L43" i="15"/>
  <c r="M43" i="15"/>
  <c r="L38" i="15"/>
  <c r="M38" i="15"/>
  <c r="Q38" i="15"/>
  <c r="R38" i="15"/>
  <c r="I37" i="8"/>
  <c r="Q36" i="15"/>
  <c r="R36" i="15"/>
  <c r="I35" i="8"/>
  <c r="L36" i="15"/>
  <c r="M36" i="15"/>
  <c r="L35" i="15"/>
  <c r="M35" i="15"/>
  <c r="Q35" i="15"/>
  <c r="R35" i="15"/>
  <c r="I34" i="8"/>
  <c r="Q29" i="15"/>
  <c r="R29" i="15"/>
  <c r="I28" i="8"/>
  <c r="L29" i="15"/>
  <c r="M29" i="15"/>
  <c r="L6" i="15"/>
  <c r="M6" i="15"/>
  <c r="Q6" i="15"/>
  <c r="R6" i="15"/>
  <c r="I5" i="8"/>
  <c r="L37" i="15"/>
  <c r="M37" i="15"/>
  <c r="Q41" i="14"/>
  <c r="R41" i="14"/>
  <c r="H40" i="8"/>
  <c r="L41" i="14"/>
  <c r="M41" i="14"/>
  <c r="Q39" i="14"/>
  <c r="R39" i="14"/>
  <c r="H38" i="8"/>
  <c r="L39" i="14"/>
  <c r="M39" i="14"/>
  <c r="L50" i="14"/>
  <c r="M50" i="14"/>
  <c r="Q50" i="14"/>
  <c r="R50" i="14"/>
  <c r="H49" i="8"/>
  <c r="L36" i="14"/>
  <c r="M36" i="14"/>
  <c r="Q36" i="14"/>
  <c r="R36" i="14"/>
  <c r="H35" i="8"/>
  <c r="Q31" i="14"/>
  <c r="R31" i="14"/>
  <c r="H30" i="8"/>
  <c r="L31" i="14"/>
  <c r="M31" i="14"/>
  <c r="L29" i="14"/>
  <c r="M29" i="14"/>
  <c r="Q29" i="14"/>
  <c r="R29" i="14"/>
  <c r="H28" i="8"/>
  <c r="L16" i="14"/>
  <c r="M16" i="14"/>
  <c r="Q16" i="14"/>
  <c r="R16" i="14"/>
  <c r="H15" i="8"/>
  <c r="Q4" i="14"/>
  <c r="R4" i="14"/>
  <c r="H3" i="8"/>
  <c r="L4" i="14"/>
  <c r="M4" i="14"/>
  <c r="Q15" i="14"/>
  <c r="R15" i="14"/>
  <c r="H14" i="8"/>
  <c r="L15" i="14"/>
  <c r="M15" i="14"/>
  <c r="Q18" i="14"/>
  <c r="R18" i="14"/>
  <c r="H17" i="8"/>
  <c r="L18" i="14"/>
  <c r="M18" i="14"/>
  <c r="L10" i="14"/>
  <c r="M10" i="14"/>
  <c r="Q38" i="14"/>
  <c r="R38" i="14"/>
  <c r="H37" i="8"/>
  <c r="L38" i="14"/>
  <c r="M38" i="14"/>
  <c r="L22" i="14"/>
  <c r="M22" i="14"/>
  <c r="Q22" i="14"/>
  <c r="R22" i="14"/>
  <c r="H21" i="8"/>
  <c r="L6" i="14"/>
  <c r="M6" i="14"/>
  <c r="Q6" i="14"/>
  <c r="R6" i="14"/>
  <c r="H5" i="8"/>
  <c r="Q26" i="14"/>
  <c r="R26" i="14"/>
  <c r="H25" i="8"/>
  <c r="L26" i="14"/>
  <c r="M26" i="14"/>
  <c r="L30" i="14"/>
  <c r="M30" i="14"/>
  <c r="Q20" i="14"/>
  <c r="R20" i="14"/>
  <c r="H19" i="8"/>
  <c r="S19" i="8"/>
  <c r="L20" i="14"/>
  <c r="M20" i="14"/>
  <c r="Q3" i="14"/>
  <c r="R3" i="14"/>
  <c r="H2" i="8"/>
  <c r="L3" i="14"/>
  <c r="M3" i="14"/>
  <c r="L46" i="14"/>
  <c r="M46" i="14"/>
  <c r="Q46" i="14"/>
  <c r="R46" i="14"/>
  <c r="H45" i="8"/>
  <c r="L42" i="14"/>
  <c r="M42" i="14"/>
  <c r="L28" i="14"/>
  <c r="M28" i="14"/>
  <c r="Q28" i="14"/>
  <c r="R28" i="14"/>
  <c r="H27" i="8"/>
  <c r="Q25" i="14"/>
  <c r="R25" i="14"/>
  <c r="H24" i="8"/>
  <c r="L25" i="14"/>
  <c r="M25" i="14"/>
  <c r="Q17" i="14"/>
  <c r="R17" i="14"/>
  <c r="H16" i="8"/>
  <c r="L17" i="14"/>
  <c r="M17" i="14"/>
  <c r="L11" i="14"/>
  <c r="M11" i="14"/>
  <c r="Q11" i="14"/>
  <c r="R11" i="14"/>
  <c r="H10" i="8"/>
  <c r="Q9" i="14"/>
  <c r="R9" i="14"/>
  <c r="H8" i="8"/>
  <c r="L9" i="14"/>
  <c r="M9" i="14"/>
  <c r="L13" i="14"/>
  <c r="M13" i="14"/>
  <c r="Q13" i="14"/>
  <c r="R13" i="14"/>
  <c r="H12" i="8"/>
  <c r="L53" i="14"/>
  <c r="M53" i="14"/>
  <c r="Q53" i="14"/>
  <c r="R53" i="14"/>
  <c r="H52" i="8"/>
  <c r="L51" i="14"/>
  <c r="M51" i="14"/>
  <c r="Q51" i="14"/>
  <c r="R51" i="14"/>
  <c r="H50" i="8"/>
  <c r="L48" i="14"/>
  <c r="M48" i="14"/>
  <c r="Q48" i="14"/>
  <c r="R48" i="14"/>
  <c r="H47" i="8"/>
  <c r="L37" i="14"/>
  <c r="M37" i="14"/>
  <c r="Q37" i="14"/>
  <c r="R37" i="14"/>
  <c r="H36" i="8"/>
  <c r="S36" i="8"/>
  <c r="L32" i="14"/>
  <c r="M32" i="14"/>
  <c r="Q32" i="14"/>
  <c r="R32" i="14"/>
  <c r="H31" i="8"/>
  <c r="Q23" i="14"/>
  <c r="R23" i="14"/>
  <c r="H22" i="8"/>
  <c r="L23" i="14"/>
  <c r="M23" i="14"/>
  <c r="L19" i="14"/>
  <c r="M19" i="14"/>
  <c r="Q19" i="14"/>
  <c r="R19" i="14"/>
  <c r="H18" i="8"/>
  <c r="L5" i="14"/>
  <c r="M5" i="14"/>
  <c r="L8" i="14"/>
  <c r="M8" i="14"/>
  <c r="Q8" i="14"/>
  <c r="R8" i="14"/>
  <c r="H7" i="8"/>
  <c r="L24" i="14"/>
  <c r="M24" i="14"/>
  <c r="Q24" i="14"/>
  <c r="R24" i="14"/>
  <c r="H23" i="8"/>
  <c r="L40" i="14"/>
  <c r="M40" i="14"/>
  <c r="Q40" i="14"/>
  <c r="R40" i="14"/>
  <c r="H39" i="8"/>
  <c r="Q45" i="14"/>
  <c r="R45" i="14"/>
  <c r="H44" i="8"/>
  <c r="R44" i="8"/>
  <c r="L45" i="14"/>
  <c r="M45" i="14"/>
  <c r="L44" i="14"/>
  <c r="M44" i="14"/>
  <c r="Q44" i="14"/>
  <c r="R44" i="14"/>
  <c r="H43" i="8"/>
  <c r="Q34" i="14"/>
  <c r="R34" i="14"/>
  <c r="H33" i="8"/>
  <c r="L34" i="14"/>
  <c r="M34" i="14"/>
  <c r="Q7" i="14"/>
  <c r="R7" i="14"/>
  <c r="H6" i="8"/>
  <c r="L7" i="14"/>
  <c r="M7" i="14"/>
  <c r="L41" i="13"/>
  <c r="M41" i="13"/>
  <c r="Q41" i="13"/>
  <c r="R41" i="13"/>
  <c r="G40" i="8"/>
  <c r="L38" i="13"/>
  <c r="M38" i="13"/>
  <c r="Q38" i="13"/>
  <c r="R38" i="13"/>
  <c r="G37" i="8"/>
  <c r="Q25" i="13"/>
  <c r="R25" i="13"/>
  <c r="G24" i="8"/>
  <c r="L25" i="13"/>
  <c r="M25" i="13"/>
  <c r="Q18" i="13"/>
  <c r="R18" i="13"/>
  <c r="G17" i="8"/>
  <c r="L18" i="13"/>
  <c r="M18" i="13"/>
  <c r="L9" i="13"/>
  <c r="M9" i="13"/>
  <c r="Q9" i="13"/>
  <c r="R9" i="13"/>
  <c r="G8" i="8"/>
  <c r="Q5" i="13"/>
  <c r="R5" i="13"/>
  <c r="G4" i="8"/>
  <c r="L5" i="13"/>
  <c r="M5" i="13"/>
  <c r="Q4" i="13"/>
  <c r="R4" i="13"/>
  <c r="G3" i="8"/>
  <c r="L4" i="13"/>
  <c r="M4" i="13"/>
  <c r="Q3" i="13"/>
  <c r="R3" i="13"/>
  <c r="G2" i="8"/>
  <c r="L3" i="13"/>
  <c r="M3" i="13"/>
  <c r="Q13" i="13"/>
  <c r="R13" i="13"/>
  <c r="G12" i="8"/>
  <c r="L13" i="13"/>
  <c r="M13" i="13"/>
  <c r="Q51" i="13"/>
  <c r="R51" i="13"/>
  <c r="G50" i="8"/>
  <c r="L51" i="13"/>
  <c r="M51" i="13"/>
  <c r="Q32" i="13"/>
  <c r="R32" i="13"/>
  <c r="G31" i="8"/>
  <c r="L32" i="13"/>
  <c r="M32" i="13"/>
  <c r="Q20" i="13"/>
  <c r="R20" i="13"/>
  <c r="G19" i="8"/>
  <c r="Q50" i="13"/>
  <c r="R50" i="13"/>
  <c r="G49" i="8"/>
  <c r="L50" i="13"/>
  <c r="M50" i="13"/>
  <c r="Q48" i="13"/>
  <c r="R48" i="13"/>
  <c r="G47" i="8"/>
  <c r="L48" i="13"/>
  <c r="M48" i="13"/>
  <c r="Q44" i="13"/>
  <c r="R44" i="13"/>
  <c r="G43" i="8"/>
  <c r="L44" i="13"/>
  <c r="M44" i="13"/>
  <c r="Q36" i="13"/>
  <c r="R36" i="13"/>
  <c r="G35" i="8"/>
  <c r="L36" i="13"/>
  <c r="M36" i="13"/>
  <c r="Q31" i="13"/>
  <c r="R31" i="13"/>
  <c r="G30" i="8"/>
  <c r="L31" i="13"/>
  <c r="M31" i="13"/>
  <c r="L28" i="13"/>
  <c r="M28" i="13"/>
  <c r="Q28" i="13"/>
  <c r="R28" i="13"/>
  <c r="G27" i="8"/>
  <c r="L19" i="13"/>
  <c r="M19" i="13"/>
  <c r="Q19" i="13"/>
  <c r="R19" i="13"/>
  <c r="G18" i="8"/>
  <c r="Q10" i="13"/>
  <c r="R10" i="13"/>
  <c r="G9" i="8"/>
  <c r="L10" i="13"/>
  <c r="M10" i="13"/>
  <c r="Q37" i="13"/>
  <c r="R37" i="13"/>
  <c r="G36" i="8"/>
  <c r="L37" i="13"/>
  <c r="M37" i="13"/>
  <c r="L7" i="13"/>
  <c r="M7" i="13"/>
  <c r="Q7" i="13"/>
  <c r="R7" i="13"/>
  <c r="G6" i="8"/>
  <c r="Q42" i="13"/>
  <c r="R42" i="13"/>
  <c r="G41" i="8"/>
  <c r="L42" i="13"/>
  <c r="M42" i="13"/>
  <c r="L39" i="13"/>
  <c r="M39" i="13"/>
  <c r="Q39" i="13"/>
  <c r="R39" i="13"/>
  <c r="G38" i="8"/>
  <c r="Q34" i="13"/>
  <c r="R34" i="13"/>
  <c r="G33" i="8"/>
  <c r="L34" i="13"/>
  <c r="M34" i="13"/>
  <c r="Q23" i="13"/>
  <c r="R23" i="13"/>
  <c r="G22" i="8"/>
  <c r="Q46" i="13"/>
  <c r="R46" i="13"/>
  <c r="G45" i="8"/>
  <c r="Q29" i="13"/>
  <c r="R29" i="13"/>
  <c r="G28" i="8"/>
  <c r="L29" i="13"/>
  <c r="M29" i="13"/>
  <c r="Q26" i="13"/>
  <c r="R26" i="13"/>
  <c r="G25" i="8"/>
  <c r="L26" i="13"/>
  <c r="M26" i="13"/>
  <c r="L17" i="13"/>
  <c r="M17" i="13"/>
  <c r="Q17" i="13"/>
  <c r="R17" i="13"/>
  <c r="G16" i="8"/>
  <c r="Q14" i="13"/>
  <c r="R14" i="13"/>
  <c r="G13" i="8"/>
  <c r="L14" i="13"/>
  <c r="M14" i="13"/>
  <c r="L6" i="13"/>
  <c r="M6" i="13"/>
  <c r="Q6" i="13"/>
  <c r="R6" i="13"/>
  <c r="G5" i="8"/>
  <c r="L11" i="13"/>
  <c r="M11" i="13"/>
  <c r="Q11" i="13"/>
  <c r="R11" i="13"/>
  <c r="G10" i="8"/>
  <c r="Q53" i="13"/>
  <c r="R53" i="13"/>
  <c r="G52" i="8"/>
  <c r="L53" i="13"/>
  <c r="M53" i="13"/>
  <c r="L43" i="13"/>
  <c r="M43" i="13"/>
  <c r="Q43" i="13"/>
  <c r="R43" i="13"/>
  <c r="G42" i="8"/>
  <c r="Q40" i="13"/>
  <c r="R40" i="13"/>
  <c r="G39" i="8"/>
  <c r="L40" i="13"/>
  <c r="M40" i="13"/>
  <c r="Q35" i="13"/>
  <c r="R35" i="13"/>
  <c r="G34" i="8"/>
  <c r="L35" i="13"/>
  <c r="M35" i="13"/>
  <c r="Q24" i="13"/>
  <c r="R24" i="13"/>
  <c r="G23" i="8"/>
  <c r="L24" i="13"/>
  <c r="M24" i="13"/>
  <c r="Q22" i="13"/>
  <c r="R22" i="13"/>
  <c r="G21" i="8"/>
  <c r="L22" i="13"/>
  <c r="M22" i="13"/>
  <c r="L47" i="13"/>
  <c r="M47" i="13"/>
  <c r="Q47" i="13"/>
  <c r="R47" i="13"/>
  <c r="G46" i="8"/>
  <c r="Q33" i="13"/>
  <c r="R33" i="13"/>
  <c r="G32" i="8"/>
  <c r="L30" i="13"/>
  <c r="M30" i="13"/>
  <c r="Q30" i="13"/>
  <c r="R30" i="13"/>
  <c r="G29" i="8"/>
  <c r="L27" i="13"/>
  <c r="M27" i="13"/>
  <c r="Q27" i="13"/>
  <c r="R27" i="13"/>
  <c r="G26" i="8"/>
  <c r="Q21" i="13"/>
  <c r="R21" i="13"/>
  <c r="G20" i="8"/>
  <c r="L21" i="13"/>
  <c r="M21" i="13"/>
  <c r="Q15" i="13"/>
  <c r="R15" i="13"/>
  <c r="G14" i="8"/>
  <c r="L15" i="13"/>
  <c r="M15" i="13"/>
  <c r="Q8" i="13"/>
  <c r="R8" i="13"/>
  <c r="G7" i="8"/>
  <c r="L8" i="13"/>
  <c r="M8" i="13"/>
  <c r="L45" i="13"/>
  <c r="M45" i="13"/>
  <c r="Q34" i="12"/>
  <c r="R34" i="12"/>
  <c r="F33" i="8"/>
  <c r="L34" i="12"/>
  <c r="M34" i="12"/>
  <c r="Q15" i="12"/>
  <c r="R15" i="12"/>
  <c r="F14" i="8"/>
  <c r="Q41" i="12"/>
  <c r="R41" i="12"/>
  <c r="F40" i="8"/>
  <c r="L41" i="12"/>
  <c r="M41" i="12"/>
  <c r="Q32" i="12"/>
  <c r="R32" i="12"/>
  <c r="F31" i="8"/>
  <c r="L32" i="12"/>
  <c r="M32" i="12"/>
  <c r="Q30" i="12"/>
  <c r="R30" i="12"/>
  <c r="F29" i="8"/>
  <c r="L30" i="12"/>
  <c r="M30" i="12"/>
  <c r="Q28" i="12"/>
  <c r="R28" i="12"/>
  <c r="F27" i="8"/>
  <c r="L28" i="12"/>
  <c r="M28" i="12"/>
  <c r="Q13" i="12"/>
  <c r="R13" i="12"/>
  <c r="F12" i="8"/>
  <c r="L13" i="12"/>
  <c r="M13" i="12"/>
  <c r="Q11" i="12"/>
  <c r="R11" i="12"/>
  <c r="F10" i="8"/>
  <c r="L11" i="12"/>
  <c r="M11" i="12"/>
  <c r="Q38" i="12"/>
  <c r="R38" i="12"/>
  <c r="F37" i="8"/>
  <c r="L38" i="12"/>
  <c r="M38" i="12"/>
  <c r="L36" i="12"/>
  <c r="M36" i="12"/>
  <c r="Q53" i="12"/>
  <c r="R53" i="12"/>
  <c r="F52" i="8"/>
  <c r="L53" i="12"/>
  <c r="M53" i="12"/>
  <c r="Q51" i="12"/>
  <c r="R51" i="12"/>
  <c r="F50" i="8"/>
  <c r="L51" i="12"/>
  <c r="M51" i="12"/>
  <c r="Q44" i="12"/>
  <c r="R44" i="12"/>
  <c r="F43" i="8"/>
  <c r="L44" i="12"/>
  <c r="M44" i="12"/>
  <c r="Q26" i="12"/>
  <c r="R26" i="12"/>
  <c r="F25" i="8"/>
  <c r="L26" i="12"/>
  <c r="M26" i="12"/>
  <c r="Q9" i="12"/>
  <c r="R9" i="12"/>
  <c r="F8" i="8"/>
  <c r="L9" i="12"/>
  <c r="M9" i="12"/>
  <c r="Q7" i="12"/>
  <c r="R7" i="12"/>
  <c r="F6" i="8"/>
  <c r="L7" i="12"/>
  <c r="M7" i="12"/>
  <c r="Q5" i="12"/>
  <c r="R5" i="12"/>
  <c r="F4" i="8"/>
  <c r="L5" i="12"/>
  <c r="M5" i="12"/>
  <c r="Q3" i="12"/>
  <c r="R3" i="12"/>
  <c r="F2" i="8"/>
  <c r="L3" i="12"/>
  <c r="M3" i="12"/>
  <c r="Q47" i="12"/>
  <c r="R47" i="12"/>
  <c r="F46" i="8"/>
  <c r="L47" i="12"/>
  <c r="M47" i="12"/>
  <c r="Q39" i="12"/>
  <c r="R39" i="12"/>
  <c r="F38" i="8"/>
  <c r="L39" i="12"/>
  <c r="M39" i="12"/>
  <c r="Q24" i="12"/>
  <c r="R24" i="12"/>
  <c r="F23" i="8"/>
  <c r="L24" i="12"/>
  <c r="M24" i="12"/>
  <c r="Q22" i="12"/>
  <c r="R22" i="12"/>
  <c r="F21" i="8"/>
  <c r="L22" i="12"/>
  <c r="M22" i="12"/>
  <c r="Q20" i="12"/>
  <c r="R20" i="12"/>
  <c r="F19" i="8"/>
  <c r="L20" i="12"/>
  <c r="M20" i="12"/>
  <c r="Q18" i="12"/>
  <c r="R18" i="12"/>
  <c r="F17" i="8"/>
  <c r="L18" i="12"/>
  <c r="M18" i="12"/>
  <c r="Q16" i="12"/>
  <c r="R16" i="12"/>
  <c r="F15" i="8"/>
  <c r="L16" i="12"/>
  <c r="M16" i="12"/>
  <c r="Q37" i="12"/>
  <c r="R37" i="12"/>
  <c r="F36" i="8"/>
  <c r="L37" i="12"/>
  <c r="M37" i="12"/>
  <c r="Q35" i="12"/>
  <c r="R35" i="12"/>
  <c r="F34" i="8"/>
  <c r="L35" i="12"/>
  <c r="M35" i="12"/>
  <c r="Q33" i="12"/>
  <c r="R33" i="12"/>
  <c r="F32" i="8"/>
  <c r="Q31" i="12"/>
  <c r="R31" i="12"/>
  <c r="F30" i="8"/>
  <c r="L31" i="12"/>
  <c r="M31" i="12"/>
  <c r="Q29" i="12"/>
  <c r="R29" i="12"/>
  <c r="F28" i="8"/>
  <c r="L29" i="12"/>
  <c r="M29" i="12"/>
  <c r="Q27" i="12"/>
  <c r="R27" i="12"/>
  <c r="F26" i="8"/>
  <c r="L27" i="12"/>
  <c r="M27" i="12"/>
  <c r="Q14" i="12"/>
  <c r="R14" i="12"/>
  <c r="F13" i="8"/>
  <c r="L14" i="12"/>
  <c r="M14" i="12"/>
  <c r="Q12" i="12"/>
  <c r="R12" i="12"/>
  <c r="F11" i="8"/>
  <c r="L12" i="12"/>
  <c r="M12" i="12"/>
  <c r="Q52" i="12"/>
  <c r="R52" i="12"/>
  <c r="F51" i="8"/>
  <c r="L52" i="12"/>
  <c r="M52" i="12"/>
  <c r="Q50" i="12"/>
  <c r="R50" i="12"/>
  <c r="F49" i="8"/>
  <c r="Q48" i="12"/>
  <c r="R48" i="12"/>
  <c r="F47" i="8"/>
  <c r="L48" i="12"/>
  <c r="M48" i="12"/>
  <c r="Q40" i="12"/>
  <c r="R40" i="12"/>
  <c r="F39" i="8"/>
  <c r="L40" i="12"/>
  <c r="M40" i="12"/>
  <c r="Q8" i="12"/>
  <c r="R8" i="12"/>
  <c r="F7" i="8"/>
  <c r="L8" i="12"/>
  <c r="M8" i="12"/>
  <c r="Q6" i="12"/>
  <c r="R6" i="12"/>
  <c r="F5" i="8"/>
  <c r="L6" i="12"/>
  <c r="M6" i="12"/>
  <c r="Q4" i="12"/>
  <c r="R4" i="12"/>
  <c r="F3" i="8"/>
  <c r="L4" i="12"/>
  <c r="M4" i="12"/>
  <c r="Q43" i="12"/>
  <c r="R43" i="12"/>
  <c r="F42" i="8"/>
  <c r="L43" i="12"/>
  <c r="M43" i="12"/>
  <c r="Q25" i="12"/>
  <c r="R25" i="12"/>
  <c r="F24" i="8"/>
  <c r="L25" i="12"/>
  <c r="M25" i="12"/>
  <c r="Q23" i="12"/>
  <c r="R23" i="12"/>
  <c r="F22" i="8"/>
  <c r="L23" i="12"/>
  <c r="M23" i="12"/>
  <c r="Q21" i="12"/>
  <c r="R21" i="12"/>
  <c r="F20" i="8"/>
  <c r="L21" i="12"/>
  <c r="M21" i="12"/>
  <c r="Q19" i="12"/>
  <c r="R19" i="12"/>
  <c r="F18" i="8"/>
  <c r="L19" i="12"/>
  <c r="M19" i="12"/>
  <c r="Q17" i="12"/>
  <c r="R17" i="12"/>
  <c r="F16" i="8"/>
  <c r="L17" i="12"/>
  <c r="M17" i="12"/>
  <c r="L51" i="11"/>
  <c r="M51" i="11"/>
  <c r="Q51" i="11"/>
  <c r="R51" i="11"/>
  <c r="E50" i="8"/>
  <c r="L41" i="11"/>
  <c r="M41" i="11"/>
  <c r="Q41" i="11"/>
  <c r="R41" i="11"/>
  <c r="E40" i="8"/>
  <c r="Q36" i="11"/>
  <c r="R36" i="11"/>
  <c r="E35" i="8"/>
  <c r="L36" i="11"/>
  <c r="M36" i="11"/>
  <c r="Q34" i="11"/>
  <c r="R34" i="11"/>
  <c r="E33" i="8"/>
  <c r="Q14" i="11"/>
  <c r="R14" i="11"/>
  <c r="E13" i="8"/>
  <c r="L6" i="11"/>
  <c r="M6" i="11"/>
  <c r="Q6" i="11"/>
  <c r="R6" i="11"/>
  <c r="E5" i="8"/>
  <c r="Q37" i="11"/>
  <c r="R37" i="11"/>
  <c r="E36" i="8"/>
  <c r="L37" i="11"/>
  <c r="M37" i="11"/>
  <c r="L10" i="11"/>
  <c r="M10" i="11"/>
  <c r="Q44" i="11"/>
  <c r="R44" i="11"/>
  <c r="E43" i="8"/>
  <c r="L44" i="11"/>
  <c r="M44" i="11"/>
  <c r="L30" i="11"/>
  <c r="M30" i="11"/>
  <c r="Q30" i="11"/>
  <c r="R30" i="11"/>
  <c r="E29" i="8"/>
  <c r="Q28" i="11"/>
  <c r="R28" i="11"/>
  <c r="E27" i="8"/>
  <c r="L28" i="11"/>
  <c r="M28" i="11"/>
  <c r="Q24" i="11"/>
  <c r="R24" i="11"/>
  <c r="E23" i="8"/>
  <c r="L24" i="11"/>
  <c r="M24" i="11"/>
  <c r="L22" i="11"/>
  <c r="M22" i="11"/>
  <c r="Q22" i="11"/>
  <c r="R22" i="11"/>
  <c r="E21" i="8"/>
  <c r="L17" i="11"/>
  <c r="M17" i="11"/>
  <c r="Q17" i="11"/>
  <c r="R17" i="11"/>
  <c r="E16" i="8"/>
  <c r="L9" i="11"/>
  <c r="M9" i="11"/>
  <c r="Q9" i="11"/>
  <c r="R9" i="11"/>
  <c r="E8" i="8"/>
  <c r="Q4" i="11"/>
  <c r="R4" i="11"/>
  <c r="E3" i="8"/>
  <c r="L4" i="11"/>
  <c r="M4" i="11"/>
  <c r="Q45" i="11"/>
  <c r="R45" i="11"/>
  <c r="E44" i="8"/>
  <c r="L45" i="11"/>
  <c r="M45" i="11"/>
  <c r="Q31" i="11"/>
  <c r="R31" i="11"/>
  <c r="E30" i="8"/>
  <c r="Q47" i="11"/>
  <c r="R47" i="11"/>
  <c r="E46" i="8"/>
  <c r="L47" i="11"/>
  <c r="M47" i="11"/>
  <c r="Q39" i="11"/>
  <c r="R39" i="11"/>
  <c r="E38" i="8"/>
  <c r="L39" i="11"/>
  <c r="M39" i="11"/>
  <c r="Q20" i="11"/>
  <c r="R20" i="11"/>
  <c r="E19" i="8"/>
  <c r="L20" i="11"/>
  <c r="M20" i="11"/>
  <c r="Q12" i="11"/>
  <c r="R12" i="11"/>
  <c r="E11" i="8"/>
  <c r="L12" i="11"/>
  <c r="M12" i="11"/>
  <c r="L35" i="11"/>
  <c r="M35" i="11"/>
  <c r="Q35" i="11"/>
  <c r="R35" i="11"/>
  <c r="E34" i="8"/>
  <c r="Q52" i="11"/>
  <c r="R52" i="11"/>
  <c r="E51" i="8"/>
  <c r="L52" i="11"/>
  <c r="M52" i="11"/>
  <c r="Q42" i="11"/>
  <c r="R42" i="11"/>
  <c r="E41" i="8"/>
  <c r="L42" i="11"/>
  <c r="M42" i="11"/>
  <c r="Q15" i="11"/>
  <c r="R15" i="11"/>
  <c r="E14" i="8"/>
  <c r="L15" i="11"/>
  <c r="M15" i="11"/>
  <c r="Q7" i="11"/>
  <c r="R7" i="11"/>
  <c r="E6" i="8"/>
  <c r="L7" i="11"/>
  <c r="M7" i="11"/>
  <c r="Q48" i="11"/>
  <c r="R48" i="11"/>
  <c r="E47" i="8"/>
  <c r="L48" i="11"/>
  <c r="M48" i="11"/>
  <c r="Q40" i="11"/>
  <c r="R40" i="11"/>
  <c r="E39" i="8"/>
  <c r="L40" i="11"/>
  <c r="M40" i="11"/>
  <c r="L29" i="11"/>
  <c r="M29" i="11"/>
  <c r="L27" i="11"/>
  <c r="M27" i="11"/>
  <c r="Q27" i="11"/>
  <c r="R27" i="11"/>
  <c r="E26" i="8"/>
  <c r="L25" i="11"/>
  <c r="M25" i="11"/>
  <c r="Q25" i="11"/>
  <c r="R25" i="11"/>
  <c r="E24" i="8"/>
  <c r="Q23" i="11"/>
  <c r="R23" i="11"/>
  <c r="E22" i="8"/>
  <c r="L23" i="11"/>
  <c r="M23" i="11"/>
  <c r="Q21" i="11"/>
  <c r="R21" i="11"/>
  <c r="E20" i="8"/>
  <c r="L21" i="11"/>
  <c r="M21" i="11"/>
  <c r="Q5" i="11"/>
  <c r="R5" i="11"/>
  <c r="E4" i="8"/>
  <c r="L3" i="11"/>
  <c r="M3" i="11"/>
  <c r="Q3" i="11"/>
  <c r="R3" i="11"/>
  <c r="E2" i="8"/>
  <c r="Q43" i="11"/>
  <c r="R43" i="11"/>
  <c r="E42" i="8"/>
  <c r="L43" i="11"/>
  <c r="M43" i="11"/>
  <c r="Q16" i="11"/>
  <c r="R16" i="11"/>
  <c r="E15" i="8"/>
  <c r="L16" i="11"/>
  <c r="M16" i="11"/>
  <c r="L8" i="11"/>
  <c r="M8" i="11"/>
  <c r="L46" i="11"/>
  <c r="M46" i="11"/>
  <c r="Q46" i="11"/>
  <c r="R46" i="11"/>
  <c r="E45" i="8"/>
  <c r="L38" i="11"/>
  <c r="M38" i="11"/>
  <c r="Q38" i="11"/>
  <c r="R38" i="11"/>
  <c r="E37" i="8"/>
  <c r="L19" i="11"/>
  <c r="M19" i="11"/>
  <c r="L11" i="11"/>
  <c r="M11" i="11"/>
  <c r="Q11" i="11"/>
  <c r="R11" i="11"/>
  <c r="E10" i="8"/>
  <c r="L48" i="10"/>
  <c r="M48" i="10"/>
  <c r="Q48" i="10"/>
  <c r="R48" i="10"/>
  <c r="D47" i="8"/>
  <c r="L40" i="10"/>
  <c r="M40" i="10"/>
  <c r="Q40" i="10"/>
  <c r="R40" i="10"/>
  <c r="D39" i="8"/>
  <c r="L32" i="10"/>
  <c r="M32" i="10"/>
  <c r="L15" i="10"/>
  <c r="M15" i="10"/>
  <c r="Q4" i="10"/>
  <c r="R4" i="10"/>
  <c r="D3" i="8"/>
  <c r="L4" i="10"/>
  <c r="M4" i="10"/>
  <c r="L16" i="10"/>
  <c r="M16" i="10"/>
  <c r="Q16" i="10"/>
  <c r="R16" i="10"/>
  <c r="D15" i="8"/>
  <c r="L43" i="10"/>
  <c r="M43" i="10"/>
  <c r="Q43" i="10"/>
  <c r="R43" i="10"/>
  <c r="D42" i="8"/>
  <c r="L35" i="10"/>
  <c r="M35" i="10"/>
  <c r="Q35" i="10"/>
  <c r="R35" i="10"/>
  <c r="D34" i="8"/>
  <c r="L27" i="10"/>
  <c r="M27" i="10"/>
  <c r="Q27" i="10"/>
  <c r="R27" i="10"/>
  <c r="D26" i="8"/>
  <c r="L22" i="10"/>
  <c r="M22" i="10"/>
  <c r="Q22" i="10"/>
  <c r="R22" i="10"/>
  <c r="D21" i="8"/>
  <c r="L46" i="10"/>
  <c r="M46" i="10"/>
  <c r="Q46" i="10"/>
  <c r="R46" i="10"/>
  <c r="D45" i="8"/>
  <c r="L38" i="10"/>
  <c r="M38" i="10"/>
  <c r="Q38" i="10"/>
  <c r="R38" i="10"/>
  <c r="D37" i="8"/>
  <c r="L30" i="10"/>
  <c r="M30" i="10"/>
  <c r="Q30" i="10"/>
  <c r="R30" i="10"/>
  <c r="D29" i="8"/>
  <c r="Q25" i="10"/>
  <c r="R25" i="10"/>
  <c r="D24" i="8"/>
  <c r="Q20" i="10"/>
  <c r="R20" i="10"/>
  <c r="D19" i="8"/>
  <c r="L20" i="10"/>
  <c r="M20" i="10"/>
  <c r="L18" i="10"/>
  <c r="M18" i="10"/>
  <c r="Q18" i="10"/>
  <c r="R18" i="10"/>
  <c r="D17" i="8"/>
  <c r="L51" i="10"/>
  <c r="M51" i="10"/>
  <c r="Q51" i="10"/>
  <c r="R51" i="10"/>
  <c r="D50" i="8"/>
  <c r="L11" i="10"/>
  <c r="M11" i="10"/>
  <c r="Q11" i="10"/>
  <c r="R11" i="10"/>
  <c r="D10" i="8"/>
  <c r="Q44" i="10"/>
  <c r="R44" i="10"/>
  <c r="D43" i="8"/>
  <c r="L44" i="10"/>
  <c r="M44" i="10"/>
  <c r="Q36" i="10"/>
  <c r="R36" i="10"/>
  <c r="D35" i="8"/>
  <c r="L36" i="10"/>
  <c r="M36" i="10"/>
  <c r="Q28" i="10"/>
  <c r="R28" i="10"/>
  <c r="D27" i="8"/>
  <c r="Q23" i="10"/>
  <c r="R23" i="10"/>
  <c r="D22" i="8"/>
  <c r="L23" i="10"/>
  <c r="M23" i="10"/>
  <c r="Q5" i="10"/>
  <c r="R5" i="10"/>
  <c r="D4" i="8"/>
  <c r="L5" i="10"/>
  <c r="M5" i="10"/>
  <c r="L3" i="10"/>
  <c r="M3" i="10"/>
  <c r="Q3" i="10"/>
  <c r="R3" i="10"/>
  <c r="D2" i="8"/>
  <c r="L53" i="10"/>
  <c r="M53" i="10"/>
  <c r="Q53" i="10"/>
  <c r="R53" i="10"/>
  <c r="D52" i="8"/>
  <c r="Q33" i="10"/>
  <c r="R33" i="10"/>
  <c r="D32" i="8"/>
  <c r="L33" i="10"/>
  <c r="M33" i="10"/>
  <c r="Q7" i="10"/>
  <c r="R7" i="10"/>
  <c r="D6" i="8"/>
  <c r="L7" i="10"/>
  <c r="M7" i="10"/>
  <c r="Q47" i="10"/>
  <c r="R47" i="10"/>
  <c r="D46" i="8"/>
  <c r="L47" i="10"/>
  <c r="M47" i="10"/>
  <c r="Q39" i="10"/>
  <c r="R39" i="10"/>
  <c r="D38" i="8"/>
  <c r="L39" i="10"/>
  <c r="M39" i="10"/>
  <c r="Q31" i="10"/>
  <c r="R31" i="10"/>
  <c r="D30" i="8"/>
  <c r="L31" i="10"/>
  <c r="M31" i="10"/>
  <c r="L14" i="10"/>
  <c r="M14" i="10"/>
  <c r="Q14" i="10"/>
  <c r="R14" i="10"/>
  <c r="D13" i="8"/>
  <c r="Q41" i="10"/>
  <c r="R41" i="10"/>
  <c r="D40" i="8"/>
  <c r="L41" i="10"/>
  <c r="M41" i="10"/>
  <c r="L42" i="10"/>
  <c r="M42" i="10"/>
  <c r="Q42" i="10"/>
  <c r="R42" i="10"/>
  <c r="D41" i="8"/>
  <c r="L34" i="10"/>
  <c r="M34" i="10"/>
  <c r="Q34" i="10"/>
  <c r="R34" i="10"/>
  <c r="D33" i="8"/>
  <c r="L26" i="10"/>
  <c r="M26" i="10"/>
  <c r="Q26" i="10"/>
  <c r="R26" i="10"/>
  <c r="D25" i="8"/>
  <c r="Q21" i="10"/>
  <c r="R21" i="10"/>
  <c r="D20" i="8"/>
  <c r="L21" i="10"/>
  <c r="M21" i="10"/>
  <c r="L19" i="10"/>
  <c r="M19" i="10"/>
  <c r="Q17" i="10"/>
  <c r="R17" i="10"/>
  <c r="D16" i="8"/>
  <c r="L17" i="10"/>
  <c r="M17" i="10"/>
  <c r="Q9" i="10"/>
  <c r="R9" i="10"/>
  <c r="D8" i="8"/>
  <c r="L9" i="10"/>
  <c r="M9" i="10"/>
  <c r="Q52" i="10"/>
  <c r="R52" i="10"/>
  <c r="D51" i="8"/>
  <c r="L52" i="10"/>
  <c r="M52" i="10"/>
  <c r="L50" i="10"/>
  <c r="M50" i="10"/>
  <c r="Q50" i="10"/>
  <c r="R50" i="10"/>
  <c r="D49" i="8"/>
  <c r="Q45" i="10"/>
  <c r="R45" i="10"/>
  <c r="D44" i="8"/>
  <c r="L45" i="10"/>
  <c r="M45" i="10"/>
  <c r="L37" i="10"/>
  <c r="M37" i="10"/>
  <c r="Q37" i="10"/>
  <c r="R37" i="10"/>
  <c r="D36" i="8"/>
  <c r="Q29" i="10"/>
  <c r="R29" i="10"/>
  <c r="D28" i="8"/>
  <c r="L29" i="10"/>
  <c r="M29" i="10"/>
  <c r="L24" i="10"/>
  <c r="M24" i="10"/>
  <c r="Q12" i="10"/>
  <c r="R12" i="10"/>
  <c r="D11" i="8"/>
  <c r="L12" i="10"/>
  <c r="M12" i="10"/>
  <c r="L10" i="10"/>
  <c r="M10" i="10"/>
  <c r="Q10" i="10"/>
  <c r="R10" i="10"/>
  <c r="D9" i="8"/>
  <c r="L8" i="10"/>
  <c r="M8" i="10"/>
  <c r="Q8" i="10"/>
  <c r="R8" i="10"/>
  <c r="D7" i="8"/>
  <c r="Q9" i="9"/>
  <c r="R9" i="9"/>
  <c r="C8" i="8"/>
  <c r="Q17" i="9"/>
  <c r="R17" i="9"/>
  <c r="C16" i="8"/>
  <c r="L17" i="9"/>
  <c r="M17" i="9"/>
  <c r="Q25" i="9"/>
  <c r="R25" i="9"/>
  <c r="C24" i="8"/>
  <c r="L25" i="9"/>
  <c r="M25" i="9"/>
  <c r="Q33" i="9"/>
  <c r="R33" i="9"/>
  <c r="C32" i="8"/>
  <c r="L33" i="9"/>
  <c r="M33" i="9"/>
  <c r="Q41" i="9"/>
  <c r="R41" i="9"/>
  <c r="C40" i="8"/>
  <c r="L41" i="9"/>
  <c r="M41" i="9"/>
  <c r="L47" i="9"/>
  <c r="M47" i="9"/>
  <c r="Q47" i="9"/>
  <c r="R47" i="9"/>
  <c r="C46" i="8"/>
  <c r="L39" i="9"/>
  <c r="M39" i="9"/>
  <c r="Q39" i="9"/>
  <c r="R39" i="9"/>
  <c r="C38" i="8"/>
  <c r="Q30" i="9"/>
  <c r="R30" i="9"/>
  <c r="C29" i="8"/>
  <c r="L30" i="9"/>
  <c r="M30" i="9"/>
  <c r="Q16" i="9"/>
  <c r="R16" i="9"/>
  <c r="C15" i="8"/>
  <c r="L16" i="9"/>
  <c r="M16" i="9"/>
  <c r="L11" i="9"/>
  <c r="M11" i="9"/>
  <c r="Q11" i="9"/>
  <c r="R11" i="9"/>
  <c r="C10" i="8"/>
  <c r="L51" i="9"/>
  <c r="M51" i="9"/>
  <c r="Q51" i="9"/>
  <c r="R51" i="9"/>
  <c r="C50" i="8"/>
  <c r="Q44" i="9"/>
  <c r="R44" i="9"/>
  <c r="C43" i="8"/>
  <c r="L44" i="9"/>
  <c r="M44" i="9"/>
  <c r="L35" i="9"/>
  <c r="M35" i="9"/>
  <c r="Q26" i="9"/>
  <c r="R26" i="9"/>
  <c r="C25" i="8"/>
  <c r="L26" i="9"/>
  <c r="M26" i="9"/>
  <c r="Q12" i="9"/>
  <c r="R12" i="9"/>
  <c r="C11" i="8"/>
  <c r="L12" i="9"/>
  <c r="M12" i="9"/>
  <c r="L7" i="9"/>
  <c r="M7" i="9"/>
  <c r="Q7" i="9"/>
  <c r="R7" i="9"/>
  <c r="C6" i="8"/>
  <c r="L48" i="9"/>
  <c r="M48" i="9"/>
  <c r="Q48" i="9"/>
  <c r="R48" i="9"/>
  <c r="C47" i="8"/>
  <c r="Q40" i="9"/>
  <c r="R40" i="9"/>
  <c r="C39" i="8"/>
  <c r="L40" i="9"/>
  <c r="M40" i="9"/>
  <c r="L31" i="9"/>
  <c r="M31" i="9"/>
  <c r="Q31" i="9"/>
  <c r="R31" i="9"/>
  <c r="C30" i="8"/>
  <c r="Q8" i="9"/>
  <c r="R8" i="9"/>
  <c r="C7" i="8"/>
  <c r="L8" i="9"/>
  <c r="M8" i="9"/>
  <c r="Q37" i="9"/>
  <c r="R37" i="9"/>
  <c r="C36" i="8"/>
  <c r="L37" i="9"/>
  <c r="M37" i="9"/>
  <c r="Q52" i="9"/>
  <c r="R52" i="9"/>
  <c r="C51" i="8"/>
  <c r="L52" i="9"/>
  <c r="M52" i="9"/>
  <c r="Q36" i="9"/>
  <c r="R36" i="9"/>
  <c r="C35" i="8"/>
  <c r="L36" i="9"/>
  <c r="M36" i="9"/>
  <c r="L27" i="9"/>
  <c r="M27" i="9"/>
  <c r="Q27" i="9"/>
  <c r="R27" i="9"/>
  <c r="C26" i="8"/>
  <c r="Q22" i="9"/>
  <c r="R22" i="9"/>
  <c r="C21" i="8"/>
  <c r="L22" i="9"/>
  <c r="M22" i="9"/>
  <c r="Q4" i="9"/>
  <c r="R4" i="9"/>
  <c r="C3" i="8"/>
  <c r="L4" i="9"/>
  <c r="M4" i="9"/>
  <c r="Q45" i="9"/>
  <c r="R45" i="9"/>
  <c r="C44" i="8"/>
  <c r="L45" i="9"/>
  <c r="M45" i="9"/>
  <c r="Q32" i="9"/>
  <c r="R32" i="9"/>
  <c r="C31" i="8"/>
  <c r="L32" i="9"/>
  <c r="M32" i="9"/>
  <c r="Q18" i="9"/>
  <c r="R18" i="9"/>
  <c r="C17" i="8"/>
  <c r="L18" i="9"/>
  <c r="M18" i="9"/>
  <c r="Q5" i="9"/>
  <c r="R5" i="9"/>
  <c r="C4" i="8"/>
  <c r="L5" i="9"/>
  <c r="M5" i="9"/>
  <c r="Q13" i="9"/>
  <c r="R13" i="9"/>
  <c r="C12" i="8"/>
  <c r="L13" i="9"/>
  <c r="M13" i="9"/>
  <c r="Q21" i="9"/>
  <c r="R21" i="9"/>
  <c r="C20" i="8"/>
  <c r="L21" i="9"/>
  <c r="M21" i="9"/>
  <c r="Q29" i="9"/>
  <c r="R29" i="9"/>
  <c r="C28" i="8"/>
  <c r="L29" i="9"/>
  <c r="M29" i="9"/>
  <c r="Q42" i="9"/>
  <c r="R42" i="9"/>
  <c r="C41" i="8"/>
  <c r="L42" i="9"/>
  <c r="M42" i="9"/>
  <c r="Q28" i="9"/>
  <c r="R28" i="9"/>
  <c r="C27" i="8"/>
  <c r="L28" i="9"/>
  <c r="M28" i="9"/>
  <c r="L23" i="9"/>
  <c r="M23" i="9"/>
  <c r="Q23" i="9"/>
  <c r="R23" i="9"/>
  <c r="C22" i="8"/>
  <c r="Q14" i="9"/>
  <c r="R14" i="9"/>
  <c r="C13" i="8"/>
  <c r="L14" i="9"/>
  <c r="M14" i="9"/>
  <c r="Q53" i="9"/>
  <c r="R53" i="9"/>
  <c r="C52" i="8"/>
  <c r="L53" i="9"/>
  <c r="M53" i="9"/>
  <c r="Q46" i="9"/>
  <c r="R46" i="9"/>
  <c r="C45" i="8"/>
  <c r="L46" i="9"/>
  <c r="M46" i="9"/>
  <c r="Q38" i="9"/>
  <c r="R38" i="9"/>
  <c r="C37" i="8"/>
  <c r="L38" i="9"/>
  <c r="M38" i="9"/>
  <c r="Q24" i="9"/>
  <c r="R24" i="9"/>
  <c r="C23" i="8"/>
  <c r="L24" i="9"/>
  <c r="M24" i="9"/>
  <c r="Q19" i="9"/>
  <c r="R19" i="9"/>
  <c r="C18" i="8"/>
  <c r="L19" i="9"/>
  <c r="M19" i="9"/>
  <c r="Q10" i="9"/>
  <c r="R10" i="9"/>
  <c r="C9" i="8"/>
  <c r="L10" i="9"/>
  <c r="M10" i="9"/>
  <c r="Q50" i="9"/>
  <c r="R50" i="9"/>
  <c r="C49" i="8"/>
  <c r="L50" i="9"/>
  <c r="M50" i="9"/>
  <c r="L43" i="9"/>
  <c r="M43" i="9"/>
  <c r="Q43" i="9"/>
  <c r="R43" i="9"/>
  <c r="C42" i="8"/>
  <c r="Q34" i="9"/>
  <c r="R34" i="9"/>
  <c r="C33" i="8"/>
  <c r="L34" i="9"/>
  <c r="M34" i="9"/>
  <c r="Q20" i="9"/>
  <c r="R20" i="9"/>
  <c r="C19" i="8"/>
  <c r="L20" i="9"/>
  <c r="M20" i="9"/>
  <c r="L15" i="9"/>
  <c r="M15" i="9"/>
  <c r="Q15" i="9"/>
  <c r="R15" i="9"/>
  <c r="C14" i="8"/>
  <c r="Q6" i="9"/>
  <c r="R6" i="9"/>
  <c r="C5" i="8"/>
  <c r="L6" i="9"/>
  <c r="M6" i="9"/>
  <c r="F3" i="9"/>
  <c r="G3" i="9"/>
  <c r="H3" i="9"/>
  <c r="T51" i="17"/>
  <c r="U51" i="17"/>
  <c r="V51" i="17"/>
  <c r="U52" i="17"/>
  <c r="V52" i="17"/>
  <c r="T52" i="17"/>
  <c r="T35" i="8"/>
  <c r="L6" i="10"/>
  <c r="M6" i="10"/>
  <c r="Q10" i="12"/>
  <c r="R10" i="12"/>
  <c r="F9" i="8"/>
  <c r="Q42" i="12"/>
  <c r="R42" i="12"/>
  <c r="F41" i="8"/>
  <c r="L28" i="7"/>
  <c r="M28" i="7"/>
  <c r="U46" i="17"/>
  <c r="V46" i="17"/>
  <c r="T46" i="17"/>
  <c r="U48" i="17"/>
  <c r="V48" i="17"/>
  <c r="T48" i="17"/>
  <c r="T53" i="17"/>
  <c r="U53" i="17"/>
  <c r="V53" i="17"/>
  <c r="U47" i="17"/>
  <c r="V47" i="17"/>
  <c r="T47" i="17"/>
  <c r="T50" i="17"/>
  <c r="U50" i="17"/>
  <c r="V50" i="17"/>
  <c r="S29" i="8"/>
  <c r="S30" i="8"/>
  <c r="S43" i="8"/>
  <c r="S7" i="8"/>
  <c r="T11" i="8"/>
  <c r="L53" i="16"/>
  <c r="M53" i="16"/>
  <c r="B5" i="8"/>
  <c r="L5" i="8"/>
  <c r="T20" i="8"/>
  <c r="B10" i="8"/>
  <c r="L10" i="8"/>
  <c r="B4" i="8"/>
  <c r="L4" i="8"/>
  <c r="T24" i="8"/>
  <c r="S6" i="8"/>
  <c r="S15" i="8"/>
  <c r="B7" i="8"/>
  <c r="L7" i="8"/>
  <c r="B13" i="8"/>
  <c r="L13" i="8"/>
  <c r="B8" i="8"/>
  <c r="L8" i="8"/>
  <c r="B6" i="8"/>
  <c r="L6" i="8"/>
  <c r="B3" i="8"/>
  <c r="L3" i="8"/>
  <c r="Q48" i="16"/>
  <c r="R48" i="16"/>
  <c r="J47" i="8"/>
  <c r="T47" i="8"/>
  <c r="T39" i="8"/>
  <c r="T36" i="8"/>
  <c r="Q35" i="16"/>
  <c r="R35" i="16"/>
  <c r="J34" i="8"/>
  <c r="T34" i="8"/>
  <c r="T31" i="8"/>
  <c r="T26" i="8"/>
  <c r="Q24" i="16"/>
  <c r="R24" i="16"/>
  <c r="J23" i="8"/>
  <c r="T23" i="8"/>
  <c r="T17" i="8"/>
  <c r="T5" i="8"/>
  <c r="L3" i="16"/>
  <c r="M3" i="16"/>
  <c r="S49" i="8"/>
  <c r="L50" i="15"/>
  <c r="M50" i="15"/>
  <c r="S33" i="8"/>
  <c r="L21" i="15"/>
  <c r="M21" i="15"/>
  <c r="L19" i="15"/>
  <c r="M19" i="15"/>
  <c r="S12" i="8"/>
  <c r="S9" i="8"/>
  <c r="Q5" i="15"/>
  <c r="R5" i="15"/>
  <c r="I4" i="8"/>
  <c r="T4" i="8"/>
  <c r="Q4" i="15"/>
  <c r="R4" i="15"/>
  <c r="I3" i="8"/>
  <c r="T3" i="8"/>
  <c r="Q27" i="14"/>
  <c r="R27" i="14"/>
  <c r="H26" i="8"/>
  <c r="S26" i="8"/>
  <c r="L21" i="14"/>
  <c r="M21" i="14"/>
  <c r="Q14" i="14"/>
  <c r="R14" i="14"/>
  <c r="H13" i="8"/>
  <c r="S13" i="8"/>
  <c r="Q16" i="13"/>
  <c r="R16" i="13"/>
  <c r="G15" i="8"/>
  <c r="R15" i="8"/>
  <c r="Q12" i="13"/>
  <c r="R12" i="13"/>
  <c r="G11" i="8"/>
  <c r="Q46" i="12"/>
  <c r="R46" i="12"/>
  <c r="F45" i="8"/>
  <c r="Q45" i="8"/>
  <c r="L45" i="12"/>
  <c r="M45" i="12"/>
  <c r="L53" i="11"/>
  <c r="M53" i="11"/>
  <c r="L33" i="11"/>
  <c r="M33" i="11"/>
  <c r="L32" i="11"/>
  <c r="M32" i="11"/>
  <c r="L18" i="11"/>
  <c r="M18" i="11"/>
  <c r="Q13" i="10"/>
  <c r="R13" i="10"/>
  <c r="D12" i="8"/>
  <c r="N12" i="8"/>
  <c r="Q44" i="7"/>
  <c r="R44" i="7"/>
  <c r="B43" i="8"/>
  <c r="L43" i="8"/>
  <c r="L37" i="7"/>
  <c r="M37" i="7"/>
  <c r="Q34" i="7"/>
  <c r="R34" i="7"/>
  <c r="B33" i="8"/>
  <c r="L33" i="8"/>
  <c r="L33" i="7"/>
  <c r="M33" i="7"/>
  <c r="L31" i="7"/>
  <c r="M31" i="7"/>
  <c r="Q27" i="7"/>
  <c r="R27" i="7"/>
  <c r="B26" i="8"/>
  <c r="L26" i="8"/>
  <c r="L19" i="7"/>
  <c r="M19" i="7"/>
  <c r="L18" i="7"/>
  <c r="M18" i="7"/>
  <c r="L17" i="7"/>
  <c r="M17" i="7"/>
  <c r="Q16" i="7"/>
  <c r="R16" i="7"/>
  <c r="B15" i="8"/>
  <c r="L15" i="8"/>
  <c r="Q15" i="7"/>
  <c r="R15" i="7"/>
  <c r="L11" i="7"/>
  <c r="M11" i="7"/>
  <c r="Q10" i="7"/>
  <c r="R10" i="7"/>
  <c r="L5" i="7"/>
  <c r="M5" i="7"/>
  <c r="L3" i="7"/>
  <c r="M3" i="7"/>
  <c r="S51" i="8"/>
  <c r="R51" i="8"/>
  <c r="T40" i="8"/>
  <c r="T22" i="8"/>
  <c r="Q35" i="14"/>
  <c r="R35" i="14"/>
  <c r="H34" i="8"/>
  <c r="R34" i="8"/>
  <c r="Q12" i="14"/>
  <c r="R12" i="14"/>
  <c r="H11" i="8"/>
  <c r="T9" i="8"/>
  <c r="S47" i="8"/>
  <c r="Q39" i="16"/>
  <c r="R39" i="16"/>
  <c r="J38" i="8"/>
  <c r="T38" i="8"/>
  <c r="Q13" i="7"/>
  <c r="R13" i="7"/>
  <c r="Q47" i="7"/>
  <c r="R47" i="7"/>
  <c r="B46" i="8"/>
  <c r="L46" i="8"/>
  <c r="Q20" i="7"/>
  <c r="R20" i="7"/>
  <c r="B19" i="8"/>
  <c r="L19" i="8"/>
  <c r="L26" i="11"/>
  <c r="M26" i="11"/>
  <c r="S44" i="8"/>
  <c r="Q43" i="14"/>
  <c r="R43" i="14"/>
  <c r="H42" i="8"/>
  <c r="S42" i="8"/>
  <c r="L52" i="14"/>
  <c r="M52" i="14"/>
  <c r="Q33" i="14"/>
  <c r="R33" i="14"/>
  <c r="H32" i="8"/>
  <c r="R32" i="8"/>
  <c r="Q47" i="14"/>
  <c r="R47" i="14"/>
  <c r="H46" i="8"/>
  <c r="R46" i="8"/>
  <c r="T50" i="8"/>
  <c r="T18" i="8"/>
  <c r="Q32" i="7"/>
  <c r="R32" i="7"/>
  <c r="B31" i="8"/>
  <c r="L31" i="8"/>
  <c r="T13" i="8"/>
  <c r="B49" i="17"/>
  <c r="S22" i="8"/>
  <c r="S41" i="8"/>
  <c r="T7" i="8"/>
  <c r="L50" i="16"/>
  <c r="M50" i="16"/>
  <c r="Q12" i="7"/>
  <c r="R12" i="7"/>
  <c r="S34" i="8"/>
  <c r="S8" i="8"/>
  <c r="T52" i="8"/>
  <c r="T19" i="8"/>
  <c r="S39" i="8"/>
  <c r="S18" i="8"/>
  <c r="S27" i="8"/>
  <c r="S28" i="8"/>
  <c r="T44" i="8"/>
  <c r="T32" i="8"/>
  <c r="Q29" i="16"/>
  <c r="R29" i="16"/>
  <c r="J28" i="8"/>
  <c r="T28" i="8"/>
  <c r="S24" i="8"/>
  <c r="S25" i="8"/>
  <c r="T37" i="8"/>
  <c r="T51" i="8"/>
  <c r="T16" i="8"/>
  <c r="T21" i="8"/>
  <c r="T10" i="8"/>
  <c r="T41" i="8"/>
  <c r="S38" i="8"/>
  <c r="S32" i="8"/>
  <c r="S46" i="8"/>
  <c r="T45" i="8"/>
  <c r="T2" i="8"/>
  <c r="S11" i="8"/>
  <c r="S31" i="8"/>
  <c r="S2" i="8"/>
  <c r="Q13" i="11"/>
  <c r="R13" i="11"/>
  <c r="E12" i="8"/>
  <c r="Q50" i="11"/>
  <c r="R50" i="11"/>
  <c r="E49" i="8"/>
  <c r="S5" i="8"/>
  <c r="T46" i="8"/>
  <c r="T49" i="8"/>
  <c r="S14" i="8"/>
  <c r="T8" i="8"/>
  <c r="T27" i="8"/>
  <c r="T43" i="8"/>
  <c r="S16" i="8"/>
  <c r="S40" i="8"/>
  <c r="S50" i="8"/>
  <c r="S10" i="8"/>
  <c r="S21" i="8"/>
  <c r="T42" i="8"/>
  <c r="T12" i="8"/>
  <c r="S17" i="8"/>
  <c r="T14" i="8"/>
  <c r="S37" i="8"/>
  <c r="T29" i="8"/>
  <c r="S52" i="8"/>
  <c r="S20" i="8"/>
  <c r="S45" i="8"/>
  <c r="T25" i="8"/>
  <c r="T30" i="8"/>
  <c r="T33" i="8"/>
  <c r="L2" i="8"/>
  <c r="T6" i="8"/>
  <c r="T15" i="8"/>
  <c r="S23" i="8"/>
  <c r="S35" i="8"/>
  <c r="R20" i="8"/>
  <c r="R39" i="8"/>
  <c r="R22" i="8"/>
  <c r="R43" i="8"/>
  <c r="R19" i="8"/>
  <c r="R2" i="8"/>
  <c r="R17" i="8"/>
  <c r="R10" i="8"/>
  <c r="R16" i="8"/>
  <c r="R6" i="8"/>
  <c r="R18" i="8"/>
  <c r="R14" i="8"/>
  <c r="R52" i="8"/>
  <c r="R41" i="8"/>
  <c r="R35" i="8"/>
  <c r="R12" i="8"/>
  <c r="R45" i="8"/>
  <c r="R8" i="8"/>
  <c r="R40" i="8"/>
  <c r="R7" i="8"/>
  <c r="R23" i="8"/>
  <c r="R28" i="8"/>
  <c r="R9" i="8"/>
  <c r="R30" i="8"/>
  <c r="R49" i="8"/>
  <c r="R50" i="8"/>
  <c r="R4" i="8"/>
  <c r="R29" i="8"/>
  <c r="R5" i="8"/>
  <c r="R38" i="8"/>
  <c r="R37" i="8"/>
  <c r="R21" i="8"/>
  <c r="R25" i="8"/>
  <c r="R33" i="8"/>
  <c r="R36" i="8"/>
  <c r="R47" i="8"/>
  <c r="R31" i="8"/>
  <c r="R3" i="8"/>
  <c r="R24" i="8"/>
  <c r="R27" i="8"/>
  <c r="Q20" i="8"/>
  <c r="Q3" i="8"/>
  <c r="Q47" i="8"/>
  <c r="Q11" i="8"/>
  <c r="Q30" i="8"/>
  <c r="Q36" i="8"/>
  <c r="Q19" i="8"/>
  <c r="Q46" i="8"/>
  <c r="Q8" i="8"/>
  <c r="Q50" i="8"/>
  <c r="Q10" i="8"/>
  <c r="Q31" i="8"/>
  <c r="Q18" i="8"/>
  <c r="Q42" i="8"/>
  <c r="Q39" i="8"/>
  <c r="Q9" i="8"/>
  <c r="Q28" i="8"/>
  <c r="Q34" i="8"/>
  <c r="Q17" i="8"/>
  <c r="Q38" i="8"/>
  <c r="Q6" i="8"/>
  <c r="Q37" i="8"/>
  <c r="Q29" i="8"/>
  <c r="Q33" i="8"/>
  <c r="Q16" i="8"/>
  <c r="Q24" i="8"/>
  <c r="Q7" i="8"/>
  <c r="Q51" i="8"/>
  <c r="Q26" i="8"/>
  <c r="Q44" i="8"/>
  <c r="Q23" i="8"/>
  <c r="Q4" i="8"/>
  <c r="Q43" i="8"/>
  <c r="Q27" i="8"/>
  <c r="Q14" i="8"/>
  <c r="Q35" i="8"/>
  <c r="Q22" i="8"/>
  <c r="Q5" i="8"/>
  <c r="Q49" i="8"/>
  <c r="Q13" i="8"/>
  <c r="Q32" i="8"/>
  <c r="Q41" i="8"/>
  <c r="Q21" i="8"/>
  <c r="Q2" i="8"/>
  <c r="Q25" i="8"/>
  <c r="Q52" i="8"/>
  <c r="Q12" i="8"/>
  <c r="Q40" i="8"/>
  <c r="P15" i="8"/>
  <c r="P4" i="8"/>
  <c r="P47" i="8"/>
  <c r="P41" i="8"/>
  <c r="P19" i="8"/>
  <c r="P44" i="8"/>
  <c r="P36" i="8"/>
  <c r="P33" i="8"/>
  <c r="P37" i="8"/>
  <c r="P24" i="8"/>
  <c r="P21" i="8"/>
  <c r="P29" i="8"/>
  <c r="P32" i="8"/>
  <c r="P7" i="8"/>
  <c r="P22" i="8"/>
  <c r="P39" i="8"/>
  <c r="P14" i="8"/>
  <c r="P11" i="8"/>
  <c r="P30" i="8"/>
  <c r="P27" i="8"/>
  <c r="P9" i="8"/>
  <c r="P31" i="8"/>
  <c r="P18" i="8"/>
  <c r="P2" i="8"/>
  <c r="P16" i="8"/>
  <c r="P50" i="8"/>
  <c r="P17" i="8"/>
  <c r="P52" i="8"/>
  <c r="P20" i="8"/>
  <c r="P28" i="8"/>
  <c r="P6" i="8"/>
  <c r="P46" i="8"/>
  <c r="P25" i="8"/>
  <c r="P10" i="8"/>
  <c r="P34" i="8"/>
  <c r="P8" i="8"/>
  <c r="P13" i="8"/>
  <c r="P40" i="8"/>
  <c r="P42" i="8"/>
  <c r="P51" i="8"/>
  <c r="P38" i="8"/>
  <c r="P3" i="8"/>
  <c r="P23" i="8"/>
  <c r="P43" i="8"/>
  <c r="P35" i="8"/>
  <c r="P26" i="8"/>
  <c r="P5" i="8"/>
  <c r="O11" i="8"/>
  <c r="O44" i="8"/>
  <c r="O6" i="8"/>
  <c r="O4" i="8"/>
  <c r="O43" i="8"/>
  <c r="O25" i="8"/>
  <c r="O13" i="8"/>
  <c r="O17" i="8"/>
  <c r="O37" i="8"/>
  <c r="O34" i="8"/>
  <c r="O5" i="8"/>
  <c r="O47" i="8"/>
  <c r="O8" i="8"/>
  <c r="O20" i="8"/>
  <c r="O40" i="8"/>
  <c r="O46" i="8"/>
  <c r="O35" i="8"/>
  <c r="O3" i="8"/>
  <c r="O29" i="8"/>
  <c r="O26" i="8"/>
  <c r="O39" i="8"/>
  <c r="O36" i="8"/>
  <c r="O28" i="8"/>
  <c r="O51" i="8"/>
  <c r="O38" i="8"/>
  <c r="O27" i="8"/>
  <c r="O24" i="8"/>
  <c r="O9" i="8"/>
  <c r="O7" i="8"/>
  <c r="O18" i="8"/>
  <c r="O41" i="8"/>
  <c r="O52" i="8"/>
  <c r="O50" i="8"/>
  <c r="O21" i="8"/>
  <c r="O15" i="8"/>
  <c r="O31" i="8"/>
  <c r="O16" i="8"/>
  <c r="O30" i="8"/>
  <c r="O32" i="8"/>
  <c r="O22" i="8"/>
  <c r="O19" i="8"/>
  <c r="O14" i="8"/>
  <c r="O2" i="8"/>
  <c r="O23" i="8"/>
  <c r="O33" i="8"/>
  <c r="O10" i="8"/>
  <c r="O45" i="8"/>
  <c r="O42" i="8"/>
  <c r="N49" i="8"/>
  <c r="M49" i="8"/>
  <c r="N37" i="8"/>
  <c r="M37" i="8"/>
  <c r="M28" i="8"/>
  <c r="N28" i="8"/>
  <c r="N17" i="8"/>
  <c r="M17" i="8"/>
  <c r="N21" i="8"/>
  <c r="M21" i="8"/>
  <c r="M36" i="8"/>
  <c r="N36" i="8"/>
  <c r="N15" i="8"/>
  <c r="M40" i="8"/>
  <c r="N40" i="8"/>
  <c r="M8" i="8"/>
  <c r="N8" i="8"/>
  <c r="N14" i="8"/>
  <c r="N22" i="8"/>
  <c r="M22" i="8"/>
  <c r="M47" i="8"/>
  <c r="N47" i="8"/>
  <c r="N34" i="8"/>
  <c r="M34" i="8"/>
  <c r="M23" i="8"/>
  <c r="N23" i="8"/>
  <c r="N13" i="8"/>
  <c r="M13" i="8"/>
  <c r="M4" i="8"/>
  <c r="N4" i="8"/>
  <c r="M3" i="8"/>
  <c r="N3" i="8"/>
  <c r="M51" i="8"/>
  <c r="N51" i="8"/>
  <c r="M39" i="8"/>
  <c r="N39" i="8"/>
  <c r="N25" i="8"/>
  <c r="M25" i="8"/>
  <c r="M16" i="8"/>
  <c r="N16" i="8"/>
  <c r="N10" i="8"/>
  <c r="M10" i="8"/>
  <c r="N46" i="8"/>
  <c r="M46" i="8"/>
  <c r="N33" i="8"/>
  <c r="M52" i="8"/>
  <c r="N52" i="8"/>
  <c r="N41" i="8"/>
  <c r="M41" i="8"/>
  <c r="M44" i="8"/>
  <c r="N44" i="8"/>
  <c r="M35" i="8"/>
  <c r="N35" i="8"/>
  <c r="N11" i="8"/>
  <c r="M24" i="8"/>
  <c r="N24" i="8"/>
  <c r="N30" i="8"/>
  <c r="M30" i="8"/>
  <c r="N50" i="8"/>
  <c r="M50" i="8"/>
  <c r="N38" i="8"/>
  <c r="M38" i="8"/>
  <c r="N42" i="8"/>
  <c r="M42" i="8"/>
  <c r="N45" i="8"/>
  <c r="M45" i="8"/>
  <c r="M20" i="8"/>
  <c r="N20" i="8"/>
  <c r="N31" i="8"/>
  <c r="M7" i="8"/>
  <c r="N7" i="8"/>
  <c r="N43" i="8"/>
  <c r="N29" i="8"/>
  <c r="M29" i="8"/>
  <c r="M32" i="8"/>
  <c r="N32" i="8"/>
  <c r="N5" i="8"/>
  <c r="M5" i="8"/>
  <c r="L3" i="9"/>
  <c r="M3" i="9"/>
  <c r="Q3" i="9"/>
  <c r="R3" i="9"/>
  <c r="C2" i="8"/>
  <c r="N18" i="8"/>
  <c r="M18" i="8"/>
  <c r="M19" i="8"/>
  <c r="N19" i="8"/>
  <c r="N9" i="8"/>
  <c r="M27" i="8"/>
  <c r="N27" i="8"/>
  <c r="N26" i="8"/>
  <c r="N6" i="8"/>
  <c r="M6" i="8"/>
  <c r="X49" i="17" a="1"/>
  <c r="Z49" i="17"/>
  <c r="Z54" i="17"/>
  <c r="AB49" i="17"/>
  <c r="AB54" i="17"/>
  <c r="B11" i="8"/>
  <c r="L11" i="8"/>
  <c r="B14" i="8"/>
  <c r="L14" i="8"/>
  <c r="M14" i="8"/>
  <c r="B9" i="8"/>
  <c r="M9" i="8"/>
  <c r="E49" i="7"/>
  <c r="F49" i="7"/>
  <c r="G49" i="7"/>
  <c r="H49" i="7"/>
  <c r="Q49" i="7"/>
  <c r="R49" i="7"/>
  <c r="B48" i="8"/>
  <c r="K49" i="17"/>
  <c r="B12" i="8"/>
  <c r="M12" i="8"/>
  <c r="R11" i="8"/>
  <c r="S4" i="8"/>
  <c r="V4" i="8"/>
  <c r="S3" i="8"/>
  <c r="V3" i="8"/>
  <c r="R13" i="8"/>
  <c r="V13" i="8"/>
  <c r="R42" i="8"/>
  <c r="X42" i="8"/>
  <c r="R26" i="8"/>
  <c r="Q15" i="8"/>
  <c r="P45" i="8"/>
  <c r="V45" i="8"/>
  <c r="M43" i="8"/>
  <c r="V43" i="8"/>
  <c r="M33" i="8"/>
  <c r="V33" i="8"/>
  <c r="M31" i="8"/>
  <c r="V31" i="8"/>
  <c r="M26" i="8"/>
  <c r="M15" i="8"/>
  <c r="M11" i="8"/>
  <c r="V11" i="8"/>
  <c r="E49" i="9"/>
  <c r="F49" i="9"/>
  <c r="G49" i="9"/>
  <c r="H49" i="9"/>
  <c r="O12" i="8"/>
  <c r="P12" i="8"/>
  <c r="X27" i="8"/>
  <c r="O49" i="8"/>
  <c r="P49" i="8"/>
  <c r="V49" i="8"/>
  <c r="X7" i="8"/>
  <c r="V21" i="8"/>
  <c r="V8" i="8"/>
  <c r="X21" i="8"/>
  <c r="V18" i="8"/>
  <c r="X29" i="8"/>
  <c r="V6" i="8"/>
  <c r="X38" i="8"/>
  <c r="X41" i="8"/>
  <c r="X13" i="8"/>
  <c r="V20" i="8"/>
  <c r="X10" i="8"/>
  <c r="V51" i="8"/>
  <c r="X22" i="8"/>
  <c r="V32" i="8"/>
  <c r="V46" i="8"/>
  <c r="V17" i="8"/>
  <c r="V5" i="8"/>
  <c r="V30" i="8"/>
  <c r="V25" i="8"/>
  <c r="X34" i="8"/>
  <c r="V28" i="8"/>
  <c r="V37" i="8"/>
  <c r="X50" i="8"/>
  <c r="V35" i="8"/>
  <c r="V52" i="8"/>
  <c r="V16" i="8"/>
  <c r="V23" i="8"/>
  <c r="V36" i="8"/>
  <c r="X37" i="8"/>
  <c r="X35" i="8"/>
  <c r="X18" i="8"/>
  <c r="X24" i="8"/>
  <c r="X39" i="8"/>
  <c r="X47" i="8"/>
  <c r="X40" i="8"/>
  <c r="X44" i="8"/>
  <c r="X4" i="8"/>
  <c r="X8" i="8"/>
  <c r="X19" i="8"/>
  <c r="V27" i="8"/>
  <c r="X30" i="8"/>
  <c r="V10" i="8"/>
  <c r="X26" i="8"/>
  <c r="V19" i="8"/>
  <c r="X5" i="8"/>
  <c r="V29" i="8"/>
  <c r="V50" i="8"/>
  <c r="X11" i="8"/>
  <c r="X52" i="8"/>
  <c r="V39" i="8"/>
  <c r="X3" i="8"/>
  <c r="V47" i="8"/>
  <c r="X17" i="8"/>
  <c r="V34" i="8"/>
  <c r="N2" i="8"/>
  <c r="M2" i="8"/>
  <c r="X32" i="8"/>
  <c r="V38" i="8"/>
  <c r="V44" i="8"/>
  <c r="V41" i="8"/>
  <c r="X25" i="8"/>
  <c r="V22" i="8"/>
  <c r="X28" i="8"/>
  <c r="X6" i="8"/>
  <c r="V7" i="8"/>
  <c r="X20" i="8"/>
  <c r="V24" i="8"/>
  <c r="X46" i="8"/>
  <c r="X16" i="8"/>
  <c r="X51" i="8"/>
  <c r="X23" i="8"/>
  <c r="V40" i="8"/>
  <c r="X36" i="8"/>
  <c r="Y49" i="17"/>
  <c r="X49" i="17"/>
  <c r="T49" i="17" a="1"/>
  <c r="W49" i="17"/>
  <c r="W54" i="17"/>
  <c r="AA49" i="17"/>
  <c r="AA54" i="17"/>
  <c r="V14" i="8"/>
  <c r="L9" i="8"/>
  <c r="AA2" i="8"/>
  <c r="AA13" i="8"/>
  <c r="AA29" i="8"/>
  <c r="AA51" i="8"/>
  <c r="AA38" i="8"/>
  <c r="AA26" i="8"/>
  <c r="AA11" i="8"/>
  <c r="AA41" i="8"/>
  <c r="AA10" i="8"/>
  <c r="AA19" i="8"/>
  <c r="AA40" i="8"/>
  <c r="L49" i="7"/>
  <c r="M49" i="7"/>
  <c r="X15" i="8"/>
  <c r="L12" i="8"/>
  <c r="V12" i="8"/>
  <c r="AA6" i="8"/>
  <c r="AA35" i="8"/>
  <c r="AA28" i="8"/>
  <c r="AA23" i="8"/>
  <c r="AA18" i="8"/>
  <c r="AA31" i="8"/>
  <c r="AA8" i="8"/>
  <c r="AA27" i="8"/>
  <c r="AA45" i="8"/>
  <c r="AA50" i="8"/>
  <c r="AA43" i="8"/>
  <c r="AA20" i="8"/>
  <c r="AA25" i="8"/>
  <c r="AA21" i="8"/>
  <c r="AA5" i="8"/>
  <c r="AA44" i="8"/>
  <c r="V42" i="8"/>
  <c r="V26" i="8"/>
  <c r="V15" i="8"/>
  <c r="X45" i="8"/>
  <c r="X43" i="8"/>
  <c r="X33" i="8"/>
  <c r="X31" i="8"/>
  <c r="X14" i="8"/>
  <c r="AA16" i="8"/>
  <c r="AA36" i="8"/>
  <c r="AA15" i="8"/>
  <c r="AA12" i="8"/>
  <c r="AA17" i="8"/>
  <c r="AA34" i="8"/>
  <c r="AA46" i="8"/>
  <c r="AA3" i="8"/>
  <c r="AA94" i="8"/>
  <c r="AA99" i="8"/>
  <c r="AA33" i="8"/>
  <c r="L48" i="8"/>
  <c r="AA48" i="8"/>
  <c r="AA22" i="8"/>
  <c r="AA37" i="8"/>
  <c r="AA52" i="8"/>
  <c r="AA9" i="8"/>
  <c r="AA24" i="8"/>
  <c r="AA39" i="8"/>
  <c r="Q49" i="9"/>
  <c r="R49" i="9"/>
  <c r="C48" i="8"/>
  <c r="L49" i="9"/>
  <c r="M49" i="9"/>
  <c r="AA30" i="8"/>
  <c r="AA47" i="8"/>
  <c r="AA14" i="8"/>
  <c r="AA4" i="8"/>
  <c r="AA42" i="8"/>
  <c r="AA49" i="8"/>
  <c r="AA7" i="8"/>
  <c r="AA32" i="8"/>
  <c r="V2" i="8"/>
  <c r="X49" i="8"/>
  <c r="X2" i="8"/>
  <c r="T49" i="17"/>
  <c r="U49" i="17"/>
  <c r="V49" i="17"/>
  <c r="X12" i="8"/>
  <c r="X9" i="8"/>
  <c r="V9" i="8"/>
  <c r="AA81" i="8"/>
  <c r="E49" i="10"/>
  <c r="F49" i="10"/>
  <c r="G49" i="10"/>
  <c r="H49" i="10"/>
  <c r="Q49" i="10"/>
  <c r="R49" i="10"/>
  <c r="D48" i="8"/>
  <c r="AA67" i="8"/>
  <c r="AA73" i="8"/>
  <c r="AA86" i="8"/>
  <c r="AA68" i="8"/>
  <c r="AA90" i="8"/>
  <c r="AA65" i="8"/>
  <c r="AA87" i="8"/>
  <c r="AA74" i="8"/>
  <c r="AA89" i="8"/>
  <c r="AA105" i="8"/>
  <c r="AA98" i="8"/>
  <c r="AA58" i="8"/>
  <c r="AA66" i="8"/>
  <c r="AA96" i="8"/>
  <c r="AA70" i="8"/>
  <c r="AA97" i="8"/>
  <c r="AA56" i="8"/>
  <c r="AA80" i="8"/>
  <c r="AA88" i="8"/>
  <c r="M48" i="8"/>
  <c r="AB16" i="8"/>
  <c r="AB4" i="8"/>
  <c r="AB39" i="8"/>
  <c r="AB3" i="8"/>
  <c r="AB2" i="8"/>
  <c r="AB45" i="8"/>
  <c r="AB48" i="8"/>
  <c r="AB32" i="8"/>
  <c r="AB33" i="8"/>
  <c r="AB51" i="8"/>
  <c r="AB28" i="8"/>
  <c r="AB52" i="8"/>
  <c r="AB22" i="8"/>
  <c r="AB10" i="8"/>
  <c r="AB27" i="8"/>
  <c r="AB26" i="8"/>
  <c r="AB21" i="8"/>
  <c r="AB37" i="8"/>
  <c r="AB43" i="8"/>
  <c r="AB12" i="8"/>
  <c r="AB25" i="8"/>
  <c r="AB46" i="8"/>
  <c r="AB35" i="8"/>
  <c r="AB5" i="8"/>
  <c r="AB44" i="8"/>
  <c r="AB20" i="8"/>
  <c r="AB19" i="8"/>
  <c r="AB15" i="8"/>
  <c r="AB14" i="8"/>
  <c r="AB50" i="8"/>
  <c r="AB40" i="8"/>
  <c r="AB38" i="8"/>
  <c r="AB6" i="8"/>
  <c r="AB18" i="8"/>
  <c r="AB36" i="8"/>
  <c r="AB49" i="8"/>
  <c r="AB47" i="8"/>
  <c r="AB42" i="8"/>
  <c r="AB24" i="8"/>
  <c r="AB23" i="8"/>
  <c r="AB8" i="8"/>
  <c r="AB13" i="8"/>
  <c r="AB34" i="8"/>
  <c r="AB7" i="8"/>
  <c r="AB30" i="8"/>
  <c r="AB41" i="8"/>
  <c r="AB17" i="8"/>
  <c r="AB9" i="8"/>
  <c r="AB31" i="8"/>
  <c r="AB29" i="8"/>
  <c r="AB11" i="8"/>
  <c r="AA62" i="8"/>
  <c r="AA85" i="8"/>
  <c r="AA63" i="8"/>
  <c r="AA64" i="8"/>
  <c r="AA95" i="8"/>
  <c r="AA103" i="8"/>
  <c r="AA77" i="8"/>
  <c r="AA100" i="8"/>
  <c r="AA78" i="8"/>
  <c r="AA79" i="8"/>
  <c r="AA61" i="8"/>
  <c r="AA69" i="8"/>
  <c r="L49" i="10"/>
  <c r="M49" i="10"/>
  <c r="AA92" i="8"/>
  <c r="AA102" i="8"/>
  <c r="AA93" i="8"/>
  <c r="AA76" i="8"/>
  <c r="AA84" i="8"/>
  <c r="E49" i="11"/>
  <c r="F49" i="11"/>
  <c r="G49" i="11"/>
  <c r="H49" i="11"/>
  <c r="AA104" i="8"/>
  <c r="AA57" i="8"/>
  <c r="AA71" i="8"/>
  <c r="AA59" i="8"/>
  <c r="AA60" i="8"/>
  <c r="AA91" i="8"/>
  <c r="AA72" i="8"/>
  <c r="AA101" i="8"/>
  <c r="AA82" i="8"/>
  <c r="AA75" i="8"/>
  <c r="AA83" i="8"/>
  <c r="Q49" i="11"/>
  <c r="R49" i="11"/>
  <c r="E48" i="8"/>
  <c r="L49" i="11"/>
  <c r="M49" i="11"/>
  <c r="AC4" i="8"/>
  <c r="AC28" i="8"/>
  <c r="AC32" i="8"/>
  <c r="AC10" i="8"/>
  <c r="AC37" i="8"/>
  <c r="AC41" i="8"/>
  <c r="AC6" i="8"/>
  <c r="AC13" i="8"/>
  <c r="AC5" i="8"/>
  <c r="AC3" i="8"/>
  <c r="AC27" i="8"/>
  <c r="AC21" i="8"/>
  <c r="AC30" i="8"/>
  <c r="AC42" i="8"/>
  <c r="AC43" i="8"/>
  <c r="AC31" i="8"/>
  <c r="AC47" i="8"/>
  <c r="AC2" i="8"/>
  <c r="AC40" i="8"/>
  <c r="AC36" i="8"/>
  <c r="AC18" i="8"/>
  <c r="AC14" i="8"/>
  <c r="AC33" i="8"/>
  <c r="AC9" i="8"/>
  <c r="AC46" i="8"/>
  <c r="AC25" i="8"/>
  <c r="AC34" i="8"/>
  <c r="AC20" i="8"/>
  <c r="AC12" i="8"/>
  <c r="AC39" i="8"/>
  <c r="AC38" i="8"/>
  <c r="AC7" i="8"/>
  <c r="AC50" i="8"/>
  <c r="AC16" i="8"/>
  <c r="AC19" i="8"/>
  <c r="N48" i="8"/>
  <c r="AC51" i="8"/>
  <c r="AC29" i="8"/>
  <c r="AC48" i="8"/>
  <c r="AC49" i="8"/>
  <c r="AC35" i="8"/>
  <c r="AC23" i="8"/>
  <c r="AC17" i="8"/>
  <c r="AC15" i="8"/>
  <c r="AC44" i="8"/>
  <c r="AC8" i="8"/>
  <c r="AC26" i="8"/>
  <c r="AC52" i="8"/>
  <c r="AC22" i="8"/>
  <c r="AC45" i="8"/>
  <c r="AC11" i="8"/>
  <c r="AC24" i="8"/>
  <c r="E49" i="12"/>
  <c r="F49" i="12"/>
  <c r="G49" i="12"/>
  <c r="H49" i="12"/>
  <c r="AB76" i="8"/>
  <c r="AB56" i="8"/>
  <c r="AB83" i="8"/>
  <c r="AB68" i="8"/>
  <c r="AB64" i="8"/>
  <c r="AB94" i="8"/>
  <c r="AB60" i="8"/>
  <c r="AB90" i="8"/>
  <c r="AB67" i="8"/>
  <c r="AB97" i="8"/>
  <c r="AB71" i="8"/>
  <c r="AB93" i="8"/>
  <c r="AB78" i="8"/>
  <c r="AB74" i="8"/>
  <c r="AB70" i="8"/>
  <c r="AB100" i="8"/>
  <c r="AB96" i="8"/>
  <c r="AB73" i="8"/>
  <c r="AB66" i="8"/>
  <c r="AB92" i="8"/>
  <c r="AB58" i="8"/>
  <c r="AB69" i="8"/>
  <c r="AB88" i="8"/>
  <c r="AB99" i="8"/>
  <c r="AB65" i="8"/>
  <c r="AB84" i="8"/>
  <c r="AB103" i="8"/>
  <c r="AB61" i="8"/>
  <c r="AB80" i="8"/>
  <c r="AB91" i="8"/>
  <c r="AB57" i="8"/>
  <c r="AB95" i="8"/>
  <c r="AB72" i="8"/>
  <c r="AB102" i="8"/>
  <c r="AB87" i="8"/>
  <c r="AB98" i="8"/>
  <c r="AB75" i="8"/>
  <c r="AB105" i="8"/>
  <c r="AB79" i="8"/>
  <c r="AB101" i="8"/>
  <c r="AB86" i="8"/>
  <c r="AB82" i="8"/>
  <c r="AB59" i="8"/>
  <c r="AB89" i="8"/>
  <c r="AB63" i="8"/>
  <c r="AB85" i="8"/>
  <c r="AB104" i="8"/>
  <c r="AB81" i="8"/>
  <c r="AB77" i="8"/>
  <c r="AB62" i="8"/>
  <c r="O48" i="8"/>
  <c r="AD14" i="8"/>
  <c r="AD3" i="8"/>
  <c r="AD32" i="8"/>
  <c r="AD7" i="8"/>
  <c r="AD44" i="8"/>
  <c r="AD47" i="8"/>
  <c r="AD39" i="8"/>
  <c r="AD27" i="8"/>
  <c r="AD31" i="8"/>
  <c r="AD38" i="8"/>
  <c r="AD12" i="8"/>
  <c r="AD9" i="8"/>
  <c r="AD50" i="8"/>
  <c r="AD11" i="8"/>
  <c r="AD21" i="8"/>
  <c r="AD2" i="8"/>
  <c r="AD52" i="8"/>
  <c r="AD16" i="8"/>
  <c r="AD8" i="8"/>
  <c r="AD36" i="8"/>
  <c r="AD20" i="8"/>
  <c r="AD49" i="8"/>
  <c r="AD28" i="8"/>
  <c r="AD34" i="8"/>
  <c r="AD6" i="8"/>
  <c r="AD42" i="8"/>
  <c r="AD48" i="8"/>
  <c r="AD26" i="8"/>
  <c r="AD10" i="8"/>
  <c r="AD45" i="8"/>
  <c r="AD5" i="8"/>
  <c r="AD22" i="8"/>
  <c r="AD35" i="8"/>
  <c r="AD51" i="8"/>
  <c r="AD15" i="8"/>
  <c r="AD23" i="8"/>
  <c r="AD30" i="8"/>
  <c r="AD43" i="8"/>
  <c r="AD18" i="8"/>
  <c r="AD40" i="8"/>
  <c r="AD19" i="8"/>
  <c r="AD25" i="8"/>
  <c r="AD41" i="8"/>
  <c r="AD37" i="8"/>
  <c r="AD24" i="8"/>
  <c r="AD4" i="8"/>
  <c r="AD17" i="8"/>
  <c r="AD33" i="8"/>
  <c r="AD29" i="8"/>
  <c r="AD13" i="8"/>
  <c r="AD46" i="8"/>
  <c r="AC72" i="8"/>
  <c r="AC88" i="8"/>
  <c r="AC104" i="8"/>
  <c r="AC69" i="8"/>
  <c r="AC85" i="8"/>
  <c r="AC101" i="8"/>
  <c r="AC68" i="8"/>
  <c r="AC100" i="8"/>
  <c r="AC81" i="8"/>
  <c r="AC64" i="8"/>
  <c r="AC70" i="8"/>
  <c r="AC86" i="8"/>
  <c r="AC102" i="8"/>
  <c r="AC67" i="8"/>
  <c r="AC83" i="8"/>
  <c r="AC99" i="8"/>
  <c r="AC65" i="8"/>
  <c r="AC66" i="8"/>
  <c r="AC82" i="8"/>
  <c r="AC98" i="8"/>
  <c r="AC63" i="8"/>
  <c r="AC79" i="8"/>
  <c r="AC95" i="8"/>
  <c r="AC61" i="8"/>
  <c r="AC62" i="8"/>
  <c r="AC78" i="8"/>
  <c r="AC94" i="8"/>
  <c r="AC59" i="8"/>
  <c r="AC75" i="8"/>
  <c r="AC91" i="8"/>
  <c r="AC60" i="8"/>
  <c r="AC76" i="8"/>
  <c r="AC92" i="8"/>
  <c r="AC57" i="8"/>
  <c r="AC73" i="8"/>
  <c r="AC89" i="8"/>
  <c r="AC105" i="8"/>
  <c r="AC97" i="8"/>
  <c r="AC80" i="8"/>
  <c r="AC93" i="8"/>
  <c r="AC58" i="8"/>
  <c r="AC74" i="8"/>
  <c r="AC90" i="8"/>
  <c r="AC56" i="8"/>
  <c r="AC71" i="8"/>
  <c r="AC87" i="8"/>
  <c r="AC103" i="8"/>
  <c r="AC84" i="8"/>
  <c r="AC96" i="8"/>
  <c r="AC77" i="8"/>
  <c r="E49" i="13"/>
  <c r="F49" i="13"/>
  <c r="G49" i="13"/>
  <c r="H49" i="13"/>
  <c r="L49" i="12"/>
  <c r="M49" i="12"/>
  <c r="Q49" i="12"/>
  <c r="R49" i="12"/>
  <c r="F48" i="8"/>
  <c r="AD77" i="8"/>
  <c r="AD64" i="8"/>
  <c r="AD72" i="8"/>
  <c r="AD94" i="8"/>
  <c r="AD60" i="8"/>
  <c r="AD103" i="8"/>
  <c r="AD90" i="8"/>
  <c r="AD66" i="8"/>
  <c r="AD81" i="8"/>
  <c r="AD99" i="8"/>
  <c r="AD68" i="8"/>
  <c r="AD101" i="8"/>
  <c r="AD75" i="8"/>
  <c r="AD87" i="8"/>
  <c r="AD82" i="8"/>
  <c r="AD102" i="8"/>
  <c r="AD58" i="8"/>
  <c r="AD98" i="8"/>
  <c r="AD84" i="8"/>
  <c r="AD78" i="8"/>
  <c r="AD105" i="8"/>
  <c r="AD95" i="8"/>
  <c r="AD85" i="8"/>
  <c r="AD97" i="8"/>
  <c r="AD71" i="8"/>
  <c r="AD65" i="8"/>
  <c r="AD73" i="8"/>
  <c r="AD93" i="8"/>
  <c r="AD67" i="8"/>
  <c r="AD100" i="8"/>
  <c r="AD61" i="8"/>
  <c r="AD86" i="8"/>
  <c r="AD56" i="8"/>
  <c r="AD88" i="8"/>
  <c r="AD62" i="8"/>
  <c r="AD74" i="8"/>
  <c r="AD69" i="8"/>
  <c r="AD89" i="8"/>
  <c r="AD63" i="8"/>
  <c r="AD96" i="8"/>
  <c r="AD57" i="8"/>
  <c r="AD76" i="8"/>
  <c r="AD70" i="8"/>
  <c r="AD83" i="8"/>
  <c r="AD59" i="8"/>
  <c r="AD104" i="8"/>
  <c r="AD92" i="8"/>
  <c r="AD80" i="8"/>
  <c r="AD79" i="8"/>
  <c r="AD91" i="8"/>
  <c r="E49" i="14"/>
  <c r="F49" i="14"/>
  <c r="G49" i="14"/>
  <c r="H49" i="14"/>
  <c r="AE47" i="8"/>
  <c r="AE16" i="8"/>
  <c r="AE4" i="8"/>
  <c r="AE35" i="8"/>
  <c r="AE40" i="8"/>
  <c r="P48" i="8"/>
  <c r="AE5" i="8"/>
  <c r="AE24" i="8"/>
  <c r="AE32" i="8"/>
  <c r="AE19" i="8"/>
  <c r="AE10" i="8"/>
  <c r="AE42" i="8"/>
  <c r="AE34" i="8"/>
  <c r="AE48" i="8"/>
  <c r="AE26" i="8"/>
  <c r="AE13" i="8"/>
  <c r="AE2" i="8"/>
  <c r="AE3" i="8"/>
  <c r="AE36" i="8"/>
  <c r="AE6" i="8"/>
  <c r="AE51" i="8"/>
  <c r="AE23" i="8"/>
  <c r="AE12" i="8"/>
  <c r="AE30" i="8"/>
  <c r="AE52" i="8"/>
  <c r="AE37" i="8"/>
  <c r="AE50" i="8"/>
  <c r="AE18" i="8"/>
  <c r="AE28" i="8"/>
  <c r="AE33" i="8"/>
  <c r="AE14" i="8"/>
  <c r="AE49" i="8"/>
  <c r="AE21" i="8"/>
  <c r="AE45" i="8"/>
  <c r="AE20" i="8"/>
  <c r="AE8" i="8"/>
  <c r="AE38" i="8"/>
  <c r="AE29" i="8"/>
  <c r="AE7" i="8"/>
  <c r="AE15" i="8"/>
  <c r="AE27" i="8"/>
  <c r="AE9" i="8"/>
  <c r="AE41" i="8"/>
  <c r="AE22" i="8"/>
  <c r="AE11" i="8"/>
  <c r="AE46" i="8"/>
  <c r="AE31" i="8"/>
  <c r="AE39" i="8"/>
  <c r="AE44" i="8"/>
  <c r="AE43" i="8"/>
  <c r="AE25" i="8"/>
  <c r="AE17" i="8"/>
  <c r="L49" i="13"/>
  <c r="M49" i="13"/>
  <c r="Q49" i="13"/>
  <c r="R49" i="13"/>
  <c r="G48" i="8"/>
  <c r="Q49" i="14"/>
  <c r="R49" i="14"/>
  <c r="H48" i="8"/>
  <c r="R48" i="8"/>
  <c r="L49" i="14"/>
  <c r="M49" i="14"/>
  <c r="AF20" i="8"/>
  <c r="AF19" i="8"/>
  <c r="AF14" i="8"/>
  <c r="AF13" i="8"/>
  <c r="AF51" i="8"/>
  <c r="AF28" i="8"/>
  <c r="AF25" i="8"/>
  <c r="AF31" i="8"/>
  <c r="AF42" i="8"/>
  <c r="Q48" i="8"/>
  <c r="AF23" i="8"/>
  <c r="AF36" i="8"/>
  <c r="AF39" i="8"/>
  <c r="AF18" i="8"/>
  <c r="AF52" i="8"/>
  <c r="AF12" i="8"/>
  <c r="AF40" i="8"/>
  <c r="AF50" i="8"/>
  <c r="AF38" i="8"/>
  <c r="AF24" i="8"/>
  <c r="AF7" i="8"/>
  <c r="AF43" i="8"/>
  <c r="AF46" i="8"/>
  <c r="AF49" i="8"/>
  <c r="AF11" i="8"/>
  <c r="AF26" i="8"/>
  <c r="AF41" i="8"/>
  <c r="AF2" i="8"/>
  <c r="AF44" i="8"/>
  <c r="AF8" i="8"/>
  <c r="AF48" i="8"/>
  <c r="AF5" i="8"/>
  <c r="AF47" i="8"/>
  <c r="AF15" i="8"/>
  <c r="AF10" i="8"/>
  <c r="AF22" i="8"/>
  <c r="AF17" i="8"/>
  <c r="AF6" i="8"/>
  <c r="AF34" i="8"/>
  <c r="AF35" i="8"/>
  <c r="AF30" i="8"/>
  <c r="AF29" i="8"/>
  <c r="AF21" i="8"/>
  <c r="AF37" i="8"/>
  <c r="AF16" i="8"/>
  <c r="AF32" i="8"/>
  <c r="AF9" i="8"/>
  <c r="AF33" i="8"/>
  <c r="AF27" i="8"/>
  <c r="AF45" i="8"/>
  <c r="AF4" i="8"/>
  <c r="AF3" i="8"/>
  <c r="E49" i="15"/>
  <c r="F49" i="15"/>
  <c r="G49" i="15"/>
  <c r="H49" i="15"/>
  <c r="AE70" i="8"/>
  <c r="AE77" i="8"/>
  <c r="AE56" i="8"/>
  <c r="AE88" i="8"/>
  <c r="AE71" i="8"/>
  <c r="AE103" i="8"/>
  <c r="AE98" i="8"/>
  <c r="AE80" i="8"/>
  <c r="AE61" i="8"/>
  <c r="AE87" i="8"/>
  <c r="AE58" i="8"/>
  <c r="AE73" i="8"/>
  <c r="AE105" i="8"/>
  <c r="AE84" i="8"/>
  <c r="AE67" i="8"/>
  <c r="AE99" i="8"/>
  <c r="AE90" i="8"/>
  <c r="AE72" i="8"/>
  <c r="AE65" i="8"/>
  <c r="AE97" i="8"/>
  <c r="AE76" i="8"/>
  <c r="AE59" i="8"/>
  <c r="AE91" i="8"/>
  <c r="AE66" i="8"/>
  <c r="AE93" i="8"/>
  <c r="AE57" i="8"/>
  <c r="AE89" i="8"/>
  <c r="AE68" i="8"/>
  <c r="AE100" i="8"/>
  <c r="AE83" i="8"/>
  <c r="AE86" i="8"/>
  <c r="AE102" i="8"/>
  <c r="AE85" i="8"/>
  <c r="AE64" i="8"/>
  <c r="AE96" i="8"/>
  <c r="AE79" i="8"/>
  <c r="AE74" i="8"/>
  <c r="AE101" i="8"/>
  <c r="AE95" i="8"/>
  <c r="AE94" i="8"/>
  <c r="AE82" i="8"/>
  <c r="AE81" i="8"/>
  <c r="AE60" i="8"/>
  <c r="AE92" i="8"/>
  <c r="AE75" i="8"/>
  <c r="AE62" i="8"/>
  <c r="AE69" i="8"/>
  <c r="AE63" i="8"/>
  <c r="AE78" i="8"/>
  <c r="AE104" i="8"/>
  <c r="AF60" i="8"/>
  <c r="AF75" i="8"/>
  <c r="AF90" i="8"/>
  <c r="AF105" i="8"/>
  <c r="AF71" i="8"/>
  <c r="AF86" i="8"/>
  <c r="AF93" i="8"/>
  <c r="AF77" i="8"/>
  <c r="AF73" i="8"/>
  <c r="AF67" i="8"/>
  <c r="AF82" i="8"/>
  <c r="AF97" i="8"/>
  <c r="AF63" i="8"/>
  <c r="AF78" i="8"/>
  <c r="AF85" i="8"/>
  <c r="AF89" i="8"/>
  <c r="AF58" i="8"/>
  <c r="AF61" i="8"/>
  <c r="AF100" i="8"/>
  <c r="AF66" i="8"/>
  <c r="AF81" i="8"/>
  <c r="AF96" i="8"/>
  <c r="AF62" i="8"/>
  <c r="AF69" i="8"/>
  <c r="AF84" i="8"/>
  <c r="AF99" i="8"/>
  <c r="AF65" i="8"/>
  <c r="AF80" i="8"/>
  <c r="AF95" i="8"/>
  <c r="AF56" i="8"/>
  <c r="AF76" i="8"/>
  <c r="AF91" i="8"/>
  <c r="AF57" i="8"/>
  <c r="AF72" i="8"/>
  <c r="AF87" i="8"/>
  <c r="AF102" i="8"/>
  <c r="AF74" i="8"/>
  <c r="AF70" i="8"/>
  <c r="AF92" i="8"/>
  <c r="AF88" i="8"/>
  <c r="AF68" i="8"/>
  <c r="AF83" i="8"/>
  <c r="AF98" i="8"/>
  <c r="AF64" i="8"/>
  <c r="AF79" i="8"/>
  <c r="AF94" i="8"/>
  <c r="AF101" i="8"/>
  <c r="AF59" i="8"/>
  <c r="AF104" i="8"/>
  <c r="AF103" i="8"/>
  <c r="E49" i="16"/>
  <c r="F49" i="16"/>
  <c r="G49" i="16"/>
  <c r="H49" i="16"/>
  <c r="Q49" i="15"/>
  <c r="R49" i="15"/>
  <c r="I48" i="8"/>
  <c r="L49" i="15"/>
  <c r="M49" i="15"/>
  <c r="L49" i="16"/>
  <c r="M49" i="16"/>
  <c r="Q49" i="16"/>
  <c r="R49" i="16"/>
  <c r="J48" i="8"/>
  <c r="T48" i="8"/>
  <c r="S48" i="8"/>
  <c r="V48" i="8"/>
  <c r="X48" i="8"/>
  <c r="Y46" i="8"/>
  <c r="Y33" i="8"/>
  <c r="Y12" i="8"/>
  <c r="Y27" i="8"/>
  <c r="Y48" i="8"/>
  <c r="Y37" i="8"/>
  <c r="Y26" i="8"/>
  <c r="Y29" i="8"/>
  <c r="Y16" i="8"/>
  <c r="Y6" i="8"/>
  <c r="Y3" i="8"/>
  <c r="Y47" i="8"/>
  <c r="Y51" i="8"/>
  <c r="Y9" i="8"/>
  <c r="Y52" i="8"/>
  <c r="Y18" i="8"/>
  <c r="Y25" i="8"/>
  <c r="Y49" i="8"/>
  <c r="Y2" i="8"/>
  <c r="Y21" i="8"/>
  <c r="Y39" i="8"/>
  <c r="Y43" i="8"/>
  <c r="Y13" i="8"/>
  <c r="Y44" i="8"/>
  <c r="Y23" i="8"/>
  <c r="Y36" i="8"/>
  <c r="Y34" i="8"/>
  <c r="Y24" i="8"/>
  <c r="Y11" i="8"/>
  <c r="Y15" i="8"/>
  <c r="Y28" i="8"/>
  <c r="Y31" i="8"/>
  <c r="Y5" i="8"/>
  <c r="Y8" i="8"/>
  <c r="Y14" i="8"/>
  <c r="Y38" i="8"/>
  <c r="Y22" i="8"/>
  <c r="Y41" i="8"/>
  <c r="Y30" i="8"/>
  <c r="Y45" i="8"/>
  <c r="Y17" i="8"/>
  <c r="Y50" i="8"/>
  <c r="Y10" i="8"/>
  <c r="Y42" i="8"/>
  <c r="Y32" i="8"/>
  <c r="Y35" i="8"/>
  <c r="Y20" i="8"/>
  <c r="Y40" i="8"/>
  <c r="Y19" i="8"/>
  <c r="Y7" i="8"/>
  <c r="Y4" i="8"/>
  <c r="Y75" i="8"/>
  <c r="AG75" i="8"/>
  <c r="Y92" i="8"/>
  <c r="AG92" i="8"/>
  <c r="Y105" i="8"/>
  <c r="AG105" i="8"/>
  <c r="Y68" i="8"/>
  <c r="AG68" i="8"/>
  <c r="Y70" i="8"/>
  <c r="AG70" i="8"/>
  <c r="Y102" i="8"/>
  <c r="AG102" i="8"/>
  <c r="Y66" i="8"/>
  <c r="AG66" i="8"/>
  <c r="Y61" i="8"/>
  <c r="AG61" i="8"/>
  <c r="Y82" i="8"/>
  <c r="AG82" i="8"/>
  <c r="Y103" i="8"/>
  <c r="AG103" i="8"/>
  <c r="Y72" i="8"/>
  <c r="AG72" i="8"/>
  <c r="Y59" i="8"/>
  <c r="AG59" i="8"/>
  <c r="Y62" i="8"/>
  <c r="AG62" i="8"/>
  <c r="Y89" i="8"/>
  <c r="AG89" i="8"/>
  <c r="Y95" i="8"/>
  <c r="AG95" i="8"/>
  <c r="Y84" i="8"/>
  <c r="AG84" i="8"/>
  <c r="Y77" i="8"/>
  <c r="AG77" i="8"/>
  <c r="Y87" i="8"/>
  <c r="AG87" i="8"/>
  <c r="Y100" i="8"/>
  <c r="AG100" i="8"/>
  <c r="Y83" i="8"/>
  <c r="AG83" i="8"/>
  <c r="Y73" i="8"/>
  <c r="AG73" i="8"/>
  <c r="Y64" i="8"/>
  <c r="AG64" i="8"/>
  <c r="Y76" i="8"/>
  <c r="AG76" i="8"/>
  <c r="Y69" i="8"/>
  <c r="AG69" i="8"/>
  <c r="Y57" i="8"/>
  <c r="AG57" i="8"/>
  <c r="Y63" i="8"/>
  <c r="AG63" i="8"/>
  <c r="Y99" i="8"/>
  <c r="AG99" i="8"/>
  <c r="Y91" i="8"/>
  <c r="AG91" i="8"/>
  <c r="Y79" i="8"/>
  <c r="AG79" i="8"/>
  <c r="Y58" i="8"/>
  <c r="AG58" i="8"/>
  <c r="Y85" i="8"/>
  <c r="AG85" i="8"/>
  <c r="Y60" i="8"/>
  <c r="AG60" i="8"/>
  <c r="Y71" i="8"/>
  <c r="AG71" i="8"/>
  <c r="Y101" i="8"/>
  <c r="AG101" i="8"/>
  <c r="Y96" i="8"/>
  <c r="AG96" i="8"/>
  <c r="Y98" i="8"/>
  <c r="AG98" i="8"/>
  <c r="Y93" i="8"/>
  <c r="AG93" i="8"/>
  <c r="Y97" i="8"/>
  <c r="AG97" i="8"/>
  <c r="Y80" i="8"/>
  <c r="AG80" i="8"/>
  <c r="Y90" i="8"/>
  <c r="AG90" i="8"/>
  <c r="Y56" i="8"/>
  <c r="AG56" i="8"/>
  <c r="Y67" i="8"/>
  <c r="AG67" i="8"/>
  <c r="Y94" i="8"/>
  <c r="AG94" i="8"/>
  <c r="Y81" i="8"/>
  <c r="AG81" i="8"/>
  <c r="Y74" i="8"/>
  <c r="AG74" i="8"/>
  <c r="Y65" i="8"/>
  <c r="AG65" i="8"/>
  <c r="Y88" i="8"/>
  <c r="AG88" i="8"/>
  <c r="Y86" i="8"/>
  <c r="AG86" i="8"/>
  <c r="Y78" i="8"/>
  <c r="AG78" i="8"/>
  <c r="Y104" i="8"/>
  <c r="AG104" i="8"/>
</calcChain>
</file>

<file path=xl/sharedStrings.xml><?xml version="1.0" encoding="utf-8"?>
<sst xmlns="http://schemas.openxmlformats.org/spreadsheetml/2006/main" count="1785" uniqueCount="183">
  <si>
    <t>Network Speed (congested), Network Speed (freeflow), Population: TTI complete data 1982-2007 (calculated from 1990 values only)</t>
  </si>
  <si>
    <t>Employment: Census 1990, sum of responses to question P050. Travel Time to Work: Workers 16 years and over (American FactFinder)</t>
  </si>
  <si>
    <t>Inland Empire**</t>
    <phoneticPr fontId="21" type="noConversion"/>
  </si>
  <si>
    <t>San Jose**</t>
    <phoneticPr fontId="21" type="noConversion"/>
  </si>
  <si>
    <t>** Uses 1995 Employment</t>
    <phoneticPr fontId="21" type="noConversion"/>
  </si>
  <si>
    <t>Network Speed (congested), Network Speed (freeflow), Population: TTI complete data 1982-2007 (calculated from 2001 values only), FHWA data on highway usage in 2001</t>
  </si>
  <si>
    <t>Austin*</t>
  </si>
  <si>
    <t>Grand Rapids*</t>
  </si>
  <si>
    <t>Honolulu*</t>
  </si>
  <si>
    <t>Jacksonville*</t>
  </si>
  <si>
    <t>Las Vegas*</t>
  </si>
  <si>
    <t>Louisville*</t>
  </si>
  <si>
    <t>Memphis*</t>
  </si>
  <si>
    <t>Nashville*</t>
  </si>
  <si>
    <t>Oklahoma City*</t>
  </si>
  <si>
    <t>Raleigh*</t>
  </si>
  <si>
    <t>Area</t>
  </si>
  <si>
    <t>S_a</t>
  </si>
  <si>
    <t>S_n</t>
  </si>
  <si>
    <t>R_a</t>
  </si>
  <si>
    <t>Airline Radius [km]</t>
  </si>
  <si>
    <t>Average Airline Speed [km/h]</t>
  </si>
  <si>
    <t>A_30</t>
  </si>
  <si>
    <r>
      <t>Area covered in 30 mins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</si>
  <si>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D_UA</t>
  </si>
  <si>
    <r>
      <t>Urbanized area density [people/km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</si>
  <si>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Atlanta</t>
  </si>
  <si>
    <t>Austin</t>
  </si>
  <si>
    <t>Baltimore</t>
  </si>
  <si>
    <t>Boston</t>
  </si>
  <si>
    <t>Buffalo</t>
  </si>
  <si>
    <t>Charlotte</t>
  </si>
  <si>
    <t>Chicago</t>
  </si>
  <si>
    <t>Cincinnati</t>
  </si>
  <si>
    <t>Cleveland</t>
  </si>
  <si>
    <t>Columbus</t>
  </si>
  <si>
    <t>Denver</t>
  </si>
  <si>
    <t>Detroit</t>
  </si>
  <si>
    <t>Hartford</t>
  </si>
  <si>
    <t>Houston</t>
  </si>
  <si>
    <t>Indianapolis</t>
  </si>
  <si>
    <t>Jacksonville</t>
  </si>
  <si>
    <t>Louisville</t>
  </si>
  <si>
    <t>Memphis</t>
  </si>
  <si>
    <t>Milwaukee</t>
  </si>
  <si>
    <t>Minneapolis-St.Paul</t>
  </si>
  <si>
    <t>Nashville</t>
  </si>
  <si>
    <t>New Orleans</t>
  </si>
  <si>
    <t>Orlando</t>
  </si>
  <si>
    <t>Phoenix</t>
  </si>
  <si>
    <t>Pittsburgh</t>
  </si>
  <si>
    <t>Portland</t>
  </si>
  <si>
    <t>Providence</t>
  </si>
  <si>
    <t>Raleigh</t>
  </si>
  <si>
    <t>Sacramento</t>
  </si>
  <si>
    <t>Salt Lake City</t>
  </si>
  <si>
    <t>Seattle</t>
  </si>
  <si>
    <t>St. Louis</t>
  </si>
  <si>
    <t>Hampton Roads</t>
  </si>
  <si>
    <t>Washington</t>
  </si>
  <si>
    <t>Network Speed (congested) [km/h]</t>
  </si>
  <si>
    <t>Network Speed (freeflow) [km/h]</t>
  </si>
  <si>
    <t>Dallas-Fort Worth</t>
  </si>
  <si>
    <t>Las Vegas</t>
  </si>
  <si>
    <t>Los Angeles</t>
  </si>
  <si>
    <t>New York</t>
  </si>
  <si>
    <t>Oklahoma City</t>
  </si>
  <si>
    <t>Philadelphia</t>
  </si>
  <si>
    <t>San Antonio</t>
  </si>
  <si>
    <t>San Diego</t>
  </si>
  <si>
    <t>San Francisco</t>
  </si>
  <si>
    <t>Tampa Bay</t>
  </si>
  <si>
    <r>
      <t>San Jose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</si>
  <si>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Inland Empire</t>
    </r>
    <r>
      <rPr>
        <vertAlign val="superscript"/>
        <sz val="11"/>
        <color theme="1"/>
        <rFont val="Calibri"/>
        <family val="2"/>
        <scheme val="minor"/>
      </rPr>
      <t>1</t>
    </r>
  </si>
  <si>
    <t>Notes:</t>
  </si>
  <si>
    <t>Kansas City</t>
  </si>
  <si>
    <t>South Florida</t>
  </si>
  <si>
    <t>Accessibility</t>
  </si>
  <si>
    <r>
      <t>C</t>
    </r>
    <r>
      <rPr>
        <vertAlign val="superscript"/>
        <sz val="11"/>
        <color theme="1"/>
        <rFont val="Calibri"/>
        <family val="2"/>
        <scheme val="minor"/>
      </rPr>
      <t>2</t>
    </r>
  </si>
  <si>
    <t>Population</t>
  </si>
  <si>
    <t>Grand Rapids</t>
  </si>
  <si>
    <t>Honolulu</t>
  </si>
  <si>
    <t>Rochester</t>
  </si>
  <si>
    <r>
      <t>Area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</si>
  <si>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Area [km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]</t>
    </r>
  </si>
  <si>
    <t>Inland Empire</t>
  </si>
  <si>
    <t>San Jose</t>
  </si>
  <si>
    <r>
      <t>C</t>
    </r>
    <r>
      <rPr>
        <vertAlign val="superscript"/>
        <sz val="11"/>
        <color theme="1"/>
        <rFont val="Calibri"/>
        <family val="2"/>
        <scheme val="minor"/>
      </rPr>
      <t>1</t>
    </r>
  </si>
  <si>
    <t>Employment</t>
  </si>
  <si>
    <t>Employment Accessibility</t>
  </si>
  <si>
    <t>Employment Density</t>
  </si>
  <si>
    <t>Circuity [ ]</t>
  </si>
  <si>
    <t>.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</si>
  <si>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Circuity is from a sample of OD points with network distance matched to average commute distance</t>
    </r>
  </si>
  <si>
    <r>
      <t>Urbanized Area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</si>
  <si>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Data Sources:</t>
  </si>
  <si>
    <t>Circuity: Networks are Census Tiger 2008 county-level shapefiles merged together, commute distances are from 1990 NPTS</t>
  </si>
  <si>
    <t>* Circuity is based on either 1995 or 2001 commute distance; 1990 commute distance not available</t>
  </si>
  <si>
    <t>Providence*</t>
  </si>
  <si>
    <t>* Circuitry is from 2001 commute distance; 1995 commute distance unavailable</t>
  </si>
  <si>
    <r>
      <t>Honolulu*</t>
    </r>
    <r>
      <rPr>
        <vertAlign val="superscript"/>
        <sz val="11"/>
        <color theme="1"/>
        <rFont val="Calibri"/>
        <family val="2"/>
        <scheme val="minor"/>
      </rPr>
      <t>2</t>
    </r>
  </si>
  <si>
    <r>
      <t>Grand Rapids*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</si>
  <si>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Population from 1990 Census</t>
    </r>
  </si>
  <si>
    <t>Min EA, E</t>
    <phoneticPr fontId="21" type="noConversion"/>
  </si>
  <si>
    <t>MinPA,P</t>
    <phoneticPr fontId="21" type="noConversion"/>
  </si>
  <si>
    <t>Urbanized Area: Census 1990 Population and Housing Unit Counts (census.gov)</t>
  </si>
  <si>
    <t>Network Speed (congested), Network Speed (freeflow), Population: TTI complete data 1982-2007 (calculated from 1995 values only)</t>
  </si>
  <si>
    <t>Circuity: Networks are Census Tiger 2008 county-level shapefiles merged together, commute distances are from 1995 NPTS</t>
  </si>
  <si>
    <t>Employment: 1998 MSA Business Patterns (NAICS - from Censtats)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</si>
  <si>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Los Angeles-Inland Empire and San Francisco-San Jose were combined for the circuity analysis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</si>
  <si>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Circuity is from a sample of OD points with network distance matched to average commute distance</t>
    </r>
  </si>
  <si>
    <t>Circuity: Networks are Census Tiger 2008 county-level shapefiles merged together, commute distances are from 2001 NHTS</t>
  </si>
  <si>
    <t>Urbanized Area: Census 2000 Urbanized Area (census.gov)</t>
  </si>
  <si>
    <t>Employment: 2001 MSA Business Patterns (NAICS - from Censtats)</t>
  </si>
  <si>
    <r>
      <t>San Francisco</t>
    </r>
    <r>
      <rPr>
        <vertAlign val="superscript"/>
        <sz val="11"/>
        <color theme="1"/>
        <rFont val="Calibri"/>
        <family val="2"/>
        <scheme val="minor"/>
      </rPr>
      <t>1</t>
    </r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</si>
  <si>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Circuitry is from a sample of OD points with network distance matched to average commute distance</t>
    </r>
  </si>
  <si>
    <r>
      <t>C</t>
    </r>
    <r>
      <rPr>
        <vertAlign val="superscript"/>
        <sz val="11"/>
        <color theme="1"/>
        <rFont val="Calibri"/>
        <family val="2"/>
        <scheme val="minor"/>
      </rPr>
      <t>3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</si>
  <si>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Los Angeles-Inland Empire and Baltimore-Washington used the same average commute distance, as they were grouped together in the NHTS data</t>
    </r>
  </si>
  <si>
    <r>
      <t>Washington</t>
    </r>
    <r>
      <rPr>
        <vertAlign val="superscript"/>
        <sz val="11"/>
        <color theme="1"/>
        <rFont val="Calibri"/>
        <family val="2"/>
        <scheme val="minor"/>
      </rPr>
      <t>2</t>
    </r>
  </si>
  <si>
    <r>
      <t>Baltimore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</si>
  <si>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Inland Empire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</si>
  <si>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Los Angeles</t>
    </r>
    <r>
      <rPr>
        <vertAlign val="superscript"/>
        <sz val="11"/>
        <color theme="1"/>
        <rFont val="Calibri"/>
        <family val="2"/>
        <scheme val="minor"/>
      </rPr>
      <t>2</t>
    </r>
  </si>
  <si>
    <t>Network Speed (congested), Network Speed (freeflow), Population: TTI complete data 1982-2007 (calculated from 2007 values only)</t>
  </si>
  <si>
    <t>Circuity: Networks are Census Tiger 2008 county-level shapefiles merged together, commute distances are from 2009 NHTS</t>
  </si>
  <si>
    <t>Employment: 2008 MSA Business Patterns (NAICS - from Censtats)</t>
  </si>
  <si>
    <t>S_f</t>
  </si>
  <si>
    <t>Pop</t>
  </si>
  <si>
    <t>MinA_P</t>
  </si>
  <si>
    <t>D_Emp</t>
  </si>
  <si>
    <t>Emp</t>
  </si>
  <si>
    <t>MinA_E</t>
  </si>
  <si>
    <t>A_E</t>
  </si>
  <si>
    <t>A_P</t>
  </si>
  <si>
    <t>Rank</t>
  </si>
  <si>
    <r>
      <t>Area covered in $A$1$ hrs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</si>
  <si>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A_X</t>
  </si>
  <si>
    <t>Speeds - 2010 Urban Mobility Report, Exhibit A-8. Composite Freeway and Arterial (25% Freeway, 75% Arterial), converted to km/h</t>
  </si>
  <si>
    <t>MinA_E(10)</t>
  </si>
  <si>
    <t>MinA_E(20)</t>
  </si>
  <si>
    <t>MinA_E(30)</t>
  </si>
  <si>
    <t>MinA_E(40)</t>
  </si>
  <si>
    <t>MinA_E(50)</t>
  </si>
  <si>
    <t>MinA_E(60)</t>
  </si>
  <si>
    <t>MinA_E(20-10)</t>
  </si>
  <si>
    <t>MinA_E(30-20)</t>
  </si>
  <si>
    <t>MinA_E(40-30)</t>
  </si>
  <si>
    <t>MinA_E(50-40)</t>
  </si>
  <si>
    <t>MinA_E(60-50)</t>
  </si>
  <si>
    <t>SUM</t>
  </si>
  <si>
    <t>Beta</t>
  </si>
  <si>
    <t>Weighted Employment Accessibility</t>
  </si>
  <si>
    <t>Source of Beta: Levinson, David and Ajay Kumar (1995) A Multi-modal Trip Distribution Model. Transportation Research Record #1466: 124-131.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</si>
  <si>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San Francisco-San Jose were combined for the circuity analysis</t>
    </r>
  </si>
  <si>
    <t>TIME COHORT</t>
  </si>
  <si>
    <t>Weighted Average</t>
  </si>
  <si>
    <t>MinA_E(70)</t>
  </si>
  <si>
    <t>MinA_E(80)</t>
  </si>
  <si>
    <t>MinA_E(90)</t>
  </si>
  <si>
    <t>MinA_E(70-60)</t>
  </si>
  <si>
    <t>MinA_E(80-70)</t>
  </si>
  <si>
    <t>MinA_E(90-80)</t>
  </si>
  <si>
    <t>10 min Distance [m]</t>
  </si>
  <si>
    <t>Rochester, NY</t>
  </si>
  <si>
    <t>20 min Distance [m]</t>
  </si>
  <si>
    <t>30 min Distance [m]</t>
  </si>
  <si>
    <t>40 min Distance [m]</t>
  </si>
  <si>
    <t>50 min Distance [m]</t>
  </si>
  <si>
    <t>60 min Distance [m]</t>
  </si>
  <si>
    <t>70 min Distance [m]</t>
  </si>
  <si>
    <t>80 min Distance [m]</t>
  </si>
  <si>
    <t>90 min Distance [m]</t>
  </si>
  <si>
    <t>Time Threshold Circuities</t>
  </si>
  <si>
    <t>Zeta</t>
  </si>
  <si>
    <t>Y-Intercept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</si>
  <si>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</si>
  <si>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Mean rsq</t>
  </si>
  <si>
    <t>ln(C)-ln(t)</t>
  </si>
  <si>
    <t>C-ln(t)</t>
  </si>
  <si>
    <t>ln(C)-t</t>
  </si>
  <si>
    <t>C-t</t>
  </si>
  <si>
    <t>ln(Time Threshold Circuities)</t>
  </si>
  <si>
    <t>1990 Employment http://publicpurpose.com/ut-jtw2000metro.htm</t>
  </si>
  <si>
    <t>CORRECTED LOS ANGELES AND SAN FRANCISCO AND GRAND RAPIDS 2.22.2013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</si>
</sst>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00"/>
    <numFmt numFmtId="165" formatCode="0.00000"/>
  </numFmts>
  <fonts count="4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1"/>
      <color rgb="FF275E94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57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51" borderId="0" applyNumberFormat="0" applyBorder="0" applyAlignment="0" applyProtection="0"/>
    <xf numFmtId="0" fontId="27" fillId="35" borderId="0" applyNumberFormat="0" applyBorder="0" applyAlignment="0" applyProtection="0"/>
    <xf numFmtId="0" fontId="28" fillId="52" borderId="10" applyNumberFormat="0" applyAlignment="0" applyProtection="0"/>
    <xf numFmtId="0" fontId="29" fillId="53" borderId="11" applyNumberFormat="0" applyAlignment="0" applyProtection="0"/>
    <xf numFmtId="0" fontId="30" fillId="0" borderId="0" applyNumberFormat="0" applyFill="0" applyBorder="0" applyAlignment="0" applyProtection="0"/>
    <xf numFmtId="0" fontId="31" fillId="36" borderId="0" applyNumberFormat="0" applyBorder="0" applyAlignment="0" applyProtection="0"/>
    <xf numFmtId="0" fontId="32" fillId="0" borderId="12" applyNumberFormat="0" applyFill="0" applyAlignment="0" applyProtection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5" fillId="39" borderId="10" applyNumberFormat="0" applyAlignment="0" applyProtection="0"/>
    <xf numFmtId="0" fontId="36" fillId="0" borderId="15" applyNumberFormat="0" applyFill="0" applyAlignment="0" applyProtection="0"/>
    <xf numFmtId="0" fontId="37" fillId="54" borderId="0" applyNumberFormat="0" applyBorder="0" applyAlignment="0" applyProtection="0"/>
    <xf numFmtId="0" fontId="2" fillId="55" borderId="16" applyNumberFormat="0" applyFont="0" applyAlignment="0" applyProtection="0"/>
    <xf numFmtId="0" fontId="38" fillId="52" borderId="17" applyNumberFormat="0" applyAlignment="0" applyProtection="0"/>
    <xf numFmtId="0" fontId="39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Border="1"/>
    <xf numFmtId="0" fontId="0" fillId="0" borderId="0" xfId="0" applyBorder="1"/>
    <xf numFmtId="2" fontId="0" fillId="0" borderId="0" xfId="0" applyNumberFormat="1"/>
    <xf numFmtId="1" fontId="0" fillId="0" borderId="0" xfId="0" applyNumberFormat="1"/>
    <xf numFmtId="2" fontId="0" fillId="0" borderId="0" xfId="0" applyNumberFormat="1" applyFill="1"/>
    <xf numFmtId="0" fontId="0" fillId="0" borderId="0" xfId="0" applyBorder="1" applyAlignment="1">
      <alignment wrapText="1"/>
    </xf>
    <xf numFmtId="1" fontId="2" fillId="0" borderId="0" xfId="0" applyNumberFormat="1" applyFont="1"/>
    <xf numFmtId="1" fontId="0" fillId="0" borderId="0" xfId="0" applyNumberFormat="1" applyFont="1"/>
    <xf numFmtId="0" fontId="0" fillId="0" borderId="0" xfId="0" applyFont="1"/>
    <xf numFmtId="2" fontId="0" fillId="0" borderId="0" xfId="0" applyNumberFormat="1" applyAlignment="1">
      <alignment wrapText="1"/>
    </xf>
    <xf numFmtId="3" fontId="0" fillId="0" borderId="0" xfId="0" applyNumberFormat="1" applyFont="1"/>
    <xf numFmtId="3" fontId="0" fillId="0" borderId="0" xfId="0" applyNumberFormat="1"/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" fontId="19" fillId="0" borderId="0" xfId="0" applyNumberFormat="1" applyFont="1" applyAlignment="1">
      <alignment wrapText="1"/>
    </xf>
    <xf numFmtId="3" fontId="19" fillId="0" borderId="0" xfId="0" applyNumberFormat="1" applyFont="1"/>
    <xf numFmtId="3" fontId="0" fillId="0" borderId="0" xfId="0" applyNumberFormat="1" applyAlignment="1">
      <alignment wrapText="1"/>
    </xf>
    <xf numFmtId="2" fontId="0" fillId="0" borderId="0" xfId="0" quotePrefix="1" applyNumberFormat="1" applyAlignment="1">
      <alignment horizontal="right"/>
    </xf>
    <xf numFmtId="2" fontId="0" fillId="0" borderId="0" xfId="0" applyNumberFormat="1" applyAlignment="1">
      <alignment horizontal="right"/>
    </xf>
    <xf numFmtId="3" fontId="0" fillId="0" borderId="0" xfId="0" quotePrefix="1" applyNumberFormat="1" applyAlignment="1">
      <alignment horizontal="right"/>
    </xf>
    <xf numFmtId="3" fontId="22" fillId="0" borderId="0" xfId="0" applyNumberFormat="1" applyFont="1" applyAlignment="1">
      <alignment wrapText="1"/>
    </xf>
    <xf numFmtId="43" fontId="0" fillId="0" borderId="0" xfId="80" applyFont="1"/>
    <xf numFmtId="0" fontId="19" fillId="0" borderId="0" xfId="0" applyFont="1"/>
    <xf numFmtId="0" fontId="0" fillId="33" borderId="0" xfId="0" applyFill="1" applyAlignment="1">
      <alignment wrapText="1"/>
    </xf>
    <xf numFmtId="0" fontId="0" fillId="33" borderId="0" xfId="0" applyFill="1" applyBorder="1" applyAlignment="1">
      <alignment wrapText="1"/>
    </xf>
    <xf numFmtId="3" fontId="0" fillId="33" borderId="0" xfId="0" applyNumberFormat="1" applyFill="1" applyAlignment="1">
      <alignment wrapText="1"/>
    </xf>
    <xf numFmtId="1" fontId="2" fillId="33" borderId="0" xfId="0" applyNumberFormat="1" applyFont="1" applyFill="1"/>
    <xf numFmtId="164" fontId="0" fillId="0" borderId="0" xfId="0" applyNumberFormat="1" applyBorder="1"/>
    <xf numFmtId="164" fontId="0" fillId="0" borderId="19" xfId="0" applyNumberFormat="1" applyBorder="1"/>
    <xf numFmtId="164" fontId="0" fillId="0" borderId="19" xfId="0" applyNumberFormat="1" applyFill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Fill="1" applyBorder="1"/>
    <xf numFmtId="0" fontId="0" fillId="0" borderId="23" xfId="0" applyFill="1" applyBorder="1"/>
    <xf numFmtId="164" fontId="0" fillId="0" borderId="24" xfId="0" applyNumberFormat="1" applyBorder="1"/>
    <xf numFmtId="164" fontId="0" fillId="0" borderId="25" xfId="0" applyNumberFormat="1" applyBorder="1"/>
    <xf numFmtId="164" fontId="0" fillId="0" borderId="26" xfId="0" applyNumberFormat="1" applyBorder="1"/>
    <xf numFmtId="164" fontId="0" fillId="0" borderId="27" xfId="0" applyNumberFormat="1" applyFill="1" applyBorder="1"/>
    <xf numFmtId="164" fontId="0" fillId="0" borderId="28" xfId="0" applyNumberFormat="1" applyFill="1" applyBorder="1"/>
    <xf numFmtId="164" fontId="0" fillId="0" borderId="27" xfId="0" applyNumberFormat="1" applyBorder="1"/>
    <xf numFmtId="164" fontId="0" fillId="0" borderId="28" xfId="0" applyNumberFormat="1" applyBorder="1"/>
    <xf numFmtId="164" fontId="0" fillId="0" borderId="29" xfId="0" applyNumberFormat="1" applyFill="1" applyBorder="1"/>
    <xf numFmtId="164" fontId="0" fillId="0" borderId="30" xfId="0" applyNumberFormat="1" applyFill="1" applyBorder="1"/>
    <xf numFmtId="164" fontId="0" fillId="0" borderId="31" xfId="0" applyNumberFormat="1" applyFill="1" applyBorder="1"/>
    <xf numFmtId="0" fontId="0" fillId="0" borderId="32" xfId="0" applyBorder="1" applyAlignment="1">
      <alignment horizontal="center"/>
    </xf>
    <xf numFmtId="0" fontId="0" fillId="0" borderId="33" xfId="0" applyFill="1" applyBorder="1"/>
    <xf numFmtId="0" fontId="0" fillId="0" borderId="34" xfId="0" applyBorder="1"/>
    <xf numFmtId="0" fontId="0" fillId="0" borderId="35" xfId="0" applyBorder="1"/>
    <xf numFmtId="164" fontId="0" fillId="0" borderId="37" xfId="0" applyNumberFormat="1" applyBorder="1"/>
    <xf numFmtId="164" fontId="0" fillId="0" borderId="36" xfId="0" applyNumberFormat="1" applyBorder="1"/>
    <xf numFmtId="164" fontId="0" fillId="0" borderId="38" xfId="0" applyNumberFormat="1" applyBorder="1"/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0" xfId="0" applyNumberFormat="1"/>
    <xf numFmtId="0" fontId="0" fillId="0" borderId="39" xfId="0" applyBorder="1"/>
    <xf numFmtId="0" fontId="0" fillId="0" borderId="44" xfId="0" applyBorder="1"/>
    <xf numFmtId="0" fontId="0" fillId="0" borderId="44" xfId="0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right"/>
    </xf>
    <xf numFmtId="164" fontId="19" fillId="0" borderId="0" xfId="0" applyNumberFormat="1" applyFont="1"/>
    <xf numFmtId="0" fontId="0" fillId="0" borderId="3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</cellXfs>
  <cellStyles count="257">
    <cellStyle name="20% - Accent1" xfId="19" builtinId="30" customBuiltin="1"/>
    <cellStyle name="20% - Accent1 2" xfId="196"/>
    <cellStyle name="20% - Accent2" xfId="23" builtinId="34" customBuiltin="1"/>
    <cellStyle name="20% - Accent2 2" xfId="197"/>
    <cellStyle name="20% - Accent3" xfId="27" builtinId="38" customBuiltin="1"/>
    <cellStyle name="20% - Accent3 2" xfId="198"/>
    <cellStyle name="20% - Accent4" xfId="31" builtinId="42" customBuiltin="1"/>
    <cellStyle name="20% - Accent4 2" xfId="199"/>
    <cellStyle name="20% - Accent5" xfId="35" builtinId="46" customBuiltin="1"/>
    <cellStyle name="20% - Accent5 2" xfId="200"/>
    <cellStyle name="20% - Accent6" xfId="39" builtinId="50" customBuiltin="1"/>
    <cellStyle name="20% - Accent6 2" xfId="201"/>
    <cellStyle name="40% - Accent1" xfId="20" builtinId="31" customBuiltin="1"/>
    <cellStyle name="40% - Accent1 2" xfId="202"/>
    <cellStyle name="40% - Accent2" xfId="24" builtinId="35" customBuiltin="1"/>
    <cellStyle name="40% - Accent2 2" xfId="203"/>
    <cellStyle name="40% - Accent3" xfId="28" builtinId="39" customBuiltin="1"/>
    <cellStyle name="40% - Accent3 2" xfId="204"/>
    <cellStyle name="40% - Accent4" xfId="32" builtinId="43" customBuiltin="1"/>
    <cellStyle name="40% - Accent4 2" xfId="205"/>
    <cellStyle name="40% - Accent5" xfId="36" builtinId="47" customBuiltin="1"/>
    <cellStyle name="40% - Accent5 2" xfId="206"/>
    <cellStyle name="40% - Accent6" xfId="40" builtinId="51" customBuiltin="1"/>
    <cellStyle name="40% - Accent6 2" xfId="207"/>
    <cellStyle name="60% - Accent1" xfId="21" builtinId="32" customBuiltin="1"/>
    <cellStyle name="60% - Accent1 2" xfId="208"/>
    <cellStyle name="60% - Accent2" xfId="25" builtinId="36" customBuiltin="1"/>
    <cellStyle name="60% - Accent2 2" xfId="209"/>
    <cellStyle name="60% - Accent3" xfId="29" builtinId="40" customBuiltin="1"/>
    <cellStyle name="60% - Accent3 2" xfId="210"/>
    <cellStyle name="60% - Accent4" xfId="33" builtinId="44" customBuiltin="1"/>
    <cellStyle name="60% - Accent4 2" xfId="211"/>
    <cellStyle name="60% - Accent5" xfId="37" builtinId="48" customBuiltin="1"/>
    <cellStyle name="60% - Accent5 2" xfId="212"/>
    <cellStyle name="60% - Accent6" xfId="41" builtinId="52" customBuiltin="1"/>
    <cellStyle name="60% - Accent6 2" xfId="213"/>
    <cellStyle name="Accent1" xfId="18" builtinId="29" customBuiltin="1"/>
    <cellStyle name="Accent1 2" xfId="214"/>
    <cellStyle name="Accent2" xfId="22" builtinId="33" customBuiltin="1"/>
    <cellStyle name="Accent2 2" xfId="215"/>
    <cellStyle name="Accent3" xfId="26" builtinId="37" customBuiltin="1"/>
    <cellStyle name="Accent3 2" xfId="216"/>
    <cellStyle name="Accent4" xfId="30" builtinId="41" customBuiltin="1"/>
    <cellStyle name="Accent4 2" xfId="217"/>
    <cellStyle name="Accent5" xfId="34" builtinId="45" customBuiltin="1"/>
    <cellStyle name="Accent5 2" xfId="218"/>
    <cellStyle name="Accent6" xfId="38" builtinId="49" customBuiltin="1"/>
    <cellStyle name="Accent6 2" xfId="219"/>
    <cellStyle name="Bad" xfId="7" builtinId="27" customBuiltin="1"/>
    <cellStyle name="Bad 2" xfId="220"/>
    <cellStyle name="Calculation" xfId="11" builtinId="22" customBuiltin="1"/>
    <cellStyle name="Calculation 2" xfId="221"/>
    <cellStyle name="Check Cell" xfId="13" builtinId="23" customBuiltin="1"/>
    <cellStyle name="Check Cell 2" xfId="222"/>
    <cellStyle name="Comma" xfId="80" builtinId="3"/>
    <cellStyle name="Explanatory Text" xfId="16" builtinId="53" customBuiltin="1"/>
    <cellStyle name="Explanatory Text 2" xfId="223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250" builtinId="9" customBuiltin="1"/>
    <cellStyle name="Followed Hyperlink 2" xfId="252" hidden="1"/>
    <cellStyle name="Followed Hyperlink 2" xfId="244" hidden="1"/>
    <cellStyle name="Followed Hyperlink 2" xfId="247" hidden="1"/>
    <cellStyle name="Followed Hyperlink 3" xfId="254" hidden="1"/>
    <cellStyle name="Followed Hyperlink 3" xfId="242" hidden="1"/>
    <cellStyle name="Followed Hyperlink 3" xfId="248" hidden="1"/>
    <cellStyle name="Followed Hyperlink 4" xfId="256" hidden="1"/>
    <cellStyle name="Followed Hyperlink 4" xfId="246" hidden="1"/>
    <cellStyle name="Followed Hyperlink 4" xfId="241" hidden="1"/>
    <cellStyle name="Good" xfId="6" builtinId="26" customBuiltin="1"/>
    <cellStyle name="Good 2" xfId="224"/>
    <cellStyle name="Heading 1" xfId="2" builtinId="16" customBuiltin="1"/>
    <cellStyle name="Heading 1 2" xfId="225"/>
    <cellStyle name="Heading 2" xfId="3" builtinId="17" customBuiltin="1"/>
    <cellStyle name="Heading 2 2" xfId="226"/>
    <cellStyle name="Heading 3" xfId="4" builtinId="18" customBuiltin="1"/>
    <cellStyle name="Heading 3 2" xfId="227"/>
    <cellStyle name="Heading 4" xfId="5" builtinId="19" customBuiltin="1"/>
    <cellStyle name="Heading 4 2" xfId="228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249" builtinId="8" customBuiltin="1"/>
    <cellStyle name="Hyperlink 2" xfId="251" hidden="1"/>
    <cellStyle name="Hyperlink 2" xfId="240" hidden="1"/>
    <cellStyle name="Hyperlink 2" xfId="237" hidden="1"/>
    <cellStyle name="Hyperlink 3" xfId="253" hidden="1"/>
    <cellStyle name="Hyperlink 3" xfId="238" hidden="1"/>
    <cellStyle name="Hyperlink 3" xfId="239" hidden="1"/>
    <cellStyle name="Hyperlink 4" xfId="255" hidden="1"/>
    <cellStyle name="Hyperlink 4" xfId="243" hidden="1"/>
    <cellStyle name="Hyperlink 4" xfId="245" hidden="1"/>
    <cellStyle name="Input" xfId="9" builtinId="20" customBuiltin="1"/>
    <cellStyle name="Input 2" xfId="229"/>
    <cellStyle name="Linked Cell" xfId="12" builtinId="24" customBuiltin="1"/>
    <cellStyle name="Linked Cell 2" xfId="230"/>
    <cellStyle name="Neutral" xfId="8" builtinId="28" customBuiltin="1"/>
    <cellStyle name="Neutral 2" xfId="231"/>
    <cellStyle name="Normal" xfId="0" builtinId="0"/>
    <cellStyle name="Normal 2" xfId="195"/>
    <cellStyle name="Note" xfId="15" builtinId="10" customBuiltin="1"/>
    <cellStyle name="Note 2" xfId="232"/>
    <cellStyle name="Output" xfId="10" builtinId="21" customBuiltin="1"/>
    <cellStyle name="Output 2" xfId="233"/>
    <cellStyle name="Title" xfId="1" builtinId="15" customBuiltin="1"/>
    <cellStyle name="Title 2" xfId="234"/>
    <cellStyle name="Total" xfId="17" builtinId="25" customBuiltin="1"/>
    <cellStyle name="Total 2" xfId="235"/>
    <cellStyle name="Warning Text" xfId="14" builtinId="11" customBuiltin="1"/>
    <cellStyle name="Warning Text 2" xfId="23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externalLink" Target="externalLinks/externalLink1.xml"/><Relationship Id="rId16" Type="http://schemas.openxmlformats.org/officeDocument/2006/relationships/externalLink" Target="externalLinks/externalLink2.xml"/><Relationship Id="rId17" Type="http://schemas.openxmlformats.org/officeDocument/2006/relationships/externalLink" Target="externalLinks/externalLink3.xml"/><Relationship Id="rId18" Type="http://schemas.openxmlformats.org/officeDocument/2006/relationships/externalLink" Target="externalLinks/externalLink4.xml"/><Relationship Id="rId19" Type="http://schemas.openxmlformats.org/officeDocument/2006/relationships/externalLink" Target="externalLinks/externalLink5.xml"/><Relationship Id="rId63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1.xml"/><Relationship Id="rId66" Type="http://schemas.openxmlformats.org/officeDocument/2006/relationships/theme" Target="theme/theme1.xml"/><Relationship Id="rId67" Type="http://schemas.openxmlformats.org/officeDocument/2006/relationships/styles" Target="styles.xml"/><Relationship Id="rId68" Type="http://schemas.openxmlformats.org/officeDocument/2006/relationships/sharedStrings" Target="sharedStrings.xml"/><Relationship Id="rId69" Type="http://schemas.openxmlformats.org/officeDocument/2006/relationships/calcChain" Target="calcChain.xml"/><Relationship Id="rId50" Type="http://schemas.openxmlformats.org/officeDocument/2006/relationships/externalLink" Target="externalLinks/externalLink36.xml"/><Relationship Id="rId51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45.xml"/><Relationship Id="rId40" Type="http://schemas.openxmlformats.org/officeDocument/2006/relationships/externalLink" Target="externalLinks/externalLink26.xml"/><Relationship Id="rId41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25.xml"/><Relationship Id="rId2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7.xml"/><Relationship Id="rId22" Type="http://schemas.openxmlformats.org/officeDocument/2006/relationships/externalLink" Target="externalLinks/externalLink8.xml"/><Relationship Id="rId23" Type="http://schemas.openxmlformats.org/officeDocument/2006/relationships/externalLink" Target="externalLinks/externalLink9.xml"/><Relationship Id="rId24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15.xml"/><Relationship Id="rId60" Type="http://schemas.openxmlformats.org/officeDocument/2006/relationships/externalLink" Target="externalLinks/externalLink46.xml"/><Relationship Id="rId61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48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tlanta,%20G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stin,%20T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ltimore,%20M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oston,%20M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uffalo,%20N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harlotte,%20NC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hicago,%20I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incinnati,%20OH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leveland,%20OH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lumbus,%20O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allas,%20TX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enver,%20CO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etroit,%20MI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and%20Rapids,%20MI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ampton%20Roads,%20V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artford,%20C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onolulu,%20HI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ouston,%20TX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dianapolis,%20I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land%20Empi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Jacksonville,%20F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Kansas%20City,%20MO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as%20Vegas,%20NV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os%20Angeles,%20C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Louisville,%20K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mphis,%20T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ilwaukee,%20WI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inneapolis,%20M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Nashville,%20T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Orleans,%20LA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York%20City,%20N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klahoma%20City,%20OK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rlando,%20FL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Philadelphia,%20P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Phoenix,%20AZ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Pittsburgh,%20PA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Portland,%20O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Providence,%20RI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Raleigh,%20NC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Rochester,%20NY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Sacramento,%20CA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Salt%20Lake%20City,%20UT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Antonio,%20TX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Diego,%20CA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Francisco,%20CA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Jose,%20CA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Seattle,%20WA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Miami,%20FL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St.%20Louis,%20MO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Tampa%20Bay,%20FL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Washington,%20D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1.3176983987201769</v>
          </cell>
        </row>
      </sheetData>
      <sheetData sheetId="1">
        <row r="14">
          <cell r="M14">
            <v>1.3041798798415318</v>
          </cell>
        </row>
      </sheetData>
      <sheetData sheetId="2">
        <row r="14">
          <cell r="K14">
            <v>1.2807571042817312</v>
          </cell>
        </row>
        <row r="24">
          <cell r="K24">
            <v>1.3522447679465692</v>
          </cell>
          <cell r="L24">
            <v>1.2915585796126512</v>
          </cell>
          <cell r="M24">
            <v>1.2597492146433538</v>
          </cell>
          <cell r="N24">
            <v>1.2408930794674879</v>
          </cell>
          <cell r="O24">
            <v>1.2257265693872379</v>
          </cell>
          <cell r="P24">
            <v>1.212235646666648</v>
          </cell>
          <cell r="Q24">
            <v>1.2025352150152295</v>
          </cell>
          <cell r="R24">
            <v>1.195563923486137</v>
          </cell>
          <cell r="S24">
            <v>1.1893214778643948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1.3822485406641993</v>
          </cell>
        </row>
      </sheetData>
      <sheetData sheetId="1">
        <row r="14">
          <cell r="M14">
            <v>1.3594015505526915</v>
          </cell>
        </row>
      </sheetData>
      <sheetData sheetId="2">
        <row r="14">
          <cell r="K14">
            <v>1.3684381508690064</v>
          </cell>
        </row>
        <row r="24">
          <cell r="K24">
            <v>1.426150653096147</v>
          </cell>
          <cell r="L24">
            <v>1.4003139436062155</v>
          </cell>
          <cell r="M24">
            <v>1.3586810860714802</v>
          </cell>
          <cell r="N24">
            <v>1.3288131567869899</v>
          </cell>
          <cell r="O24">
            <v>1.3049269079520347</v>
          </cell>
          <cell r="P24">
            <v>1.2888700542866616</v>
          </cell>
          <cell r="Q24">
            <v>1.2773678081599549</v>
          </cell>
          <cell r="R24">
            <v>1.2690969416879858</v>
          </cell>
          <cell r="S24">
            <v>1.2651081597994529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1.3161664975574106</v>
          </cell>
        </row>
      </sheetData>
      <sheetData sheetId="1">
        <row r="14">
          <cell r="M14">
            <v>1.2884528966868007</v>
          </cell>
        </row>
      </sheetData>
      <sheetData sheetId="2">
        <row r="14">
          <cell r="K14">
            <v>1.2894822675799416</v>
          </cell>
        </row>
        <row r="24">
          <cell r="K24">
            <v>1.3415278293817852</v>
          </cell>
          <cell r="L24">
            <v>1.294272678161559</v>
          </cell>
          <cell r="M24">
            <v>1.2586520691285787</v>
          </cell>
          <cell r="N24">
            <v>1.2365714332480808</v>
          </cell>
          <cell r="O24">
            <v>1.223033434941925</v>
          </cell>
          <cell r="P24">
            <v>1.2143662823884371</v>
          </cell>
          <cell r="Q24">
            <v>1.2079050813012584</v>
          </cell>
          <cell r="R24">
            <v>1.2040907518677497</v>
          </cell>
          <cell r="S24">
            <v>1.2022457558485753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1.2625869874976035</v>
          </cell>
        </row>
      </sheetData>
      <sheetData sheetId="1">
        <row r="14">
          <cell r="M14">
            <v>1.2757628369995242</v>
          </cell>
        </row>
      </sheetData>
      <sheetData sheetId="2">
        <row r="14">
          <cell r="K14">
            <v>1.2711182010296465</v>
          </cell>
        </row>
        <row r="24">
          <cell r="K24">
            <v>1.3256488796814541</v>
          </cell>
          <cell r="L24">
            <v>1.2559543526404895</v>
          </cell>
          <cell r="M24">
            <v>1.2254345337287071</v>
          </cell>
          <cell r="N24">
            <v>1.2071976050807991</v>
          </cell>
          <cell r="O24">
            <v>1.1972431356119253</v>
          </cell>
          <cell r="P24">
            <v>1.1905977100287723</v>
          </cell>
          <cell r="Q24">
            <v>1.1866052347068958</v>
          </cell>
          <cell r="R24">
            <v>1.1828891685044345</v>
          </cell>
          <cell r="S24">
            <v>1.1798759561696266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1.2578441558348907</v>
          </cell>
        </row>
      </sheetData>
      <sheetData sheetId="1">
        <row r="14">
          <cell r="M14">
            <v>1.2560463761319964</v>
          </cell>
        </row>
      </sheetData>
      <sheetData sheetId="2">
        <row r="14">
          <cell r="K14">
            <v>1.2362575760130783</v>
          </cell>
        </row>
        <row r="24">
          <cell r="K24">
            <v>1.2477771132817665</v>
          </cell>
          <cell r="L24">
            <v>1.2113826246289119</v>
          </cell>
          <cell r="M24">
            <v>1.1906802761982174</v>
          </cell>
          <cell r="N24">
            <v>1.1790012375949392</v>
          </cell>
          <cell r="O24">
            <v>1.1713810846497632</v>
          </cell>
          <cell r="P24">
            <v>1.1661290473210653</v>
          </cell>
          <cell r="Q24">
            <v>1.1614956058387502</v>
          </cell>
          <cell r="R24">
            <v>1.158387437968984</v>
          </cell>
          <cell r="S24">
            <v>1.1576149370541791</v>
          </cell>
        </row>
      </sheetData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1.2937899343558146</v>
          </cell>
        </row>
      </sheetData>
      <sheetData sheetId="1">
        <row r="14">
          <cell r="M14">
            <v>1.2996608173320829</v>
          </cell>
        </row>
      </sheetData>
      <sheetData sheetId="2">
        <row r="14">
          <cell r="M14">
            <v>1.2923792329731427</v>
          </cell>
        </row>
        <row r="24">
          <cell r="K24">
            <v>1.3646366473808837</v>
          </cell>
          <cell r="L24">
            <v>1.2900410771009638</v>
          </cell>
          <cell r="M24">
            <v>1.2583972025018251</v>
          </cell>
          <cell r="N24">
            <v>1.2387012717627792</v>
          </cell>
          <cell r="O24">
            <v>1.2253877729576721</v>
          </cell>
          <cell r="P24">
            <v>1.2193290088717623</v>
          </cell>
          <cell r="Q24">
            <v>1.2177488971903101</v>
          </cell>
          <cell r="R24">
            <v>1.217383629587133</v>
          </cell>
          <cell r="S24">
            <v>1.2165063980151767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1.275007147828159</v>
          </cell>
        </row>
      </sheetData>
      <sheetData sheetId="1">
        <row r="14">
          <cell r="M14">
            <v>1.2572696710836337</v>
          </cell>
        </row>
      </sheetData>
      <sheetData sheetId="2">
        <row r="14">
          <cell r="M14">
            <v>1.2664809012983005</v>
          </cell>
        </row>
        <row r="24">
          <cell r="K24">
            <v>1.3161081482175765</v>
          </cell>
          <cell r="L24">
            <v>1.2599015853713202</v>
          </cell>
          <cell r="M24">
            <v>1.2318699042857018</v>
          </cell>
          <cell r="N24">
            <v>1.2103694059250167</v>
          </cell>
          <cell r="O24">
            <v>1.1982844246373678</v>
          </cell>
          <cell r="P24">
            <v>1.1888054867962321</v>
          </cell>
          <cell r="Q24">
            <v>1.1815739484059185</v>
          </cell>
          <cell r="R24">
            <v>1.1760459405189148</v>
          </cell>
          <cell r="S24">
            <v>1.1721614975084573</v>
          </cell>
        </row>
      </sheetData>
      <sheetData sheetId="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1.3619637871060444</v>
          </cell>
        </row>
      </sheetData>
      <sheetData sheetId="1">
        <row r="14">
          <cell r="M14">
            <v>1.352340232177877</v>
          </cell>
        </row>
      </sheetData>
      <sheetData sheetId="2">
        <row r="14">
          <cell r="M14">
            <v>1.346781828998644</v>
          </cell>
        </row>
        <row r="24">
          <cell r="K24">
            <v>1.3893578112622955</v>
          </cell>
          <cell r="L24">
            <v>1.3333596227484068</v>
          </cell>
          <cell r="M24">
            <v>1.3042447050757657</v>
          </cell>
          <cell r="N24">
            <v>1.2903500317173222</v>
          </cell>
          <cell r="O24">
            <v>1.2812488239067774</v>
          </cell>
          <cell r="P24">
            <v>1.2773637699667473</v>
          </cell>
          <cell r="Q24">
            <v>1.2731009316004391</v>
          </cell>
          <cell r="R24">
            <v>1.2694061423644654</v>
          </cell>
          <cell r="S24">
            <v>1.2651549601619831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1.243464159667574</v>
          </cell>
        </row>
      </sheetData>
      <sheetData sheetId="1">
        <row r="14">
          <cell r="M14">
            <v>1.2386711388791247</v>
          </cell>
        </row>
      </sheetData>
      <sheetData sheetId="2">
        <row r="14">
          <cell r="M14">
            <v>1.2534594758359625</v>
          </cell>
        </row>
        <row r="24">
          <cell r="K24">
            <v>1.2715517925951088</v>
          </cell>
          <cell r="L24">
            <v>1.2159000774329085</v>
          </cell>
          <cell r="M24">
            <v>1.18896059886234</v>
          </cell>
          <cell r="N24">
            <v>1.173938239626513</v>
          </cell>
          <cell r="O24">
            <v>1.1648731509913355</v>
          </cell>
          <cell r="P24">
            <v>1.1600264575735515</v>
          </cell>
          <cell r="Q24">
            <v>1.1559276711164435</v>
          </cell>
          <cell r="R24">
            <v>1.153029011882468</v>
          </cell>
          <cell r="S24">
            <v>1.1515515188480558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1.2812687539895762</v>
          </cell>
        </row>
      </sheetData>
      <sheetData sheetId="1">
        <row r="14">
          <cell r="M14">
            <v>1.2800899979738924</v>
          </cell>
        </row>
      </sheetData>
      <sheetData sheetId="2">
        <row r="14">
          <cell r="M14">
            <v>1.2802489190189665</v>
          </cell>
        </row>
        <row r="24">
          <cell r="K24">
            <v>1.3154052160541856</v>
          </cell>
          <cell r="L24">
            <v>1.2574617832246402</v>
          </cell>
          <cell r="M24">
            <v>1.2256372712216081</v>
          </cell>
          <cell r="N24">
            <v>1.2064902089048501</v>
          </cell>
          <cell r="O24">
            <v>1.1931736027090176</v>
          </cell>
          <cell r="P24">
            <v>1.1841867800130694</v>
          </cell>
          <cell r="Q24">
            <v>1.1786599793271293</v>
          </cell>
          <cell r="R24">
            <v>1.1744125033260115</v>
          </cell>
          <cell r="S24">
            <v>1.1706400753910029</v>
          </cell>
        </row>
      </sheetData>
      <sheetData sheetId="3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1.319105426942927</v>
          </cell>
        </row>
      </sheetData>
      <sheetData sheetId="1">
        <row r="14">
          <cell r="M14">
            <v>1.2979872607925949</v>
          </cell>
        </row>
      </sheetData>
      <sheetData sheetId="2">
        <row r="14">
          <cell r="M14">
            <v>1.2970009218776961</v>
          </cell>
        </row>
        <row r="24">
          <cell r="K24">
            <v>1.3709373164482086</v>
          </cell>
          <cell r="L24">
            <v>1.3167418120985259</v>
          </cell>
          <cell r="M24">
            <v>1.2795054806790753</v>
          </cell>
          <cell r="N24">
            <v>1.2511891343902113</v>
          </cell>
          <cell r="O24">
            <v>1.2332624692753114</v>
          </cell>
          <cell r="P24">
            <v>1.2187551799905612</v>
          </cell>
          <cell r="Q24">
            <v>1.2086201083246289</v>
          </cell>
          <cell r="R24">
            <v>1.20062304078927</v>
          </cell>
          <cell r="S24">
            <v>1.1935432741418819</v>
          </cell>
        </row>
      </sheetData>
      <sheetData sheetId="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1.3741328750189923</v>
          </cell>
        </row>
      </sheetData>
      <sheetData sheetId="1">
        <row r="14">
          <cell r="M14">
            <v>1.3425914840966446</v>
          </cell>
        </row>
      </sheetData>
      <sheetData sheetId="2">
        <row r="14">
          <cell r="M14">
            <v>1.3606698298113777</v>
          </cell>
        </row>
        <row r="24">
          <cell r="K24">
            <v>1.3838943275761848</v>
          </cell>
          <cell r="L24">
            <v>1.3695766278756532</v>
          </cell>
          <cell r="M24">
            <v>1.3549453384351537</v>
          </cell>
          <cell r="N24">
            <v>1.3407119414349367</v>
          </cell>
          <cell r="O24">
            <v>1.3310249643517464</v>
          </cell>
          <cell r="P24">
            <v>1.3233890487857078</v>
          </cell>
          <cell r="Q24">
            <v>1.3199025271396674</v>
          </cell>
          <cell r="R24">
            <v>1.3213862630598945</v>
          </cell>
          <cell r="S24">
            <v>1.3240785487461841</v>
          </cell>
        </row>
      </sheetData>
      <sheetData sheetId="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1.2636376300485015</v>
          </cell>
        </row>
      </sheetData>
      <sheetData sheetId="1">
        <row r="14">
          <cell r="M14">
            <v>1.2625604761011948</v>
          </cell>
        </row>
      </sheetData>
      <sheetData sheetId="2">
        <row r="14">
          <cell r="M14">
            <v>1.2559987936287054</v>
          </cell>
        </row>
        <row r="24">
          <cell r="K24">
            <v>1.2961889465742875</v>
          </cell>
          <cell r="L24">
            <v>1.244115595775388</v>
          </cell>
          <cell r="M24">
            <v>1.2210672341555926</v>
          </cell>
          <cell r="N24">
            <v>1.2045476702347175</v>
          </cell>
          <cell r="O24">
            <v>1.1948625976389575</v>
          </cell>
          <cell r="P24">
            <v>1.1890981300925036</v>
          </cell>
          <cell r="Q24">
            <v>1.1857996728322051</v>
          </cell>
          <cell r="R24">
            <v>1.1834504180945258</v>
          </cell>
          <cell r="S24">
            <v>1.1815111634315267</v>
          </cell>
        </row>
      </sheetData>
      <sheetData sheetId="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1.2965218223033852</v>
          </cell>
        </row>
      </sheetData>
      <sheetData sheetId="1">
        <row r="14">
          <cell r="M14">
            <v>1.2937282455432477</v>
          </cell>
        </row>
      </sheetData>
      <sheetData sheetId="2">
        <row r="14">
          <cell r="M14">
            <v>1.2986826132965654</v>
          </cell>
        </row>
        <row r="24">
          <cell r="K24">
            <v>1.3348754820096862</v>
          </cell>
          <cell r="L24">
            <v>1.2817605615059422</v>
          </cell>
          <cell r="M24">
            <v>1.2544780223802419</v>
          </cell>
          <cell r="N24">
            <v>1.2419710808941744</v>
          </cell>
          <cell r="O24">
            <v>1.233456986217629</v>
          </cell>
          <cell r="P24">
            <v>1.2279984552443621</v>
          </cell>
          <cell r="Q24">
            <v>1.224997316832088</v>
          </cell>
          <cell r="R24">
            <v>1.2239079252730434</v>
          </cell>
          <cell r="S24">
            <v>1.2232412513078061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1.367727470076618</v>
          </cell>
        </row>
      </sheetData>
      <sheetData sheetId="1">
        <row r="14">
          <cell r="M14">
            <v>1.3703528181909479</v>
          </cell>
        </row>
      </sheetData>
      <sheetData sheetId="2">
        <row r="14">
          <cell r="M14">
            <v>1.3515468741706309</v>
          </cell>
        </row>
        <row r="24">
          <cell r="K24">
            <v>1.3770423338795401</v>
          </cell>
          <cell r="L24">
            <v>1.3279800701748417</v>
          </cell>
          <cell r="M24">
            <v>1.312046755370444</v>
          </cell>
          <cell r="N24">
            <v>1.3127863353875946</v>
          </cell>
          <cell r="O24">
            <v>1.3266315300264815</v>
          </cell>
          <cell r="P24">
            <v>1.346740351144762</v>
          </cell>
          <cell r="Q24">
            <v>1.3587189631498593</v>
          </cell>
          <cell r="R24">
            <v>1.366151779003018</v>
          </cell>
          <cell r="S24">
            <v>1.3692372738659986</v>
          </cell>
        </row>
      </sheetData>
      <sheetData sheetId="3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1.2884912963976469</v>
          </cell>
        </row>
      </sheetData>
      <sheetData sheetId="1">
        <row r="14">
          <cell r="M14">
            <v>1.2902473351467056</v>
          </cell>
        </row>
      </sheetData>
      <sheetData sheetId="2">
        <row r="14">
          <cell r="M14">
            <v>1.2824877524395879</v>
          </cell>
        </row>
        <row r="24">
          <cell r="K24">
            <v>1.3002946151384891</v>
          </cell>
          <cell r="L24">
            <v>1.2505150819135913</v>
          </cell>
          <cell r="M24">
            <v>1.2290898816431728</v>
          </cell>
          <cell r="N24">
            <v>1.2188864904956345</v>
          </cell>
          <cell r="O24">
            <v>1.2145010966126184</v>
          </cell>
          <cell r="P24">
            <v>1.2117954649668699</v>
          </cell>
          <cell r="Q24">
            <v>1.2104758123426149</v>
          </cell>
          <cell r="R24">
            <v>1.2093125584058166</v>
          </cell>
          <cell r="S24">
            <v>1.209107216071498</v>
          </cell>
        </row>
      </sheetData>
      <sheetData sheetId="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1.4352364311049759</v>
          </cell>
        </row>
      </sheetData>
      <sheetData sheetId="1">
        <row r="14">
          <cell r="M14">
            <v>1.4070046481503795</v>
          </cell>
        </row>
      </sheetData>
      <sheetData sheetId="2">
        <row r="14">
          <cell r="M14">
            <v>1.4201531954018773</v>
          </cell>
        </row>
        <row r="24">
          <cell r="K24">
            <v>1.3987003867957324</v>
          </cell>
          <cell r="L24">
            <v>1.391616228451807</v>
          </cell>
          <cell r="M24">
            <v>1.4544181586782163</v>
          </cell>
          <cell r="N24">
            <v>1.4538117652110458</v>
          </cell>
          <cell r="O24">
            <v>1.4574002955043319</v>
          </cell>
          <cell r="P24">
            <v>1.4692986717859429</v>
          </cell>
          <cell r="Q24">
            <v>1.4767113172087425</v>
          </cell>
          <cell r="R24">
            <v>1.4777791774280755</v>
          </cell>
          <cell r="S24">
            <v>1.4777153986356404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1.346990060684963</v>
          </cell>
        </row>
      </sheetData>
      <sheetData sheetId="1">
        <row r="14">
          <cell r="M14">
            <v>1.3286757241969671</v>
          </cell>
        </row>
      </sheetData>
      <sheetData sheetId="2">
        <row r="14">
          <cell r="M14">
            <v>1.3380063582904949</v>
          </cell>
        </row>
        <row r="24">
          <cell r="K24">
            <v>1.3897486026643189</v>
          </cell>
          <cell r="L24">
            <v>1.3387498825041777</v>
          </cell>
          <cell r="M24">
            <v>1.3069331450221904</v>
          </cell>
          <cell r="N24">
            <v>1.2856652497453485</v>
          </cell>
          <cell r="O24">
            <v>1.2722002879394259</v>
          </cell>
          <cell r="P24">
            <v>1.2594130920664293</v>
          </cell>
          <cell r="Q24">
            <v>1.2522801836640733</v>
          </cell>
          <cell r="R24">
            <v>1.2449949020243729</v>
          </cell>
          <cell r="S24">
            <v>1.2388417245899803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1.2844550906426973</v>
          </cell>
        </row>
      </sheetData>
      <sheetData sheetId="1">
        <row r="14">
          <cell r="M14">
            <v>1.2915369082760655</v>
          </cell>
        </row>
      </sheetData>
      <sheetData sheetId="2">
        <row r="14">
          <cell r="M14">
            <v>1.2767133750012463</v>
          </cell>
        </row>
        <row r="24">
          <cell r="K24">
            <v>1.3132675347089213</v>
          </cell>
          <cell r="L24">
            <v>1.2503690377090788</v>
          </cell>
          <cell r="M24">
            <v>1.2187474904953295</v>
          </cell>
          <cell r="N24">
            <v>1.200222268133452</v>
          </cell>
          <cell r="O24">
            <v>1.1891581230137593</v>
          </cell>
          <cell r="P24">
            <v>1.1812621353923214</v>
          </cell>
          <cell r="Q24">
            <v>1.1756537398215856</v>
          </cell>
          <cell r="R24">
            <v>1.171319986899658</v>
          </cell>
          <cell r="S24">
            <v>1.1680289166643287</v>
          </cell>
        </row>
      </sheetData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1.3675530233634587</v>
          </cell>
        </row>
      </sheetData>
      <sheetData sheetId="1">
        <row r="14">
          <cell r="M14">
            <v>1.3466069354789227</v>
          </cell>
        </row>
      </sheetData>
      <sheetData sheetId="2">
        <row r="14">
          <cell r="M14">
            <v>1.3225845330212038</v>
          </cell>
        </row>
        <row r="24">
          <cell r="K24">
            <v>1.3841718613966598</v>
          </cell>
          <cell r="L24">
            <v>1.3517235884128587</v>
          </cell>
          <cell r="M24">
            <v>1.3338612779719421</v>
          </cell>
          <cell r="N24">
            <v>1.3212182810798512</v>
          </cell>
          <cell r="O24">
            <v>1.3158819753742408</v>
          </cell>
          <cell r="P24">
            <v>1.312627353699904</v>
          </cell>
          <cell r="Q24">
            <v>1.306991829104972</v>
          </cell>
          <cell r="R24">
            <v>1.3018012430142005</v>
          </cell>
          <cell r="S24">
            <v>1.295915004423644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1.3616274063864398</v>
          </cell>
        </row>
      </sheetData>
      <sheetData sheetId="1">
        <row r="14">
          <cell r="M14">
            <v>1.38016965220282</v>
          </cell>
        </row>
      </sheetData>
      <sheetData sheetId="2">
        <row r="14">
          <cell r="M14">
            <v>1.3465324365046256</v>
          </cell>
        </row>
        <row r="24">
          <cell r="K24">
            <v>1.3815643022128219</v>
          </cell>
          <cell r="L24">
            <v>1.361335749578314</v>
          </cell>
          <cell r="M24">
            <v>1.3294690524529627</v>
          </cell>
          <cell r="N24">
            <v>1.3155753641323731</v>
          </cell>
          <cell r="O24">
            <v>1.308047643913695</v>
          </cell>
          <cell r="P24">
            <v>1.3090196313866675</v>
          </cell>
          <cell r="Q24">
            <v>1.3113691978150683</v>
          </cell>
          <cell r="R24">
            <v>1.3143309967769681</v>
          </cell>
          <cell r="S24">
            <v>1.3179998880697821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1.3187575174107784</v>
          </cell>
        </row>
      </sheetData>
      <sheetData sheetId="1">
        <row r="14">
          <cell r="M14">
            <v>1.3104852985223703</v>
          </cell>
        </row>
      </sheetData>
      <sheetData sheetId="2">
        <row r="14">
          <cell r="M14">
            <v>1.2938950406425029</v>
          </cell>
        </row>
        <row r="24">
          <cell r="K24">
            <v>1.3497363834314509</v>
          </cell>
          <cell r="L24">
            <v>1.2910908276182511</v>
          </cell>
          <cell r="M24">
            <v>1.2763607033146633</v>
          </cell>
          <cell r="N24">
            <v>1.2688501335417108</v>
          </cell>
          <cell r="O24">
            <v>1.2596090368446629</v>
          </cell>
          <cell r="P24">
            <v>1.2489552286252659</v>
          </cell>
          <cell r="Q24">
            <v>1.2409325101454991</v>
          </cell>
          <cell r="R24">
            <v>1.2355926103504966</v>
          </cell>
          <cell r="S24">
            <v>1.2317795249177137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1.3192781771865358</v>
          </cell>
        </row>
      </sheetData>
      <sheetData sheetId="1">
        <row r="14">
          <cell r="M14">
            <v>1.3294111740417367</v>
          </cell>
        </row>
      </sheetData>
      <sheetData sheetId="2">
        <row r="14">
          <cell r="M14">
            <v>1.3164783442303913</v>
          </cell>
        </row>
        <row r="24">
          <cell r="K24">
            <v>1.3162005811729707</v>
          </cell>
          <cell r="L24">
            <v>1.3366132908202915</v>
          </cell>
          <cell r="M24">
            <v>1.3479985729231181</v>
          </cell>
          <cell r="N24">
            <v>1.3314821860068244</v>
          </cell>
          <cell r="O24">
            <v>1.329484525894616</v>
          </cell>
          <cell r="P24">
            <v>1.3281005575067044</v>
          </cell>
          <cell r="Q24">
            <v>1.3273180275304128</v>
          </cell>
          <cell r="R24">
            <v>1.3260391661883868</v>
          </cell>
          <cell r="S24">
            <v>1.3262462737318623</v>
          </cell>
        </row>
      </sheetData>
      <sheetData sheetId="3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1.3069694229918734</v>
          </cell>
        </row>
      </sheetData>
      <sheetData sheetId="1">
        <row r="14">
          <cell r="M14">
            <v>1.275870546891803</v>
          </cell>
        </row>
      </sheetData>
      <sheetData sheetId="2">
        <row r="14">
          <cell r="M14">
            <v>1.273631038348862</v>
          </cell>
        </row>
        <row r="24">
          <cell r="K24">
            <v>1.2967211649778432</v>
          </cell>
          <cell r="L24">
            <v>1.2814901265331109</v>
          </cell>
          <cell r="M24">
            <v>1.2574820774863131</v>
          </cell>
          <cell r="N24">
            <v>1.2433543124840745</v>
          </cell>
          <cell r="O24">
            <v>1.2360933047718667</v>
          </cell>
          <cell r="P24">
            <v>1.2376914918106077</v>
          </cell>
          <cell r="Q24">
            <v>1.2408507300315808</v>
          </cell>
          <cell r="R24">
            <v>1.2450143270582681</v>
          </cell>
          <cell r="S24">
            <v>1.2490194092718765</v>
          </cell>
        </row>
      </sheetData>
      <sheetData sheetId="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1.3581345772152313</v>
          </cell>
        </row>
      </sheetData>
      <sheetData sheetId="1">
        <row r="14">
          <cell r="M14">
            <v>1.3698274289231505</v>
          </cell>
        </row>
      </sheetData>
      <sheetData sheetId="2">
        <row r="14">
          <cell r="M14">
            <v>1.3974135693660048</v>
          </cell>
        </row>
        <row r="24">
          <cell r="K24">
            <v>1.4461618303699983</v>
          </cell>
          <cell r="L24">
            <v>1.3775195874982225</v>
          </cell>
          <cell r="M24">
            <v>1.3369233725771599</v>
          </cell>
          <cell r="N24">
            <v>1.3141602486187556</v>
          </cell>
          <cell r="O24">
            <v>1.3025339347915854</v>
          </cell>
          <cell r="P24">
            <v>1.2936603925299017</v>
          </cell>
          <cell r="Q24">
            <v>1.2909809753440558</v>
          </cell>
          <cell r="R24">
            <v>1.2926419494509371</v>
          </cell>
          <cell r="S24">
            <v>1.2981553223941871</v>
          </cell>
        </row>
      </sheetData>
      <sheetData sheetId="3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1.3305281509449185</v>
          </cell>
        </row>
      </sheetData>
      <sheetData sheetId="1">
        <row r="14">
          <cell r="M14">
            <v>1.3395982771030672</v>
          </cell>
        </row>
      </sheetData>
      <sheetData sheetId="2">
        <row r="14">
          <cell r="M14">
            <v>1.3193642020009688</v>
          </cell>
        </row>
        <row r="24">
          <cell r="K24">
            <v>1.3673423853224496</v>
          </cell>
          <cell r="L24">
            <v>1.323930461422739</v>
          </cell>
          <cell r="M24">
            <v>1.2908476784745491</v>
          </cell>
          <cell r="N24">
            <v>1.2725419334652774</v>
          </cell>
          <cell r="O24">
            <v>1.2608373515002151</v>
          </cell>
          <cell r="P24">
            <v>1.2544777350597911</v>
          </cell>
          <cell r="Q24">
            <v>1.249699683468217</v>
          </cell>
          <cell r="R24">
            <v>1.2476866201392505</v>
          </cell>
          <cell r="S24">
            <v>1.2462450438919415</v>
          </cell>
        </row>
      </sheetData>
      <sheetData sheetId="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1.2378357921905436</v>
          </cell>
        </row>
      </sheetData>
      <sheetData sheetId="1">
        <row r="14">
          <cell r="M14">
            <v>1.2543575950391952</v>
          </cell>
        </row>
      </sheetData>
      <sheetData sheetId="2">
        <row r="14">
          <cell r="M14">
            <v>1.2348247986798617</v>
          </cell>
        </row>
        <row r="24">
          <cell r="K24">
            <v>1.2642401733175872</v>
          </cell>
          <cell r="L24">
            <v>1.2186336349093323</v>
          </cell>
          <cell r="M24">
            <v>1.195432722588013</v>
          </cell>
          <cell r="N24">
            <v>1.1840651584317397</v>
          </cell>
          <cell r="O24">
            <v>1.1771971316163268</v>
          </cell>
          <cell r="P24">
            <v>1.171858273061906</v>
          </cell>
          <cell r="Q24">
            <v>1.1688546907246202</v>
          </cell>
          <cell r="R24">
            <v>1.1684578197240036</v>
          </cell>
          <cell r="S24">
            <v>1.1687494009015562</v>
          </cell>
        </row>
      </sheetData>
      <sheetData sheetId="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1.3104939130605076</v>
          </cell>
        </row>
      </sheetData>
      <sheetData sheetId="1">
        <row r="14">
          <cell r="M14">
            <v>1.2903240285053357</v>
          </cell>
        </row>
      </sheetData>
      <sheetData sheetId="2">
        <row r="14">
          <cell r="M14">
            <v>1.3006662698584941</v>
          </cell>
        </row>
        <row r="24">
          <cell r="K24">
            <v>1.3432337036137816</v>
          </cell>
          <cell r="L24">
            <v>1.294778761107952</v>
          </cell>
          <cell r="M24">
            <v>1.264148984854071</v>
          </cell>
          <cell r="N24">
            <v>1.2474610396413324</v>
          </cell>
          <cell r="O24">
            <v>1.2354179281430617</v>
          </cell>
          <cell r="P24">
            <v>1.2276619490486302</v>
          </cell>
          <cell r="Q24">
            <v>1.221194278923895</v>
          </cell>
          <cell r="R24">
            <v>1.2155297767685767</v>
          </cell>
          <cell r="S24">
            <v>1.2111779645088356</v>
          </cell>
        </row>
      </sheetData>
      <sheetData sheetId="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1.3663109771332131</v>
          </cell>
        </row>
      </sheetData>
      <sheetData sheetId="1">
        <row r="14">
          <cell r="M14">
            <v>1.4143616306352653</v>
          </cell>
        </row>
      </sheetData>
      <sheetData sheetId="2">
        <row r="14">
          <cell r="M14">
            <v>1.3652019036795315</v>
          </cell>
        </row>
        <row r="24">
          <cell r="K24">
            <v>1.3962975386380219</v>
          </cell>
          <cell r="L24">
            <v>1.3556471646875112</v>
          </cell>
          <cell r="M24">
            <v>1.3216572823903541</v>
          </cell>
          <cell r="N24">
            <v>1.3115095367813425</v>
          </cell>
          <cell r="O24">
            <v>1.2975109840164123</v>
          </cell>
          <cell r="P24">
            <v>1.2812771919082664</v>
          </cell>
          <cell r="Q24">
            <v>1.268359624737877</v>
          </cell>
          <cell r="R24">
            <v>1.2583035105280034</v>
          </cell>
          <cell r="S24">
            <v>1.2500066845621041</v>
          </cell>
        </row>
      </sheetData>
      <sheetData sheetId="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1.3904185701339111</v>
          </cell>
        </row>
      </sheetData>
      <sheetData sheetId="1">
        <row r="14">
          <cell r="M14">
            <v>1.3628619070943169</v>
          </cell>
        </row>
      </sheetData>
      <sheetData sheetId="2">
        <row r="14">
          <cell r="M14">
            <v>1.3651717714607812</v>
          </cell>
        </row>
        <row r="24">
          <cell r="K24">
            <v>1.3868608857534024</v>
          </cell>
          <cell r="L24">
            <v>1.3639553136628404</v>
          </cell>
          <cell r="M24">
            <v>1.334391541452087</v>
          </cell>
          <cell r="N24">
            <v>1.3054174227361475</v>
          </cell>
          <cell r="O24">
            <v>1.2846690927988274</v>
          </cell>
          <cell r="P24">
            <v>1.2748337749432137</v>
          </cell>
          <cell r="Q24">
            <v>1.2788048514694768</v>
          </cell>
          <cell r="R24">
            <v>1.2934036196515124</v>
          </cell>
          <cell r="S24">
            <v>1.3135288044033089</v>
          </cell>
        </row>
      </sheetData>
      <sheetData sheetId="3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1.3000907483000184</v>
          </cell>
        </row>
      </sheetData>
      <sheetData sheetId="1">
        <row r="14">
          <cell r="M14">
            <v>1.2979863592894043</v>
          </cell>
        </row>
      </sheetData>
      <sheetData sheetId="2">
        <row r="14">
          <cell r="M14">
            <v>1.2926918455295733</v>
          </cell>
        </row>
        <row r="24">
          <cell r="K24">
            <v>1.3285519856984629</v>
          </cell>
          <cell r="L24">
            <v>1.2842535380482079</v>
          </cell>
          <cell r="M24">
            <v>1.2633101259911681</v>
          </cell>
          <cell r="N24">
            <v>1.2530601802762187</v>
          </cell>
          <cell r="O24">
            <v>1.2410959429298725</v>
          </cell>
          <cell r="P24">
            <v>1.2333672126313162</v>
          </cell>
          <cell r="Q24">
            <v>1.2294730247522823</v>
          </cell>
          <cell r="R24">
            <v>1.226367172907711</v>
          </cell>
          <cell r="S24">
            <v>1.2250064344151086</v>
          </cell>
        </row>
      </sheetData>
      <sheetData sheetId="3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1.3155578369348055</v>
          </cell>
        </row>
      </sheetData>
      <sheetData sheetId="1">
        <row r="14">
          <cell r="M14">
            <v>1.3148530420031499</v>
          </cell>
        </row>
      </sheetData>
      <sheetData sheetId="2">
        <row r="14">
          <cell r="M14">
            <v>1.297336317910232</v>
          </cell>
        </row>
        <row r="24">
          <cell r="K24">
            <v>1.3110975612258597</v>
          </cell>
          <cell r="L24">
            <v>1.2897910723541097</v>
          </cell>
          <cell r="M24">
            <v>1.2750009602571852</v>
          </cell>
          <cell r="N24">
            <v>1.2672988581834221</v>
          </cell>
          <cell r="O24">
            <v>1.2638638232191739</v>
          </cell>
          <cell r="P24">
            <v>1.2574334899680917</v>
          </cell>
          <cell r="Q24">
            <v>1.2501762036613628</v>
          </cell>
          <cell r="R24">
            <v>1.2453602734229849</v>
          </cell>
          <cell r="S24">
            <v>1.242139526018162</v>
          </cell>
        </row>
      </sheetData>
      <sheetData sheetId="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1.3795872253468273</v>
          </cell>
        </row>
      </sheetData>
      <sheetData sheetId="1">
        <row r="14">
          <cell r="M14">
            <v>1.3285757349498153</v>
          </cell>
        </row>
      </sheetData>
      <sheetData sheetId="2">
        <row r="14">
          <cell r="M14">
            <v>1.3583174319242723</v>
          </cell>
        </row>
        <row r="24">
          <cell r="K24">
            <v>1.3848661716333772</v>
          </cell>
          <cell r="L24">
            <v>1.3541020206663816</v>
          </cell>
          <cell r="M24">
            <v>1.3376145866573186</v>
          </cell>
          <cell r="N24">
            <v>1.3255911469497201</v>
          </cell>
          <cell r="O24">
            <v>1.315316264996125</v>
          </cell>
          <cell r="P24">
            <v>1.3074104676721685</v>
          </cell>
          <cell r="Q24">
            <v>1.2996850135029854</v>
          </cell>
          <cell r="R24">
            <v>1.2929926440222419</v>
          </cell>
          <cell r="S24">
            <v>1.2853519714869961</v>
          </cell>
        </row>
      </sheetData>
      <sheetData sheetId="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1.2691430364308398</v>
          </cell>
        </row>
      </sheetData>
      <sheetData sheetId="1">
        <row r="14">
          <cell r="M14">
            <v>1.270589105185578</v>
          </cell>
        </row>
      </sheetData>
      <sheetData sheetId="2">
        <row r="14">
          <cell r="M14">
            <v>1.2539586923602402</v>
          </cell>
        </row>
        <row r="24">
          <cell r="K24">
            <v>1.2841177547554121</v>
          </cell>
          <cell r="L24">
            <v>1.2265252494853012</v>
          </cell>
          <cell r="M24">
            <v>1.2022800918654142</v>
          </cell>
          <cell r="N24">
            <v>1.1865529546953812</v>
          </cell>
          <cell r="O24">
            <v>1.1750407221381178</v>
          </cell>
          <cell r="P24">
            <v>1.1669146309492935</v>
          </cell>
          <cell r="Q24">
            <v>1.1601779981390801</v>
          </cell>
          <cell r="R24">
            <v>1.1537358360102858</v>
          </cell>
          <cell r="S24">
            <v>1.1487822147683098</v>
          </cell>
        </row>
      </sheetData>
      <sheetData sheetId="3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1.3305116292877421</v>
          </cell>
        </row>
      </sheetData>
      <sheetData sheetId="1">
        <row r="14">
          <cell r="M14">
            <v>1.3383980523962744</v>
          </cell>
        </row>
      </sheetData>
      <sheetData sheetId="2">
        <row r="14">
          <cell r="M14">
            <v>1.3100982413481645</v>
          </cell>
        </row>
        <row r="24">
          <cell r="K24">
            <v>1.3377242090881898</v>
          </cell>
          <cell r="L24">
            <v>1.3059498158416865</v>
          </cell>
          <cell r="M24">
            <v>1.2936940628378486</v>
          </cell>
          <cell r="N24">
            <v>1.2808248740156463</v>
          </cell>
          <cell r="O24">
            <v>1.2687811766218124</v>
          </cell>
          <cell r="P24">
            <v>1.2594367890944496</v>
          </cell>
          <cell r="Q24">
            <v>1.2543540749183388</v>
          </cell>
          <cell r="R24">
            <v>1.2498088103824545</v>
          </cell>
          <cell r="S24">
            <v>1.2441574943956268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1.3743866676775569</v>
          </cell>
        </row>
      </sheetData>
      <sheetData sheetId="1">
        <row r="14">
          <cell r="M14">
            <v>1.3772498743519488</v>
          </cell>
        </row>
      </sheetData>
      <sheetData sheetId="2">
        <row r="14">
          <cell r="M14">
            <v>1.3795878166286508</v>
          </cell>
        </row>
        <row r="24">
          <cell r="K24">
            <v>1.3964819567172002</v>
          </cell>
          <cell r="L24">
            <v>1.330058039366363</v>
          </cell>
          <cell r="M24">
            <v>1.2978145775706831</v>
          </cell>
          <cell r="N24">
            <v>1.2770429807896806</v>
          </cell>
          <cell r="O24">
            <v>1.2611477808444327</v>
          </cell>
          <cell r="P24">
            <v>1.249961861513895</v>
          </cell>
          <cell r="Q24">
            <v>1.242272774487758</v>
          </cell>
          <cell r="R24">
            <v>1.2360973278953262</v>
          </cell>
          <cell r="S24">
            <v>1.230645564176768</v>
          </cell>
        </row>
      </sheetData>
      <sheetData sheetId="3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  <sheetName val="2000 (1)"/>
      <sheetName val="2000 (2)"/>
    </sheetNames>
    <sheetDataSet>
      <sheetData sheetId="0">
        <row r="14">
          <cell r="M14">
            <v>1.4841392357363499</v>
          </cell>
        </row>
      </sheetData>
      <sheetData sheetId="1">
        <row r="14">
          <cell r="M14">
            <v>1.4620719836811387</v>
          </cell>
        </row>
      </sheetData>
      <sheetData sheetId="2">
        <row r="14">
          <cell r="M14">
            <v>1.4539961958494048</v>
          </cell>
        </row>
        <row r="24">
          <cell r="K24">
            <v>1.5132631454535335</v>
          </cell>
          <cell r="L24">
            <v>1.4581242721044561</v>
          </cell>
          <cell r="M24">
            <v>1.429386472105842</v>
          </cell>
          <cell r="N24">
            <v>1.4103524391976028</v>
          </cell>
          <cell r="O24">
            <v>1.404257765675055</v>
          </cell>
          <cell r="P24">
            <v>1.4058560685168755</v>
          </cell>
          <cell r="Q24">
            <v>1.4076966144275667</v>
          </cell>
          <cell r="R24">
            <v>1.4067225747834864</v>
          </cell>
          <cell r="S24">
            <v>1.4090100947005904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1.3216136747309144</v>
          </cell>
        </row>
      </sheetData>
      <sheetData sheetId="1">
        <row r="14">
          <cell r="M14">
            <v>1.2961120492235461</v>
          </cell>
        </row>
      </sheetData>
      <sheetData sheetId="2">
        <row r="14">
          <cell r="M14">
            <v>1.2961120492235461</v>
          </cell>
        </row>
        <row r="24">
          <cell r="K24">
            <v>1.3175246716287143</v>
          </cell>
          <cell r="L24">
            <v>1.2713656590722755</v>
          </cell>
          <cell r="M24">
            <v>1.2504642611124295</v>
          </cell>
          <cell r="N24">
            <v>1.2344075390802982</v>
          </cell>
          <cell r="O24">
            <v>1.2254999619708764</v>
          </cell>
          <cell r="P24">
            <v>1.2326892306619415</v>
          </cell>
          <cell r="Q24">
            <v>1.2516865842920009</v>
          </cell>
          <cell r="R24">
            <v>1.2777037231788928</v>
          </cell>
          <cell r="S24">
            <v>1.3034961857915537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1.2963510647983585</v>
          </cell>
        </row>
      </sheetData>
      <sheetData sheetId="1">
        <row r="14">
          <cell r="M14">
            <v>1.2871599595095473</v>
          </cell>
        </row>
      </sheetData>
      <sheetData sheetId="2">
        <row r="14">
          <cell r="M14">
            <v>1.2666800633473712</v>
          </cell>
        </row>
        <row r="24">
          <cell r="K24">
            <v>1.3311216464630611</v>
          </cell>
          <cell r="L24">
            <v>1.2718152957128177</v>
          </cell>
          <cell r="M24">
            <v>1.2414407144506381</v>
          </cell>
          <cell r="N24">
            <v>1.2184570449621424</v>
          </cell>
          <cell r="O24">
            <v>1.2020114783975173</v>
          </cell>
          <cell r="P24">
            <v>1.1916664069564715</v>
          </cell>
          <cell r="Q24">
            <v>1.1856403500794577</v>
          </cell>
          <cell r="R24">
            <v>1.1824888896863308</v>
          </cell>
          <cell r="S24">
            <v>1.1804905890715129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1.28144896267015</v>
          </cell>
        </row>
      </sheetData>
      <sheetData sheetId="1">
        <row r="14">
          <cell r="M14">
            <v>1.266933912966496</v>
          </cell>
        </row>
      </sheetData>
      <sheetData sheetId="2">
        <row r="14">
          <cell r="M14">
            <v>1.2765807585924394</v>
          </cell>
        </row>
        <row r="24">
          <cell r="K24">
            <v>1.2967935188849744</v>
          </cell>
          <cell r="L24">
            <v>1.2523603170809248</v>
          </cell>
          <cell r="M24">
            <v>1.2300018773129411</v>
          </cell>
          <cell r="N24">
            <v>1.2155184607907008</v>
          </cell>
          <cell r="O24">
            <v>1.2051187826060623</v>
          </cell>
          <cell r="P24">
            <v>1.1981230153781832</v>
          </cell>
          <cell r="Q24">
            <v>1.1939909654114582</v>
          </cell>
          <cell r="R24">
            <v>1.1915082714674636</v>
          </cell>
          <cell r="S24">
            <v>1.1903924626591105</v>
          </cell>
        </row>
      </sheetData>
      <sheetData sheetId="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1.4109303052729205</v>
          </cell>
        </row>
      </sheetData>
      <sheetData sheetId="1">
        <row r="14">
          <cell r="M14">
            <v>1.4640115499904753</v>
          </cell>
        </row>
      </sheetData>
      <sheetData sheetId="2">
        <row r="14">
          <cell r="M14">
            <v>1.4493642976425083</v>
          </cell>
        </row>
        <row r="24">
          <cell r="K24">
            <v>1.4561519355494399</v>
          </cell>
          <cell r="L24">
            <v>1.4530437206861992</v>
          </cell>
          <cell r="M24">
            <v>1.4421055990573115</v>
          </cell>
          <cell r="N24">
            <v>1.4350462564567303</v>
          </cell>
          <cell r="O24">
            <v>1.4385781100971682</v>
          </cell>
          <cell r="P24">
            <v>1.4347685339495491</v>
          </cell>
          <cell r="Q24">
            <v>1.4288784987189356</v>
          </cell>
          <cell r="R24">
            <v>1.4240532472781748</v>
          </cell>
          <cell r="S24">
            <v>1.4191489046882568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1.3779624603421401</v>
          </cell>
        </row>
      </sheetData>
      <sheetData sheetId="1">
        <row r="14">
          <cell r="M14">
            <v>1.4144540903839338</v>
          </cell>
        </row>
      </sheetData>
      <sheetData sheetId="2">
        <row r="14">
          <cell r="M14">
            <v>1.3408837884433804</v>
          </cell>
        </row>
        <row r="24">
          <cell r="K24">
            <v>1.3613500876534124</v>
          </cell>
          <cell r="L24">
            <v>1.3430648675798638</v>
          </cell>
          <cell r="M24">
            <v>1.3440889544483587</v>
          </cell>
          <cell r="N24">
            <v>1.35647149571574</v>
          </cell>
          <cell r="O24">
            <v>1.3560394623383627</v>
          </cell>
          <cell r="P24">
            <v>1.3538234278475918</v>
          </cell>
          <cell r="Q24">
            <v>1.3584765487124808</v>
          </cell>
          <cell r="R24">
            <v>1.3585092754758687</v>
          </cell>
          <cell r="S24">
            <v>1.3567658510298659</v>
          </cell>
        </row>
      </sheetData>
      <sheetData sheetId="3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1.393587120634088</v>
          </cell>
        </row>
      </sheetData>
      <sheetData sheetId="1">
        <row r="14">
          <cell r="M14">
            <v>1.3835468354614362</v>
          </cell>
        </row>
      </sheetData>
      <sheetData sheetId="2">
        <row r="14">
          <cell r="M14">
            <v>1.4100303207133111</v>
          </cell>
        </row>
        <row r="24">
          <cell r="K24">
            <v>1.4519665174020164</v>
          </cell>
          <cell r="L24">
            <v>1.4119484182327386</v>
          </cell>
          <cell r="M24">
            <v>1.380428163161324</v>
          </cell>
          <cell r="N24">
            <v>1.3474505651680562</v>
          </cell>
          <cell r="O24">
            <v>1.3179414742979467</v>
          </cell>
          <cell r="P24">
            <v>1.2984360342390284</v>
          </cell>
          <cell r="Q24">
            <v>1.2805605904241975</v>
          </cell>
          <cell r="R24">
            <v>1.2672119287543748</v>
          </cell>
          <cell r="S24">
            <v>1.2568984728722048</v>
          </cell>
        </row>
      </sheetData>
      <sheetData sheetId="3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1.4374109349619246</v>
          </cell>
        </row>
      </sheetData>
      <sheetData sheetId="1">
        <row r="14">
          <cell r="M14">
            <v>1.3986247204739248</v>
          </cell>
        </row>
      </sheetData>
      <sheetData sheetId="2">
        <row r="14">
          <cell r="M14">
            <v>1.4106625766550487</v>
          </cell>
        </row>
        <row r="24">
          <cell r="K24">
            <v>1.4199820518025561</v>
          </cell>
          <cell r="L24">
            <v>1.4037101783008972</v>
          </cell>
          <cell r="M24">
            <v>1.4053465163955201</v>
          </cell>
          <cell r="N24">
            <v>1.4089076970134489</v>
          </cell>
          <cell r="O24">
            <v>1.4089799491217252</v>
          </cell>
          <cell r="P24">
            <v>1.4127898925574056</v>
          </cell>
          <cell r="Q24">
            <v>1.4155996434834515</v>
          </cell>
          <cell r="R24">
            <v>1.4158730357637557</v>
          </cell>
          <cell r="S24">
            <v>1.4158043711614672</v>
          </cell>
        </row>
      </sheetData>
      <sheetData sheetId="3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1.4390084481761776</v>
          </cell>
        </row>
      </sheetData>
      <sheetData sheetId="1">
        <row r="14">
          <cell r="M14">
            <v>1.4023474219314278</v>
          </cell>
        </row>
      </sheetData>
      <sheetData sheetId="2">
        <row r="14">
          <cell r="M14">
            <v>1.3849338083578158</v>
          </cell>
        </row>
        <row r="24">
          <cell r="K24">
            <v>1.4123371408549048</v>
          </cell>
          <cell r="L24">
            <v>1.416567988314142</v>
          </cell>
          <cell r="M24">
            <v>1.4029569815109362</v>
          </cell>
          <cell r="N24">
            <v>1.4015576532477296</v>
          </cell>
          <cell r="O24">
            <v>1.3861138822910202</v>
          </cell>
          <cell r="P24">
            <v>1.3778557245951841</v>
          </cell>
          <cell r="Q24">
            <v>1.3696843867703823</v>
          </cell>
          <cell r="R24">
            <v>1.3613612725155106</v>
          </cell>
          <cell r="S24">
            <v>1.3561774377034035</v>
          </cell>
        </row>
      </sheetData>
      <sheetData sheetId="3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1.4108419744823193</v>
          </cell>
        </row>
      </sheetData>
      <sheetData sheetId="1">
        <row r="14">
          <cell r="M14">
            <v>1.4302499945955576</v>
          </cell>
        </row>
      </sheetData>
      <sheetData sheetId="2">
        <row r="14">
          <cell r="M14">
            <v>1.410118519775323</v>
          </cell>
        </row>
        <row r="24">
          <cell r="K24">
            <v>1.4096310284707418</v>
          </cell>
          <cell r="L24">
            <v>1.4096273423355778</v>
          </cell>
          <cell r="M24">
            <v>1.4092016414676893</v>
          </cell>
          <cell r="N24">
            <v>1.4066804044667163</v>
          </cell>
          <cell r="O24">
            <v>1.3969600624982641</v>
          </cell>
          <cell r="P24">
            <v>1.3956926271635566</v>
          </cell>
          <cell r="Q24">
            <v>1.3933547176001639</v>
          </cell>
          <cell r="R24">
            <v>1.3870483808267393</v>
          </cell>
          <cell r="S24">
            <v>1.3737245874828627</v>
          </cell>
        </row>
      </sheetData>
      <sheetData sheetId="3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1.4647187418698198</v>
          </cell>
        </row>
      </sheetData>
      <sheetData sheetId="1">
        <row r="14">
          <cell r="M14">
            <v>1.3981429793924447</v>
          </cell>
        </row>
      </sheetData>
      <sheetData sheetId="2">
        <row r="14">
          <cell r="M14">
            <v>1.4253642810323703</v>
          </cell>
        </row>
        <row r="24">
          <cell r="K24">
            <v>1.4456563048025668</v>
          </cell>
          <cell r="L24">
            <v>1.4556418481376483</v>
          </cell>
          <cell r="M24">
            <v>1.4286042358546414</v>
          </cell>
          <cell r="N24">
            <v>1.4179556733460521</v>
          </cell>
          <cell r="O24">
            <v>1.4147237318570247</v>
          </cell>
          <cell r="P24">
            <v>1.4076416923663035</v>
          </cell>
          <cell r="Q24">
            <v>1.4064663638668218</v>
          </cell>
          <cell r="R24">
            <v>1.4027150253194258</v>
          </cell>
          <cell r="S24">
            <v>1.4000644916749054</v>
          </cell>
        </row>
      </sheetData>
      <sheetData sheetId="3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1.3072885619030394</v>
          </cell>
        </row>
      </sheetData>
      <sheetData sheetId="1">
        <row r="14">
          <cell r="M14">
            <v>1.2989787445282113</v>
          </cell>
        </row>
      </sheetData>
      <sheetData sheetId="2">
        <row r="14">
          <cell r="M14">
            <v>1.28865192044334</v>
          </cell>
        </row>
        <row r="24">
          <cell r="K24">
            <v>1.32034652628619</v>
          </cell>
          <cell r="L24">
            <v>1.2768819195755856</v>
          </cell>
          <cell r="M24">
            <v>1.2577436829189439</v>
          </cell>
          <cell r="N24">
            <v>1.2430345851340074</v>
          </cell>
          <cell r="O24">
            <v>1.2297619139807563</v>
          </cell>
          <cell r="P24">
            <v>1.2199936384657204</v>
          </cell>
          <cell r="Q24">
            <v>1.2142757939961839</v>
          </cell>
          <cell r="R24">
            <v>1.214361845814369</v>
          </cell>
          <cell r="S24">
            <v>1.2164204597714086</v>
          </cell>
        </row>
      </sheetData>
      <sheetData sheetId="3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1.3893658169795642</v>
          </cell>
        </row>
      </sheetData>
      <sheetData sheetId="1">
        <row r="14">
          <cell r="M14">
            <v>1.3685794885949032</v>
          </cell>
        </row>
      </sheetData>
      <sheetData sheetId="2">
        <row r="14">
          <cell r="M14">
            <v>1.3799238719734837</v>
          </cell>
        </row>
        <row r="24">
          <cell r="K24">
            <v>1.4333416134240047</v>
          </cell>
          <cell r="L24">
            <v>1.3693210998382908</v>
          </cell>
          <cell r="M24">
            <v>1.3390167731884297</v>
          </cell>
          <cell r="N24">
            <v>1.3276352104199123</v>
          </cell>
          <cell r="O24">
            <v>1.3217159774076757</v>
          </cell>
          <cell r="P24">
            <v>1.3156220711743434</v>
          </cell>
          <cell r="Q24">
            <v>1.3128623771549222</v>
          </cell>
          <cell r="R24">
            <v>1.3101513878193871</v>
          </cell>
          <cell r="S24">
            <v>1.3053275799381137</v>
          </cell>
        </row>
      </sheetData>
      <sheetData sheetId="3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1.3340039325474007</v>
          </cell>
        </row>
      </sheetData>
      <sheetData sheetId="1">
        <row r="14">
          <cell r="M14">
            <v>1.3172593601020712</v>
          </cell>
        </row>
      </sheetData>
      <sheetData sheetId="2">
        <row r="14">
          <cell r="M14">
            <v>1.3126068093532064</v>
          </cell>
        </row>
        <row r="24">
          <cell r="K24">
            <v>1.3536513388843285</v>
          </cell>
          <cell r="L24">
            <v>1.3170869233225599</v>
          </cell>
          <cell r="M24">
            <v>1.2955984531690132</v>
          </cell>
          <cell r="N24">
            <v>1.2778048064694179</v>
          </cell>
          <cell r="O24">
            <v>1.2628029081136267</v>
          </cell>
          <cell r="P24">
            <v>1.2531993864468807</v>
          </cell>
          <cell r="Q24">
            <v>1.24866206361036</v>
          </cell>
          <cell r="R24">
            <v>1.2457713004690596</v>
          </cell>
          <cell r="S24">
            <v>1.242165398130372</v>
          </cell>
        </row>
      </sheetData>
      <sheetData sheetId="3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1.3536483966537887</v>
          </cell>
        </row>
      </sheetData>
      <sheetData sheetId="1">
        <row r="14">
          <cell r="M14">
            <v>1.3489541256377759</v>
          </cell>
        </row>
      </sheetData>
      <sheetData sheetId="2">
        <row r="14">
          <cell r="M14">
            <v>1.3705756283741308</v>
          </cell>
        </row>
        <row r="24">
          <cell r="K24">
            <v>1.4355478863247719</v>
          </cell>
          <cell r="L24">
            <v>1.3872254320851991</v>
          </cell>
          <cell r="M24">
            <v>1.3445230318825292</v>
          </cell>
          <cell r="N24">
            <v>1.3212312579926235</v>
          </cell>
          <cell r="O24">
            <v>1.3027244174175014</v>
          </cell>
          <cell r="P24">
            <v>1.2922576304997151</v>
          </cell>
          <cell r="Q24">
            <v>1.2823778856158738</v>
          </cell>
          <cell r="R24">
            <v>1.2766240742806114</v>
          </cell>
          <cell r="S24">
            <v>1.2722219503645329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90" zoomScaleNormal="90" zoomScalePageLayoutView="90" workbookViewId="0">
      <selection sqref="A1:Q53"/>
    </sheetView>
  </sheetViews>
  <sheetFormatPr baseColWidth="10" defaultColWidth="8.83203125" defaultRowHeight="14" x14ac:dyDescent="0"/>
  <cols>
    <col min="1" max="1" width="26" bestFit="1" customWidth="1"/>
    <col min="2" max="2" width="18.5" customWidth="1"/>
    <col min="3" max="3" width="17" customWidth="1"/>
    <col min="4" max="4" width="10.6640625" style="3" customWidth="1"/>
    <col min="5" max="5" width="15.33203125" customWidth="1"/>
    <col min="6" max="6" width="17.6640625" customWidth="1"/>
    <col min="7" max="7" width="27.6640625" customWidth="1"/>
    <col min="8" max="8" width="34" customWidth="1"/>
    <col min="9" max="9" width="11.5" customWidth="1"/>
    <col min="10" max="10" width="10.83203125" style="13" customWidth="1"/>
    <col min="11" max="11" width="12" style="22" customWidth="1"/>
    <col min="12" max="12" width="12.6640625" style="22" customWidth="1"/>
    <col min="13" max="13" width="12.33203125" style="20" customWidth="1"/>
    <col min="14" max="14" width="12.33203125" customWidth="1"/>
    <col min="15" max="15" width="12" customWidth="1"/>
    <col min="16" max="16" width="12.5" style="22" customWidth="1"/>
    <col min="17" max="17" width="8.83203125" style="18"/>
  </cols>
  <sheetData>
    <row r="1" spans="1:17" ht="30.75" customHeight="1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94</v>
      </c>
      <c r="J1" s="23" t="s">
        <v>79</v>
      </c>
      <c r="K1" s="21" t="s">
        <v>77</v>
      </c>
      <c r="L1" s="27" t="s">
        <v>104</v>
      </c>
      <c r="M1" s="19" t="s">
        <v>92</v>
      </c>
      <c r="N1" s="1" t="s">
        <v>90</v>
      </c>
      <c r="O1" s="1" t="s">
        <v>88</v>
      </c>
      <c r="P1" s="21" t="s">
        <v>89</v>
      </c>
      <c r="Q1" s="18" t="s">
        <v>103</v>
      </c>
    </row>
    <row r="2" spans="1:17" ht="16">
      <c r="A2" t="s">
        <v>16</v>
      </c>
      <c r="B2" s="18" t="s">
        <v>18</v>
      </c>
      <c r="C2" s="18"/>
      <c r="D2" s="3" t="s">
        <v>87</v>
      </c>
      <c r="E2" s="18" t="s">
        <v>17</v>
      </c>
      <c r="F2" s="18" t="s">
        <v>19</v>
      </c>
      <c r="G2" s="18" t="s">
        <v>22</v>
      </c>
      <c r="H2" s="18" t="s">
        <v>24</v>
      </c>
      <c r="L2" s="22">
        <f t="shared" ref="L2:L33" si="0">MIN(J2,K2)</f>
        <v>0</v>
      </c>
      <c r="M2" s="19" t="s">
        <v>92</v>
      </c>
      <c r="O2" s="18"/>
      <c r="Q2" s="13"/>
    </row>
    <row r="3" spans="1:17">
      <c r="A3" t="s">
        <v>26</v>
      </c>
      <c r="B3" s="4">
        <v>60.37546801014345</v>
      </c>
      <c r="C3" s="4">
        <v>63.997996090752061</v>
      </c>
      <c r="D3" s="2">
        <v>1.2804195867064025</v>
      </c>
      <c r="E3" s="4">
        <f t="shared" ref="E3:E34" si="1">B3/D3</f>
        <v>47.152877569958179</v>
      </c>
      <c r="F3" s="4">
        <f t="shared" ref="F3:F34" si="2">E3*0.5</f>
        <v>23.576438784979089</v>
      </c>
      <c r="G3" s="4">
        <f t="shared" ref="G3:G34" si="3">PI()*F3^2</f>
        <v>1746.2494566094686</v>
      </c>
      <c r="H3" s="4">
        <f t="shared" ref="H3:H34" si="4">J3/I3</f>
        <v>964.67391304347825</v>
      </c>
      <c r="I3" s="15">
        <v>2944</v>
      </c>
      <c r="J3" s="13">
        <v>2840000</v>
      </c>
      <c r="K3" s="22">
        <f t="shared" ref="K3:K34" si="5">G3*H3</f>
        <v>1684561.2964575037</v>
      </c>
      <c r="L3" s="22">
        <f t="shared" si="0"/>
        <v>1684561.2964575037</v>
      </c>
      <c r="M3" s="19" t="s">
        <v>92</v>
      </c>
      <c r="N3" s="18">
        <f t="shared" ref="N3:N34" si="6">O3/I3</f>
        <v>503.32235054347825</v>
      </c>
      <c r="O3" s="12">
        <v>1481781</v>
      </c>
      <c r="P3" s="22">
        <f t="shared" ref="P3:P34" si="7">G3*N3</f>
        <v>878926.3811359494</v>
      </c>
      <c r="Q3" s="13">
        <f t="shared" ref="Q3:Q34" si="8">MIN(P3,O3)</f>
        <v>878926.3811359494</v>
      </c>
    </row>
    <row r="4" spans="1:17">
      <c r="A4" s="18" t="s">
        <v>6</v>
      </c>
      <c r="B4" s="4">
        <v>63.478689145973746</v>
      </c>
      <c r="C4" s="4">
        <v>67.922197386191925</v>
      </c>
      <c r="D4" s="2">
        <v>1.3588386571923918</v>
      </c>
      <c r="E4" s="4">
        <f t="shared" si="1"/>
        <v>46.715398336644526</v>
      </c>
      <c r="F4" s="4">
        <f t="shared" si="2"/>
        <v>23.357699168322263</v>
      </c>
      <c r="G4" s="4">
        <f t="shared" si="3"/>
        <v>1713.9967500815412</v>
      </c>
      <c r="H4" s="4">
        <f t="shared" si="4"/>
        <v>932.86219081272088</v>
      </c>
      <c r="I4" s="15">
        <v>707.5</v>
      </c>
      <c r="J4" s="13">
        <v>660000</v>
      </c>
      <c r="K4" s="22">
        <f t="shared" si="5"/>
        <v>1598922.7633269501</v>
      </c>
      <c r="L4" s="22">
        <f t="shared" si="0"/>
        <v>660000</v>
      </c>
      <c r="M4" s="19" t="s">
        <v>92</v>
      </c>
      <c r="N4" s="18">
        <f t="shared" si="6"/>
        <v>571.04734982332161</v>
      </c>
      <c r="O4" s="12">
        <v>404016</v>
      </c>
      <c r="P4" s="22">
        <f t="shared" si="7"/>
        <v>978773.3017398502</v>
      </c>
      <c r="Q4" s="13">
        <f t="shared" si="8"/>
        <v>404016</v>
      </c>
    </row>
    <row r="5" spans="1:17">
      <c r="A5" t="s">
        <v>28</v>
      </c>
      <c r="B5" s="4">
        <v>60.37745029626894</v>
      </c>
      <c r="C5" s="4">
        <v>64.603871817007771</v>
      </c>
      <c r="D5" s="2">
        <v>1.2525850225273614</v>
      </c>
      <c r="E5" s="4">
        <f t="shared" si="1"/>
        <v>48.202277059360306</v>
      </c>
      <c r="F5" s="4">
        <f t="shared" si="2"/>
        <v>24.101138529680153</v>
      </c>
      <c r="G5" s="4">
        <f t="shared" si="3"/>
        <v>1824.8408347940676</v>
      </c>
      <c r="H5" s="4">
        <f t="shared" si="4"/>
        <v>1296.8393613554904</v>
      </c>
      <c r="I5" s="15">
        <v>1534.5</v>
      </c>
      <c r="J5" s="13">
        <v>1990000</v>
      </c>
      <c r="K5" s="22">
        <f t="shared" si="5"/>
        <v>2366525.4227697584</v>
      </c>
      <c r="L5" s="22">
        <f t="shared" si="0"/>
        <v>1990000</v>
      </c>
      <c r="M5" s="19" t="s">
        <v>92</v>
      </c>
      <c r="N5" s="18">
        <f t="shared" si="6"/>
        <v>776.67839687194521</v>
      </c>
      <c r="O5" s="12">
        <v>1191813</v>
      </c>
      <c r="P5" s="22">
        <f t="shared" si="7"/>
        <v>1417314.4541143186</v>
      </c>
      <c r="Q5" s="13">
        <f t="shared" si="8"/>
        <v>1191813</v>
      </c>
    </row>
    <row r="6" spans="1:17">
      <c r="A6" t="s">
        <v>29</v>
      </c>
      <c r="B6" s="4">
        <v>61.541690600746875</v>
      </c>
      <c r="C6" s="4">
        <v>67.695859660821569</v>
      </c>
      <c r="D6" s="2">
        <v>1.2423920941272546</v>
      </c>
      <c r="E6" s="4">
        <f t="shared" si="1"/>
        <v>49.534837586018426</v>
      </c>
      <c r="F6" s="4">
        <f t="shared" si="2"/>
        <v>24.767418793009213</v>
      </c>
      <c r="G6" s="4">
        <f t="shared" si="3"/>
        <v>1927.1315793004212</v>
      </c>
      <c r="H6" s="4">
        <f t="shared" si="4"/>
        <v>1563.9892556970801</v>
      </c>
      <c r="I6" s="15">
        <v>2308.1999999999998</v>
      </c>
      <c r="J6" s="13">
        <v>3610000</v>
      </c>
      <c r="K6" s="22">
        <f t="shared" si="5"/>
        <v>3014013.0843404043</v>
      </c>
      <c r="L6" s="22">
        <f t="shared" si="0"/>
        <v>3014013.0843404043</v>
      </c>
      <c r="M6" s="19" t="s">
        <v>92</v>
      </c>
      <c r="N6" s="18">
        <f t="shared" si="6"/>
        <v>927.87323455506464</v>
      </c>
      <c r="O6" s="12">
        <v>2141717</v>
      </c>
      <c r="P6" s="22">
        <f t="shared" si="7"/>
        <v>1788133.8118986918</v>
      </c>
      <c r="Q6" s="13">
        <f t="shared" si="8"/>
        <v>1788133.8118986918</v>
      </c>
    </row>
    <row r="7" spans="1:17">
      <c r="A7" t="s">
        <v>30</v>
      </c>
      <c r="B7" s="4">
        <v>73.27659816495958</v>
      </c>
      <c r="C7" s="4">
        <v>76.207662091557978</v>
      </c>
      <c r="D7" s="2">
        <v>1.2197720965912831</v>
      </c>
      <c r="E7" s="4">
        <f t="shared" si="1"/>
        <v>60.074007570541141</v>
      </c>
      <c r="F7" s="4">
        <f t="shared" si="2"/>
        <v>30.037003785270571</v>
      </c>
      <c r="G7" s="4">
        <f t="shared" si="3"/>
        <v>2834.4127391488555</v>
      </c>
      <c r="H7" s="4">
        <f t="shared" si="4"/>
        <v>1440.1622718052738</v>
      </c>
      <c r="I7" s="15">
        <v>739.5</v>
      </c>
      <c r="J7" s="13">
        <v>1065000</v>
      </c>
      <c r="K7" s="22">
        <f t="shared" si="5"/>
        <v>4082014.2896464248</v>
      </c>
      <c r="L7" s="22">
        <f t="shared" si="0"/>
        <v>1065000</v>
      </c>
      <c r="M7" s="19" t="s">
        <v>92</v>
      </c>
      <c r="N7" s="18">
        <f t="shared" si="6"/>
        <v>718.21771467207577</v>
      </c>
      <c r="O7" s="12">
        <v>531122</v>
      </c>
      <c r="P7" s="22">
        <f t="shared" si="7"/>
        <v>2035725.4399489095</v>
      </c>
      <c r="Q7" s="13">
        <f t="shared" si="8"/>
        <v>531122</v>
      </c>
    </row>
    <row r="8" spans="1:17">
      <c r="A8" t="s">
        <v>31</v>
      </c>
      <c r="B8" s="4">
        <v>66.908176577055386</v>
      </c>
      <c r="C8" s="4">
        <v>71.591748937449267</v>
      </c>
      <c r="D8" s="2">
        <v>1.2963499404090038</v>
      </c>
      <c r="E8" s="4">
        <f t="shared" si="1"/>
        <v>51.612743204157958</v>
      </c>
      <c r="F8" s="4">
        <f t="shared" si="2"/>
        <v>25.806371602078979</v>
      </c>
      <c r="G8" s="4">
        <f t="shared" si="3"/>
        <v>2092.2027375551288</v>
      </c>
      <c r="H8" s="4">
        <f t="shared" si="4"/>
        <v>862.48203162434118</v>
      </c>
      <c r="I8" s="15">
        <v>626.1</v>
      </c>
      <c r="J8" s="13">
        <v>540000</v>
      </c>
      <c r="K8" s="22">
        <f t="shared" si="5"/>
        <v>1804487.2676565559</v>
      </c>
      <c r="L8" s="22">
        <f t="shared" si="0"/>
        <v>540000</v>
      </c>
      <c r="M8" s="19" t="s">
        <v>92</v>
      </c>
      <c r="N8" s="18">
        <f t="shared" si="6"/>
        <v>966.06931800031941</v>
      </c>
      <c r="O8" s="12">
        <v>604856</v>
      </c>
      <c r="P8" s="22">
        <f t="shared" si="7"/>
        <v>2021212.8717882845</v>
      </c>
      <c r="Q8" s="13">
        <f t="shared" si="8"/>
        <v>604856</v>
      </c>
    </row>
    <row r="9" spans="1:17">
      <c r="A9" t="s">
        <v>32</v>
      </c>
      <c r="B9" s="4">
        <v>59.830534500000006</v>
      </c>
      <c r="C9" s="4">
        <v>64.616977260000013</v>
      </c>
      <c r="D9" s="2">
        <v>1.230649613698569</v>
      </c>
      <c r="E9" s="4">
        <f t="shared" si="1"/>
        <v>48.617034315873674</v>
      </c>
      <c r="F9" s="4">
        <f t="shared" si="2"/>
        <v>24.308517157936837</v>
      </c>
      <c r="G9" s="4">
        <f t="shared" si="3"/>
        <v>1856.3796855386527</v>
      </c>
      <c r="H9" s="4">
        <f t="shared" si="4"/>
        <v>1830.0112091232515</v>
      </c>
      <c r="I9" s="18">
        <v>4103.8</v>
      </c>
      <c r="J9" s="13">
        <v>7510000</v>
      </c>
      <c r="K9" s="22">
        <f t="shared" si="5"/>
        <v>3397195.6329244315</v>
      </c>
      <c r="L9" s="22">
        <f t="shared" si="0"/>
        <v>3397195.6329244315</v>
      </c>
      <c r="M9" s="19" t="s">
        <v>92</v>
      </c>
      <c r="N9" s="18">
        <f t="shared" si="6"/>
        <v>936.04391052195524</v>
      </c>
      <c r="O9" s="12">
        <v>3841337</v>
      </c>
      <c r="P9" s="22">
        <f t="shared" si="7"/>
        <v>1737652.9002651181</v>
      </c>
      <c r="Q9" s="13">
        <f t="shared" si="8"/>
        <v>1737652.9002651181</v>
      </c>
    </row>
    <row r="10" spans="1:17">
      <c r="A10" t="s">
        <v>33</v>
      </c>
      <c r="B10" s="4">
        <v>67.518821168909824</v>
      </c>
      <c r="C10" s="4">
        <v>74.270703285800806</v>
      </c>
      <c r="D10" s="2">
        <v>1.3292592058969801</v>
      </c>
      <c r="E10" s="4">
        <f t="shared" si="1"/>
        <v>50.794322784733566</v>
      </c>
      <c r="F10" s="4">
        <f t="shared" si="2"/>
        <v>25.397161392366783</v>
      </c>
      <c r="G10" s="4">
        <f t="shared" si="3"/>
        <v>2026.3769200605248</v>
      </c>
      <c r="H10" s="4">
        <f t="shared" si="4"/>
        <v>860.24750980984004</v>
      </c>
      <c r="I10" s="15">
        <v>1325.2</v>
      </c>
      <c r="J10" s="13">
        <v>1140000</v>
      </c>
      <c r="K10" s="22">
        <f t="shared" si="5"/>
        <v>1743185.6994181997</v>
      </c>
      <c r="L10" s="22">
        <f t="shared" si="0"/>
        <v>1140000</v>
      </c>
      <c r="M10" s="19" t="s">
        <v>92</v>
      </c>
      <c r="N10" s="18">
        <f t="shared" si="6"/>
        <v>613.31572592816178</v>
      </c>
      <c r="O10" s="12">
        <v>812766</v>
      </c>
      <c r="P10" s="22">
        <f t="shared" si="7"/>
        <v>1242808.8317309935</v>
      </c>
      <c r="Q10" s="13">
        <f t="shared" si="8"/>
        <v>812766</v>
      </c>
    </row>
    <row r="11" spans="1:17">
      <c r="A11" t="s">
        <v>34</v>
      </c>
      <c r="B11" s="4">
        <v>70.270147843682068</v>
      </c>
      <c r="C11" s="4">
        <v>77.297162628050287</v>
      </c>
      <c r="D11" s="2">
        <v>1.2049847148423478</v>
      </c>
      <c r="E11" s="4">
        <f t="shared" si="1"/>
        <v>58.316215117198183</v>
      </c>
      <c r="F11" s="4">
        <f t="shared" si="2"/>
        <v>29.158107558599092</v>
      </c>
      <c r="G11" s="4">
        <f t="shared" si="3"/>
        <v>2670.9671087876127</v>
      </c>
      <c r="H11" s="4">
        <f t="shared" si="4"/>
        <v>1068.6095931997572</v>
      </c>
      <c r="I11" s="15">
        <v>1647</v>
      </c>
      <c r="J11" s="13">
        <v>1760000</v>
      </c>
      <c r="K11" s="22">
        <f t="shared" si="5"/>
        <v>2854221.0755714625</v>
      </c>
      <c r="L11" s="22">
        <f t="shared" si="0"/>
        <v>1760000</v>
      </c>
      <c r="M11" s="19" t="s">
        <v>92</v>
      </c>
      <c r="N11" s="18">
        <f t="shared" si="6"/>
        <v>754.15846994535514</v>
      </c>
      <c r="O11" s="12">
        <v>1242099</v>
      </c>
      <c r="P11" s="22">
        <f t="shared" si="7"/>
        <v>2014332.4680376349</v>
      </c>
      <c r="Q11" s="13">
        <f t="shared" si="8"/>
        <v>1242099</v>
      </c>
    </row>
    <row r="12" spans="1:17">
      <c r="A12" t="s">
        <v>35</v>
      </c>
      <c r="B12" s="4">
        <v>67.725932932724078</v>
      </c>
      <c r="C12" s="4">
        <v>77.20756354330544</v>
      </c>
      <c r="D12" s="2">
        <v>1.2627799319268018</v>
      </c>
      <c r="E12" s="4">
        <f t="shared" si="1"/>
        <v>53.632411491830609</v>
      </c>
      <c r="F12" s="4">
        <f t="shared" si="2"/>
        <v>26.816205745915305</v>
      </c>
      <c r="G12" s="4">
        <f t="shared" si="3"/>
        <v>2259.1472078628776</v>
      </c>
      <c r="H12" s="4">
        <f t="shared" si="4"/>
        <v>973.91693719914929</v>
      </c>
      <c r="I12" s="15">
        <v>893.3</v>
      </c>
      <c r="J12" s="13">
        <v>870000</v>
      </c>
      <c r="K12" s="22">
        <f t="shared" si="5"/>
        <v>2200221.7293638238</v>
      </c>
      <c r="L12" s="22">
        <f t="shared" si="0"/>
        <v>870000</v>
      </c>
      <c r="M12" s="19" t="s">
        <v>92</v>
      </c>
      <c r="N12" s="18">
        <f t="shared" si="6"/>
        <v>758.82570245158411</v>
      </c>
      <c r="O12" s="12">
        <v>677859</v>
      </c>
      <c r="P12" s="22">
        <f t="shared" si="7"/>
        <v>1714298.9669480829</v>
      </c>
      <c r="Q12" s="13">
        <f t="shared" si="8"/>
        <v>677859</v>
      </c>
    </row>
    <row r="13" spans="1:17">
      <c r="A13" t="s">
        <v>62</v>
      </c>
      <c r="B13" s="4">
        <v>66.03146949483623</v>
      </c>
      <c r="C13" s="4">
        <v>76.596504614010016</v>
      </c>
      <c r="D13" s="2">
        <v>1.3065070711215105</v>
      </c>
      <c r="E13" s="4">
        <f t="shared" si="1"/>
        <v>50.540460862683716</v>
      </c>
      <c r="F13" s="4">
        <f t="shared" si="2"/>
        <v>25.270230431341858</v>
      </c>
      <c r="G13" s="4">
        <f t="shared" si="3"/>
        <v>2006.1725185764426</v>
      </c>
      <c r="H13" s="4">
        <f t="shared" si="4"/>
        <v>869.56521739130437</v>
      </c>
      <c r="I13" s="15">
        <v>3737.5</v>
      </c>
      <c r="J13" s="13">
        <v>3250000</v>
      </c>
      <c r="K13" s="22">
        <f t="shared" si="5"/>
        <v>1744497.842240385</v>
      </c>
      <c r="L13" s="22">
        <f t="shared" si="0"/>
        <v>1744497.842240385</v>
      </c>
      <c r="M13" s="19" t="s">
        <v>92</v>
      </c>
      <c r="N13" s="18">
        <f t="shared" si="6"/>
        <v>528.85779264214045</v>
      </c>
      <c r="O13" s="12">
        <v>1976606</v>
      </c>
      <c r="P13" s="22">
        <f t="shared" si="7"/>
        <v>1060979.9698336609</v>
      </c>
      <c r="Q13" s="13">
        <f t="shared" si="8"/>
        <v>1060979.9698336609</v>
      </c>
    </row>
    <row r="14" spans="1:17">
      <c r="A14" s="18" t="s">
        <v>36</v>
      </c>
      <c r="B14" s="4">
        <v>65.002140793217592</v>
      </c>
      <c r="C14" s="4">
        <v>76.052504728064577</v>
      </c>
      <c r="D14" s="2">
        <v>1.3654162762477409</v>
      </c>
      <c r="E14" s="4">
        <f t="shared" si="1"/>
        <v>47.606097806192857</v>
      </c>
      <c r="F14" s="4">
        <f t="shared" si="2"/>
        <v>23.803048903096428</v>
      </c>
      <c r="G14" s="4">
        <f t="shared" si="3"/>
        <v>1779.9797042937471</v>
      </c>
      <c r="H14" s="4">
        <f t="shared" si="4"/>
        <v>1329.5186805789297</v>
      </c>
      <c r="I14" s="15">
        <v>1188.4000000000001</v>
      </c>
      <c r="J14" s="13">
        <v>1580000</v>
      </c>
      <c r="K14" s="22">
        <f t="shared" si="5"/>
        <v>2366516.2679098961</v>
      </c>
      <c r="L14" s="22">
        <f t="shared" si="0"/>
        <v>1580000</v>
      </c>
      <c r="M14" s="19" t="s">
        <v>92</v>
      </c>
      <c r="N14" s="18">
        <f t="shared" si="6"/>
        <v>811.94210703466842</v>
      </c>
      <c r="O14" s="12">
        <v>964912</v>
      </c>
      <c r="P14" s="22">
        <f t="shared" si="7"/>
        <v>1445240.4715832111</v>
      </c>
      <c r="Q14" s="13">
        <f t="shared" si="8"/>
        <v>964912</v>
      </c>
    </row>
    <row r="15" spans="1:17">
      <c r="A15" t="s">
        <v>37</v>
      </c>
      <c r="B15" s="4">
        <v>59.740126684000487</v>
      </c>
      <c r="C15" s="4">
        <v>69.895948220280573</v>
      </c>
      <c r="D15" s="2">
        <v>1.2288145856552757</v>
      </c>
      <c r="E15" s="4">
        <f t="shared" si="1"/>
        <v>48.616062489316533</v>
      </c>
      <c r="F15" s="4">
        <f t="shared" si="2"/>
        <v>24.308031244658267</v>
      </c>
      <c r="G15" s="4">
        <f t="shared" si="3"/>
        <v>1856.3054703557366</v>
      </c>
      <c r="H15" s="4">
        <f t="shared" si="4"/>
        <v>1369.2488100986411</v>
      </c>
      <c r="I15" s="15">
        <v>2899.4</v>
      </c>
      <c r="J15" s="13">
        <v>3970000</v>
      </c>
      <c r="K15" s="22">
        <f t="shared" si="5"/>
        <v>2541744.0564641906</v>
      </c>
      <c r="L15" s="22">
        <f t="shared" si="0"/>
        <v>2541744.0564641906</v>
      </c>
      <c r="M15" s="19" t="s">
        <v>92</v>
      </c>
      <c r="N15" s="18">
        <f t="shared" si="6"/>
        <v>717.34841691384418</v>
      </c>
      <c r="O15" s="12">
        <v>2079880</v>
      </c>
      <c r="P15" s="22">
        <f t="shared" si="7"/>
        <v>1331617.7904681966</v>
      </c>
      <c r="Q15" s="13">
        <f t="shared" si="8"/>
        <v>1331617.7904681966</v>
      </c>
    </row>
    <row r="16" spans="1:17" ht="16">
      <c r="A16" s="18" t="s">
        <v>101</v>
      </c>
      <c r="B16" s="24">
        <v>70.939381203745498</v>
      </c>
      <c r="C16" s="24">
        <v>83.70846982041968</v>
      </c>
      <c r="D16" s="2">
        <v>1.2825248470877721</v>
      </c>
      <c r="E16" s="4">
        <f t="shared" si="1"/>
        <v>55.312286046408751</v>
      </c>
      <c r="F16" s="4">
        <f t="shared" si="2"/>
        <v>27.656143023204375</v>
      </c>
      <c r="G16" s="4">
        <f t="shared" si="3"/>
        <v>2402.8856159318534</v>
      </c>
      <c r="H16" s="4">
        <f t="shared" si="4"/>
        <v>1190.58976132826</v>
      </c>
      <c r="I16" s="15">
        <v>578.20000000000005</v>
      </c>
      <c r="J16" s="26">
        <v>688399</v>
      </c>
      <c r="K16" s="22">
        <f t="shared" si="5"/>
        <v>2860851.0119714146</v>
      </c>
      <c r="L16" s="22">
        <f t="shared" si="0"/>
        <v>688399</v>
      </c>
      <c r="M16" s="19" t="s">
        <v>92</v>
      </c>
      <c r="N16" s="18">
        <f t="shared" si="6"/>
        <v>693.86025596679349</v>
      </c>
      <c r="O16" s="12">
        <f>337335+63855</f>
        <v>401190</v>
      </c>
      <c r="P16" s="22">
        <f t="shared" si="7"/>
        <v>1667266.8285294021</v>
      </c>
      <c r="Q16" s="13">
        <f t="shared" si="8"/>
        <v>401190</v>
      </c>
    </row>
    <row r="17" spans="1:17">
      <c r="A17" t="s">
        <v>58</v>
      </c>
      <c r="B17" s="4">
        <v>64.898649256812377</v>
      </c>
      <c r="C17" s="4">
        <v>85.666217018992342</v>
      </c>
      <c r="D17" s="2">
        <v>1.3571400798530551</v>
      </c>
      <c r="E17" s="4">
        <f t="shared" si="1"/>
        <v>47.820155207441303</v>
      </c>
      <c r="F17" s="4">
        <f t="shared" si="2"/>
        <v>23.910077603720651</v>
      </c>
      <c r="G17" s="4">
        <f t="shared" si="3"/>
        <v>1796.0227936051338</v>
      </c>
      <c r="H17" s="4">
        <f t="shared" si="4"/>
        <v>770.84181744138687</v>
      </c>
      <c r="I17" s="14">
        <v>1718.9</v>
      </c>
      <c r="J17" s="13">
        <v>1325000</v>
      </c>
      <c r="K17" s="22">
        <f t="shared" si="5"/>
        <v>1384449.4743887382</v>
      </c>
      <c r="L17" s="22">
        <f t="shared" si="0"/>
        <v>1325000</v>
      </c>
      <c r="M17" s="19" t="s">
        <v>92</v>
      </c>
      <c r="N17" s="18">
        <f t="shared" si="6"/>
        <v>406.65483739600904</v>
      </c>
      <c r="O17" s="12">
        <v>698999</v>
      </c>
      <c r="P17" s="22">
        <f t="shared" si="7"/>
        <v>730361.35709302162</v>
      </c>
      <c r="Q17" s="13">
        <f t="shared" si="8"/>
        <v>698999</v>
      </c>
    </row>
    <row r="18" spans="1:17">
      <c r="A18" t="s">
        <v>38</v>
      </c>
      <c r="B18" s="4">
        <v>70.550117521710789</v>
      </c>
      <c r="C18" s="4">
        <v>84.660141026052941</v>
      </c>
      <c r="D18" s="2">
        <v>1.3223701939914507</v>
      </c>
      <c r="E18" s="4">
        <f t="shared" si="1"/>
        <v>53.351261123605532</v>
      </c>
      <c r="F18" s="4">
        <f t="shared" si="2"/>
        <v>26.675630561802766</v>
      </c>
      <c r="G18" s="4">
        <f t="shared" si="3"/>
        <v>2235.523610029873</v>
      </c>
      <c r="H18" s="4">
        <f t="shared" si="4"/>
        <v>1320.2112337974077</v>
      </c>
      <c r="I18" s="14">
        <v>624.9</v>
      </c>
      <c r="J18" s="13">
        <v>825000</v>
      </c>
      <c r="K18" s="22">
        <f t="shared" si="5"/>
        <v>2951363.3833807735</v>
      </c>
      <c r="L18" s="22">
        <f t="shared" si="0"/>
        <v>825000</v>
      </c>
      <c r="M18" s="19" t="s">
        <v>92</v>
      </c>
      <c r="N18" s="18">
        <f t="shared" si="6"/>
        <v>899.29428708593377</v>
      </c>
      <c r="O18" s="12">
        <v>561969</v>
      </c>
      <c r="P18" s="22">
        <f t="shared" si="7"/>
        <v>2010393.6111455876</v>
      </c>
      <c r="Q18" s="13">
        <f t="shared" si="8"/>
        <v>561969</v>
      </c>
    </row>
    <row r="19" spans="1:17" ht="16">
      <c r="A19" s="18" t="s">
        <v>100</v>
      </c>
      <c r="B19" s="24">
        <v>61.851770964117151</v>
      </c>
      <c r="C19" s="24">
        <v>73.60360744729941</v>
      </c>
      <c r="D19" s="2">
        <v>1.3847021462356206</v>
      </c>
      <c r="E19" s="4">
        <f t="shared" si="1"/>
        <v>44.667924529664496</v>
      </c>
      <c r="F19" s="4">
        <f t="shared" si="2"/>
        <v>22.333962264832248</v>
      </c>
      <c r="G19" s="4">
        <f t="shared" si="3"/>
        <v>1567.0448581636026</v>
      </c>
      <c r="H19" s="4">
        <f t="shared" si="4"/>
        <v>2328.0373051224947</v>
      </c>
      <c r="I19" s="14">
        <v>359.2</v>
      </c>
      <c r="J19" s="26">
        <v>836231</v>
      </c>
      <c r="K19" s="22">
        <f t="shared" si="5"/>
        <v>3648138.8886052552</v>
      </c>
      <c r="L19" s="22">
        <f t="shared" si="0"/>
        <v>836231</v>
      </c>
      <c r="M19" s="19" t="s">
        <v>92</v>
      </c>
      <c r="N19" s="18">
        <f t="shared" si="6"/>
        <v>1218.0345211581291</v>
      </c>
      <c r="O19" s="12">
        <v>437518</v>
      </c>
      <c r="P19" s="22">
        <f t="shared" si="7"/>
        <v>1908714.733446612</v>
      </c>
      <c r="Q19" s="13">
        <f t="shared" si="8"/>
        <v>437518</v>
      </c>
    </row>
    <row r="20" spans="1:17">
      <c r="A20" t="s">
        <v>39</v>
      </c>
      <c r="B20" s="25">
        <v>61.865929871835121</v>
      </c>
      <c r="C20" s="25">
        <v>73.620456547483784</v>
      </c>
      <c r="D20" s="2">
        <v>1.3197846089200058</v>
      </c>
      <c r="E20" s="4">
        <f t="shared" si="1"/>
        <v>46.875777648642746</v>
      </c>
      <c r="F20" s="4">
        <f t="shared" si="2"/>
        <v>23.437888824321373</v>
      </c>
      <c r="G20" s="4">
        <f t="shared" si="3"/>
        <v>1725.7856459540355</v>
      </c>
      <c r="H20" s="4">
        <f t="shared" si="4"/>
        <v>951.03794313448986</v>
      </c>
      <c r="I20" s="14">
        <v>3049.3</v>
      </c>
      <c r="J20" s="13">
        <v>2900000</v>
      </c>
      <c r="K20" s="22">
        <f t="shared" si="5"/>
        <v>1641287.6310191529</v>
      </c>
      <c r="L20" s="22">
        <f t="shared" si="0"/>
        <v>1641287.6310191529</v>
      </c>
      <c r="M20" s="19" t="s">
        <v>92</v>
      </c>
      <c r="N20" s="18">
        <f t="shared" si="6"/>
        <v>577.11474764700097</v>
      </c>
      <c r="O20" s="12">
        <v>1759796</v>
      </c>
      <c r="P20" s="22">
        <f t="shared" si="7"/>
        <v>995976.34755757975</v>
      </c>
      <c r="Q20" s="13">
        <f t="shared" si="8"/>
        <v>995976.34755757975</v>
      </c>
    </row>
    <row r="21" spans="1:17">
      <c r="A21" t="s">
        <v>40</v>
      </c>
      <c r="B21" s="25">
        <v>66.181816591922129</v>
      </c>
      <c r="C21" s="25">
        <v>78.094543578468105</v>
      </c>
      <c r="D21" s="2">
        <v>1.2722485093794627</v>
      </c>
      <c r="E21" s="4">
        <f t="shared" si="1"/>
        <v>52.019567013839314</v>
      </c>
      <c r="F21" s="4">
        <f t="shared" si="2"/>
        <v>26.009783506919657</v>
      </c>
      <c r="G21" s="4">
        <f t="shared" si="3"/>
        <v>2125.3151957907353</v>
      </c>
      <c r="H21" s="4">
        <f t="shared" si="4"/>
        <v>778.16205533596838</v>
      </c>
      <c r="I21" s="14">
        <v>1214.4000000000001</v>
      </c>
      <c r="J21" s="13">
        <v>945000</v>
      </c>
      <c r="K21" s="22">
        <f t="shared" si="5"/>
        <v>1653839.6409932845</v>
      </c>
      <c r="L21" s="22">
        <f t="shared" si="0"/>
        <v>945000</v>
      </c>
      <c r="M21" s="19" t="s">
        <v>92</v>
      </c>
      <c r="N21" s="18">
        <f t="shared" si="6"/>
        <v>514.63356389986825</v>
      </c>
      <c r="O21" s="12">
        <v>624971</v>
      </c>
      <c r="P21" s="22">
        <f t="shared" si="7"/>
        <v>1093758.5336203324</v>
      </c>
      <c r="Q21" s="13">
        <f t="shared" si="8"/>
        <v>624971</v>
      </c>
    </row>
    <row r="22" spans="1:17">
      <c r="A22" s="18" t="s">
        <v>2</v>
      </c>
      <c r="B22" s="25">
        <v>65.10221093956217</v>
      </c>
      <c r="C22" s="25">
        <v>72.914476252309626</v>
      </c>
      <c r="D22" s="2">
        <v>1.3359338217910093</v>
      </c>
      <c r="E22" s="4">
        <f t="shared" si="1"/>
        <v>48.73161370544792</v>
      </c>
      <c r="F22" s="4">
        <f t="shared" si="2"/>
        <v>24.36580685272396</v>
      </c>
      <c r="G22" s="4">
        <f t="shared" si="3"/>
        <v>1865.1401334153175</v>
      </c>
      <c r="H22" s="4">
        <f t="shared" si="4"/>
        <v>1078.3820073850286</v>
      </c>
      <c r="I22" s="14">
        <v>1191.5999999999999</v>
      </c>
      <c r="J22" s="13">
        <v>1285000</v>
      </c>
      <c r="K22" s="22">
        <f t="shared" si="5"/>
        <v>2011333.56112679</v>
      </c>
      <c r="L22" s="22">
        <f t="shared" si="0"/>
        <v>1285000</v>
      </c>
      <c r="M22" s="19" t="s">
        <v>92</v>
      </c>
      <c r="N22" s="18">
        <f t="shared" si="6"/>
        <v>643.63293051359517</v>
      </c>
      <c r="O22" s="13">
        <v>766953</v>
      </c>
      <c r="P22" s="22">
        <f t="shared" si="7"/>
        <v>1200465.6098886186</v>
      </c>
      <c r="Q22" s="13">
        <f t="shared" si="8"/>
        <v>766953</v>
      </c>
    </row>
    <row r="23" spans="1:17">
      <c r="A23" s="18" t="s">
        <v>9</v>
      </c>
      <c r="B23" s="24">
        <v>55.540281389808555</v>
      </c>
      <c r="C23" s="24">
        <v>57.206489831502807</v>
      </c>
      <c r="D23" s="2">
        <v>1.367147891752108</v>
      </c>
      <c r="E23" s="4">
        <f t="shared" si="1"/>
        <v>40.6249256023277</v>
      </c>
      <c r="F23" s="4">
        <f t="shared" si="2"/>
        <v>20.31246280116385</v>
      </c>
      <c r="G23" s="4">
        <f t="shared" si="3"/>
        <v>1296.2090181843553</v>
      </c>
      <c r="H23" s="4">
        <f t="shared" si="4"/>
        <v>547.57015742642022</v>
      </c>
      <c r="I23" s="14">
        <v>1314.9</v>
      </c>
      <c r="J23" s="13">
        <v>720000</v>
      </c>
      <c r="K23" s="22">
        <f t="shared" si="5"/>
        <v>709765.37614475295</v>
      </c>
      <c r="L23" s="22">
        <f t="shared" si="0"/>
        <v>709765.37614475295</v>
      </c>
      <c r="M23" s="19" t="s">
        <v>92</v>
      </c>
      <c r="N23" s="18">
        <f t="shared" si="6"/>
        <v>337.57852308160312</v>
      </c>
      <c r="O23" s="12">
        <v>443882</v>
      </c>
      <c r="P23" s="22">
        <f t="shared" si="7"/>
        <v>437572.32596372953</v>
      </c>
      <c r="Q23" s="13">
        <f t="shared" si="8"/>
        <v>437572.32596372953</v>
      </c>
    </row>
    <row r="24" spans="1:17">
      <c r="A24" t="s">
        <v>75</v>
      </c>
      <c r="B24" s="25">
        <v>63.219918440805898</v>
      </c>
      <c r="C24" s="25">
        <v>65.116515994030081</v>
      </c>
      <c r="D24" s="2">
        <v>1.2881189492290259</v>
      </c>
      <c r="E24" s="4">
        <f t="shared" si="1"/>
        <v>49.079255047559649</v>
      </c>
      <c r="F24" s="4">
        <f t="shared" si="2"/>
        <v>24.539627523779824</v>
      </c>
      <c r="G24" s="4">
        <f t="shared" si="3"/>
        <v>1891.8461070296405</v>
      </c>
      <c r="H24" s="4">
        <f t="shared" si="4"/>
        <v>587.90735391009071</v>
      </c>
      <c r="I24" s="14">
        <v>1973.1</v>
      </c>
      <c r="J24" s="13">
        <v>1160000</v>
      </c>
      <c r="K24" s="22">
        <f t="shared" si="5"/>
        <v>1112230.2387889023</v>
      </c>
      <c r="L24" s="22">
        <f t="shared" si="0"/>
        <v>1112230.2387889023</v>
      </c>
      <c r="M24" s="19" t="s">
        <v>92</v>
      </c>
      <c r="N24" s="18">
        <f t="shared" si="6"/>
        <v>390.91227003192949</v>
      </c>
      <c r="O24" s="12">
        <v>771309</v>
      </c>
      <c r="P24" s="22">
        <f t="shared" si="7"/>
        <v>739545.85625002545</v>
      </c>
      <c r="Q24" s="13">
        <f t="shared" si="8"/>
        <v>739545.85625002545</v>
      </c>
    </row>
    <row r="25" spans="1:17">
      <c r="A25" s="18" t="s">
        <v>10</v>
      </c>
      <c r="B25" s="24">
        <v>58.291697709553844</v>
      </c>
      <c r="C25" s="24">
        <v>60.040448640840452</v>
      </c>
      <c r="D25" s="2">
        <v>1.3334070755044698</v>
      </c>
      <c r="E25" s="4">
        <f t="shared" si="1"/>
        <v>43.716355477940049</v>
      </c>
      <c r="F25" s="4">
        <f t="shared" si="2"/>
        <v>21.858177738970024</v>
      </c>
      <c r="G25" s="4">
        <f t="shared" si="3"/>
        <v>1500.9899309019161</v>
      </c>
      <c r="H25" s="4">
        <f t="shared" si="4"/>
        <v>1175.4827875734677</v>
      </c>
      <c r="I25" s="14">
        <v>595.5</v>
      </c>
      <c r="J25" s="13">
        <v>700000</v>
      </c>
      <c r="K25" s="22">
        <f t="shared" si="5"/>
        <v>1764387.8280962911</v>
      </c>
      <c r="L25" s="22">
        <f t="shared" si="0"/>
        <v>700000</v>
      </c>
      <c r="M25" s="19" t="s">
        <v>92</v>
      </c>
      <c r="N25" s="18">
        <f t="shared" si="6"/>
        <v>623.22082283795135</v>
      </c>
      <c r="O25" s="12">
        <v>371128</v>
      </c>
      <c r="P25" s="22">
        <f t="shared" si="7"/>
        <v>935448.17980817182</v>
      </c>
      <c r="Q25" s="13">
        <f t="shared" si="8"/>
        <v>371128</v>
      </c>
    </row>
    <row r="26" spans="1:17">
      <c r="A26" t="s">
        <v>64</v>
      </c>
      <c r="B26" s="25">
        <v>48.116227796764051</v>
      </c>
      <c r="C26" s="25">
        <v>49.559714630666974</v>
      </c>
      <c r="D26" s="2">
        <v>1.2467601620257738</v>
      </c>
      <c r="E26" s="4">
        <f t="shared" si="1"/>
        <v>38.593010317704845</v>
      </c>
      <c r="F26" s="4">
        <f t="shared" si="2"/>
        <v>19.296505158852423</v>
      </c>
      <c r="G26" s="4">
        <f t="shared" si="3"/>
        <v>1169.7880823300036</v>
      </c>
      <c r="H26" s="4">
        <f t="shared" si="4"/>
        <v>2243.0420521281399</v>
      </c>
      <c r="I26" s="14">
        <v>5091.3</v>
      </c>
      <c r="J26" s="13">
        <v>11420000</v>
      </c>
      <c r="K26" s="22">
        <f t="shared" si="5"/>
        <v>2623883.8607445327</v>
      </c>
      <c r="L26" s="22">
        <f t="shared" si="0"/>
        <v>2623883.8607445327</v>
      </c>
      <c r="M26" s="19" t="s">
        <v>92</v>
      </c>
      <c r="N26" s="18">
        <f t="shared" si="6"/>
        <v>1337.3878970007659</v>
      </c>
      <c r="O26" s="12">
        <v>6809043</v>
      </c>
      <c r="P26" s="22">
        <f t="shared" si="7"/>
        <v>1564460.4233638823</v>
      </c>
      <c r="Q26" s="13">
        <f t="shared" si="8"/>
        <v>1564460.4233638823</v>
      </c>
    </row>
    <row r="27" spans="1:17">
      <c r="A27" s="18" t="s">
        <v>11</v>
      </c>
      <c r="B27" s="24">
        <v>62.487212851553508</v>
      </c>
      <c r="C27" s="24">
        <v>64.986701365615659</v>
      </c>
      <c r="D27" s="2">
        <v>1.3589321966589822</v>
      </c>
      <c r="E27" s="4">
        <f t="shared" si="1"/>
        <v>45.982583240857885</v>
      </c>
      <c r="F27" s="4">
        <f t="shared" si="2"/>
        <v>22.991291620428942</v>
      </c>
      <c r="G27" s="4">
        <f t="shared" si="3"/>
        <v>1660.6442756553129</v>
      </c>
      <c r="H27" s="4">
        <f t="shared" si="4"/>
        <v>1106.8597977589507</v>
      </c>
      <c r="I27" s="14">
        <v>731.8</v>
      </c>
      <c r="J27" s="13">
        <v>810000</v>
      </c>
      <c r="K27" s="22">
        <f t="shared" si="5"/>
        <v>1838100.3871013988</v>
      </c>
      <c r="L27" s="22">
        <f t="shared" si="0"/>
        <v>810000</v>
      </c>
      <c r="M27" s="19" t="s">
        <v>92</v>
      </c>
      <c r="N27" s="18">
        <f t="shared" si="6"/>
        <v>610.65318393003554</v>
      </c>
      <c r="O27" s="12">
        <v>446876</v>
      </c>
      <c r="P27" s="22">
        <f t="shared" si="7"/>
        <v>1014077.7143041044</v>
      </c>
      <c r="Q27" s="13">
        <f t="shared" si="8"/>
        <v>446876</v>
      </c>
    </row>
    <row r="28" spans="1:17">
      <c r="A28" s="18" t="s">
        <v>12</v>
      </c>
      <c r="B28" s="24">
        <v>65.308032205055966</v>
      </c>
      <c r="C28" s="24">
        <v>67.920353493258204</v>
      </c>
      <c r="D28" s="2">
        <v>1.3312259917708142</v>
      </c>
      <c r="E28" s="4">
        <f t="shared" si="1"/>
        <v>49.058561513047358</v>
      </c>
      <c r="F28" s="4">
        <f t="shared" si="2"/>
        <v>24.529280756523679</v>
      </c>
      <c r="G28" s="4">
        <f t="shared" si="3"/>
        <v>1890.2511060713719</v>
      </c>
      <c r="H28" s="4">
        <f t="shared" si="4"/>
        <v>973.62164609985291</v>
      </c>
      <c r="I28" s="14">
        <v>883.3</v>
      </c>
      <c r="J28" s="13">
        <v>860000</v>
      </c>
      <c r="K28" s="22">
        <f t="shared" si="5"/>
        <v>1840389.3934352768</v>
      </c>
      <c r="L28" s="22">
        <f t="shared" si="0"/>
        <v>860000</v>
      </c>
      <c r="M28" s="19" t="s">
        <v>92</v>
      </c>
      <c r="N28" s="18">
        <f t="shared" si="6"/>
        <v>507.45726253820902</v>
      </c>
      <c r="O28" s="12">
        <v>448237</v>
      </c>
      <c r="P28" s="22">
        <f t="shared" si="7"/>
        <v>959221.65179680008</v>
      </c>
      <c r="Q28" s="13">
        <f t="shared" si="8"/>
        <v>448237</v>
      </c>
    </row>
    <row r="29" spans="1:17">
      <c r="A29" t="s">
        <v>44</v>
      </c>
      <c r="B29" s="25">
        <v>64.485521071986952</v>
      </c>
      <c r="C29" s="25">
        <v>67.064941914866438</v>
      </c>
      <c r="D29" s="2">
        <v>1.2176020802066099</v>
      </c>
      <c r="E29" s="4">
        <f t="shared" si="1"/>
        <v>52.961079912942225</v>
      </c>
      <c r="F29" s="4">
        <f t="shared" si="2"/>
        <v>26.480539956471112</v>
      </c>
      <c r="G29" s="4">
        <f t="shared" si="3"/>
        <v>2202.944447604692</v>
      </c>
      <c r="H29" s="4">
        <f t="shared" si="4"/>
        <v>927.60180995475116</v>
      </c>
      <c r="I29" s="14">
        <v>1326</v>
      </c>
      <c r="J29" s="13">
        <v>1230000</v>
      </c>
      <c r="K29" s="22">
        <f t="shared" si="5"/>
        <v>2043455.2568278818</v>
      </c>
      <c r="L29" s="22">
        <f t="shared" si="0"/>
        <v>1230000</v>
      </c>
      <c r="M29" s="19" t="s">
        <v>92</v>
      </c>
      <c r="N29" s="18">
        <f t="shared" si="6"/>
        <v>582.76923076923072</v>
      </c>
      <c r="O29" s="12">
        <v>772752</v>
      </c>
      <c r="P29" s="22">
        <f t="shared" si="7"/>
        <v>1283808.2411579343</v>
      </c>
      <c r="Q29" s="13">
        <f t="shared" si="8"/>
        <v>772752</v>
      </c>
    </row>
    <row r="30" spans="1:17">
      <c r="A30" t="s">
        <v>45</v>
      </c>
      <c r="B30" s="25">
        <v>63.564185114523426</v>
      </c>
      <c r="C30" s="25">
        <v>66.106752519104361</v>
      </c>
      <c r="D30" s="2">
        <v>1.2446763567855696</v>
      </c>
      <c r="E30" s="4">
        <f t="shared" si="1"/>
        <v>51.068845943760572</v>
      </c>
      <c r="F30" s="4">
        <f t="shared" si="2"/>
        <v>25.534422971880286</v>
      </c>
      <c r="G30" s="4">
        <f t="shared" si="3"/>
        <v>2048.3396363329475</v>
      </c>
      <c r="H30" s="4">
        <f t="shared" si="4"/>
        <v>730.08608477716029</v>
      </c>
      <c r="I30" s="14">
        <v>2753.1</v>
      </c>
      <c r="J30" s="13">
        <v>2010000</v>
      </c>
      <c r="K30" s="22">
        <f t="shared" si="5"/>
        <v>1495464.265384194</v>
      </c>
      <c r="L30" s="22">
        <f t="shared" si="0"/>
        <v>1495464.265384194</v>
      </c>
      <c r="M30" s="19" t="s">
        <v>92</v>
      </c>
      <c r="N30" s="18">
        <f t="shared" si="6"/>
        <v>474.96422214957687</v>
      </c>
      <c r="O30" s="12">
        <v>1307624</v>
      </c>
      <c r="P30" s="22">
        <f t="shared" si="7"/>
        <v>972888.04206902557</v>
      </c>
      <c r="Q30" s="13">
        <f t="shared" si="8"/>
        <v>972888.04206902557</v>
      </c>
    </row>
    <row r="31" spans="1:17">
      <c r="A31" s="18" t="s">
        <v>13</v>
      </c>
      <c r="B31" s="24">
        <v>63.734436519319452</v>
      </c>
      <c r="C31" s="24">
        <v>66.283813980092233</v>
      </c>
      <c r="D31" s="2">
        <v>1.353332701277282</v>
      </c>
      <c r="E31" s="4">
        <f t="shared" si="1"/>
        <v>47.094433215990847</v>
      </c>
      <c r="F31" s="4">
        <f t="shared" si="2"/>
        <v>23.547216607995423</v>
      </c>
      <c r="G31" s="4">
        <f t="shared" si="3"/>
        <v>1741.9233082308549</v>
      </c>
      <c r="H31" s="4">
        <f t="shared" si="4"/>
        <v>451.20587765532662</v>
      </c>
      <c r="I31" s="14">
        <v>1252.2</v>
      </c>
      <c r="J31" s="13">
        <v>565000</v>
      </c>
      <c r="K31" s="22">
        <f t="shared" si="5"/>
        <v>785966.03509857296</v>
      </c>
      <c r="L31" s="22">
        <f t="shared" si="0"/>
        <v>565000</v>
      </c>
      <c r="M31" s="19" t="s">
        <v>92</v>
      </c>
      <c r="N31" s="18">
        <f t="shared" si="6"/>
        <v>395.8768567321514</v>
      </c>
      <c r="O31" s="12">
        <v>495717</v>
      </c>
      <c r="P31" s="22">
        <f t="shared" si="7"/>
        <v>689587.12393090129</v>
      </c>
      <c r="Q31" s="13">
        <f t="shared" si="8"/>
        <v>495717</v>
      </c>
    </row>
    <row r="32" spans="1:17">
      <c r="A32" t="s">
        <v>47</v>
      </c>
      <c r="B32" s="25">
        <v>62.636693012318808</v>
      </c>
      <c r="C32" s="25">
        <v>65.142160732811561</v>
      </c>
      <c r="D32" s="2">
        <v>1.3461921883034873</v>
      </c>
      <c r="E32" s="4">
        <f t="shared" si="1"/>
        <v>46.528789541748488</v>
      </c>
      <c r="F32" s="4">
        <f t="shared" si="2"/>
        <v>23.264394770874244</v>
      </c>
      <c r="G32" s="4">
        <f t="shared" si="3"/>
        <v>1700.3306763226824</v>
      </c>
      <c r="H32" s="4">
        <f t="shared" si="4"/>
        <v>1501.072194424589</v>
      </c>
      <c r="I32" s="14">
        <v>699.5</v>
      </c>
      <c r="J32" s="13">
        <v>1050000</v>
      </c>
      <c r="K32" s="22">
        <f t="shared" si="5"/>
        <v>2552319.0995551343</v>
      </c>
      <c r="L32" s="22">
        <f t="shared" si="0"/>
        <v>1050000</v>
      </c>
      <c r="M32" s="19" t="s">
        <v>92</v>
      </c>
      <c r="N32" s="18">
        <f t="shared" si="6"/>
        <v>735.84846318799146</v>
      </c>
      <c r="O32" s="12">
        <v>514726</v>
      </c>
      <c r="P32" s="22">
        <f t="shared" si="7"/>
        <v>1251185.715083444</v>
      </c>
      <c r="Q32" s="13">
        <f t="shared" si="8"/>
        <v>514726</v>
      </c>
    </row>
    <row r="33" spans="1:17">
      <c r="A33" t="s">
        <v>65</v>
      </c>
      <c r="B33" s="25">
        <v>59.42988867805861</v>
      </c>
      <c r="C33" s="25">
        <v>62.40138311196155</v>
      </c>
      <c r="D33" s="2">
        <v>1.2603547141344449</v>
      </c>
      <c r="E33" s="4">
        <f t="shared" si="1"/>
        <v>47.153303757722199</v>
      </c>
      <c r="F33" s="4">
        <f t="shared" si="2"/>
        <v>23.576651878861099</v>
      </c>
      <c r="G33" s="4">
        <f t="shared" si="3"/>
        <v>1746.2810234428421</v>
      </c>
      <c r="H33" s="4">
        <f t="shared" si="4"/>
        <v>2072.7310590777161</v>
      </c>
      <c r="I33" s="14">
        <v>7683.1</v>
      </c>
      <c r="J33" s="13">
        <v>15925000</v>
      </c>
      <c r="K33" s="22">
        <f t="shared" si="5"/>
        <v>3619570.9151679999</v>
      </c>
      <c r="L33" s="22">
        <f t="shared" si="0"/>
        <v>3619570.9151679999</v>
      </c>
      <c r="M33" s="19" t="s">
        <v>92</v>
      </c>
      <c r="N33" s="18">
        <f t="shared" si="6"/>
        <v>1112.8936236675299</v>
      </c>
      <c r="O33" s="12">
        <v>8550473</v>
      </c>
      <c r="P33" s="22">
        <f t="shared" si="7"/>
        <v>1943425.0161211472</v>
      </c>
      <c r="Q33" s="13">
        <f t="shared" si="8"/>
        <v>1943425.0161211472</v>
      </c>
    </row>
    <row r="34" spans="1:17">
      <c r="A34" s="18" t="s">
        <v>14</v>
      </c>
      <c r="B34" s="24">
        <v>69.714425398287744</v>
      </c>
      <c r="C34" s="24">
        <v>72.503002414219253</v>
      </c>
      <c r="D34" s="2">
        <v>1.2964577542802127</v>
      </c>
      <c r="E34" s="4">
        <f t="shared" si="1"/>
        <v>53.773001988015309</v>
      </c>
      <c r="F34" s="4">
        <f t="shared" si="2"/>
        <v>26.886500994007655</v>
      </c>
      <c r="G34" s="4">
        <f t="shared" si="3"/>
        <v>2271.0068617956299</v>
      </c>
      <c r="H34" s="4">
        <f t="shared" si="4"/>
        <v>411.8665313675163</v>
      </c>
      <c r="I34" s="14">
        <v>1675.3</v>
      </c>
      <c r="J34" s="13">
        <v>690000</v>
      </c>
      <c r="K34" s="22">
        <f t="shared" si="5"/>
        <v>935351.71887959458</v>
      </c>
      <c r="L34" s="22">
        <f t="shared" ref="L34:L53" si="9">MIN(J34,K34)</f>
        <v>690000</v>
      </c>
      <c r="M34" s="19" t="s">
        <v>92</v>
      </c>
      <c r="N34" s="18">
        <f t="shared" si="6"/>
        <v>268.68143019160749</v>
      </c>
      <c r="O34" s="12">
        <v>450122</v>
      </c>
      <c r="P34" s="22">
        <f t="shared" si="7"/>
        <v>610177.37160220416</v>
      </c>
      <c r="Q34" s="13">
        <f t="shared" si="8"/>
        <v>450122</v>
      </c>
    </row>
    <row r="35" spans="1:17">
      <c r="A35" t="s">
        <v>48</v>
      </c>
      <c r="B35" s="25">
        <v>58.78311324728174</v>
      </c>
      <c r="C35" s="25">
        <v>61.722268909645827</v>
      </c>
      <c r="D35" s="2">
        <v>1.3350685041643267</v>
      </c>
      <c r="E35" s="4">
        <f t="shared" ref="E35:E53" si="10">B35/D35</f>
        <v>44.030035210872171</v>
      </c>
      <c r="F35" s="4">
        <f t="shared" ref="F35:F53" si="11">E35*0.5</f>
        <v>22.015017605436086</v>
      </c>
      <c r="G35" s="4">
        <f t="shared" ref="G35:G53" si="12">PI()*F35^2</f>
        <v>1522.6074376082047</v>
      </c>
      <c r="H35" s="4">
        <f t="shared" ref="H35:H53" si="13">J35/I35</f>
        <v>841.40495059191858</v>
      </c>
      <c r="I35" s="14">
        <v>1022.1</v>
      </c>
      <c r="J35" s="13">
        <v>860000</v>
      </c>
      <c r="K35" s="22">
        <f t="shared" ref="K35:K53" si="14">G35*H35</f>
        <v>1281129.4358116193</v>
      </c>
      <c r="L35" s="22">
        <f t="shared" si="9"/>
        <v>860000</v>
      </c>
      <c r="M35" s="19" t="s">
        <v>92</v>
      </c>
      <c r="N35" s="18">
        <f t="shared" ref="N35:N53" si="15">O35/I35</f>
        <v>545.39477546228352</v>
      </c>
      <c r="O35" s="12">
        <v>557448</v>
      </c>
      <c r="P35" s="22">
        <f t="shared" ref="P35:P53" si="16">G35*N35</f>
        <v>830422.14155152964</v>
      </c>
      <c r="Q35" s="13">
        <f t="shared" ref="Q35:Q53" si="17">MIN(P35,O35)</f>
        <v>557448</v>
      </c>
    </row>
    <row r="36" spans="1:17">
      <c r="A36" t="s">
        <v>67</v>
      </c>
      <c r="B36" s="25">
        <v>63.176257053555211</v>
      </c>
      <c r="C36" s="25">
        <v>66.966832476768531</v>
      </c>
      <c r="D36" s="2">
        <v>1.21284552512981</v>
      </c>
      <c r="E36" s="4">
        <f t="shared" si="10"/>
        <v>52.089285687716497</v>
      </c>
      <c r="F36" s="4">
        <f t="shared" si="11"/>
        <v>26.044642843858249</v>
      </c>
      <c r="G36" s="4">
        <f t="shared" si="12"/>
        <v>2131.0158757446693</v>
      </c>
      <c r="H36" s="4">
        <f t="shared" si="13"/>
        <v>1518.9201737803867</v>
      </c>
      <c r="I36" s="14">
        <v>3015.3</v>
      </c>
      <c r="J36" s="13">
        <v>4580000</v>
      </c>
      <c r="K36" s="22">
        <f t="shared" si="14"/>
        <v>3236843.0043148561</v>
      </c>
      <c r="L36" s="22">
        <f t="shared" si="9"/>
        <v>3236843.0043148561</v>
      </c>
      <c r="M36" s="19" t="s">
        <v>92</v>
      </c>
      <c r="N36" s="18">
        <f t="shared" si="15"/>
        <v>926.91175007461936</v>
      </c>
      <c r="O36" s="12">
        <v>2794917</v>
      </c>
      <c r="P36" s="22">
        <f t="shared" si="16"/>
        <v>1975263.654823289</v>
      </c>
      <c r="Q36" s="13">
        <f t="shared" si="17"/>
        <v>1975263.654823289</v>
      </c>
    </row>
    <row r="37" spans="1:17">
      <c r="A37" t="s">
        <v>49</v>
      </c>
      <c r="B37" s="25">
        <v>62.02920484038443</v>
      </c>
      <c r="C37" s="25">
        <v>65.130665082403652</v>
      </c>
      <c r="D37" s="2">
        <v>1.3720086617819869</v>
      </c>
      <c r="E37" s="4">
        <f t="shared" si="10"/>
        <v>45.210505274667803</v>
      </c>
      <c r="F37" s="4">
        <f t="shared" si="11"/>
        <v>22.605252637333901</v>
      </c>
      <c r="G37" s="4">
        <f t="shared" si="12"/>
        <v>1605.345824862768</v>
      </c>
      <c r="H37" s="4">
        <f t="shared" si="13"/>
        <v>987.28769407106381</v>
      </c>
      <c r="I37" s="14">
        <v>1919.4</v>
      </c>
      <c r="J37" s="13">
        <v>1895000</v>
      </c>
      <c r="K37" s="22">
        <f t="shared" si="14"/>
        <v>1584938.1776153722</v>
      </c>
      <c r="L37" s="22">
        <f t="shared" si="9"/>
        <v>1584938.1776153722</v>
      </c>
      <c r="M37" s="19" t="s">
        <v>92</v>
      </c>
      <c r="N37" s="18">
        <f t="shared" si="15"/>
        <v>519.17005314160667</v>
      </c>
      <c r="O37" s="12">
        <v>996495</v>
      </c>
      <c r="P37" s="22">
        <f t="shared" si="16"/>
        <v>833447.47720465972</v>
      </c>
      <c r="Q37" s="13">
        <f t="shared" si="17"/>
        <v>833447.47720465972</v>
      </c>
    </row>
    <row r="38" spans="1:17">
      <c r="A38" t="s">
        <v>50</v>
      </c>
      <c r="B38" s="25">
        <v>65.42916793409438</v>
      </c>
      <c r="C38" s="25">
        <v>68.700626330799111</v>
      </c>
      <c r="D38" s="2">
        <v>1.3164731695748204</v>
      </c>
      <c r="E38" s="4">
        <f t="shared" si="10"/>
        <v>49.700342890562631</v>
      </c>
      <c r="F38" s="4">
        <f t="shared" si="11"/>
        <v>24.850171445281315</v>
      </c>
      <c r="G38" s="4">
        <f t="shared" si="12"/>
        <v>1940.0309184971882</v>
      </c>
      <c r="H38" s="4">
        <f t="shared" si="13"/>
        <v>883.28701865819767</v>
      </c>
      <c r="I38" s="14">
        <v>2015.2</v>
      </c>
      <c r="J38" s="13">
        <v>1780000</v>
      </c>
      <c r="K38" s="22">
        <f t="shared" si="14"/>
        <v>1713604.1261041062</v>
      </c>
      <c r="L38" s="22">
        <f t="shared" si="9"/>
        <v>1713604.1261041062</v>
      </c>
      <c r="M38" s="19" t="s">
        <v>92</v>
      </c>
      <c r="N38" s="18">
        <f t="shared" si="15"/>
        <v>474.4710202461294</v>
      </c>
      <c r="O38" s="12">
        <v>956154</v>
      </c>
      <c r="P38" s="22">
        <f t="shared" si="16"/>
        <v>920488.44920839637</v>
      </c>
      <c r="Q38" s="13">
        <f t="shared" si="17"/>
        <v>920488.44920839637</v>
      </c>
    </row>
    <row r="39" spans="1:17">
      <c r="A39" t="s">
        <v>51</v>
      </c>
      <c r="B39" s="25">
        <v>65.140770915733583</v>
      </c>
      <c r="C39" s="25">
        <v>68.397809461520268</v>
      </c>
      <c r="D39" s="2">
        <v>1.3968132005592373</v>
      </c>
      <c r="E39" s="4">
        <f t="shared" si="10"/>
        <v>46.635277279491198</v>
      </c>
      <c r="F39" s="4">
        <f t="shared" si="11"/>
        <v>23.317638639745599</v>
      </c>
      <c r="G39" s="4">
        <f t="shared" si="12"/>
        <v>1708.1224785453883</v>
      </c>
      <c r="H39" s="4">
        <f t="shared" si="13"/>
        <v>1184.1974325803562</v>
      </c>
      <c r="I39" s="14">
        <v>1004.9</v>
      </c>
      <c r="J39" s="13">
        <v>1190000</v>
      </c>
      <c r="K39" s="22">
        <f t="shared" si="14"/>
        <v>2022754.2536262434</v>
      </c>
      <c r="L39" s="22">
        <f t="shared" si="9"/>
        <v>1190000</v>
      </c>
      <c r="M39" s="19" t="s">
        <v>92</v>
      </c>
      <c r="N39" s="18">
        <f t="shared" si="15"/>
        <v>720.99910438849633</v>
      </c>
      <c r="O39" s="12">
        <v>724532</v>
      </c>
      <c r="P39" s="22">
        <f t="shared" si="16"/>
        <v>1231554.7772170834</v>
      </c>
      <c r="Q39" s="13">
        <f t="shared" si="17"/>
        <v>724532</v>
      </c>
    </row>
    <row r="40" spans="1:17">
      <c r="A40" t="s">
        <v>52</v>
      </c>
      <c r="B40" s="25">
        <v>70.338872065042395</v>
      </c>
      <c r="C40" s="25">
        <v>75.262593109595372</v>
      </c>
      <c r="D40" s="2">
        <v>1.2487404330931191</v>
      </c>
      <c r="E40" s="4">
        <f t="shared" si="10"/>
        <v>56.327856615336486</v>
      </c>
      <c r="F40" s="4">
        <f t="shared" si="11"/>
        <v>28.163928307668243</v>
      </c>
      <c r="G40" s="4">
        <f t="shared" si="12"/>
        <v>2491.932836988552</v>
      </c>
      <c r="H40" s="4">
        <f t="shared" si="13"/>
        <v>1415.4601861427093</v>
      </c>
      <c r="I40" s="14">
        <v>773.6</v>
      </c>
      <c r="J40" s="13">
        <v>1095000</v>
      </c>
      <c r="K40" s="22">
        <f t="shared" si="14"/>
        <v>3527231.7172989454</v>
      </c>
      <c r="L40" s="22">
        <f t="shared" si="9"/>
        <v>1095000</v>
      </c>
      <c r="M40" s="19" t="s">
        <v>92</v>
      </c>
      <c r="N40" s="18">
        <f t="shared" si="15"/>
        <v>704.06928645294727</v>
      </c>
      <c r="O40" s="12">
        <v>544668</v>
      </c>
      <c r="P40" s="22">
        <f t="shared" si="16"/>
        <v>1754493.3744271984</v>
      </c>
      <c r="Q40" s="13">
        <f t="shared" si="17"/>
        <v>544668</v>
      </c>
    </row>
    <row r="41" spans="1:17">
      <c r="A41" s="18" t="s">
        <v>15</v>
      </c>
      <c r="B41" s="24">
        <v>68.778714095226661</v>
      </c>
      <c r="C41" s="24">
        <v>74.281011222844796</v>
      </c>
      <c r="D41" s="2">
        <v>1.2413603862790981</v>
      </c>
      <c r="E41" s="4">
        <f t="shared" si="10"/>
        <v>55.405919872621887</v>
      </c>
      <c r="F41" s="4">
        <f t="shared" si="11"/>
        <v>27.702959936310943</v>
      </c>
      <c r="G41" s="4">
        <f t="shared" si="12"/>
        <v>2411.0278145420993</v>
      </c>
      <c r="H41" s="4">
        <f t="shared" si="13"/>
        <v>1097.213078779899</v>
      </c>
      <c r="I41" s="14">
        <v>455.7</v>
      </c>
      <c r="J41" s="13">
        <v>500000</v>
      </c>
      <c r="K41" s="22">
        <f t="shared" si="14"/>
        <v>2645411.2514177081</v>
      </c>
      <c r="L41" s="22">
        <f t="shared" si="9"/>
        <v>500000</v>
      </c>
      <c r="M41" s="19" t="s">
        <v>92</v>
      </c>
      <c r="N41" s="18">
        <f t="shared" si="15"/>
        <v>877.11432960280888</v>
      </c>
      <c r="O41" s="12">
        <v>399701</v>
      </c>
      <c r="P41" s="22">
        <f t="shared" si="16"/>
        <v>2114747.045205819</v>
      </c>
      <c r="Q41" s="13">
        <f t="shared" si="17"/>
        <v>399701</v>
      </c>
    </row>
    <row r="42" spans="1:17">
      <c r="A42" t="s">
        <v>82</v>
      </c>
      <c r="B42" s="25">
        <v>70.514936537683639</v>
      </c>
      <c r="C42" s="25">
        <v>78.27157955682884</v>
      </c>
      <c r="D42" s="2">
        <v>1.2523823469090467</v>
      </c>
      <c r="E42" s="4">
        <f t="shared" si="10"/>
        <v>56.304639483076912</v>
      </c>
      <c r="F42" s="4">
        <f t="shared" si="11"/>
        <v>28.152319741538456</v>
      </c>
      <c r="G42" s="4">
        <f t="shared" si="12"/>
        <v>2489.8790179963162</v>
      </c>
      <c r="H42" s="4">
        <f t="shared" si="13"/>
        <v>1079.1366906474821</v>
      </c>
      <c r="I42" s="14">
        <v>569.9</v>
      </c>
      <c r="J42" s="13">
        <v>615000</v>
      </c>
      <c r="K42" s="22">
        <f t="shared" si="14"/>
        <v>2686919.8035931471</v>
      </c>
      <c r="L42" s="22">
        <f t="shared" si="9"/>
        <v>615000</v>
      </c>
      <c r="M42" s="19" t="s">
        <v>92</v>
      </c>
      <c r="N42" s="18">
        <f t="shared" si="15"/>
        <v>844.82716266011585</v>
      </c>
      <c r="O42" s="12">
        <v>481467</v>
      </c>
      <c r="P42" s="22">
        <f t="shared" si="16"/>
        <v>2103517.4261407834</v>
      </c>
      <c r="Q42" s="13">
        <f t="shared" si="17"/>
        <v>481467</v>
      </c>
    </row>
    <row r="43" spans="1:17">
      <c r="A43" t="s">
        <v>54</v>
      </c>
      <c r="B43" s="25">
        <v>61.557786724693997</v>
      </c>
      <c r="C43" s="25">
        <v>68.329143264410348</v>
      </c>
      <c r="D43" s="2">
        <v>1.420419999904208</v>
      </c>
      <c r="E43" s="4">
        <f t="shared" si="10"/>
        <v>43.337735830842576</v>
      </c>
      <c r="F43" s="4">
        <f t="shared" si="11"/>
        <v>21.668867915421288</v>
      </c>
      <c r="G43" s="4">
        <f t="shared" si="12"/>
        <v>1475.1029016574871</v>
      </c>
      <c r="H43" s="4">
        <f t="shared" si="13"/>
        <v>1272.1174973979414</v>
      </c>
      <c r="I43" s="14">
        <v>864.7</v>
      </c>
      <c r="J43" s="13">
        <v>1100000</v>
      </c>
      <c r="K43" s="22">
        <f t="shared" si="14"/>
        <v>1876504.2116609642</v>
      </c>
      <c r="L43" s="22">
        <f t="shared" si="9"/>
        <v>1100000</v>
      </c>
      <c r="M43" s="19" t="s">
        <v>92</v>
      </c>
      <c r="N43" s="18">
        <f t="shared" si="15"/>
        <v>793.27512432057358</v>
      </c>
      <c r="O43" s="12">
        <v>685945</v>
      </c>
      <c r="P43" s="22">
        <f t="shared" si="16"/>
        <v>1170162.4376979819</v>
      </c>
      <c r="Q43" s="13">
        <f t="shared" si="17"/>
        <v>685945</v>
      </c>
    </row>
    <row r="44" spans="1:17">
      <c r="A44" t="s">
        <v>55</v>
      </c>
      <c r="B44" s="4">
        <v>65.143959367039756</v>
      </c>
      <c r="C44" s="4">
        <v>73.612674084754914</v>
      </c>
      <c r="D44" s="2">
        <v>1.3900559399069428</v>
      </c>
      <c r="E44" s="4">
        <f t="shared" si="10"/>
        <v>46.864271787077008</v>
      </c>
      <c r="F44" s="4">
        <f t="shared" si="11"/>
        <v>23.432135893538504</v>
      </c>
      <c r="G44" s="4">
        <f t="shared" si="12"/>
        <v>1724.93854688581</v>
      </c>
      <c r="H44" s="4">
        <f t="shared" si="13"/>
        <v>1215.620726333384</v>
      </c>
      <c r="I44" s="14">
        <v>658.1</v>
      </c>
      <c r="J44" s="13">
        <v>800000</v>
      </c>
      <c r="K44" s="22">
        <f t="shared" si="14"/>
        <v>2096871.0492457803</v>
      </c>
      <c r="L44" s="22">
        <f t="shared" si="9"/>
        <v>800000</v>
      </c>
      <c r="M44" s="19" t="s">
        <v>92</v>
      </c>
      <c r="N44" s="18">
        <f t="shared" si="15"/>
        <v>728.36650964898945</v>
      </c>
      <c r="O44" s="12">
        <v>479338</v>
      </c>
      <c r="P44" s="22">
        <f t="shared" si="16"/>
        <v>1256387.468754217</v>
      </c>
      <c r="Q44" s="13">
        <f t="shared" si="17"/>
        <v>479338</v>
      </c>
    </row>
    <row r="45" spans="1:17">
      <c r="A45" t="s">
        <v>68</v>
      </c>
      <c r="B45" s="4">
        <v>68.131157212250471</v>
      </c>
      <c r="C45" s="4">
        <v>77.66951922196553</v>
      </c>
      <c r="D45" s="2">
        <v>1.3944576902357904</v>
      </c>
      <c r="E45" s="4">
        <f t="shared" si="10"/>
        <v>48.858533098074922</v>
      </c>
      <c r="F45" s="4">
        <f t="shared" si="11"/>
        <v>24.429266549037461</v>
      </c>
      <c r="G45" s="4">
        <f t="shared" si="12"/>
        <v>1874.868139594437</v>
      </c>
      <c r="H45" s="4">
        <f t="shared" si="13"/>
        <v>1031.2913177611283</v>
      </c>
      <c r="I45" s="14">
        <v>1134.5</v>
      </c>
      <c r="J45" s="13">
        <v>1170000</v>
      </c>
      <c r="K45" s="22">
        <f t="shared" si="14"/>
        <v>1933535.234310702</v>
      </c>
      <c r="L45" s="22">
        <f t="shared" si="9"/>
        <v>1170000</v>
      </c>
      <c r="M45" s="19" t="s">
        <v>92</v>
      </c>
      <c r="N45" s="18">
        <f t="shared" si="15"/>
        <v>501.67386513882769</v>
      </c>
      <c r="O45" s="12">
        <v>569149</v>
      </c>
      <c r="P45" s="22">
        <f t="shared" si="16"/>
        <v>940572.34621598432</v>
      </c>
      <c r="Q45" s="13">
        <f t="shared" si="17"/>
        <v>569149</v>
      </c>
    </row>
    <row r="46" spans="1:17">
      <c r="A46" t="s">
        <v>69</v>
      </c>
      <c r="B46" s="4">
        <v>59.330043396898148</v>
      </c>
      <c r="C46" s="4">
        <v>68.229549906432865</v>
      </c>
      <c r="D46" s="2">
        <v>1.3769556631897848</v>
      </c>
      <c r="E46" s="4">
        <f t="shared" si="10"/>
        <v>43.087838615992339</v>
      </c>
      <c r="F46" s="4">
        <f t="shared" si="11"/>
        <v>21.54391930799617</v>
      </c>
      <c r="G46" s="4">
        <f t="shared" si="12"/>
        <v>1458.1402566977063</v>
      </c>
      <c r="H46" s="4">
        <f t="shared" si="13"/>
        <v>1283.9160839160838</v>
      </c>
      <c r="I46" s="14">
        <v>1787.5</v>
      </c>
      <c r="J46" s="13">
        <v>2295000</v>
      </c>
      <c r="K46" s="22">
        <f t="shared" si="14"/>
        <v>1872129.7281797123</v>
      </c>
      <c r="L46" s="22">
        <f t="shared" si="9"/>
        <v>1872129.7281797123</v>
      </c>
      <c r="M46" s="19" t="s">
        <v>92</v>
      </c>
      <c r="N46" s="18">
        <f t="shared" si="15"/>
        <v>688.36139860139861</v>
      </c>
      <c r="O46" s="12">
        <v>1230446</v>
      </c>
      <c r="P46" s="22">
        <f t="shared" si="16"/>
        <v>1003727.4664574355</v>
      </c>
      <c r="Q46" s="13">
        <f t="shared" si="17"/>
        <v>1003727.4664574355</v>
      </c>
    </row>
    <row r="47" spans="1:17">
      <c r="A47" t="s">
        <v>70</v>
      </c>
      <c r="B47" s="4">
        <v>53.936325276944842</v>
      </c>
      <c r="C47" s="4">
        <v>62.026774068486567</v>
      </c>
      <c r="D47" s="2">
        <v>1.4057476356909797</v>
      </c>
      <c r="E47" s="4">
        <f t="shared" si="10"/>
        <v>38.368426812564429</v>
      </c>
      <c r="F47" s="4">
        <f t="shared" si="11"/>
        <v>19.184213406282215</v>
      </c>
      <c r="G47" s="4">
        <f t="shared" si="12"/>
        <v>1156.2130489571946</v>
      </c>
      <c r="H47" s="4">
        <f t="shared" si="13"/>
        <v>1623.3049162948894</v>
      </c>
      <c r="I47" s="14">
        <v>2263.9</v>
      </c>
      <c r="J47" s="13">
        <v>3675000</v>
      </c>
      <c r="K47" s="22">
        <f t="shared" si="14"/>
        <v>1876886.3266565176</v>
      </c>
      <c r="L47" s="22">
        <f t="shared" si="9"/>
        <v>1876886.3266565176</v>
      </c>
      <c r="M47" s="19" t="s">
        <v>92</v>
      </c>
      <c r="N47" s="18">
        <f t="shared" si="15"/>
        <v>1413.8579442554883</v>
      </c>
      <c r="O47" s="12">
        <v>3200833</v>
      </c>
      <c r="P47" s="22">
        <f t="shared" si="16"/>
        <v>1634721.0045199895</v>
      </c>
      <c r="Q47" s="13">
        <f t="shared" si="17"/>
        <v>1634721.0045199895</v>
      </c>
    </row>
    <row r="48" spans="1:17">
      <c r="A48" s="18" t="s">
        <v>3</v>
      </c>
      <c r="B48" s="4">
        <v>57.58663731743308</v>
      </c>
      <c r="C48" s="4">
        <v>66.800499288222369</v>
      </c>
      <c r="D48" s="2">
        <v>1.415239926121528</v>
      </c>
      <c r="E48" s="4">
        <f t="shared" si="10"/>
        <v>40.690370766495789</v>
      </c>
      <c r="F48" s="4">
        <f t="shared" si="11"/>
        <v>20.345185383247895</v>
      </c>
      <c r="G48" s="4">
        <f t="shared" si="12"/>
        <v>1300.3886660300725</v>
      </c>
      <c r="H48" s="4">
        <f t="shared" si="13"/>
        <v>1608.4873374401095</v>
      </c>
      <c r="I48" s="14">
        <v>876.6</v>
      </c>
      <c r="J48" s="13">
        <v>1410000</v>
      </c>
      <c r="K48" s="22">
        <f t="shared" si="14"/>
        <v>2091658.7030600072</v>
      </c>
      <c r="L48" s="22">
        <f t="shared" si="9"/>
        <v>1410000</v>
      </c>
      <c r="M48" s="19" t="s">
        <v>92</v>
      </c>
      <c r="N48" s="18">
        <f t="shared" si="15"/>
        <v>1079.5836185261237</v>
      </c>
      <c r="O48" s="13">
        <v>946363</v>
      </c>
      <c r="P48" s="22">
        <f t="shared" si="16"/>
        <v>1403878.3015631046</v>
      </c>
      <c r="Q48" s="13">
        <f t="shared" si="17"/>
        <v>946363</v>
      </c>
    </row>
    <row r="49" spans="1:17">
      <c r="A49" t="s">
        <v>56</v>
      </c>
      <c r="B49" s="4">
        <v>57.751551670614234</v>
      </c>
      <c r="C49" s="4">
        <v>67.569315454618646</v>
      </c>
      <c r="D49" s="2">
        <v>1.407578059972719</v>
      </c>
      <c r="E49" s="4">
        <f t="shared" si="10"/>
        <v>41.029022341917965</v>
      </c>
      <c r="F49" s="4">
        <f t="shared" si="11"/>
        <v>20.514511170958983</v>
      </c>
      <c r="G49" s="4">
        <f t="shared" si="12"/>
        <v>1322.1240899203704</v>
      </c>
      <c r="H49" s="4">
        <f t="shared" si="13"/>
        <v>1477.6384054639784</v>
      </c>
      <c r="I49" s="14">
        <v>1522.7</v>
      </c>
      <c r="J49" s="13">
        <v>2250000</v>
      </c>
      <c r="K49" s="22">
        <f t="shared" si="14"/>
        <v>1953621.3320554497</v>
      </c>
      <c r="L49" s="22">
        <f t="shared" si="9"/>
        <v>1953621.3320554497</v>
      </c>
      <c r="M49" s="19" t="s">
        <v>92</v>
      </c>
      <c r="N49" s="18">
        <f t="shared" si="15"/>
        <v>859.22243383463581</v>
      </c>
      <c r="O49" s="12">
        <v>1308338</v>
      </c>
      <c r="P49" s="22">
        <f t="shared" si="16"/>
        <v>1135998.6783727836</v>
      </c>
      <c r="Q49" s="13">
        <f t="shared" si="17"/>
        <v>1135998.6783727836</v>
      </c>
    </row>
    <row r="50" spans="1:17">
      <c r="A50" t="s">
        <v>76</v>
      </c>
      <c r="B50" s="4">
        <v>57.267086544288581</v>
      </c>
      <c r="C50" s="4">
        <v>59.557770006060125</v>
      </c>
      <c r="D50" s="2">
        <v>1.2731889571575705</v>
      </c>
      <c r="E50" s="4">
        <f t="shared" si="10"/>
        <v>44.97925168322142</v>
      </c>
      <c r="F50" s="4">
        <f t="shared" si="11"/>
        <v>22.48962584161071</v>
      </c>
      <c r="G50" s="4">
        <f t="shared" si="12"/>
        <v>1588.9650068977351</v>
      </c>
      <c r="H50" s="4">
        <f t="shared" si="13"/>
        <v>4280.7094372673528</v>
      </c>
      <c r="I50" s="14">
        <v>913.4</v>
      </c>
      <c r="J50" s="13">
        <v>3910000</v>
      </c>
      <c r="K50" s="22">
        <f t="shared" si="14"/>
        <v>6801897.5005147187</v>
      </c>
      <c r="L50" s="22">
        <f t="shared" si="9"/>
        <v>3910000</v>
      </c>
      <c r="M50" s="19" t="s">
        <v>92</v>
      </c>
      <c r="N50" s="18">
        <f t="shared" si="15"/>
        <v>1616.0335012042917</v>
      </c>
      <c r="O50" s="12">
        <v>1476085</v>
      </c>
      <c r="P50" s="22">
        <f t="shared" si="16"/>
        <v>2567820.6833880483</v>
      </c>
      <c r="Q50" s="13">
        <f t="shared" si="17"/>
        <v>1476085</v>
      </c>
    </row>
    <row r="51" spans="1:17">
      <c r="A51" t="s">
        <v>57</v>
      </c>
      <c r="B51" s="4">
        <v>65.029165523454452</v>
      </c>
      <c r="C51" s="4">
        <v>79.985873593848979</v>
      </c>
      <c r="D51" s="2">
        <v>1.3708884625275919</v>
      </c>
      <c r="E51" s="4">
        <f t="shared" si="10"/>
        <v>47.435781466536056</v>
      </c>
      <c r="F51" s="4">
        <f t="shared" si="11"/>
        <v>23.717890733268028</v>
      </c>
      <c r="G51" s="4">
        <f t="shared" si="12"/>
        <v>1767.2663189305856</v>
      </c>
      <c r="H51" s="4">
        <f t="shared" si="13"/>
        <v>1039.2364793213148</v>
      </c>
      <c r="I51" s="14">
        <v>1886</v>
      </c>
      <c r="J51" s="13">
        <v>1960000</v>
      </c>
      <c r="K51" s="22">
        <f t="shared" si="14"/>
        <v>1836607.6273085617</v>
      </c>
      <c r="L51" s="22">
        <f t="shared" si="9"/>
        <v>1836607.6273085617</v>
      </c>
      <c r="M51" s="19" t="s">
        <v>92</v>
      </c>
      <c r="N51" s="18">
        <f t="shared" si="15"/>
        <v>606.75291622481438</v>
      </c>
      <c r="O51" s="12">
        <v>1144336</v>
      </c>
      <c r="P51" s="22">
        <f t="shared" si="16"/>
        <v>1072293.9927570256</v>
      </c>
      <c r="Q51" s="13">
        <f t="shared" si="17"/>
        <v>1072293.9927570256</v>
      </c>
    </row>
    <row r="52" spans="1:17">
      <c r="A52" t="s">
        <v>71</v>
      </c>
      <c r="B52" s="4">
        <v>57.772652523705723</v>
      </c>
      <c r="C52" s="4">
        <v>71.060362604158044</v>
      </c>
      <c r="D52" s="2">
        <v>1.3211983424123821</v>
      </c>
      <c r="E52" s="4">
        <f t="shared" si="10"/>
        <v>43.727463673787518</v>
      </c>
      <c r="F52" s="4">
        <f t="shared" si="11"/>
        <v>21.863731836893759</v>
      </c>
      <c r="G52" s="4">
        <f t="shared" si="12"/>
        <v>1501.7528219641711</v>
      </c>
      <c r="H52" s="4">
        <f t="shared" si="13"/>
        <v>1022.1667558091162</v>
      </c>
      <c r="I52" s="14">
        <v>1682.7</v>
      </c>
      <c r="J52" s="13">
        <v>1720000</v>
      </c>
      <c r="K52" s="22">
        <f t="shared" si="14"/>
        <v>1535041.810054302</v>
      </c>
      <c r="L52" s="22">
        <f t="shared" si="9"/>
        <v>1535041.810054302</v>
      </c>
      <c r="M52" s="19" t="s">
        <v>92</v>
      </c>
      <c r="N52" s="18">
        <f t="shared" si="15"/>
        <v>543.59719498425147</v>
      </c>
      <c r="O52" s="12">
        <v>914711</v>
      </c>
      <c r="P52" s="22">
        <f t="shared" si="16"/>
        <v>816348.62157940737</v>
      </c>
      <c r="Q52" s="13">
        <f t="shared" si="17"/>
        <v>816348.62157940737</v>
      </c>
    </row>
    <row r="53" spans="1:17">
      <c r="A53" t="s">
        <v>59</v>
      </c>
      <c r="B53" s="4">
        <v>57.166397237881569</v>
      </c>
      <c r="C53" s="4">
        <v>76.031308326382486</v>
      </c>
      <c r="D53" s="2">
        <v>1.3152548048696464</v>
      </c>
      <c r="E53" s="4">
        <f t="shared" si="10"/>
        <v>43.464123473433936</v>
      </c>
      <c r="F53" s="4">
        <f t="shared" si="11"/>
        <v>21.732061736716968</v>
      </c>
      <c r="G53" s="4">
        <f t="shared" si="12"/>
        <v>1483.7192554421133</v>
      </c>
      <c r="H53" s="4">
        <f t="shared" si="13"/>
        <v>1267.0644976702363</v>
      </c>
      <c r="I53" s="14">
        <v>2446.6</v>
      </c>
      <c r="J53" s="13">
        <v>3100000</v>
      </c>
      <c r="K53" s="22">
        <f t="shared" si="14"/>
        <v>1879967.9930804183</v>
      </c>
      <c r="L53" s="22">
        <f t="shared" si="9"/>
        <v>1879967.9930804183</v>
      </c>
      <c r="M53" s="19" t="s">
        <v>92</v>
      </c>
      <c r="N53" s="18">
        <f t="shared" si="15"/>
        <v>905.07234529551215</v>
      </c>
      <c r="O53" s="12">
        <v>2214350</v>
      </c>
      <c r="P53" s="22">
        <f t="shared" si="16"/>
        <v>1342873.2662831047</v>
      </c>
      <c r="Q53" s="13">
        <f t="shared" si="17"/>
        <v>1342873.2662831047</v>
      </c>
    </row>
    <row r="54" spans="1:17">
      <c r="D54" s="2"/>
    </row>
    <row r="55" spans="1:17">
      <c r="A55" t="s">
        <v>74</v>
      </c>
      <c r="D55"/>
    </row>
    <row r="56" spans="1:17" ht="16">
      <c r="A56" s="18" t="s">
        <v>93</v>
      </c>
      <c r="D56"/>
    </row>
    <row r="57" spans="1:17" s="18" customFormat="1" ht="16">
      <c r="A57" s="18" t="s">
        <v>102</v>
      </c>
      <c r="J57" s="13"/>
      <c r="K57" s="22"/>
      <c r="L57" s="22"/>
      <c r="M57" s="20"/>
      <c r="P57" s="22"/>
    </row>
    <row r="58" spans="1:17">
      <c r="A58" s="18" t="s">
        <v>97</v>
      </c>
    </row>
    <row r="59" spans="1:17">
      <c r="A59" s="18" t="s">
        <v>4</v>
      </c>
    </row>
    <row r="60" spans="1:17">
      <c r="A60" s="18" t="s">
        <v>95</v>
      </c>
    </row>
    <row r="61" spans="1:17">
      <c r="A61" s="18" t="s">
        <v>0</v>
      </c>
    </row>
    <row r="62" spans="1:17">
      <c r="A62" s="18" t="s">
        <v>96</v>
      </c>
    </row>
    <row r="63" spans="1:17">
      <c r="A63" s="18" t="s">
        <v>105</v>
      </c>
    </row>
    <row r="64" spans="1:17">
      <c r="A64" s="18" t="s">
        <v>1</v>
      </c>
    </row>
  </sheetData>
  <sortState ref="A4:XFD53">
    <sortCondition ref="A4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zoomScale="90" zoomScaleNormal="90" zoomScalePageLayoutView="90" workbookViewId="0">
      <selection activeCell="K1" sqref="K1:Q1048576"/>
    </sheetView>
  </sheetViews>
  <sheetFormatPr baseColWidth="10" defaultColWidth="8.83203125" defaultRowHeight="14" x14ac:dyDescent="0"/>
  <cols>
    <col min="1" max="1" width="26" bestFit="1" customWidth="1"/>
    <col min="2" max="2" width="18.5" customWidth="1"/>
    <col min="3" max="3" width="17" customWidth="1"/>
    <col min="4" max="4" width="10.6640625" style="3" customWidth="1"/>
    <col min="5" max="5" width="15.33203125" customWidth="1"/>
    <col min="6" max="6" width="17.6640625" customWidth="1"/>
    <col min="7" max="7" width="27.6640625" customWidth="1"/>
    <col min="8" max="8" width="34" customWidth="1"/>
    <col min="9" max="9" width="10.5" customWidth="1"/>
    <col min="10" max="10" width="10.83203125" style="13" customWidth="1"/>
    <col min="11" max="11" width="12" style="22" customWidth="1"/>
    <col min="12" max="12" width="12.6640625" style="22" customWidth="1"/>
    <col min="14" max="14" width="12.6640625" customWidth="1"/>
    <col min="15" max="15" width="12.1640625" customWidth="1"/>
    <col min="16" max="16" width="13" style="22" customWidth="1"/>
    <col min="17" max="17" width="8.83203125" style="18"/>
  </cols>
  <sheetData>
    <row r="1" spans="1:17" ht="30.75" customHeight="1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83</v>
      </c>
      <c r="J1" s="23" t="s">
        <v>79</v>
      </c>
      <c r="K1" s="21" t="s">
        <v>77</v>
      </c>
      <c r="L1" s="27" t="s">
        <v>104</v>
      </c>
      <c r="M1" s="19" t="s">
        <v>92</v>
      </c>
      <c r="N1" s="1" t="s">
        <v>90</v>
      </c>
      <c r="O1" s="1" t="s">
        <v>88</v>
      </c>
      <c r="P1" s="21" t="s">
        <v>89</v>
      </c>
      <c r="Q1" s="18" t="s">
        <v>103</v>
      </c>
    </row>
    <row r="2" spans="1:17" ht="16">
      <c r="A2" t="s">
        <v>16</v>
      </c>
      <c r="B2" s="18" t="s">
        <v>18</v>
      </c>
      <c r="C2" s="18"/>
      <c r="D2" s="3" t="s">
        <v>87</v>
      </c>
      <c r="E2" s="18" t="s">
        <v>17</v>
      </c>
      <c r="F2" s="18" t="s">
        <v>19</v>
      </c>
      <c r="G2" s="18" t="s">
        <v>22</v>
      </c>
      <c r="H2" s="18" t="s">
        <v>24</v>
      </c>
      <c r="L2" s="22">
        <f t="shared" ref="L2:L33" si="0">MIN(J2,K2)</f>
        <v>0</v>
      </c>
      <c r="M2" s="20" t="s">
        <v>92</v>
      </c>
      <c r="O2" s="18"/>
      <c r="Q2" s="13"/>
    </row>
    <row r="3" spans="1:17">
      <c r="A3" t="s">
        <v>26</v>
      </c>
      <c r="B3" s="4">
        <v>57.036474214306388</v>
      </c>
      <c r="C3" s="4">
        <v>70.725228025739924</v>
      </c>
      <c r="D3" s="2">
        <v>1.2545032030514984</v>
      </c>
      <c r="E3" s="4">
        <f t="shared" ref="E3:E34" si="1">B3/D3</f>
        <v>45.465387474156167</v>
      </c>
      <c r="F3" s="4">
        <f t="shared" ref="F3:F34" si="2">E3*0.5</f>
        <v>22.732693737078083</v>
      </c>
      <c r="G3" s="4">
        <f t="shared" ref="G3:G34" si="3">PI()*F3^2</f>
        <v>1623.4976888069552</v>
      </c>
      <c r="H3" s="4">
        <f t="shared" ref="H3:H34" si="4">J3/I3</f>
        <v>1103.9402173913043</v>
      </c>
      <c r="I3" s="17">
        <v>2944</v>
      </c>
      <c r="J3" s="13">
        <v>3250000</v>
      </c>
      <c r="K3" s="22">
        <f t="shared" ref="K3:K34" si="5">G3*H3</f>
        <v>1792244.3915158303</v>
      </c>
      <c r="L3" s="22">
        <f t="shared" si="0"/>
        <v>1792244.3915158303</v>
      </c>
      <c r="M3" s="19" t="s">
        <v>92</v>
      </c>
      <c r="N3">
        <f t="shared" ref="N3:N34" si="6">O3/I3</f>
        <v>643.62635869565213</v>
      </c>
      <c r="O3" s="13">
        <v>1894836</v>
      </c>
      <c r="P3" s="22">
        <f t="shared" ref="P3:P34" si="7">G3*N3</f>
        <v>1044925.9057976276</v>
      </c>
      <c r="Q3" s="13">
        <f t="shared" ref="Q3:Q34" si="8">MIN(P3,O3)</f>
        <v>1044925.9057976276</v>
      </c>
    </row>
    <row r="4" spans="1:17">
      <c r="A4" s="18" t="s">
        <v>6</v>
      </c>
      <c r="B4" s="4">
        <v>62.912832549243973</v>
      </c>
      <c r="C4" s="4">
        <v>73.608014082615441</v>
      </c>
      <c r="D4" s="2">
        <v>1.3588386571923918</v>
      </c>
      <c r="E4" s="4">
        <f t="shared" si="1"/>
        <v>46.298971711059018</v>
      </c>
      <c r="F4" s="4">
        <f t="shared" si="2"/>
        <v>23.149485855529509</v>
      </c>
      <c r="G4" s="4">
        <f t="shared" si="3"/>
        <v>1683.5754044595881</v>
      </c>
      <c r="H4" s="4">
        <f t="shared" si="4"/>
        <v>1074.2049469964663</v>
      </c>
      <c r="I4" s="17">
        <v>707.5</v>
      </c>
      <c r="J4" s="13">
        <v>760000</v>
      </c>
      <c r="K4" s="22">
        <f t="shared" si="5"/>
        <v>1808505.0281120662</v>
      </c>
      <c r="L4" s="22">
        <f t="shared" si="0"/>
        <v>760000</v>
      </c>
      <c r="M4" s="20" t="s">
        <v>92</v>
      </c>
      <c r="N4">
        <f t="shared" si="6"/>
        <v>678.06501766784447</v>
      </c>
      <c r="O4" s="13">
        <v>479731</v>
      </c>
      <c r="P4" s="22">
        <f t="shared" si="7"/>
        <v>1141573.586370039</v>
      </c>
      <c r="Q4" s="13">
        <f t="shared" si="8"/>
        <v>479731</v>
      </c>
    </row>
    <row r="5" spans="1:17">
      <c r="A5" t="s">
        <v>28</v>
      </c>
      <c r="B5" s="4">
        <v>60.83258633343933</v>
      </c>
      <c r="C5" s="4">
        <v>72.390777736792799</v>
      </c>
      <c r="D5" s="2">
        <v>1.2525850225273614</v>
      </c>
      <c r="E5" s="4">
        <f t="shared" si="1"/>
        <v>48.565634459444851</v>
      </c>
      <c r="F5" s="4">
        <f t="shared" si="2"/>
        <v>24.282817229722426</v>
      </c>
      <c r="G5" s="4">
        <f t="shared" si="3"/>
        <v>1852.4564840931143</v>
      </c>
      <c r="H5" s="4">
        <f t="shared" si="4"/>
        <v>1394.5910720104268</v>
      </c>
      <c r="I5" s="17">
        <v>1534.5</v>
      </c>
      <c r="J5" s="13">
        <v>2140000</v>
      </c>
      <c r="K5" s="22">
        <f t="shared" si="5"/>
        <v>2583419.2740040827</v>
      </c>
      <c r="L5" s="22">
        <f t="shared" si="0"/>
        <v>2140000</v>
      </c>
      <c r="M5" s="19" t="s">
        <v>92</v>
      </c>
      <c r="N5">
        <f t="shared" si="6"/>
        <v>646.30107526881716</v>
      </c>
      <c r="O5" s="13">
        <v>991749</v>
      </c>
      <c r="P5" s="22">
        <f t="shared" si="7"/>
        <v>1197244.6175580723</v>
      </c>
      <c r="Q5" s="13">
        <f t="shared" si="8"/>
        <v>991749</v>
      </c>
    </row>
    <row r="6" spans="1:17">
      <c r="A6" t="s">
        <v>29</v>
      </c>
      <c r="B6" s="4">
        <v>59.830798901249047</v>
      </c>
      <c r="C6" s="4">
        <v>71.198650692486353</v>
      </c>
      <c r="D6" s="2">
        <v>1.225722635583782</v>
      </c>
      <c r="E6" s="4">
        <f t="shared" si="1"/>
        <v>48.81267357255998</v>
      </c>
      <c r="F6" s="4">
        <f t="shared" si="2"/>
        <v>24.40633678627999</v>
      </c>
      <c r="G6" s="4">
        <f t="shared" si="3"/>
        <v>1871.3502193311931</v>
      </c>
      <c r="H6" s="4">
        <f t="shared" si="4"/>
        <v>1594.3159171648906</v>
      </c>
      <c r="I6" s="17">
        <v>2308.1999999999998</v>
      </c>
      <c r="J6" s="13">
        <v>3680000</v>
      </c>
      <c r="K6" s="22">
        <f t="shared" si="5"/>
        <v>2983523.4412697302</v>
      </c>
      <c r="L6" s="22">
        <f t="shared" si="0"/>
        <v>2983523.4412697302</v>
      </c>
      <c r="M6" s="20" t="s">
        <v>92</v>
      </c>
      <c r="N6">
        <f t="shared" si="6"/>
        <v>1247.093839355342</v>
      </c>
      <c r="O6" s="13">
        <v>2878542</v>
      </c>
      <c r="P6" s="22">
        <f t="shared" si="7"/>
        <v>2333749.3298041988</v>
      </c>
      <c r="Q6" s="13">
        <f t="shared" si="8"/>
        <v>2333749.3298041988</v>
      </c>
    </row>
    <row r="7" spans="1:17">
      <c r="A7" t="s">
        <v>30</v>
      </c>
      <c r="B7" s="4">
        <v>66.307400044704906</v>
      </c>
      <c r="C7" s="4">
        <v>68.959696046493107</v>
      </c>
      <c r="D7" s="2">
        <v>1.2376013427301835</v>
      </c>
      <c r="E7" s="4">
        <f t="shared" si="1"/>
        <v>53.577349793778431</v>
      </c>
      <c r="F7" s="4">
        <f t="shared" si="2"/>
        <v>26.788674896889216</v>
      </c>
      <c r="G7" s="4">
        <f t="shared" si="3"/>
        <v>2254.5108835132573</v>
      </c>
      <c r="H7" s="4">
        <f t="shared" si="4"/>
        <v>1446.923597025017</v>
      </c>
      <c r="I7" s="17">
        <v>739.5</v>
      </c>
      <c r="J7" s="13">
        <v>1070000</v>
      </c>
      <c r="K7" s="22">
        <f t="shared" si="5"/>
        <v>3262104.9971050513</v>
      </c>
      <c r="L7" s="22">
        <f t="shared" si="0"/>
        <v>1070000</v>
      </c>
      <c r="M7" s="19" t="s">
        <v>92</v>
      </c>
      <c r="N7">
        <f t="shared" si="6"/>
        <v>630.65584854631504</v>
      </c>
      <c r="O7" s="13">
        <v>466370</v>
      </c>
      <c r="P7" s="22">
        <f t="shared" si="7"/>
        <v>1421820.4742989556</v>
      </c>
      <c r="Q7" s="13">
        <f t="shared" si="8"/>
        <v>466370</v>
      </c>
    </row>
    <row r="8" spans="1:17">
      <c r="A8" t="s">
        <v>31</v>
      </c>
      <c r="B8" s="4">
        <v>61.905551177743639</v>
      </c>
      <c r="C8" s="4">
        <v>69.95327283085031</v>
      </c>
      <c r="D8" s="2">
        <v>1.2806694088372974</v>
      </c>
      <c r="E8" s="4">
        <f t="shared" si="1"/>
        <v>48.338432034498943</v>
      </c>
      <c r="F8" s="4">
        <f t="shared" si="2"/>
        <v>24.169216017249472</v>
      </c>
      <c r="G8" s="4">
        <f t="shared" si="3"/>
        <v>1835.1644992615222</v>
      </c>
      <c r="H8" s="4">
        <f t="shared" si="4"/>
        <v>1054.1447053186391</v>
      </c>
      <c r="I8" s="17">
        <v>626.1</v>
      </c>
      <c r="J8" s="13">
        <v>660000</v>
      </c>
      <c r="K8" s="22">
        <f t="shared" si="5"/>
        <v>1934528.9402852652</v>
      </c>
      <c r="L8" s="22">
        <f t="shared" si="0"/>
        <v>660000</v>
      </c>
      <c r="M8" s="20" t="s">
        <v>92</v>
      </c>
      <c r="N8">
        <f t="shared" si="6"/>
        <v>1161.0174093595272</v>
      </c>
      <c r="O8" s="13">
        <v>726913</v>
      </c>
      <c r="P8" s="22">
        <f t="shared" si="7"/>
        <v>2130657.9326811866</v>
      </c>
      <c r="Q8" s="13">
        <f t="shared" si="8"/>
        <v>726913</v>
      </c>
    </row>
    <row r="9" spans="1:17">
      <c r="A9" t="s">
        <v>32</v>
      </c>
      <c r="B9" s="4">
        <v>54.907110357721741</v>
      </c>
      <c r="C9" s="4">
        <v>71.379243465038257</v>
      </c>
      <c r="D9" s="2">
        <v>1.230649613698569</v>
      </c>
      <c r="E9" s="4">
        <f t="shared" si="1"/>
        <v>44.616363379585394</v>
      </c>
      <c r="F9" s="4">
        <f t="shared" si="2"/>
        <v>22.308181689792697</v>
      </c>
      <c r="G9" s="4">
        <f t="shared" si="3"/>
        <v>1563.429198732013</v>
      </c>
      <c r="H9" s="4">
        <f t="shared" si="4"/>
        <v>1887.2752083434864</v>
      </c>
      <c r="I9" s="17">
        <v>4103.8</v>
      </c>
      <c r="J9" s="13">
        <v>7745000</v>
      </c>
      <c r="K9" s="22">
        <f t="shared" si="5"/>
        <v>2950621.1667672498</v>
      </c>
      <c r="L9" s="22">
        <f t="shared" si="0"/>
        <v>2950621.1667672498</v>
      </c>
      <c r="M9" s="19" t="s">
        <v>92</v>
      </c>
      <c r="N9">
        <f t="shared" si="6"/>
        <v>977.85272186753741</v>
      </c>
      <c r="O9" s="13">
        <f>3741075+224929+46908</f>
        <v>4012912</v>
      </c>
      <c r="P9" s="22">
        <f t="shared" si="7"/>
        <v>1528803.4974272819</v>
      </c>
      <c r="Q9" s="13">
        <f t="shared" si="8"/>
        <v>1528803.4974272819</v>
      </c>
    </row>
    <row r="10" spans="1:17">
      <c r="A10" t="s">
        <v>33</v>
      </c>
      <c r="B10" s="4">
        <v>64.694239445714103</v>
      </c>
      <c r="C10" s="4">
        <v>75.045317757028357</v>
      </c>
      <c r="D10" s="2">
        <v>1.3292592058969801</v>
      </c>
      <c r="E10" s="4">
        <f t="shared" si="1"/>
        <v>48.669393568020183</v>
      </c>
      <c r="F10" s="4">
        <f t="shared" si="2"/>
        <v>24.334696784010092</v>
      </c>
      <c r="G10" s="4">
        <f t="shared" si="3"/>
        <v>1860.3803817384123</v>
      </c>
      <c r="H10" s="4">
        <f t="shared" si="4"/>
        <v>980.98400241472984</v>
      </c>
      <c r="I10" s="17">
        <v>1325.2</v>
      </c>
      <c r="J10" s="13">
        <v>1300000</v>
      </c>
      <c r="K10" s="22">
        <f t="shared" si="5"/>
        <v>1825003.3928915907</v>
      </c>
      <c r="L10" s="22">
        <f t="shared" si="0"/>
        <v>1300000</v>
      </c>
      <c r="M10" s="20" t="s">
        <v>92</v>
      </c>
      <c r="N10">
        <f t="shared" si="6"/>
        <v>673.15801388469663</v>
      </c>
      <c r="O10" s="13">
        <f>789795+102274</f>
        <v>892069</v>
      </c>
      <c r="P10" s="22">
        <f t="shared" si="7"/>
        <v>1252329.9628410833</v>
      </c>
      <c r="Q10" s="13">
        <f t="shared" si="8"/>
        <v>892069</v>
      </c>
    </row>
    <row r="11" spans="1:17">
      <c r="A11" t="s">
        <v>34</v>
      </c>
      <c r="B11" s="4">
        <v>68.272477468286837</v>
      </c>
      <c r="C11" s="4">
        <v>75.782449989798394</v>
      </c>
      <c r="D11" s="2">
        <v>1.2227035028236048</v>
      </c>
      <c r="E11" s="4">
        <f t="shared" si="1"/>
        <v>55.837312406993462</v>
      </c>
      <c r="F11" s="4">
        <f t="shared" si="2"/>
        <v>27.918656203496731</v>
      </c>
      <c r="G11" s="4">
        <f t="shared" si="3"/>
        <v>2448.7186796296824</v>
      </c>
      <c r="H11" s="4">
        <f t="shared" si="4"/>
        <v>1074.6812386156648</v>
      </c>
      <c r="I11" s="17">
        <v>1647</v>
      </c>
      <c r="J11" s="13">
        <v>1770000</v>
      </c>
      <c r="K11" s="22">
        <f t="shared" si="5"/>
        <v>2631592.0236457423</v>
      </c>
      <c r="L11" s="22">
        <f t="shared" si="0"/>
        <v>1770000</v>
      </c>
      <c r="M11" s="19" t="s">
        <v>92</v>
      </c>
      <c r="N11">
        <f t="shared" si="6"/>
        <v>633.32847601700064</v>
      </c>
      <c r="O11" s="13">
        <v>1043092</v>
      </c>
      <c r="P11" s="22">
        <f t="shared" si="7"/>
        <v>1550843.2695642288</v>
      </c>
      <c r="Q11" s="13">
        <f t="shared" si="8"/>
        <v>1043092</v>
      </c>
    </row>
    <row r="12" spans="1:17">
      <c r="A12" t="s">
        <v>35</v>
      </c>
      <c r="B12" s="4">
        <v>64.211989973812706</v>
      </c>
      <c r="C12" s="4">
        <v>73.843788469884601</v>
      </c>
      <c r="D12" s="2">
        <v>1.2387291911244029</v>
      </c>
      <c r="E12" s="4">
        <f t="shared" si="1"/>
        <v>51.836987804838152</v>
      </c>
      <c r="F12" s="4">
        <f t="shared" si="2"/>
        <v>25.918493902419076</v>
      </c>
      <c r="G12" s="4">
        <f t="shared" si="3"/>
        <v>2110.4224384091508</v>
      </c>
      <c r="H12" s="4">
        <f t="shared" si="4"/>
        <v>1130.6392029553342</v>
      </c>
      <c r="I12" s="17">
        <v>893.3</v>
      </c>
      <c r="J12" s="13">
        <v>1010000</v>
      </c>
      <c r="K12" s="22">
        <f t="shared" si="5"/>
        <v>2386126.3436619751</v>
      </c>
      <c r="L12" s="22">
        <f t="shared" si="0"/>
        <v>1010000</v>
      </c>
      <c r="M12" s="20" t="s">
        <v>92</v>
      </c>
      <c r="N12">
        <f t="shared" si="6"/>
        <v>810.52949736930486</v>
      </c>
      <c r="O12" s="13">
        <v>724046</v>
      </c>
      <c r="P12" s="22">
        <f t="shared" si="7"/>
        <v>1710559.6382406717</v>
      </c>
      <c r="Q12" s="13">
        <f t="shared" si="8"/>
        <v>724046</v>
      </c>
    </row>
    <row r="13" spans="1:17">
      <c r="A13" t="s">
        <v>62</v>
      </c>
      <c r="B13" s="4">
        <v>62.831555497974001</v>
      </c>
      <c r="C13" s="4">
        <v>72.884604377649836</v>
      </c>
      <c r="D13" s="2">
        <v>1.2669462965142195</v>
      </c>
      <c r="E13" s="4">
        <f t="shared" si="1"/>
        <v>49.592911452398575</v>
      </c>
      <c r="F13" s="4">
        <f t="shared" si="2"/>
        <v>24.796455726199287</v>
      </c>
      <c r="G13" s="4">
        <f t="shared" si="3"/>
        <v>1931.6529057672485</v>
      </c>
      <c r="H13" s="4">
        <f t="shared" si="4"/>
        <v>936.4548494983278</v>
      </c>
      <c r="I13" s="17">
        <v>3737.5</v>
      </c>
      <c r="J13" s="13">
        <v>3500000</v>
      </c>
      <c r="K13" s="22">
        <f t="shared" si="5"/>
        <v>1808905.7311532763</v>
      </c>
      <c r="L13" s="22">
        <f t="shared" si="0"/>
        <v>1808905.7311532763</v>
      </c>
      <c r="M13" s="19" t="s">
        <v>92</v>
      </c>
      <c r="N13">
        <f t="shared" si="6"/>
        <v>638.19745819397997</v>
      </c>
      <c r="O13" s="13">
        <f>1747902+637361</f>
        <v>2385263</v>
      </c>
      <c r="P13" s="22">
        <f t="shared" si="7"/>
        <v>1232775.9745736734</v>
      </c>
      <c r="Q13" s="13">
        <f t="shared" si="8"/>
        <v>1232775.9745736734</v>
      </c>
    </row>
    <row r="14" spans="1:17">
      <c r="A14" t="s">
        <v>36</v>
      </c>
      <c r="B14" s="4">
        <v>57.288367544824013</v>
      </c>
      <c r="C14" s="4">
        <v>69.891808404685293</v>
      </c>
      <c r="D14" s="2">
        <v>1.3381636172769695</v>
      </c>
      <c r="E14" s="4">
        <f t="shared" si="1"/>
        <v>42.811183031115561</v>
      </c>
      <c r="F14" s="4">
        <f t="shared" si="2"/>
        <v>21.405591515557781</v>
      </c>
      <c r="G14" s="4">
        <f t="shared" si="3"/>
        <v>1439.4757059677281</v>
      </c>
      <c r="H14" s="4">
        <f t="shared" si="4"/>
        <v>1455.7388084819925</v>
      </c>
      <c r="I14" s="17">
        <v>1188.4000000000001</v>
      </c>
      <c r="J14" s="13">
        <v>1730000</v>
      </c>
      <c r="K14" s="22">
        <f t="shared" si="5"/>
        <v>2095500.6490442355</v>
      </c>
      <c r="L14" s="22">
        <f t="shared" si="0"/>
        <v>1730000</v>
      </c>
      <c r="M14" s="20" t="s">
        <v>92</v>
      </c>
      <c r="N14">
        <f t="shared" si="6"/>
        <v>816.15112756647591</v>
      </c>
      <c r="O14" s="13">
        <v>969914</v>
      </c>
      <c r="P14" s="22">
        <f t="shared" si="7"/>
        <v>1174829.7205301102</v>
      </c>
      <c r="Q14" s="13">
        <f t="shared" si="8"/>
        <v>969914</v>
      </c>
    </row>
    <row r="15" spans="1:17">
      <c r="A15" t="s">
        <v>37</v>
      </c>
      <c r="B15" s="4">
        <v>53.475546269365232</v>
      </c>
      <c r="C15" s="4">
        <v>67.379188299400198</v>
      </c>
      <c r="D15" s="2">
        <v>1.2390009620459046</v>
      </c>
      <c r="E15" s="4">
        <f t="shared" si="1"/>
        <v>43.160213678174671</v>
      </c>
      <c r="F15" s="4">
        <f t="shared" si="2"/>
        <v>21.580106839087335</v>
      </c>
      <c r="G15" s="4">
        <f t="shared" si="3"/>
        <v>1463.0428755126077</v>
      </c>
      <c r="H15" s="4">
        <f t="shared" si="4"/>
        <v>1384.7692626060564</v>
      </c>
      <c r="I15" s="17">
        <v>2899.4</v>
      </c>
      <c r="J15" s="13">
        <v>4015000</v>
      </c>
      <c r="K15" s="22">
        <f t="shared" si="5"/>
        <v>2025976.803884638</v>
      </c>
      <c r="L15" s="22">
        <f t="shared" si="0"/>
        <v>2025976.803884638</v>
      </c>
      <c r="M15" s="19" t="s">
        <v>92</v>
      </c>
      <c r="N15">
        <f t="shared" si="6"/>
        <v>664.66199903428299</v>
      </c>
      <c r="O15" s="13">
        <v>1927121</v>
      </c>
      <c r="P15" s="22">
        <f t="shared" si="7"/>
        <v>972429.00231107546</v>
      </c>
      <c r="Q15" s="13">
        <f t="shared" si="8"/>
        <v>972429.00231107546</v>
      </c>
    </row>
    <row r="16" spans="1:17">
      <c r="A16" s="18" t="s">
        <v>7</v>
      </c>
      <c r="B16" s="4">
        <v>60.555305265855225</v>
      </c>
      <c r="C16" s="4">
        <v>66.005282739782203</v>
      </c>
      <c r="D16" s="2">
        <v>1.2825248470877721</v>
      </c>
      <c r="E16" s="4">
        <f t="shared" si="1"/>
        <v>47.215697538615409</v>
      </c>
      <c r="F16" s="4">
        <f t="shared" si="2"/>
        <v>23.607848769307704</v>
      </c>
      <c r="G16" s="4">
        <f t="shared" si="3"/>
        <v>1750.905478294517</v>
      </c>
      <c r="H16" s="4">
        <f t="shared" si="4"/>
        <v>830.1625735039778</v>
      </c>
      <c r="I16" s="17">
        <v>578.20000000000005</v>
      </c>
      <c r="J16" s="13">
        <v>480000</v>
      </c>
      <c r="K16" s="22">
        <f t="shared" si="5"/>
        <v>1453536.1978231894</v>
      </c>
      <c r="L16" s="22">
        <f t="shared" si="0"/>
        <v>480000</v>
      </c>
      <c r="M16" s="20" t="s">
        <v>92</v>
      </c>
      <c r="N16">
        <f t="shared" si="6"/>
        <v>892.03389830508468</v>
      </c>
      <c r="O16" s="13">
        <v>515774</v>
      </c>
      <c r="P16" s="22">
        <f t="shared" si="7"/>
        <v>1561867.0393667868</v>
      </c>
      <c r="Q16" s="13">
        <f t="shared" si="8"/>
        <v>515774</v>
      </c>
    </row>
    <row r="17" spans="1:17">
      <c r="A17" t="s">
        <v>58</v>
      </c>
      <c r="B17" s="4">
        <v>59.158544620573359</v>
      </c>
      <c r="C17" s="4">
        <v>68.032326313659354</v>
      </c>
      <c r="D17" s="2">
        <v>1.3437942504267779</v>
      </c>
      <c r="E17" s="4">
        <f t="shared" si="1"/>
        <v>44.023513720039432</v>
      </c>
      <c r="F17" s="4">
        <f t="shared" si="2"/>
        <v>22.011756860019716</v>
      </c>
      <c r="G17" s="4">
        <f t="shared" si="3"/>
        <v>1522.1564302431589</v>
      </c>
      <c r="H17" s="4">
        <f t="shared" si="4"/>
        <v>823.20088428646227</v>
      </c>
      <c r="I17" s="18">
        <v>1718.9</v>
      </c>
      <c r="J17" s="13">
        <v>1415000</v>
      </c>
      <c r="K17" s="22">
        <f t="shared" si="5"/>
        <v>1253040.519398493</v>
      </c>
      <c r="L17" s="22">
        <f t="shared" si="0"/>
        <v>1253040.519398493</v>
      </c>
      <c r="M17" s="19" t="s">
        <v>92</v>
      </c>
      <c r="N17">
        <f t="shared" si="6"/>
        <v>318.17034149746928</v>
      </c>
      <c r="O17" s="13">
        <v>546903</v>
      </c>
      <c r="P17" s="22">
        <f t="shared" si="7"/>
        <v>484305.03122303466</v>
      </c>
      <c r="Q17" s="13">
        <f t="shared" si="8"/>
        <v>484305.03122303466</v>
      </c>
    </row>
    <row r="18" spans="1:17">
      <c r="A18" t="s">
        <v>38</v>
      </c>
      <c r="B18" s="4">
        <v>70.476777328237517</v>
      </c>
      <c r="C18" s="4">
        <v>76.114919514496535</v>
      </c>
      <c r="D18" s="2">
        <v>1.3223701939914507</v>
      </c>
      <c r="E18" s="4">
        <f t="shared" si="1"/>
        <v>53.295799957128466</v>
      </c>
      <c r="F18" s="4">
        <f t="shared" si="2"/>
        <v>26.647899978564233</v>
      </c>
      <c r="G18" s="4">
        <f t="shared" si="3"/>
        <v>2230.8781602138142</v>
      </c>
      <c r="H18" s="4">
        <f t="shared" si="4"/>
        <v>1344.215074411906</v>
      </c>
      <c r="I18" s="18">
        <v>624.9</v>
      </c>
      <c r="J18" s="13">
        <v>840000</v>
      </c>
      <c r="K18" s="22">
        <f t="shared" si="5"/>
        <v>2998780.0521357083</v>
      </c>
      <c r="L18" s="22">
        <f t="shared" si="0"/>
        <v>840000</v>
      </c>
      <c r="M18" s="20" t="s">
        <v>92</v>
      </c>
      <c r="N18">
        <f t="shared" si="6"/>
        <v>872.5332053128501</v>
      </c>
      <c r="O18" s="13">
        <v>545246</v>
      </c>
      <c r="P18" s="22">
        <f t="shared" si="7"/>
        <v>1946515.2717937932</v>
      </c>
      <c r="Q18" s="13">
        <f t="shared" si="8"/>
        <v>545246</v>
      </c>
    </row>
    <row r="19" spans="1:17">
      <c r="A19" s="18" t="s">
        <v>8</v>
      </c>
      <c r="B19" s="4">
        <v>62.589105491586352</v>
      </c>
      <c r="C19" s="4">
        <v>75.732817644819477</v>
      </c>
      <c r="D19" s="2">
        <v>1.3847021462356206</v>
      </c>
      <c r="E19" s="4">
        <f t="shared" si="1"/>
        <v>45.200410544417693</v>
      </c>
      <c r="F19" s="4">
        <f t="shared" si="2"/>
        <v>22.600205272208846</v>
      </c>
      <c r="G19" s="4">
        <f t="shared" si="3"/>
        <v>1604.6290125310802</v>
      </c>
      <c r="H19" s="4">
        <f t="shared" si="4"/>
        <v>1948.7750556792873</v>
      </c>
      <c r="I19" s="18">
        <v>359.2</v>
      </c>
      <c r="J19" s="13">
        <v>700000</v>
      </c>
      <c r="K19" s="22">
        <f t="shared" si="5"/>
        <v>3127060.9932398559</v>
      </c>
      <c r="L19" s="22">
        <f t="shared" si="0"/>
        <v>700000</v>
      </c>
      <c r="M19" s="19" t="s">
        <v>92</v>
      </c>
      <c r="N19">
        <f t="shared" si="6"/>
        <v>861.60077951002233</v>
      </c>
      <c r="O19" s="13">
        <v>309487</v>
      </c>
      <c r="P19" s="22">
        <f t="shared" si="7"/>
        <v>1382549.6080211762</v>
      </c>
      <c r="Q19" s="13">
        <f t="shared" si="8"/>
        <v>309487</v>
      </c>
    </row>
    <row r="20" spans="1:17">
      <c r="A20" t="s">
        <v>39</v>
      </c>
      <c r="B20" s="4">
        <v>61.721940346898506</v>
      </c>
      <c r="C20" s="4">
        <v>73.449109012809217</v>
      </c>
      <c r="D20" s="2">
        <v>1.3274915886326069</v>
      </c>
      <c r="E20" s="4">
        <f t="shared" si="1"/>
        <v>46.495164922646083</v>
      </c>
      <c r="F20" s="4">
        <f t="shared" si="2"/>
        <v>23.247582461323042</v>
      </c>
      <c r="G20" s="4">
        <f t="shared" si="3"/>
        <v>1697.8740333059</v>
      </c>
      <c r="H20" s="4">
        <f t="shared" si="4"/>
        <v>996.95011969960308</v>
      </c>
      <c r="I20" s="18">
        <v>3049.3</v>
      </c>
      <c r="J20" s="13">
        <v>3040000</v>
      </c>
      <c r="K20" s="22">
        <f t="shared" si="5"/>
        <v>1692695.7207391649</v>
      </c>
      <c r="L20" s="22">
        <f t="shared" si="0"/>
        <v>1692695.7207391649</v>
      </c>
      <c r="M20" s="20" t="s">
        <v>92</v>
      </c>
      <c r="N20">
        <f t="shared" si="6"/>
        <v>577.52172629783877</v>
      </c>
      <c r="O20" s="13">
        <v>1761037</v>
      </c>
      <c r="P20" s="22">
        <f t="shared" si="7"/>
        <v>980559.14275109756</v>
      </c>
      <c r="Q20" s="13">
        <f t="shared" si="8"/>
        <v>980559.14275109756</v>
      </c>
    </row>
    <row r="21" spans="1:17">
      <c r="A21" t="s">
        <v>40</v>
      </c>
      <c r="B21" s="4">
        <v>56.481833278971671</v>
      </c>
      <c r="C21" s="4">
        <v>70.037473265924874</v>
      </c>
      <c r="D21" s="2">
        <v>1.2722485093794627</v>
      </c>
      <c r="E21" s="4">
        <f t="shared" si="1"/>
        <v>44.395283517777983</v>
      </c>
      <c r="F21" s="4">
        <f t="shared" si="2"/>
        <v>22.197641758888992</v>
      </c>
      <c r="G21" s="4">
        <f t="shared" si="3"/>
        <v>1547.9735975635681</v>
      </c>
      <c r="H21" s="4">
        <f t="shared" si="4"/>
        <v>811.10013175230563</v>
      </c>
      <c r="I21" s="18">
        <v>1214.4000000000001</v>
      </c>
      <c r="J21" s="13">
        <v>985000</v>
      </c>
      <c r="K21" s="22">
        <f t="shared" si="5"/>
        <v>1255561.5889329007</v>
      </c>
      <c r="L21" s="22">
        <f t="shared" si="0"/>
        <v>985000</v>
      </c>
      <c r="M21" s="19" t="s">
        <v>92</v>
      </c>
      <c r="N21">
        <f t="shared" si="6"/>
        <v>628.129117259552</v>
      </c>
      <c r="O21" s="13">
        <v>762800</v>
      </c>
      <c r="P21" s="22">
        <f t="shared" si="7"/>
        <v>972327.28937869705</v>
      </c>
      <c r="Q21" s="13">
        <f t="shared" si="8"/>
        <v>762800</v>
      </c>
    </row>
    <row r="22" spans="1:17">
      <c r="A22" t="s">
        <v>85</v>
      </c>
      <c r="B22" s="4">
        <v>63.440181483124732</v>
      </c>
      <c r="C22" s="4">
        <v>74.22501233525594</v>
      </c>
      <c r="D22" s="2">
        <v>1.3453291884115326</v>
      </c>
      <c r="E22" s="4">
        <f t="shared" si="1"/>
        <v>47.15587978733317</v>
      </c>
      <c r="F22" s="4">
        <f t="shared" si="2"/>
        <v>23.577939893666585</v>
      </c>
      <c r="G22" s="4">
        <f t="shared" si="3"/>
        <v>1746.4718306247296</v>
      </c>
      <c r="H22" s="4">
        <f t="shared" si="4"/>
        <v>1191.6750587445451</v>
      </c>
      <c r="I22" s="18">
        <v>1191.5999999999999</v>
      </c>
      <c r="J22" s="13">
        <v>1420000</v>
      </c>
      <c r="K22" s="22">
        <f t="shared" si="5"/>
        <v>2081226.9213554179</v>
      </c>
      <c r="L22" s="22">
        <f t="shared" si="0"/>
        <v>1420000</v>
      </c>
      <c r="M22" s="20" t="s">
        <v>92</v>
      </c>
      <c r="N22">
        <f t="shared" si="6"/>
        <v>643.63293051359517</v>
      </c>
      <c r="O22" s="13">
        <v>766953</v>
      </c>
      <c r="P22" s="22">
        <f t="shared" si="7"/>
        <v>1124086.7824044379</v>
      </c>
      <c r="Q22" s="13">
        <f t="shared" si="8"/>
        <v>766953</v>
      </c>
    </row>
    <row r="23" spans="1:17">
      <c r="A23" s="18" t="s">
        <v>9</v>
      </c>
      <c r="B23" s="4">
        <v>57.215795069462693</v>
      </c>
      <c r="C23" s="4">
        <v>68.658954083355226</v>
      </c>
      <c r="D23" s="2">
        <v>1.367147891752108</v>
      </c>
      <c r="E23" s="4">
        <f t="shared" si="1"/>
        <v>41.850479684488363</v>
      </c>
      <c r="F23" s="4">
        <f t="shared" si="2"/>
        <v>20.925239842244181</v>
      </c>
      <c r="G23" s="4">
        <f t="shared" si="3"/>
        <v>1375.5955484292488</v>
      </c>
      <c r="H23" s="4">
        <f t="shared" si="4"/>
        <v>612.21385656703933</v>
      </c>
      <c r="I23" s="18">
        <v>1314.9</v>
      </c>
      <c r="J23" s="13">
        <v>805000</v>
      </c>
      <c r="K23" s="22">
        <f t="shared" si="5"/>
        <v>842158.65578032192</v>
      </c>
      <c r="L23" s="22">
        <f t="shared" si="0"/>
        <v>805000</v>
      </c>
      <c r="M23" s="19" t="s">
        <v>92</v>
      </c>
      <c r="N23">
        <f t="shared" si="6"/>
        <v>349.42505133470223</v>
      </c>
      <c r="O23" s="13">
        <v>459459</v>
      </c>
      <c r="P23" s="22">
        <f t="shared" si="7"/>
        <v>480667.54512567812</v>
      </c>
      <c r="Q23" s="13">
        <f t="shared" si="8"/>
        <v>459459</v>
      </c>
    </row>
    <row r="24" spans="1:17">
      <c r="A24" t="s">
        <v>75</v>
      </c>
      <c r="B24" s="4">
        <v>68.436669108333987</v>
      </c>
      <c r="C24" s="4">
        <v>73.227235945917371</v>
      </c>
      <c r="D24" s="2">
        <v>1.2826649786157569</v>
      </c>
      <c r="E24" s="4">
        <f t="shared" si="1"/>
        <v>53.355061726399022</v>
      </c>
      <c r="F24" s="4">
        <f t="shared" si="2"/>
        <v>26.677530863199511</v>
      </c>
      <c r="G24" s="4">
        <f t="shared" si="3"/>
        <v>2235.8421269581163</v>
      </c>
      <c r="H24" s="4">
        <f t="shared" si="4"/>
        <v>674.0661902589834</v>
      </c>
      <c r="I24" s="18">
        <v>1973.1</v>
      </c>
      <c r="J24" s="13">
        <v>1330000</v>
      </c>
      <c r="K24" s="22">
        <f t="shared" si="5"/>
        <v>1507105.5845391997</v>
      </c>
      <c r="L24" s="22">
        <f t="shared" si="0"/>
        <v>1330000</v>
      </c>
      <c r="M24" s="20" t="s">
        <v>92</v>
      </c>
      <c r="N24">
        <f t="shared" si="6"/>
        <v>418.47397496325578</v>
      </c>
      <c r="O24" s="13">
        <v>825691</v>
      </c>
      <c r="P24" s="22">
        <f t="shared" si="7"/>
        <v>935641.74225846329</v>
      </c>
      <c r="Q24" s="13">
        <f t="shared" si="8"/>
        <v>825691</v>
      </c>
    </row>
    <row r="25" spans="1:17">
      <c r="A25" t="s">
        <v>63</v>
      </c>
      <c r="B25" s="4">
        <v>52.889872194354147</v>
      </c>
      <c r="C25" s="4">
        <v>65.583441520999145</v>
      </c>
      <c r="D25" s="2">
        <v>1.3334070755044698</v>
      </c>
      <c r="E25" s="4">
        <f t="shared" si="1"/>
        <v>39.665210396715679</v>
      </c>
      <c r="F25" s="4">
        <f t="shared" si="2"/>
        <v>19.83260519835784</v>
      </c>
      <c r="G25" s="4">
        <f t="shared" si="3"/>
        <v>1235.6896409017661</v>
      </c>
      <c r="H25" s="4">
        <f t="shared" si="4"/>
        <v>1595.2980688497062</v>
      </c>
      <c r="I25" s="18">
        <v>595.5</v>
      </c>
      <c r="J25" s="13">
        <v>950000</v>
      </c>
      <c r="K25" s="22">
        <f t="shared" si="5"/>
        <v>1971293.2978281744</v>
      </c>
      <c r="L25" s="22">
        <f t="shared" si="0"/>
        <v>950000</v>
      </c>
      <c r="M25" s="19" t="s">
        <v>92</v>
      </c>
      <c r="N25">
        <f t="shared" si="6"/>
        <v>983.45256087321582</v>
      </c>
      <c r="O25" s="13">
        <v>585646</v>
      </c>
      <c r="P25" s="22">
        <f t="shared" si="7"/>
        <v>1215242.1417893462</v>
      </c>
      <c r="Q25" s="13">
        <f t="shared" si="8"/>
        <v>585646</v>
      </c>
    </row>
    <row r="26" spans="1:17">
      <c r="A26" t="s">
        <v>64</v>
      </c>
      <c r="B26" s="4">
        <v>50.562416792101601</v>
      </c>
      <c r="C26" s="4">
        <v>71.798631844784268</v>
      </c>
      <c r="D26" s="2">
        <v>1.2409046304531934</v>
      </c>
      <c r="E26" s="4">
        <f t="shared" si="1"/>
        <v>40.746416405614987</v>
      </c>
      <c r="F26" s="4">
        <f t="shared" si="2"/>
        <v>20.373208202807493</v>
      </c>
      <c r="G26" s="4">
        <f t="shared" si="3"/>
        <v>1303.9733620943348</v>
      </c>
      <c r="H26" s="4">
        <f t="shared" si="4"/>
        <v>2374.6390902127159</v>
      </c>
      <c r="I26" s="18">
        <v>5091.3</v>
      </c>
      <c r="J26" s="13">
        <v>12090000</v>
      </c>
      <c r="K26" s="22">
        <f t="shared" si="5"/>
        <v>3096466.1182253077</v>
      </c>
      <c r="L26" s="22">
        <f t="shared" si="0"/>
        <v>3096466.1182253077</v>
      </c>
      <c r="M26" s="20" t="s">
        <v>92</v>
      </c>
      <c r="N26">
        <f t="shared" si="6"/>
        <v>975.7058118751595</v>
      </c>
      <c r="O26" s="13">
        <f>3693537+1274074</f>
        <v>4967611</v>
      </c>
      <c r="P26" s="22">
        <f t="shared" si="7"/>
        <v>1272294.3879258342</v>
      </c>
      <c r="Q26" s="13">
        <f t="shared" si="8"/>
        <v>1272294.3879258342</v>
      </c>
    </row>
    <row r="27" spans="1:17">
      <c r="A27" s="18" t="s">
        <v>11</v>
      </c>
      <c r="B27" s="4">
        <v>61.3104985606684</v>
      </c>
      <c r="C27" s="4">
        <v>71.120178330375339</v>
      </c>
      <c r="D27" s="2">
        <v>1.3589321966589822</v>
      </c>
      <c r="E27" s="4">
        <f t="shared" si="1"/>
        <v>45.116672275043598</v>
      </c>
      <c r="F27" s="4">
        <f t="shared" si="2"/>
        <v>22.558336137521799</v>
      </c>
      <c r="G27" s="4">
        <f t="shared" si="3"/>
        <v>1598.6890491977927</v>
      </c>
      <c r="H27" s="4">
        <f t="shared" si="4"/>
        <v>1127.3572014211534</v>
      </c>
      <c r="I27" s="18">
        <v>731.8</v>
      </c>
      <c r="J27" s="13">
        <v>825000</v>
      </c>
      <c r="K27" s="22">
        <f t="shared" si="5"/>
        <v>1802293.6124462681</v>
      </c>
      <c r="L27" s="22">
        <f t="shared" si="0"/>
        <v>825000</v>
      </c>
      <c r="M27" s="19" t="s">
        <v>92</v>
      </c>
      <c r="N27">
        <f t="shared" si="6"/>
        <v>674.68843946433458</v>
      </c>
      <c r="O27" s="13">
        <v>493737</v>
      </c>
      <c r="P27" s="22">
        <f t="shared" si="7"/>
        <v>1078617.0197919796</v>
      </c>
      <c r="Q27" s="13">
        <f t="shared" si="8"/>
        <v>493737</v>
      </c>
    </row>
    <row r="28" spans="1:17">
      <c r="A28" t="s">
        <v>43</v>
      </c>
      <c r="B28" s="4">
        <v>58.655633023171944</v>
      </c>
      <c r="C28" s="4">
        <v>65.107752655720873</v>
      </c>
      <c r="D28" s="2">
        <v>1.3312259917708142</v>
      </c>
      <c r="E28" s="4">
        <f t="shared" si="1"/>
        <v>44.06136402516259</v>
      </c>
      <c r="F28" s="4">
        <f t="shared" si="2"/>
        <v>22.030682012581295</v>
      </c>
      <c r="G28" s="4">
        <f t="shared" si="3"/>
        <v>1524.774978742676</v>
      </c>
      <c r="H28" s="4">
        <f t="shared" si="4"/>
        <v>1052.8699196196083</v>
      </c>
      <c r="I28" s="18">
        <v>883.3</v>
      </c>
      <c r="J28" s="13">
        <v>930000</v>
      </c>
      <c r="K28" s="22">
        <f t="shared" si="5"/>
        <v>1605389.7093067912</v>
      </c>
      <c r="L28" s="22">
        <f t="shared" si="0"/>
        <v>930000</v>
      </c>
      <c r="M28" s="20" t="s">
        <v>92</v>
      </c>
      <c r="N28">
        <f t="shared" si="6"/>
        <v>578.7274991509114</v>
      </c>
      <c r="O28" s="13">
        <v>511190</v>
      </c>
      <c r="P28" s="22">
        <f t="shared" si="7"/>
        <v>882429.21021563292</v>
      </c>
      <c r="Q28" s="13">
        <f t="shared" si="8"/>
        <v>511190</v>
      </c>
    </row>
    <row r="29" spans="1:17">
      <c r="A29" t="s">
        <v>44</v>
      </c>
      <c r="B29" s="4">
        <v>59.418221467206827</v>
      </c>
      <c r="C29" s="4">
        <v>67.142590257943709</v>
      </c>
      <c r="D29" s="2">
        <v>1.2176020802066099</v>
      </c>
      <c r="E29" s="4">
        <f t="shared" si="1"/>
        <v>48.799375783855751</v>
      </c>
      <c r="F29" s="4">
        <f t="shared" si="2"/>
        <v>24.399687891927876</v>
      </c>
      <c r="G29" s="4">
        <f t="shared" si="3"/>
        <v>1870.3307533456325</v>
      </c>
      <c r="H29" s="4">
        <f t="shared" si="4"/>
        <v>942.68476621417801</v>
      </c>
      <c r="I29" s="18">
        <v>1326</v>
      </c>
      <c r="J29" s="13">
        <v>1250000</v>
      </c>
      <c r="K29" s="22">
        <f t="shared" si="5"/>
        <v>1763132.308960815</v>
      </c>
      <c r="L29" s="22">
        <f t="shared" si="0"/>
        <v>1250000</v>
      </c>
      <c r="M29" s="19" t="s">
        <v>92</v>
      </c>
      <c r="N29">
        <f t="shared" si="6"/>
        <v>580.19758672699845</v>
      </c>
      <c r="O29" s="13">
        <v>769342</v>
      </c>
      <c r="P29" s="22">
        <f t="shared" si="7"/>
        <v>1085161.389472425</v>
      </c>
      <c r="Q29" s="13">
        <f t="shared" si="8"/>
        <v>769342</v>
      </c>
    </row>
    <row r="30" spans="1:17">
      <c r="A30" t="s">
        <v>45</v>
      </c>
      <c r="B30" s="4">
        <v>61.666324994769361</v>
      </c>
      <c r="C30" s="4">
        <v>72.149600243880144</v>
      </c>
      <c r="D30" s="2">
        <v>1.2383391032002451</v>
      </c>
      <c r="E30" s="4">
        <f t="shared" si="1"/>
        <v>49.797607808236705</v>
      </c>
      <c r="F30" s="4">
        <f t="shared" si="2"/>
        <v>24.898803904118353</v>
      </c>
      <c r="G30" s="4">
        <f t="shared" si="3"/>
        <v>1947.6317348741809</v>
      </c>
      <c r="H30" s="4">
        <f t="shared" si="4"/>
        <v>806.3637354255203</v>
      </c>
      <c r="I30" s="18">
        <v>2753.1</v>
      </c>
      <c r="J30" s="13">
        <v>2220000</v>
      </c>
      <c r="K30" s="22">
        <f t="shared" si="5"/>
        <v>1570499.6009664312</v>
      </c>
      <c r="L30" s="22">
        <f t="shared" si="0"/>
        <v>1570499.6009664312</v>
      </c>
      <c r="M30" s="20" t="s">
        <v>92</v>
      </c>
      <c r="N30">
        <f t="shared" si="6"/>
        <v>558.9905924230867</v>
      </c>
      <c r="O30" s="13">
        <v>1538957</v>
      </c>
      <c r="P30" s="22">
        <f t="shared" si="7"/>
        <v>1088707.8172993225</v>
      </c>
      <c r="Q30" s="13">
        <f t="shared" si="8"/>
        <v>1088707.8172993225</v>
      </c>
    </row>
    <row r="31" spans="1:17">
      <c r="A31" t="s">
        <v>46</v>
      </c>
      <c r="B31" s="4">
        <v>63.17399629918647</v>
      </c>
      <c r="C31" s="4">
        <v>71.386615818080699</v>
      </c>
      <c r="D31" s="2">
        <v>1.353332701277282</v>
      </c>
      <c r="E31" s="4">
        <f t="shared" si="1"/>
        <v>46.680314633321537</v>
      </c>
      <c r="F31" s="4">
        <f t="shared" si="2"/>
        <v>23.340157316660768</v>
      </c>
      <c r="G31" s="4">
        <f t="shared" si="3"/>
        <v>1711.4232614563832</v>
      </c>
      <c r="H31" s="4">
        <f t="shared" si="4"/>
        <v>511.10046318479476</v>
      </c>
      <c r="I31" s="18">
        <v>1252.2</v>
      </c>
      <c r="J31" s="13">
        <v>640000</v>
      </c>
      <c r="K31" s="22">
        <f t="shared" si="5"/>
        <v>874709.22163558961</v>
      </c>
      <c r="L31" s="22">
        <f t="shared" si="0"/>
        <v>640000</v>
      </c>
      <c r="M31" s="19" t="s">
        <v>92</v>
      </c>
      <c r="N31">
        <f t="shared" si="6"/>
        <v>488.76776872704039</v>
      </c>
      <c r="O31" s="13">
        <v>612035</v>
      </c>
      <c r="P31" s="22">
        <f t="shared" si="7"/>
        <v>836488.52884959069</v>
      </c>
      <c r="Q31" s="13">
        <f t="shared" si="8"/>
        <v>612035</v>
      </c>
    </row>
    <row r="32" spans="1:17">
      <c r="A32" t="s">
        <v>47</v>
      </c>
      <c r="B32" s="4">
        <v>58.965101588658143</v>
      </c>
      <c r="C32" s="4">
        <v>67.809866826956863</v>
      </c>
      <c r="D32" s="2">
        <v>1.3763525807002821</v>
      </c>
      <c r="E32" s="4">
        <f t="shared" si="1"/>
        <v>42.841567208496066</v>
      </c>
      <c r="F32" s="4">
        <f t="shared" si="2"/>
        <v>21.420783604248033</v>
      </c>
      <c r="G32" s="4">
        <f t="shared" si="3"/>
        <v>1441.5196955431145</v>
      </c>
      <c r="H32" s="4">
        <f t="shared" si="4"/>
        <v>1551.107934238742</v>
      </c>
      <c r="I32" s="18">
        <v>699.5</v>
      </c>
      <c r="J32" s="13">
        <v>1085000</v>
      </c>
      <c r="K32" s="22">
        <f t="shared" si="5"/>
        <v>2235952.6371183405</v>
      </c>
      <c r="L32" s="22">
        <f t="shared" si="0"/>
        <v>1085000</v>
      </c>
      <c r="M32" s="20" t="s">
        <v>92</v>
      </c>
      <c r="N32">
        <f t="shared" si="6"/>
        <v>763.52537526804861</v>
      </c>
      <c r="O32" s="13">
        <v>534086</v>
      </c>
      <c r="P32" s="22">
        <f t="shared" si="7"/>
        <v>1100636.8664958396</v>
      </c>
      <c r="Q32" s="13">
        <f t="shared" si="8"/>
        <v>534086</v>
      </c>
    </row>
    <row r="33" spans="1:17">
      <c r="A33" t="s">
        <v>65</v>
      </c>
      <c r="B33" s="4">
        <v>58.66228344563627</v>
      </c>
      <c r="C33" s="4">
        <v>72.154608638132601</v>
      </c>
      <c r="D33" s="2">
        <v>1.2603547141344449</v>
      </c>
      <c r="E33" s="4">
        <f t="shared" si="1"/>
        <v>46.544264711956821</v>
      </c>
      <c r="F33" s="4">
        <f t="shared" si="2"/>
        <v>23.27213235597841</v>
      </c>
      <c r="G33" s="4">
        <f t="shared" si="3"/>
        <v>1701.4619020706896</v>
      </c>
      <c r="H33" s="4">
        <f t="shared" si="4"/>
        <v>2117.6348088662126</v>
      </c>
      <c r="I33" s="18">
        <v>7683.1</v>
      </c>
      <c r="J33" s="13">
        <v>16270000</v>
      </c>
      <c r="K33" s="22">
        <f t="shared" si="5"/>
        <v>3603074.9497846072</v>
      </c>
      <c r="L33" s="22">
        <f t="shared" si="0"/>
        <v>3603074.9497846072</v>
      </c>
      <c r="M33" s="19" t="s">
        <v>92</v>
      </c>
      <c r="N33">
        <f t="shared" si="6"/>
        <v>958.84916244744954</v>
      </c>
      <c r="O33" s="13">
        <f>3557965+617736+210152+305726+1019809+895963+759583</f>
        <v>7366934</v>
      </c>
      <c r="P33" s="22">
        <f t="shared" si="7"/>
        <v>1631445.3197367252</v>
      </c>
      <c r="Q33" s="13">
        <f t="shared" si="8"/>
        <v>1631445.3197367252</v>
      </c>
    </row>
    <row r="34" spans="1:17">
      <c r="A34" t="s">
        <v>66</v>
      </c>
      <c r="B34" s="4">
        <v>65.428155552656733</v>
      </c>
      <c r="C34" s="4">
        <v>70.008126441342696</v>
      </c>
      <c r="D34" s="2">
        <v>1.2964577542802127</v>
      </c>
      <c r="E34" s="4">
        <f t="shared" si="1"/>
        <v>50.466862754800786</v>
      </c>
      <c r="F34" s="4">
        <f t="shared" si="2"/>
        <v>25.233431377400393</v>
      </c>
      <c r="G34" s="4">
        <f t="shared" si="3"/>
        <v>2000.333909548546</v>
      </c>
      <c r="H34" s="4">
        <f t="shared" si="4"/>
        <v>447.68101235599596</v>
      </c>
      <c r="I34" s="18">
        <v>1675.3</v>
      </c>
      <c r="J34" s="13">
        <v>750000</v>
      </c>
      <c r="K34" s="22">
        <f t="shared" si="5"/>
        <v>895511.50967672036</v>
      </c>
      <c r="L34" s="22">
        <f t="shared" ref="L34:L53" si="9">MIN(J34,K34)</f>
        <v>750000</v>
      </c>
      <c r="M34" s="20" t="s">
        <v>92</v>
      </c>
      <c r="N34">
        <f t="shared" si="6"/>
        <v>254.53650092520743</v>
      </c>
      <c r="O34" s="13">
        <v>426425</v>
      </c>
      <c r="P34" s="22">
        <f t="shared" si="7"/>
        <v>509157.99401852727</v>
      </c>
      <c r="Q34" s="13">
        <f t="shared" si="8"/>
        <v>426425</v>
      </c>
    </row>
    <row r="35" spans="1:17">
      <c r="A35" t="s">
        <v>48</v>
      </c>
      <c r="B35" s="4">
        <v>51.610670589502462</v>
      </c>
      <c r="C35" s="4">
        <v>65.029444942773097</v>
      </c>
      <c r="D35" s="2">
        <v>1.3247335867180841</v>
      </c>
      <c r="E35" s="4">
        <f t="shared" ref="E35:E53" si="10">B35/D35</f>
        <v>38.959282913150524</v>
      </c>
      <c r="F35" s="4">
        <f t="shared" ref="F35:F53" si="11">E35*0.5</f>
        <v>19.479641456575262</v>
      </c>
      <c r="G35" s="4">
        <f t="shared" ref="G35:G53" si="12">PI()*F35^2</f>
        <v>1192.0975368563613</v>
      </c>
      <c r="H35" s="4">
        <f t="shared" ref="H35:H53" si="13">J35/I35</f>
        <v>1012.6210742588787</v>
      </c>
      <c r="I35" s="18">
        <v>1022.1</v>
      </c>
      <c r="J35" s="13">
        <v>1035000</v>
      </c>
      <c r="K35" s="22">
        <f t="shared" ref="K35:K53" si="14">G35*H35</f>
        <v>1207143.0883928519</v>
      </c>
      <c r="L35" s="22">
        <f t="shared" si="9"/>
        <v>1035000</v>
      </c>
      <c r="M35" s="19" t="s">
        <v>92</v>
      </c>
      <c r="N35">
        <f t="shared" ref="N35:N53" si="15">O35/I35</f>
        <v>729.77692985030819</v>
      </c>
      <c r="O35" s="13">
        <v>745905</v>
      </c>
      <c r="P35" s="22">
        <f t="shared" ref="P35:P53" si="16">G35*N35</f>
        <v>869965.28052915004</v>
      </c>
      <c r="Q35" s="13">
        <f t="shared" ref="Q35:Q53" si="17">MIN(P35,O35)</f>
        <v>745905</v>
      </c>
    </row>
    <row r="36" spans="1:17">
      <c r="A36" t="s">
        <v>67</v>
      </c>
      <c r="B36" s="4">
        <v>57.527407508030159</v>
      </c>
      <c r="C36" s="4">
        <v>67.307066784395289</v>
      </c>
      <c r="D36" s="2">
        <v>1.2151792961844514</v>
      </c>
      <c r="E36" s="4">
        <f t="shared" si="10"/>
        <v>47.340674490308388</v>
      </c>
      <c r="F36" s="4">
        <f t="shared" si="11"/>
        <v>23.670337245154194</v>
      </c>
      <c r="G36" s="4">
        <f t="shared" si="12"/>
        <v>1760.1868167419339</v>
      </c>
      <c r="H36" s="4">
        <f t="shared" si="13"/>
        <v>1548.7679501210491</v>
      </c>
      <c r="I36" s="18">
        <v>3015.3</v>
      </c>
      <c r="J36" s="13">
        <v>4670000</v>
      </c>
      <c r="K36" s="22">
        <f t="shared" si="14"/>
        <v>2726120.9279954997</v>
      </c>
      <c r="L36" s="22">
        <f t="shared" si="9"/>
        <v>2726120.9279954997</v>
      </c>
      <c r="M36" s="20" t="s">
        <v>92</v>
      </c>
      <c r="N36">
        <f t="shared" si="15"/>
        <v>794.65194176367186</v>
      </c>
      <c r="O36" s="13">
        <f>2112593+283521</f>
        <v>2396114</v>
      </c>
      <c r="P36" s="22">
        <f t="shared" si="16"/>
        <v>1398735.8717907942</v>
      </c>
      <c r="Q36" s="13">
        <f t="shared" si="17"/>
        <v>1398735.8717907942</v>
      </c>
    </row>
    <row r="37" spans="1:17">
      <c r="A37" t="s">
        <v>49</v>
      </c>
      <c r="B37" s="4">
        <v>55.217531420841681</v>
      </c>
      <c r="C37" s="4">
        <v>64.60451176238476</v>
      </c>
      <c r="D37" s="2">
        <v>1.3855038567192821</v>
      </c>
      <c r="E37" s="4">
        <f t="shared" si="10"/>
        <v>39.853755118077125</v>
      </c>
      <c r="F37" s="4">
        <f t="shared" si="11"/>
        <v>19.926877559038562</v>
      </c>
      <c r="G37" s="4">
        <f t="shared" si="12"/>
        <v>1247.4650222570913</v>
      </c>
      <c r="H37" s="4">
        <f t="shared" si="13"/>
        <v>1156.611441075336</v>
      </c>
      <c r="I37" s="18">
        <v>1919.4</v>
      </c>
      <c r="J37" s="13">
        <v>2220000</v>
      </c>
      <c r="K37" s="22">
        <f t="shared" si="14"/>
        <v>1442832.3170838505</v>
      </c>
      <c r="L37" s="22">
        <f t="shared" si="9"/>
        <v>1442832.3170838505</v>
      </c>
      <c r="M37" s="19" t="s">
        <v>92</v>
      </c>
      <c r="N37">
        <f t="shared" si="15"/>
        <v>663.9048661039908</v>
      </c>
      <c r="O37" s="13">
        <v>1274299</v>
      </c>
      <c r="P37" s="22">
        <f t="shared" si="16"/>
        <v>828198.09857100609</v>
      </c>
      <c r="Q37" s="13">
        <f t="shared" si="17"/>
        <v>828198.09857100609</v>
      </c>
    </row>
    <row r="38" spans="1:17">
      <c r="A38" t="s">
        <v>50</v>
      </c>
      <c r="B38" s="4">
        <v>60.206377885131687</v>
      </c>
      <c r="C38" s="4">
        <v>66.227015673644857</v>
      </c>
      <c r="D38" s="2">
        <v>1.3073565469845398</v>
      </c>
      <c r="E38" s="4">
        <f t="shared" si="10"/>
        <v>46.051995550869151</v>
      </c>
      <c r="F38" s="4">
        <f t="shared" si="11"/>
        <v>23.025997775434575</v>
      </c>
      <c r="G38" s="4">
        <f t="shared" si="12"/>
        <v>1665.6616604367257</v>
      </c>
      <c r="H38" s="4">
        <f t="shared" si="13"/>
        <v>880.80587534736003</v>
      </c>
      <c r="I38" s="18">
        <v>2015.2</v>
      </c>
      <c r="J38" s="13">
        <v>1775000</v>
      </c>
      <c r="K38" s="22">
        <f t="shared" si="14"/>
        <v>1467124.5768535074</v>
      </c>
      <c r="L38" s="22">
        <f t="shared" si="9"/>
        <v>1467124.5768535074</v>
      </c>
      <c r="M38" s="20" t="s">
        <v>92</v>
      </c>
      <c r="N38">
        <f t="shared" si="15"/>
        <v>499.64370782056369</v>
      </c>
      <c r="O38" s="13">
        <v>1006882</v>
      </c>
      <c r="P38" s="22">
        <f t="shared" si="16"/>
        <v>832237.36799516238</v>
      </c>
      <c r="Q38" s="13">
        <f t="shared" si="17"/>
        <v>832237.36799516238</v>
      </c>
    </row>
    <row r="39" spans="1:17">
      <c r="A39" t="s">
        <v>51</v>
      </c>
      <c r="B39" s="4">
        <v>60.024289113865244</v>
      </c>
      <c r="C39" s="4">
        <v>72.029146936638284</v>
      </c>
      <c r="D39" s="2">
        <v>1.4034944459182461</v>
      </c>
      <c r="E39" s="4">
        <f t="shared" si="10"/>
        <v>42.767742536090999</v>
      </c>
      <c r="F39" s="4">
        <f t="shared" si="11"/>
        <v>21.3838712680455</v>
      </c>
      <c r="G39" s="4">
        <f t="shared" si="12"/>
        <v>1436.5559169102157</v>
      </c>
      <c r="H39" s="4">
        <f t="shared" si="13"/>
        <v>1323.5147775898099</v>
      </c>
      <c r="I39" s="18">
        <v>1004.9</v>
      </c>
      <c r="J39" s="13">
        <v>1330000</v>
      </c>
      <c r="K39" s="22">
        <f t="shared" si="14"/>
        <v>1901302.9848647497</v>
      </c>
      <c r="L39" s="22">
        <f t="shared" si="9"/>
        <v>1330000</v>
      </c>
      <c r="M39" s="19" t="s">
        <v>92</v>
      </c>
      <c r="N39">
        <f t="shared" si="15"/>
        <v>831.47477360931441</v>
      </c>
      <c r="O39" s="13">
        <v>835549</v>
      </c>
      <c r="P39" s="22">
        <f t="shared" si="16"/>
        <v>1194460.0057900427</v>
      </c>
      <c r="Q39" s="13">
        <f t="shared" si="17"/>
        <v>835549</v>
      </c>
    </row>
    <row r="40" spans="1:17">
      <c r="A40" s="18" t="s">
        <v>98</v>
      </c>
      <c r="B40" s="4">
        <v>67.445743119538108</v>
      </c>
      <c r="C40" s="4">
        <v>72.841402569101163</v>
      </c>
      <c r="D40" s="2">
        <v>1.2391400975948115</v>
      </c>
      <c r="E40" s="4">
        <f t="shared" si="10"/>
        <v>54.429473511874285</v>
      </c>
      <c r="F40" s="4">
        <f t="shared" si="11"/>
        <v>27.214736755937142</v>
      </c>
      <c r="G40" s="4">
        <f t="shared" si="12"/>
        <v>2326.7951415976845</v>
      </c>
      <c r="H40" s="4">
        <f t="shared" si="13"/>
        <v>1480.0930713547052</v>
      </c>
      <c r="I40" s="18">
        <v>773.6</v>
      </c>
      <c r="J40" s="13">
        <v>1145000</v>
      </c>
      <c r="K40" s="22">
        <f t="shared" si="14"/>
        <v>3443873.3675405229</v>
      </c>
      <c r="L40" s="22">
        <f t="shared" si="9"/>
        <v>1145000</v>
      </c>
      <c r="M40" s="20" t="s">
        <v>92</v>
      </c>
      <c r="N40">
        <f t="shared" si="15"/>
        <v>485.89451913133399</v>
      </c>
      <c r="O40" s="13">
        <v>375888</v>
      </c>
      <c r="P40" s="22">
        <f t="shared" si="16"/>
        <v>1130577.006443731</v>
      </c>
      <c r="Q40" s="13">
        <f t="shared" si="17"/>
        <v>375888</v>
      </c>
    </row>
    <row r="41" spans="1:17">
      <c r="A41" s="18" t="s">
        <v>15</v>
      </c>
      <c r="B41" s="4">
        <v>61.558627513996477</v>
      </c>
      <c r="C41" s="4">
        <v>68.330076540536098</v>
      </c>
      <c r="D41" s="2">
        <v>1.2413603862790981</v>
      </c>
      <c r="E41" s="4">
        <f t="shared" si="10"/>
        <v>49.589650350060474</v>
      </c>
      <c r="F41" s="4">
        <f t="shared" si="11"/>
        <v>24.794825175030237</v>
      </c>
      <c r="G41" s="4">
        <f t="shared" si="12"/>
        <v>1931.3988730634026</v>
      </c>
      <c r="H41" s="4">
        <f t="shared" si="13"/>
        <v>1338.5999561114768</v>
      </c>
      <c r="I41" s="18">
        <v>455.7</v>
      </c>
      <c r="J41" s="13">
        <v>610000</v>
      </c>
      <c r="K41" s="22">
        <f t="shared" si="14"/>
        <v>2585370.4467164264</v>
      </c>
      <c r="L41" s="22">
        <f t="shared" si="9"/>
        <v>610000</v>
      </c>
      <c r="M41" s="19" t="s">
        <v>92</v>
      </c>
      <c r="N41">
        <f t="shared" si="15"/>
        <v>1185.32367785824</v>
      </c>
      <c r="O41" s="13">
        <v>540152</v>
      </c>
      <c r="P41" s="22">
        <f t="shared" si="16"/>
        <v>2289332.8156307722</v>
      </c>
      <c r="Q41" s="13">
        <f t="shared" si="17"/>
        <v>540152</v>
      </c>
    </row>
    <row r="42" spans="1:17">
      <c r="A42" t="s">
        <v>82</v>
      </c>
      <c r="B42" s="4">
        <v>71.963113135234551</v>
      </c>
      <c r="C42" s="4">
        <v>75.561268791996284</v>
      </c>
      <c r="D42" s="2">
        <v>1.2570037934255704</v>
      </c>
      <c r="E42" s="4">
        <f t="shared" si="10"/>
        <v>57.249718347405782</v>
      </c>
      <c r="F42" s="4">
        <f t="shared" si="11"/>
        <v>28.624859173702891</v>
      </c>
      <c r="G42" s="4">
        <f t="shared" si="12"/>
        <v>2574.1662395028939</v>
      </c>
      <c r="H42" s="4">
        <f t="shared" si="13"/>
        <v>1096.6836287067906</v>
      </c>
      <c r="I42" s="18">
        <v>569.9</v>
      </c>
      <c r="J42" s="13">
        <v>625000</v>
      </c>
      <c r="K42" s="22">
        <f t="shared" si="14"/>
        <v>2823045.9724325472</v>
      </c>
      <c r="L42" s="22">
        <f t="shared" si="9"/>
        <v>625000</v>
      </c>
      <c r="M42" s="20" t="s">
        <v>92</v>
      </c>
      <c r="N42">
        <f t="shared" si="15"/>
        <v>799.00333391823131</v>
      </c>
      <c r="O42" s="13">
        <v>455352</v>
      </c>
      <c r="P42" s="22">
        <f t="shared" si="16"/>
        <v>2056767.4074225684</v>
      </c>
      <c r="Q42" s="13">
        <f t="shared" si="17"/>
        <v>455352</v>
      </c>
    </row>
    <row r="43" spans="1:17">
      <c r="A43" t="s">
        <v>54</v>
      </c>
      <c r="B43" s="4">
        <v>57.718158557678407</v>
      </c>
      <c r="C43" s="4">
        <v>69.261790269214089</v>
      </c>
      <c r="D43" s="2">
        <v>1.4511940967956416</v>
      </c>
      <c r="E43" s="4">
        <f t="shared" si="10"/>
        <v>39.772873032714884</v>
      </c>
      <c r="F43" s="4">
        <f t="shared" si="11"/>
        <v>19.886436516357442</v>
      </c>
      <c r="G43" s="4">
        <f t="shared" si="12"/>
        <v>1242.4067692662613</v>
      </c>
      <c r="H43" s="4">
        <f t="shared" si="13"/>
        <v>1434.0233607031339</v>
      </c>
      <c r="I43" s="18">
        <v>864.7</v>
      </c>
      <c r="J43" s="13">
        <v>1240000</v>
      </c>
      <c r="K43" s="22">
        <f t="shared" si="14"/>
        <v>1781640.3306235271</v>
      </c>
      <c r="L43" s="22">
        <f t="shared" si="9"/>
        <v>1240000</v>
      </c>
      <c r="M43" s="19" t="s">
        <v>92</v>
      </c>
      <c r="N43">
        <f t="shared" si="15"/>
        <v>583.35492078177401</v>
      </c>
      <c r="O43" s="13">
        <v>504427</v>
      </c>
      <c r="P43" s="22">
        <f t="shared" si="16"/>
        <v>724764.10246405972</v>
      </c>
      <c r="Q43" s="13">
        <f t="shared" si="17"/>
        <v>504427</v>
      </c>
    </row>
    <row r="44" spans="1:17">
      <c r="A44" t="s">
        <v>55</v>
      </c>
      <c r="B44" s="4">
        <v>58.26615155396771</v>
      </c>
      <c r="C44" s="4">
        <v>69.336720349221579</v>
      </c>
      <c r="D44" s="2">
        <v>1.3833656311611033</v>
      </c>
      <c r="E44" s="4">
        <f t="shared" si="10"/>
        <v>42.119126167001163</v>
      </c>
      <c r="F44" s="4">
        <f t="shared" si="11"/>
        <v>21.059563083500581</v>
      </c>
      <c r="G44" s="4">
        <f t="shared" si="12"/>
        <v>1393.3126695658539</v>
      </c>
      <c r="H44" s="4">
        <f t="shared" si="13"/>
        <v>1268.8041331104696</v>
      </c>
      <c r="I44" s="18">
        <v>658.1</v>
      </c>
      <c r="J44" s="13">
        <v>835000</v>
      </c>
      <c r="K44" s="22">
        <f t="shared" si="14"/>
        <v>1767840.8738603373</v>
      </c>
      <c r="L44" s="22">
        <f t="shared" si="9"/>
        <v>835000</v>
      </c>
      <c r="M44" s="20" t="s">
        <v>92</v>
      </c>
      <c r="N44">
        <f t="shared" si="15"/>
        <v>896.24677100744566</v>
      </c>
      <c r="O44" s="13">
        <v>589820</v>
      </c>
      <c r="P44" s="22">
        <f t="shared" si="16"/>
        <v>1248751.9811021606</v>
      </c>
      <c r="Q44" s="13">
        <f t="shared" si="17"/>
        <v>589820</v>
      </c>
    </row>
    <row r="45" spans="1:17">
      <c r="A45" t="s">
        <v>68</v>
      </c>
      <c r="B45" s="4">
        <v>68.258757949361893</v>
      </c>
      <c r="C45" s="4">
        <v>75.084633744298088</v>
      </c>
      <c r="D45" s="2">
        <v>1.3944576902357904</v>
      </c>
      <c r="E45" s="4">
        <f t="shared" si="10"/>
        <v>48.9500387335667</v>
      </c>
      <c r="F45" s="4">
        <f t="shared" si="11"/>
        <v>24.47501936678335</v>
      </c>
      <c r="G45" s="4">
        <f t="shared" si="12"/>
        <v>1881.8974810557559</v>
      </c>
      <c r="H45" s="4">
        <f t="shared" si="13"/>
        <v>1075.3635962979286</v>
      </c>
      <c r="I45" s="18">
        <v>1134.5</v>
      </c>
      <c r="J45" s="13">
        <v>1220000</v>
      </c>
      <c r="K45" s="22">
        <f t="shared" si="14"/>
        <v>2023724.0430921305</v>
      </c>
      <c r="L45" s="22">
        <f t="shared" si="9"/>
        <v>1220000</v>
      </c>
      <c r="M45" s="19" t="s">
        <v>92</v>
      </c>
      <c r="N45">
        <f t="shared" si="15"/>
        <v>504.97752313794621</v>
      </c>
      <c r="O45" s="13">
        <v>572897</v>
      </c>
      <c r="P45" s="22">
        <f t="shared" si="16"/>
        <v>950315.92878307565</v>
      </c>
      <c r="Q45" s="13">
        <f t="shared" si="17"/>
        <v>572897</v>
      </c>
    </row>
    <row r="46" spans="1:17">
      <c r="A46" t="s">
        <v>69</v>
      </c>
      <c r="B46" s="4">
        <v>61.114708084337522</v>
      </c>
      <c r="C46" s="4">
        <v>73.948796782048404</v>
      </c>
      <c r="D46" s="2">
        <v>1.4004144662812563</v>
      </c>
      <c r="E46" s="4">
        <f t="shared" si="10"/>
        <v>43.640443280070613</v>
      </c>
      <c r="F46" s="4">
        <f t="shared" si="11"/>
        <v>21.820221640035307</v>
      </c>
      <c r="G46" s="4">
        <f t="shared" si="12"/>
        <v>1495.7816049274522</v>
      </c>
      <c r="H46" s="4">
        <f t="shared" si="13"/>
        <v>1429.3706293706293</v>
      </c>
      <c r="I46" s="18">
        <v>1787.5</v>
      </c>
      <c r="J46" s="13">
        <v>2555000</v>
      </c>
      <c r="K46" s="22">
        <f t="shared" si="14"/>
        <v>2138026.2940361626</v>
      </c>
      <c r="L46" s="22">
        <f t="shared" si="9"/>
        <v>2138026.2940361626</v>
      </c>
      <c r="M46" s="20" t="s">
        <v>92</v>
      </c>
      <c r="N46">
        <f t="shared" si="15"/>
        <v>537.63020979020985</v>
      </c>
      <c r="O46" s="13">
        <v>961014</v>
      </c>
      <c r="P46" s="22">
        <f t="shared" si="16"/>
        <v>804177.37805748289</v>
      </c>
      <c r="Q46" s="13">
        <f t="shared" si="17"/>
        <v>804177.37805748289</v>
      </c>
    </row>
    <row r="47" spans="1:17">
      <c r="A47" t="s">
        <v>70</v>
      </c>
      <c r="B47" s="4">
        <v>56.191337145660896</v>
      </c>
      <c r="C47" s="4">
        <v>74.172565032272388</v>
      </c>
      <c r="D47" s="2">
        <v>1.4169328618734882</v>
      </c>
      <c r="E47" s="4">
        <f t="shared" si="10"/>
        <v>39.657021625826317</v>
      </c>
      <c r="F47" s="4">
        <f t="shared" si="11"/>
        <v>19.828510812913159</v>
      </c>
      <c r="G47" s="4">
        <f t="shared" si="12"/>
        <v>1235.1794842802951</v>
      </c>
      <c r="H47" s="4">
        <f t="shared" si="13"/>
        <v>1713.8566191086179</v>
      </c>
      <c r="I47" s="18">
        <v>2263.9</v>
      </c>
      <c r="J47" s="13">
        <v>3880000</v>
      </c>
      <c r="K47" s="22">
        <f t="shared" si="14"/>
        <v>2116920.5349209527</v>
      </c>
      <c r="L47" s="22">
        <f t="shared" si="9"/>
        <v>2116920.5349209527</v>
      </c>
      <c r="M47" s="19" t="s">
        <v>92</v>
      </c>
      <c r="N47">
        <f t="shared" si="15"/>
        <v>816.73395467997705</v>
      </c>
      <c r="O47" s="13">
        <f>962037+886967</f>
        <v>1849004</v>
      </c>
      <c r="P47" s="22">
        <f t="shared" si="16"/>
        <v>1008813.02493582</v>
      </c>
      <c r="Q47" s="13">
        <f t="shared" si="17"/>
        <v>1008813.02493582</v>
      </c>
    </row>
    <row r="48" spans="1:17">
      <c r="A48" t="s">
        <v>86</v>
      </c>
      <c r="B48" s="4">
        <v>57.512041270506913</v>
      </c>
      <c r="C48" s="4">
        <v>71.314931175428569</v>
      </c>
      <c r="D48" s="2">
        <v>1.415239926121528</v>
      </c>
      <c r="E48" s="4">
        <f t="shared" si="10"/>
        <v>40.63766164944127</v>
      </c>
      <c r="F48" s="4">
        <f t="shared" si="11"/>
        <v>20.318830824720635</v>
      </c>
      <c r="G48" s="4">
        <f t="shared" si="12"/>
        <v>1297.0218771189434</v>
      </c>
      <c r="H48" s="4">
        <f t="shared" si="13"/>
        <v>1768.1953000228154</v>
      </c>
      <c r="I48" s="18">
        <v>876.6</v>
      </c>
      <c r="J48" s="13">
        <v>1550000</v>
      </c>
      <c r="K48" s="22">
        <f t="shared" si="14"/>
        <v>2293387.9871484856</v>
      </c>
      <c r="L48" s="22">
        <f t="shared" si="9"/>
        <v>1550000</v>
      </c>
      <c r="M48" s="20" t="s">
        <v>92</v>
      </c>
      <c r="N48">
        <f t="shared" si="15"/>
        <v>1079.5836185261237</v>
      </c>
      <c r="O48" s="13">
        <v>946363</v>
      </c>
      <c r="P48" s="22">
        <f t="shared" si="16"/>
        <v>1400243.5714076143</v>
      </c>
      <c r="Q48" s="13">
        <f t="shared" si="17"/>
        <v>946363</v>
      </c>
    </row>
    <row r="49" spans="1:17">
      <c r="A49" t="s">
        <v>56</v>
      </c>
      <c r="B49" s="4">
        <v>56.598098982887286</v>
      </c>
      <c r="C49" s="4">
        <v>73.01154768792459</v>
      </c>
      <c r="D49" s="2">
        <v>1.407578059972719</v>
      </c>
      <c r="E49" s="4">
        <f t="shared" si="10"/>
        <v>40.209563215260857</v>
      </c>
      <c r="F49" s="4">
        <f t="shared" si="11"/>
        <v>20.104781607630429</v>
      </c>
      <c r="G49" s="4">
        <f t="shared" si="12"/>
        <v>1269.838798714314</v>
      </c>
      <c r="H49" s="4">
        <f t="shared" si="13"/>
        <v>1664.8059368227491</v>
      </c>
      <c r="I49" s="18">
        <v>1522.7</v>
      </c>
      <c r="J49" s="13">
        <v>2535000</v>
      </c>
      <c r="K49" s="22">
        <f t="shared" si="14"/>
        <v>2114035.1709074578</v>
      </c>
      <c r="L49" s="22">
        <f t="shared" si="9"/>
        <v>2114035.1709074578</v>
      </c>
      <c r="M49" s="19" t="s">
        <v>92</v>
      </c>
      <c r="N49">
        <f t="shared" si="15"/>
        <v>892.9066789255927</v>
      </c>
      <c r="O49" s="13">
        <f>1169062  +190567</f>
        <v>1359629</v>
      </c>
      <c r="P49" s="22">
        <f t="shared" si="16"/>
        <v>1133847.5445308622</v>
      </c>
      <c r="Q49" s="13">
        <f t="shared" si="17"/>
        <v>1133847.5445308622</v>
      </c>
    </row>
    <row r="50" spans="1:17">
      <c r="A50" t="s">
        <v>76</v>
      </c>
      <c r="B50" s="4">
        <v>55.648504040584811</v>
      </c>
      <c r="C50" s="4">
        <v>69.560630050731021</v>
      </c>
      <c r="D50" s="2">
        <v>1.2685017433180505</v>
      </c>
      <c r="E50" s="4">
        <f t="shared" si="10"/>
        <v>43.869473836924875</v>
      </c>
      <c r="F50" s="4">
        <f t="shared" si="11"/>
        <v>21.934736918462438</v>
      </c>
      <c r="G50" s="4">
        <f t="shared" si="12"/>
        <v>1511.5229044578125</v>
      </c>
      <c r="H50" s="4">
        <f t="shared" si="13"/>
        <v>4685.7893584409894</v>
      </c>
      <c r="I50" s="18">
        <v>913.4</v>
      </c>
      <c r="J50" s="13">
        <v>4280000</v>
      </c>
      <c r="K50" s="22">
        <f t="shared" si="14"/>
        <v>7082677.9407482343</v>
      </c>
      <c r="L50" s="22">
        <f t="shared" si="9"/>
        <v>4280000</v>
      </c>
      <c r="M50" s="20" t="s">
        <v>92</v>
      </c>
      <c r="N50">
        <f t="shared" si="15"/>
        <v>1556.3509962776441</v>
      </c>
      <c r="O50" s="13">
        <f>835903+585668</f>
        <v>1421571</v>
      </c>
      <c r="P50" s="22">
        <f t="shared" si="16"/>
        <v>2352460.1782493945</v>
      </c>
      <c r="Q50" s="13">
        <f t="shared" si="17"/>
        <v>1421571</v>
      </c>
    </row>
    <row r="51" spans="1:17">
      <c r="A51" t="s">
        <v>57</v>
      </c>
      <c r="B51" s="4">
        <v>61.481089948215072</v>
      </c>
      <c r="C51" s="4">
        <v>72.547686138893781</v>
      </c>
      <c r="D51" s="2">
        <v>1.3586289847100899</v>
      </c>
      <c r="E51" s="4">
        <f t="shared" si="10"/>
        <v>45.252302608084115</v>
      </c>
      <c r="F51" s="4">
        <f t="shared" si="11"/>
        <v>22.626151304042057</v>
      </c>
      <c r="G51" s="4">
        <f t="shared" si="12"/>
        <v>1608.315497112178</v>
      </c>
      <c r="H51" s="4">
        <f t="shared" si="13"/>
        <v>1057.7942735949098</v>
      </c>
      <c r="I51" s="18">
        <v>1886</v>
      </c>
      <c r="J51" s="13">
        <v>1995000</v>
      </c>
      <c r="K51" s="22">
        <f t="shared" si="14"/>
        <v>1701266.9229792126</v>
      </c>
      <c r="L51" s="22">
        <f t="shared" si="9"/>
        <v>1701266.9229792126</v>
      </c>
      <c r="M51" s="19" t="s">
        <v>92</v>
      </c>
      <c r="N51">
        <f t="shared" si="15"/>
        <v>632.73117709437963</v>
      </c>
      <c r="O51" s="13">
        <v>1193331</v>
      </c>
      <c r="P51" s="22">
        <f t="shared" si="16"/>
        <v>1017631.3576269207</v>
      </c>
      <c r="Q51" s="13">
        <f t="shared" si="17"/>
        <v>1017631.3576269207</v>
      </c>
    </row>
    <row r="52" spans="1:17">
      <c r="A52" t="s">
        <v>71</v>
      </c>
      <c r="B52" s="4">
        <v>49.70438535125249</v>
      </c>
      <c r="C52" s="4">
        <v>64.118657103115709</v>
      </c>
      <c r="D52" s="2">
        <v>1.274255931913912</v>
      </c>
      <c r="E52" s="4">
        <f t="shared" si="10"/>
        <v>39.006595226594158</v>
      </c>
      <c r="F52" s="4">
        <f t="shared" si="11"/>
        <v>19.503297613297079</v>
      </c>
      <c r="G52" s="4">
        <f t="shared" si="12"/>
        <v>1194.9946712406245</v>
      </c>
      <c r="H52" s="4">
        <f t="shared" si="13"/>
        <v>1087.5378855410947</v>
      </c>
      <c r="I52" s="18">
        <v>1682.7</v>
      </c>
      <c r="J52" s="13">
        <v>1830000</v>
      </c>
      <c r="K52" s="22">
        <f t="shared" si="14"/>
        <v>1299601.9779939044</v>
      </c>
      <c r="L52" s="22">
        <f t="shared" si="9"/>
        <v>1299601.9779939044</v>
      </c>
      <c r="M52" s="20" t="s">
        <v>92</v>
      </c>
      <c r="N52">
        <f t="shared" si="15"/>
        <v>580.54495750876561</v>
      </c>
      <c r="O52" s="13">
        <v>976883</v>
      </c>
      <c r="P52" s="22">
        <f t="shared" si="16"/>
        <v>693748.13063858962</v>
      </c>
      <c r="Q52" s="13">
        <f t="shared" si="17"/>
        <v>693748.13063858962</v>
      </c>
    </row>
    <row r="53" spans="1:17">
      <c r="A53" t="s">
        <v>59</v>
      </c>
      <c r="B53" s="4">
        <v>53.455408362533667</v>
      </c>
      <c r="C53" s="4">
        <v>69.492030871293764</v>
      </c>
      <c r="D53" s="2">
        <v>1.2938832051765461</v>
      </c>
      <c r="E53" s="4">
        <f t="shared" si="10"/>
        <v>41.313936334183929</v>
      </c>
      <c r="F53" s="4">
        <f t="shared" si="11"/>
        <v>20.656968167091964</v>
      </c>
      <c r="G53" s="4">
        <f t="shared" si="12"/>
        <v>1340.5500500536455</v>
      </c>
      <c r="H53" s="4">
        <f t="shared" si="13"/>
        <v>1434.643995749203</v>
      </c>
      <c r="I53" s="18">
        <v>2446.6</v>
      </c>
      <c r="J53" s="13">
        <v>3510000</v>
      </c>
      <c r="K53" s="22">
        <f t="shared" si="14"/>
        <v>1923212.0803107561</v>
      </c>
      <c r="L53" s="22">
        <f t="shared" si="9"/>
        <v>1923212.0803107561</v>
      </c>
      <c r="M53" s="19" t="s">
        <v>92</v>
      </c>
      <c r="N53">
        <f t="shared" si="15"/>
        <v>840.12875010218261</v>
      </c>
      <c r="O53" s="13">
        <v>2055459</v>
      </c>
      <c r="P53" s="22">
        <f t="shared" si="16"/>
        <v>1126234.6380009875</v>
      </c>
      <c r="Q53" s="13">
        <f t="shared" si="17"/>
        <v>1126234.6380009875</v>
      </c>
    </row>
    <row r="54" spans="1:17">
      <c r="D54" s="2"/>
    </row>
    <row r="55" spans="1:17">
      <c r="A55" t="s">
        <v>74</v>
      </c>
      <c r="D55"/>
    </row>
    <row r="56" spans="1:17" ht="16">
      <c r="A56" s="18" t="s">
        <v>93</v>
      </c>
      <c r="D56"/>
    </row>
    <row r="57" spans="1:17">
      <c r="A57" s="18" t="s">
        <v>99</v>
      </c>
    </row>
    <row r="59" spans="1:17">
      <c r="A59" s="18" t="s">
        <v>95</v>
      </c>
    </row>
    <row r="60" spans="1:17">
      <c r="A60" s="18" t="s">
        <v>106</v>
      </c>
    </row>
    <row r="61" spans="1:17">
      <c r="A61" s="18" t="s">
        <v>107</v>
      </c>
    </row>
    <row r="62" spans="1:17">
      <c r="A62" s="18" t="s">
        <v>105</v>
      </c>
    </row>
    <row r="63" spans="1:17">
      <c r="A63" s="18" t="s">
        <v>108</v>
      </c>
    </row>
  </sheetData>
  <sortState ref="A3:XFD53">
    <sortCondition ref="A3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90" zoomScaleNormal="90" zoomScalePageLayoutView="90" workbookViewId="0">
      <selection activeCell="K1" sqref="K1:Q1048576"/>
    </sheetView>
  </sheetViews>
  <sheetFormatPr baseColWidth="10" defaultColWidth="8.83203125" defaultRowHeight="14" x14ac:dyDescent="0"/>
  <cols>
    <col min="1" max="1" width="27.6640625" bestFit="1" customWidth="1"/>
    <col min="2" max="2" width="19.6640625" customWidth="1"/>
    <col min="3" max="3" width="19.1640625" customWidth="1"/>
    <col min="4" max="4" width="10.6640625" bestFit="1" customWidth="1"/>
    <col min="5" max="5" width="18.1640625" bestFit="1" customWidth="1"/>
    <col min="6" max="6" width="18.6640625" customWidth="1"/>
    <col min="7" max="7" width="28.33203125" customWidth="1"/>
    <col min="8" max="8" width="21.6640625" customWidth="1"/>
    <col min="9" max="9" width="10.6640625" customWidth="1"/>
    <col min="10" max="10" width="10.6640625" style="13" customWidth="1"/>
    <col min="11" max="11" width="11.83203125" style="22" customWidth="1"/>
    <col min="12" max="12" width="12.6640625" style="22" customWidth="1"/>
    <col min="14" max="14" width="12.5" customWidth="1"/>
    <col min="15" max="15" width="12.6640625" customWidth="1"/>
    <col min="16" max="16" width="12.83203125" style="22" customWidth="1"/>
    <col min="17" max="17" width="8.83203125" style="18"/>
  </cols>
  <sheetData>
    <row r="1" spans="1:17" ht="30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94</v>
      </c>
      <c r="J1" s="23" t="s">
        <v>79</v>
      </c>
      <c r="K1" s="21" t="s">
        <v>77</v>
      </c>
      <c r="L1" s="27" t="s">
        <v>104</v>
      </c>
      <c r="M1" s="19" t="s">
        <v>92</v>
      </c>
      <c r="N1" s="1" t="s">
        <v>90</v>
      </c>
      <c r="O1" s="1" t="s">
        <v>88</v>
      </c>
      <c r="P1" s="21" t="s">
        <v>89</v>
      </c>
      <c r="Q1" s="18" t="s">
        <v>103</v>
      </c>
    </row>
    <row r="2" spans="1:17" ht="16">
      <c r="A2" t="s">
        <v>16</v>
      </c>
      <c r="B2" s="18" t="s">
        <v>18</v>
      </c>
      <c r="C2" s="18"/>
      <c r="D2" s="18" t="s">
        <v>78</v>
      </c>
      <c r="E2" s="18" t="s">
        <v>17</v>
      </c>
      <c r="F2" s="18" t="s">
        <v>19</v>
      </c>
      <c r="G2" s="18" t="s">
        <v>22</v>
      </c>
      <c r="H2" s="18" t="s">
        <v>24</v>
      </c>
      <c r="I2" s="18"/>
      <c r="L2" s="22">
        <f t="shared" ref="L2:L33" si="0">MIN(J2,K2)</f>
        <v>0</v>
      </c>
      <c r="M2" s="19"/>
      <c r="N2" s="18"/>
      <c r="O2" s="18"/>
      <c r="Q2" s="13">
        <f t="shared" ref="Q2:Q33" si="1">MIN(P2,O2)</f>
        <v>0</v>
      </c>
    </row>
    <row r="3" spans="1:17">
      <c r="A3" t="s">
        <v>26</v>
      </c>
      <c r="B3" s="4">
        <v>52.316789999999997</v>
      </c>
      <c r="C3" s="4">
        <v>68.534989999999993</v>
      </c>
      <c r="D3" s="2">
        <v>1.2545032030514984</v>
      </c>
      <c r="E3" s="4">
        <f t="shared" ref="E3:E34" si="2">B3/D3</f>
        <v>41.703193640911216</v>
      </c>
      <c r="F3" s="4">
        <f t="shared" ref="F3:F34" si="3">E3*0.5</f>
        <v>20.851596820455608</v>
      </c>
      <c r="G3" s="4">
        <f t="shared" ref="G3:G34" si="4">PI()*F3^2</f>
        <v>1365.9302108882323</v>
      </c>
      <c r="H3" s="4">
        <v>540.54300000000001</v>
      </c>
      <c r="I3" s="16">
        <v>5083.0589090000003</v>
      </c>
      <c r="J3" s="13">
        <v>3850000</v>
      </c>
      <c r="K3" s="22">
        <f t="shared" ref="K3:K34" si="5">G3*H3</f>
        <v>738344.0139841577</v>
      </c>
      <c r="L3" s="22">
        <f t="shared" si="0"/>
        <v>738344.0139841577</v>
      </c>
      <c r="M3" s="19" t="s">
        <v>92</v>
      </c>
      <c r="N3" s="4">
        <f t="shared" ref="N3:N34" si="6">O3/I3</f>
        <v>418.87926898310906</v>
      </c>
      <c r="O3" s="13">
        <v>2129188</v>
      </c>
      <c r="P3" s="22">
        <f t="shared" ref="P3:P34" si="7">G3*N3</f>
        <v>572159.84821880679</v>
      </c>
      <c r="Q3" s="13">
        <f t="shared" si="1"/>
        <v>572159.84821880679</v>
      </c>
    </row>
    <row r="4" spans="1:17">
      <c r="A4" t="s">
        <v>27</v>
      </c>
      <c r="B4" s="4">
        <v>53.198880000000003</v>
      </c>
      <c r="C4" s="4">
        <v>67.562579999999997</v>
      </c>
      <c r="D4" s="2">
        <v>1.3588386571923918</v>
      </c>
      <c r="E4" s="4">
        <f t="shared" si="2"/>
        <v>39.150255049351173</v>
      </c>
      <c r="F4" s="4">
        <f t="shared" si="3"/>
        <v>19.575127524675587</v>
      </c>
      <c r="G4" s="4">
        <f t="shared" si="4"/>
        <v>1203.8131212363983</v>
      </c>
      <c r="H4" s="4">
        <v>741.31619999999998</v>
      </c>
      <c r="I4" s="16">
        <v>823.94448499999999</v>
      </c>
      <c r="J4" s="13">
        <v>960000</v>
      </c>
      <c r="K4" s="22">
        <f t="shared" si="5"/>
        <v>892406.16854510608</v>
      </c>
      <c r="L4" s="22">
        <f t="shared" si="0"/>
        <v>892406.16854510608</v>
      </c>
      <c r="M4" s="19" t="s">
        <v>92</v>
      </c>
      <c r="N4" s="4">
        <f t="shared" si="6"/>
        <v>704.5195526735032</v>
      </c>
      <c r="O4" s="13">
        <v>580485</v>
      </c>
      <c r="P4" s="22">
        <f t="shared" si="7"/>
        <v>848109.88167596096</v>
      </c>
      <c r="Q4" s="13">
        <f t="shared" si="1"/>
        <v>580485</v>
      </c>
    </row>
    <row r="5" spans="1:17">
      <c r="A5" t="s">
        <v>28</v>
      </c>
      <c r="B5" s="4">
        <v>57.562600000000003</v>
      </c>
      <c r="C5" s="4">
        <v>71.377619999999993</v>
      </c>
      <c r="D5" s="2">
        <v>1.2525850225273614</v>
      </c>
      <c r="E5" s="4">
        <f t="shared" si="2"/>
        <v>45.955044140520698</v>
      </c>
      <c r="F5" s="4">
        <f t="shared" si="3"/>
        <v>22.977522070260349</v>
      </c>
      <c r="G5" s="4">
        <f t="shared" si="4"/>
        <v>1658.6557421105542</v>
      </c>
      <c r="H5" s="4">
        <v>1130.18</v>
      </c>
      <c r="I5" s="16">
        <v>1768.260718</v>
      </c>
      <c r="J5" s="13">
        <v>2210000</v>
      </c>
      <c r="K5" s="22">
        <f t="shared" si="5"/>
        <v>1874579.5466185063</v>
      </c>
      <c r="L5" s="22">
        <f t="shared" si="0"/>
        <v>1874579.5466185063</v>
      </c>
      <c r="M5" s="19" t="s">
        <v>92</v>
      </c>
      <c r="N5" s="4">
        <f t="shared" si="6"/>
        <v>601.54251529326802</v>
      </c>
      <c r="O5" s="13">
        <v>1063684</v>
      </c>
      <c r="P5" s="22">
        <f t="shared" si="7"/>
        <v>997751.94711480488</v>
      </c>
      <c r="Q5" s="13">
        <f t="shared" si="1"/>
        <v>997751.94711480488</v>
      </c>
    </row>
    <row r="6" spans="1:17">
      <c r="A6" t="s">
        <v>29</v>
      </c>
      <c r="B6" s="4">
        <v>60.288020000000003</v>
      </c>
      <c r="C6" s="4">
        <v>74.154269999999997</v>
      </c>
      <c r="D6" s="2">
        <v>1.2192840999182406</v>
      </c>
      <c r="E6" s="4">
        <f t="shared" si="2"/>
        <v>49.445424576636924</v>
      </c>
      <c r="F6" s="4">
        <f t="shared" si="3"/>
        <v>24.722712288318462</v>
      </c>
      <c r="G6" s="4">
        <f t="shared" si="4"/>
        <v>1920.1807088645101</v>
      </c>
      <c r="H6" s="4">
        <v>780.12429999999995</v>
      </c>
      <c r="I6" s="16">
        <v>4496.6740900000004</v>
      </c>
      <c r="J6" s="13">
        <v>3940000</v>
      </c>
      <c r="K6" s="22">
        <f t="shared" si="5"/>
        <v>1497979.6313764297</v>
      </c>
      <c r="L6" s="22">
        <f t="shared" si="0"/>
        <v>1497979.6313764297</v>
      </c>
      <c r="M6" s="19" t="s">
        <v>92</v>
      </c>
      <c r="N6" s="4">
        <f t="shared" si="6"/>
        <v>683.91236243674484</v>
      </c>
      <c r="O6" s="13">
        <v>3075331</v>
      </c>
      <c r="P6" s="22">
        <f t="shared" si="7"/>
        <v>1313235.3249049904</v>
      </c>
      <c r="Q6" s="13">
        <f t="shared" si="1"/>
        <v>1313235.3249049904</v>
      </c>
    </row>
    <row r="7" spans="1:17">
      <c r="A7" t="s">
        <v>30</v>
      </c>
      <c r="B7" s="4">
        <v>60.075479999999999</v>
      </c>
      <c r="C7" s="4">
        <v>64.280760000000001</v>
      </c>
      <c r="D7" s="2">
        <v>1.2197720965912831</v>
      </c>
      <c r="E7" s="4">
        <f t="shared" si="2"/>
        <v>49.251397181394843</v>
      </c>
      <c r="F7" s="4">
        <f t="shared" si="3"/>
        <v>24.625698590697422</v>
      </c>
      <c r="G7" s="4">
        <f t="shared" si="4"/>
        <v>1905.1404225935032</v>
      </c>
      <c r="H7" s="4">
        <v>742.24810000000002</v>
      </c>
      <c r="I7" s="16">
        <v>949.73302000000001</v>
      </c>
      <c r="J7" s="13">
        <v>1115000</v>
      </c>
      <c r="K7" s="22">
        <f t="shared" si="5"/>
        <v>1414086.8589032248</v>
      </c>
      <c r="L7" s="22">
        <f t="shared" si="0"/>
        <v>1115000</v>
      </c>
      <c r="M7" s="19" t="s">
        <v>92</v>
      </c>
      <c r="N7" s="4">
        <f t="shared" si="6"/>
        <v>500.80074082293146</v>
      </c>
      <c r="O7" s="13">
        <v>475627</v>
      </c>
      <c r="P7" s="22">
        <f t="shared" si="7"/>
        <v>954095.73500653915</v>
      </c>
      <c r="Q7" s="13">
        <f t="shared" si="1"/>
        <v>475627</v>
      </c>
    </row>
    <row r="8" spans="1:17">
      <c r="A8" t="s">
        <v>31</v>
      </c>
      <c r="B8" s="4">
        <v>54.739370000000001</v>
      </c>
      <c r="C8" s="4">
        <v>66.782039999999995</v>
      </c>
      <c r="D8" s="2">
        <v>1.2324990260921265</v>
      </c>
      <c r="E8" s="4">
        <f t="shared" si="2"/>
        <v>44.413317042173759</v>
      </c>
      <c r="F8" s="4">
        <f t="shared" si="3"/>
        <v>22.206658521086879</v>
      </c>
      <c r="G8" s="4">
        <f t="shared" si="4"/>
        <v>1549.2314379058469</v>
      </c>
      <c r="H8" s="4">
        <v>612.80430000000001</v>
      </c>
      <c r="I8" s="16">
        <v>1126.4161240000001</v>
      </c>
      <c r="J8" s="13">
        <v>865000</v>
      </c>
      <c r="K8" s="22">
        <f t="shared" si="5"/>
        <v>949375.68684388592</v>
      </c>
      <c r="L8" s="22">
        <f t="shared" si="0"/>
        <v>865000</v>
      </c>
      <c r="M8" s="19" t="s">
        <v>92</v>
      </c>
      <c r="N8" s="4">
        <f t="shared" si="6"/>
        <v>720.43269153345318</v>
      </c>
      <c r="O8" s="13">
        <v>811507</v>
      </c>
      <c r="P8" s="22">
        <f t="shared" si="7"/>
        <v>1116116.9746187511</v>
      </c>
      <c r="Q8" s="13">
        <f t="shared" si="1"/>
        <v>811507</v>
      </c>
    </row>
    <row r="9" spans="1:17">
      <c r="A9" t="s">
        <v>32</v>
      </c>
      <c r="B9" s="4">
        <v>47.502769999999998</v>
      </c>
      <c r="C9" s="4">
        <v>64.128739999999993</v>
      </c>
      <c r="D9" s="2">
        <v>1.2285083022797185</v>
      </c>
      <c r="E9" s="4">
        <f t="shared" si="2"/>
        <v>38.667032133075573</v>
      </c>
      <c r="F9" s="4">
        <f t="shared" si="3"/>
        <v>19.333516066537786</v>
      </c>
      <c r="G9" s="4">
        <f t="shared" si="4"/>
        <v>1174.2797183473374</v>
      </c>
      <c r="H9" s="4">
        <v>1111.92</v>
      </c>
      <c r="I9" s="16">
        <v>5498.0569649999998</v>
      </c>
      <c r="J9" s="13">
        <v>8150000</v>
      </c>
      <c r="K9" s="22">
        <f t="shared" si="5"/>
        <v>1305705.1044247714</v>
      </c>
      <c r="L9" s="22">
        <f t="shared" si="0"/>
        <v>1305705.1044247714</v>
      </c>
      <c r="M9" s="19" t="s">
        <v>92</v>
      </c>
      <c r="N9" s="4">
        <f t="shared" si="6"/>
        <v>762.04903417183857</v>
      </c>
      <c r="O9" s="13">
        <f>3915405+225650+48734</f>
        <v>4189789</v>
      </c>
      <c r="P9" s="22">
        <f t="shared" si="7"/>
        <v>894858.72521416703</v>
      </c>
      <c r="Q9" s="13">
        <f t="shared" si="1"/>
        <v>894858.72521416703</v>
      </c>
    </row>
    <row r="10" spans="1:17">
      <c r="A10" t="s">
        <v>33</v>
      </c>
      <c r="B10" s="4">
        <v>59.701340000000002</v>
      </c>
      <c r="C10" s="4">
        <v>70.447580000000002</v>
      </c>
      <c r="D10" s="2">
        <v>1.3292592058969801</v>
      </c>
      <c r="E10" s="4">
        <f t="shared" si="2"/>
        <v>44.913241702707424</v>
      </c>
      <c r="F10" s="4">
        <f t="shared" si="3"/>
        <v>22.456620851353712</v>
      </c>
      <c r="G10" s="4">
        <f t="shared" si="4"/>
        <v>1584.3046099117196</v>
      </c>
      <c r="H10" s="4">
        <v>725.11869999999999</v>
      </c>
      <c r="I10" s="16">
        <v>1739.864863</v>
      </c>
      <c r="J10" s="13">
        <v>1540000</v>
      </c>
      <c r="K10" s="22">
        <f t="shared" si="5"/>
        <v>1148808.8991431931</v>
      </c>
      <c r="L10" s="22">
        <f t="shared" si="0"/>
        <v>1148808.8991431931</v>
      </c>
      <c r="M10" s="19" t="s">
        <v>92</v>
      </c>
      <c r="N10" s="4">
        <f t="shared" si="6"/>
        <v>537.37104523617245</v>
      </c>
      <c r="O10" s="13">
        <f>820201+114752</f>
        <v>934953</v>
      </c>
      <c r="P10" s="22">
        <f t="shared" si="7"/>
        <v>851359.42420074716</v>
      </c>
      <c r="Q10" s="13">
        <f t="shared" si="1"/>
        <v>851359.42420074716</v>
      </c>
    </row>
    <row r="11" spans="1:17">
      <c r="A11" t="s">
        <v>34</v>
      </c>
      <c r="B11" s="4">
        <v>62.775539999999999</v>
      </c>
      <c r="C11" s="4">
        <v>69.053089999999997</v>
      </c>
      <c r="D11" s="2">
        <v>1.1958825048225283</v>
      </c>
      <c r="E11" s="4">
        <f t="shared" si="2"/>
        <v>52.493066623895487</v>
      </c>
      <c r="F11" s="4">
        <f t="shared" si="3"/>
        <v>26.246533311947744</v>
      </c>
      <c r="G11" s="4">
        <f t="shared" si="4"/>
        <v>2164.1819522294891</v>
      </c>
      <c r="H11" s="4">
        <v>820.46699999999998</v>
      </c>
      <c r="I11" s="16">
        <v>1675.7263399999999</v>
      </c>
      <c r="J11" s="13">
        <v>1785000</v>
      </c>
      <c r="K11" s="22">
        <f t="shared" si="5"/>
        <v>1775639.8737998721</v>
      </c>
      <c r="L11" s="22">
        <f t="shared" si="0"/>
        <v>1775639.8737998721</v>
      </c>
      <c r="M11" s="19" t="s">
        <v>92</v>
      </c>
      <c r="N11" s="4">
        <f t="shared" si="6"/>
        <v>643.10978127848728</v>
      </c>
      <c r="O11" s="13">
        <v>1077676</v>
      </c>
      <c r="P11" s="22">
        <f t="shared" si="7"/>
        <v>1391806.5819451562</v>
      </c>
      <c r="Q11" s="13">
        <f t="shared" si="1"/>
        <v>1077676</v>
      </c>
    </row>
    <row r="12" spans="1:17">
      <c r="A12" t="s">
        <v>35</v>
      </c>
      <c r="B12" s="4">
        <v>60.796750000000003</v>
      </c>
      <c r="C12" s="4">
        <v>71.132189999999994</v>
      </c>
      <c r="D12" s="2">
        <v>1.2517998202968643</v>
      </c>
      <c r="E12" s="4">
        <f t="shared" si="2"/>
        <v>48.567469825632386</v>
      </c>
      <c r="F12" s="4">
        <f t="shared" si="3"/>
        <v>24.283734912816193</v>
      </c>
      <c r="G12" s="4">
        <f t="shared" si="4"/>
        <v>1852.5965008056273</v>
      </c>
      <c r="H12" s="4">
        <v>793.07470000000001</v>
      </c>
      <c r="I12" s="16">
        <v>1030.0578399999999</v>
      </c>
      <c r="J12" s="13">
        <v>1140000</v>
      </c>
      <c r="K12" s="22">
        <f t="shared" si="5"/>
        <v>1469247.4140974726</v>
      </c>
      <c r="L12" s="22">
        <f t="shared" si="0"/>
        <v>1140000</v>
      </c>
      <c r="M12" s="19" t="s">
        <v>92</v>
      </c>
      <c r="N12" s="4">
        <f t="shared" si="6"/>
        <v>750.9364716839591</v>
      </c>
      <c r="O12" s="13">
        <v>773508</v>
      </c>
      <c r="P12" s="22">
        <f t="shared" si="7"/>
        <v>1391182.2797690267</v>
      </c>
      <c r="Q12" s="13">
        <f t="shared" si="1"/>
        <v>773508</v>
      </c>
    </row>
    <row r="13" spans="1:17">
      <c r="A13" t="s">
        <v>62</v>
      </c>
      <c r="B13" s="4">
        <v>56.964039999999997</v>
      </c>
      <c r="C13" s="4">
        <v>70.065770000000001</v>
      </c>
      <c r="D13" s="2">
        <v>1.2688044572054789</v>
      </c>
      <c r="E13" s="4">
        <f t="shared" si="2"/>
        <v>44.895838500963627</v>
      </c>
      <c r="F13" s="4">
        <f t="shared" si="3"/>
        <v>22.447919250481814</v>
      </c>
      <c r="G13" s="4">
        <f t="shared" si="4"/>
        <v>1583.0770596462</v>
      </c>
      <c r="H13" s="4">
        <v>831.13570000000004</v>
      </c>
      <c r="I13" s="16">
        <v>3644.2179059999999</v>
      </c>
      <c r="J13" s="13">
        <v>4090000</v>
      </c>
      <c r="K13" s="22">
        <f t="shared" si="5"/>
        <v>1315751.8601229864</v>
      </c>
      <c r="L13" s="22">
        <f t="shared" si="0"/>
        <v>1315751.8601229864</v>
      </c>
      <c r="M13" s="19" t="s">
        <v>92</v>
      </c>
      <c r="N13" s="4">
        <f t="shared" si="6"/>
        <v>713.75616582023349</v>
      </c>
      <c r="O13" s="13">
        <f>1915132+685951</f>
        <v>2601083</v>
      </c>
      <c r="P13" s="22">
        <f t="shared" si="7"/>
        <v>1129931.0122910407</v>
      </c>
      <c r="Q13" s="13">
        <f t="shared" si="1"/>
        <v>1129931.0122910407</v>
      </c>
    </row>
    <row r="14" spans="1:17">
      <c r="A14" t="s">
        <v>36</v>
      </c>
      <c r="B14" s="4">
        <v>50.872790000000002</v>
      </c>
      <c r="C14" s="4">
        <v>67.152079999999998</v>
      </c>
      <c r="D14" s="2">
        <v>1.3463143949767653</v>
      </c>
      <c r="E14" s="4">
        <f t="shared" si="2"/>
        <v>37.786708802796369</v>
      </c>
      <c r="F14" s="4">
        <f t="shared" si="3"/>
        <v>18.893354401398184</v>
      </c>
      <c r="G14" s="4">
        <f t="shared" si="4"/>
        <v>1121.4192710644425</v>
      </c>
      <c r="H14" s="4">
        <v>919.83150000000001</v>
      </c>
      <c r="I14" s="16">
        <v>1291.9059970000001</v>
      </c>
      <c r="J14" s="13">
        <v>2025000</v>
      </c>
      <c r="K14" s="22">
        <f t="shared" si="5"/>
        <v>1031516.7702321127</v>
      </c>
      <c r="L14" s="22">
        <f t="shared" si="0"/>
        <v>1031516.7702321127</v>
      </c>
      <c r="M14" s="19" t="s">
        <v>92</v>
      </c>
      <c r="N14" s="4">
        <f t="shared" si="6"/>
        <v>836.3681277965303</v>
      </c>
      <c r="O14" s="13">
        <v>1080509</v>
      </c>
      <c r="P14" s="22">
        <f t="shared" si="7"/>
        <v>937919.33621511748</v>
      </c>
      <c r="Q14" s="13">
        <f t="shared" si="1"/>
        <v>937919.33621511748</v>
      </c>
    </row>
    <row r="15" spans="1:17">
      <c r="A15" t="s">
        <v>37</v>
      </c>
      <c r="B15" s="4">
        <v>50.514110000000002</v>
      </c>
      <c r="C15" s="4">
        <v>65.163210000000007</v>
      </c>
      <c r="D15" s="2">
        <v>1.2231188399031905</v>
      </c>
      <c r="E15" s="4">
        <f t="shared" si="2"/>
        <v>41.299429255785299</v>
      </c>
      <c r="F15" s="4">
        <f t="shared" si="3"/>
        <v>20.649714627892649</v>
      </c>
      <c r="G15" s="4">
        <f t="shared" si="4"/>
        <v>1339.6087671848056</v>
      </c>
      <c r="H15" s="4">
        <v>1127.53</v>
      </c>
      <c r="I15" s="16">
        <v>3267.1408769999998</v>
      </c>
      <c r="J15" s="13">
        <v>4030000</v>
      </c>
      <c r="K15" s="22">
        <f t="shared" si="5"/>
        <v>1510449.0732638838</v>
      </c>
      <c r="L15" s="22">
        <f t="shared" si="0"/>
        <v>1510449.0732638838</v>
      </c>
      <c r="M15" s="19" t="s">
        <v>92</v>
      </c>
      <c r="N15" s="4">
        <f t="shared" si="6"/>
        <v>597.85239557639068</v>
      </c>
      <c r="O15" s="13">
        <v>1953268</v>
      </c>
      <c r="P15" s="22">
        <f t="shared" si="7"/>
        <v>800888.31059657142</v>
      </c>
      <c r="Q15" s="13">
        <f t="shared" si="1"/>
        <v>800888.31059657142</v>
      </c>
    </row>
    <row r="16" spans="1:17">
      <c r="A16" t="s">
        <v>80</v>
      </c>
      <c r="B16" s="6">
        <v>56.839145642340362</v>
      </c>
      <c r="C16" s="6">
        <v>63.091451662997805</v>
      </c>
      <c r="D16" s="2">
        <v>1.2876333382733918</v>
      </c>
      <c r="E16" s="4">
        <f t="shared" si="2"/>
        <v>44.142337692620544</v>
      </c>
      <c r="F16" s="4">
        <f t="shared" si="3"/>
        <v>22.071168846310272</v>
      </c>
      <c r="G16" s="4">
        <f t="shared" si="4"/>
        <v>1530.3844316072127</v>
      </c>
      <c r="H16" s="4">
        <v>1048.9459499999998</v>
      </c>
      <c r="I16" s="16">
        <v>666.54415200000005</v>
      </c>
      <c r="J16" s="13">
        <v>555000</v>
      </c>
      <c r="K16" s="22">
        <f t="shared" si="5"/>
        <v>1605290.5514774374</v>
      </c>
      <c r="L16" s="22">
        <f t="shared" si="0"/>
        <v>555000</v>
      </c>
      <c r="M16" s="19" t="s">
        <v>92</v>
      </c>
      <c r="N16" s="4">
        <f t="shared" si="6"/>
        <v>796.59389165265668</v>
      </c>
      <c r="O16" s="13">
        <v>530965</v>
      </c>
      <c r="P16" s="22">
        <f t="shared" si="7"/>
        <v>1219094.8900986286</v>
      </c>
      <c r="Q16" s="13">
        <f t="shared" si="1"/>
        <v>530965</v>
      </c>
    </row>
    <row r="17" spans="1:17">
      <c r="A17" t="s">
        <v>58</v>
      </c>
      <c r="B17" s="4">
        <v>54.516030000000001</v>
      </c>
      <c r="C17" s="4">
        <v>64.328909999999993</v>
      </c>
      <c r="D17" s="2">
        <v>1.314972166684313</v>
      </c>
      <c r="E17" s="4">
        <f t="shared" si="2"/>
        <v>41.457934533672706</v>
      </c>
      <c r="F17" s="4">
        <f t="shared" si="3"/>
        <v>20.728967266836353</v>
      </c>
      <c r="G17" s="4">
        <f t="shared" si="4"/>
        <v>1349.9112110563599</v>
      </c>
      <c r="H17" s="4">
        <v>595.8125</v>
      </c>
      <c r="I17" s="5">
        <v>1364.4098799999999</v>
      </c>
      <c r="J17" s="13">
        <v>1520000</v>
      </c>
      <c r="K17" s="22">
        <f t="shared" si="5"/>
        <v>804293.97343751742</v>
      </c>
      <c r="L17" s="22">
        <f t="shared" si="0"/>
        <v>804293.97343751742</v>
      </c>
      <c r="M17" s="19" t="s">
        <v>92</v>
      </c>
      <c r="N17" s="4">
        <f t="shared" si="6"/>
        <v>420.42644839247282</v>
      </c>
      <c r="O17" s="13">
        <v>573634</v>
      </c>
      <c r="P17" s="22">
        <f t="shared" si="7"/>
        <v>567538.37610960717</v>
      </c>
      <c r="Q17" s="13">
        <f t="shared" si="1"/>
        <v>567538.37610960717</v>
      </c>
    </row>
    <row r="18" spans="1:17">
      <c r="A18" t="s">
        <v>38</v>
      </c>
      <c r="B18" s="4">
        <v>68.568569999999994</v>
      </c>
      <c r="C18" s="4">
        <v>75.425430000000006</v>
      </c>
      <c r="D18" s="2">
        <v>1.3186049657057692</v>
      </c>
      <c r="E18" s="4">
        <f t="shared" si="2"/>
        <v>52.000843151155131</v>
      </c>
      <c r="F18" s="4">
        <f t="shared" si="3"/>
        <v>26.000421575577565</v>
      </c>
      <c r="G18" s="4">
        <f t="shared" si="4"/>
        <v>2123.785504159388</v>
      </c>
      <c r="H18" s="4">
        <v>616.34659999999997</v>
      </c>
      <c r="I18" s="5">
        <v>1215.591516</v>
      </c>
      <c r="J18" s="13">
        <v>870000</v>
      </c>
      <c r="K18" s="22">
        <f t="shared" si="5"/>
        <v>1308987.9746179245</v>
      </c>
      <c r="L18" s="22">
        <f t="shared" si="0"/>
        <v>870000</v>
      </c>
      <c r="M18" s="19" t="s">
        <v>92</v>
      </c>
      <c r="N18" s="4">
        <f t="shared" si="6"/>
        <v>467.19723897776862</v>
      </c>
      <c r="O18" s="13">
        <v>567921</v>
      </c>
      <c r="P18" s="22">
        <f t="shared" si="7"/>
        <v>992226.72372427443</v>
      </c>
      <c r="Q18" s="13">
        <f t="shared" si="1"/>
        <v>567921</v>
      </c>
    </row>
    <row r="19" spans="1:17">
      <c r="A19" t="s">
        <v>81</v>
      </c>
      <c r="B19" s="4">
        <v>58.403202946946948</v>
      </c>
      <c r="C19" s="4">
        <v>68.915779477397393</v>
      </c>
      <c r="D19" s="2">
        <v>1.5656730917026238</v>
      </c>
      <c r="E19" s="4">
        <f t="shared" si="2"/>
        <v>37.30229717586522</v>
      </c>
      <c r="F19" s="4">
        <f t="shared" si="3"/>
        <v>18.65114858793261</v>
      </c>
      <c r="G19" s="4">
        <f t="shared" si="4"/>
        <v>1092.8512080466289</v>
      </c>
      <c r="H19" s="4">
        <v>1930.5093842061167</v>
      </c>
      <c r="I19" s="5">
        <v>399.17985599999997</v>
      </c>
      <c r="J19" s="13">
        <v>700000</v>
      </c>
      <c r="K19" s="22">
        <f t="shared" si="5"/>
        <v>2109759.5126750083</v>
      </c>
      <c r="L19" s="22">
        <f t="shared" si="0"/>
        <v>700000</v>
      </c>
      <c r="M19" s="19" t="s">
        <v>92</v>
      </c>
      <c r="N19" s="4">
        <f t="shared" si="6"/>
        <v>802.79852598574018</v>
      </c>
      <c r="O19" s="13">
        <v>320461</v>
      </c>
      <c r="P19" s="22">
        <f t="shared" si="7"/>
        <v>877339.33894156921</v>
      </c>
      <c r="Q19" s="13">
        <f t="shared" si="1"/>
        <v>320461</v>
      </c>
    </row>
    <row r="20" spans="1:17">
      <c r="A20" t="s">
        <v>39</v>
      </c>
      <c r="B20" s="4">
        <v>53.767299999999999</v>
      </c>
      <c r="C20" s="4">
        <v>68.822140000000005</v>
      </c>
      <c r="D20" s="2">
        <v>1.3120577300131484</v>
      </c>
      <c r="E20" s="4">
        <f t="shared" si="2"/>
        <v>40.979370625301058</v>
      </c>
      <c r="F20" s="4">
        <f t="shared" si="3"/>
        <v>20.489685312650529</v>
      </c>
      <c r="G20" s="4">
        <f t="shared" si="4"/>
        <v>1318.9260605278232</v>
      </c>
      <c r="H20" s="4">
        <v>778.63930000000005</v>
      </c>
      <c r="I20" s="5">
        <v>3354.7213320000001</v>
      </c>
      <c r="J20" s="13">
        <v>3630000</v>
      </c>
      <c r="K20" s="22">
        <f t="shared" si="5"/>
        <v>1026967.6645211419</v>
      </c>
      <c r="L20" s="22">
        <f t="shared" si="0"/>
        <v>1026967.6645211419</v>
      </c>
      <c r="M20" s="19" t="s">
        <v>92</v>
      </c>
      <c r="N20" s="4">
        <f t="shared" si="6"/>
        <v>557.65585718104592</v>
      </c>
      <c r="O20" s="13">
        <v>1870780</v>
      </c>
      <c r="P20" s="22">
        <f t="shared" si="7"/>
        <v>735506.84284206328</v>
      </c>
      <c r="Q20" s="13">
        <f t="shared" si="1"/>
        <v>735506.84284206328</v>
      </c>
    </row>
    <row r="21" spans="1:17">
      <c r="A21" t="s">
        <v>40</v>
      </c>
      <c r="B21" s="4">
        <v>53.336190000000002</v>
      </c>
      <c r="C21" s="4">
        <v>65.070160000000001</v>
      </c>
      <c r="D21" s="2">
        <v>1.2553195423470496</v>
      </c>
      <c r="E21" s="4">
        <f t="shared" si="2"/>
        <v>42.488138040357626</v>
      </c>
      <c r="F21" s="4">
        <f t="shared" si="3"/>
        <v>21.244069020178813</v>
      </c>
      <c r="G21" s="4">
        <f t="shared" si="4"/>
        <v>1417.8336524349627</v>
      </c>
      <c r="H21" s="4">
        <v>795.37049999999999</v>
      </c>
      <c r="I21" s="5">
        <v>1432.0576000000001</v>
      </c>
      <c r="J21" s="13">
        <v>1030000</v>
      </c>
      <c r="K21" s="22">
        <f t="shared" si="5"/>
        <v>1127703.0610540225</v>
      </c>
      <c r="L21" s="22">
        <f t="shared" si="0"/>
        <v>1030000</v>
      </c>
      <c r="M21" s="19" t="s">
        <v>92</v>
      </c>
      <c r="N21" s="4">
        <f t="shared" si="6"/>
        <v>568.03930232973869</v>
      </c>
      <c r="O21" s="13">
        <v>813465</v>
      </c>
      <c r="P21" s="22">
        <f t="shared" si="7"/>
        <v>805385.23874878138</v>
      </c>
      <c r="Q21" s="13">
        <f t="shared" si="1"/>
        <v>805385.23874878138</v>
      </c>
    </row>
    <row r="22" spans="1:17" ht="16">
      <c r="A22" t="s">
        <v>73</v>
      </c>
      <c r="B22" s="4">
        <v>57.819749999999999</v>
      </c>
      <c r="C22" s="4">
        <v>71.696479999999994</v>
      </c>
      <c r="D22" s="2">
        <v>1.3322187706081068</v>
      </c>
      <c r="E22" s="4">
        <f t="shared" si="2"/>
        <v>43.401092429892351</v>
      </c>
      <c r="F22" s="4">
        <f t="shared" si="3"/>
        <v>21.700546214946176</v>
      </c>
      <c r="G22" s="4">
        <f t="shared" si="4"/>
        <v>1479.4190393292131</v>
      </c>
      <c r="H22" s="4">
        <v>1048.9110000000001</v>
      </c>
      <c r="I22" s="5">
        <v>1136.422783</v>
      </c>
      <c r="J22" s="13">
        <v>1630000</v>
      </c>
      <c r="K22" s="22">
        <f t="shared" si="5"/>
        <v>1551778.9039618443</v>
      </c>
      <c r="L22" s="22">
        <f t="shared" si="0"/>
        <v>1551778.9039618443</v>
      </c>
      <c r="M22" s="19" t="s">
        <v>92</v>
      </c>
      <c r="N22" s="4">
        <f t="shared" si="6"/>
        <v>772.15541005217597</v>
      </c>
      <c r="O22" s="13">
        <v>877495</v>
      </c>
      <c r="P22" s="22">
        <f t="shared" si="7"/>
        <v>1142341.4149522448</v>
      </c>
      <c r="Q22" s="13">
        <f t="shared" si="1"/>
        <v>877495</v>
      </c>
    </row>
    <row r="23" spans="1:17">
      <c r="A23" t="s">
        <v>41</v>
      </c>
      <c r="B23" s="4">
        <v>54.3979</v>
      </c>
      <c r="C23" s="4">
        <v>63.645539999999997</v>
      </c>
      <c r="D23" s="2">
        <v>1.367147891752108</v>
      </c>
      <c r="E23" s="4">
        <f t="shared" si="2"/>
        <v>39.789331006673166</v>
      </c>
      <c r="F23" s="4">
        <f t="shared" si="3"/>
        <v>19.894665503336583</v>
      </c>
      <c r="G23" s="4">
        <f t="shared" si="4"/>
        <v>1243.4351952899096</v>
      </c>
      <c r="H23" s="4">
        <v>464.36610000000002</v>
      </c>
      <c r="I23" s="16">
        <v>1063.231603</v>
      </c>
      <c r="J23" s="13">
        <v>890000</v>
      </c>
      <c r="K23" s="22">
        <f t="shared" si="5"/>
        <v>577409.1522395137</v>
      </c>
      <c r="L23" s="22">
        <f t="shared" si="0"/>
        <v>577409.1522395137</v>
      </c>
      <c r="M23" s="19" t="s">
        <v>92</v>
      </c>
      <c r="N23" s="4">
        <f t="shared" si="6"/>
        <v>467.6516373262844</v>
      </c>
      <c r="O23" s="13">
        <v>497222</v>
      </c>
      <c r="P23" s="22">
        <f t="shared" si="7"/>
        <v>581494.5049864545</v>
      </c>
      <c r="Q23" s="13">
        <f t="shared" si="1"/>
        <v>497222</v>
      </c>
    </row>
    <row r="24" spans="1:17">
      <c r="A24" t="s">
        <v>75</v>
      </c>
      <c r="B24" s="4">
        <v>63.341059999999999</v>
      </c>
      <c r="C24" s="4">
        <v>69.041749999999993</v>
      </c>
      <c r="D24" s="2">
        <v>1.3058059031530165</v>
      </c>
      <c r="E24" s="4">
        <f t="shared" si="2"/>
        <v>48.507255057628264</v>
      </c>
      <c r="F24" s="4">
        <f t="shared" si="3"/>
        <v>24.253627528814132</v>
      </c>
      <c r="G24" s="4">
        <f t="shared" si="4"/>
        <v>1848.0055877586046</v>
      </c>
      <c r="H24" s="4">
        <v>534.17049999999995</v>
      </c>
      <c r="I24" s="5">
        <v>1513.6270480000001</v>
      </c>
      <c r="J24" s="13">
        <v>1425000</v>
      </c>
      <c r="K24" s="22">
        <f t="shared" si="5"/>
        <v>987150.06881580758</v>
      </c>
      <c r="L24" s="22">
        <f t="shared" si="0"/>
        <v>987150.06881580758</v>
      </c>
      <c r="M24" s="19" t="s">
        <v>92</v>
      </c>
      <c r="N24" s="4">
        <f t="shared" si="6"/>
        <v>588.92446536143029</v>
      </c>
      <c r="O24" s="13">
        <v>891412</v>
      </c>
      <c r="P24" s="22">
        <f t="shared" si="7"/>
        <v>1088335.7027556719</v>
      </c>
      <c r="Q24" s="13">
        <f t="shared" si="1"/>
        <v>891412</v>
      </c>
    </row>
    <row r="25" spans="1:17">
      <c r="A25" t="s">
        <v>63</v>
      </c>
      <c r="B25" s="4">
        <v>50.764740000000003</v>
      </c>
      <c r="C25" s="4">
        <v>64.471209999999999</v>
      </c>
      <c r="D25" s="2">
        <v>1.3395992902648739</v>
      </c>
      <c r="E25" s="4">
        <f t="shared" si="2"/>
        <v>37.895466479354795</v>
      </c>
      <c r="F25" s="4">
        <f t="shared" si="3"/>
        <v>18.947733239677397</v>
      </c>
      <c r="G25" s="4">
        <f t="shared" si="4"/>
        <v>1127.8838971237014</v>
      </c>
      <c r="H25" s="4">
        <v>1701.4670000000001</v>
      </c>
      <c r="I25" s="5">
        <v>740.49811399999999</v>
      </c>
      <c r="J25" s="13">
        <v>1300000</v>
      </c>
      <c r="K25" s="22">
        <f t="shared" si="5"/>
        <v>1919057.2307873731</v>
      </c>
      <c r="L25" s="22">
        <f t="shared" si="0"/>
        <v>1300000</v>
      </c>
      <c r="M25" s="19" t="s">
        <v>92</v>
      </c>
      <c r="N25" s="4">
        <f t="shared" si="6"/>
        <v>934.33728853494426</v>
      </c>
      <c r="O25" s="13">
        <v>691875</v>
      </c>
      <c r="P25" s="22">
        <f t="shared" si="7"/>
        <v>1053823.9822207852</v>
      </c>
      <c r="Q25" s="13">
        <f t="shared" si="1"/>
        <v>691875</v>
      </c>
    </row>
    <row r="26" spans="1:17">
      <c r="A26" t="s">
        <v>64</v>
      </c>
      <c r="B26" s="4">
        <v>47.966560000000001</v>
      </c>
      <c r="C26" s="4">
        <v>70.990499999999997</v>
      </c>
      <c r="D26" s="2">
        <v>1.3322187706081068</v>
      </c>
      <c r="E26" s="4">
        <f t="shared" si="2"/>
        <v>36.00501738772612</v>
      </c>
      <c r="F26" s="4">
        <f t="shared" si="3"/>
        <v>18.00250869386306</v>
      </c>
      <c r="G26" s="4">
        <f t="shared" si="4"/>
        <v>1018.1597661264179</v>
      </c>
      <c r="H26" s="4">
        <v>2155.5929999999998</v>
      </c>
      <c r="I26" s="16">
        <v>4319.9303110000001</v>
      </c>
      <c r="J26" s="13">
        <v>12450000</v>
      </c>
      <c r="K26" s="22">
        <f t="shared" si="5"/>
        <v>2194738.0647437433</v>
      </c>
      <c r="L26" s="22">
        <f t="shared" si="0"/>
        <v>2194738.0647437433</v>
      </c>
      <c r="M26" s="19" t="s">
        <v>92</v>
      </c>
      <c r="N26" s="4">
        <f t="shared" si="6"/>
        <v>1226.6024260871461</v>
      </c>
      <c r="O26" s="13">
        <f>3889686+1409151</f>
        <v>5298837</v>
      </c>
      <c r="P26" s="22">
        <f t="shared" si="7"/>
        <v>1248877.2392749856</v>
      </c>
      <c r="Q26" s="13">
        <f t="shared" si="1"/>
        <v>1248877.2392749856</v>
      </c>
    </row>
    <row r="27" spans="1:17">
      <c r="A27" t="s">
        <v>42</v>
      </c>
      <c r="B27" s="4">
        <v>57.963749999999997</v>
      </c>
      <c r="C27" s="4">
        <v>68.976879999999994</v>
      </c>
      <c r="D27" s="2">
        <v>1.3589321966589822</v>
      </c>
      <c r="E27" s="4">
        <f t="shared" si="2"/>
        <v>42.65389409604645</v>
      </c>
      <c r="F27" s="4">
        <f t="shared" si="3"/>
        <v>21.326947048023225</v>
      </c>
      <c r="G27" s="4">
        <f t="shared" si="4"/>
        <v>1428.9178254632179</v>
      </c>
      <c r="H27" s="4">
        <v>763.32839999999999</v>
      </c>
      <c r="I27" s="5">
        <v>1013.455139</v>
      </c>
      <c r="J27" s="13">
        <v>860000</v>
      </c>
      <c r="K27" s="22">
        <f t="shared" si="5"/>
        <v>1090733.5574423175</v>
      </c>
      <c r="L27" s="22">
        <f t="shared" si="0"/>
        <v>860000</v>
      </c>
      <c r="M27" s="19" t="s">
        <v>92</v>
      </c>
      <c r="N27" s="4">
        <f t="shared" si="6"/>
        <v>509.17497987051996</v>
      </c>
      <c r="O27" s="13">
        <v>516026</v>
      </c>
      <c r="P27" s="22">
        <f t="shared" si="7"/>
        <v>727569.20501686109</v>
      </c>
      <c r="Q27" s="13">
        <f t="shared" si="1"/>
        <v>516026</v>
      </c>
    </row>
    <row r="28" spans="1:17">
      <c r="A28" t="s">
        <v>43</v>
      </c>
      <c r="B28" s="4">
        <v>57.321390000000001</v>
      </c>
      <c r="C28" s="4">
        <v>64.773169999999993</v>
      </c>
      <c r="D28" s="2">
        <v>1.3251323609388206</v>
      </c>
      <c r="E28" s="4">
        <f t="shared" si="2"/>
        <v>43.257105244482403</v>
      </c>
      <c r="F28" s="4">
        <f t="shared" si="3"/>
        <v>21.628552622241202</v>
      </c>
      <c r="G28" s="4">
        <f t="shared" si="4"/>
        <v>1469.6191002467151</v>
      </c>
      <c r="H28" s="4">
        <v>772.20429999999999</v>
      </c>
      <c r="I28" s="5">
        <v>1035.5225359999999</v>
      </c>
      <c r="J28" s="13">
        <v>980000</v>
      </c>
      <c r="K28" s="22">
        <f t="shared" si="5"/>
        <v>1134846.1885726445</v>
      </c>
      <c r="L28" s="22">
        <f t="shared" si="0"/>
        <v>980000</v>
      </c>
      <c r="M28" s="19" t="s">
        <v>92</v>
      </c>
      <c r="N28" s="4">
        <f t="shared" si="6"/>
        <v>519.02878142673273</v>
      </c>
      <c r="O28" s="13">
        <v>537466</v>
      </c>
      <c r="P28" s="22">
        <f t="shared" si="7"/>
        <v>762774.61076250393</v>
      </c>
      <c r="Q28" s="13">
        <f t="shared" si="1"/>
        <v>537466</v>
      </c>
    </row>
    <row r="29" spans="1:17">
      <c r="A29" t="s">
        <v>44</v>
      </c>
      <c r="B29" s="4">
        <v>57.256279999999997</v>
      </c>
      <c r="C29" s="4">
        <v>65.844710000000006</v>
      </c>
      <c r="D29" s="2">
        <v>1.214710869220379</v>
      </c>
      <c r="E29" s="4">
        <f t="shared" si="2"/>
        <v>47.135727069560183</v>
      </c>
      <c r="F29" s="4">
        <f t="shared" si="3"/>
        <v>23.567863534780091</v>
      </c>
      <c r="G29" s="4">
        <f t="shared" si="4"/>
        <v>1744.979391790886</v>
      </c>
      <c r="H29" s="4">
        <v>931.97069999999997</v>
      </c>
      <c r="I29" s="5">
        <v>1261.4411789999999</v>
      </c>
      <c r="J29" s="13">
        <v>1400000</v>
      </c>
      <c r="K29" s="22">
        <f t="shared" si="5"/>
        <v>1626269.6652529263</v>
      </c>
      <c r="L29" s="22">
        <f t="shared" si="0"/>
        <v>1400000</v>
      </c>
      <c r="M29" s="19" t="s">
        <v>92</v>
      </c>
      <c r="N29" s="4">
        <f t="shared" si="6"/>
        <v>619.65949186759508</v>
      </c>
      <c r="O29" s="13">
        <v>781664</v>
      </c>
      <c r="P29" s="22">
        <f t="shared" si="7"/>
        <v>1081293.0432365655</v>
      </c>
      <c r="Q29" s="13">
        <f t="shared" si="1"/>
        <v>781664</v>
      </c>
    </row>
    <row r="30" spans="1:17">
      <c r="A30" t="s">
        <v>45</v>
      </c>
      <c r="B30" s="4">
        <v>55.30265</v>
      </c>
      <c r="C30" s="4">
        <v>69.681340000000006</v>
      </c>
      <c r="D30" s="2">
        <v>1.2298334736957186</v>
      </c>
      <c r="E30" s="4">
        <f t="shared" si="2"/>
        <v>44.967592103191365</v>
      </c>
      <c r="F30" s="4">
        <f t="shared" si="3"/>
        <v>22.483796051595682</v>
      </c>
      <c r="G30" s="4">
        <f t="shared" si="4"/>
        <v>1588.1413265243796</v>
      </c>
      <c r="H30" s="4">
        <v>756.63570000000004</v>
      </c>
      <c r="I30" s="5">
        <v>2316.0155599999998</v>
      </c>
      <c r="J30" s="13">
        <v>2430000</v>
      </c>
      <c r="K30" s="22">
        <f t="shared" si="5"/>
        <v>1201644.4242937025</v>
      </c>
      <c r="L30" s="22">
        <f t="shared" si="0"/>
        <v>1201644.4242937025</v>
      </c>
      <c r="M30" s="19" t="s">
        <v>92</v>
      </c>
      <c r="N30" s="4">
        <f t="shared" si="6"/>
        <v>709.14808534360634</v>
      </c>
      <c r="O30" s="13">
        <v>1642398</v>
      </c>
      <c r="P30" s="22">
        <f t="shared" si="7"/>
        <v>1126227.3809598188</v>
      </c>
      <c r="Q30" s="13">
        <f t="shared" si="1"/>
        <v>1126227.3809598188</v>
      </c>
    </row>
    <row r="31" spans="1:17">
      <c r="A31" t="s">
        <v>46</v>
      </c>
      <c r="B31" s="4">
        <v>60.804580000000001</v>
      </c>
      <c r="C31" s="4">
        <v>70.533320000000003</v>
      </c>
      <c r="D31" s="2">
        <v>1.3726075001048517</v>
      </c>
      <c r="E31" s="4">
        <f t="shared" si="2"/>
        <v>44.298592274452254</v>
      </c>
      <c r="F31" s="4">
        <f t="shared" si="3"/>
        <v>22.149296137226127</v>
      </c>
      <c r="G31" s="4">
        <f t="shared" si="4"/>
        <v>1541.2380848619794</v>
      </c>
      <c r="H31" s="4">
        <v>455.81509999999997</v>
      </c>
      <c r="I31" s="5">
        <v>1115.688349</v>
      </c>
      <c r="J31" s="13">
        <v>850000</v>
      </c>
      <c r="K31" s="22">
        <f t="shared" si="5"/>
        <v>702519.59177517158</v>
      </c>
      <c r="L31" s="22">
        <f t="shared" si="0"/>
        <v>702519.59177517158</v>
      </c>
      <c r="M31" s="19" t="s">
        <v>92</v>
      </c>
      <c r="N31" s="4">
        <f t="shared" si="6"/>
        <v>568.95099834012876</v>
      </c>
      <c r="O31" s="13">
        <v>634772</v>
      </c>
      <c r="P31" s="22">
        <f t="shared" si="7"/>
        <v>876888.94706205127</v>
      </c>
      <c r="Q31" s="13">
        <f t="shared" si="1"/>
        <v>634772</v>
      </c>
    </row>
    <row r="32" spans="1:17">
      <c r="A32" t="s">
        <v>47</v>
      </c>
      <c r="B32" s="4">
        <v>56.712069999999997</v>
      </c>
      <c r="C32" s="4">
        <v>65.218879999999999</v>
      </c>
      <c r="D32" s="2">
        <v>1.3418186143651714</v>
      </c>
      <c r="E32" s="4">
        <f t="shared" si="2"/>
        <v>42.265079193905116</v>
      </c>
      <c r="F32" s="4">
        <f t="shared" si="3"/>
        <v>21.132539596952558</v>
      </c>
      <c r="G32" s="4">
        <f t="shared" si="4"/>
        <v>1402.9857356014136</v>
      </c>
      <c r="H32" s="4">
        <v>1342.165</v>
      </c>
      <c r="I32" s="5">
        <v>512.39265599999999</v>
      </c>
      <c r="J32" s="13">
        <v>1095000</v>
      </c>
      <c r="K32" s="22">
        <f t="shared" si="5"/>
        <v>1883038.3498234712</v>
      </c>
      <c r="L32" s="22">
        <f t="shared" si="0"/>
        <v>1095000</v>
      </c>
      <c r="M32" s="19" t="s">
        <v>92</v>
      </c>
      <c r="N32" s="4">
        <f t="shared" si="6"/>
        <v>1056.4398097071867</v>
      </c>
      <c r="O32" s="13">
        <v>541312</v>
      </c>
      <c r="P32" s="22">
        <f t="shared" si="7"/>
        <v>1482169.9835406546</v>
      </c>
      <c r="Q32" s="13">
        <f t="shared" si="1"/>
        <v>541312</v>
      </c>
    </row>
    <row r="33" spans="1:17">
      <c r="A33" t="s">
        <v>65</v>
      </c>
      <c r="B33" s="4">
        <v>51.868699999999997</v>
      </c>
      <c r="C33" s="4">
        <v>66.910629999999998</v>
      </c>
      <c r="D33" s="2">
        <v>1.2505759301052708</v>
      </c>
      <c r="E33" s="4">
        <f t="shared" si="2"/>
        <v>41.475850247360668</v>
      </c>
      <c r="F33" s="4">
        <f t="shared" si="3"/>
        <v>20.737925123680334</v>
      </c>
      <c r="G33" s="4">
        <f t="shared" si="4"/>
        <v>1351.0781697400892</v>
      </c>
      <c r="H33" s="4">
        <v>1475.768</v>
      </c>
      <c r="I33" s="5">
        <v>8683.2032749999998</v>
      </c>
      <c r="J33" s="13">
        <v>17200000</v>
      </c>
      <c r="K33" s="22">
        <f t="shared" si="5"/>
        <v>1993877.928400992</v>
      </c>
      <c r="L33" s="22">
        <f t="shared" si="0"/>
        <v>1993877.928400992</v>
      </c>
      <c r="M33" s="19" t="s">
        <v>92</v>
      </c>
      <c r="N33" s="4">
        <f t="shared" si="6"/>
        <v>908.02319723420271</v>
      </c>
      <c r="O33" s="13">
        <f>3845734+647143+223496+331771+1100827+943220+792359</f>
        <v>7884550</v>
      </c>
      <c r="P33" s="22">
        <f t="shared" si="7"/>
        <v>1226810.3194007305</v>
      </c>
      <c r="Q33" s="13">
        <f t="shared" si="1"/>
        <v>1226810.3194007305</v>
      </c>
    </row>
    <row r="34" spans="1:17">
      <c r="A34" t="s">
        <v>66</v>
      </c>
      <c r="B34" s="4">
        <v>59.517719999999997</v>
      </c>
      <c r="C34" s="4">
        <v>65.469489999999993</v>
      </c>
      <c r="D34" s="2">
        <v>1.2823721019197429</v>
      </c>
      <c r="E34" s="4">
        <f t="shared" si="2"/>
        <v>46.412207432538878</v>
      </c>
      <c r="F34" s="4">
        <f t="shared" si="3"/>
        <v>23.206103716269439</v>
      </c>
      <c r="G34" s="4">
        <f t="shared" si="4"/>
        <v>1691.8206850142046</v>
      </c>
      <c r="H34" s="4">
        <v>584.56590000000006</v>
      </c>
      <c r="I34" s="5">
        <v>834.88804500000003</v>
      </c>
      <c r="J34" s="13">
        <v>810000</v>
      </c>
      <c r="K34" s="22">
        <f t="shared" si="5"/>
        <v>988980.68137394509</v>
      </c>
      <c r="L34" s="22">
        <f t="shared" ref="L34:L53" si="8">MIN(J34,K34)</f>
        <v>810000</v>
      </c>
      <c r="M34" s="19" t="s">
        <v>92</v>
      </c>
      <c r="N34" s="4">
        <f t="shared" si="6"/>
        <v>528.7128048407975</v>
      </c>
      <c r="O34" s="13">
        <v>441416</v>
      </c>
      <c r="P34" s="22">
        <f t="shared" si="7"/>
        <v>894487.25966153957</v>
      </c>
      <c r="Q34" s="13">
        <f t="shared" ref="Q34:Q53" si="9">MIN(P34,O34)</f>
        <v>441416</v>
      </c>
    </row>
    <row r="35" spans="1:17">
      <c r="A35" t="s">
        <v>48</v>
      </c>
      <c r="B35" s="4">
        <v>45.740690000000001</v>
      </c>
      <c r="C35" s="4">
        <v>60.835120000000003</v>
      </c>
      <c r="D35" s="2">
        <v>1.3238129951233164</v>
      </c>
      <c r="E35" s="4">
        <f t="shared" ref="E35:E53" si="10">B35/D35</f>
        <v>34.552229180783307</v>
      </c>
      <c r="F35" s="4">
        <f t="shared" ref="F35:F53" si="11">E35*0.5</f>
        <v>17.276114590391654</v>
      </c>
      <c r="G35" s="4">
        <f t="shared" ref="G35:G53" si="12">PI()*F35^2</f>
        <v>937.65273494525252</v>
      </c>
      <c r="H35" s="4">
        <v>708.81449999999995</v>
      </c>
      <c r="I35" s="5">
        <v>1173.7604550000001</v>
      </c>
      <c r="J35" s="13">
        <v>1230000</v>
      </c>
      <c r="K35" s="22">
        <f t="shared" ref="K35:K53" si="13">G35*H35</f>
        <v>664621.85449385166</v>
      </c>
      <c r="L35" s="22">
        <f t="shared" si="8"/>
        <v>664621.85449385166</v>
      </c>
      <c r="M35" s="19" t="s">
        <v>92</v>
      </c>
      <c r="N35" s="4">
        <f t="shared" ref="N35:N53" si="14">O35/I35</f>
        <v>697.01274780125379</v>
      </c>
      <c r="O35" s="13">
        <v>818126</v>
      </c>
      <c r="P35" s="22">
        <f t="shared" ref="P35:P53" si="15">G35*N35</f>
        <v>653555.90926755115</v>
      </c>
      <c r="Q35" s="13">
        <f t="shared" si="9"/>
        <v>653555.90926755115</v>
      </c>
    </row>
    <row r="36" spans="1:17">
      <c r="A36" t="s">
        <v>67</v>
      </c>
      <c r="B36" s="4">
        <v>52.865879999999997</v>
      </c>
      <c r="C36" s="4">
        <v>66.611009999999993</v>
      </c>
      <c r="D36" s="2">
        <v>1.2151792961844514</v>
      </c>
      <c r="E36" s="4">
        <f t="shared" si="10"/>
        <v>43.504592421870484</v>
      </c>
      <c r="F36" s="4">
        <f t="shared" si="11"/>
        <v>21.752296210935242</v>
      </c>
      <c r="G36" s="4">
        <f t="shared" si="12"/>
        <v>1486.4834897872631</v>
      </c>
      <c r="H36" s="4">
        <v>942.2731</v>
      </c>
      <c r="I36" s="5">
        <v>4660.7165379999997</v>
      </c>
      <c r="J36" s="13">
        <v>5125000</v>
      </c>
      <c r="K36" s="22">
        <f t="shared" si="13"/>
        <v>1400673.4060206627</v>
      </c>
      <c r="L36" s="22">
        <f t="shared" si="8"/>
        <v>1400673.4060206627</v>
      </c>
      <c r="M36" s="19" t="s">
        <v>92</v>
      </c>
      <c r="N36" s="4">
        <f t="shared" si="14"/>
        <v>547.27078534034638</v>
      </c>
      <c r="O36" s="13">
        <f>2237898+312776</f>
        <v>2550674</v>
      </c>
      <c r="P36" s="22">
        <f t="shared" si="15"/>
        <v>813508.98685133422</v>
      </c>
      <c r="Q36" s="13">
        <f t="shared" si="9"/>
        <v>813508.98685133422</v>
      </c>
    </row>
    <row r="37" spans="1:17">
      <c r="A37" t="s">
        <v>49</v>
      </c>
      <c r="B37" s="4">
        <v>52.44265</v>
      </c>
      <c r="C37" s="4">
        <v>67.126589999999993</v>
      </c>
      <c r="D37" s="2">
        <v>1.3591592167670952</v>
      </c>
      <c r="E37" s="4">
        <f t="shared" si="10"/>
        <v>38.584625960702695</v>
      </c>
      <c r="F37" s="4">
        <f t="shared" si="11"/>
        <v>19.292312980351348</v>
      </c>
      <c r="G37" s="4">
        <f t="shared" si="12"/>
        <v>1169.2798630732141</v>
      </c>
      <c r="H37" s="4">
        <v>990.88170000000002</v>
      </c>
      <c r="I37" s="5">
        <v>2069.418674</v>
      </c>
      <c r="J37" s="13">
        <v>2900000</v>
      </c>
      <c r="K37" s="22">
        <f t="shared" si="13"/>
        <v>1158618.0184977537</v>
      </c>
      <c r="L37" s="22">
        <f t="shared" si="8"/>
        <v>1158618.0184977537</v>
      </c>
      <c r="M37" s="19" t="s">
        <v>92</v>
      </c>
      <c r="N37" s="4">
        <f t="shared" si="14"/>
        <v>677.88602549355369</v>
      </c>
      <c r="O37" s="13">
        <v>1402830</v>
      </c>
      <c r="P37" s="22">
        <f t="shared" si="15"/>
        <v>792638.47906834772</v>
      </c>
      <c r="Q37" s="13">
        <f t="shared" si="9"/>
        <v>792638.47906834772</v>
      </c>
    </row>
    <row r="38" spans="1:17">
      <c r="A38" t="s">
        <v>50</v>
      </c>
      <c r="B38" s="4">
        <v>58.551130000000001</v>
      </c>
      <c r="C38" s="4">
        <v>64.406239999999997</v>
      </c>
      <c r="D38" s="2">
        <v>1.3100772449532365</v>
      </c>
      <c r="E38" s="4">
        <f t="shared" si="10"/>
        <v>44.692883740675917</v>
      </c>
      <c r="F38" s="4">
        <f t="shared" si="11"/>
        <v>22.346441870337959</v>
      </c>
      <c r="G38" s="4">
        <f t="shared" si="12"/>
        <v>1568.7965908041676</v>
      </c>
      <c r="H38" s="4">
        <v>603.0711</v>
      </c>
      <c r="I38" s="5">
        <v>2207.6965749999999</v>
      </c>
      <c r="J38" s="13">
        <v>1765000</v>
      </c>
      <c r="K38" s="22">
        <f t="shared" si="13"/>
        <v>946095.88569251925</v>
      </c>
      <c r="L38" s="22">
        <f t="shared" si="8"/>
        <v>946095.88569251925</v>
      </c>
      <c r="M38" s="19" t="s">
        <v>92</v>
      </c>
      <c r="N38" s="4">
        <f t="shared" si="14"/>
        <v>470.46365508810919</v>
      </c>
      <c r="O38" s="13">
        <v>1038641</v>
      </c>
      <c r="P38" s="22">
        <f t="shared" si="15"/>
        <v>738061.77819949354</v>
      </c>
      <c r="Q38" s="13">
        <f t="shared" si="9"/>
        <v>738061.77819949354</v>
      </c>
    </row>
    <row r="39" spans="1:17">
      <c r="A39" t="s">
        <v>51</v>
      </c>
      <c r="B39" s="4">
        <v>53.087949999999999</v>
      </c>
      <c r="C39" s="4">
        <v>67.952579999999998</v>
      </c>
      <c r="D39" s="2">
        <v>1.39177069888646</v>
      </c>
      <c r="E39" s="4">
        <f t="shared" si="10"/>
        <v>38.144178521990057</v>
      </c>
      <c r="F39" s="4">
        <f t="shared" si="11"/>
        <v>19.072089260995028</v>
      </c>
      <c r="G39" s="4">
        <f t="shared" si="12"/>
        <v>1142.7373278922837</v>
      </c>
      <c r="H39" s="4">
        <v>1192.0440000000001</v>
      </c>
      <c r="I39" s="5">
        <v>1227.5103140000001</v>
      </c>
      <c r="J39" s="13">
        <v>1590000</v>
      </c>
      <c r="K39" s="22">
        <f t="shared" si="13"/>
        <v>1362193.1752900295</v>
      </c>
      <c r="L39" s="22">
        <f t="shared" si="8"/>
        <v>1362193.1752900295</v>
      </c>
      <c r="M39" s="19" t="s">
        <v>92</v>
      </c>
      <c r="N39" s="4">
        <f t="shared" si="14"/>
        <v>714.74674387135121</v>
      </c>
      <c r="O39" s="13">
        <v>877359</v>
      </c>
      <c r="P39" s="22">
        <f t="shared" si="15"/>
        <v>816767.7842112584</v>
      </c>
      <c r="Q39" s="13">
        <f t="shared" si="9"/>
        <v>816767.7842112584</v>
      </c>
    </row>
    <row r="40" spans="1:17">
      <c r="A40" t="s">
        <v>52</v>
      </c>
      <c r="B40" s="4">
        <v>62.482399999999998</v>
      </c>
      <c r="C40" s="4">
        <v>71.229929999999996</v>
      </c>
      <c r="D40" s="2">
        <v>1.2391400975948115</v>
      </c>
      <c r="E40" s="4">
        <f t="shared" si="10"/>
        <v>50.423999773132373</v>
      </c>
      <c r="F40" s="4">
        <f t="shared" si="11"/>
        <v>25.211999886566186</v>
      </c>
      <c r="G40" s="4">
        <f t="shared" si="12"/>
        <v>1996.937468392656</v>
      </c>
      <c r="H40" s="4">
        <v>595.13840000000005</v>
      </c>
      <c r="I40" s="5">
        <v>1304.4012620000001</v>
      </c>
      <c r="J40" s="13">
        <v>1210000</v>
      </c>
      <c r="K40" s="22">
        <f t="shared" si="13"/>
        <v>1188454.169839256</v>
      </c>
      <c r="L40" s="22">
        <f t="shared" si="8"/>
        <v>1188454.169839256</v>
      </c>
      <c r="M40" s="19" t="s">
        <v>92</v>
      </c>
      <c r="N40" s="4">
        <f t="shared" si="14"/>
        <v>482.44740198664414</v>
      </c>
      <c r="O40" s="13">
        <v>629305</v>
      </c>
      <c r="P40" s="22">
        <f t="shared" si="15"/>
        <v>963417.29355582315</v>
      </c>
      <c r="Q40" s="13">
        <f t="shared" si="9"/>
        <v>629305</v>
      </c>
    </row>
    <row r="41" spans="1:17">
      <c r="A41" t="s">
        <v>53</v>
      </c>
      <c r="B41" s="4">
        <v>61.628950000000003</v>
      </c>
      <c r="C41" s="4">
        <v>70.257009999999994</v>
      </c>
      <c r="D41" s="2">
        <v>1.2413603862790981</v>
      </c>
      <c r="E41" s="4">
        <f t="shared" si="10"/>
        <v>49.646299882928453</v>
      </c>
      <c r="F41" s="4">
        <f t="shared" si="11"/>
        <v>24.823149941464226</v>
      </c>
      <c r="G41" s="4">
        <f t="shared" si="12"/>
        <v>1935.8141225328793</v>
      </c>
      <c r="H41" s="4">
        <v>484.15989999999999</v>
      </c>
      <c r="I41" s="5">
        <v>827.79291000000001</v>
      </c>
      <c r="J41" s="13">
        <v>790000</v>
      </c>
      <c r="K41" s="22">
        <f t="shared" si="13"/>
        <v>937243.57198410656</v>
      </c>
      <c r="L41" s="22">
        <f t="shared" si="8"/>
        <v>790000</v>
      </c>
      <c r="M41" s="19" t="s">
        <v>92</v>
      </c>
      <c r="N41" s="4">
        <f t="shared" si="14"/>
        <v>742.45018600123069</v>
      </c>
      <c r="O41" s="13">
        <v>614595</v>
      </c>
      <c r="P41" s="22">
        <f t="shared" si="15"/>
        <v>1437245.5553383455</v>
      </c>
      <c r="Q41" s="13">
        <f t="shared" si="9"/>
        <v>614595</v>
      </c>
    </row>
    <row r="42" spans="1:17">
      <c r="A42" t="s">
        <v>82</v>
      </c>
      <c r="B42" s="4">
        <v>62.089397559255026</v>
      </c>
      <c r="C42" s="4">
        <v>65.814761412810327</v>
      </c>
      <c r="D42" s="2">
        <v>1.2673100528512509</v>
      </c>
      <c r="E42" s="4">
        <f t="shared" si="10"/>
        <v>48.993060079941387</v>
      </c>
      <c r="F42" s="4">
        <f t="shared" si="11"/>
        <v>24.496530039970693</v>
      </c>
      <c r="G42" s="4">
        <f t="shared" si="12"/>
        <v>1885.206869298125</v>
      </c>
      <c r="H42" s="4">
        <v>723.26126225186908</v>
      </c>
      <c r="I42" s="5">
        <v>764.44365200000004</v>
      </c>
      <c r="J42" s="13">
        <v>665000</v>
      </c>
      <c r="K42" s="22">
        <f t="shared" si="13"/>
        <v>1363497.0998944563</v>
      </c>
      <c r="L42" s="22">
        <f t="shared" si="8"/>
        <v>665000</v>
      </c>
      <c r="M42" s="19" t="s">
        <v>92</v>
      </c>
      <c r="N42" s="4">
        <f t="shared" si="14"/>
        <v>595.44480330121178</v>
      </c>
      <c r="O42" s="13">
        <v>455184</v>
      </c>
      <c r="P42" s="22">
        <f t="shared" si="15"/>
        <v>1122536.6334713153</v>
      </c>
      <c r="Q42" s="13">
        <f t="shared" si="9"/>
        <v>455184</v>
      </c>
    </row>
    <row r="43" spans="1:17">
      <c r="A43" t="s">
        <v>54</v>
      </c>
      <c r="B43" s="4">
        <v>53.297409999999999</v>
      </c>
      <c r="C43" s="4">
        <v>67.687709999999996</v>
      </c>
      <c r="D43" s="2">
        <v>1.408746139914572</v>
      </c>
      <c r="E43" s="4">
        <f t="shared" si="10"/>
        <v>37.833225227670908</v>
      </c>
      <c r="F43" s="4">
        <f t="shared" si="11"/>
        <v>18.916612613835454</v>
      </c>
      <c r="G43" s="4">
        <f t="shared" si="12"/>
        <v>1124.1819632812299</v>
      </c>
      <c r="H43" s="4">
        <v>1367.6389999999999</v>
      </c>
      <c r="I43" s="16">
        <v>955.78454299999999</v>
      </c>
      <c r="J43" s="13">
        <v>1470000</v>
      </c>
      <c r="K43" s="22">
        <f t="shared" si="13"/>
        <v>1537475.0960799777</v>
      </c>
      <c r="L43" s="22">
        <f t="shared" si="8"/>
        <v>1470000</v>
      </c>
      <c r="M43" s="19" t="s">
        <v>92</v>
      </c>
      <c r="N43" s="4">
        <f t="shared" si="14"/>
        <v>612.25827963614597</v>
      </c>
      <c r="O43" s="13">
        <v>585187</v>
      </c>
      <c r="P43" s="22">
        <f t="shared" si="15"/>
        <v>688289.71483655076</v>
      </c>
      <c r="Q43" s="13">
        <f t="shared" si="9"/>
        <v>585187</v>
      </c>
    </row>
    <row r="44" spans="1:17">
      <c r="A44" t="s">
        <v>55</v>
      </c>
      <c r="B44" s="4">
        <v>52.234180000000002</v>
      </c>
      <c r="C44" s="4">
        <v>63.725700000000003</v>
      </c>
      <c r="D44" s="2">
        <v>1.4286295458510965</v>
      </c>
      <c r="E44" s="4">
        <f t="shared" si="10"/>
        <v>36.562438563372872</v>
      </c>
      <c r="F44" s="4">
        <f t="shared" si="11"/>
        <v>18.281219281686436</v>
      </c>
      <c r="G44" s="4">
        <f t="shared" si="12"/>
        <v>1049.9296218281347</v>
      </c>
      <c r="H44" s="4">
        <v>899.27589999999998</v>
      </c>
      <c r="I44" s="5">
        <v>597.56597799999997</v>
      </c>
      <c r="J44" s="13">
        <v>920000</v>
      </c>
      <c r="K44" s="22">
        <f t="shared" si="13"/>
        <v>944176.40560615552</v>
      </c>
      <c r="L44" s="22">
        <f t="shared" si="8"/>
        <v>920000</v>
      </c>
      <c r="M44" s="19" t="s">
        <v>92</v>
      </c>
      <c r="N44" s="4">
        <f t="shared" si="14"/>
        <v>1022.9581711561229</v>
      </c>
      <c r="O44" s="13">
        <v>611285</v>
      </c>
      <c r="P44" s="22">
        <f t="shared" si="15"/>
        <v>1074034.0857879485</v>
      </c>
      <c r="Q44" s="13">
        <f t="shared" si="9"/>
        <v>611285</v>
      </c>
    </row>
    <row r="45" spans="1:17">
      <c r="A45" t="s">
        <v>68</v>
      </c>
      <c r="B45" s="4">
        <v>59.60624</v>
      </c>
      <c r="C45" s="4">
        <v>71.52749</v>
      </c>
      <c r="D45" s="2">
        <v>1.3773596768934178</v>
      </c>
      <c r="E45" s="4">
        <f t="shared" si="10"/>
        <v>43.275726014020975</v>
      </c>
      <c r="F45" s="4">
        <f t="shared" si="11"/>
        <v>21.637863007010488</v>
      </c>
      <c r="G45" s="4">
        <f t="shared" si="12"/>
        <v>1470.8846185186283</v>
      </c>
      <c r="H45" s="4">
        <v>935.55520000000001</v>
      </c>
      <c r="I45" s="5">
        <v>1055.5735119999999</v>
      </c>
      <c r="J45" s="13">
        <v>1260000</v>
      </c>
      <c r="K45" s="22">
        <f t="shared" si="13"/>
        <v>1376093.753455119</v>
      </c>
      <c r="L45" s="22">
        <f t="shared" si="8"/>
        <v>1260000</v>
      </c>
      <c r="M45" s="19" t="s">
        <v>92</v>
      </c>
      <c r="N45" s="4">
        <f t="shared" si="14"/>
        <v>601.99786445569703</v>
      </c>
      <c r="O45" s="13">
        <v>635453</v>
      </c>
      <c r="P45" s="22">
        <f t="shared" si="15"/>
        <v>885469.39920894685</v>
      </c>
      <c r="Q45" s="13">
        <f t="shared" si="9"/>
        <v>635453</v>
      </c>
    </row>
    <row r="46" spans="1:17">
      <c r="A46" t="s">
        <v>69</v>
      </c>
      <c r="B46" s="4">
        <v>53.169829999999997</v>
      </c>
      <c r="C46" s="4">
        <v>70.715869999999995</v>
      </c>
      <c r="D46" s="2">
        <v>1.4004144662812563</v>
      </c>
      <c r="E46" s="4">
        <f t="shared" si="10"/>
        <v>37.967209908356857</v>
      </c>
      <c r="F46" s="4">
        <f t="shared" si="11"/>
        <v>18.983604954178428</v>
      </c>
      <c r="G46" s="4">
        <f t="shared" si="12"/>
        <v>1132.1585432889369</v>
      </c>
      <c r="H46" s="4">
        <v>1412.3209999999999</v>
      </c>
      <c r="I46" s="16">
        <v>2026.112024</v>
      </c>
      <c r="J46" s="13">
        <v>2780000</v>
      </c>
      <c r="K46" s="22">
        <f t="shared" si="13"/>
        <v>1598971.2860163746</v>
      </c>
      <c r="L46" s="22">
        <f t="shared" si="8"/>
        <v>1598971.2860163746</v>
      </c>
      <c r="M46" s="19" t="s">
        <v>92</v>
      </c>
      <c r="N46" s="4">
        <f t="shared" si="14"/>
        <v>533.91026122255516</v>
      </c>
      <c r="O46" s="13">
        <v>1081762</v>
      </c>
      <c r="P46" s="22">
        <f t="shared" si="15"/>
        <v>604471.06359274383</v>
      </c>
      <c r="Q46" s="13">
        <f t="shared" si="9"/>
        <v>604471.06359274383</v>
      </c>
    </row>
    <row r="47" spans="1:17">
      <c r="A47" t="s">
        <v>70</v>
      </c>
      <c r="B47" s="4">
        <v>53.325209999999998</v>
      </c>
      <c r="C47" s="4">
        <v>72.522279999999995</v>
      </c>
      <c r="D47" s="2">
        <v>1.4605972713753022</v>
      </c>
      <c r="E47" s="4">
        <f t="shared" si="10"/>
        <v>36.509180898160139</v>
      </c>
      <c r="F47" s="4">
        <f t="shared" si="11"/>
        <v>18.254590449080069</v>
      </c>
      <c r="G47" s="4">
        <f t="shared" si="12"/>
        <v>1046.8731476069825</v>
      </c>
      <c r="H47" s="4">
        <v>1233.7170000000001</v>
      </c>
      <c r="I47" s="5">
        <v>1107.747057</v>
      </c>
      <c r="J47" s="13">
        <v>4090000</v>
      </c>
      <c r="K47" s="22">
        <f t="shared" si="13"/>
        <v>1291545.1990462437</v>
      </c>
      <c r="L47" s="22">
        <f t="shared" si="8"/>
        <v>1291545.1990462437</v>
      </c>
      <c r="M47" s="19" t="s">
        <v>92</v>
      </c>
      <c r="N47" s="4">
        <f t="shared" si="14"/>
        <v>1849.2479732221034</v>
      </c>
      <c r="O47" s="13">
        <f>1048438+1000061</f>
        <v>2048499</v>
      </c>
      <c r="P47" s="22">
        <f t="shared" si="15"/>
        <v>1935928.0464328562</v>
      </c>
      <c r="Q47" s="13">
        <f t="shared" si="9"/>
        <v>1935928.0464328562</v>
      </c>
    </row>
    <row r="48" spans="1:17" ht="16">
      <c r="A48" t="s">
        <v>72</v>
      </c>
      <c r="B48" s="4">
        <v>50.663890000000002</v>
      </c>
      <c r="C48" s="4">
        <v>67.889619999999994</v>
      </c>
      <c r="D48" s="2">
        <v>1.4605972713753022</v>
      </c>
      <c r="E48" s="4">
        <f t="shared" si="10"/>
        <v>34.687104373606523</v>
      </c>
      <c r="F48" s="4">
        <f t="shared" si="11"/>
        <v>17.343552186803262</v>
      </c>
      <c r="G48" s="4">
        <f t="shared" si="12"/>
        <v>944.98730800553381</v>
      </c>
      <c r="H48" s="4">
        <v>1658.259</v>
      </c>
      <c r="I48" s="5">
        <v>673.68371100000002</v>
      </c>
      <c r="J48" s="13">
        <v>1675000</v>
      </c>
      <c r="K48" s="22">
        <f t="shared" si="13"/>
        <v>1567033.7083859486</v>
      </c>
      <c r="L48" s="22">
        <f t="shared" si="8"/>
        <v>1567033.7083859486</v>
      </c>
      <c r="M48" s="19" t="s">
        <v>92</v>
      </c>
      <c r="N48" s="4">
        <f t="shared" si="14"/>
        <v>1548.2013042170763</v>
      </c>
      <c r="O48" s="13">
        <v>1042998</v>
      </c>
      <c r="P48" s="22">
        <f t="shared" si="15"/>
        <v>1463030.5827227514</v>
      </c>
      <c r="Q48" s="13">
        <f t="shared" si="9"/>
        <v>1042998</v>
      </c>
    </row>
    <row r="49" spans="1:17">
      <c r="A49" t="s">
        <v>56</v>
      </c>
      <c r="B49" s="4">
        <v>58.18665</v>
      </c>
      <c r="C49" s="4">
        <v>73.897040000000004</v>
      </c>
      <c r="D49" s="2">
        <v>1.4023948619686526</v>
      </c>
      <c r="E49" s="4">
        <f t="shared" si="10"/>
        <v>41.4909178420112</v>
      </c>
      <c r="F49" s="4">
        <f t="shared" si="11"/>
        <v>20.7454589210056</v>
      </c>
      <c r="G49" s="4">
        <f t="shared" si="12"/>
        <v>1352.0600035483496</v>
      </c>
      <c r="H49" s="4">
        <v>856.61540000000002</v>
      </c>
      <c r="I49" s="5">
        <v>2469.8811369999999</v>
      </c>
      <c r="J49" s="13">
        <v>2740000</v>
      </c>
      <c r="K49" s="22">
        <f t="shared" si="13"/>
        <v>1158195.420763571</v>
      </c>
      <c r="L49" s="22">
        <f t="shared" si="8"/>
        <v>1158195.420763571</v>
      </c>
      <c r="M49" s="19" t="s">
        <v>92</v>
      </c>
      <c r="N49" s="4">
        <f t="shared" si="14"/>
        <v>599.91348482451292</v>
      </c>
      <c r="O49" s="13">
        <v>1481715</v>
      </c>
      <c r="P49" s="22">
        <f t="shared" si="15"/>
        <v>811119.02842053375</v>
      </c>
      <c r="Q49" s="13">
        <f t="shared" si="9"/>
        <v>811119.02842053375</v>
      </c>
    </row>
    <row r="50" spans="1:17">
      <c r="A50" t="s">
        <v>76</v>
      </c>
      <c r="B50" s="4">
        <v>59.829090000000001</v>
      </c>
      <c r="C50" s="4">
        <v>81.367570000000001</v>
      </c>
      <c r="D50" s="2">
        <v>1.2685017433180505</v>
      </c>
      <c r="E50" s="4">
        <f t="shared" si="10"/>
        <v>47.165161825874684</v>
      </c>
      <c r="F50" s="4">
        <f t="shared" si="11"/>
        <v>23.582580912937342</v>
      </c>
      <c r="G50" s="4">
        <f t="shared" si="12"/>
        <v>1747.1594400750878</v>
      </c>
      <c r="H50" s="4">
        <v>1147.902</v>
      </c>
      <c r="I50" s="16">
        <v>2890.6684540000001</v>
      </c>
      <c r="J50" s="13">
        <v>4965000</v>
      </c>
      <c r="K50" s="22">
        <f t="shared" si="13"/>
        <v>2005567.8155810735</v>
      </c>
      <c r="L50" s="22">
        <f t="shared" si="8"/>
        <v>2005567.8155810735</v>
      </c>
      <c r="M50" s="19" t="s">
        <v>92</v>
      </c>
      <c r="N50" s="4">
        <f t="shared" si="14"/>
        <v>514.0451157391708</v>
      </c>
      <c r="O50" s="13">
        <f>845720+640214</f>
        <v>1485934</v>
      </c>
      <c r="P50" s="22">
        <f t="shared" si="15"/>
        <v>898118.77658818336</v>
      </c>
      <c r="Q50" s="13">
        <f t="shared" si="9"/>
        <v>898118.77658818336</v>
      </c>
    </row>
    <row r="51" spans="1:17">
      <c r="A51" t="s">
        <v>57</v>
      </c>
      <c r="B51" s="4">
        <v>56.502479999999998</v>
      </c>
      <c r="C51" s="4">
        <v>66.672929999999994</v>
      </c>
      <c r="D51" s="2">
        <v>1.3553298397239786</v>
      </c>
      <c r="E51" s="4">
        <f t="shared" si="10"/>
        <v>41.689099098937483</v>
      </c>
      <c r="F51" s="4">
        <f t="shared" si="11"/>
        <v>20.844549549468741</v>
      </c>
      <c r="G51" s="4">
        <f t="shared" si="12"/>
        <v>1365.0070726027716</v>
      </c>
      <c r="H51" s="4">
        <v>699.06600000000003</v>
      </c>
      <c r="I51" s="5">
        <v>2146.9741009999998</v>
      </c>
      <c r="J51" s="13">
        <v>2055000</v>
      </c>
      <c r="K51" s="22">
        <f t="shared" si="13"/>
        <v>954230.03421612922</v>
      </c>
      <c r="L51" s="22">
        <f t="shared" si="8"/>
        <v>954230.03421612922</v>
      </c>
      <c r="M51" s="19" t="s">
        <v>92</v>
      </c>
      <c r="N51" s="4">
        <f t="shared" si="14"/>
        <v>568.5308450770176</v>
      </c>
      <c r="O51" s="13">
        <v>1220621</v>
      </c>
      <c r="P51" s="22">
        <f t="shared" si="15"/>
        <v>776048.6245229597</v>
      </c>
      <c r="Q51" s="13">
        <f t="shared" si="9"/>
        <v>776048.6245229597</v>
      </c>
    </row>
    <row r="52" spans="1:17">
      <c r="A52" t="s">
        <v>71</v>
      </c>
      <c r="B52" s="4">
        <v>47.580840000000002</v>
      </c>
      <c r="C52" s="4">
        <v>59.951860000000003</v>
      </c>
      <c r="D52" s="3">
        <v>1.29</v>
      </c>
      <c r="E52" s="4">
        <f t="shared" si="10"/>
        <v>36.884372093023259</v>
      </c>
      <c r="F52" s="4">
        <f t="shared" si="11"/>
        <v>18.44218604651163</v>
      </c>
      <c r="G52" s="4">
        <f t="shared" si="12"/>
        <v>1068.5003543300816</v>
      </c>
      <c r="H52" s="4">
        <v>576.27189999999996</v>
      </c>
      <c r="I52" s="5">
        <v>2077.87444</v>
      </c>
      <c r="J52" s="13">
        <v>2000000</v>
      </c>
      <c r="K52" s="22">
        <f t="shared" si="13"/>
        <v>615746.72934046923</v>
      </c>
      <c r="L52" s="22">
        <f t="shared" si="8"/>
        <v>615746.72934046923</v>
      </c>
      <c r="M52" s="19" t="s">
        <v>92</v>
      </c>
      <c r="N52" s="4">
        <f t="shared" si="14"/>
        <v>501.91290672982143</v>
      </c>
      <c r="O52" s="13">
        <v>1042912</v>
      </c>
      <c r="P52" s="22">
        <f t="shared" si="15"/>
        <v>536294.1186836554</v>
      </c>
      <c r="Q52" s="13">
        <f t="shared" si="9"/>
        <v>536294.1186836554</v>
      </c>
    </row>
    <row r="53" spans="1:17">
      <c r="A53" t="s">
        <v>59</v>
      </c>
      <c r="B53" s="4">
        <v>49.556579999999997</v>
      </c>
      <c r="C53" s="4">
        <v>67.396950000000004</v>
      </c>
      <c r="D53" s="2">
        <v>1.3045455771997856</v>
      </c>
      <c r="E53" s="4">
        <f t="shared" si="10"/>
        <v>37.987618728027485</v>
      </c>
      <c r="F53" s="4">
        <f t="shared" si="11"/>
        <v>18.993809364013742</v>
      </c>
      <c r="G53" s="4">
        <f t="shared" si="12"/>
        <v>1133.3760269958821</v>
      </c>
      <c r="H53" s="4">
        <v>1265.0340000000001</v>
      </c>
      <c r="I53" s="16">
        <v>2996.0093400000001</v>
      </c>
      <c r="J53" s="13">
        <v>4030000</v>
      </c>
      <c r="K53" s="22">
        <f t="shared" si="13"/>
        <v>1433759.2089347087</v>
      </c>
      <c r="L53" s="22">
        <f t="shared" si="8"/>
        <v>1433759.2089347087</v>
      </c>
      <c r="M53" s="19" t="s">
        <v>92</v>
      </c>
      <c r="N53" s="4">
        <f t="shared" si="14"/>
        <v>760.55704152110548</v>
      </c>
      <c r="O53" s="13">
        <v>2278636</v>
      </c>
      <c r="P53" s="22">
        <f t="shared" si="15"/>
        <v>861997.11802293267</v>
      </c>
      <c r="Q53" s="13">
        <f t="shared" si="9"/>
        <v>861997.11802293267</v>
      </c>
    </row>
    <row r="56" spans="1:17">
      <c r="A56" t="s">
        <v>74</v>
      </c>
      <c r="B56" s="18"/>
      <c r="C56" s="18"/>
      <c r="D56" s="18"/>
      <c r="E56" s="18"/>
      <c r="F56" s="18"/>
      <c r="G56" s="18"/>
      <c r="H56" s="18"/>
      <c r="I56" s="18"/>
      <c r="M56" s="18"/>
      <c r="N56" s="18"/>
      <c r="O56" s="18"/>
    </row>
    <row r="57" spans="1:17" ht="16">
      <c r="A57" s="18" t="s">
        <v>109</v>
      </c>
      <c r="B57" s="18"/>
      <c r="C57" s="18"/>
      <c r="D57" s="18"/>
      <c r="E57" s="18"/>
      <c r="F57" s="18"/>
      <c r="G57" s="18"/>
      <c r="H57" s="18"/>
      <c r="I57" s="18"/>
      <c r="M57" s="18"/>
      <c r="N57" s="18"/>
      <c r="O57" s="18"/>
    </row>
    <row r="58" spans="1:17" ht="16">
      <c r="A58" s="18" t="s">
        <v>110</v>
      </c>
      <c r="B58" s="18"/>
      <c r="C58" s="18"/>
      <c r="D58" s="18"/>
      <c r="E58" s="18"/>
      <c r="F58" s="18"/>
      <c r="G58" s="18"/>
      <c r="H58" s="18"/>
      <c r="I58" s="18"/>
      <c r="M58" s="18"/>
      <c r="N58" s="18"/>
      <c r="O58" s="18"/>
    </row>
    <row r="60" spans="1:17">
      <c r="A60" s="18" t="s">
        <v>95</v>
      </c>
    </row>
    <row r="61" spans="1:17">
      <c r="A61" s="18" t="s">
        <v>5</v>
      </c>
    </row>
    <row r="62" spans="1:17">
      <c r="A62" s="18" t="s">
        <v>111</v>
      </c>
    </row>
    <row r="63" spans="1:17">
      <c r="A63" s="18" t="s">
        <v>112</v>
      </c>
    </row>
    <row r="64" spans="1:17">
      <c r="A64" s="18" t="s">
        <v>113</v>
      </c>
    </row>
  </sheetData>
  <sortState ref="A3:XFD53">
    <sortCondition ref="A3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tabSelected="1" workbookViewId="0">
      <selection activeCell="E3" sqref="E3:E53"/>
    </sheetView>
  </sheetViews>
  <sheetFormatPr baseColWidth="10" defaultColWidth="11.5" defaultRowHeight="14" x14ac:dyDescent="0"/>
  <cols>
    <col min="4" max="4" width="8.5" style="18" customWidth="1"/>
  </cols>
  <sheetData>
    <row r="1" spans="1:18" ht="56">
      <c r="A1" s="18">
        <f>1/6</f>
        <v>0.16666666666666666</v>
      </c>
      <c r="B1" s="30" t="s">
        <v>60</v>
      </c>
      <c r="C1" s="30" t="s">
        <v>61</v>
      </c>
      <c r="D1" s="30" t="s">
        <v>161</v>
      </c>
      <c r="E1" s="31" t="s">
        <v>91</v>
      </c>
      <c r="F1" s="1" t="s">
        <v>21</v>
      </c>
      <c r="G1" s="1" t="s">
        <v>20</v>
      </c>
      <c r="H1" s="1" t="s">
        <v>134</v>
      </c>
      <c r="I1" s="1" t="s">
        <v>25</v>
      </c>
      <c r="J1" s="33" t="s">
        <v>84</v>
      </c>
      <c r="K1" s="32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30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125</v>
      </c>
      <c r="E2" s="18" t="s">
        <v>116</v>
      </c>
      <c r="F2" s="18" t="s">
        <v>17</v>
      </c>
      <c r="G2" s="18" t="s">
        <v>19</v>
      </c>
      <c r="H2" s="18" t="s">
        <v>135</v>
      </c>
      <c r="I2" s="18" t="s">
        <v>24</v>
      </c>
      <c r="J2" s="9" t="s">
        <v>16</v>
      </c>
      <c r="K2" s="13" t="s">
        <v>126</v>
      </c>
      <c r="L2" s="22" t="s">
        <v>132</v>
      </c>
      <c r="M2" s="22" t="s">
        <v>127</v>
      </c>
      <c r="N2" s="19" t="s">
        <v>92</v>
      </c>
      <c r="O2" s="18" t="s">
        <v>128</v>
      </c>
      <c r="P2" s="18" t="s">
        <v>129</v>
      </c>
      <c r="Q2" s="22" t="s">
        <v>131</v>
      </c>
      <c r="R2" s="18" t="s">
        <v>130</v>
      </c>
    </row>
    <row r="3" spans="1:18">
      <c r="A3" s="18" t="s">
        <v>26</v>
      </c>
      <c r="B3" s="4">
        <v>60.37546801014345</v>
      </c>
      <c r="C3" s="4">
        <v>63.997996090752061</v>
      </c>
      <c r="D3" s="16">
        <f>B3*$A$1*1000</f>
        <v>10062.578001690576</v>
      </c>
      <c r="E3" s="34">
        <f>'Interval Circuities'!B3</f>
        <v>1.3522447679465692</v>
      </c>
      <c r="F3" s="4">
        <f t="shared" ref="F3:F34" si="0">B3/E3</f>
        <v>44.648328055153584</v>
      </c>
      <c r="G3" s="4">
        <f t="shared" ref="G3:G34" si="1">F3*$A$1</f>
        <v>7.4413880091922637</v>
      </c>
      <c r="H3" s="4">
        <f t="shared" ref="H3:H34" si="2">PI()*G3^2</f>
        <v>173.96335428732979</v>
      </c>
      <c r="I3" s="4">
        <f t="shared" ref="I3:I34" si="3">K3/J3</f>
        <v>964.67391304347825</v>
      </c>
      <c r="J3" s="18">
        <v>2944</v>
      </c>
      <c r="K3" s="13">
        <v>2840000</v>
      </c>
      <c r="L3" s="22">
        <f t="shared" ref="L3:L34" si="4">H3*I3</f>
        <v>167817.90970652737</v>
      </c>
      <c r="M3" s="22">
        <f t="shared" ref="M3:M34" si="5">MIN(K3,L3)</f>
        <v>167817.90970652737</v>
      </c>
      <c r="N3" s="19" t="s">
        <v>92</v>
      </c>
      <c r="O3" s="4">
        <f t="shared" ref="O3:O34" si="6">P3/J3</f>
        <v>503.32235054347825</v>
      </c>
      <c r="P3" s="12">
        <v>1481781</v>
      </c>
      <c r="Q3" s="22">
        <f t="shared" ref="Q3:Q34" si="7">H3*O3</f>
        <v>87559.644388326706</v>
      </c>
      <c r="R3" s="13">
        <f t="shared" ref="R3:R34" si="8">MIN(Q3,P3)</f>
        <v>87559.644388326706</v>
      </c>
    </row>
    <row r="4" spans="1:18">
      <c r="A4" s="18" t="s">
        <v>27</v>
      </c>
      <c r="B4" s="4">
        <v>63.478689145973746</v>
      </c>
      <c r="C4" s="4">
        <v>67.922197386191925</v>
      </c>
      <c r="D4" s="16">
        <f t="shared" ref="D4:D53" si="9">B4*$A$1*1000</f>
        <v>10579.781524328957</v>
      </c>
      <c r="E4" s="34">
        <f>'Interval Circuities'!B4</f>
        <v>1.426150653096147</v>
      </c>
      <c r="F4" s="4">
        <f t="shared" si="0"/>
        <v>44.510507363414007</v>
      </c>
      <c r="G4" s="4">
        <f t="shared" si="1"/>
        <v>7.4184178939023342</v>
      </c>
      <c r="H4" s="4">
        <f t="shared" si="2"/>
        <v>172.89102989655365</v>
      </c>
      <c r="I4" s="4">
        <f t="shared" si="3"/>
        <v>932.86219081272088</v>
      </c>
      <c r="J4" s="18">
        <v>707.5</v>
      </c>
      <c r="K4" s="13">
        <v>660000</v>
      </c>
      <c r="L4" s="22">
        <f t="shared" si="4"/>
        <v>161283.50492116666</v>
      </c>
      <c r="M4" s="22">
        <f t="shared" si="5"/>
        <v>161283.50492116666</v>
      </c>
      <c r="N4" s="19" t="s">
        <v>92</v>
      </c>
      <c r="O4" s="4">
        <f t="shared" si="6"/>
        <v>571.04734982332161</v>
      </c>
      <c r="P4" s="12">
        <v>404016</v>
      </c>
      <c r="Q4" s="22">
        <f t="shared" si="7"/>
        <v>98728.964430651627</v>
      </c>
      <c r="R4" s="13">
        <f t="shared" si="8"/>
        <v>98728.964430651627</v>
      </c>
    </row>
    <row r="5" spans="1:18" ht="16">
      <c r="A5" s="18" t="s">
        <v>119</v>
      </c>
      <c r="B5" s="4">
        <v>60.37745029626894</v>
      </c>
      <c r="C5" s="4">
        <v>64.603871817007771</v>
      </c>
      <c r="D5" s="16">
        <f t="shared" si="9"/>
        <v>10062.90838271149</v>
      </c>
      <c r="E5" s="34">
        <f>'Interval Circuities'!B5</f>
        <v>1.3415278293817852</v>
      </c>
      <c r="F5" s="4">
        <f t="shared" si="0"/>
        <v>45.006483632987781</v>
      </c>
      <c r="G5" s="4">
        <f t="shared" si="1"/>
        <v>7.5010806054979628</v>
      </c>
      <c r="H5" s="4">
        <f t="shared" si="2"/>
        <v>176.76551276729694</v>
      </c>
      <c r="I5" s="4">
        <f t="shared" si="3"/>
        <v>1296.8393613554904</v>
      </c>
      <c r="J5" s="18">
        <v>1534.5</v>
      </c>
      <c r="K5" s="13">
        <v>1990000</v>
      </c>
      <c r="L5" s="22">
        <f t="shared" si="4"/>
        <v>229236.47468681715</v>
      </c>
      <c r="M5" s="22">
        <f t="shared" si="5"/>
        <v>229236.47468681715</v>
      </c>
      <c r="N5" s="19" t="s">
        <v>92</v>
      </c>
      <c r="O5" s="4">
        <f t="shared" si="6"/>
        <v>776.67839687194521</v>
      </c>
      <c r="P5" s="12">
        <v>1191813</v>
      </c>
      <c r="Q5" s="22">
        <f t="shared" si="7"/>
        <v>137289.95507835154</v>
      </c>
      <c r="R5" s="13">
        <f t="shared" si="8"/>
        <v>137289.95507835154</v>
      </c>
    </row>
    <row r="6" spans="1:18">
      <c r="A6" s="18" t="s">
        <v>29</v>
      </c>
      <c r="B6" s="4">
        <v>61.541690600746875</v>
      </c>
      <c r="C6" s="4">
        <v>67.695859660821569</v>
      </c>
      <c r="D6" s="16">
        <f t="shared" si="9"/>
        <v>10256.948433457812</v>
      </c>
      <c r="E6" s="34">
        <f>'Interval Circuities'!B6</f>
        <v>1.3256488796814541</v>
      </c>
      <c r="F6" s="4">
        <f t="shared" si="0"/>
        <v>46.423824244874702</v>
      </c>
      <c r="G6" s="4">
        <f t="shared" si="1"/>
        <v>7.7373040408124503</v>
      </c>
      <c r="H6" s="4">
        <f t="shared" si="2"/>
        <v>188.07418939355966</v>
      </c>
      <c r="I6" s="4">
        <f t="shared" si="3"/>
        <v>1563.9892556970801</v>
      </c>
      <c r="J6" s="18">
        <v>2308.1999999999998</v>
      </c>
      <c r="K6" s="13">
        <v>3610000</v>
      </c>
      <c r="L6" s="22">
        <f t="shared" si="4"/>
        <v>294146.01148546505</v>
      </c>
      <c r="M6" s="22">
        <f t="shared" si="5"/>
        <v>294146.01148546505</v>
      </c>
      <c r="N6" s="19" t="s">
        <v>92</v>
      </c>
      <c r="O6" s="4">
        <f t="shared" si="6"/>
        <v>927.87323455506464</v>
      </c>
      <c r="P6" s="12">
        <v>2141717</v>
      </c>
      <c r="Q6" s="22">
        <f t="shared" si="7"/>
        <v>174509.00644892405</v>
      </c>
      <c r="R6" s="13">
        <f t="shared" si="8"/>
        <v>174509.00644892405</v>
      </c>
    </row>
    <row r="7" spans="1:18">
      <c r="A7" s="18" t="s">
        <v>30</v>
      </c>
      <c r="B7" s="4">
        <v>73.27659816495958</v>
      </c>
      <c r="C7" s="4">
        <v>76.207662091557978</v>
      </c>
      <c r="D7" s="16">
        <f t="shared" si="9"/>
        <v>12212.766360826596</v>
      </c>
      <c r="E7" s="34">
        <f>'Interval Circuities'!B7</f>
        <v>1.2477771132817665</v>
      </c>
      <c r="F7" s="4">
        <f t="shared" si="0"/>
        <v>58.725711014393831</v>
      </c>
      <c r="G7" s="4">
        <f t="shared" si="1"/>
        <v>9.7876185023989706</v>
      </c>
      <c r="H7" s="4">
        <f t="shared" si="2"/>
        <v>300.95664667226089</v>
      </c>
      <c r="I7" s="4">
        <f t="shared" si="3"/>
        <v>1440.1622718052738</v>
      </c>
      <c r="J7" s="18">
        <v>739.5</v>
      </c>
      <c r="K7" s="13">
        <v>1065000</v>
      </c>
      <c r="L7" s="22">
        <f t="shared" si="4"/>
        <v>433426.40798642032</v>
      </c>
      <c r="M7" s="22">
        <f t="shared" si="5"/>
        <v>433426.40798642032</v>
      </c>
      <c r="N7" s="19" t="s">
        <v>92</v>
      </c>
      <c r="O7" s="4">
        <f t="shared" si="6"/>
        <v>718.21771467207577</v>
      </c>
      <c r="P7" s="12">
        <v>531122</v>
      </c>
      <c r="Q7" s="22">
        <f t="shared" si="7"/>
        <v>216152.3949883226</v>
      </c>
      <c r="R7" s="13">
        <f t="shared" si="8"/>
        <v>216152.3949883226</v>
      </c>
    </row>
    <row r="8" spans="1:18">
      <c r="A8" s="18" t="s">
        <v>31</v>
      </c>
      <c r="B8" s="4">
        <v>66.908176577055386</v>
      </c>
      <c r="C8" s="4">
        <v>71.591748937449267</v>
      </c>
      <c r="D8" s="16">
        <f t="shared" si="9"/>
        <v>11151.362762842564</v>
      </c>
      <c r="E8" s="34">
        <f>'Interval Circuities'!B8</f>
        <v>1.3646366473808837</v>
      </c>
      <c r="F8" s="4">
        <f t="shared" si="0"/>
        <v>49.030030598599808</v>
      </c>
      <c r="G8" s="4">
        <f t="shared" si="1"/>
        <v>8.1716717664333007</v>
      </c>
      <c r="H8" s="4">
        <f t="shared" si="2"/>
        <v>209.78368048476779</v>
      </c>
      <c r="I8" s="4">
        <f t="shared" si="3"/>
        <v>862.48203162434118</v>
      </c>
      <c r="J8" s="18">
        <v>626.1</v>
      </c>
      <c r="K8" s="13">
        <v>540000</v>
      </c>
      <c r="L8" s="22">
        <f t="shared" si="4"/>
        <v>180934.65494613416</v>
      </c>
      <c r="M8" s="22">
        <f t="shared" si="5"/>
        <v>180934.65494613416</v>
      </c>
      <c r="N8" s="19" t="s">
        <v>92</v>
      </c>
      <c r="O8" s="4">
        <f t="shared" si="6"/>
        <v>966.06931800031941</v>
      </c>
      <c r="P8" s="12">
        <v>604856</v>
      </c>
      <c r="Q8" s="22">
        <f t="shared" si="7"/>
        <v>202665.57713351652</v>
      </c>
      <c r="R8" s="13">
        <f t="shared" si="8"/>
        <v>202665.57713351652</v>
      </c>
    </row>
    <row r="9" spans="1:18">
      <c r="A9" s="18" t="s">
        <v>32</v>
      </c>
      <c r="B9" s="4">
        <v>59.830534500000006</v>
      </c>
      <c r="C9" s="4">
        <v>64.616977260000013</v>
      </c>
      <c r="D9" s="16">
        <f t="shared" si="9"/>
        <v>9971.7557500000003</v>
      </c>
      <c r="E9" s="34">
        <f>'Interval Circuities'!B9</f>
        <v>1.3161081482175765</v>
      </c>
      <c r="F9" s="4">
        <f t="shared" si="0"/>
        <v>45.460196094849294</v>
      </c>
      <c r="G9" s="4">
        <f t="shared" si="1"/>
        <v>7.5766993491415491</v>
      </c>
      <c r="H9" s="4">
        <f t="shared" si="2"/>
        <v>180.34743977174429</v>
      </c>
      <c r="I9" s="4">
        <f t="shared" si="3"/>
        <v>1830.0112091232515</v>
      </c>
      <c r="J9" s="18">
        <v>4103.8</v>
      </c>
      <c r="K9" s="13">
        <v>7510000</v>
      </c>
      <c r="L9" s="22">
        <f t="shared" si="4"/>
        <v>330037.83631897258</v>
      </c>
      <c r="M9" s="22">
        <f t="shared" si="5"/>
        <v>330037.83631897258</v>
      </c>
      <c r="N9" s="19" t="s">
        <v>92</v>
      </c>
      <c r="O9" s="4">
        <f t="shared" si="6"/>
        <v>936.04391052195524</v>
      </c>
      <c r="P9" s="12">
        <v>3841337</v>
      </c>
      <c r="Q9" s="22">
        <f t="shared" si="7"/>
        <v>168813.12277656634</v>
      </c>
      <c r="R9" s="13">
        <f t="shared" si="8"/>
        <v>168813.12277656634</v>
      </c>
    </row>
    <row r="10" spans="1:18">
      <c r="A10" s="18" t="s">
        <v>33</v>
      </c>
      <c r="B10" s="4">
        <v>67.518821168909824</v>
      </c>
      <c r="C10" s="4">
        <v>74.270703285800806</v>
      </c>
      <c r="D10" s="16">
        <f t="shared" si="9"/>
        <v>11253.136861484971</v>
      </c>
      <c r="E10" s="34">
        <f>'Interval Circuities'!B10</f>
        <v>1.3893578112622955</v>
      </c>
      <c r="F10" s="4">
        <f t="shared" si="0"/>
        <v>48.597143674289249</v>
      </c>
      <c r="G10" s="4">
        <f t="shared" si="1"/>
        <v>8.0995239457148749</v>
      </c>
      <c r="H10" s="4">
        <f t="shared" si="2"/>
        <v>206.09566650195146</v>
      </c>
      <c r="I10" s="4">
        <f t="shared" si="3"/>
        <v>860.24750980984004</v>
      </c>
      <c r="J10" s="18">
        <v>1325.2</v>
      </c>
      <c r="K10" s="13">
        <v>1140000</v>
      </c>
      <c r="L10" s="22">
        <f t="shared" si="4"/>
        <v>177293.283890903</v>
      </c>
      <c r="M10" s="22">
        <f t="shared" si="5"/>
        <v>177293.283890903</v>
      </c>
      <c r="N10" s="19" t="s">
        <v>92</v>
      </c>
      <c r="O10" s="4">
        <f t="shared" si="6"/>
        <v>613.31572592816178</v>
      </c>
      <c r="P10" s="12">
        <v>812766</v>
      </c>
      <c r="Q10" s="22">
        <f t="shared" si="7"/>
        <v>126401.7133112927</v>
      </c>
      <c r="R10" s="13">
        <f t="shared" si="8"/>
        <v>126401.7133112927</v>
      </c>
    </row>
    <row r="11" spans="1:18">
      <c r="A11" s="18" t="s">
        <v>34</v>
      </c>
      <c r="B11" s="4">
        <v>70.270147843682068</v>
      </c>
      <c r="C11" s="4">
        <v>77.297162628050287</v>
      </c>
      <c r="D11" s="16">
        <f t="shared" si="9"/>
        <v>11711.691307280344</v>
      </c>
      <c r="E11" s="34">
        <f>'Interval Circuities'!B11</f>
        <v>1.2715517925951088</v>
      </c>
      <c r="F11" s="4">
        <f t="shared" si="0"/>
        <v>55.263299735725113</v>
      </c>
      <c r="G11" s="4">
        <f t="shared" si="1"/>
        <v>9.2105499559541855</v>
      </c>
      <c r="H11" s="4">
        <f t="shared" si="2"/>
        <v>266.51459528386982</v>
      </c>
      <c r="I11" s="4">
        <f t="shared" si="3"/>
        <v>1068.6095931997572</v>
      </c>
      <c r="J11" s="18">
        <v>1647</v>
      </c>
      <c r="K11" s="13">
        <v>1760000</v>
      </c>
      <c r="L11" s="22">
        <f t="shared" si="4"/>
        <v>284800.05324809405</v>
      </c>
      <c r="M11" s="22">
        <f t="shared" si="5"/>
        <v>284800.05324809405</v>
      </c>
      <c r="N11" s="19" t="s">
        <v>92</v>
      </c>
      <c r="O11" s="4">
        <f t="shared" si="6"/>
        <v>754.15846994535514</v>
      </c>
      <c r="P11" s="12">
        <v>1242099</v>
      </c>
      <c r="Q11" s="22">
        <f t="shared" si="7"/>
        <v>200994.23939738882</v>
      </c>
      <c r="R11" s="13">
        <f t="shared" si="8"/>
        <v>200994.23939738882</v>
      </c>
    </row>
    <row r="12" spans="1:18">
      <c r="A12" s="18" t="s">
        <v>35</v>
      </c>
      <c r="B12" s="4">
        <v>67.725932932724078</v>
      </c>
      <c r="C12" s="4">
        <v>77.20756354330544</v>
      </c>
      <c r="D12" s="16">
        <f t="shared" si="9"/>
        <v>11287.655488787346</v>
      </c>
      <c r="E12" s="34">
        <f>'Interval Circuities'!B12</f>
        <v>1.3154052160541856</v>
      </c>
      <c r="F12" s="4">
        <f t="shared" si="0"/>
        <v>51.486745001575422</v>
      </c>
      <c r="G12" s="4">
        <f t="shared" si="1"/>
        <v>8.5811241669292357</v>
      </c>
      <c r="H12" s="4">
        <f t="shared" si="2"/>
        <v>231.33334892947701</v>
      </c>
      <c r="I12" s="4">
        <f t="shared" si="3"/>
        <v>973.91693719914929</v>
      </c>
      <c r="J12" s="18">
        <v>893.3</v>
      </c>
      <c r="K12" s="13">
        <v>870000</v>
      </c>
      <c r="L12" s="22">
        <f t="shared" si="4"/>
        <v>225299.46666141835</v>
      </c>
      <c r="M12" s="22">
        <f t="shared" si="5"/>
        <v>225299.46666141835</v>
      </c>
      <c r="N12" s="19" t="s">
        <v>92</v>
      </c>
      <c r="O12" s="4">
        <f t="shared" si="6"/>
        <v>758.82570245158411</v>
      </c>
      <c r="P12" s="12">
        <v>677859</v>
      </c>
      <c r="Q12" s="22">
        <f t="shared" si="7"/>
        <v>175541.69100188781</v>
      </c>
      <c r="R12" s="13">
        <f t="shared" si="8"/>
        <v>175541.69100188781</v>
      </c>
    </row>
    <row r="13" spans="1:18">
      <c r="A13" s="18" t="s">
        <v>62</v>
      </c>
      <c r="B13" s="4">
        <v>66.03146949483623</v>
      </c>
      <c r="C13" s="4">
        <v>76.596504614010016</v>
      </c>
      <c r="D13" s="16">
        <f t="shared" si="9"/>
        <v>11005.244915806039</v>
      </c>
      <c r="E13" s="34">
        <f>'Interval Circuities'!B13</f>
        <v>1.3709373164482086</v>
      </c>
      <c r="F13" s="4">
        <f t="shared" si="0"/>
        <v>48.165199606579364</v>
      </c>
      <c r="G13" s="4">
        <f t="shared" si="1"/>
        <v>8.0275332677632267</v>
      </c>
      <c r="H13" s="4">
        <f t="shared" si="2"/>
        <v>202.44828439867317</v>
      </c>
      <c r="I13" s="4">
        <f t="shared" si="3"/>
        <v>869.56521739130437</v>
      </c>
      <c r="J13" s="18">
        <v>3737.5</v>
      </c>
      <c r="K13" s="13">
        <v>3250000</v>
      </c>
      <c r="L13" s="22">
        <f t="shared" si="4"/>
        <v>176041.98643362886</v>
      </c>
      <c r="M13" s="22">
        <f t="shared" si="5"/>
        <v>176041.98643362886</v>
      </c>
      <c r="N13" s="19" t="s">
        <v>92</v>
      </c>
      <c r="O13" s="4">
        <f t="shared" si="6"/>
        <v>528.85779264214045</v>
      </c>
      <c r="P13" s="12">
        <v>1976606</v>
      </c>
      <c r="Q13" s="22">
        <f t="shared" si="7"/>
        <v>107066.35281127057</v>
      </c>
      <c r="R13" s="13">
        <f t="shared" si="8"/>
        <v>107066.35281127057</v>
      </c>
    </row>
    <row r="14" spans="1:18">
      <c r="A14" s="18" t="s">
        <v>36</v>
      </c>
      <c r="B14" s="4">
        <v>65.002140793217592</v>
      </c>
      <c r="C14" s="4">
        <v>76.052504728064577</v>
      </c>
      <c r="D14" s="16">
        <f t="shared" si="9"/>
        <v>10833.690132202932</v>
      </c>
      <c r="E14" s="34">
        <f>'Interval Circuities'!B14</f>
        <v>1.3838943275761848</v>
      </c>
      <c r="F14" s="4">
        <f t="shared" si="0"/>
        <v>46.970451065483651</v>
      </c>
      <c r="G14" s="4">
        <f t="shared" si="1"/>
        <v>7.8284085109139419</v>
      </c>
      <c r="H14" s="4">
        <f t="shared" si="2"/>
        <v>192.52930076562166</v>
      </c>
      <c r="I14" s="4">
        <f t="shared" si="3"/>
        <v>1329.5186805789297</v>
      </c>
      <c r="J14" s="18">
        <v>1188.4000000000001</v>
      </c>
      <c r="K14" s="13">
        <v>1580000</v>
      </c>
      <c r="L14" s="22">
        <f t="shared" si="4"/>
        <v>255971.30192669321</v>
      </c>
      <c r="M14" s="22">
        <f t="shared" si="5"/>
        <v>255971.30192669321</v>
      </c>
      <c r="N14" s="19" t="s">
        <v>92</v>
      </c>
      <c r="O14" s="4">
        <f t="shared" si="6"/>
        <v>811.94210703466842</v>
      </c>
      <c r="P14" s="12">
        <v>964912</v>
      </c>
      <c r="Q14" s="22">
        <f t="shared" si="7"/>
        <v>156322.64612955024</v>
      </c>
      <c r="R14" s="13">
        <f t="shared" si="8"/>
        <v>156322.64612955024</v>
      </c>
    </row>
    <row r="15" spans="1:18">
      <c r="A15" s="18" t="s">
        <v>37</v>
      </c>
      <c r="B15" s="4">
        <v>59.740126684000487</v>
      </c>
      <c r="C15" s="4">
        <v>69.895948220280573</v>
      </c>
      <c r="D15" s="16">
        <f t="shared" si="9"/>
        <v>9956.6877806667471</v>
      </c>
      <c r="E15" s="34">
        <f>'Interval Circuities'!B15</f>
        <v>1.2961889465742875</v>
      </c>
      <c r="F15" s="4">
        <f t="shared" si="0"/>
        <v>46.089057341438028</v>
      </c>
      <c r="G15" s="4">
        <f t="shared" si="1"/>
        <v>7.6815095569063381</v>
      </c>
      <c r="H15" s="4">
        <f t="shared" si="2"/>
        <v>185.37152515198301</v>
      </c>
      <c r="I15" s="4">
        <f t="shared" si="3"/>
        <v>1369.2488100986411</v>
      </c>
      <c r="J15" s="18">
        <v>2899.4</v>
      </c>
      <c r="K15" s="13">
        <v>3970000</v>
      </c>
      <c r="L15" s="22">
        <f t="shared" si="4"/>
        <v>253819.74024052307</v>
      </c>
      <c r="M15" s="22">
        <f t="shared" si="5"/>
        <v>253819.74024052307</v>
      </c>
      <c r="N15" s="19" t="s">
        <v>92</v>
      </c>
      <c r="O15" s="4">
        <f t="shared" si="6"/>
        <v>717.34841691384418</v>
      </c>
      <c r="P15" s="12">
        <v>2079880</v>
      </c>
      <c r="Q15" s="22">
        <f t="shared" si="7"/>
        <v>132975.97010867984</v>
      </c>
      <c r="R15" s="13">
        <f t="shared" si="8"/>
        <v>132975.97010867984</v>
      </c>
    </row>
    <row r="16" spans="1:18">
      <c r="A16" s="18" t="s">
        <v>80</v>
      </c>
      <c r="B16" s="24">
        <v>70.939381203745498</v>
      </c>
      <c r="C16" s="24">
        <v>83.70846982041968</v>
      </c>
      <c r="D16" s="16">
        <f t="shared" si="9"/>
        <v>11823.230200624248</v>
      </c>
      <c r="E16" s="34">
        <f>'Interval Circuities'!B16</f>
        <v>1.3348754820096862</v>
      </c>
      <c r="F16" s="4">
        <f t="shared" si="0"/>
        <v>53.143070016496672</v>
      </c>
      <c r="G16" s="4">
        <f t="shared" si="1"/>
        <v>8.8571783360827787</v>
      </c>
      <c r="H16" s="4">
        <f t="shared" si="2"/>
        <v>246.45671241224866</v>
      </c>
      <c r="I16" s="4">
        <f t="shared" si="3"/>
        <v>1190.58976132826</v>
      </c>
      <c r="J16" s="18">
        <v>578.20000000000005</v>
      </c>
      <c r="K16" s="26">
        <v>688399</v>
      </c>
      <c r="L16" s="22">
        <f t="shared" si="4"/>
        <v>293428.83840864676</v>
      </c>
      <c r="M16" s="22">
        <f t="shared" si="5"/>
        <v>293428.83840864676</v>
      </c>
      <c r="N16" s="19" t="s">
        <v>92</v>
      </c>
      <c r="O16" s="4">
        <f t="shared" si="6"/>
        <v>583.42269111034238</v>
      </c>
      <c r="P16" s="12">
        <f>337335</f>
        <v>337335</v>
      </c>
      <c r="Q16" s="22">
        <f t="shared" si="7"/>
        <v>143788.43839776184</v>
      </c>
      <c r="R16" s="13">
        <f t="shared" si="8"/>
        <v>143788.43839776184</v>
      </c>
    </row>
    <row r="17" spans="1:18">
      <c r="A17" s="18" t="s">
        <v>58</v>
      </c>
      <c r="B17" s="4">
        <v>64.898649256812377</v>
      </c>
      <c r="C17" s="4">
        <v>85.666217018992342</v>
      </c>
      <c r="D17" s="16">
        <f t="shared" si="9"/>
        <v>10816.441542802062</v>
      </c>
      <c r="E17" s="34">
        <f>'Interval Circuities'!B17</f>
        <v>1.3770423338795401</v>
      </c>
      <c r="F17" s="4">
        <f t="shared" si="0"/>
        <v>47.129015325166854</v>
      </c>
      <c r="G17" s="4">
        <f t="shared" si="1"/>
        <v>7.854835887527809</v>
      </c>
      <c r="H17" s="4">
        <f t="shared" si="2"/>
        <v>193.83138726759614</v>
      </c>
      <c r="I17" s="4">
        <f t="shared" si="3"/>
        <v>770.84181744138687</v>
      </c>
      <c r="J17" s="18">
        <v>1718.9</v>
      </c>
      <c r="K17" s="13">
        <v>1325000</v>
      </c>
      <c r="L17" s="22">
        <f t="shared" si="4"/>
        <v>149413.33883853912</v>
      </c>
      <c r="M17" s="22">
        <f t="shared" si="5"/>
        <v>149413.33883853912</v>
      </c>
      <c r="N17" s="19" t="s">
        <v>92</v>
      </c>
      <c r="O17" s="4">
        <f t="shared" si="6"/>
        <v>406.65483739600904</v>
      </c>
      <c r="P17" s="12">
        <v>698999</v>
      </c>
      <c r="Q17" s="22">
        <f t="shared" si="7"/>
        <v>78822.471271547169</v>
      </c>
      <c r="R17" s="13">
        <f t="shared" si="8"/>
        <v>78822.471271547169</v>
      </c>
    </row>
    <row r="18" spans="1:18" s="18" customFormat="1">
      <c r="A18" s="18" t="s">
        <v>38</v>
      </c>
      <c r="B18" s="4">
        <v>70.550117521710789</v>
      </c>
      <c r="C18" s="4">
        <v>84.660141026052941</v>
      </c>
      <c r="D18" s="16">
        <f t="shared" si="9"/>
        <v>11758.35292028513</v>
      </c>
      <c r="E18" s="34">
        <f>'Interval Circuities'!B18</f>
        <v>1.3002946151384891</v>
      </c>
      <c r="F18" s="4">
        <f t="shared" si="0"/>
        <v>54.25702506212162</v>
      </c>
      <c r="G18" s="4">
        <f t="shared" si="1"/>
        <v>9.0428375103536034</v>
      </c>
      <c r="H18" s="4">
        <f t="shared" si="2"/>
        <v>256.89717406842601</v>
      </c>
      <c r="I18" s="4">
        <f t="shared" si="3"/>
        <v>1320.2112337974077</v>
      </c>
      <c r="J18" s="18">
        <v>624.9</v>
      </c>
      <c r="K18" s="13">
        <v>825000</v>
      </c>
      <c r="L18" s="22">
        <f t="shared" si="4"/>
        <v>339158.53513594408</v>
      </c>
      <c r="M18" s="22">
        <f t="shared" si="5"/>
        <v>339158.53513594408</v>
      </c>
      <c r="N18" s="19" t="s">
        <v>92</v>
      </c>
      <c r="O18" s="4">
        <f t="shared" si="6"/>
        <v>899.29428708593377</v>
      </c>
      <c r="P18" s="12">
        <v>561969</v>
      </c>
      <c r="Q18" s="22">
        <f t="shared" si="7"/>
        <v>231026.1610082562</v>
      </c>
      <c r="R18" s="13">
        <f t="shared" si="8"/>
        <v>231026.1610082562</v>
      </c>
    </row>
    <row r="19" spans="1:18">
      <c r="A19" s="18" t="s">
        <v>81</v>
      </c>
      <c r="B19" s="24">
        <v>61.851770964117151</v>
      </c>
      <c r="C19" s="24">
        <v>73.60360744729941</v>
      </c>
      <c r="D19" s="16">
        <f t="shared" si="9"/>
        <v>10308.628494019524</v>
      </c>
      <c r="E19" s="34">
        <f>'Interval Circuities'!B19</f>
        <v>1.3987003867957324</v>
      </c>
      <c r="F19" s="4">
        <f t="shared" si="0"/>
        <v>44.220886437168083</v>
      </c>
      <c r="G19" s="4">
        <f t="shared" si="1"/>
        <v>7.3701477395280133</v>
      </c>
      <c r="H19" s="4">
        <f t="shared" si="2"/>
        <v>170.64841545985252</v>
      </c>
      <c r="I19" s="4">
        <f t="shared" si="3"/>
        <v>2328.0373051224947</v>
      </c>
      <c r="J19" s="18">
        <v>359.2</v>
      </c>
      <c r="K19" s="26">
        <v>836231</v>
      </c>
      <c r="L19" s="22">
        <f t="shared" si="4"/>
        <v>397275.87725057889</v>
      </c>
      <c r="M19" s="22">
        <f t="shared" si="5"/>
        <v>397275.87725057889</v>
      </c>
      <c r="N19" s="19" t="s">
        <v>92</v>
      </c>
      <c r="O19" s="4">
        <f t="shared" si="6"/>
        <v>1218.0345211581291</v>
      </c>
      <c r="P19" s="12">
        <v>437518</v>
      </c>
      <c r="Q19" s="22">
        <f t="shared" si="7"/>
        <v>207855.66101103494</v>
      </c>
      <c r="R19" s="13">
        <f t="shared" si="8"/>
        <v>207855.66101103494</v>
      </c>
    </row>
    <row r="20" spans="1:18">
      <c r="A20" s="18" t="s">
        <v>39</v>
      </c>
      <c r="B20" s="25">
        <v>61.865929871835121</v>
      </c>
      <c r="C20" s="25">
        <v>73.620456547483784</v>
      </c>
      <c r="D20" s="16">
        <f t="shared" si="9"/>
        <v>10310.988311972518</v>
      </c>
      <c r="E20" s="34">
        <f>'Interval Circuities'!B20</f>
        <v>1.3897486026643189</v>
      </c>
      <c r="F20" s="4">
        <f t="shared" si="0"/>
        <v>44.515914427422722</v>
      </c>
      <c r="G20" s="4">
        <f t="shared" si="1"/>
        <v>7.41931907123712</v>
      </c>
      <c r="H20" s="4">
        <f t="shared" si="2"/>
        <v>172.93303748988606</v>
      </c>
      <c r="I20" s="4">
        <f t="shared" si="3"/>
        <v>951.03794313448986</v>
      </c>
      <c r="J20" s="18">
        <v>3049.3</v>
      </c>
      <c r="K20" s="13">
        <v>2900000</v>
      </c>
      <c r="L20" s="22">
        <f t="shared" si="4"/>
        <v>164465.88027438088</v>
      </c>
      <c r="M20" s="22">
        <f t="shared" si="5"/>
        <v>164465.88027438088</v>
      </c>
      <c r="N20" s="19" t="s">
        <v>92</v>
      </c>
      <c r="O20" s="4">
        <f t="shared" si="6"/>
        <v>577.11474764700097</v>
      </c>
      <c r="P20" s="12">
        <v>1759796</v>
      </c>
      <c r="Q20" s="22">
        <f t="shared" si="7"/>
        <v>99802.206290804956</v>
      </c>
      <c r="R20" s="13">
        <f t="shared" si="8"/>
        <v>99802.206290804956</v>
      </c>
    </row>
    <row r="21" spans="1:18">
      <c r="A21" s="18" t="s">
        <v>40</v>
      </c>
      <c r="B21" s="25">
        <v>66.181816591922129</v>
      </c>
      <c r="C21" s="25">
        <v>78.094543578468105</v>
      </c>
      <c r="D21" s="16">
        <f t="shared" si="9"/>
        <v>11030.302765320354</v>
      </c>
      <c r="E21" s="34">
        <f>'Interval Circuities'!B21</f>
        <v>1.3132675347089213</v>
      </c>
      <c r="F21" s="4">
        <f t="shared" si="0"/>
        <v>50.394770937965028</v>
      </c>
      <c r="G21" s="4">
        <f t="shared" si="1"/>
        <v>8.3991284896608374</v>
      </c>
      <c r="H21" s="4">
        <f t="shared" si="2"/>
        <v>221.62478279138264</v>
      </c>
      <c r="I21" s="4">
        <f t="shared" si="3"/>
        <v>778.16205533596838</v>
      </c>
      <c r="J21" s="18">
        <v>1214.4000000000001</v>
      </c>
      <c r="K21" s="13">
        <v>945000</v>
      </c>
      <c r="L21" s="22">
        <f t="shared" si="4"/>
        <v>172459.99649032988</v>
      </c>
      <c r="M21" s="22">
        <f t="shared" si="5"/>
        <v>172459.99649032988</v>
      </c>
      <c r="N21" s="19" t="s">
        <v>92</v>
      </c>
      <c r="O21" s="4">
        <f t="shared" si="6"/>
        <v>514.63356389986825</v>
      </c>
      <c r="P21" s="12">
        <v>624971</v>
      </c>
      <c r="Q21" s="22">
        <f t="shared" si="7"/>
        <v>114055.55181646344</v>
      </c>
      <c r="R21" s="13">
        <f t="shared" si="8"/>
        <v>114055.55181646344</v>
      </c>
    </row>
    <row r="22" spans="1:18" ht="16">
      <c r="A22" s="18" t="s">
        <v>120</v>
      </c>
      <c r="B22" s="25">
        <v>65.10221093956217</v>
      </c>
      <c r="C22" s="25">
        <v>72.914476252309626</v>
      </c>
      <c r="D22" s="16">
        <f t="shared" si="9"/>
        <v>10850.368489927028</v>
      </c>
      <c r="E22" s="34">
        <f>'Interval Circuities'!B22</f>
        <v>1.3841718613966598</v>
      </c>
      <c r="F22" s="4">
        <f t="shared" si="0"/>
        <v>47.033329281721279</v>
      </c>
      <c r="G22" s="4">
        <f t="shared" si="1"/>
        <v>7.8388882136202129</v>
      </c>
      <c r="H22" s="4">
        <f t="shared" si="2"/>
        <v>193.04511450251974</v>
      </c>
      <c r="I22" s="4">
        <f t="shared" si="3"/>
        <v>1078.3820073850286</v>
      </c>
      <c r="J22" s="18">
        <v>1191.5999999999999</v>
      </c>
      <c r="K22" s="13">
        <v>1285000</v>
      </c>
      <c r="L22" s="22">
        <f t="shared" si="4"/>
        <v>208176.37809309992</v>
      </c>
      <c r="M22" s="22">
        <f t="shared" si="5"/>
        <v>208176.37809309992</v>
      </c>
      <c r="N22" s="19" t="s">
        <v>92</v>
      </c>
      <c r="O22" s="4">
        <f t="shared" si="6"/>
        <v>643.63293051359517</v>
      </c>
      <c r="P22" s="13">
        <v>766953</v>
      </c>
      <c r="Q22" s="22">
        <f t="shared" si="7"/>
        <v>124250.1927685893</v>
      </c>
      <c r="R22" s="13">
        <f t="shared" si="8"/>
        <v>124250.1927685893</v>
      </c>
    </row>
    <row r="23" spans="1:18">
      <c r="A23" s="18" t="s">
        <v>41</v>
      </c>
      <c r="B23" s="24">
        <v>55.540281389808555</v>
      </c>
      <c r="C23" s="24">
        <v>57.206489831502807</v>
      </c>
      <c r="D23" s="16">
        <f t="shared" si="9"/>
        <v>9256.7135649680913</v>
      </c>
      <c r="E23" s="34">
        <f>'Interval Circuities'!B23</f>
        <v>1.3815643022128219</v>
      </c>
      <c r="F23" s="4">
        <f t="shared" si="0"/>
        <v>40.201010767903369</v>
      </c>
      <c r="G23" s="4">
        <f t="shared" si="1"/>
        <v>6.7001684613172277</v>
      </c>
      <c r="H23" s="4">
        <f t="shared" si="2"/>
        <v>141.03318608241241</v>
      </c>
      <c r="I23" s="4">
        <f t="shared" si="3"/>
        <v>547.57015742642022</v>
      </c>
      <c r="J23" s="18">
        <v>1314.9</v>
      </c>
      <c r="K23" s="13">
        <v>720000</v>
      </c>
      <c r="L23" s="22">
        <f t="shared" si="4"/>
        <v>77225.563905496179</v>
      </c>
      <c r="M23" s="22">
        <f t="shared" si="5"/>
        <v>77225.563905496179</v>
      </c>
      <c r="N23" s="19" t="s">
        <v>92</v>
      </c>
      <c r="O23" s="4">
        <f t="shared" si="6"/>
        <v>337.57852308160312</v>
      </c>
      <c r="P23" s="12">
        <v>443882</v>
      </c>
      <c r="Q23" s="22">
        <f t="shared" si="7"/>
        <v>47609.77466319369</v>
      </c>
      <c r="R23" s="13">
        <f t="shared" si="8"/>
        <v>47609.77466319369</v>
      </c>
    </row>
    <row r="24" spans="1:18">
      <c r="A24" s="18" t="s">
        <v>75</v>
      </c>
      <c r="B24" s="25">
        <v>63.219918440805898</v>
      </c>
      <c r="C24" s="25">
        <v>65.116515994030081</v>
      </c>
      <c r="D24" s="16">
        <f t="shared" si="9"/>
        <v>10536.653073467649</v>
      </c>
      <c r="E24" s="34">
        <f>'Interval Circuities'!B24</f>
        <v>1.3497363834314509</v>
      </c>
      <c r="F24" s="4">
        <f t="shared" si="0"/>
        <v>46.838715483153194</v>
      </c>
      <c r="G24" s="4">
        <f t="shared" si="1"/>
        <v>7.8064525805255318</v>
      </c>
      <c r="H24" s="4">
        <f t="shared" si="2"/>
        <v>191.45086136849312</v>
      </c>
      <c r="I24" s="4">
        <f t="shared" si="3"/>
        <v>587.90735391009071</v>
      </c>
      <c r="J24" s="18">
        <v>1973.1</v>
      </c>
      <c r="K24" s="13">
        <v>1160000</v>
      </c>
      <c r="L24" s="22">
        <f t="shared" si="4"/>
        <v>112555.3693109584</v>
      </c>
      <c r="M24" s="22">
        <f t="shared" si="5"/>
        <v>112555.3693109584</v>
      </c>
      <c r="N24" s="19" t="s">
        <v>92</v>
      </c>
      <c r="O24" s="4">
        <f t="shared" si="6"/>
        <v>390.91227003192949</v>
      </c>
      <c r="P24" s="12">
        <v>771309</v>
      </c>
      <c r="Q24" s="22">
        <f t="shared" si="7"/>
        <v>74840.490817125887</v>
      </c>
      <c r="R24" s="13">
        <f t="shared" si="8"/>
        <v>74840.490817125887</v>
      </c>
    </row>
    <row r="25" spans="1:18">
      <c r="A25" s="18" t="s">
        <v>63</v>
      </c>
      <c r="B25" s="24">
        <v>58.291697709553844</v>
      </c>
      <c r="C25" s="24">
        <v>60.040448640840452</v>
      </c>
      <c r="D25" s="16">
        <f t="shared" si="9"/>
        <v>9715.2829515923077</v>
      </c>
      <c r="E25" s="34">
        <f>'Interval Circuities'!B25</f>
        <v>1.3162005811729707</v>
      </c>
      <c r="F25" s="4">
        <f t="shared" si="0"/>
        <v>44.287852887593694</v>
      </c>
      <c r="G25" s="4">
        <f t="shared" si="1"/>
        <v>7.3813088145989489</v>
      </c>
      <c r="H25" s="4">
        <f t="shared" si="2"/>
        <v>171.16565391568608</v>
      </c>
      <c r="I25" s="4">
        <f t="shared" si="3"/>
        <v>1175.4827875734677</v>
      </c>
      <c r="J25" s="18">
        <v>595.5</v>
      </c>
      <c r="K25" s="13">
        <v>700000</v>
      </c>
      <c r="L25" s="22">
        <f t="shared" si="4"/>
        <v>201202.28000164611</v>
      </c>
      <c r="M25" s="22">
        <f t="shared" si="5"/>
        <v>201202.28000164611</v>
      </c>
      <c r="N25" s="19" t="s">
        <v>92</v>
      </c>
      <c r="O25" s="4">
        <f t="shared" si="6"/>
        <v>623.22082283795135</v>
      </c>
      <c r="P25" s="12">
        <v>371128</v>
      </c>
      <c r="Q25" s="22">
        <f t="shared" si="7"/>
        <v>106673.99967492989</v>
      </c>
      <c r="R25" s="13">
        <f t="shared" si="8"/>
        <v>106673.99967492989</v>
      </c>
    </row>
    <row r="26" spans="1:18" ht="16">
      <c r="A26" s="18" t="s">
        <v>121</v>
      </c>
      <c r="B26" s="25">
        <v>48.116227796764051</v>
      </c>
      <c r="C26" s="25">
        <v>49.559714630666974</v>
      </c>
      <c r="D26" s="16">
        <f t="shared" si="9"/>
        <v>8019.3712994606749</v>
      </c>
      <c r="E26" s="34">
        <f>'Interval Circuities'!B26</f>
        <v>1.2967211649778432</v>
      </c>
      <c r="F26" s="4">
        <f t="shared" si="0"/>
        <v>37.106071140271858</v>
      </c>
      <c r="G26" s="4">
        <f t="shared" si="1"/>
        <v>6.1843451900453097</v>
      </c>
      <c r="H26" s="4">
        <f t="shared" si="2"/>
        <v>120.15374667801997</v>
      </c>
      <c r="I26" s="4">
        <f t="shared" si="3"/>
        <v>2243.0420521281399</v>
      </c>
      <c r="J26" s="18">
        <v>5091.3</v>
      </c>
      <c r="K26" s="13">
        <v>11420000</v>
      </c>
      <c r="L26" s="22">
        <f t="shared" si="4"/>
        <v>269509.9065195506</v>
      </c>
      <c r="M26" s="22">
        <f t="shared" si="5"/>
        <v>269509.9065195506</v>
      </c>
      <c r="N26" s="19" t="s">
        <v>92</v>
      </c>
      <c r="O26" s="4">
        <f t="shared" si="6"/>
        <v>1186.7479818513934</v>
      </c>
      <c r="P26" s="22">
        <f>6809043-P22</f>
        <v>6042090</v>
      </c>
      <c r="Q26" s="22">
        <f t="shared" si="7"/>
        <v>142592.21638202376</v>
      </c>
      <c r="R26" s="13">
        <f t="shared" si="8"/>
        <v>142592.21638202376</v>
      </c>
    </row>
    <row r="27" spans="1:18">
      <c r="A27" s="18" t="s">
        <v>42</v>
      </c>
      <c r="B27" s="24">
        <v>62.487212851553508</v>
      </c>
      <c r="C27" s="24">
        <v>64.986701365615659</v>
      </c>
      <c r="D27" s="16">
        <f t="shared" si="9"/>
        <v>10414.535475258917</v>
      </c>
      <c r="E27" s="34">
        <f>'Interval Circuities'!B27</f>
        <v>1.4461618303699983</v>
      </c>
      <c r="F27" s="4">
        <f t="shared" si="0"/>
        <v>43.209004372329652</v>
      </c>
      <c r="G27" s="4">
        <f t="shared" si="1"/>
        <v>7.2015007287216086</v>
      </c>
      <c r="H27" s="4">
        <f t="shared" si="2"/>
        <v>162.9280616054545</v>
      </c>
      <c r="I27" s="4">
        <f t="shared" si="3"/>
        <v>1106.8597977589507</v>
      </c>
      <c r="J27" s="18">
        <v>731.8</v>
      </c>
      <c r="K27" s="13">
        <v>810000</v>
      </c>
      <c r="L27" s="22">
        <f t="shared" si="4"/>
        <v>180338.52131787123</v>
      </c>
      <c r="M27" s="22">
        <f t="shared" si="5"/>
        <v>180338.52131787123</v>
      </c>
      <c r="N27" s="19" t="s">
        <v>92</v>
      </c>
      <c r="O27" s="4">
        <f t="shared" si="6"/>
        <v>610.65318393003554</v>
      </c>
      <c r="P27" s="12">
        <v>446876</v>
      </c>
      <c r="Q27" s="22">
        <f t="shared" si="7"/>
        <v>99492.539570919776</v>
      </c>
      <c r="R27" s="13">
        <f t="shared" si="8"/>
        <v>99492.539570919776</v>
      </c>
    </row>
    <row r="28" spans="1:18">
      <c r="A28" s="18" t="s">
        <v>43</v>
      </c>
      <c r="B28" s="24">
        <v>65.308032205055966</v>
      </c>
      <c r="C28" s="24">
        <v>67.920353493258204</v>
      </c>
      <c r="D28" s="16">
        <f t="shared" si="9"/>
        <v>10884.672034175994</v>
      </c>
      <c r="E28" s="34">
        <f>'Interval Circuities'!B28</f>
        <v>1.3673423853224496</v>
      </c>
      <c r="F28" s="4">
        <f t="shared" si="0"/>
        <v>47.762749773645673</v>
      </c>
      <c r="G28" s="4">
        <f t="shared" si="1"/>
        <v>7.9604582956076122</v>
      </c>
      <c r="H28" s="4">
        <f t="shared" si="2"/>
        <v>199.07925900711467</v>
      </c>
      <c r="I28" s="4">
        <f t="shared" si="3"/>
        <v>973.62164609985291</v>
      </c>
      <c r="J28" s="18">
        <v>883.3</v>
      </c>
      <c r="K28" s="13">
        <v>860000</v>
      </c>
      <c r="L28" s="22">
        <f t="shared" si="4"/>
        <v>193827.87585884595</v>
      </c>
      <c r="M28" s="22">
        <f t="shared" si="5"/>
        <v>193827.87585884595</v>
      </c>
      <c r="N28" s="19" t="s">
        <v>92</v>
      </c>
      <c r="O28" s="4">
        <f t="shared" si="6"/>
        <v>507.45726253820902</v>
      </c>
      <c r="P28" s="12">
        <v>448237</v>
      </c>
      <c r="Q28" s="22">
        <f t="shared" si="7"/>
        <v>101024.2158038855</v>
      </c>
      <c r="R28" s="13">
        <f t="shared" si="8"/>
        <v>101024.2158038855</v>
      </c>
    </row>
    <row r="29" spans="1:18">
      <c r="A29" s="18" t="s">
        <v>44</v>
      </c>
      <c r="B29" s="25">
        <v>64.485521071986952</v>
      </c>
      <c r="C29" s="25">
        <v>67.064941914866438</v>
      </c>
      <c r="D29" s="16">
        <f t="shared" si="9"/>
        <v>10747.586845331158</v>
      </c>
      <c r="E29" s="34">
        <f>'Interval Circuities'!B29</f>
        <v>1.2642401733175872</v>
      </c>
      <c r="F29" s="4">
        <f t="shared" si="0"/>
        <v>51.00733423362562</v>
      </c>
      <c r="G29" s="4">
        <f t="shared" si="1"/>
        <v>8.5012223722709361</v>
      </c>
      <c r="H29" s="4">
        <f t="shared" si="2"/>
        <v>227.0453572436989</v>
      </c>
      <c r="I29" s="4">
        <f t="shared" si="3"/>
        <v>927.60180995475116</v>
      </c>
      <c r="J29" s="18">
        <v>1326</v>
      </c>
      <c r="K29" s="13">
        <v>1230000</v>
      </c>
      <c r="L29" s="22">
        <f t="shared" si="4"/>
        <v>210607.68432107818</v>
      </c>
      <c r="M29" s="22">
        <f t="shared" si="5"/>
        <v>210607.68432107818</v>
      </c>
      <c r="N29" s="19" t="s">
        <v>92</v>
      </c>
      <c r="O29" s="4">
        <f t="shared" si="6"/>
        <v>582.76923076923072</v>
      </c>
      <c r="P29" s="12">
        <v>772752</v>
      </c>
      <c r="Q29" s="22">
        <f t="shared" si="7"/>
        <v>132315.0481906356</v>
      </c>
      <c r="R29" s="13">
        <f t="shared" si="8"/>
        <v>132315.0481906356</v>
      </c>
    </row>
    <row r="30" spans="1:18">
      <c r="A30" s="18" t="s">
        <v>45</v>
      </c>
      <c r="B30" s="25">
        <v>63.564185114523426</v>
      </c>
      <c r="C30" s="25">
        <v>66.106752519104361</v>
      </c>
      <c r="D30" s="16">
        <f t="shared" si="9"/>
        <v>10594.03085242057</v>
      </c>
      <c r="E30" s="34">
        <f>'Interval Circuities'!B30</f>
        <v>1.3432337036137816</v>
      </c>
      <c r="F30" s="4">
        <f t="shared" si="0"/>
        <v>47.321761614165069</v>
      </c>
      <c r="G30" s="4">
        <f t="shared" si="1"/>
        <v>7.8869602690275116</v>
      </c>
      <c r="H30" s="4">
        <f t="shared" si="2"/>
        <v>195.4200764260967</v>
      </c>
      <c r="I30" s="4">
        <f t="shared" si="3"/>
        <v>730.08608477716029</v>
      </c>
      <c r="J30" s="18">
        <v>2753.1</v>
      </c>
      <c r="K30" s="13">
        <v>2010000</v>
      </c>
      <c r="L30" s="22">
        <f t="shared" si="4"/>
        <v>142673.47848478239</v>
      </c>
      <c r="M30" s="22">
        <f t="shared" si="5"/>
        <v>142673.47848478239</v>
      </c>
      <c r="N30" s="19" t="s">
        <v>92</v>
      </c>
      <c r="O30" s="4">
        <f t="shared" si="6"/>
        <v>474.96422214957687</v>
      </c>
      <c r="P30" s="12">
        <v>1307624</v>
      </c>
      <c r="Q30" s="22">
        <f t="shared" si="7"/>
        <v>92817.54459213189</v>
      </c>
      <c r="R30" s="13">
        <f t="shared" si="8"/>
        <v>92817.54459213189</v>
      </c>
    </row>
    <row r="31" spans="1:18">
      <c r="A31" s="18" t="s">
        <v>46</v>
      </c>
      <c r="B31" s="24">
        <v>63.734436519319452</v>
      </c>
      <c r="C31" s="24">
        <v>66.283813980092233</v>
      </c>
      <c r="D31" s="16">
        <f t="shared" si="9"/>
        <v>10622.406086553241</v>
      </c>
      <c r="E31" s="34">
        <f>'Interval Circuities'!B31</f>
        <v>1.3962975386380219</v>
      </c>
      <c r="F31" s="4">
        <f t="shared" si="0"/>
        <v>45.645311801872381</v>
      </c>
      <c r="G31" s="4">
        <f t="shared" si="1"/>
        <v>7.6075519669787299</v>
      </c>
      <c r="H31" s="4">
        <f t="shared" si="2"/>
        <v>181.81919394380753</v>
      </c>
      <c r="I31" s="4">
        <f t="shared" si="3"/>
        <v>451.20587765532662</v>
      </c>
      <c r="J31" s="18">
        <v>1252.2</v>
      </c>
      <c r="K31" s="13">
        <v>565000</v>
      </c>
      <c r="L31" s="22">
        <f t="shared" si="4"/>
        <v>82037.888977999726</v>
      </c>
      <c r="M31" s="22">
        <f t="shared" si="5"/>
        <v>82037.888977999726</v>
      </c>
      <c r="N31" s="19" t="s">
        <v>92</v>
      </c>
      <c r="O31" s="4">
        <f t="shared" si="6"/>
        <v>395.8768567321514</v>
      </c>
      <c r="P31" s="12">
        <v>495717</v>
      </c>
      <c r="Q31" s="22">
        <f t="shared" si="7"/>
        <v>71978.010992047944</v>
      </c>
      <c r="R31" s="13">
        <f t="shared" si="8"/>
        <v>71978.010992047944</v>
      </c>
    </row>
    <row r="32" spans="1:18">
      <c r="A32" s="18" t="s">
        <v>47</v>
      </c>
      <c r="B32" s="25">
        <v>62.636693012318808</v>
      </c>
      <c r="C32" s="25">
        <v>65.142160732811561</v>
      </c>
      <c r="D32" s="16">
        <f t="shared" si="9"/>
        <v>10439.448835386467</v>
      </c>
      <c r="E32" s="34">
        <f>'Interval Circuities'!B32</f>
        <v>1.3868608857534024</v>
      </c>
      <c r="F32" s="4">
        <f t="shared" si="0"/>
        <v>45.164366271885925</v>
      </c>
      <c r="G32" s="4">
        <f t="shared" si="1"/>
        <v>7.5273943786476538</v>
      </c>
      <c r="H32" s="4">
        <f t="shared" si="2"/>
        <v>178.0078740594947</v>
      </c>
      <c r="I32" s="4">
        <f t="shared" si="3"/>
        <v>1501.072194424589</v>
      </c>
      <c r="J32" s="18">
        <v>699.5</v>
      </c>
      <c r="K32" s="13">
        <v>1050000</v>
      </c>
      <c r="L32" s="22">
        <f t="shared" si="4"/>
        <v>267202.67013934156</v>
      </c>
      <c r="M32" s="22">
        <f t="shared" si="5"/>
        <v>267202.67013934156</v>
      </c>
      <c r="N32" s="19" t="s">
        <v>92</v>
      </c>
      <c r="O32" s="4">
        <f t="shared" si="6"/>
        <v>735.84846318799146</v>
      </c>
      <c r="P32" s="12">
        <v>514726</v>
      </c>
      <c r="Q32" s="22">
        <f t="shared" si="7"/>
        <v>130986.8205620407</v>
      </c>
      <c r="R32" s="13">
        <f t="shared" si="8"/>
        <v>130986.8205620407</v>
      </c>
    </row>
    <row r="33" spans="1:18">
      <c r="A33" s="18" t="s">
        <v>65</v>
      </c>
      <c r="B33" s="25">
        <v>59.42988867805861</v>
      </c>
      <c r="C33" s="25">
        <v>62.40138311196155</v>
      </c>
      <c r="D33" s="16">
        <f t="shared" si="9"/>
        <v>9904.9814463431012</v>
      </c>
      <c r="E33" s="34">
        <f>'Interval Circuities'!B33</f>
        <v>1.3285519856984629</v>
      </c>
      <c r="F33" s="4">
        <f t="shared" si="0"/>
        <v>44.732828912836553</v>
      </c>
      <c r="G33" s="4">
        <f t="shared" si="1"/>
        <v>7.4554714854727582</v>
      </c>
      <c r="H33" s="4">
        <f t="shared" si="2"/>
        <v>174.62245906683336</v>
      </c>
      <c r="I33" s="4">
        <f t="shared" si="3"/>
        <v>2072.7310590777161</v>
      </c>
      <c r="J33" s="18">
        <v>7683.1</v>
      </c>
      <c r="K33" s="13">
        <v>15925000</v>
      </c>
      <c r="L33" s="22">
        <f t="shared" si="4"/>
        <v>361945.39452035265</v>
      </c>
      <c r="M33" s="22">
        <f t="shared" si="5"/>
        <v>361945.39452035265</v>
      </c>
      <c r="N33" s="19" t="s">
        <v>92</v>
      </c>
      <c r="O33" s="4">
        <f t="shared" si="6"/>
        <v>1112.8936236675299</v>
      </c>
      <c r="P33" s="12">
        <v>8550473</v>
      </c>
      <c r="Q33" s="22">
        <f t="shared" si="7"/>
        <v>194336.2212446231</v>
      </c>
      <c r="R33" s="13">
        <f t="shared" si="8"/>
        <v>194336.2212446231</v>
      </c>
    </row>
    <row r="34" spans="1:18">
      <c r="A34" s="18" t="s">
        <v>66</v>
      </c>
      <c r="B34" s="24">
        <v>69.714425398287744</v>
      </c>
      <c r="C34" s="24">
        <v>72.503002414219253</v>
      </c>
      <c r="D34" s="16">
        <f t="shared" si="9"/>
        <v>11619.070899714623</v>
      </c>
      <c r="E34" s="34">
        <f>'Interval Circuities'!B34</f>
        <v>1.3110975612258597</v>
      </c>
      <c r="F34" s="4">
        <f t="shared" si="0"/>
        <v>53.172568891902777</v>
      </c>
      <c r="G34" s="4">
        <f t="shared" si="1"/>
        <v>8.8620948153171284</v>
      </c>
      <c r="H34" s="4">
        <f t="shared" si="2"/>
        <v>246.73039677543656</v>
      </c>
      <c r="I34" s="4">
        <f t="shared" si="3"/>
        <v>411.8665313675163</v>
      </c>
      <c r="J34" s="18">
        <v>1675.3</v>
      </c>
      <c r="K34" s="13">
        <v>690000</v>
      </c>
      <c r="L34" s="22">
        <f t="shared" si="4"/>
        <v>101619.99270283009</v>
      </c>
      <c r="M34" s="22">
        <f t="shared" si="5"/>
        <v>101619.99270283009</v>
      </c>
      <c r="N34" s="19" t="s">
        <v>92</v>
      </c>
      <c r="O34" s="4">
        <f t="shared" si="6"/>
        <v>268.68143019160749</v>
      </c>
      <c r="P34" s="12">
        <v>450122</v>
      </c>
      <c r="Q34" s="22">
        <f t="shared" si="7"/>
        <v>66291.875877367071</v>
      </c>
      <c r="R34" s="13">
        <f t="shared" si="8"/>
        <v>66291.875877367071</v>
      </c>
    </row>
    <row r="35" spans="1:18">
      <c r="A35" s="18" t="s">
        <v>48</v>
      </c>
      <c r="B35" s="25">
        <v>58.78311324728174</v>
      </c>
      <c r="C35" s="25">
        <v>61.722268909645827</v>
      </c>
      <c r="D35" s="16">
        <f t="shared" si="9"/>
        <v>9797.1855412136229</v>
      </c>
      <c r="E35" s="34">
        <f>'Interval Circuities'!B35</f>
        <v>1.3848661716333772</v>
      </c>
      <c r="F35" s="4">
        <f t="shared" ref="F35:F53" si="10">B35/E35</f>
        <v>42.44678254935647</v>
      </c>
      <c r="G35" s="4">
        <f t="shared" ref="G35:G53" si="11">F35*$A$1</f>
        <v>7.0744637582260781</v>
      </c>
      <c r="H35" s="4">
        <f t="shared" ref="H35:H53" si="12">PI()*G35^2</f>
        <v>157.23054683119938</v>
      </c>
      <c r="I35" s="4">
        <f t="shared" ref="I35:I53" si="13">K35/J35</f>
        <v>841.40495059191858</v>
      </c>
      <c r="J35" s="18">
        <v>1022.1</v>
      </c>
      <c r="K35" s="13">
        <v>860000</v>
      </c>
      <c r="L35" s="22">
        <f t="shared" ref="L35:L53" si="14">H35*I35</f>
        <v>132294.56048804565</v>
      </c>
      <c r="M35" s="22">
        <f t="shared" ref="M35:M53" si="15">MIN(K35,L35)</f>
        <v>132294.56048804565</v>
      </c>
      <c r="N35" s="19" t="s">
        <v>92</v>
      </c>
      <c r="O35" s="4">
        <f t="shared" ref="O35:O53" si="16">P35/J35</f>
        <v>545.39477546228352</v>
      </c>
      <c r="P35" s="12">
        <v>557448</v>
      </c>
      <c r="Q35" s="22">
        <f t="shared" ref="Q35:Q53" si="17">H35*O35</f>
        <v>85752.718784814031</v>
      </c>
      <c r="R35" s="13">
        <f t="shared" ref="R35:R53" si="18">MIN(Q35,P35)</f>
        <v>85752.718784814031</v>
      </c>
    </row>
    <row r="36" spans="1:18">
      <c r="A36" s="18" t="s">
        <v>67</v>
      </c>
      <c r="B36" s="25">
        <v>63.176257053555211</v>
      </c>
      <c r="C36" s="25">
        <v>66.966832476768531</v>
      </c>
      <c r="D36" s="16">
        <f t="shared" si="9"/>
        <v>10529.376175592535</v>
      </c>
      <c r="E36" s="34">
        <f>'Interval Circuities'!B36</f>
        <v>1.2841177547554121</v>
      </c>
      <c r="F36" s="4">
        <f t="shared" si="10"/>
        <v>49.198180478073439</v>
      </c>
      <c r="G36" s="4">
        <f t="shared" si="11"/>
        <v>8.1996967463455732</v>
      </c>
      <c r="H36" s="4">
        <f t="shared" si="12"/>
        <v>211.22506604525935</v>
      </c>
      <c r="I36" s="4">
        <f t="shared" si="13"/>
        <v>1518.9201737803867</v>
      </c>
      <c r="J36" s="18">
        <v>3015.3</v>
      </c>
      <c r="K36" s="13">
        <v>4580000</v>
      </c>
      <c r="L36" s="22">
        <f t="shared" si="14"/>
        <v>320834.01402423898</v>
      </c>
      <c r="M36" s="22">
        <f t="shared" si="15"/>
        <v>320834.01402423898</v>
      </c>
      <c r="N36" s="19" t="s">
        <v>92</v>
      </c>
      <c r="O36" s="4">
        <f t="shared" si="16"/>
        <v>926.91175007461936</v>
      </c>
      <c r="P36" s="12">
        <v>2794917</v>
      </c>
      <c r="Q36" s="22">
        <f t="shared" si="17"/>
        <v>195786.99562763842</v>
      </c>
      <c r="R36" s="13">
        <f t="shared" si="18"/>
        <v>195786.99562763842</v>
      </c>
    </row>
    <row r="37" spans="1:18">
      <c r="A37" s="18" t="s">
        <v>49</v>
      </c>
      <c r="B37" s="25">
        <v>62.02920484038443</v>
      </c>
      <c r="C37" s="25">
        <v>65.130665082403652</v>
      </c>
      <c r="D37" s="16">
        <f t="shared" si="9"/>
        <v>10338.200806730738</v>
      </c>
      <c r="E37" s="34">
        <f>'Interval Circuities'!B37</f>
        <v>1.3377242090881898</v>
      </c>
      <c r="F37" s="4">
        <f t="shared" si="10"/>
        <v>46.369202574770135</v>
      </c>
      <c r="G37" s="4">
        <f t="shared" si="11"/>
        <v>7.7282004291283553</v>
      </c>
      <c r="H37" s="4">
        <f t="shared" si="12"/>
        <v>187.63187844657361</v>
      </c>
      <c r="I37" s="4">
        <f t="shared" si="13"/>
        <v>987.28769407106381</v>
      </c>
      <c r="J37" s="18">
        <v>1919.4</v>
      </c>
      <c r="K37" s="13">
        <v>1895000</v>
      </c>
      <c r="L37" s="22">
        <f t="shared" si="14"/>
        <v>185246.6446057398</v>
      </c>
      <c r="M37" s="22">
        <f t="shared" si="15"/>
        <v>185246.6446057398</v>
      </c>
      <c r="N37" s="19" t="s">
        <v>92</v>
      </c>
      <c r="O37" s="4">
        <f t="shared" si="16"/>
        <v>519.17005314160667</v>
      </c>
      <c r="P37" s="12">
        <v>996495</v>
      </c>
      <c r="Q37" s="22">
        <f t="shared" si="17"/>
        <v>97412.8523041671</v>
      </c>
      <c r="R37" s="13">
        <f t="shared" si="18"/>
        <v>97412.8523041671</v>
      </c>
    </row>
    <row r="38" spans="1:18">
      <c r="A38" s="18" t="s">
        <v>50</v>
      </c>
      <c r="B38" s="25">
        <v>65.42916793409438</v>
      </c>
      <c r="C38" s="25">
        <v>68.700626330799111</v>
      </c>
      <c r="D38" s="16">
        <f t="shared" si="9"/>
        <v>10904.861322349063</v>
      </c>
      <c r="E38" s="34">
        <f>'Interval Circuities'!B38</f>
        <v>1.3964819567172002</v>
      </c>
      <c r="F38" s="4">
        <f t="shared" si="10"/>
        <v>46.852855935140703</v>
      </c>
      <c r="G38" s="4">
        <f t="shared" si="11"/>
        <v>7.8088093225234498</v>
      </c>
      <c r="H38" s="4">
        <f t="shared" si="12"/>
        <v>191.56647557066765</v>
      </c>
      <c r="I38" s="4">
        <f t="shared" si="13"/>
        <v>883.28701865819767</v>
      </c>
      <c r="J38" s="18">
        <v>2015.2</v>
      </c>
      <c r="K38" s="13">
        <v>1780000</v>
      </c>
      <c r="L38" s="22">
        <f t="shared" si="14"/>
        <v>169208.18108167348</v>
      </c>
      <c r="M38" s="22">
        <f t="shared" si="15"/>
        <v>169208.18108167348</v>
      </c>
      <c r="N38" s="19" t="s">
        <v>92</v>
      </c>
      <c r="O38" s="4">
        <f t="shared" si="16"/>
        <v>474.4710202461294</v>
      </c>
      <c r="P38" s="12">
        <v>956154</v>
      </c>
      <c r="Q38" s="22">
        <f t="shared" si="17"/>
        <v>90892.741108969902</v>
      </c>
      <c r="R38" s="13">
        <f t="shared" si="18"/>
        <v>90892.741108969902</v>
      </c>
    </row>
    <row r="39" spans="1:18">
      <c r="A39" s="18" t="s">
        <v>51</v>
      </c>
      <c r="B39" s="25">
        <v>65.140770915733583</v>
      </c>
      <c r="C39" s="25">
        <v>68.397809461520268</v>
      </c>
      <c r="D39" s="16">
        <f t="shared" si="9"/>
        <v>10856.795152622264</v>
      </c>
      <c r="E39" s="34">
        <f>'Interval Circuities'!B39</f>
        <v>1.5132631454535335</v>
      </c>
      <c r="F39" s="4">
        <f t="shared" si="10"/>
        <v>43.046558763717549</v>
      </c>
      <c r="G39" s="4">
        <f t="shared" si="11"/>
        <v>7.1744264606195909</v>
      </c>
      <c r="H39" s="4">
        <f t="shared" si="12"/>
        <v>161.70529811668689</v>
      </c>
      <c r="I39" s="4">
        <f t="shared" si="13"/>
        <v>1184.1974325803562</v>
      </c>
      <c r="J39" s="18">
        <v>1004.9</v>
      </c>
      <c r="K39" s="13">
        <v>1190000</v>
      </c>
      <c r="L39" s="22">
        <f t="shared" si="14"/>
        <v>191490.99886442174</v>
      </c>
      <c r="M39" s="22">
        <f t="shared" si="15"/>
        <v>191490.99886442174</v>
      </c>
      <c r="N39" s="19" t="s">
        <v>92</v>
      </c>
      <c r="O39" s="4">
        <f t="shared" si="16"/>
        <v>720.99910438849633</v>
      </c>
      <c r="P39" s="12">
        <v>724532</v>
      </c>
      <c r="Q39" s="22">
        <f t="shared" si="17"/>
        <v>116589.37511700606</v>
      </c>
      <c r="R39" s="13">
        <f t="shared" si="18"/>
        <v>116589.37511700606</v>
      </c>
    </row>
    <row r="40" spans="1:18">
      <c r="A40" s="18" t="s">
        <v>52</v>
      </c>
      <c r="B40" s="25">
        <v>70.338872065042395</v>
      </c>
      <c r="C40" s="25">
        <v>75.262593109595372</v>
      </c>
      <c r="D40" s="16">
        <f t="shared" si="9"/>
        <v>11723.145344173732</v>
      </c>
      <c r="E40" s="34">
        <f>'Interval Circuities'!B40</f>
        <v>1.3175246716287143</v>
      </c>
      <c r="F40" s="4">
        <f t="shared" si="10"/>
        <v>53.387138457217652</v>
      </c>
      <c r="G40" s="4">
        <f t="shared" si="11"/>
        <v>8.8978564095362742</v>
      </c>
      <c r="H40" s="4">
        <f t="shared" si="12"/>
        <v>248.72569819905718</v>
      </c>
      <c r="I40" s="4">
        <f t="shared" si="13"/>
        <v>1415.4601861427093</v>
      </c>
      <c r="J40" s="18">
        <v>773.6</v>
      </c>
      <c r="K40" s="13">
        <v>1095000</v>
      </c>
      <c r="L40" s="22">
        <f t="shared" si="14"/>
        <v>352061.3230713128</v>
      </c>
      <c r="M40" s="22">
        <f t="shared" si="15"/>
        <v>352061.3230713128</v>
      </c>
      <c r="N40" s="19" t="s">
        <v>92</v>
      </c>
      <c r="O40" s="4">
        <f t="shared" si="16"/>
        <v>704.06928645294727</v>
      </c>
      <c r="P40" s="12">
        <v>544668</v>
      </c>
      <c r="Q40" s="22">
        <f t="shared" si="17"/>
        <v>175120.12485352129</v>
      </c>
      <c r="R40" s="13">
        <f t="shared" si="18"/>
        <v>175120.12485352129</v>
      </c>
    </row>
    <row r="41" spans="1:18">
      <c r="A41" s="18" t="s">
        <v>53</v>
      </c>
      <c r="B41" s="24">
        <v>68.778714095226661</v>
      </c>
      <c r="C41" s="24">
        <v>74.281011222844796</v>
      </c>
      <c r="D41" s="16">
        <f t="shared" si="9"/>
        <v>11463.119015871109</v>
      </c>
      <c r="E41" s="34">
        <f>'Interval Circuities'!B41</f>
        <v>1.3311216464630611</v>
      </c>
      <c r="F41" s="4">
        <f t="shared" si="10"/>
        <v>51.669743541455723</v>
      </c>
      <c r="G41" s="4">
        <f t="shared" si="11"/>
        <v>8.6116239235759533</v>
      </c>
      <c r="H41" s="4">
        <f t="shared" si="12"/>
        <v>232.98072042376344</v>
      </c>
      <c r="I41" s="4">
        <f t="shared" si="13"/>
        <v>1097.213078779899</v>
      </c>
      <c r="J41" s="18">
        <v>455.7</v>
      </c>
      <c r="K41" s="13">
        <v>500000</v>
      </c>
      <c r="L41" s="22">
        <f t="shared" si="14"/>
        <v>255629.49355251639</v>
      </c>
      <c r="M41" s="22">
        <f t="shared" si="15"/>
        <v>255629.49355251639</v>
      </c>
      <c r="N41" s="19" t="s">
        <v>92</v>
      </c>
      <c r="O41" s="4">
        <f t="shared" si="16"/>
        <v>877.11432960280888</v>
      </c>
      <c r="P41" s="12">
        <v>399701</v>
      </c>
      <c r="Q41" s="22">
        <f t="shared" si="17"/>
        <v>204350.72840486871</v>
      </c>
      <c r="R41" s="13">
        <f t="shared" si="18"/>
        <v>204350.72840486871</v>
      </c>
    </row>
    <row r="42" spans="1:18">
      <c r="A42" s="18" t="s">
        <v>82</v>
      </c>
      <c r="B42" s="25">
        <v>70.514936537683639</v>
      </c>
      <c r="C42" s="25">
        <v>78.27157955682884</v>
      </c>
      <c r="D42" s="16">
        <f t="shared" si="9"/>
        <v>11752.489422947272</v>
      </c>
      <c r="E42" s="34">
        <f>'Interval Circuities'!B42</f>
        <v>1.2967935188849744</v>
      </c>
      <c r="F42" s="4">
        <f t="shared" si="10"/>
        <v>54.376379516697995</v>
      </c>
      <c r="G42" s="4">
        <f t="shared" si="11"/>
        <v>9.0627299194496658</v>
      </c>
      <c r="H42" s="4">
        <f t="shared" si="12"/>
        <v>258.02866061616726</v>
      </c>
      <c r="I42" s="4">
        <f t="shared" si="13"/>
        <v>1079.1366906474821</v>
      </c>
      <c r="J42" s="18">
        <v>569.9</v>
      </c>
      <c r="K42" s="13">
        <v>615000</v>
      </c>
      <c r="L42" s="22">
        <f t="shared" si="14"/>
        <v>278448.19490953302</v>
      </c>
      <c r="M42" s="22">
        <f t="shared" si="15"/>
        <v>278448.19490953302</v>
      </c>
      <c r="N42" s="19" t="s">
        <v>92</v>
      </c>
      <c r="O42" s="4">
        <f t="shared" si="16"/>
        <v>844.82716266011585</v>
      </c>
      <c r="P42" s="12">
        <v>481467</v>
      </c>
      <c r="Q42" s="22">
        <f t="shared" si="17"/>
        <v>217989.62123334655</v>
      </c>
      <c r="R42" s="13">
        <f t="shared" si="18"/>
        <v>217989.62123334655</v>
      </c>
    </row>
    <row r="43" spans="1:18">
      <c r="A43" s="18" t="s">
        <v>54</v>
      </c>
      <c r="B43" s="25">
        <v>61.557786724693997</v>
      </c>
      <c r="C43" s="25">
        <v>68.329143264410348</v>
      </c>
      <c r="D43" s="16">
        <f t="shared" si="9"/>
        <v>10259.631120782333</v>
      </c>
      <c r="E43" s="34">
        <f>'Interval Circuities'!B43</f>
        <v>1.4561519355494399</v>
      </c>
      <c r="F43" s="4">
        <f t="shared" si="10"/>
        <v>42.274288294968905</v>
      </c>
      <c r="G43" s="4">
        <f t="shared" si="11"/>
        <v>7.0457147158281508</v>
      </c>
      <c r="H43" s="4">
        <f t="shared" si="12"/>
        <v>155.95524365264055</v>
      </c>
      <c r="I43" s="4">
        <f t="shared" si="13"/>
        <v>1272.1174973979414</v>
      </c>
      <c r="J43" s="18">
        <v>864.7</v>
      </c>
      <c r="K43" s="13">
        <v>1100000</v>
      </c>
      <c r="L43" s="22">
        <f t="shared" si="14"/>
        <v>198393.39426148328</v>
      </c>
      <c r="M43" s="22">
        <f t="shared" si="15"/>
        <v>198393.39426148328</v>
      </c>
      <c r="N43" s="19" t="s">
        <v>92</v>
      </c>
      <c r="O43" s="4">
        <f t="shared" si="16"/>
        <v>793.27512432057358</v>
      </c>
      <c r="P43" s="12">
        <v>685945</v>
      </c>
      <c r="Q43" s="22">
        <f t="shared" si="17"/>
        <v>123715.41529699377</v>
      </c>
      <c r="R43" s="13">
        <f t="shared" si="18"/>
        <v>123715.41529699377</v>
      </c>
    </row>
    <row r="44" spans="1:18">
      <c r="A44" s="18" t="s">
        <v>55</v>
      </c>
      <c r="B44" s="4">
        <v>65.143959367039756</v>
      </c>
      <c r="C44" s="4">
        <v>73.612674084754914</v>
      </c>
      <c r="D44" s="16">
        <f t="shared" si="9"/>
        <v>10857.326561173291</v>
      </c>
      <c r="E44" s="34">
        <f>'Interval Circuities'!B44</f>
        <v>1.3613500876534124</v>
      </c>
      <c r="F44" s="4">
        <f t="shared" si="10"/>
        <v>47.852466428624368</v>
      </c>
      <c r="G44" s="4">
        <f t="shared" si="11"/>
        <v>7.975411071437394</v>
      </c>
      <c r="H44" s="4">
        <f t="shared" si="12"/>
        <v>199.82785492775949</v>
      </c>
      <c r="I44" s="4">
        <f t="shared" si="13"/>
        <v>1215.620726333384</v>
      </c>
      <c r="J44" s="18">
        <v>658.1</v>
      </c>
      <c r="K44" s="13">
        <v>800000</v>
      </c>
      <c r="L44" s="22">
        <f t="shared" si="14"/>
        <v>242914.88214892507</v>
      </c>
      <c r="M44" s="22">
        <f t="shared" si="15"/>
        <v>242914.88214892507</v>
      </c>
      <c r="N44" s="19" t="s">
        <v>92</v>
      </c>
      <c r="O44" s="4">
        <f t="shared" si="16"/>
        <v>728.36650964898945</v>
      </c>
      <c r="P44" s="12">
        <v>479338</v>
      </c>
      <c r="Q44" s="22">
        <f t="shared" si="17"/>
        <v>145547.91722437678</v>
      </c>
      <c r="R44" s="13">
        <f t="shared" si="18"/>
        <v>145547.91722437678</v>
      </c>
    </row>
    <row r="45" spans="1:18">
      <c r="A45" s="18" t="s">
        <v>68</v>
      </c>
      <c r="B45" s="4">
        <v>68.131157212250471</v>
      </c>
      <c r="C45" s="4">
        <v>77.66951922196553</v>
      </c>
      <c r="D45" s="16">
        <f t="shared" si="9"/>
        <v>11355.192868708411</v>
      </c>
      <c r="E45" s="34">
        <f>'Interval Circuities'!B45</f>
        <v>1.4519665174020164</v>
      </c>
      <c r="F45" s="4">
        <f t="shared" si="10"/>
        <v>46.923366617404241</v>
      </c>
      <c r="G45" s="4">
        <f t="shared" si="11"/>
        <v>7.8205611029007063</v>
      </c>
      <c r="H45" s="4">
        <f t="shared" si="12"/>
        <v>192.14350109405439</v>
      </c>
      <c r="I45" s="4">
        <f t="shared" si="13"/>
        <v>1031.2913177611283</v>
      </c>
      <c r="J45" s="18">
        <v>1134.5</v>
      </c>
      <c r="K45" s="13">
        <v>1170000</v>
      </c>
      <c r="L45" s="22">
        <f t="shared" si="14"/>
        <v>198155.92444252415</v>
      </c>
      <c r="M45" s="22">
        <f t="shared" si="15"/>
        <v>198155.92444252415</v>
      </c>
      <c r="N45" s="19" t="s">
        <v>92</v>
      </c>
      <c r="O45" s="4">
        <f t="shared" si="16"/>
        <v>501.67386513882769</v>
      </c>
      <c r="P45" s="12">
        <v>569149</v>
      </c>
      <c r="Q45" s="22">
        <f t="shared" si="17"/>
        <v>96393.372855160836</v>
      </c>
      <c r="R45" s="13">
        <f t="shared" si="18"/>
        <v>96393.372855160836</v>
      </c>
    </row>
    <row r="46" spans="1:18">
      <c r="A46" s="18" t="s">
        <v>69</v>
      </c>
      <c r="B46" s="4">
        <v>59.330043396898148</v>
      </c>
      <c r="C46" s="4">
        <v>68.229549906432865</v>
      </c>
      <c r="D46" s="16">
        <f t="shared" si="9"/>
        <v>9888.3405661496909</v>
      </c>
      <c r="E46" s="34">
        <f>'Interval Circuities'!B46</f>
        <v>1.4199820518025561</v>
      </c>
      <c r="F46" s="4">
        <f t="shared" si="10"/>
        <v>41.782248811936249</v>
      </c>
      <c r="G46" s="4">
        <f t="shared" si="11"/>
        <v>6.9637081353227082</v>
      </c>
      <c r="H46" s="4">
        <f t="shared" si="12"/>
        <v>152.34597823945657</v>
      </c>
      <c r="I46" s="4">
        <f t="shared" si="13"/>
        <v>1283.9160839160838</v>
      </c>
      <c r="J46" s="18">
        <v>1787.5</v>
      </c>
      <c r="K46" s="13">
        <v>2295000</v>
      </c>
      <c r="L46" s="22">
        <f t="shared" si="14"/>
        <v>195599.451781568</v>
      </c>
      <c r="M46" s="22">
        <f t="shared" si="15"/>
        <v>195599.451781568</v>
      </c>
      <c r="N46" s="19" t="s">
        <v>92</v>
      </c>
      <c r="O46" s="4">
        <f t="shared" si="16"/>
        <v>688.36139860139861</v>
      </c>
      <c r="P46" s="12">
        <v>1230446</v>
      </c>
      <c r="Q46" s="22">
        <f t="shared" si="17"/>
        <v>104869.09065221057</v>
      </c>
      <c r="R46" s="13">
        <f t="shared" si="18"/>
        <v>104869.09065221057</v>
      </c>
    </row>
    <row r="47" spans="1:18" ht="16">
      <c r="A47" s="18" t="s">
        <v>114</v>
      </c>
      <c r="B47" s="4">
        <v>53.936325276944842</v>
      </c>
      <c r="C47" s="4">
        <v>62.026774068486567</v>
      </c>
      <c r="D47" s="16">
        <f t="shared" si="9"/>
        <v>8989.3875461574735</v>
      </c>
      <c r="E47" s="34">
        <f>'Interval Circuities'!B47</f>
        <v>1.4123371408549048</v>
      </c>
      <c r="F47" s="4">
        <f t="shared" si="10"/>
        <v>38.189412227944757</v>
      </c>
      <c r="G47" s="4">
        <f t="shared" si="11"/>
        <v>6.3649020379907926</v>
      </c>
      <c r="H47" s="4">
        <f t="shared" si="12"/>
        <v>127.27213232022555</v>
      </c>
      <c r="I47" s="4">
        <f t="shared" si="13"/>
        <v>1623.3049162948894</v>
      </c>
      <c r="J47" s="18">
        <v>2263.9</v>
      </c>
      <c r="K47" s="13">
        <v>3675000</v>
      </c>
      <c r="L47" s="22">
        <f t="shared" si="14"/>
        <v>206601.47810275582</v>
      </c>
      <c r="M47" s="22">
        <f t="shared" si="15"/>
        <v>206601.47810275582</v>
      </c>
      <c r="N47" s="19" t="s">
        <v>92</v>
      </c>
      <c r="O47" s="4">
        <f t="shared" si="16"/>
        <v>870.35072220504435</v>
      </c>
      <c r="P47" s="22">
        <f>3200833-P46</f>
        <v>1970387</v>
      </c>
      <c r="Q47" s="22">
        <f t="shared" si="17"/>
        <v>110771.39228148428</v>
      </c>
      <c r="R47" s="13">
        <f t="shared" si="18"/>
        <v>110771.39228148428</v>
      </c>
    </row>
    <row r="48" spans="1:18" ht="16">
      <c r="A48" s="18" t="s">
        <v>72</v>
      </c>
      <c r="B48" s="4">
        <v>57.58663731743308</v>
      </c>
      <c r="C48" s="4">
        <v>66.800499288222369</v>
      </c>
      <c r="D48" s="16">
        <f t="shared" si="9"/>
        <v>9597.7728862388467</v>
      </c>
      <c r="E48" s="34">
        <f>'Interval Circuities'!B48</f>
        <v>1.4096310284707418</v>
      </c>
      <c r="F48" s="4">
        <f t="shared" si="10"/>
        <v>40.85227705288721</v>
      </c>
      <c r="G48" s="4">
        <f t="shared" si="11"/>
        <v>6.8087128421478678</v>
      </c>
      <c r="H48" s="4">
        <f t="shared" si="12"/>
        <v>145.63974472367491</v>
      </c>
      <c r="I48" s="4">
        <f t="shared" si="13"/>
        <v>1608.4873374401095</v>
      </c>
      <c r="J48" s="18">
        <v>876.6</v>
      </c>
      <c r="K48" s="13">
        <v>1410000</v>
      </c>
      <c r="L48" s="22">
        <f t="shared" si="14"/>
        <v>234259.68521604108</v>
      </c>
      <c r="M48" s="22">
        <f t="shared" si="15"/>
        <v>234259.68521604108</v>
      </c>
      <c r="N48" s="19" t="s">
        <v>92</v>
      </c>
      <c r="O48" s="4">
        <f t="shared" si="16"/>
        <v>1079.5836185261237</v>
      </c>
      <c r="P48" s="13">
        <v>946363</v>
      </c>
      <c r="Q48" s="22">
        <f t="shared" si="17"/>
        <v>157230.2826100059</v>
      </c>
      <c r="R48" s="13">
        <f t="shared" si="18"/>
        <v>157230.2826100059</v>
      </c>
    </row>
    <row r="49" spans="1:18">
      <c r="A49" s="18" t="s">
        <v>56</v>
      </c>
      <c r="B49" s="4">
        <v>57.751551670614234</v>
      </c>
      <c r="C49" s="4">
        <v>67.569315454618646</v>
      </c>
      <c r="D49" s="16">
        <f t="shared" si="9"/>
        <v>9625.2586117690371</v>
      </c>
      <c r="E49" s="34">
        <f>'Interval Circuities'!B49</f>
        <v>1.4456563048025668</v>
      </c>
      <c r="F49" s="4">
        <f t="shared" si="10"/>
        <v>39.948327606471693</v>
      </c>
      <c r="G49" s="4">
        <f t="shared" si="11"/>
        <v>6.6580546010786152</v>
      </c>
      <c r="H49" s="4">
        <f t="shared" si="12"/>
        <v>139.26583180438308</v>
      </c>
      <c r="I49" s="4">
        <f t="shared" si="13"/>
        <v>1477.6384054639784</v>
      </c>
      <c r="J49" s="18">
        <v>1522.7</v>
      </c>
      <c r="K49" s="13">
        <v>2250000</v>
      </c>
      <c r="L49" s="22">
        <f t="shared" si="14"/>
        <v>205784.54164304322</v>
      </c>
      <c r="M49" s="22">
        <f t="shared" si="15"/>
        <v>205784.54164304322</v>
      </c>
      <c r="N49" s="19" t="s">
        <v>92</v>
      </c>
      <c r="O49" s="4">
        <f t="shared" si="16"/>
        <v>859.22243383463581</v>
      </c>
      <c r="P49" s="12">
        <v>1308338</v>
      </c>
      <c r="Q49" s="22">
        <f t="shared" si="17"/>
        <v>119660.32695296707</v>
      </c>
      <c r="R49" s="13">
        <f t="shared" si="18"/>
        <v>119660.32695296707</v>
      </c>
    </row>
    <row r="50" spans="1:18">
      <c r="A50" s="18" t="s">
        <v>76</v>
      </c>
      <c r="B50" s="4">
        <v>57.267086544288581</v>
      </c>
      <c r="C50" s="4">
        <v>59.557770006060125</v>
      </c>
      <c r="D50" s="16">
        <f t="shared" si="9"/>
        <v>9544.514424048095</v>
      </c>
      <c r="E50" s="34">
        <f>'Interval Circuities'!B50</f>
        <v>1.32034652628619</v>
      </c>
      <c r="F50" s="4">
        <f t="shared" si="10"/>
        <v>43.372770257037608</v>
      </c>
      <c r="G50" s="4">
        <f t="shared" si="11"/>
        <v>7.2287950428396011</v>
      </c>
      <c r="H50" s="4">
        <f t="shared" si="12"/>
        <v>164.16542507639966</v>
      </c>
      <c r="I50" s="4">
        <f t="shared" si="13"/>
        <v>4280.7094372673528</v>
      </c>
      <c r="J50" s="18">
        <v>913.4</v>
      </c>
      <c r="K50" s="13">
        <v>3910000</v>
      </c>
      <c r="L50" s="22">
        <f t="shared" si="14"/>
        <v>702744.48439755058</v>
      </c>
      <c r="M50" s="22">
        <f t="shared" si="15"/>
        <v>702744.48439755058</v>
      </c>
      <c r="N50" s="19" t="s">
        <v>92</v>
      </c>
      <c r="O50" s="4">
        <f t="shared" si="16"/>
        <v>1616.0335012042917</v>
      </c>
      <c r="P50" s="12">
        <v>1476085</v>
      </c>
      <c r="Q50" s="22">
        <f t="shared" si="17"/>
        <v>265296.82666290499</v>
      </c>
      <c r="R50" s="13">
        <f t="shared" si="18"/>
        <v>265296.82666290499</v>
      </c>
    </row>
    <row r="51" spans="1:18">
      <c r="A51" s="18" t="s">
        <v>57</v>
      </c>
      <c r="B51" s="4">
        <v>65.029165523454452</v>
      </c>
      <c r="C51" s="4">
        <v>79.985873593848979</v>
      </c>
      <c r="D51" s="16">
        <f t="shared" si="9"/>
        <v>10838.194253909074</v>
      </c>
      <c r="E51" s="34">
        <f>'Interval Circuities'!B51</f>
        <v>1.4333416134240047</v>
      </c>
      <c r="F51" s="4">
        <f t="shared" si="10"/>
        <v>45.368923161388615</v>
      </c>
      <c r="G51" s="4">
        <f t="shared" si="11"/>
        <v>7.5614871935647692</v>
      </c>
      <c r="H51" s="4">
        <f t="shared" si="12"/>
        <v>179.62397983903898</v>
      </c>
      <c r="I51" s="4">
        <f t="shared" si="13"/>
        <v>1039.2364793213148</v>
      </c>
      <c r="J51" s="18">
        <v>1886</v>
      </c>
      <c r="K51" s="13">
        <v>1960000</v>
      </c>
      <c r="L51" s="22">
        <f t="shared" si="14"/>
        <v>186671.7924096057</v>
      </c>
      <c r="M51" s="22">
        <f t="shared" si="15"/>
        <v>186671.7924096057</v>
      </c>
      <c r="N51" s="19" t="s">
        <v>92</v>
      </c>
      <c r="O51" s="4">
        <f t="shared" si="16"/>
        <v>606.75291622481438</v>
      </c>
      <c r="P51" s="12">
        <v>1144336</v>
      </c>
      <c r="Q51" s="22">
        <f t="shared" si="17"/>
        <v>108987.37359124416</v>
      </c>
      <c r="R51" s="13">
        <f t="shared" si="18"/>
        <v>108987.37359124416</v>
      </c>
    </row>
    <row r="52" spans="1:18">
      <c r="A52" s="18" t="s">
        <v>71</v>
      </c>
      <c r="B52" s="4">
        <v>57.772652523705723</v>
      </c>
      <c r="C52" s="4">
        <v>71.060362604158044</v>
      </c>
      <c r="D52" s="16">
        <f t="shared" si="9"/>
        <v>9628.7754206176196</v>
      </c>
      <c r="E52" s="34">
        <f>'Interval Circuities'!B52</f>
        <v>1.3536513388843285</v>
      </c>
      <c r="F52" s="4">
        <f t="shared" si="10"/>
        <v>42.679123393267282</v>
      </c>
      <c r="G52" s="4">
        <f t="shared" si="11"/>
        <v>7.1131872322112137</v>
      </c>
      <c r="H52" s="4">
        <f t="shared" si="12"/>
        <v>158.95652254821232</v>
      </c>
      <c r="I52" s="4">
        <f t="shared" si="13"/>
        <v>1022.1667558091162</v>
      </c>
      <c r="J52" s="18">
        <v>1682.7</v>
      </c>
      <c r="K52" s="13">
        <v>1720000</v>
      </c>
      <c r="L52" s="22">
        <f t="shared" si="14"/>
        <v>162480.07296780482</v>
      </c>
      <c r="M52" s="22">
        <f t="shared" si="15"/>
        <v>162480.07296780482</v>
      </c>
      <c r="N52" s="19" t="s">
        <v>92</v>
      </c>
      <c r="O52" s="4">
        <f t="shared" si="16"/>
        <v>543.59719498425147</v>
      </c>
      <c r="P52" s="12">
        <v>914711</v>
      </c>
      <c r="Q52" s="22">
        <f t="shared" si="17"/>
        <v>86408.319781659142</v>
      </c>
      <c r="R52" s="13">
        <f t="shared" si="18"/>
        <v>86408.319781659142</v>
      </c>
    </row>
    <row r="53" spans="1:18" ht="16">
      <c r="A53" s="18" t="s">
        <v>118</v>
      </c>
      <c r="B53" s="4">
        <v>57.166397237881569</v>
      </c>
      <c r="C53" s="4">
        <v>76.031308326382486</v>
      </c>
      <c r="D53" s="16">
        <f t="shared" si="9"/>
        <v>9527.7328729802612</v>
      </c>
      <c r="E53" s="34">
        <f>'Interval Circuities'!B53</f>
        <v>1.4355478863247719</v>
      </c>
      <c r="F53" s="4">
        <f t="shared" si="10"/>
        <v>39.822006484392887</v>
      </c>
      <c r="G53" s="4">
        <f t="shared" si="11"/>
        <v>6.6370010807321478</v>
      </c>
      <c r="H53" s="4">
        <f t="shared" si="12"/>
        <v>138.38647575088368</v>
      </c>
      <c r="I53" s="4">
        <f t="shared" si="13"/>
        <v>1267.0644976702363</v>
      </c>
      <c r="J53" s="18">
        <v>2446.6</v>
      </c>
      <c r="K53" s="13">
        <v>3100000</v>
      </c>
      <c r="L53" s="22">
        <f t="shared" si="14"/>
        <v>175344.59038164775</v>
      </c>
      <c r="M53" s="22">
        <f t="shared" si="15"/>
        <v>175344.59038164775</v>
      </c>
      <c r="N53" s="19" t="s">
        <v>92</v>
      </c>
      <c r="O53" s="4">
        <f t="shared" si="16"/>
        <v>905.07234529551215</v>
      </c>
      <c r="P53" s="12">
        <v>2214350</v>
      </c>
      <c r="Q53" s="22">
        <f t="shared" si="17"/>
        <v>125249.77216503282</v>
      </c>
      <c r="R53" s="13">
        <f t="shared" si="18"/>
        <v>125249.77216503282</v>
      </c>
    </row>
    <row r="54" spans="1:18">
      <c r="A54" s="18"/>
      <c r="B54" s="4"/>
      <c r="C54" s="11"/>
      <c r="D54" s="11"/>
      <c r="E54" s="2"/>
      <c r="F54" s="4"/>
      <c r="G54" s="4"/>
      <c r="H54" s="4"/>
      <c r="I54" s="4"/>
      <c r="J54" s="16"/>
      <c r="K54" s="13"/>
      <c r="L54" s="22"/>
      <c r="M54" s="22"/>
      <c r="N54" s="19"/>
      <c r="O54" s="4"/>
      <c r="P54" s="13"/>
      <c r="Q54" s="22"/>
      <c r="R54" s="13"/>
    </row>
    <row r="55" spans="1:18">
      <c r="A55" s="18"/>
      <c r="B55" s="18"/>
      <c r="C55" s="18"/>
      <c r="E55" s="18"/>
      <c r="F55" s="18"/>
      <c r="G55" s="18"/>
      <c r="H55" s="18"/>
      <c r="I55" s="18"/>
      <c r="J55" s="10"/>
      <c r="K55" s="13"/>
      <c r="L55" s="22"/>
      <c r="M55" s="22"/>
      <c r="N55" s="18"/>
      <c r="O55" s="18"/>
      <c r="P55" s="18"/>
      <c r="Q55" s="22"/>
      <c r="R55" s="18"/>
    </row>
    <row r="56" spans="1:18">
      <c r="A56" s="18" t="s">
        <v>74</v>
      </c>
      <c r="B56" s="18"/>
      <c r="C56" s="18"/>
      <c r="E56" s="18"/>
      <c r="F56" s="18"/>
      <c r="G56" s="18"/>
      <c r="H56" s="18"/>
      <c r="I56" s="18"/>
      <c r="J56" s="9"/>
      <c r="K56" s="13"/>
      <c r="L56" s="22"/>
      <c r="M56" s="22"/>
      <c r="N56" s="18"/>
      <c r="O56" s="18"/>
      <c r="P56" s="18"/>
      <c r="Q56" s="22"/>
      <c r="R56" s="18"/>
    </row>
    <row r="57" spans="1:18" ht="16">
      <c r="A57" s="18" t="s">
        <v>152</v>
      </c>
      <c r="B57" s="18"/>
      <c r="C57" s="18"/>
      <c r="E57" s="18"/>
      <c r="F57" s="18"/>
      <c r="G57" s="18"/>
      <c r="H57" s="18"/>
      <c r="I57" s="18"/>
      <c r="J57" s="9"/>
      <c r="K57" s="13"/>
      <c r="L57" s="22"/>
      <c r="M57" s="22"/>
      <c r="N57" s="18"/>
      <c r="O57" s="18"/>
      <c r="P57" s="18"/>
      <c r="Q57" s="22"/>
      <c r="R57" s="18"/>
    </row>
    <row r="58" spans="1:18" ht="16">
      <c r="A58" s="18" t="s">
        <v>117</v>
      </c>
      <c r="B58" s="18"/>
      <c r="C58" s="18"/>
      <c r="E58" s="18"/>
      <c r="F58" s="18"/>
      <c r="G58" s="18"/>
      <c r="H58" s="18"/>
      <c r="I58" s="18"/>
      <c r="J58" s="9"/>
      <c r="K58" s="13"/>
      <c r="L58" s="22"/>
      <c r="M58" s="22"/>
      <c r="N58" s="18"/>
      <c r="O58" s="18"/>
      <c r="P58" s="18"/>
      <c r="Q58" s="22"/>
      <c r="R58" s="18"/>
    </row>
    <row r="59" spans="1:18" ht="16">
      <c r="A59" s="18" t="s">
        <v>115</v>
      </c>
      <c r="B59" s="18"/>
      <c r="C59" s="18"/>
      <c r="E59" s="18"/>
      <c r="F59" s="18"/>
      <c r="G59" s="18"/>
      <c r="H59" s="18"/>
      <c r="I59" s="18"/>
      <c r="J59" s="10"/>
      <c r="K59" s="13"/>
      <c r="L59" s="22"/>
      <c r="M59" s="22"/>
      <c r="N59" s="18"/>
      <c r="O59" s="18"/>
      <c r="P59" s="18"/>
      <c r="Q59" s="22"/>
      <c r="R59" s="18"/>
    </row>
    <row r="60" spans="1:18">
      <c r="A60" s="18"/>
      <c r="B60" s="18"/>
      <c r="C60" s="18"/>
      <c r="E60" s="18"/>
      <c r="F60" s="18"/>
      <c r="G60" s="18"/>
      <c r="H60" s="18"/>
      <c r="I60" s="18"/>
      <c r="J60" s="10"/>
      <c r="K60" s="13"/>
      <c r="L60" s="22"/>
      <c r="M60" s="22"/>
      <c r="N60" s="18"/>
      <c r="O60" s="18"/>
      <c r="P60" s="18"/>
      <c r="Q60" s="22"/>
      <c r="R60" s="18"/>
    </row>
    <row r="61" spans="1:18">
      <c r="A61" s="18" t="s">
        <v>95</v>
      </c>
      <c r="B61" s="18"/>
      <c r="C61" s="18"/>
      <c r="E61" s="18"/>
      <c r="F61" s="18"/>
      <c r="G61" s="18"/>
      <c r="H61" s="18"/>
      <c r="I61" s="18"/>
      <c r="J61" s="10"/>
      <c r="K61" s="13"/>
      <c r="L61" s="22"/>
      <c r="M61" s="22"/>
      <c r="N61" s="18"/>
      <c r="O61" s="18"/>
      <c r="P61" s="18"/>
      <c r="Q61" s="22"/>
      <c r="R61" s="18"/>
    </row>
    <row r="62" spans="1:18">
      <c r="A62" s="18" t="s">
        <v>122</v>
      </c>
      <c r="B62" s="18"/>
      <c r="C62" s="18"/>
      <c r="E62" s="18"/>
      <c r="F62" s="18"/>
      <c r="G62" s="18"/>
      <c r="H62" s="18"/>
      <c r="I62" s="18"/>
      <c r="J62" s="10"/>
      <c r="K62" s="13"/>
      <c r="L62" s="22"/>
      <c r="M62" s="22"/>
      <c r="N62" s="18"/>
      <c r="O62" s="18"/>
      <c r="P62" s="18"/>
      <c r="Q62" s="22"/>
      <c r="R62" s="18"/>
    </row>
    <row r="63" spans="1:18">
      <c r="A63" s="18" t="s">
        <v>123</v>
      </c>
      <c r="B63" s="18"/>
      <c r="C63" s="18"/>
      <c r="E63" s="18"/>
      <c r="F63" s="18"/>
      <c r="G63" s="18"/>
      <c r="H63" s="18"/>
      <c r="I63" s="18"/>
      <c r="J63" s="9"/>
      <c r="K63" s="13"/>
      <c r="L63" s="22"/>
      <c r="M63" s="22"/>
      <c r="N63" s="18"/>
      <c r="O63" s="18"/>
      <c r="P63" s="18"/>
      <c r="Q63" s="22"/>
      <c r="R63" s="18"/>
    </row>
    <row r="64" spans="1:18">
      <c r="A64" s="18" t="s">
        <v>112</v>
      </c>
      <c r="B64" s="18"/>
      <c r="C64" s="18"/>
      <c r="E64" s="18"/>
      <c r="F64" s="18"/>
      <c r="G64" s="18"/>
      <c r="H64" s="18"/>
      <c r="I64" s="18"/>
      <c r="J64" s="10"/>
      <c r="K64" s="13"/>
      <c r="L64" s="22"/>
      <c r="M64" s="22"/>
      <c r="N64" s="18"/>
      <c r="O64" s="18"/>
      <c r="P64" s="18"/>
      <c r="Q64" s="22"/>
      <c r="R64" s="18"/>
    </row>
    <row r="65" spans="1:18">
      <c r="A65" s="18" t="s">
        <v>124</v>
      </c>
      <c r="B65" s="18"/>
      <c r="C65" s="18"/>
      <c r="E65" s="18"/>
      <c r="F65" s="18"/>
      <c r="G65" s="18"/>
      <c r="H65" s="18"/>
      <c r="I65" s="18"/>
      <c r="J65" s="10"/>
      <c r="K65" s="13"/>
      <c r="L65" s="22"/>
      <c r="M65" s="22"/>
      <c r="N65" s="18"/>
      <c r="O65" s="18"/>
      <c r="P65" s="18"/>
      <c r="Q65" s="22"/>
      <c r="R65" s="18"/>
    </row>
    <row r="66" spans="1:18">
      <c r="A66" t="s">
        <v>136</v>
      </c>
    </row>
    <row r="68" spans="1:18">
      <c r="A68" t="s">
        <v>181</v>
      </c>
    </row>
    <row r="69" spans="1:18">
      <c r="A69" t="s">
        <v>182</v>
      </c>
    </row>
  </sheetData>
  <sortState ref="A3:Q53">
    <sortCondition ref="A3:A53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D2" sqref="D2"/>
    </sheetView>
  </sheetViews>
  <sheetFormatPr baseColWidth="10" defaultColWidth="11.5" defaultRowHeight="14" x14ac:dyDescent="0"/>
  <cols>
    <col min="4" max="4" width="8.5" style="18" customWidth="1"/>
  </cols>
  <sheetData>
    <row r="1" spans="1:18" ht="56">
      <c r="A1" s="18">
        <f>2/6</f>
        <v>0.33333333333333331</v>
      </c>
      <c r="B1" s="1" t="s">
        <v>60</v>
      </c>
      <c r="C1" s="1" t="s">
        <v>61</v>
      </c>
      <c r="D1" s="30" t="s">
        <v>163</v>
      </c>
      <c r="E1" s="7" t="s">
        <v>91</v>
      </c>
      <c r="F1" s="1" t="s">
        <v>21</v>
      </c>
      <c r="G1" s="1" t="s">
        <v>20</v>
      </c>
      <c r="H1" s="1" t="s">
        <v>134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125</v>
      </c>
      <c r="E2" s="18" t="s">
        <v>116</v>
      </c>
      <c r="F2" s="18" t="s">
        <v>17</v>
      </c>
      <c r="G2" s="18" t="s">
        <v>19</v>
      </c>
      <c r="H2" s="18" t="s">
        <v>135</v>
      </c>
      <c r="I2" s="18" t="s">
        <v>24</v>
      </c>
      <c r="J2" s="9" t="s">
        <v>16</v>
      </c>
      <c r="K2" s="13" t="s">
        <v>126</v>
      </c>
      <c r="L2" s="22" t="s">
        <v>132</v>
      </c>
      <c r="M2" s="22" t="s">
        <v>127</v>
      </c>
      <c r="N2" s="19" t="s">
        <v>92</v>
      </c>
      <c r="O2" s="18" t="s">
        <v>128</v>
      </c>
      <c r="P2" s="18" t="s">
        <v>129</v>
      </c>
      <c r="Q2" s="22" t="s">
        <v>131</v>
      </c>
      <c r="R2" s="18" t="s">
        <v>130</v>
      </c>
    </row>
    <row r="3" spans="1:18">
      <c r="A3" s="18" t="s">
        <v>26</v>
      </c>
      <c r="B3" s="4">
        <f>'1990-10'!B3</f>
        <v>60.37546801014345</v>
      </c>
      <c r="C3" s="4">
        <f>'1990-10'!C3</f>
        <v>63.997996090752061</v>
      </c>
      <c r="D3" s="16">
        <f>B3*$A$1*1000</f>
        <v>20125.156003381151</v>
      </c>
      <c r="E3" s="4">
        <f>'Interval Circuities'!C3</f>
        <v>1.2915585796126512</v>
      </c>
      <c r="F3" s="4">
        <f t="shared" ref="F3:F34" si="0">B3/E3</f>
        <v>46.746209551138236</v>
      </c>
      <c r="G3" s="4">
        <f t="shared" ref="G3:G34" si="1">F3*$A$1</f>
        <v>15.582069850379412</v>
      </c>
      <c r="H3" s="4">
        <f t="shared" ref="H3:H34" si="2">PI()*G3^2</f>
        <v>762.78152630770296</v>
      </c>
      <c r="I3" s="4">
        <f t="shared" ref="I3:I34" si="3">K3/J3</f>
        <v>964.67391304347825</v>
      </c>
      <c r="J3" s="9">
        <f>'1990-10'!J3</f>
        <v>2944</v>
      </c>
      <c r="K3" s="9">
        <f>'1990-10'!K3</f>
        <v>2840000</v>
      </c>
      <c r="L3" s="22">
        <f t="shared" ref="L3:L34" si="4">H3*I3</f>
        <v>735835.43978052866</v>
      </c>
      <c r="M3" s="22">
        <f t="shared" ref="M3:M34" si="5">MIN(K3,L3)</f>
        <v>735835.43978052866</v>
      </c>
      <c r="N3" s="19" t="s">
        <v>92</v>
      </c>
      <c r="O3" s="4">
        <f t="shared" ref="O3:O34" si="6">P3/J3</f>
        <v>503.32235054347825</v>
      </c>
      <c r="P3" s="13">
        <f>'1990-10'!P3</f>
        <v>1481781</v>
      </c>
      <c r="Q3" s="22">
        <f t="shared" ref="Q3:Q34" si="7">H3*O3</f>
        <v>383924.99077233503</v>
      </c>
      <c r="R3" s="13">
        <f t="shared" ref="R3:R34" si="8">MIN(Q3,P3)</f>
        <v>383924.99077233503</v>
      </c>
    </row>
    <row r="4" spans="1:18">
      <c r="A4" s="18" t="s">
        <v>27</v>
      </c>
      <c r="B4" s="4">
        <f>'1990-10'!B4</f>
        <v>63.478689145973746</v>
      </c>
      <c r="C4" s="4">
        <f>'1990-10'!C4</f>
        <v>67.922197386191925</v>
      </c>
      <c r="D4" s="16">
        <f t="shared" ref="D4:D53" si="9">B4*$A$1*1000</f>
        <v>21159.563048657914</v>
      </c>
      <c r="E4" s="4">
        <f>'Interval Circuities'!C4</f>
        <v>1.4003139436062155</v>
      </c>
      <c r="F4" s="4">
        <f t="shared" si="0"/>
        <v>45.331755379438462</v>
      </c>
      <c r="G4" s="4">
        <f t="shared" si="1"/>
        <v>15.110585126479487</v>
      </c>
      <c r="H4" s="4">
        <f t="shared" si="2"/>
        <v>717.31916844312684</v>
      </c>
      <c r="I4" s="4">
        <f t="shared" si="3"/>
        <v>932.86219081272088</v>
      </c>
      <c r="J4" s="9">
        <f>'1990-10'!J4</f>
        <v>707.5</v>
      </c>
      <c r="K4" s="9">
        <f>'1990-10'!K4</f>
        <v>660000</v>
      </c>
      <c r="L4" s="22">
        <f t="shared" si="4"/>
        <v>669159.93098581443</v>
      </c>
      <c r="M4" s="22">
        <f t="shared" si="5"/>
        <v>660000</v>
      </c>
      <c r="N4" s="19" t="s">
        <v>92</v>
      </c>
      <c r="O4" s="4">
        <f t="shared" si="6"/>
        <v>571.04734982332161</v>
      </c>
      <c r="P4" s="13">
        <f>'1990-10'!P4</f>
        <v>404016</v>
      </c>
      <c r="Q4" s="22">
        <f t="shared" si="7"/>
        <v>409623.21011691639</v>
      </c>
      <c r="R4" s="13">
        <f t="shared" si="8"/>
        <v>404016</v>
      </c>
    </row>
    <row r="5" spans="1:18" ht="16">
      <c r="A5" s="18" t="s">
        <v>119</v>
      </c>
      <c r="B5" s="4">
        <f>'1990-10'!B5</f>
        <v>60.37745029626894</v>
      </c>
      <c r="C5" s="4">
        <f>'1990-10'!C5</f>
        <v>64.603871817007771</v>
      </c>
      <c r="D5" s="16">
        <f t="shared" si="9"/>
        <v>20125.81676542298</v>
      </c>
      <c r="E5" s="4">
        <f>'Interval Circuities'!C5</f>
        <v>1.294272678161559</v>
      </c>
      <c r="F5" s="4">
        <f t="shared" si="0"/>
        <v>46.649714017012002</v>
      </c>
      <c r="G5" s="4">
        <f t="shared" si="1"/>
        <v>15.549904672337334</v>
      </c>
      <c r="H5" s="4">
        <f t="shared" si="2"/>
        <v>759.63564379890011</v>
      </c>
      <c r="I5" s="4">
        <f t="shared" si="3"/>
        <v>1296.8393613554904</v>
      </c>
      <c r="J5" s="9">
        <f>'1990-10'!J5</f>
        <v>1534.5</v>
      </c>
      <c r="K5" s="9">
        <f>'1990-10'!K5</f>
        <v>1990000</v>
      </c>
      <c r="L5" s="22">
        <f t="shared" si="4"/>
        <v>985125.4031670324</v>
      </c>
      <c r="M5" s="22">
        <f t="shared" si="5"/>
        <v>985125.4031670324</v>
      </c>
      <c r="N5" s="19" t="s">
        <v>92</v>
      </c>
      <c r="O5" s="4">
        <f t="shared" si="6"/>
        <v>776.67839687194521</v>
      </c>
      <c r="P5" s="13">
        <f>'1990-10'!P5</f>
        <v>1191813</v>
      </c>
      <c r="Q5" s="22">
        <f t="shared" si="7"/>
        <v>589992.59403251775</v>
      </c>
      <c r="R5" s="13">
        <f t="shared" si="8"/>
        <v>589992.59403251775</v>
      </c>
    </row>
    <row r="6" spans="1:18">
      <c r="A6" s="18" t="s">
        <v>29</v>
      </c>
      <c r="B6" s="4">
        <f>'1990-10'!B6</f>
        <v>61.541690600746875</v>
      </c>
      <c r="C6" s="4">
        <f>'1990-10'!C6</f>
        <v>67.695859660821569</v>
      </c>
      <c r="D6" s="16">
        <f t="shared" si="9"/>
        <v>20513.896866915624</v>
      </c>
      <c r="E6" s="4">
        <f>'Interval Circuities'!C6</f>
        <v>1.2559543526404895</v>
      </c>
      <c r="F6" s="4">
        <f t="shared" si="0"/>
        <v>48.999942132739967</v>
      </c>
      <c r="G6" s="4">
        <f t="shared" si="1"/>
        <v>16.333314044246656</v>
      </c>
      <c r="H6" s="4">
        <f t="shared" si="2"/>
        <v>838.10512725938122</v>
      </c>
      <c r="I6" s="4">
        <f t="shared" si="3"/>
        <v>1563.9892556970801</v>
      </c>
      <c r="J6" s="9">
        <f>'1990-10'!J6</f>
        <v>2308.1999999999998</v>
      </c>
      <c r="K6" s="9">
        <f>'1990-10'!K6</f>
        <v>3610000</v>
      </c>
      <c r="L6" s="22">
        <f t="shared" si="4"/>
        <v>1310787.4141783062</v>
      </c>
      <c r="M6" s="22">
        <f t="shared" si="5"/>
        <v>1310787.4141783062</v>
      </c>
      <c r="N6" s="19" t="s">
        <v>92</v>
      </c>
      <c r="O6" s="4">
        <f t="shared" si="6"/>
        <v>927.87323455506464</v>
      </c>
      <c r="P6" s="13">
        <f>'1990-10'!P6</f>
        <v>2141717</v>
      </c>
      <c r="Q6" s="22">
        <f t="shared" si="7"/>
        <v>777655.31532734609</v>
      </c>
      <c r="R6" s="13">
        <f t="shared" si="8"/>
        <v>777655.31532734609</v>
      </c>
    </row>
    <row r="7" spans="1:18">
      <c r="A7" s="18" t="s">
        <v>30</v>
      </c>
      <c r="B7" s="4">
        <f>'1990-10'!B7</f>
        <v>73.27659816495958</v>
      </c>
      <c r="C7" s="4">
        <f>'1990-10'!C7</f>
        <v>76.207662091557978</v>
      </c>
      <c r="D7" s="16">
        <f t="shared" si="9"/>
        <v>24425.532721653191</v>
      </c>
      <c r="E7" s="4">
        <f>'Interval Circuities'!C7</f>
        <v>1.2113826246289119</v>
      </c>
      <c r="F7" s="4">
        <f t="shared" si="0"/>
        <v>60.490052172744939</v>
      </c>
      <c r="G7" s="4">
        <f t="shared" si="1"/>
        <v>20.163350724248311</v>
      </c>
      <c r="H7" s="4">
        <f t="shared" si="2"/>
        <v>1277.24814740532</v>
      </c>
      <c r="I7" s="4">
        <f t="shared" si="3"/>
        <v>1440.1622718052738</v>
      </c>
      <c r="J7" s="9">
        <f>'1990-10'!J7</f>
        <v>739.5</v>
      </c>
      <c r="K7" s="9">
        <f>'1990-10'!K7</f>
        <v>1065000</v>
      </c>
      <c r="L7" s="22">
        <f t="shared" si="4"/>
        <v>1839444.5936263229</v>
      </c>
      <c r="M7" s="22">
        <f t="shared" si="5"/>
        <v>1065000</v>
      </c>
      <c r="N7" s="19" t="s">
        <v>92</v>
      </c>
      <c r="O7" s="4">
        <f t="shared" si="6"/>
        <v>718.21771467207577</v>
      </c>
      <c r="P7" s="13">
        <f>'1990-10'!P7</f>
        <v>531122</v>
      </c>
      <c r="Q7" s="22">
        <f t="shared" si="7"/>
        <v>917342.24549859145</v>
      </c>
      <c r="R7" s="13">
        <f t="shared" si="8"/>
        <v>531122</v>
      </c>
    </row>
    <row r="8" spans="1:18">
      <c r="A8" s="18" t="s">
        <v>31</v>
      </c>
      <c r="B8" s="4">
        <f>'1990-10'!B8</f>
        <v>66.908176577055386</v>
      </c>
      <c r="C8" s="4">
        <f>'1990-10'!C8</f>
        <v>71.591748937449267</v>
      </c>
      <c r="D8" s="16">
        <f t="shared" si="9"/>
        <v>22302.725525685128</v>
      </c>
      <c r="E8" s="4">
        <f>'Interval Circuities'!C8</f>
        <v>1.2900410771009638</v>
      </c>
      <c r="F8" s="4">
        <f t="shared" si="0"/>
        <v>51.86515202090645</v>
      </c>
      <c r="G8" s="4">
        <f t="shared" si="1"/>
        <v>17.288384006968815</v>
      </c>
      <c r="H8" s="4">
        <f t="shared" si="2"/>
        <v>938.98504113641752</v>
      </c>
      <c r="I8" s="4">
        <f t="shared" si="3"/>
        <v>862.48203162434118</v>
      </c>
      <c r="J8" s="9">
        <f>'1990-10'!J8</f>
        <v>626.1</v>
      </c>
      <c r="K8" s="9">
        <f>'1990-10'!K8</f>
        <v>540000</v>
      </c>
      <c r="L8" s="22">
        <f t="shared" si="4"/>
        <v>809857.72594420298</v>
      </c>
      <c r="M8" s="22">
        <f t="shared" si="5"/>
        <v>540000</v>
      </c>
      <c r="N8" s="19" t="s">
        <v>92</v>
      </c>
      <c r="O8" s="4">
        <f t="shared" si="6"/>
        <v>966.06931800031941</v>
      </c>
      <c r="P8" s="13">
        <f>'1990-10'!P8</f>
        <v>604856</v>
      </c>
      <c r="Q8" s="22">
        <f t="shared" si="7"/>
        <v>907124.63830316078</v>
      </c>
      <c r="R8" s="13">
        <f t="shared" si="8"/>
        <v>604856</v>
      </c>
    </row>
    <row r="9" spans="1:18">
      <c r="A9" s="18" t="s">
        <v>32</v>
      </c>
      <c r="B9" s="4">
        <f>'1990-10'!B9</f>
        <v>59.830534500000006</v>
      </c>
      <c r="C9" s="4">
        <f>'1990-10'!C9</f>
        <v>64.616977260000013</v>
      </c>
      <c r="D9" s="16">
        <f t="shared" si="9"/>
        <v>19943.511500000001</v>
      </c>
      <c r="E9" s="4">
        <f>'Interval Circuities'!C9</f>
        <v>1.2599015853713202</v>
      </c>
      <c r="F9" s="4">
        <f t="shared" si="0"/>
        <v>47.488260348816574</v>
      </c>
      <c r="G9" s="4">
        <f t="shared" si="1"/>
        <v>15.829420116272191</v>
      </c>
      <c r="H9" s="4">
        <f t="shared" si="2"/>
        <v>787.19057149473645</v>
      </c>
      <c r="I9" s="4">
        <f t="shared" si="3"/>
        <v>1830.0112091232515</v>
      </c>
      <c r="J9" s="9">
        <f>'1990-10'!J9</f>
        <v>4103.8</v>
      </c>
      <c r="K9" s="9">
        <f>'1990-10'!K9</f>
        <v>7510000</v>
      </c>
      <c r="L9" s="22">
        <f t="shared" si="4"/>
        <v>1440567.5695515061</v>
      </c>
      <c r="M9" s="22">
        <f t="shared" si="5"/>
        <v>1440567.5695515061</v>
      </c>
      <c r="N9" s="19" t="s">
        <v>92</v>
      </c>
      <c r="O9" s="4">
        <f t="shared" si="6"/>
        <v>936.04391052195524</v>
      </c>
      <c r="P9" s="13">
        <f>'1990-10'!P9</f>
        <v>3841337</v>
      </c>
      <c r="Q9" s="22">
        <f t="shared" si="7"/>
        <v>736844.9408679459</v>
      </c>
      <c r="R9" s="13">
        <f t="shared" si="8"/>
        <v>736844.9408679459</v>
      </c>
    </row>
    <row r="10" spans="1:18">
      <c r="A10" s="18" t="s">
        <v>33</v>
      </c>
      <c r="B10" s="4">
        <f>'1990-10'!B10</f>
        <v>67.518821168909824</v>
      </c>
      <c r="C10" s="4">
        <f>'1990-10'!C10</f>
        <v>74.270703285800806</v>
      </c>
      <c r="D10" s="16">
        <f t="shared" si="9"/>
        <v>22506.273722969941</v>
      </c>
      <c r="E10" s="4">
        <f>'Interval Circuities'!C10</f>
        <v>1.3333596227484068</v>
      </c>
      <c r="F10" s="4">
        <f t="shared" si="0"/>
        <v>50.638117441816391</v>
      </c>
      <c r="G10" s="4">
        <f t="shared" si="1"/>
        <v>16.879372480605461</v>
      </c>
      <c r="H10" s="4">
        <f t="shared" si="2"/>
        <v>895.08126421971497</v>
      </c>
      <c r="I10" s="4">
        <f t="shared" si="3"/>
        <v>860.24750980984004</v>
      </c>
      <c r="J10" s="9">
        <f>'1990-10'!J10</f>
        <v>1325.2</v>
      </c>
      <c r="K10" s="9">
        <f>'1990-10'!K10</f>
        <v>1140000</v>
      </c>
      <c r="L10" s="22">
        <f t="shared" si="4"/>
        <v>769991.42862245324</v>
      </c>
      <c r="M10" s="22">
        <f t="shared" si="5"/>
        <v>769991.42862245324</v>
      </c>
      <c r="N10" s="19" t="s">
        <v>92</v>
      </c>
      <c r="O10" s="4">
        <f t="shared" si="6"/>
        <v>613.31572592816178</v>
      </c>
      <c r="P10" s="13">
        <f>'1990-10'!P10</f>
        <v>812766</v>
      </c>
      <c r="Q10" s="22">
        <f t="shared" si="7"/>
        <v>548967.41532961128</v>
      </c>
      <c r="R10" s="13">
        <f t="shared" si="8"/>
        <v>548967.41532961128</v>
      </c>
    </row>
    <row r="11" spans="1:18">
      <c r="A11" s="18" t="s">
        <v>34</v>
      </c>
      <c r="B11" s="4">
        <f>'1990-10'!B11</f>
        <v>70.270147843682068</v>
      </c>
      <c r="C11" s="4">
        <f>'1990-10'!C11</f>
        <v>77.297162628050287</v>
      </c>
      <c r="D11" s="16">
        <f t="shared" si="9"/>
        <v>23423.382614560687</v>
      </c>
      <c r="E11" s="4">
        <f>'Interval Circuities'!C11</f>
        <v>1.2159000774329085</v>
      </c>
      <c r="F11" s="4">
        <f t="shared" si="0"/>
        <v>57.792699538305165</v>
      </c>
      <c r="G11" s="4">
        <f t="shared" si="1"/>
        <v>19.264233179435053</v>
      </c>
      <c r="H11" s="4">
        <f t="shared" si="2"/>
        <v>1165.8785859304687</v>
      </c>
      <c r="I11" s="4">
        <f t="shared" si="3"/>
        <v>1068.6095931997572</v>
      </c>
      <c r="J11" s="9">
        <f>'1990-10'!J11</f>
        <v>1647</v>
      </c>
      <c r="K11" s="9">
        <f>'1990-10'!K11</f>
        <v>1760000</v>
      </c>
      <c r="L11" s="22">
        <f t="shared" si="4"/>
        <v>1245869.0414314664</v>
      </c>
      <c r="M11" s="22">
        <f t="shared" si="5"/>
        <v>1245869.0414314664</v>
      </c>
      <c r="N11" s="19" t="s">
        <v>92</v>
      </c>
      <c r="O11" s="4">
        <f t="shared" si="6"/>
        <v>754.15846994535514</v>
      </c>
      <c r="P11" s="13">
        <f>'1990-10'!P11</f>
        <v>1242099</v>
      </c>
      <c r="Q11" s="22">
        <f t="shared" si="7"/>
        <v>879257.21050737659</v>
      </c>
      <c r="R11" s="13">
        <f t="shared" si="8"/>
        <v>879257.21050737659</v>
      </c>
    </row>
    <row r="12" spans="1:18">
      <c r="A12" s="18" t="s">
        <v>35</v>
      </c>
      <c r="B12" s="4">
        <f>'1990-10'!B12</f>
        <v>67.725932932724078</v>
      </c>
      <c r="C12" s="4">
        <f>'1990-10'!C12</f>
        <v>77.20756354330544</v>
      </c>
      <c r="D12" s="16">
        <f t="shared" si="9"/>
        <v>22575.310977574693</v>
      </c>
      <c r="E12" s="4">
        <f>'Interval Circuities'!C12</f>
        <v>1.2574617832246402</v>
      </c>
      <c r="F12" s="4">
        <f t="shared" si="0"/>
        <v>53.859237581795462</v>
      </c>
      <c r="G12" s="4">
        <f t="shared" si="1"/>
        <v>17.953079193931821</v>
      </c>
      <c r="H12" s="4">
        <f t="shared" si="2"/>
        <v>1012.5763180270359</v>
      </c>
      <c r="I12" s="4">
        <f t="shared" si="3"/>
        <v>973.91693719914929</v>
      </c>
      <c r="J12" s="9">
        <f>'1990-10'!J12</f>
        <v>893.3</v>
      </c>
      <c r="K12" s="9">
        <f>'1990-10'!K12</f>
        <v>870000</v>
      </c>
      <c r="L12" s="22">
        <f t="shared" si="4"/>
        <v>986165.22633328254</v>
      </c>
      <c r="M12" s="22">
        <f t="shared" si="5"/>
        <v>870000</v>
      </c>
      <c r="N12" s="19" t="s">
        <v>92</v>
      </c>
      <c r="O12" s="4">
        <f t="shared" si="6"/>
        <v>758.82570245158411</v>
      </c>
      <c r="P12" s="13">
        <f>'1990-10'!P12</f>
        <v>677859</v>
      </c>
      <c r="Q12" s="22">
        <f t="shared" si="7"/>
        <v>768368.93581270415</v>
      </c>
      <c r="R12" s="13">
        <f t="shared" si="8"/>
        <v>677859</v>
      </c>
    </row>
    <row r="13" spans="1:18">
      <c r="A13" s="18" t="s">
        <v>62</v>
      </c>
      <c r="B13" s="4">
        <f>'1990-10'!B13</f>
        <v>66.03146949483623</v>
      </c>
      <c r="C13" s="4">
        <f>'1990-10'!C13</f>
        <v>76.596504614010016</v>
      </c>
      <c r="D13" s="16">
        <f t="shared" si="9"/>
        <v>22010.489831612078</v>
      </c>
      <c r="E13" s="4">
        <f>'Interval Circuities'!C13</f>
        <v>1.3167418120985259</v>
      </c>
      <c r="F13" s="4">
        <f t="shared" si="0"/>
        <v>50.147621111537539</v>
      </c>
      <c r="G13" s="4">
        <f t="shared" si="1"/>
        <v>16.715873703845844</v>
      </c>
      <c r="H13" s="4">
        <f t="shared" si="2"/>
        <v>877.82518172115101</v>
      </c>
      <c r="I13" s="4">
        <f t="shared" si="3"/>
        <v>869.56521739130437</v>
      </c>
      <c r="J13" s="9">
        <f>'1990-10'!J13</f>
        <v>3737.5</v>
      </c>
      <c r="K13" s="9">
        <f>'1990-10'!K13</f>
        <v>3250000</v>
      </c>
      <c r="L13" s="22">
        <f t="shared" si="4"/>
        <v>763326.24497491389</v>
      </c>
      <c r="M13" s="22">
        <f t="shared" si="5"/>
        <v>763326.24497491389</v>
      </c>
      <c r="N13" s="19" t="s">
        <v>92</v>
      </c>
      <c r="O13" s="4">
        <f t="shared" si="6"/>
        <v>528.85779264214045</v>
      </c>
      <c r="P13" s="13">
        <f>'1990-10'!P13</f>
        <v>1976606</v>
      </c>
      <c r="Q13" s="22">
        <f t="shared" si="7"/>
        <v>464244.68793073372</v>
      </c>
      <c r="R13" s="13">
        <f t="shared" si="8"/>
        <v>464244.68793073372</v>
      </c>
    </row>
    <row r="14" spans="1:18">
      <c r="A14" s="18" t="s">
        <v>36</v>
      </c>
      <c r="B14" s="4">
        <f>'1990-10'!B14</f>
        <v>65.002140793217592</v>
      </c>
      <c r="C14" s="4">
        <f>'1990-10'!C14</f>
        <v>76.052504728064577</v>
      </c>
      <c r="D14" s="16">
        <f t="shared" si="9"/>
        <v>21667.380264405863</v>
      </c>
      <c r="E14" s="4">
        <f>'Interval Circuities'!C14</f>
        <v>1.3695766278756532</v>
      </c>
      <c r="F14" s="4">
        <f t="shared" si="0"/>
        <v>47.461485155483594</v>
      </c>
      <c r="G14" s="4">
        <f t="shared" si="1"/>
        <v>15.820495051827864</v>
      </c>
      <c r="H14" s="4">
        <f t="shared" si="2"/>
        <v>786.30314215372732</v>
      </c>
      <c r="I14" s="4">
        <f t="shared" si="3"/>
        <v>1329.5186805789297</v>
      </c>
      <c r="J14" s="9">
        <f>'1990-10'!J14</f>
        <v>1188.4000000000001</v>
      </c>
      <c r="K14" s="9">
        <f>'1990-10'!K14</f>
        <v>1580000</v>
      </c>
      <c r="L14" s="22">
        <f t="shared" si="4"/>
        <v>1045404.7160912901</v>
      </c>
      <c r="M14" s="22">
        <f t="shared" si="5"/>
        <v>1045404.7160912901</v>
      </c>
      <c r="N14" s="19" t="s">
        <v>92</v>
      </c>
      <c r="O14" s="4">
        <f t="shared" si="6"/>
        <v>811.94210703466842</v>
      </c>
      <c r="P14" s="13">
        <f>'1990-10'!P14</f>
        <v>964912</v>
      </c>
      <c r="Q14" s="22">
        <f t="shared" si="7"/>
        <v>638432.63000827772</v>
      </c>
      <c r="R14" s="13">
        <f t="shared" si="8"/>
        <v>638432.63000827772</v>
      </c>
    </row>
    <row r="15" spans="1:18">
      <c r="A15" s="18" t="s">
        <v>37</v>
      </c>
      <c r="B15" s="4">
        <f>'1990-10'!B15</f>
        <v>59.740126684000487</v>
      </c>
      <c r="C15" s="4">
        <f>'1990-10'!C15</f>
        <v>69.895948220280573</v>
      </c>
      <c r="D15" s="16">
        <f t="shared" si="9"/>
        <v>19913.375561333494</v>
      </c>
      <c r="E15" s="4">
        <f>'Interval Circuities'!C15</f>
        <v>1.244115595775388</v>
      </c>
      <c r="F15" s="4">
        <f t="shared" si="0"/>
        <v>48.018147901094181</v>
      </c>
      <c r="G15" s="4">
        <f t="shared" si="1"/>
        <v>16.006049300364726</v>
      </c>
      <c r="H15" s="4">
        <f t="shared" si="2"/>
        <v>804.85597628526398</v>
      </c>
      <c r="I15" s="4">
        <f t="shared" si="3"/>
        <v>1369.2488100986411</v>
      </c>
      <c r="J15" s="9">
        <f>'1990-10'!J15</f>
        <v>2899.4</v>
      </c>
      <c r="K15" s="9">
        <f>'1990-10'!K15</f>
        <v>3970000</v>
      </c>
      <c r="L15" s="22">
        <f t="shared" si="4"/>
        <v>1102048.0878293777</v>
      </c>
      <c r="M15" s="22">
        <f t="shared" si="5"/>
        <v>1102048.0878293777</v>
      </c>
      <c r="N15" s="19" t="s">
        <v>92</v>
      </c>
      <c r="O15" s="4">
        <f t="shared" si="6"/>
        <v>717.34841691384418</v>
      </c>
      <c r="P15" s="13">
        <f>'1990-10'!P15</f>
        <v>2079880</v>
      </c>
      <c r="Q15" s="22">
        <f t="shared" si="7"/>
        <v>577362.16043188062</v>
      </c>
      <c r="R15" s="13">
        <f t="shared" si="8"/>
        <v>577362.16043188062</v>
      </c>
    </row>
    <row r="16" spans="1:18">
      <c r="A16" s="18" t="s">
        <v>80</v>
      </c>
      <c r="B16" s="4">
        <f>'1990-10'!B16</f>
        <v>70.939381203745498</v>
      </c>
      <c r="C16" s="4">
        <f>'1990-10'!C16</f>
        <v>83.70846982041968</v>
      </c>
      <c r="D16" s="16">
        <f t="shared" si="9"/>
        <v>23646.460401248496</v>
      </c>
      <c r="E16" s="4">
        <f>'Interval Circuities'!C16</f>
        <v>1.2817605615059422</v>
      </c>
      <c r="F16" s="4">
        <f t="shared" si="0"/>
        <v>55.345267543884113</v>
      </c>
      <c r="G16" s="4">
        <f t="shared" si="1"/>
        <v>18.448422514628035</v>
      </c>
      <c r="H16" s="4">
        <f t="shared" si="2"/>
        <v>1069.2231314541118</v>
      </c>
      <c r="I16" s="4">
        <f t="shared" si="3"/>
        <v>1190.58976132826</v>
      </c>
      <c r="J16" s="9">
        <f>'1990-10'!J16</f>
        <v>578.20000000000005</v>
      </c>
      <c r="K16" s="9">
        <f>'1990-10'!K16</f>
        <v>688399</v>
      </c>
      <c r="L16" s="22">
        <f t="shared" si="4"/>
        <v>1273006.1128846058</v>
      </c>
      <c r="M16" s="22">
        <f t="shared" si="5"/>
        <v>688399</v>
      </c>
      <c r="N16" s="19" t="s">
        <v>92</v>
      </c>
      <c r="O16" s="4">
        <f t="shared" si="6"/>
        <v>583.42269111034238</v>
      </c>
      <c r="P16" s="13">
        <f>'1990-10'!P16</f>
        <v>337335</v>
      </c>
      <c r="Q16" s="22">
        <f t="shared" si="7"/>
        <v>623809.0367503853</v>
      </c>
      <c r="R16" s="13">
        <f t="shared" si="8"/>
        <v>337335</v>
      </c>
    </row>
    <row r="17" spans="1:18">
      <c r="A17" s="18" t="s">
        <v>58</v>
      </c>
      <c r="B17" s="4">
        <f>'1990-10'!B17</f>
        <v>64.898649256812377</v>
      </c>
      <c r="C17" s="4">
        <f>'1990-10'!C17</f>
        <v>85.666217018992342</v>
      </c>
      <c r="D17" s="16">
        <f t="shared" si="9"/>
        <v>21632.883085604124</v>
      </c>
      <c r="E17" s="4">
        <f>'Interval Circuities'!C17</f>
        <v>1.3279800701748417</v>
      </c>
      <c r="F17" s="4">
        <f t="shared" si="0"/>
        <v>48.870198216354126</v>
      </c>
      <c r="G17" s="4">
        <f t="shared" si="1"/>
        <v>16.290066072118041</v>
      </c>
      <c r="H17" s="4">
        <f t="shared" si="2"/>
        <v>833.67266978553721</v>
      </c>
      <c r="I17" s="4">
        <f t="shared" si="3"/>
        <v>770.84181744138687</v>
      </c>
      <c r="J17" s="9">
        <f>'1990-10'!J17</f>
        <v>1718.9</v>
      </c>
      <c r="K17" s="9">
        <f>'1990-10'!K17</f>
        <v>1325000</v>
      </c>
      <c r="L17" s="22">
        <f t="shared" si="4"/>
        <v>642629.75592869672</v>
      </c>
      <c r="M17" s="22">
        <f t="shared" si="5"/>
        <v>642629.75592869672</v>
      </c>
      <c r="N17" s="19" t="s">
        <v>92</v>
      </c>
      <c r="O17" s="4">
        <f t="shared" si="6"/>
        <v>406.65483739600904</v>
      </c>
      <c r="P17" s="13">
        <f>'1990-10'!P17</f>
        <v>698999</v>
      </c>
      <c r="Q17" s="22">
        <f t="shared" si="7"/>
        <v>339017.02397313435</v>
      </c>
      <c r="R17" s="13">
        <f t="shared" si="8"/>
        <v>339017.02397313435</v>
      </c>
    </row>
    <row r="18" spans="1:18">
      <c r="A18" s="18" t="s">
        <v>38</v>
      </c>
      <c r="B18" s="4">
        <f>'1990-10'!B18</f>
        <v>70.550117521710789</v>
      </c>
      <c r="C18" s="4">
        <f>'1990-10'!C18</f>
        <v>84.660141026052941</v>
      </c>
      <c r="D18" s="16">
        <f t="shared" si="9"/>
        <v>23516.705840570259</v>
      </c>
      <c r="E18" s="4">
        <f>'Interval Circuities'!C18</f>
        <v>1.2505150819135913</v>
      </c>
      <c r="F18" s="4">
        <f t="shared" si="0"/>
        <v>56.416846579532653</v>
      </c>
      <c r="G18" s="4">
        <f t="shared" si="1"/>
        <v>18.805615526510884</v>
      </c>
      <c r="H18" s="4">
        <f t="shared" si="2"/>
        <v>1111.0279343530997</v>
      </c>
      <c r="I18" s="4">
        <f t="shared" si="3"/>
        <v>1320.2112337974077</v>
      </c>
      <c r="J18" s="9">
        <f>'1990-10'!J18</f>
        <v>624.9</v>
      </c>
      <c r="K18" s="9">
        <f>'1990-10'!K18</f>
        <v>825000</v>
      </c>
      <c r="L18" s="22">
        <f t="shared" si="4"/>
        <v>1466791.5599956911</v>
      </c>
      <c r="M18" s="22">
        <f t="shared" si="5"/>
        <v>825000</v>
      </c>
      <c r="N18" s="19" t="s">
        <v>92</v>
      </c>
      <c r="O18" s="4">
        <f t="shared" si="6"/>
        <v>899.29428708593377</v>
      </c>
      <c r="P18" s="13">
        <f>'1990-10'!P18</f>
        <v>561969</v>
      </c>
      <c r="Q18" s="22">
        <f t="shared" si="7"/>
        <v>999141.07415662846</v>
      </c>
      <c r="R18" s="13">
        <f t="shared" si="8"/>
        <v>561969</v>
      </c>
    </row>
    <row r="19" spans="1:18">
      <c r="A19" s="18" t="s">
        <v>81</v>
      </c>
      <c r="B19" s="4">
        <f>'1990-10'!B19</f>
        <v>61.851770964117151</v>
      </c>
      <c r="C19" s="4">
        <f>'1990-10'!C19</f>
        <v>73.60360744729941</v>
      </c>
      <c r="D19" s="16">
        <f t="shared" si="9"/>
        <v>20617.256988039047</v>
      </c>
      <c r="E19" s="4">
        <f>'Interval Circuities'!C19</f>
        <v>1.391616228451807</v>
      </c>
      <c r="F19" s="4">
        <f t="shared" si="0"/>
        <v>44.445997179070076</v>
      </c>
      <c r="G19" s="4">
        <f t="shared" si="1"/>
        <v>14.815332393023358</v>
      </c>
      <c r="H19" s="4">
        <f t="shared" si="2"/>
        <v>689.5609701202693</v>
      </c>
      <c r="I19" s="4">
        <f t="shared" si="3"/>
        <v>2328.0373051224947</v>
      </c>
      <c r="J19" s="9">
        <f>'1990-10'!J19</f>
        <v>359.2</v>
      </c>
      <c r="K19" s="9">
        <f>'1990-10'!K19</f>
        <v>836231</v>
      </c>
      <c r="L19" s="22">
        <f t="shared" si="4"/>
        <v>1605323.6625964448</v>
      </c>
      <c r="M19" s="22">
        <f t="shared" si="5"/>
        <v>836231</v>
      </c>
      <c r="N19" s="19" t="s">
        <v>92</v>
      </c>
      <c r="O19" s="4">
        <f t="shared" si="6"/>
        <v>1218.0345211581291</v>
      </c>
      <c r="P19" s="13">
        <f>'1990-10'!P19</f>
        <v>437518</v>
      </c>
      <c r="Q19" s="22">
        <f t="shared" si="7"/>
        <v>839909.0660497772</v>
      </c>
      <c r="R19" s="13">
        <f t="shared" si="8"/>
        <v>437518</v>
      </c>
    </row>
    <row r="20" spans="1:18">
      <c r="A20" s="18" t="s">
        <v>39</v>
      </c>
      <c r="B20" s="4">
        <f>'1990-10'!B20</f>
        <v>61.865929871835121</v>
      </c>
      <c r="C20" s="4">
        <f>'1990-10'!C20</f>
        <v>73.620456547483784</v>
      </c>
      <c r="D20" s="16">
        <f t="shared" si="9"/>
        <v>20621.976623945036</v>
      </c>
      <c r="E20" s="4">
        <f>'Interval Circuities'!C20</f>
        <v>1.3387498825041777</v>
      </c>
      <c r="F20" s="4">
        <f t="shared" si="0"/>
        <v>46.211716378351994</v>
      </c>
      <c r="G20" s="4">
        <f t="shared" si="1"/>
        <v>15.403905459450664</v>
      </c>
      <c r="H20" s="4">
        <f t="shared" si="2"/>
        <v>745.43805801460223</v>
      </c>
      <c r="I20" s="4">
        <f t="shared" si="3"/>
        <v>951.03794313448986</v>
      </c>
      <c r="J20" s="9">
        <f>'1990-10'!J20</f>
        <v>3049.3</v>
      </c>
      <c r="K20" s="9">
        <f>'1990-10'!K20</f>
        <v>2900000</v>
      </c>
      <c r="L20" s="22">
        <f t="shared" si="4"/>
        <v>708939.87742837588</v>
      </c>
      <c r="M20" s="22">
        <f t="shared" si="5"/>
        <v>708939.87742837588</v>
      </c>
      <c r="N20" s="19" t="s">
        <v>92</v>
      </c>
      <c r="O20" s="4">
        <f t="shared" si="6"/>
        <v>577.11474764700097</v>
      </c>
      <c r="P20" s="13">
        <f>'1990-10'!P20</f>
        <v>1759796</v>
      </c>
      <c r="Q20" s="22">
        <f t="shared" si="7"/>
        <v>430203.29673756764</v>
      </c>
      <c r="R20" s="13">
        <f t="shared" si="8"/>
        <v>430203.29673756764</v>
      </c>
    </row>
    <row r="21" spans="1:18">
      <c r="A21" s="18" t="s">
        <v>40</v>
      </c>
      <c r="B21" s="4">
        <f>'1990-10'!B21</f>
        <v>66.181816591922129</v>
      </c>
      <c r="C21" s="4">
        <f>'1990-10'!C21</f>
        <v>78.094543578468105</v>
      </c>
      <c r="D21" s="16">
        <f t="shared" si="9"/>
        <v>22060.605530640707</v>
      </c>
      <c r="E21" s="4">
        <f>'Interval Circuities'!C21</f>
        <v>1.2503690377090788</v>
      </c>
      <c r="F21" s="4">
        <f t="shared" si="0"/>
        <v>52.929826791920718</v>
      </c>
      <c r="G21" s="4">
        <f t="shared" si="1"/>
        <v>17.643275597306904</v>
      </c>
      <c r="H21" s="4">
        <f t="shared" si="2"/>
        <v>977.93121518943531</v>
      </c>
      <c r="I21" s="4">
        <f t="shared" si="3"/>
        <v>778.16205533596838</v>
      </c>
      <c r="J21" s="9">
        <f>'1990-10'!J21</f>
        <v>1214.4000000000001</v>
      </c>
      <c r="K21" s="9">
        <f>'1990-10'!K21</f>
        <v>945000</v>
      </c>
      <c r="L21" s="22">
        <f t="shared" si="4"/>
        <v>760988.9643890122</v>
      </c>
      <c r="M21" s="22">
        <f t="shared" si="5"/>
        <v>760988.9643890122</v>
      </c>
      <c r="N21" s="19" t="s">
        <v>92</v>
      </c>
      <c r="O21" s="4">
        <f t="shared" si="6"/>
        <v>514.63356389986825</v>
      </c>
      <c r="P21" s="13">
        <f>'1990-10'!P21</f>
        <v>624971</v>
      </c>
      <c r="Q21" s="22">
        <f t="shared" si="7"/>
        <v>503276.22652186808</v>
      </c>
      <c r="R21" s="13">
        <f t="shared" si="8"/>
        <v>503276.22652186808</v>
      </c>
    </row>
    <row r="22" spans="1:18" ht="16">
      <c r="A22" s="18" t="s">
        <v>120</v>
      </c>
      <c r="B22" s="4">
        <f>'1990-10'!B22</f>
        <v>65.10221093956217</v>
      </c>
      <c r="C22" s="4">
        <f>'1990-10'!C22</f>
        <v>72.914476252309626</v>
      </c>
      <c r="D22" s="16">
        <f t="shared" si="9"/>
        <v>21700.736979854057</v>
      </c>
      <c r="E22" s="4">
        <f>'Interval Circuities'!C22</f>
        <v>1.3517235884128587</v>
      </c>
      <c r="F22" s="4">
        <f t="shared" si="0"/>
        <v>48.162369509288993</v>
      </c>
      <c r="G22" s="4">
        <f t="shared" si="1"/>
        <v>16.054123169762995</v>
      </c>
      <c r="H22" s="4">
        <f t="shared" si="2"/>
        <v>809.69797652186685</v>
      </c>
      <c r="I22" s="4">
        <f t="shared" si="3"/>
        <v>1078.3820073850286</v>
      </c>
      <c r="J22" s="9">
        <f>'1990-10'!J22</f>
        <v>1191.5999999999999</v>
      </c>
      <c r="K22" s="9">
        <f>'1990-10'!K22</f>
        <v>1285000</v>
      </c>
      <c r="L22" s="22">
        <f t="shared" si="4"/>
        <v>873163.72929724655</v>
      </c>
      <c r="M22" s="22">
        <f t="shared" si="5"/>
        <v>873163.72929724655</v>
      </c>
      <c r="N22" s="19" t="s">
        <v>92</v>
      </c>
      <c r="O22" s="4">
        <f t="shared" si="6"/>
        <v>643.63293051359517</v>
      </c>
      <c r="P22" s="13">
        <f>'1990-10'!P22</f>
        <v>766953</v>
      </c>
      <c r="Q22" s="22">
        <f t="shared" si="7"/>
        <v>521148.28145969735</v>
      </c>
      <c r="R22" s="13">
        <f t="shared" si="8"/>
        <v>521148.28145969735</v>
      </c>
    </row>
    <row r="23" spans="1:18">
      <c r="A23" s="18" t="s">
        <v>41</v>
      </c>
      <c r="B23" s="4">
        <f>'1990-10'!B23</f>
        <v>55.540281389808555</v>
      </c>
      <c r="C23" s="4">
        <f>'1990-10'!C23</f>
        <v>57.206489831502807</v>
      </c>
      <c r="D23" s="16">
        <f t="shared" si="9"/>
        <v>18513.427129936183</v>
      </c>
      <c r="E23" s="4">
        <f>'Interval Circuities'!C23</f>
        <v>1.361335749578314</v>
      </c>
      <c r="F23" s="4">
        <f t="shared" si="0"/>
        <v>40.79837131068706</v>
      </c>
      <c r="G23" s="4">
        <f t="shared" si="1"/>
        <v>13.599457103562353</v>
      </c>
      <c r="H23" s="4">
        <f t="shared" si="2"/>
        <v>581.02258691659358</v>
      </c>
      <c r="I23" s="4">
        <f t="shared" si="3"/>
        <v>547.57015742642022</v>
      </c>
      <c r="J23" s="9">
        <f>'1990-10'!J23</f>
        <v>1314.9</v>
      </c>
      <c r="K23" s="9">
        <f>'1990-10'!K23</f>
        <v>720000</v>
      </c>
      <c r="L23" s="22">
        <f t="shared" si="4"/>
        <v>318150.62938622507</v>
      </c>
      <c r="M23" s="22">
        <f t="shared" si="5"/>
        <v>318150.62938622507</v>
      </c>
      <c r="N23" s="19" t="s">
        <v>92</v>
      </c>
      <c r="O23" s="4">
        <f t="shared" si="6"/>
        <v>337.57852308160312</v>
      </c>
      <c r="P23" s="13">
        <f>'1990-10'!P23</f>
        <v>443882</v>
      </c>
      <c r="Q23" s="22">
        <f t="shared" si="7"/>
        <v>196140.74676835604</v>
      </c>
      <c r="R23" s="13">
        <f t="shared" si="8"/>
        <v>196140.74676835604</v>
      </c>
    </row>
    <row r="24" spans="1:18">
      <c r="A24" s="18" t="s">
        <v>75</v>
      </c>
      <c r="B24" s="4">
        <f>'1990-10'!B24</f>
        <v>63.219918440805898</v>
      </c>
      <c r="C24" s="4">
        <f>'1990-10'!C24</f>
        <v>65.116515994030081</v>
      </c>
      <c r="D24" s="16">
        <f t="shared" si="9"/>
        <v>21073.306146935298</v>
      </c>
      <c r="E24" s="4">
        <f>'Interval Circuities'!C24</f>
        <v>1.2910908276182511</v>
      </c>
      <c r="F24" s="4">
        <f t="shared" si="0"/>
        <v>48.96628268781933</v>
      </c>
      <c r="G24" s="4">
        <f t="shared" si="1"/>
        <v>16.322094229273109</v>
      </c>
      <c r="H24" s="4">
        <f t="shared" si="2"/>
        <v>836.95408654522964</v>
      </c>
      <c r="I24" s="4">
        <f t="shared" si="3"/>
        <v>587.90735391009071</v>
      </c>
      <c r="J24" s="9">
        <f>'1990-10'!J24</f>
        <v>1973.1</v>
      </c>
      <c r="K24" s="9">
        <f>'1990-10'!K24</f>
        <v>1160000</v>
      </c>
      <c r="L24" s="22">
        <f t="shared" si="4"/>
        <v>492051.462365043</v>
      </c>
      <c r="M24" s="22">
        <f t="shared" si="5"/>
        <v>492051.462365043</v>
      </c>
      <c r="N24" s="19" t="s">
        <v>92</v>
      </c>
      <c r="O24" s="4">
        <f t="shared" si="6"/>
        <v>390.91227003192949</v>
      </c>
      <c r="P24" s="13">
        <f>'1990-10'!P24</f>
        <v>771309</v>
      </c>
      <c r="Q24" s="22">
        <f t="shared" si="7"/>
        <v>327175.62188389571</v>
      </c>
      <c r="R24" s="13">
        <f t="shared" si="8"/>
        <v>327175.62188389571</v>
      </c>
    </row>
    <row r="25" spans="1:18">
      <c r="A25" s="18" t="s">
        <v>63</v>
      </c>
      <c r="B25" s="4">
        <f>'1990-10'!B25</f>
        <v>58.291697709553844</v>
      </c>
      <c r="C25" s="4">
        <f>'1990-10'!C25</f>
        <v>60.040448640840452</v>
      </c>
      <c r="D25" s="16">
        <f t="shared" si="9"/>
        <v>19430.565903184615</v>
      </c>
      <c r="E25" s="4">
        <f>'Interval Circuities'!C25</f>
        <v>1.3366132908202915</v>
      </c>
      <c r="F25" s="4">
        <f t="shared" si="0"/>
        <v>43.611490406308704</v>
      </c>
      <c r="G25" s="4">
        <f t="shared" si="1"/>
        <v>14.537163468769567</v>
      </c>
      <c r="H25" s="4">
        <f t="shared" si="2"/>
        <v>663.91001627799881</v>
      </c>
      <c r="I25" s="4">
        <f t="shared" si="3"/>
        <v>1175.4827875734677</v>
      </c>
      <c r="J25" s="9">
        <f>'1990-10'!J25</f>
        <v>595.5</v>
      </c>
      <c r="K25" s="9">
        <f>'1990-10'!K25</f>
        <v>700000</v>
      </c>
      <c r="L25" s="22">
        <f t="shared" si="4"/>
        <v>780414.7966324084</v>
      </c>
      <c r="M25" s="22">
        <f t="shared" si="5"/>
        <v>700000</v>
      </c>
      <c r="N25" s="19" t="s">
        <v>92</v>
      </c>
      <c r="O25" s="4">
        <f t="shared" si="6"/>
        <v>623.22082283795135</v>
      </c>
      <c r="P25" s="13">
        <f>'1990-10'!P25</f>
        <v>371128</v>
      </c>
      <c r="Q25" s="22">
        <f t="shared" si="7"/>
        <v>413762.54663513211</v>
      </c>
      <c r="R25" s="13">
        <f t="shared" si="8"/>
        <v>371128</v>
      </c>
    </row>
    <row r="26" spans="1:18" ht="16">
      <c r="A26" s="18" t="s">
        <v>121</v>
      </c>
      <c r="B26" s="4">
        <f>'1990-10'!B26</f>
        <v>48.116227796764051</v>
      </c>
      <c r="C26" s="4">
        <f>'1990-10'!C26</f>
        <v>49.559714630666974</v>
      </c>
      <c r="D26" s="16">
        <f t="shared" si="9"/>
        <v>16038.74259892135</v>
      </c>
      <c r="E26" s="4">
        <f>'Interval Circuities'!C26</f>
        <v>1.2814901265331109</v>
      </c>
      <c r="F26" s="4">
        <f t="shared" si="0"/>
        <v>37.547092092652839</v>
      </c>
      <c r="G26" s="4">
        <f t="shared" si="1"/>
        <v>12.515697364217612</v>
      </c>
      <c r="H26" s="4">
        <f t="shared" si="2"/>
        <v>492.10749433726011</v>
      </c>
      <c r="I26" s="4">
        <f t="shared" si="3"/>
        <v>2243.0420521281399</v>
      </c>
      <c r="J26" s="9">
        <f>'1990-10'!J26</f>
        <v>5091.3</v>
      </c>
      <c r="K26" s="9">
        <f>'1990-10'!K26</f>
        <v>11420000</v>
      </c>
      <c r="L26" s="22">
        <f t="shared" si="4"/>
        <v>1103817.803965885</v>
      </c>
      <c r="M26" s="22">
        <f t="shared" si="5"/>
        <v>1103817.803965885</v>
      </c>
      <c r="N26" s="19" t="s">
        <v>92</v>
      </c>
      <c r="O26" s="4">
        <f t="shared" si="6"/>
        <v>1186.7479818513934</v>
      </c>
      <c r="P26" s="13">
        <f>'1990-10'!P26</f>
        <v>6042090</v>
      </c>
      <c r="Q26" s="22">
        <f t="shared" si="7"/>
        <v>584007.57575868943</v>
      </c>
      <c r="R26" s="13">
        <f t="shared" si="8"/>
        <v>584007.57575868943</v>
      </c>
    </row>
    <row r="27" spans="1:18">
      <c r="A27" s="18" t="s">
        <v>42</v>
      </c>
      <c r="B27" s="4">
        <f>'1990-10'!B27</f>
        <v>62.487212851553508</v>
      </c>
      <c r="C27" s="4">
        <f>'1990-10'!C27</f>
        <v>64.986701365615659</v>
      </c>
      <c r="D27" s="16">
        <f t="shared" si="9"/>
        <v>20829.070950517835</v>
      </c>
      <c r="E27" s="4">
        <f>'Interval Circuities'!C27</f>
        <v>1.3775195874982225</v>
      </c>
      <c r="F27" s="4">
        <f t="shared" si="0"/>
        <v>45.362122919093622</v>
      </c>
      <c r="G27" s="4">
        <f t="shared" si="1"/>
        <v>15.120707639697873</v>
      </c>
      <c r="H27" s="4">
        <f t="shared" si="2"/>
        <v>718.28054813605229</v>
      </c>
      <c r="I27" s="4">
        <f t="shared" si="3"/>
        <v>1106.8597977589507</v>
      </c>
      <c r="J27" s="9">
        <f>'1990-10'!J27</f>
        <v>731.8</v>
      </c>
      <c r="K27" s="9">
        <f>'1990-10'!K27</f>
        <v>810000</v>
      </c>
      <c r="L27" s="22">
        <f t="shared" si="4"/>
        <v>795035.8622440591</v>
      </c>
      <c r="M27" s="22">
        <f t="shared" si="5"/>
        <v>795035.8622440591</v>
      </c>
      <c r="N27" s="19" t="s">
        <v>92</v>
      </c>
      <c r="O27" s="4">
        <f t="shared" si="6"/>
        <v>610.65318393003554</v>
      </c>
      <c r="P27" s="13">
        <f>'1990-10'!P27</f>
        <v>446876</v>
      </c>
      <c r="Q27" s="22">
        <f t="shared" si="7"/>
        <v>438620.30367429147</v>
      </c>
      <c r="R27" s="13">
        <f t="shared" si="8"/>
        <v>438620.30367429147</v>
      </c>
    </row>
    <row r="28" spans="1:18">
      <c r="A28" s="18" t="s">
        <v>43</v>
      </c>
      <c r="B28" s="4">
        <f>'1990-10'!B28</f>
        <v>65.308032205055966</v>
      </c>
      <c r="C28" s="4">
        <f>'1990-10'!C28</f>
        <v>67.920353493258204</v>
      </c>
      <c r="D28" s="16">
        <f t="shared" si="9"/>
        <v>21769.344068351988</v>
      </c>
      <c r="E28" s="4">
        <f>'Interval Circuities'!C28</f>
        <v>1.323930461422739</v>
      </c>
      <c r="F28" s="4">
        <f t="shared" si="0"/>
        <v>49.328899143897495</v>
      </c>
      <c r="G28" s="4">
        <f t="shared" si="1"/>
        <v>16.442966381299165</v>
      </c>
      <c r="H28" s="4">
        <f t="shared" si="2"/>
        <v>849.3959979000573</v>
      </c>
      <c r="I28" s="4">
        <f t="shared" si="3"/>
        <v>973.62164609985291</v>
      </c>
      <c r="J28" s="9">
        <f>'1990-10'!J28</f>
        <v>883.3</v>
      </c>
      <c r="K28" s="9">
        <f>'1990-10'!K28</f>
        <v>860000</v>
      </c>
      <c r="L28" s="22">
        <f t="shared" si="4"/>
        <v>826990.329666081</v>
      </c>
      <c r="M28" s="22">
        <f t="shared" si="5"/>
        <v>826990.329666081</v>
      </c>
      <c r="N28" s="19" t="s">
        <v>92</v>
      </c>
      <c r="O28" s="4">
        <f t="shared" si="6"/>
        <v>507.45726253820902</v>
      </c>
      <c r="P28" s="13">
        <f>'1990-10'!P28</f>
        <v>448237</v>
      </c>
      <c r="Q28" s="22">
        <f t="shared" si="7"/>
        <v>431032.16790527344</v>
      </c>
      <c r="R28" s="13">
        <f t="shared" si="8"/>
        <v>431032.16790527344</v>
      </c>
    </row>
    <row r="29" spans="1:18">
      <c r="A29" s="18" t="s">
        <v>44</v>
      </c>
      <c r="B29" s="4">
        <f>'1990-10'!B29</f>
        <v>64.485521071986952</v>
      </c>
      <c r="C29" s="4">
        <f>'1990-10'!C29</f>
        <v>67.064941914866438</v>
      </c>
      <c r="D29" s="16">
        <f t="shared" si="9"/>
        <v>21495.173690662315</v>
      </c>
      <c r="E29" s="4">
        <f>'Interval Circuities'!C29</f>
        <v>1.2186336349093323</v>
      </c>
      <c r="F29" s="4">
        <f t="shared" si="0"/>
        <v>52.916249170149278</v>
      </c>
      <c r="G29" s="4">
        <f t="shared" si="1"/>
        <v>17.638749723383093</v>
      </c>
      <c r="H29" s="4">
        <f t="shared" si="2"/>
        <v>977.42955939642002</v>
      </c>
      <c r="I29" s="4">
        <f t="shared" si="3"/>
        <v>927.60180995475116</v>
      </c>
      <c r="J29" s="9">
        <f>'1990-10'!J29</f>
        <v>1326</v>
      </c>
      <c r="K29" s="9">
        <f>'1990-10'!K29</f>
        <v>1230000</v>
      </c>
      <c r="L29" s="22">
        <f t="shared" si="4"/>
        <v>906665.42839939415</v>
      </c>
      <c r="M29" s="22">
        <f t="shared" si="5"/>
        <v>906665.42839939415</v>
      </c>
      <c r="N29" s="19" t="s">
        <v>92</v>
      </c>
      <c r="O29" s="4">
        <f t="shared" si="6"/>
        <v>582.76923076923072</v>
      </c>
      <c r="P29" s="13">
        <f>'1990-10'!P29</f>
        <v>772752</v>
      </c>
      <c r="Q29" s="22">
        <f t="shared" si="7"/>
        <v>569615.87246055983</v>
      </c>
      <c r="R29" s="13">
        <f t="shared" si="8"/>
        <v>569615.87246055983</v>
      </c>
    </row>
    <row r="30" spans="1:18">
      <c r="A30" s="18" t="s">
        <v>45</v>
      </c>
      <c r="B30" s="4">
        <f>'1990-10'!B30</f>
        <v>63.564185114523426</v>
      </c>
      <c r="C30" s="4">
        <f>'1990-10'!C30</f>
        <v>66.106752519104361</v>
      </c>
      <c r="D30" s="16">
        <f t="shared" si="9"/>
        <v>21188.06170484114</v>
      </c>
      <c r="E30" s="4">
        <f>'Interval Circuities'!C30</f>
        <v>1.294778761107952</v>
      </c>
      <c r="F30" s="4">
        <f t="shared" si="0"/>
        <v>49.092699867992174</v>
      </c>
      <c r="G30" s="4">
        <f t="shared" si="1"/>
        <v>16.364233289330723</v>
      </c>
      <c r="H30" s="4">
        <f t="shared" si="2"/>
        <v>841.28122553196533</v>
      </c>
      <c r="I30" s="4">
        <f t="shared" si="3"/>
        <v>730.08608477716029</v>
      </c>
      <c r="J30" s="9">
        <f>'1990-10'!J30</f>
        <v>2753.1</v>
      </c>
      <c r="K30" s="9">
        <f>'1990-10'!K30</f>
        <v>2010000</v>
      </c>
      <c r="L30" s="22">
        <f t="shared" si="4"/>
        <v>614207.71614516375</v>
      </c>
      <c r="M30" s="22">
        <f t="shared" si="5"/>
        <v>614207.71614516375</v>
      </c>
      <c r="N30" s="19" t="s">
        <v>92</v>
      </c>
      <c r="O30" s="4">
        <f t="shared" si="6"/>
        <v>474.96422214957687</v>
      </c>
      <c r="P30" s="13">
        <f>'1990-10'!P30</f>
        <v>1307624</v>
      </c>
      <c r="Q30" s="22">
        <f t="shared" si="7"/>
        <v>399578.48289383267</v>
      </c>
      <c r="R30" s="13">
        <f t="shared" si="8"/>
        <v>399578.48289383267</v>
      </c>
    </row>
    <row r="31" spans="1:18">
      <c r="A31" s="18" t="s">
        <v>46</v>
      </c>
      <c r="B31" s="4">
        <f>'1990-10'!B31</f>
        <v>63.734436519319452</v>
      </c>
      <c r="C31" s="4">
        <f>'1990-10'!C31</f>
        <v>66.283813980092233</v>
      </c>
      <c r="D31" s="16">
        <f t="shared" si="9"/>
        <v>21244.812173106482</v>
      </c>
      <c r="E31" s="4">
        <f>'Interval Circuities'!C31</f>
        <v>1.3556471646875112</v>
      </c>
      <c r="F31" s="4">
        <f t="shared" si="0"/>
        <v>47.014030036355962</v>
      </c>
      <c r="G31" s="4">
        <f t="shared" si="1"/>
        <v>15.671343345451987</v>
      </c>
      <c r="H31" s="4">
        <f t="shared" si="2"/>
        <v>771.5468884596288</v>
      </c>
      <c r="I31" s="4">
        <f t="shared" si="3"/>
        <v>451.20587765532662</v>
      </c>
      <c r="J31" s="9">
        <f>'1990-10'!J31</f>
        <v>1252.2</v>
      </c>
      <c r="K31" s="9">
        <f>'1990-10'!K31</f>
        <v>565000</v>
      </c>
      <c r="L31" s="22">
        <f t="shared" si="4"/>
        <v>348126.49095966318</v>
      </c>
      <c r="M31" s="22">
        <f t="shared" si="5"/>
        <v>348126.49095966318</v>
      </c>
      <c r="N31" s="19" t="s">
        <v>92</v>
      </c>
      <c r="O31" s="4">
        <f t="shared" si="6"/>
        <v>395.8768567321514</v>
      </c>
      <c r="P31" s="13">
        <f>'1990-10'!P31</f>
        <v>495717</v>
      </c>
      <c r="Q31" s="22">
        <f t="shared" si="7"/>
        <v>305437.55702486966</v>
      </c>
      <c r="R31" s="13">
        <f t="shared" si="8"/>
        <v>305437.55702486966</v>
      </c>
    </row>
    <row r="32" spans="1:18">
      <c r="A32" s="18" t="s">
        <v>47</v>
      </c>
      <c r="B32" s="4">
        <f>'1990-10'!B32</f>
        <v>62.636693012318808</v>
      </c>
      <c r="C32" s="4">
        <f>'1990-10'!C32</f>
        <v>65.142160732811561</v>
      </c>
      <c r="D32" s="16">
        <f t="shared" si="9"/>
        <v>20878.897670772934</v>
      </c>
      <c r="E32" s="4">
        <f>'Interval Circuities'!C32</f>
        <v>1.3639553136628404</v>
      </c>
      <c r="F32" s="4">
        <f t="shared" si="0"/>
        <v>45.922833677087851</v>
      </c>
      <c r="G32" s="4">
        <f t="shared" si="1"/>
        <v>15.30761122569595</v>
      </c>
      <c r="H32" s="4">
        <f t="shared" si="2"/>
        <v>736.14729421804907</v>
      </c>
      <c r="I32" s="4">
        <f t="shared" si="3"/>
        <v>1501.072194424589</v>
      </c>
      <c r="J32" s="9">
        <f>'1990-10'!J32</f>
        <v>699.5</v>
      </c>
      <c r="K32" s="9">
        <f>'1990-10'!K32</f>
        <v>1050000</v>
      </c>
      <c r="L32" s="22">
        <f t="shared" si="4"/>
        <v>1105010.2343516105</v>
      </c>
      <c r="M32" s="22">
        <f t="shared" si="5"/>
        <v>1050000</v>
      </c>
      <c r="N32" s="19" t="s">
        <v>92</v>
      </c>
      <c r="O32" s="4">
        <f t="shared" si="6"/>
        <v>735.84846318799146</v>
      </c>
      <c r="P32" s="13">
        <f>'1990-10'!P32</f>
        <v>514726</v>
      </c>
      <c r="Q32" s="22">
        <f t="shared" si="7"/>
        <v>541692.85513034964</v>
      </c>
      <c r="R32" s="13">
        <f t="shared" si="8"/>
        <v>514726</v>
      </c>
    </row>
    <row r="33" spans="1:18">
      <c r="A33" s="18" t="s">
        <v>65</v>
      </c>
      <c r="B33" s="4">
        <f>'1990-10'!B33</f>
        <v>59.42988867805861</v>
      </c>
      <c r="C33" s="4">
        <f>'1990-10'!C33</f>
        <v>62.40138311196155</v>
      </c>
      <c r="D33" s="16">
        <f t="shared" si="9"/>
        <v>19809.962892686202</v>
      </c>
      <c r="E33" s="4">
        <f>'Interval Circuities'!C33</f>
        <v>1.2842535380482079</v>
      </c>
      <c r="F33" s="4">
        <f t="shared" si="0"/>
        <v>46.275822427072612</v>
      </c>
      <c r="G33" s="4">
        <f t="shared" si="1"/>
        <v>15.425274142357537</v>
      </c>
      <c r="H33" s="4">
        <f t="shared" si="2"/>
        <v>747.50767316569966</v>
      </c>
      <c r="I33" s="4">
        <f t="shared" si="3"/>
        <v>2072.7310590777161</v>
      </c>
      <c r="J33" s="9">
        <f>'1990-10'!J33</f>
        <v>7683.1</v>
      </c>
      <c r="K33" s="9">
        <f>'1990-10'!K33</f>
        <v>15925000</v>
      </c>
      <c r="L33" s="22">
        <f t="shared" si="4"/>
        <v>1549382.3710694599</v>
      </c>
      <c r="M33" s="22">
        <f t="shared" si="5"/>
        <v>1549382.3710694599</v>
      </c>
      <c r="N33" s="19" t="s">
        <v>92</v>
      </c>
      <c r="O33" s="4">
        <f t="shared" si="6"/>
        <v>1112.8936236675299</v>
      </c>
      <c r="P33" s="13">
        <f>'1990-10'!P33</f>
        <v>8550473</v>
      </c>
      <c r="Q33" s="22">
        <f t="shared" si="7"/>
        <v>831896.52310865908</v>
      </c>
      <c r="R33" s="13">
        <f t="shared" si="8"/>
        <v>831896.52310865908</v>
      </c>
    </row>
    <row r="34" spans="1:18">
      <c r="A34" s="18" t="s">
        <v>66</v>
      </c>
      <c r="B34" s="4">
        <f>'1990-10'!B34</f>
        <v>69.714425398287744</v>
      </c>
      <c r="C34" s="4">
        <f>'1990-10'!C34</f>
        <v>72.503002414219253</v>
      </c>
      <c r="D34" s="16">
        <f t="shared" si="9"/>
        <v>23238.141799429246</v>
      </c>
      <c r="E34" s="4">
        <f>'Interval Circuities'!C34</f>
        <v>1.2897910723541097</v>
      </c>
      <c r="F34" s="4">
        <f t="shared" si="0"/>
        <v>54.050944290570946</v>
      </c>
      <c r="G34" s="4">
        <f t="shared" si="1"/>
        <v>18.016981430190313</v>
      </c>
      <c r="H34" s="4">
        <f t="shared" si="2"/>
        <v>1019.7974802089349</v>
      </c>
      <c r="I34" s="4">
        <f t="shared" si="3"/>
        <v>411.8665313675163</v>
      </c>
      <c r="J34" s="9">
        <f>'1990-10'!J34</f>
        <v>1675.3</v>
      </c>
      <c r="K34" s="9">
        <f>'1990-10'!K34</f>
        <v>690000</v>
      </c>
      <c r="L34" s="22">
        <f t="shared" si="4"/>
        <v>420020.45087098738</v>
      </c>
      <c r="M34" s="22">
        <f t="shared" si="5"/>
        <v>420020.45087098738</v>
      </c>
      <c r="N34" s="19" t="s">
        <v>92</v>
      </c>
      <c r="O34" s="4">
        <f t="shared" si="6"/>
        <v>268.68143019160749</v>
      </c>
      <c r="P34" s="13">
        <f>'1990-10'!P34</f>
        <v>450122</v>
      </c>
      <c r="Q34" s="22">
        <f t="shared" si="7"/>
        <v>274000.64548833418</v>
      </c>
      <c r="R34" s="13">
        <f t="shared" si="8"/>
        <v>274000.64548833418</v>
      </c>
    </row>
    <row r="35" spans="1:18">
      <c r="A35" s="18" t="s">
        <v>48</v>
      </c>
      <c r="B35" s="4">
        <f>'1990-10'!B35</f>
        <v>58.78311324728174</v>
      </c>
      <c r="C35" s="4">
        <f>'1990-10'!C35</f>
        <v>61.722268909645827</v>
      </c>
      <c r="D35" s="16">
        <f t="shared" si="9"/>
        <v>19594.371082427246</v>
      </c>
      <c r="E35" s="4">
        <f>'Interval Circuities'!C35</f>
        <v>1.3541020206663816</v>
      </c>
      <c r="F35" s="4">
        <f t="shared" ref="F35:F53" si="10">B35/E35</f>
        <v>43.411140630565896</v>
      </c>
      <c r="G35" s="4">
        <f t="shared" ref="G35:G53" si="11">F35*$A$1</f>
        <v>14.470380210188631</v>
      </c>
      <c r="H35" s="4">
        <f t="shared" ref="H35:H53" si="12">PI()*G35^2</f>
        <v>657.82406552876228</v>
      </c>
      <c r="I35" s="4">
        <f t="shared" ref="I35:I53" si="13">K35/J35</f>
        <v>841.40495059191858</v>
      </c>
      <c r="J35" s="9">
        <f>'1990-10'!J35</f>
        <v>1022.1</v>
      </c>
      <c r="K35" s="9">
        <f>'1990-10'!K35</f>
        <v>860000</v>
      </c>
      <c r="L35" s="22">
        <f t="shared" ref="L35:L53" si="14">H35*I35</f>
        <v>553496.42535440321</v>
      </c>
      <c r="M35" s="22">
        <f t="shared" ref="M35:M53" si="15">MIN(K35,L35)</f>
        <v>553496.42535440321</v>
      </c>
      <c r="N35" s="19" t="s">
        <v>92</v>
      </c>
      <c r="O35" s="4">
        <f t="shared" ref="O35:O53" si="16">P35/J35</f>
        <v>545.39477546228352</v>
      </c>
      <c r="P35" s="13">
        <f>'1990-10'!P35</f>
        <v>557448</v>
      </c>
      <c r="Q35" s="22">
        <f t="shared" ref="Q35:Q53" si="17">H35*O35</f>
        <v>358773.80851274577</v>
      </c>
      <c r="R35" s="13">
        <f t="shared" ref="R35:R53" si="18">MIN(Q35,P35)</f>
        <v>358773.80851274577</v>
      </c>
    </row>
    <row r="36" spans="1:18">
      <c r="A36" s="18" t="s">
        <v>67</v>
      </c>
      <c r="B36" s="4">
        <f>'1990-10'!B36</f>
        <v>63.176257053555211</v>
      </c>
      <c r="C36" s="4">
        <f>'1990-10'!C36</f>
        <v>66.966832476768531</v>
      </c>
      <c r="D36" s="16">
        <f t="shared" si="9"/>
        <v>21058.75235118507</v>
      </c>
      <c r="E36" s="4">
        <f>'Interval Circuities'!C36</f>
        <v>1.2265252494853012</v>
      </c>
      <c r="F36" s="4">
        <f t="shared" si="10"/>
        <v>51.508321642841423</v>
      </c>
      <c r="G36" s="4">
        <f t="shared" si="11"/>
        <v>17.169440547613807</v>
      </c>
      <c r="H36" s="4">
        <f t="shared" si="12"/>
        <v>926.1091204306324</v>
      </c>
      <c r="I36" s="4">
        <f t="shared" si="13"/>
        <v>1518.9201737803867</v>
      </c>
      <c r="J36" s="9">
        <f>'1990-10'!J36</f>
        <v>3015.3</v>
      </c>
      <c r="K36" s="9">
        <f>'1990-10'!K36</f>
        <v>4580000</v>
      </c>
      <c r="L36" s="22">
        <f t="shared" si="14"/>
        <v>1406685.8261440971</v>
      </c>
      <c r="M36" s="22">
        <f t="shared" si="15"/>
        <v>1406685.8261440971</v>
      </c>
      <c r="N36" s="19" t="s">
        <v>92</v>
      </c>
      <c r="O36" s="4">
        <f t="shared" si="16"/>
        <v>926.91175007461936</v>
      </c>
      <c r="P36" s="13">
        <f>'1990-10'!P36</f>
        <v>2794917</v>
      </c>
      <c r="Q36" s="22">
        <f t="shared" si="17"/>
        <v>858421.42557842389</v>
      </c>
      <c r="R36" s="13">
        <f t="shared" si="18"/>
        <v>858421.42557842389</v>
      </c>
    </row>
    <row r="37" spans="1:18">
      <c r="A37" s="18" t="s">
        <v>49</v>
      </c>
      <c r="B37" s="4">
        <f>'1990-10'!B37</f>
        <v>62.02920484038443</v>
      </c>
      <c r="C37" s="4">
        <f>'1990-10'!C37</f>
        <v>65.130665082403652</v>
      </c>
      <c r="D37" s="16">
        <f t="shared" si="9"/>
        <v>20676.401613461476</v>
      </c>
      <c r="E37" s="4">
        <f>'Interval Circuities'!C37</f>
        <v>1.3059498158416865</v>
      </c>
      <c r="F37" s="4">
        <f t="shared" si="10"/>
        <v>47.497387792352896</v>
      </c>
      <c r="G37" s="4">
        <f t="shared" si="11"/>
        <v>15.832462597450965</v>
      </c>
      <c r="H37" s="4">
        <f t="shared" si="12"/>
        <v>787.49320325838016</v>
      </c>
      <c r="I37" s="4">
        <f t="shared" si="13"/>
        <v>987.28769407106381</v>
      </c>
      <c r="J37" s="9">
        <f>'1990-10'!J37</f>
        <v>1919.4</v>
      </c>
      <c r="K37" s="9">
        <f>'1990-10'!K37</f>
        <v>1895000</v>
      </c>
      <c r="L37" s="22">
        <f t="shared" si="14"/>
        <v>777482.34874160169</v>
      </c>
      <c r="M37" s="22">
        <f t="shared" si="15"/>
        <v>777482.34874160169</v>
      </c>
      <c r="N37" s="19" t="s">
        <v>92</v>
      </c>
      <c r="O37" s="4">
        <f t="shared" si="16"/>
        <v>519.17005314160667</v>
      </c>
      <c r="P37" s="13">
        <f>'1990-10'!P37</f>
        <v>996495</v>
      </c>
      <c r="Q37" s="22">
        <f t="shared" si="17"/>
        <v>408842.88818430732</v>
      </c>
      <c r="R37" s="13">
        <f t="shared" si="18"/>
        <v>408842.88818430732</v>
      </c>
    </row>
    <row r="38" spans="1:18">
      <c r="A38" s="18" t="s">
        <v>50</v>
      </c>
      <c r="B38" s="4">
        <f>'1990-10'!B38</f>
        <v>65.42916793409438</v>
      </c>
      <c r="C38" s="4">
        <f>'1990-10'!C38</f>
        <v>68.700626330799111</v>
      </c>
      <c r="D38" s="16">
        <f t="shared" si="9"/>
        <v>21809.722644698126</v>
      </c>
      <c r="E38" s="4">
        <f>'Interval Circuities'!C38</f>
        <v>1.330058039366363</v>
      </c>
      <c r="F38" s="4">
        <f t="shared" si="10"/>
        <v>49.19271640601842</v>
      </c>
      <c r="G38" s="4">
        <f t="shared" si="11"/>
        <v>16.397572135339473</v>
      </c>
      <c r="H38" s="4">
        <f t="shared" si="12"/>
        <v>844.71260116128224</v>
      </c>
      <c r="I38" s="4">
        <f t="shared" si="13"/>
        <v>883.28701865819767</v>
      </c>
      <c r="J38" s="9">
        <f>'1990-10'!J38</f>
        <v>2015.2</v>
      </c>
      <c r="K38" s="9">
        <f>'1990-10'!K38</f>
        <v>1780000</v>
      </c>
      <c r="L38" s="22">
        <f t="shared" si="14"/>
        <v>746123.6751027602</v>
      </c>
      <c r="M38" s="22">
        <f t="shared" si="15"/>
        <v>746123.6751027602</v>
      </c>
      <c r="N38" s="19" t="s">
        <v>92</v>
      </c>
      <c r="O38" s="4">
        <f t="shared" si="16"/>
        <v>474.4710202461294</v>
      </c>
      <c r="P38" s="13">
        <f>'1990-10'!P38</f>
        <v>956154</v>
      </c>
      <c r="Q38" s="22">
        <f t="shared" si="17"/>
        <v>400791.64968775539</v>
      </c>
      <c r="R38" s="13">
        <f t="shared" si="18"/>
        <v>400791.64968775539</v>
      </c>
    </row>
    <row r="39" spans="1:18">
      <c r="A39" s="18" t="s">
        <v>51</v>
      </c>
      <c r="B39" s="4">
        <f>'1990-10'!B39</f>
        <v>65.140770915733583</v>
      </c>
      <c r="C39" s="4">
        <f>'1990-10'!C39</f>
        <v>68.397809461520268</v>
      </c>
      <c r="D39" s="16">
        <f t="shared" si="9"/>
        <v>21713.590305244528</v>
      </c>
      <c r="E39" s="4">
        <f>'Interval Circuities'!C39</f>
        <v>1.4581242721044561</v>
      </c>
      <c r="F39" s="4">
        <f t="shared" si="10"/>
        <v>44.674361549251458</v>
      </c>
      <c r="G39" s="4">
        <f t="shared" si="11"/>
        <v>14.891453849750485</v>
      </c>
      <c r="H39" s="4">
        <f t="shared" si="12"/>
        <v>696.66512849433775</v>
      </c>
      <c r="I39" s="4">
        <f t="shared" si="13"/>
        <v>1184.1974325803562</v>
      </c>
      <c r="J39" s="9">
        <f>'1990-10'!J39</f>
        <v>1004.9</v>
      </c>
      <c r="K39" s="9">
        <f>'1990-10'!K39</f>
        <v>1190000</v>
      </c>
      <c r="L39" s="22">
        <f t="shared" si="14"/>
        <v>824989.05653125874</v>
      </c>
      <c r="M39" s="22">
        <f t="shared" si="15"/>
        <v>824989.05653125874</v>
      </c>
      <c r="N39" s="19" t="s">
        <v>92</v>
      </c>
      <c r="O39" s="4">
        <f t="shared" si="16"/>
        <v>720.99910438849633</v>
      </c>
      <c r="P39" s="13">
        <f>'1990-10'!P39</f>
        <v>724532</v>
      </c>
      <c r="Q39" s="22">
        <f t="shared" si="17"/>
        <v>502294.93370311422</v>
      </c>
      <c r="R39" s="13">
        <f t="shared" si="18"/>
        <v>502294.93370311422</v>
      </c>
    </row>
    <row r="40" spans="1:18">
      <c r="A40" s="18" t="s">
        <v>52</v>
      </c>
      <c r="B40" s="4">
        <f>'1990-10'!B40</f>
        <v>70.338872065042395</v>
      </c>
      <c r="C40" s="4">
        <f>'1990-10'!C40</f>
        <v>75.262593109595372</v>
      </c>
      <c r="D40" s="16">
        <f t="shared" si="9"/>
        <v>23446.290688347464</v>
      </c>
      <c r="E40" s="4">
        <f>'Interval Circuities'!C40</f>
        <v>1.2713656590722755</v>
      </c>
      <c r="F40" s="4">
        <f t="shared" si="10"/>
        <v>55.325445958929841</v>
      </c>
      <c r="G40" s="4">
        <f t="shared" si="11"/>
        <v>18.441815319643279</v>
      </c>
      <c r="H40" s="4">
        <f t="shared" si="12"/>
        <v>1068.4573965367101</v>
      </c>
      <c r="I40" s="4">
        <f t="shared" si="13"/>
        <v>1415.4601861427093</v>
      </c>
      <c r="J40" s="9">
        <f>'1990-10'!J40</f>
        <v>773.6</v>
      </c>
      <c r="K40" s="9">
        <f>'1990-10'!K40</f>
        <v>1095000</v>
      </c>
      <c r="L40" s="22">
        <f t="shared" si="14"/>
        <v>1512358.9053874062</v>
      </c>
      <c r="M40" s="22">
        <f t="shared" si="15"/>
        <v>1095000</v>
      </c>
      <c r="N40" s="19" t="s">
        <v>92</v>
      </c>
      <c r="O40" s="4">
        <f t="shared" si="16"/>
        <v>704.06928645294727</v>
      </c>
      <c r="P40" s="13">
        <f>'1990-10'!P40</f>
        <v>544668</v>
      </c>
      <c r="Q40" s="22">
        <f t="shared" si="17"/>
        <v>752268.03678497521</v>
      </c>
      <c r="R40" s="13">
        <f t="shared" si="18"/>
        <v>544668</v>
      </c>
    </row>
    <row r="41" spans="1:18">
      <c r="A41" s="18" t="s">
        <v>53</v>
      </c>
      <c r="B41" s="4">
        <f>'1990-10'!B41</f>
        <v>68.778714095226661</v>
      </c>
      <c r="C41" s="4">
        <f>'1990-10'!C41</f>
        <v>74.281011222844796</v>
      </c>
      <c r="D41" s="16">
        <f t="shared" si="9"/>
        <v>22926.238031742218</v>
      </c>
      <c r="E41" s="4">
        <f>'Interval Circuities'!C41</f>
        <v>1.2718152957128177</v>
      </c>
      <c r="F41" s="4">
        <f t="shared" si="10"/>
        <v>54.079168828267683</v>
      </c>
      <c r="G41" s="4">
        <f t="shared" si="11"/>
        <v>18.026389609422559</v>
      </c>
      <c r="H41" s="4">
        <f t="shared" si="12"/>
        <v>1020.862802115648</v>
      </c>
      <c r="I41" s="4">
        <f t="shared" si="13"/>
        <v>1097.213078779899</v>
      </c>
      <c r="J41" s="9">
        <f>'1990-10'!J41</f>
        <v>455.7</v>
      </c>
      <c r="K41" s="9">
        <f>'1990-10'!K41</f>
        <v>500000</v>
      </c>
      <c r="L41" s="22">
        <f t="shared" si="14"/>
        <v>1120104.018121185</v>
      </c>
      <c r="M41" s="22">
        <f t="shared" si="15"/>
        <v>500000</v>
      </c>
      <c r="N41" s="19" t="s">
        <v>92</v>
      </c>
      <c r="O41" s="4">
        <f t="shared" si="16"/>
        <v>877.11432960280888</v>
      </c>
      <c r="P41" s="13">
        <f>'1990-10'!P41</f>
        <v>399701</v>
      </c>
      <c r="Q41" s="22">
        <f t="shared" si="17"/>
        <v>895413.39229411155</v>
      </c>
      <c r="R41" s="13">
        <f t="shared" si="18"/>
        <v>399701</v>
      </c>
    </row>
    <row r="42" spans="1:18">
      <c r="A42" s="18" t="s">
        <v>82</v>
      </c>
      <c r="B42" s="4">
        <f>'1990-10'!B42</f>
        <v>70.514936537683639</v>
      </c>
      <c r="C42" s="4">
        <f>'1990-10'!C42</f>
        <v>78.27157955682884</v>
      </c>
      <c r="D42" s="16">
        <f t="shared" si="9"/>
        <v>23504.978845894544</v>
      </c>
      <c r="E42" s="4">
        <f>'Interval Circuities'!C42</f>
        <v>1.2523603170809248</v>
      </c>
      <c r="F42" s="4">
        <f t="shared" si="10"/>
        <v>56.305629918108558</v>
      </c>
      <c r="G42" s="4">
        <f t="shared" si="11"/>
        <v>18.768543306036186</v>
      </c>
      <c r="H42" s="4">
        <f t="shared" si="12"/>
        <v>1106.651829303107</v>
      </c>
      <c r="I42" s="4">
        <f t="shared" si="13"/>
        <v>1079.1366906474821</v>
      </c>
      <c r="J42" s="9">
        <f>'1990-10'!J42</f>
        <v>569.9</v>
      </c>
      <c r="K42" s="9">
        <f>'1990-10'!K42</f>
        <v>615000</v>
      </c>
      <c r="L42" s="22">
        <f t="shared" si="14"/>
        <v>1194228.5927731371</v>
      </c>
      <c r="M42" s="22">
        <f t="shared" si="15"/>
        <v>615000</v>
      </c>
      <c r="N42" s="19" t="s">
        <v>92</v>
      </c>
      <c r="O42" s="4">
        <f t="shared" si="16"/>
        <v>844.82716266011585</v>
      </c>
      <c r="P42" s="13">
        <f>'1990-10'!P42</f>
        <v>481467</v>
      </c>
      <c r="Q42" s="22">
        <f t="shared" si="17"/>
        <v>934929.52500277071</v>
      </c>
      <c r="R42" s="13">
        <f t="shared" si="18"/>
        <v>481467</v>
      </c>
    </row>
    <row r="43" spans="1:18">
      <c r="A43" s="18" t="s">
        <v>54</v>
      </c>
      <c r="B43" s="4">
        <f>'1990-10'!B43</f>
        <v>61.557786724693997</v>
      </c>
      <c r="C43" s="4">
        <f>'1990-10'!C43</f>
        <v>68.329143264410348</v>
      </c>
      <c r="D43" s="16">
        <f t="shared" si="9"/>
        <v>20519.262241564666</v>
      </c>
      <c r="E43" s="4">
        <f>'Interval Circuities'!C43</f>
        <v>1.4530437206861992</v>
      </c>
      <c r="F43" s="4">
        <f t="shared" si="10"/>
        <v>42.364717488076245</v>
      </c>
      <c r="G43" s="4">
        <f t="shared" si="11"/>
        <v>14.121572496025415</v>
      </c>
      <c r="H43" s="4">
        <f t="shared" si="12"/>
        <v>626.4926677312119</v>
      </c>
      <c r="I43" s="4">
        <f t="shared" si="13"/>
        <v>1272.1174973979414</v>
      </c>
      <c r="J43" s="9">
        <f>'1990-10'!J43</f>
        <v>864.7</v>
      </c>
      <c r="K43" s="9">
        <f>'1990-10'!K43</f>
        <v>1100000</v>
      </c>
      <c r="L43" s="22">
        <f t="shared" si="14"/>
        <v>796972.28461238928</v>
      </c>
      <c r="M43" s="22">
        <f t="shared" si="15"/>
        <v>796972.28461238928</v>
      </c>
      <c r="N43" s="19" t="s">
        <v>92</v>
      </c>
      <c r="O43" s="4">
        <f t="shared" si="16"/>
        <v>793.27512432057358</v>
      </c>
      <c r="P43" s="13">
        <f>'1990-10'!P43</f>
        <v>685945</v>
      </c>
      <c r="Q43" s="22">
        <f t="shared" si="17"/>
        <v>496981.04888040491</v>
      </c>
      <c r="R43" s="13">
        <f t="shared" si="18"/>
        <v>496981.04888040491</v>
      </c>
    </row>
    <row r="44" spans="1:18">
      <c r="A44" s="18" t="s">
        <v>55</v>
      </c>
      <c r="B44" s="4">
        <f>'1990-10'!B44</f>
        <v>65.143959367039756</v>
      </c>
      <c r="C44" s="4">
        <f>'1990-10'!C44</f>
        <v>73.612674084754914</v>
      </c>
      <c r="D44" s="16">
        <f t="shared" si="9"/>
        <v>21714.653122346583</v>
      </c>
      <c r="E44" s="4">
        <f>'Interval Circuities'!C44</f>
        <v>1.3430648675798638</v>
      </c>
      <c r="F44" s="4">
        <f t="shared" si="10"/>
        <v>48.50395609292196</v>
      </c>
      <c r="G44" s="4">
        <f t="shared" si="11"/>
        <v>16.16798536430732</v>
      </c>
      <c r="H44" s="4">
        <f t="shared" si="12"/>
        <v>821.2241029470332</v>
      </c>
      <c r="I44" s="4">
        <f t="shared" si="13"/>
        <v>1215.620726333384</v>
      </c>
      <c r="J44" s="9">
        <f>'1990-10'!J44</f>
        <v>658.1</v>
      </c>
      <c r="K44" s="9">
        <f>'1990-10'!K44</f>
        <v>800000</v>
      </c>
      <c r="L44" s="22">
        <f t="shared" si="14"/>
        <v>998297.04050695419</v>
      </c>
      <c r="M44" s="22">
        <f t="shared" si="15"/>
        <v>800000</v>
      </c>
      <c r="N44" s="19" t="s">
        <v>92</v>
      </c>
      <c r="O44" s="4">
        <f t="shared" si="16"/>
        <v>728.36650964898945</v>
      </c>
      <c r="P44" s="13">
        <f>'1990-10'!P44</f>
        <v>479338</v>
      </c>
      <c r="Q44" s="22">
        <f t="shared" si="17"/>
        <v>598152.13350315299</v>
      </c>
      <c r="R44" s="13">
        <f t="shared" si="18"/>
        <v>479338</v>
      </c>
    </row>
    <row r="45" spans="1:18">
      <c r="A45" s="18" t="s">
        <v>68</v>
      </c>
      <c r="B45" s="4">
        <f>'1990-10'!B45</f>
        <v>68.131157212250471</v>
      </c>
      <c r="C45" s="4">
        <f>'1990-10'!C45</f>
        <v>77.66951922196553</v>
      </c>
      <c r="D45" s="16">
        <f t="shared" si="9"/>
        <v>22710.385737416822</v>
      </c>
      <c r="E45" s="4">
        <f>'Interval Circuities'!C45</f>
        <v>1.4119484182327386</v>
      </c>
      <c r="F45" s="4">
        <f t="shared" si="10"/>
        <v>48.25329051150937</v>
      </c>
      <c r="G45" s="4">
        <f t="shared" si="11"/>
        <v>16.084430170503122</v>
      </c>
      <c r="H45" s="4">
        <f t="shared" si="12"/>
        <v>812.75796052534076</v>
      </c>
      <c r="I45" s="4">
        <f t="shared" si="13"/>
        <v>1031.2913177611283</v>
      </c>
      <c r="J45" s="9">
        <f>'1990-10'!J45</f>
        <v>1134.5</v>
      </c>
      <c r="K45" s="9">
        <f>'1990-10'!K45</f>
        <v>1170000</v>
      </c>
      <c r="L45" s="22">
        <f t="shared" si="14"/>
        <v>838190.2281310258</v>
      </c>
      <c r="M45" s="22">
        <f t="shared" si="15"/>
        <v>838190.2281310258</v>
      </c>
      <c r="N45" s="19" t="s">
        <v>92</v>
      </c>
      <c r="O45" s="4">
        <f t="shared" si="16"/>
        <v>501.67386513882769</v>
      </c>
      <c r="P45" s="13">
        <f>'1990-10'!P45</f>
        <v>569149</v>
      </c>
      <c r="Q45" s="22">
        <f t="shared" si="17"/>
        <v>407739.42747909843</v>
      </c>
      <c r="R45" s="13">
        <f t="shared" si="18"/>
        <v>407739.42747909843</v>
      </c>
    </row>
    <row r="46" spans="1:18">
      <c r="A46" s="18" t="s">
        <v>69</v>
      </c>
      <c r="B46" s="4">
        <f>'1990-10'!B46</f>
        <v>59.330043396898148</v>
      </c>
      <c r="C46" s="4">
        <f>'1990-10'!C46</f>
        <v>68.229549906432865</v>
      </c>
      <c r="D46" s="16">
        <f t="shared" si="9"/>
        <v>19776.681132299382</v>
      </c>
      <c r="E46" s="4">
        <f>'Interval Circuities'!C46</f>
        <v>1.4037101783008972</v>
      </c>
      <c r="F46" s="4">
        <f t="shared" si="10"/>
        <v>42.266590578343909</v>
      </c>
      <c r="G46" s="4">
        <f t="shared" si="11"/>
        <v>14.088863526114636</v>
      </c>
      <c r="H46" s="4">
        <f t="shared" si="12"/>
        <v>623.59381242363486</v>
      </c>
      <c r="I46" s="4">
        <f t="shared" si="13"/>
        <v>1283.9160839160838</v>
      </c>
      <c r="J46" s="9">
        <f>'1990-10'!J46</f>
        <v>1787.5</v>
      </c>
      <c r="K46" s="9">
        <f>'1990-10'!K46</f>
        <v>2295000</v>
      </c>
      <c r="L46" s="22">
        <f t="shared" si="14"/>
        <v>800642.12560125417</v>
      </c>
      <c r="M46" s="22">
        <f t="shared" si="15"/>
        <v>800642.12560125417</v>
      </c>
      <c r="N46" s="19" t="s">
        <v>92</v>
      </c>
      <c r="O46" s="4">
        <f t="shared" si="16"/>
        <v>688.36139860139861</v>
      </c>
      <c r="P46" s="13">
        <f>'1990-10'!P46</f>
        <v>1230446</v>
      </c>
      <c r="Q46" s="22">
        <f t="shared" si="17"/>
        <v>429257.90887911152</v>
      </c>
      <c r="R46" s="13">
        <f t="shared" si="18"/>
        <v>429257.90887911152</v>
      </c>
    </row>
    <row r="47" spans="1:18" ht="16">
      <c r="A47" s="18" t="s">
        <v>114</v>
      </c>
      <c r="B47" s="4">
        <f>'1990-10'!B47</f>
        <v>53.936325276944842</v>
      </c>
      <c r="C47" s="4">
        <f>'1990-10'!C47</f>
        <v>62.026774068486567</v>
      </c>
      <c r="D47" s="16">
        <f t="shared" si="9"/>
        <v>17978.775092314947</v>
      </c>
      <c r="E47" s="4">
        <f>'Interval Circuities'!C47</f>
        <v>1.416567988314142</v>
      </c>
      <c r="F47" s="4">
        <f t="shared" si="10"/>
        <v>38.07535234587256</v>
      </c>
      <c r="G47" s="4">
        <f t="shared" si="11"/>
        <v>12.691784115290853</v>
      </c>
      <c r="H47" s="4">
        <f t="shared" si="12"/>
        <v>506.05209269605137</v>
      </c>
      <c r="I47" s="4">
        <f t="shared" si="13"/>
        <v>1623.3049162948894</v>
      </c>
      <c r="J47" s="9">
        <f>'1990-10'!J47</f>
        <v>2263.9</v>
      </c>
      <c r="K47" s="9">
        <f>'1990-10'!K47</f>
        <v>3675000</v>
      </c>
      <c r="L47" s="22">
        <f t="shared" si="14"/>
        <v>821476.84997481725</v>
      </c>
      <c r="M47" s="22">
        <f t="shared" si="15"/>
        <v>821476.84997481725</v>
      </c>
      <c r="N47" s="19" t="s">
        <v>92</v>
      </c>
      <c r="O47" s="4">
        <f t="shared" si="16"/>
        <v>870.35072220504435</v>
      </c>
      <c r="P47" s="13">
        <f>'1990-10'!P47</f>
        <v>1970387</v>
      </c>
      <c r="Q47" s="22">
        <f t="shared" si="17"/>
        <v>440442.80435138236</v>
      </c>
      <c r="R47" s="13">
        <f t="shared" si="18"/>
        <v>440442.80435138236</v>
      </c>
    </row>
    <row r="48" spans="1:18" ht="16">
      <c r="A48" s="18" t="s">
        <v>72</v>
      </c>
      <c r="B48" s="4">
        <f>'1990-10'!B48</f>
        <v>57.58663731743308</v>
      </c>
      <c r="C48" s="4">
        <f>'1990-10'!C48</f>
        <v>66.800499288222369</v>
      </c>
      <c r="D48" s="16">
        <f t="shared" si="9"/>
        <v>19195.545772477693</v>
      </c>
      <c r="E48" s="4">
        <f>'Interval Circuities'!C48</f>
        <v>1.4096273423355778</v>
      </c>
      <c r="F48" s="4">
        <f t="shared" si="10"/>
        <v>40.852383880422721</v>
      </c>
      <c r="G48" s="4">
        <f t="shared" si="11"/>
        <v>13.617461293474239</v>
      </c>
      <c r="H48" s="4">
        <f t="shared" si="12"/>
        <v>582.56202564880323</v>
      </c>
      <c r="I48" s="4">
        <f t="shared" si="13"/>
        <v>1608.4873374401095</v>
      </c>
      <c r="J48" s="9">
        <f>'1990-10'!J48</f>
        <v>876.6</v>
      </c>
      <c r="K48" s="9">
        <f>'1990-10'!K48</f>
        <v>1410000</v>
      </c>
      <c r="L48" s="22">
        <f t="shared" si="14"/>
        <v>937043.64152956032</v>
      </c>
      <c r="M48" s="22">
        <f t="shared" si="15"/>
        <v>937043.64152956032</v>
      </c>
      <c r="N48" s="19" t="s">
        <v>92</v>
      </c>
      <c r="O48" s="4">
        <f t="shared" si="16"/>
        <v>1079.5836185261237</v>
      </c>
      <c r="P48" s="13">
        <f>'1990-10'!P48</f>
        <v>946363</v>
      </c>
      <c r="Q48" s="22">
        <f t="shared" si="17"/>
        <v>628924.41966584348</v>
      </c>
      <c r="R48" s="13">
        <f t="shared" si="18"/>
        <v>628924.41966584348</v>
      </c>
    </row>
    <row r="49" spans="1:18">
      <c r="A49" s="18" t="s">
        <v>56</v>
      </c>
      <c r="B49" s="4">
        <f>'1990-10'!B49</f>
        <v>57.751551670614234</v>
      </c>
      <c r="C49" s="4">
        <f>'1990-10'!C49</f>
        <v>67.569315454618646</v>
      </c>
      <c r="D49" s="16">
        <f t="shared" si="9"/>
        <v>19250.517223538074</v>
      </c>
      <c r="E49" s="4">
        <f>'Interval Circuities'!C49</f>
        <v>1.4556418481376483</v>
      </c>
      <c r="F49" s="4">
        <f t="shared" si="10"/>
        <v>39.674286463048382</v>
      </c>
      <c r="G49" s="4">
        <f t="shared" si="11"/>
        <v>13.22476215434946</v>
      </c>
      <c r="H49" s="4">
        <f t="shared" si="12"/>
        <v>549.44675497175911</v>
      </c>
      <c r="I49" s="4">
        <f t="shared" si="13"/>
        <v>1477.6384054639784</v>
      </c>
      <c r="J49" s="9">
        <f>'1990-10'!J49</f>
        <v>1522.7</v>
      </c>
      <c r="K49" s="9">
        <f>'1990-10'!K49</f>
        <v>2250000</v>
      </c>
      <c r="L49" s="22">
        <f t="shared" si="14"/>
        <v>811883.62690382742</v>
      </c>
      <c r="M49" s="22">
        <f t="shared" si="15"/>
        <v>811883.62690382742</v>
      </c>
      <c r="N49" s="19" t="s">
        <v>92</v>
      </c>
      <c r="O49" s="4">
        <f t="shared" si="16"/>
        <v>859.22243383463581</v>
      </c>
      <c r="P49" s="13">
        <f>'1990-10'!P49</f>
        <v>1308338</v>
      </c>
      <c r="Q49" s="22">
        <f t="shared" si="17"/>
        <v>472096.97806937766</v>
      </c>
      <c r="R49" s="13">
        <f t="shared" si="18"/>
        <v>472096.97806937766</v>
      </c>
    </row>
    <row r="50" spans="1:18">
      <c r="A50" s="18" t="s">
        <v>76</v>
      </c>
      <c r="B50" s="4">
        <f>'1990-10'!B50</f>
        <v>57.267086544288581</v>
      </c>
      <c r="C50" s="4">
        <f>'1990-10'!C50</f>
        <v>59.557770006060125</v>
      </c>
      <c r="D50" s="16">
        <f t="shared" si="9"/>
        <v>19089.02884809619</v>
      </c>
      <c r="E50" s="4">
        <f>'Interval Circuities'!C50</f>
        <v>1.2768819195755856</v>
      </c>
      <c r="F50" s="4">
        <f t="shared" si="10"/>
        <v>44.84916394095643</v>
      </c>
      <c r="G50" s="4">
        <f t="shared" si="11"/>
        <v>14.949721313652143</v>
      </c>
      <c r="H50" s="4">
        <f t="shared" si="12"/>
        <v>702.12763428535379</v>
      </c>
      <c r="I50" s="4">
        <f t="shared" si="13"/>
        <v>4280.7094372673528</v>
      </c>
      <c r="J50" s="9">
        <f>'1990-10'!J50</f>
        <v>913.4</v>
      </c>
      <c r="K50" s="9">
        <f>'1990-10'!K50</f>
        <v>3910000</v>
      </c>
      <c r="L50" s="22">
        <f t="shared" si="14"/>
        <v>3005604.3902515145</v>
      </c>
      <c r="M50" s="22">
        <f t="shared" si="15"/>
        <v>3005604.3902515145</v>
      </c>
      <c r="N50" s="19" t="s">
        <v>92</v>
      </c>
      <c r="O50" s="4">
        <f t="shared" si="16"/>
        <v>1616.0335012042917</v>
      </c>
      <c r="P50" s="13">
        <f>'1990-10'!P50</f>
        <v>1476085</v>
      </c>
      <c r="Q50" s="22">
        <f t="shared" si="17"/>
        <v>1134661.7791264467</v>
      </c>
      <c r="R50" s="13">
        <f t="shared" si="18"/>
        <v>1134661.7791264467</v>
      </c>
    </row>
    <row r="51" spans="1:18">
      <c r="A51" s="18" t="s">
        <v>57</v>
      </c>
      <c r="B51" s="4">
        <f>'1990-10'!B51</f>
        <v>65.029165523454452</v>
      </c>
      <c r="C51" s="4">
        <f>'1990-10'!C51</f>
        <v>79.985873593848979</v>
      </c>
      <c r="D51" s="16">
        <f t="shared" si="9"/>
        <v>21676.388507818148</v>
      </c>
      <c r="E51" s="4">
        <f>'Interval Circuities'!C51</f>
        <v>1.3693210998382908</v>
      </c>
      <c r="F51" s="4">
        <f t="shared" si="10"/>
        <v>47.490077770023433</v>
      </c>
      <c r="G51" s="4">
        <f t="shared" si="11"/>
        <v>15.830025923341143</v>
      </c>
      <c r="H51" s="4">
        <f t="shared" si="12"/>
        <v>787.25082572196084</v>
      </c>
      <c r="I51" s="4">
        <f t="shared" si="13"/>
        <v>1039.2364793213148</v>
      </c>
      <c r="J51" s="9">
        <f>'1990-10'!J51</f>
        <v>1886</v>
      </c>
      <c r="K51" s="9">
        <f>'1990-10'!K51</f>
        <v>1960000</v>
      </c>
      <c r="L51" s="22">
        <f t="shared" si="14"/>
        <v>818139.7764660886</v>
      </c>
      <c r="M51" s="22">
        <f t="shared" si="15"/>
        <v>818139.7764660886</v>
      </c>
      <c r="N51" s="19" t="s">
        <v>92</v>
      </c>
      <c r="O51" s="4">
        <f t="shared" si="16"/>
        <v>606.75291622481438</v>
      </c>
      <c r="P51" s="13">
        <f>'1990-10'!P51</f>
        <v>1144336</v>
      </c>
      <c r="Q51" s="22">
        <f t="shared" si="17"/>
        <v>477666.73430719285</v>
      </c>
      <c r="R51" s="13">
        <f t="shared" si="18"/>
        <v>477666.73430719285</v>
      </c>
    </row>
    <row r="52" spans="1:18">
      <c r="A52" s="18" t="s">
        <v>71</v>
      </c>
      <c r="B52" s="4">
        <f>'1990-10'!B52</f>
        <v>57.772652523705723</v>
      </c>
      <c r="C52" s="4">
        <f>'1990-10'!C52</f>
        <v>71.060362604158044</v>
      </c>
      <c r="D52" s="16">
        <f t="shared" si="9"/>
        <v>19257.550841235239</v>
      </c>
      <c r="E52" s="4">
        <f>'Interval Circuities'!C52</f>
        <v>1.3170869233225599</v>
      </c>
      <c r="F52" s="4">
        <f t="shared" si="10"/>
        <v>43.863963342650976</v>
      </c>
      <c r="G52" s="4">
        <f t="shared" si="11"/>
        <v>14.621321114216991</v>
      </c>
      <c r="H52" s="4">
        <f t="shared" si="12"/>
        <v>671.61920004460762</v>
      </c>
      <c r="I52" s="4">
        <f t="shared" si="13"/>
        <v>1022.1667558091162</v>
      </c>
      <c r="J52" s="9">
        <f>'1990-10'!J52</f>
        <v>1682.7</v>
      </c>
      <c r="K52" s="9">
        <f>'1990-10'!K52</f>
        <v>1720000</v>
      </c>
      <c r="L52" s="22">
        <f t="shared" si="14"/>
        <v>686506.81884871039</v>
      </c>
      <c r="M52" s="22">
        <f t="shared" si="15"/>
        <v>686506.81884871039</v>
      </c>
      <c r="N52" s="19" t="s">
        <v>92</v>
      </c>
      <c r="O52" s="4">
        <f t="shared" si="16"/>
        <v>543.59719498425147</v>
      </c>
      <c r="P52" s="13">
        <f>'1990-10'!P52</f>
        <v>914711</v>
      </c>
      <c r="Q52" s="22">
        <f t="shared" si="17"/>
        <v>365090.31324181554</v>
      </c>
      <c r="R52" s="13">
        <f t="shared" si="18"/>
        <v>365090.31324181554</v>
      </c>
    </row>
    <row r="53" spans="1:18" ht="16">
      <c r="A53" s="18" t="s">
        <v>118</v>
      </c>
      <c r="B53" s="4">
        <f>'1990-10'!B53</f>
        <v>57.166397237881569</v>
      </c>
      <c r="C53" s="4">
        <f>'1990-10'!C53</f>
        <v>76.031308326382486</v>
      </c>
      <c r="D53" s="16">
        <f t="shared" si="9"/>
        <v>19055.465745960522</v>
      </c>
      <c r="E53" s="4">
        <f>'Interval Circuities'!C53</f>
        <v>1.3872254320851991</v>
      </c>
      <c r="F53" s="4">
        <f t="shared" si="10"/>
        <v>41.209161766845824</v>
      </c>
      <c r="G53" s="4">
        <f t="shared" si="11"/>
        <v>13.736387255615274</v>
      </c>
      <c r="H53" s="4">
        <f t="shared" si="12"/>
        <v>592.78188653959023</v>
      </c>
      <c r="I53" s="4">
        <f t="shared" si="13"/>
        <v>1267.0644976702363</v>
      </c>
      <c r="J53" s="9">
        <f>'1990-10'!J53</f>
        <v>2446.6</v>
      </c>
      <c r="K53" s="9">
        <f>'1990-10'!K53</f>
        <v>3100000</v>
      </c>
      <c r="L53" s="22">
        <f t="shared" si="14"/>
        <v>751092.88329630089</v>
      </c>
      <c r="M53" s="22">
        <f t="shared" si="15"/>
        <v>751092.88329630089</v>
      </c>
      <c r="N53" s="19" t="s">
        <v>92</v>
      </c>
      <c r="O53" s="4">
        <f t="shared" si="16"/>
        <v>905.07234529551215</v>
      </c>
      <c r="P53" s="13">
        <f>'1990-10'!P53</f>
        <v>2214350</v>
      </c>
      <c r="Q53" s="22">
        <f t="shared" si="17"/>
        <v>536510.49229908513</v>
      </c>
      <c r="R53" s="13">
        <f t="shared" si="18"/>
        <v>536510.49229908513</v>
      </c>
    </row>
    <row r="54" spans="1:18">
      <c r="D54" s="1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D2" sqref="D2"/>
    </sheetView>
  </sheetViews>
  <sheetFormatPr baseColWidth="10" defaultColWidth="11.5" defaultRowHeight="14" x14ac:dyDescent="0"/>
  <cols>
    <col min="4" max="4" width="8.5" style="18" customWidth="1"/>
  </cols>
  <sheetData>
    <row r="1" spans="1:18" ht="56">
      <c r="A1" s="18">
        <f>3/6</f>
        <v>0.5</v>
      </c>
      <c r="B1" s="1" t="s">
        <v>60</v>
      </c>
      <c r="C1" s="1" t="s">
        <v>61</v>
      </c>
      <c r="D1" s="30" t="s">
        <v>164</v>
      </c>
      <c r="E1" s="7" t="s">
        <v>91</v>
      </c>
      <c r="F1" s="1" t="s">
        <v>21</v>
      </c>
      <c r="G1" s="1" t="s">
        <v>20</v>
      </c>
      <c r="H1" s="1" t="s">
        <v>134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125</v>
      </c>
      <c r="E2" s="18" t="s">
        <v>116</v>
      </c>
      <c r="F2" s="18" t="s">
        <v>17</v>
      </c>
      <c r="G2" s="18" t="s">
        <v>19</v>
      </c>
      <c r="H2" s="18" t="s">
        <v>135</v>
      </c>
      <c r="I2" s="18" t="s">
        <v>24</v>
      </c>
      <c r="J2" s="9" t="s">
        <v>16</v>
      </c>
      <c r="K2" s="13" t="s">
        <v>126</v>
      </c>
      <c r="L2" s="22" t="s">
        <v>132</v>
      </c>
      <c r="M2" s="22" t="s">
        <v>127</v>
      </c>
      <c r="N2" s="19" t="s">
        <v>92</v>
      </c>
      <c r="O2" s="18" t="s">
        <v>128</v>
      </c>
      <c r="P2" s="18" t="s">
        <v>129</v>
      </c>
      <c r="Q2" s="22" t="s">
        <v>131</v>
      </c>
      <c r="R2" s="18" t="s">
        <v>130</v>
      </c>
    </row>
    <row r="3" spans="1:18">
      <c r="A3" s="18" t="s">
        <v>26</v>
      </c>
      <c r="B3" s="4">
        <f>'1990-10'!B3</f>
        <v>60.37546801014345</v>
      </c>
      <c r="C3" s="4">
        <f>'1990-10'!C3</f>
        <v>63.997996090752061</v>
      </c>
      <c r="D3" s="16">
        <f>B3*$A$1*1000</f>
        <v>30187.734005071725</v>
      </c>
      <c r="E3" s="4">
        <f>'Interval Circuities'!D3</f>
        <v>1.2597492146433538</v>
      </c>
      <c r="F3" s="4">
        <f t="shared" ref="F3:F34" si="0">B3/E3</f>
        <v>47.926577217383922</v>
      </c>
      <c r="G3" s="4">
        <f t="shared" ref="G3:G34" si="1">F3*$A$1</f>
        <v>23.963288608691961</v>
      </c>
      <c r="H3" s="4">
        <f t="shared" ref="H3:H34" si="2">PI()*G3^2</f>
        <v>1804.0256550872655</v>
      </c>
      <c r="I3" s="4">
        <f t="shared" ref="I3:I34" si="3">K3/J3</f>
        <v>964.67391304347825</v>
      </c>
      <c r="J3" s="9">
        <f>'1990-10'!J3</f>
        <v>2944</v>
      </c>
      <c r="K3" s="9">
        <f>'1990-10'!K3</f>
        <v>2840000</v>
      </c>
      <c r="L3" s="22">
        <f t="shared" ref="L3:L34" si="4">H3*I3</f>
        <v>1740296.4879238566</v>
      </c>
      <c r="M3" s="22">
        <f t="shared" ref="M3:M34" si="5">MIN(K3,L3)</f>
        <v>1740296.4879238566</v>
      </c>
      <c r="N3" s="19" t="s">
        <v>92</v>
      </c>
      <c r="O3" s="4">
        <f t="shared" ref="O3:O34" si="6">P3/J3</f>
        <v>503.32235054347825</v>
      </c>
      <c r="P3" s="13">
        <f>'1990-10'!P3</f>
        <v>1481781</v>
      </c>
      <c r="Q3" s="22">
        <f t="shared" ref="Q3:Q34" si="7">H3*O3</f>
        <v>908006.43315926066</v>
      </c>
      <c r="R3" s="13">
        <f t="shared" ref="R3:R34" si="8">MIN(Q3,P3)</f>
        <v>908006.43315926066</v>
      </c>
    </row>
    <row r="4" spans="1:18">
      <c r="A4" s="18" t="s">
        <v>27</v>
      </c>
      <c r="B4" s="4">
        <f>'1990-10'!B4</f>
        <v>63.478689145973746</v>
      </c>
      <c r="C4" s="4">
        <f>'1990-10'!C4</f>
        <v>67.922197386191925</v>
      </c>
      <c r="D4" s="16">
        <f t="shared" ref="D4:D53" si="9">B4*$A$1*1000</f>
        <v>31739.344572986873</v>
      </c>
      <c r="E4" s="4">
        <f>'Interval Circuities'!D4</f>
        <v>1.3586810860714802</v>
      </c>
      <c r="F4" s="4">
        <f t="shared" si="0"/>
        <v>46.720816089018648</v>
      </c>
      <c r="G4" s="4">
        <f t="shared" si="1"/>
        <v>23.360408044509324</v>
      </c>
      <c r="H4" s="4">
        <f t="shared" si="2"/>
        <v>1714.3943298414747</v>
      </c>
      <c r="I4" s="4">
        <f t="shared" si="3"/>
        <v>932.86219081272088</v>
      </c>
      <c r="J4" s="9">
        <f>'1990-10'!J4</f>
        <v>707.5</v>
      </c>
      <c r="K4" s="9">
        <f>'1990-10'!K4</f>
        <v>660000</v>
      </c>
      <c r="L4" s="22">
        <f t="shared" si="4"/>
        <v>1599293.6504528245</v>
      </c>
      <c r="M4" s="22">
        <f t="shared" si="5"/>
        <v>660000</v>
      </c>
      <c r="N4" s="19" t="s">
        <v>92</v>
      </c>
      <c r="O4" s="4">
        <f t="shared" si="6"/>
        <v>571.04734982332161</v>
      </c>
      <c r="P4" s="13">
        <f>'1990-10'!P4</f>
        <v>404016</v>
      </c>
      <c r="Q4" s="22">
        <f t="shared" si="7"/>
        <v>979000.33860810357</v>
      </c>
      <c r="R4" s="13">
        <f t="shared" si="8"/>
        <v>404016</v>
      </c>
    </row>
    <row r="5" spans="1:18" ht="16">
      <c r="A5" s="18" t="s">
        <v>119</v>
      </c>
      <c r="B5" s="4">
        <f>'1990-10'!B5</f>
        <v>60.37745029626894</v>
      </c>
      <c r="C5" s="4">
        <f>'1990-10'!C5</f>
        <v>64.603871817007771</v>
      </c>
      <c r="D5" s="16">
        <f t="shared" si="9"/>
        <v>30188.725148134468</v>
      </c>
      <c r="E5" s="4">
        <f>'Interval Circuities'!D5</f>
        <v>1.2586520691285787</v>
      </c>
      <c r="F5" s="4">
        <f t="shared" si="0"/>
        <v>47.969928924099698</v>
      </c>
      <c r="G5" s="4">
        <f t="shared" si="1"/>
        <v>23.984964462049849</v>
      </c>
      <c r="H5" s="4">
        <f t="shared" si="2"/>
        <v>1807.2907729721942</v>
      </c>
      <c r="I5" s="4">
        <f t="shared" si="3"/>
        <v>1296.8393613554904</v>
      </c>
      <c r="J5" s="9">
        <f>'1990-10'!J5</f>
        <v>1534.5</v>
      </c>
      <c r="K5" s="9">
        <f>'1990-10'!K5</f>
        <v>1990000</v>
      </c>
      <c r="L5" s="22">
        <f t="shared" si="4"/>
        <v>2343765.8118049307</v>
      </c>
      <c r="M5" s="22">
        <f t="shared" si="5"/>
        <v>1990000</v>
      </c>
      <c r="N5" s="19" t="s">
        <v>92</v>
      </c>
      <c r="O5" s="4">
        <f t="shared" si="6"/>
        <v>776.67839687194521</v>
      </c>
      <c r="P5" s="13">
        <f>'1990-10'!P5</f>
        <v>1191813</v>
      </c>
      <c r="Q5" s="22">
        <f t="shared" si="7"/>
        <v>1403683.7002335025</v>
      </c>
      <c r="R5" s="13">
        <f t="shared" si="8"/>
        <v>1191813</v>
      </c>
    </row>
    <row r="6" spans="1:18">
      <c r="A6" s="18" t="s">
        <v>29</v>
      </c>
      <c r="B6" s="4">
        <f>'1990-10'!B6</f>
        <v>61.541690600746875</v>
      </c>
      <c r="C6" s="4">
        <f>'1990-10'!C6</f>
        <v>67.695859660821569</v>
      </c>
      <c r="D6" s="16">
        <f t="shared" si="9"/>
        <v>30770.845300373439</v>
      </c>
      <c r="E6" s="4">
        <f>'Interval Circuities'!D6</f>
        <v>1.2254345337287071</v>
      </c>
      <c r="F6" s="4">
        <f t="shared" si="0"/>
        <v>50.220300560234811</v>
      </c>
      <c r="G6" s="4">
        <f t="shared" si="1"/>
        <v>25.110150280117406</v>
      </c>
      <c r="H6" s="4">
        <f t="shared" si="2"/>
        <v>1980.835891242225</v>
      </c>
      <c r="I6" s="4">
        <f t="shared" si="3"/>
        <v>1563.9892556970801</v>
      </c>
      <c r="J6" s="9">
        <f>'1990-10'!J6</f>
        <v>2308.1999999999998</v>
      </c>
      <c r="K6" s="9">
        <f>'1990-10'!K6</f>
        <v>3610000</v>
      </c>
      <c r="L6" s="22">
        <f t="shared" si="4"/>
        <v>3098006.0512019899</v>
      </c>
      <c r="M6" s="22">
        <f t="shared" si="5"/>
        <v>3098006.0512019899</v>
      </c>
      <c r="N6" s="19" t="s">
        <v>92</v>
      </c>
      <c r="O6" s="4">
        <f t="shared" si="6"/>
        <v>927.87323455506464</v>
      </c>
      <c r="P6" s="13">
        <f>'1990-10'!P6</f>
        <v>2141717</v>
      </c>
      <c r="Q6" s="22">
        <f t="shared" si="7"/>
        <v>1837964.6055296876</v>
      </c>
      <c r="R6" s="13">
        <f t="shared" si="8"/>
        <v>1837964.6055296876</v>
      </c>
    </row>
    <row r="7" spans="1:18">
      <c r="A7" s="18" t="s">
        <v>30</v>
      </c>
      <c r="B7" s="4">
        <f>'1990-10'!B7</f>
        <v>73.27659816495958</v>
      </c>
      <c r="C7" s="4">
        <f>'1990-10'!C7</f>
        <v>76.207662091557978</v>
      </c>
      <c r="D7" s="16">
        <f t="shared" si="9"/>
        <v>36638.299082479789</v>
      </c>
      <c r="E7" s="4">
        <f>'Interval Circuities'!D7</f>
        <v>1.1906802761982174</v>
      </c>
      <c r="F7" s="4">
        <f t="shared" si="0"/>
        <v>61.541792225641039</v>
      </c>
      <c r="G7" s="4">
        <f t="shared" si="1"/>
        <v>30.77089611282052</v>
      </c>
      <c r="H7" s="4">
        <f t="shared" si="2"/>
        <v>2974.6108703619943</v>
      </c>
      <c r="I7" s="4">
        <f t="shared" si="3"/>
        <v>1440.1622718052738</v>
      </c>
      <c r="J7" s="9">
        <f>'1990-10'!J7</f>
        <v>739.5</v>
      </c>
      <c r="K7" s="9">
        <f>'1990-10'!K7</f>
        <v>1065000</v>
      </c>
      <c r="L7" s="22">
        <f t="shared" si="4"/>
        <v>4283922.3487971928</v>
      </c>
      <c r="M7" s="22">
        <f t="shared" si="5"/>
        <v>1065000</v>
      </c>
      <c r="N7" s="19" t="s">
        <v>92</v>
      </c>
      <c r="O7" s="4">
        <f t="shared" si="6"/>
        <v>718.21771467207577</v>
      </c>
      <c r="P7" s="13">
        <f>'1990-10'!P7</f>
        <v>531122</v>
      </c>
      <c r="Q7" s="22">
        <f t="shared" si="7"/>
        <v>2136418.2213501059</v>
      </c>
      <c r="R7" s="13">
        <f t="shared" si="8"/>
        <v>531122</v>
      </c>
    </row>
    <row r="8" spans="1:18">
      <c r="A8" s="18" t="s">
        <v>31</v>
      </c>
      <c r="B8" s="4">
        <f>'1990-10'!B8</f>
        <v>66.908176577055386</v>
      </c>
      <c r="C8" s="4">
        <f>'1990-10'!C8</f>
        <v>71.591748937449267</v>
      </c>
      <c r="D8" s="16">
        <f t="shared" si="9"/>
        <v>33454.088288527695</v>
      </c>
      <c r="E8" s="4">
        <f>'Interval Circuities'!D8</f>
        <v>1.2583972025018251</v>
      </c>
      <c r="F8" s="4">
        <f t="shared" si="0"/>
        <v>53.169362141011554</v>
      </c>
      <c r="G8" s="4">
        <f t="shared" si="1"/>
        <v>26.584681070505777</v>
      </c>
      <c r="H8" s="4">
        <f t="shared" si="2"/>
        <v>2220.3057407159408</v>
      </c>
      <c r="I8" s="4">
        <f t="shared" si="3"/>
        <v>862.48203162434118</v>
      </c>
      <c r="J8" s="9">
        <f>'1990-10'!J8</f>
        <v>626.1</v>
      </c>
      <c r="K8" s="9">
        <f>'1990-10'!K8</f>
        <v>540000</v>
      </c>
      <c r="L8" s="22">
        <f t="shared" si="4"/>
        <v>1914973.8060798724</v>
      </c>
      <c r="M8" s="22">
        <f t="shared" si="5"/>
        <v>540000</v>
      </c>
      <c r="N8" s="19" t="s">
        <v>92</v>
      </c>
      <c r="O8" s="4">
        <f t="shared" si="6"/>
        <v>966.06931800031941</v>
      </c>
      <c r="P8" s="13">
        <f>'1990-10'!P8</f>
        <v>604856</v>
      </c>
      <c r="Q8" s="22">
        <f t="shared" si="7"/>
        <v>2144969.2526856428</v>
      </c>
      <c r="R8" s="13">
        <f t="shared" si="8"/>
        <v>604856</v>
      </c>
    </row>
    <row r="9" spans="1:18">
      <c r="A9" s="18" t="s">
        <v>32</v>
      </c>
      <c r="B9" s="4">
        <f>'1990-10'!B9</f>
        <v>59.830534500000006</v>
      </c>
      <c r="C9" s="4">
        <f>'1990-10'!C9</f>
        <v>64.616977260000013</v>
      </c>
      <c r="D9" s="16">
        <f t="shared" si="9"/>
        <v>29915.267250000004</v>
      </c>
      <c r="E9" s="4">
        <f>'Interval Circuities'!D9</f>
        <v>1.2318699042857018</v>
      </c>
      <c r="F9" s="4">
        <f t="shared" si="0"/>
        <v>48.568874271421272</v>
      </c>
      <c r="G9" s="4">
        <f t="shared" si="1"/>
        <v>24.284437135710636</v>
      </c>
      <c r="H9" s="4">
        <f t="shared" si="2"/>
        <v>1852.7036469667555</v>
      </c>
      <c r="I9" s="4">
        <f t="shared" si="3"/>
        <v>1830.0112091232515</v>
      </c>
      <c r="J9" s="9">
        <f>'1990-10'!J9</f>
        <v>4103.8</v>
      </c>
      <c r="K9" s="9">
        <f>'1990-10'!K9</f>
        <v>7510000</v>
      </c>
      <c r="L9" s="22">
        <f t="shared" si="4"/>
        <v>3390468.4411326898</v>
      </c>
      <c r="M9" s="22">
        <f t="shared" si="5"/>
        <v>3390468.4411326898</v>
      </c>
      <c r="N9" s="19" t="s">
        <v>92</v>
      </c>
      <c r="O9" s="4">
        <f t="shared" si="6"/>
        <v>936.04391052195524</v>
      </c>
      <c r="P9" s="13">
        <f>'1990-10'!P9</f>
        <v>3841337</v>
      </c>
      <c r="Q9" s="22">
        <f t="shared" si="7"/>
        <v>1734211.9667450499</v>
      </c>
      <c r="R9" s="13">
        <f t="shared" si="8"/>
        <v>1734211.9667450499</v>
      </c>
    </row>
    <row r="10" spans="1:18">
      <c r="A10" s="18" t="s">
        <v>33</v>
      </c>
      <c r="B10" s="4">
        <f>'1990-10'!B10</f>
        <v>67.518821168909824</v>
      </c>
      <c r="C10" s="4">
        <f>'1990-10'!C10</f>
        <v>74.270703285800806</v>
      </c>
      <c r="D10" s="16">
        <f t="shared" si="9"/>
        <v>33759.410584454912</v>
      </c>
      <c r="E10" s="4">
        <f>'Interval Circuities'!D10</f>
        <v>1.3042447050757657</v>
      </c>
      <c r="F10" s="4">
        <f t="shared" si="0"/>
        <v>51.768522353316776</v>
      </c>
      <c r="G10" s="4">
        <f t="shared" si="1"/>
        <v>25.884261176658388</v>
      </c>
      <c r="H10" s="4">
        <f t="shared" si="2"/>
        <v>2104.8512966217222</v>
      </c>
      <c r="I10" s="4">
        <f t="shared" si="3"/>
        <v>860.24750980984004</v>
      </c>
      <c r="J10" s="9">
        <f>'1990-10'!J10</f>
        <v>1325.2</v>
      </c>
      <c r="K10" s="9">
        <f>'1990-10'!K10</f>
        <v>1140000</v>
      </c>
      <c r="L10" s="22">
        <f t="shared" si="4"/>
        <v>1810693.0864388496</v>
      </c>
      <c r="M10" s="22">
        <f t="shared" si="5"/>
        <v>1140000</v>
      </c>
      <c r="N10" s="19" t="s">
        <v>92</v>
      </c>
      <c r="O10" s="4">
        <f t="shared" si="6"/>
        <v>613.31572592816178</v>
      </c>
      <c r="P10" s="13">
        <f>'1990-10'!P10</f>
        <v>812766</v>
      </c>
      <c r="Q10" s="22">
        <f t="shared" si="7"/>
        <v>1290938.4009583842</v>
      </c>
      <c r="R10" s="13">
        <f t="shared" si="8"/>
        <v>812766</v>
      </c>
    </row>
    <row r="11" spans="1:18">
      <c r="A11" s="18" t="s">
        <v>34</v>
      </c>
      <c r="B11" s="4">
        <f>'1990-10'!B11</f>
        <v>70.270147843682068</v>
      </c>
      <c r="C11" s="4">
        <f>'1990-10'!C11</f>
        <v>77.297162628050287</v>
      </c>
      <c r="D11" s="16">
        <f t="shared" si="9"/>
        <v>35135.073921841031</v>
      </c>
      <c r="E11" s="4">
        <f>'Interval Circuities'!D11</f>
        <v>1.18896059886234</v>
      </c>
      <c r="F11" s="4">
        <f t="shared" si="0"/>
        <v>59.102166977543448</v>
      </c>
      <c r="G11" s="4">
        <f t="shared" si="1"/>
        <v>29.551083488771724</v>
      </c>
      <c r="H11" s="4">
        <f t="shared" si="2"/>
        <v>2743.4477321139084</v>
      </c>
      <c r="I11" s="4">
        <f t="shared" si="3"/>
        <v>1068.6095931997572</v>
      </c>
      <c r="J11" s="9">
        <f>'1990-10'!J11</f>
        <v>1647</v>
      </c>
      <c r="K11" s="9">
        <f>'1990-10'!K11</f>
        <v>1760000</v>
      </c>
      <c r="L11" s="22">
        <f t="shared" si="4"/>
        <v>2931674.5649790401</v>
      </c>
      <c r="M11" s="22">
        <f t="shared" si="5"/>
        <v>1760000</v>
      </c>
      <c r="N11" s="19" t="s">
        <v>92</v>
      </c>
      <c r="O11" s="4">
        <f t="shared" si="6"/>
        <v>754.15846994535514</v>
      </c>
      <c r="P11" s="13">
        <f>'1990-10'!P11</f>
        <v>1242099</v>
      </c>
      <c r="Q11" s="22">
        <f t="shared" si="7"/>
        <v>2068994.3440260796</v>
      </c>
      <c r="R11" s="13">
        <f t="shared" si="8"/>
        <v>1242099</v>
      </c>
    </row>
    <row r="12" spans="1:18">
      <c r="A12" s="18" t="s">
        <v>35</v>
      </c>
      <c r="B12" s="4">
        <f>'1990-10'!B12</f>
        <v>67.725932932724078</v>
      </c>
      <c r="C12" s="4">
        <f>'1990-10'!C12</f>
        <v>77.20756354330544</v>
      </c>
      <c r="D12" s="16">
        <f t="shared" si="9"/>
        <v>33862.966466362042</v>
      </c>
      <c r="E12" s="4">
        <f>'Interval Circuities'!D12</f>
        <v>1.2256372712216081</v>
      </c>
      <c r="F12" s="4">
        <f t="shared" si="0"/>
        <v>55.257729609691772</v>
      </c>
      <c r="G12" s="4">
        <f t="shared" si="1"/>
        <v>27.628864804845886</v>
      </c>
      <c r="H12" s="4">
        <f t="shared" si="2"/>
        <v>2398.1478538297565</v>
      </c>
      <c r="I12" s="4">
        <f t="shared" si="3"/>
        <v>973.91693719914929</v>
      </c>
      <c r="J12" s="9">
        <f>'1990-10'!J12</f>
        <v>893.3</v>
      </c>
      <c r="K12" s="9">
        <f>'1990-10'!K12</f>
        <v>870000</v>
      </c>
      <c r="L12" s="22">
        <f t="shared" si="4"/>
        <v>2335596.8127525896</v>
      </c>
      <c r="M12" s="22">
        <f t="shared" si="5"/>
        <v>870000</v>
      </c>
      <c r="N12" s="19" t="s">
        <v>92</v>
      </c>
      <c r="O12" s="4">
        <f t="shared" si="6"/>
        <v>758.82570245158411</v>
      </c>
      <c r="P12" s="13">
        <f>'1990-10'!P12</f>
        <v>677859</v>
      </c>
      <c r="Q12" s="22">
        <f t="shared" si="7"/>
        <v>1819776.2297651239</v>
      </c>
      <c r="R12" s="13">
        <f t="shared" si="8"/>
        <v>677859</v>
      </c>
    </row>
    <row r="13" spans="1:18">
      <c r="A13" s="18" t="s">
        <v>62</v>
      </c>
      <c r="B13" s="4">
        <f>'1990-10'!B13</f>
        <v>66.03146949483623</v>
      </c>
      <c r="C13" s="4">
        <f>'1990-10'!C13</f>
        <v>76.596504614010016</v>
      </c>
      <c r="D13" s="16">
        <f t="shared" si="9"/>
        <v>33015.734747418115</v>
      </c>
      <c r="E13" s="4">
        <f>'Interval Circuities'!D13</f>
        <v>1.2795054806790753</v>
      </c>
      <c r="F13" s="4">
        <f t="shared" si="0"/>
        <v>51.607023566472861</v>
      </c>
      <c r="G13" s="4">
        <f t="shared" si="1"/>
        <v>25.803511783236431</v>
      </c>
      <c r="H13" s="4">
        <f t="shared" si="2"/>
        <v>2091.7390544482778</v>
      </c>
      <c r="I13" s="4">
        <f t="shared" si="3"/>
        <v>869.56521739130437</v>
      </c>
      <c r="J13" s="9">
        <f>'1990-10'!J13</f>
        <v>3737.5</v>
      </c>
      <c r="K13" s="9">
        <f>'1990-10'!K13</f>
        <v>3250000</v>
      </c>
      <c r="L13" s="22">
        <f t="shared" si="4"/>
        <v>1818903.525607198</v>
      </c>
      <c r="M13" s="22">
        <f t="shared" si="5"/>
        <v>1818903.525607198</v>
      </c>
      <c r="N13" s="19" t="s">
        <v>92</v>
      </c>
      <c r="O13" s="4">
        <f t="shared" si="6"/>
        <v>528.85779264214045</v>
      </c>
      <c r="P13" s="13">
        <f>'1990-10'!P13</f>
        <v>1976606</v>
      </c>
      <c r="Q13" s="22">
        <f t="shared" si="7"/>
        <v>1106232.4991188743</v>
      </c>
      <c r="R13" s="13">
        <f t="shared" si="8"/>
        <v>1106232.4991188743</v>
      </c>
    </row>
    <row r="14" spans="1:18">
      <c r="A14" s="18" t="s">
        <v>36</v>
      </c>
      <c r="B14" s="4">
        <f>'1990-10'!B14</f>
        <v>65.002140793217592</v>
      </c>
      <c r="C14" s="4">
        <f>'1990-10'!C14</f>
        <v>76.052504728064577</v>
      </c>
      <c r="D14" s="16">
        <f t="shared" si="9"/>
        <v>32501.070396608797</v>
      </c>
      <c r="E14" s="4">
        <f>'Interval Circuities'!D14</f>
        <v>1.3549453384351537</v>
      </c>
      <c r="F14" s="4">
        <f t="shared" si="0"/>
        <v>47.973994927566245</v>
      </c>
      <c r="G14" s="4">
        <f t="shared" si="1"/>
        <v>23.986997463783123</v>
      </c>
      <c r="H14" s="4">
        <f t="shared" si="2"/>
        <v>1807.5971633357265</v>
      </c>
      <c r="I14" s="4">
        <f t="shared" si="3"/>
        <v>1329.5186805789297</v>
      </c>
      <c r="J14" s="9">
        <f>'1990-10'!J14</f>
        <v>1188.4000000000001</v>
      </c>
      <c r="K14" s="9">
        <f>'1990-10'!K14</f>
        <v>1580000</v>
      </c>
      <c r="L14" s="22">
        <f t="shared" si="4"/>
        <v>2403234.195616331</v>
      </c>
      <c r="M14" s="22">
        <f t="shared" si="5"/>
        <v>1580000</v>
      </c>
      <c r="N14" s="19" t="s">
        <v>92</v>
      </c>
      <c r="O14" s="4">
        <f t="shared" si="6"/>
        <v>811.94210703466842</v>
      </c>
      <c r="P14" s="13">
        <f>'1990-10'!P14</f>
        <v>964912</v>
      </c>
      <c r="Q14" s="22">
        <f t="shared" si="7"/>
        <v>1467664.2494686993</v>
      </c>
      <c r="R14" s="13">
        <f t="shared" si="8"/>
        <v>964912</v>
      </c>
    </row>
    <row r="15" spans="1:18">
      <c r="A15" s="18" t="s">
        <v>37</v>
      </c>
      <c r="B15" s="4">
        <f>'1990-10'!B15</f>
        <v>59.740126684000487</v>
      </c>
      <c r="C15" s="4">
        <f>'1990-10'!C15</f>
        <v>69.895948220280573</v>
      </c>
      <c r="D15" s="16">
        <f t="shared" si="9"/>
        <v>29870.063342000245</v>
      </c>
      <c r="E15" s="4">
        <f>'Interval Circuities'!D15</f>
        <v>1.2210672341555926</v>
      </c>
      <c r="F15" s="4">
        <f t="shared" si="0"/>
        <v>48.924518661179796</v>
      </c>
      <c r="G15" s="4">
        <f t="shared" si="1"/>
        <v>24.462259330589898</v>
      </c>
      <c r="H15" s="4">
        <f t="shared" si="2"/>
        <v>1879.9357403920462</v>
      </c>
      <c r="I15" s="4">
        <f t="shared" si="3"/>
        <v>1369.2488100986411</v>
      </c>
      <c r="J15" s="9">
        <f>'1990-10'!J15</f>
        <v>2899.4</v>
      </c>
      <c r="K15" s="9">
        <f>'1990-10'!K15</f>
        <v>3970000</v>
      </c>
      <c r="L15" s="22">
        <f t="shared" si="4"/>
        <v>2574099.7755937171</v>
      </c>
      <c r="M15" s="22">
        <f t="shared" si="5"/>
        <v>2574099.7755937171</v>
      </c>
      <c r="N15" s="19" t="s">
        <v>92</v>
      </c>
      <c r="O15" s="4">
        <f t="shared" si="6"/>
        <v>717.34841691384418</v>
      </c>
      <c r="P15" s="13">
        <f>'1990-10'!P15</f>
        <v>2079880</v>
      </c>
      <c r="Q15" s="22">
        <f t="shared" si="7"/>
        <v>1348568.9272699899</v>
      </c>
      <c r="R15" s="13">
        <f t="shared" si="8"/>
        <v>1348568.9272699899</v>
      </c>
    </row>
    <row r="16" spans="1:18">
      <c r="A16" s="18" t="s">
        <v>80</v>
      </c>
      <c r="B16" s="4">
        <f>'1990-10'!B16</f>
        <v>70.939381203745498</v>
      </c>
      <c r="C16" s="4">
        <f>'1990-10'!C16</f>
        <v>83.70846982041968</v>
      </c>
      <c r="D16" s="16">
        <f t="shared" si="9"/>
        <v>35469.690601872746</v>
      </c>
      <c r="E16" s="4">
        <f>'Interval Circuities'!D16</f>
        <v>1.2544780223802419</v>
      </c>
      <c r="F16" s="4">
        <f t="shared" si="0"/>
        <v>56.548923088461436</v>
      </c>
      <c r="G16" s="4">
        <f t="shared" si="1"/>
        <v>28.274461544230718</v>
      </c>
      <c r="H16" s="4">
        <f t="shared" si="2"/>
        <v>2511.5310906635987</v>
      </c>
      <c r="I16" s="4">
        <f t="shared" si="3"/>
        <v>1190.58976132826</v>
      </c>
      <c r="J16" s="9">
        <f>'1990-10'!J16</f>
        <v>578.20000000000005</v>
      </c>
      <c r="K16" s="9">
        <f>'1990-10'!K16</f>
        <v>688399</v>
      </c>
      <c r="L16" s="22">
        <f t="shared" si="4"/>
        <v>2990203.2018016786</v>
      </c>
      <c r="M16" s="22">
        <f t="shared" si="5"/>
        <v>688399</v>
      </c>
      <c r="N16" s="19" t="s">
        <v>92</v>
      </c>
      <c r="O16" s="4">
        <f t="shared" si="6"/>
        <v>583.42269111034238</v>
      </c>
      <c r="P16" s="13">
        <f>'1990-10'!P16</f>
        <v>337335</v>
      </c>
      <c r="Q16" s="22">
        <f t="shared" si="7"/>
        <v>1465284.2277222499</v>
      </c>
      <c r="R16" s="13">
        <f t="shared" si="8"/>
        <v>337335</v>
      </c>
    </row>
    <row r="17" spans="1:18">
      <c r="A17" s="18" t="s">
        <v>58</v>
      </c>
      <c r="B17" s="4">
        <f>'1990-10'!B17</f>
        <v>64.898649256812377</v>
      </c>
      <c r="C17" s="4">
        <f>'1990-10'!C17</f>
        <v>85.666217018992342</v>
      </c>
      <c r="D17" s="16">
        <f t="shared" si="9"/>
        <v>32449.32462840619</v>
      </c>
      <c r="E17" s="4">
        <f>'Interval Circuities'!D17</f>
        <v>1.312046755370444</v>
      </c>
      <c r="F17" s="4">
        <f t="shared" si="0"/>
        <v>49.463671161999756</v>
      </c>
      <c r="G17" s="4">
        <f t="shared" si="1"/>
        <v>24.731835580999878</v>
      </c>
      <c r="H17" s="4">
        <f t="shared" si="2"/>
        <v>1921.5981587591652</v>
      </c>
      <c r="I17" s="4">
        <f t="shared" si="3"/>
        <v>770.84181744138687</v>
      </c>
      <c r="J17" s="9">
        <f>'1990-10'!J17</f>
        <v>1718.9</v>
      </c>
      <c r="K17" s="9">
        <f>'1990-10'!K17</f>
        <v>1325000</v>
      </c>
      <c r="L17" s="22">
        <f t="shared" si="4"/>
        <v>1481248.2170899375</v>
      </c>
      <c r="M17" s="22">
        <f t="shared" si="5"/>
        <v>1325000</v>
      </c>
      <c r="N17" s="19" t="s">
        <v>92</v>
      </c>
      <c r="O17" s="4">
        <f t="shared" si="6"/>
        <v>406.65483739600904</v>
      </c>
      <c r="P17" s="13">
        <f>'1990-10'!P17</f>
        <v>698999</v>
      </c>
      <c r="Q17" s="22">
        <f t="shared" si="7"/>
        <v>781427.18679067877</v>
      </c>
      <c r="R17" s="13">
        <f t="shared" si="8"/>
        <v>698999</v>
      </c>
    </row>
    <row r="18" spans="1:18">
      <c r="A18" s="18" t="s">
        <v>38</v>
      </c>
      <c r="B18" s="4">
        <f>'1990-10'!B18</f>
        <v>70.550117521710789</v>
      </c>
      <c r="C18" s="4">
        <f>'1990-10'!C18</f>
        <v>84.660141026052941</v>
      </c>
      <c r="D18" s="16">
        <f t="shared" si="9"/>
        <v>35275.058760855398</v>
      </c>
      <c r="E18" s="4">
        <f>'Interval Circuities'!D18</f>
        <v>1.2290898816431728</v>
      </c>
      <c r="F18" s="4">
        <f t="shared" si="0"/>
        <v>57.400291529039514</v>
      </c>
      <c r="G18" s="4">
        <f t="shared" si="1"/>
        <v>28.700145764519757</v>
      </c>
      <c r="H18" s="4">
        <f t="shared" si="2"/>
        <v>2587.7247382416572</v>
      </c>
      <c r="I18" s="4">
        <f t="shared" si="3"/>
        <v>1320.2112337974077</v>
      </c>
      <c r="J18" s="9">
        <f>'1990-10'!J18</f>
        <v>624.9</v>
      </c>
      <c r="K18" s="9">
        <f>'1990-10'!K18</f>
        <v>825000</v>
      </c>
      <c r="L18" s="22">
        <f t="shared" si="4"/>
        <v>3416343.2694020919</v>
      </c>
      <c r="M18" s="22">
        <f t="shared" si="5"/>
        <v>825000</v>
      </c>
      <c r="N18" s="19" t="s">
        <v>92</v>
      </c>
      <c r="O18" s="4">
        <f t="shared" si="6"/>
        <v>899.29428708593377</v>
      </c>
      <c r="P18" s="13">
        <f>'1990-10'!P18</f>
        <v>561969</v>
      </c>
      <c r="Q18" s="22">
        <f t="shared" si="7"/>
        <v>2327126.0736516658</v>
      </c>
      <c r="R18" s="13">
        <f t="shared" si="8"/>
        <v>561969</v>
      </c>
    </row>
    <row r="19" spans="1:18">
      <c r="A19" s="18" t="s">
        <v>81</v>
      </c>
      <c r="B19" s="4">
        <f>'1990-10'!B19</f>
        <v>61.851770964117151</v>
      </c>
      <c r="C19" s="4">
        <f>'1990-10'!C19</f>
        <v>73.60360744729941</v>
      </c>
      <c r="D19" s="16">
        <f t="shared" si="9"/>
        <v>30925.885482058577</v>
      </c>
      <c r="E19" s="4">
        <f>'Interval Circuities'!D19</f>
        <v>1.4544181586782163</v>
      </c>
      <c r="F19" s="4">
        <f t="shared" si="0"/>
        <v>42.526814310630172</v>
      </c>
      <c r="G19" s="4">
        <f t="shared" si="1"/>
        <v>21.263407155315086</v>
      </c>
      <c r="H19" s="4">
        <f t="shared" si="2"/>
        <v>1420.4160897209631</v>
      </c>
      <c r="I19" s="4">
        <f t="shared" si="3"/>
        <v>2328.0373051224947</v>
      </c>
      <c r="J19" s="9">
        <f>'1990-10'!J19</f>
        <v>359.2</v>
      </c>
      <c r="K19" s="9">
        <f>'1990-10'!K19</f>
        <v>836231</v>
      </c>
      <c r="L19" s="22">
        <f t="shared" si="4"/>
        <v>3306781.6456666226</v>
      </c>
      <c r="M19" s="22">
        <f t="shared" si="5"/>
        <v>836231</v>
      </c>
      <c r="N19" s="19" t="s">
        <v>92</v>
      </c>
      <c r="O19" s="4">
        <f t="shared" si="6"/>
        <v>1218.0345211581291</v>
      </c>
      <c r="P19" s="13">
        <f>'1990-10'!P19</f>
        <v>437518</v>
      </c>
      <c r="Q19" s="22">
        <f t="shared" si="7"/>
        <v>1730115.8316885754</v>
      </c>
      <c r="R19" s="13">
        <f t="shared" si="8"/>
        <v>437518</v>
      </c>
    </row>
    <row r="20" spans="1:18">
      <c r="A20" s="18" t="s">
        <v>39</v>
      </c>
      <c r="B20" s="4">
        <f>'1990-10'!B20</f>
        <v>61.865929871835121</v>
      </c>
      <c r="C20" s="4">
        <f>'1990-10'!C20</f>
        <v>73.620456547483784</v>
      </c>
      <c r="D20" s="16">
        <f t="shared" si="9"/>
        <v>30932.96493591756</v>
      </c>
      <c r="E20" s="4">
        <f>'Interval Circuities'!D20</f>
        <v>1.3069331450221904</v>
      </c>
      <c r="F20" s="4">
        <f t="shared" si="0"/>
        <v>47.33672116853743</v>
      </c>
      <c r="G20" s="4">
        <f t="shared" si="1"/>
        <v>23.668360584268715</v>
      </c>
      <c r="H20" s="4">
        <f t="shared" si="2"/>
        <v>1759.8928498988341</v>
      </c>
      <c r="I20" s="4">
        <f t="shared" si="3"/>
        <v>951.03794313448986</v>
      </c>
      <c r="J20" s="9">
        <f>'1990-10'!J20</f>
        <v>3049.3</v>
      </c>
      <c r="K20" s="9">
        <f>'1990-10'!K20</f>
        <v>2900000</v>
      </c>
      <c r="L20" s="22">
        <f t="shared" si="4"/>
        <v>1673724.8761048827</v>
      </c>
      <c r="M20" s="22">
        <f t="shared" si="5"/>
        <v>1673724.8761048827</v>
      </c>
      <c r="N20" s="19" t="s">
        <v>92</v>
      </c>
      <c r="O20" s="4">
        <f t="shared" si="6"/>
        <v>577.11474764700097</v>
      </c>
      <c r="P20" s="13">
        <f>'1990-10'!P20</f>
        <v>1759796</v>
      </c>
      <c r="Q20" s="22">
        <f t="shared" si="7"/>
        <v>1015660.117955127</v>
      </c>
      <c r="R20" s="13">
        <f t="shared" si="8"/>
        <v>1015660.117955127</v>
      </c>
    </row>
    <row r="21" spans="1:18">
      <c r="A21" s="18" t="s">
        <v>40</v>
      </c>
      <c r="B21" s="4">
        <f>'1990-10'!B21</f>
        <v>66.181816591922129</v>
      </c>
      <c r="C21" s="4">
        <f>'1990-10'!C21</f>
        <v>78.094543578468105</v>
      </c>
      <c r="D21" s="16">
        <f t="shared" si="9"/>
        <v>33090.908295961068</v>
      </c>
      <c r="E21" s="4">
        <f>'Interval Circuities'!D21</f>
        <v>1.2187474904953295</v>
      </c>
      <c r="F21" s="4">
        <f t="shared" si="0"/>
        <v>54.303140813052408</v>
      </c>
      <c r="G21" s="4">
        <f t="shared" si="1"/>
        <v>27.151570406526204</v>
      </c>
      <c r="H21" s="4">
        <f t="shared" si="2"/>
        <v>2316.0065318074635</v>
      </c>
      <c r="I21" s="4">
        <f t="shared" si="3"/>
        <v>778.16205533596838</v>
      </c>
      <c r="J21" s="9">
        <f>'1990-10'!J21</f>
        <v>1214.4000000000001</v>
      </c>
      <c r="K21" s="9">
        <f>'1990-10'!K21</f>
        <v>945000</v>
      </c>
      <c r="L21" s="22">
        <f t="shared" si="4"/>
        <v>1802228.4029628236</v>
      </c>
      <c r="M21" s="22">
        <f t="shared" si="5"/>
        <v>945000</v>
      </c>
      <c r="N21" s="19" t="s">
        <v>92</v>
      </c>
      <c r="O21" s="4">
        <f t="shared" si="6"/>
        <v>514.63356389986825</v>
      </c>
      <c r="P21" s="13">
        <f>'1990-10'!P21</f>
        <v>624971</v>
      </c>
      <c r="Q21" s="22">
        <f t="shared" si="7"/>
        <v>1191894.6954794484</v>
      </c>
      <c r="R21" s="13">
        <f t="shared" si="8"/>
        <v>624971</v>
      </c>
    </row>
    <row r="22" spans="1:18" ht="16">
      <c r="A22" s="18" t="s">
        <v>120</v>
      </c>
      <c r="B22" s="4">
        <f>'1990-10'!B22</f>
        <v>65.10221093956217</v>
      </c>
      <c r="C22" s="4">
        <f>'1990-10'!C22</f>
        <v>72.914476252309626</v>
      </c>
      <c r="D22" s="16">
        <f t="shared" si="9"/>
        <v>32551.105469781083</v>
      </c>
      <c r="E22" s="4">
        <f>'Interval Circuities'!D22</f>
        <v>1.3338612779719421</v>
      </c>
      <c r="F22" s="4">
        <f t="shared" si="0"/>
        <v>48.807332527522099</v>
      </c>
      <c r="G22" s="4">
        <f t="shared" si="1"/>
        <v>24.40366626376105</v>
      </c>
      <c r="H22" s="4">
        <f t="shared" si="2"/>
        <v>1870.9407183450398</v>
      </c>
      <c r="I22" s="4">
        <f t="shared" si="3"/>
        <v>1078.3820073850286</v>
      </c>
      <c r="J22" s="9">
        <f>'1990-10'!J22</f>
        <v>1191.5999999999999</v>
      </c>
      <c r="K22" s="9">
        <f>'1990-10'!K22</f>
        <v>1285000</v>
      </c>
      <c r="L22" s="22">
        <f t="shared" si="4"/>
        <v>2017588.8075473115</v>
      </c>
      <c r="M22" s="22">
        <f t="shared" si="5"/>
        <v>1285000</v>
      </c>
      <c r="N22" s="19" t="s">
        <v>92</v>
      </c>
      <c r="O22" s="4">
        <f t="shared" si="6"/>
        <v>643.63293051359517</v>
      </c>
      <c r="P22" s="13">
        <f>'1990-10'!P22</f>
        <v>766953</v>
      </c>
      <c r="Q22" s="22">
        <f t="shared" si="7"/>
        <v>1204199.0573656289</v>
      </c>
      <c r="R22" s="13">
        <f t="shared" si="8"/>
        <v>766953</v>
      </c>
    </row>
    <row r="23" spans="1:18">
      <c r="A23" s="18" t="s">
        <v>41</v>
      </c>
      <c r="B23" s="4">
        <f>'1990-10'!B23</f>
        <v>55.540281389808555</v>
      </c>
      <c r="C23" s="4">
        <f>'1990-10'!C23</f>
        <v>57.206489831502807</v>
      </c>
      <c r="D23" s="16">
        <f t="shared" si="9"/>
        <v>27770.140694904279</v>
      </c>
      <c r="E23" s="4">
        <f>'Interval Circuities'!D23</f>
        <v>1.3294690524529627</v>
      </c>
      <c r="F23" s="4">
        <f t="shared" si="0"/>
        <v>41.776287524205912</v>
      </c>
      <c r="G23" s="4">
        <f t="shared" si="1"/>
        <v>20.888143762102956</v>
      </c>
      <c r="H23" s="4">
        <f t="shared" si="2"/>
        <v>1370.722584388581</v>
      </c>
      <c r="I23" s="4">
        <f t="shared" si="3"/>
        <v>547.57015742642022</v>
      </c>
      <c r="J23" s="9">
        <f>'1990-10'!J23</f>
        <v>1314.9</v>
      </c>
      <c r="K23" s="9">
        <f>'1990-10'!K23</f>
        <v>720000</v>
      </c>
      <c r="L23" s="22">
        <f t="shared" si="4"/>
        <v>750566.78132160485</v>
      </c>
      <c r="M23" s="22">
        <f t="shared" si="5"/>
        <v>720000</v>
      </c>
      <c r="N23" s="19" t="s">
        <v>92</v>
      </c>
      <c r="O23" s="4">
        <f t="shared" si="6"/>
        <v>337.57852308160312</v>
      </c>
      <c r="P23" s="13">
        <f>'1990-10'!P23</f>
        <v>443882</v>
      </c>
      <c r="Q23" s="22">
        <f t="shared" si="7"/>
        <v>462726.50559249526</v>
      </c>
      <c r="R23" s="13">
        <f t="shared" si="8"/>
        <v>443882</v>
      </c>
    </row>
    <row r="24" spans="1:18">
      <c r="A24" s="18" t="s">
        <v>75</v>
      </c>
      <c r="B24" s="4">
        <f>'1990-10'!B24</f>
        <v>63.219918440805898</v>
      </c>
      <c r="C24" s="4">
        <f>'1990-10'!C24</f>
        <v>65.116515994030081</v>
      </c>
      <c r="D24" s="16">
        <f t="shared" si="9"/>
        <v>31609.95922040295</v>
      </c>
      <c r="E24" s="4">
        <f>'Interval Circuities'!D24</f>
        <v>1.2763607033146633</v>
      </c>
      <c r="F24" s="4">
        <f t="shared" si="0"/>
        <v>49.531388953472181</v>
      </c>
      <c r="G24" s="4">
        <f t="shared" si="1"/>
        <v>24.76569447673609</v>
      </c>
      <c r="H24" s="4">
        <f t="shared" si="2"/>
        <v>1926.8632535054123</v>
      </c>
      <c r="I24" s="4">
        <f t="shared" si="3"/>
        <v>587.90735391009071</v>
      </c>
      <c r="J24" s="9">
        <f>'1990-10'!J24</f>
        <v>1973.1</v>
      </c>
      <c r="K24" s="9">
        <f>'1990-10'!K24</f>
        <v>1160000</v>
      </c>
      <c r="L24" s="22">
        <f t="shared" si="4"/>
        <v>1132817.0767149553</v>
      </c>
      <c r="M24" s="22">
        <f t="shared" si="5"/>
        <v>1132817.0767149553</v>
      </c>
      <c r="N24" s="19" t="s">
        <v>92</v>
      </c>
      <c r="O24" s="4">
        <f t="shared" si="6"/>
        <v>390.91227003192949</v>
      </c>
      <c r="P24" s="13">
        <f>'1990-10'!P24</f>
        <v>771309</v>
      </c>
      <c r="Q24" s="22">
        <f t="shared" si="7"/>
        <v>753234.48846890999</v>
      </c>
      <c r="R24" s="13">
        <f t="shared" si="8"/>
        <v>753234.48846890999</v>
      </c>
    </row>
    <row r="25" spans="1:18">
      <c r="A25" s="18" t="s">
        <v>63</v>
      </c>
      <c r="B25" s="4">
        <f>'1990-10'!B25</f>
        <v>58.291697709553844</v>
      </c>
      <c r="C25" s="4">
        <f>'1990-10'!C25</f>
        <v>60.040448640840452</v>
      </c>
      <c r="D25" s="16">
        <f t="shared" si="9"/>
        <v>29145.848854776923</v>
      </c>
      <c r="E25" s="4">
        <f>'Interval Circuities'!D25</f>
        <v>1.3479985729231181</v>
      </c>
      <c r="F25" s="4">
        <f t="shared" si="0"/>
        <v>43.243144970954255</v>
      </c>
      <c r="G25" s="4">
        <f t="shared" si="1"/>
        <v>21.621572485477127</v>
      </c>
      <c r="H25" s="4">
        <f t="shared" si="2"/>
        <v>1468.6706792223649</v>
      </c>
      <c r="I25" s="4">
        <f t="shared" si="3"/>
        <v>1175.4827875734677</v>
      </c>
      <c r="J25" s="9">
        <f>'1990-10'!J25</f>
        <v>595.5</v>
      </c>
      <c r="K25" s="9">
        <f>'1990-10'!K25</f>
        <v>700000</v>
      </c>
      <c r="L25" s="22">
        <f t="shared" si="4"/>
        <v>1726397.1040397238</v>
      </c>
      <c r="M25" s="22">
        <f t="shared" si="5"/>
        <v>700000</v>
      </c>
      <c r="N25" s="19" t="s">
        <v>92</v>
      </c>
      <c r="O25" s="4">
        <f t="shared" si="6"/>
        <v>623.22082283795135</v>
      </c>
      <c r="P25" s="13">
        <f>'1990-10'!P25</f>
        <v>371128</v>
      </c>
      <c r="Q25" s="22">
        <f t="shared" si="7"/>
        <v>915306.14918293513</v>
      </c>
      <c r="R25" s="13">
        <f t="shared" si="8"/>
        <v>371128</v>
      </c>
    </row>
    <row r="26" spans="1:18" ht="16">
      <c r="A26" s="18" t="s">
        <v>121</v>
      </c>
      <c r="B26" s="4">
        <f>'1990-10'!B26</f>
        <v>48.116227796764051</v>
      </c>
      <c r="C26" s="4">
        <f>'1990-10'!C26</f>
        <v>49.559714630666974</v>
      </c>
      <c r="D26" s="16">
        <f t="shared" si="9"/>
        <v>24058.113898382024</v>
      </c>
      <c r="E26" s="4">
        <f>'Interval Circuities'!D26</f>
        <v>1.2574820774863131</v>
      </c>
      <c r="F26" s="4">
        <f t="shared" si="0"/>
        <v>38.263947183205687</v>
      </c>
      <c r="G26" s="4">
        <f t="shared" si="1"/>
        <v>19.131973591602843</v>
      </c>
      <c r="H26" s="4">
        <f t="shared" si="2"/>
        <v>1149.9247412580933</v>
      </c>
      <c r="I26" s="4">
        <f t="shared" si="3"/>
        <v>2243.0420521281399</v>
      </c>
      <c r="J26" s="9">
        <f>'1990-10'!J26</f>
        <v>5091.3</v>
      </c>
      <c r="K26" s="9">
        <f>'1990-10'!K26</f>
        <v>11420000</v>
      </c>
      <c r="L26" s="22">
        <f t="shared" si="4"/>
        <v>2579329.551424474</v>
      </c>
      <c r="M26" s="22">
        <f t="shared" si="5"/>
        <v>2579329.551424474</v>
      </c>
      <c r="N26" s="19" t="s">
        <v>92</v>
      </c>
      <c r="O26" s="4">
        <f t="shared" si="6"/>
        <v>1186.7479818513934</v>
      </c>
      <c r="P26" s="13">
        <f>'1990-10'!P26</f>
        <v>6042090</v>
      </c>
      <c r="Q26" s="22">
        <f t="shared" si="7"/>
        <v>1364670.8659690279</v>
      </c>
      <c r="R26" s="13">
        <f t="shared" si="8"/>
        <v>1364670.8659690279</v>
      </c>
    </row>
    <row r="27" spans="1:18">
      <c r="A27" s="18" t="s">
        <v>42</v>
      </c>
      <c r="B27" s="4">
        <f>'1990-10'!B27</f>
        <v>62.487212851553508</v>
      </c>
      <c r="C27" s="4">
        <f>'1990-10'!C27</f>
        <v>64.986701365615659</v>
      </c>
      <c r="D27" s="16">
        <f t="shared" si="9"/>
        <v>31243.606425776754</v>
      </c>
      <c r="E27" s="4">
        <f>'Interval Circuities'!D27</f>
        <v>1.3369233725771599</v>
      </c>
      <c r="F27" s="4">
        <f t="shared" si="0"/>
        <v>46.739561992321356</v>
      </c>
      <c r="G27" s="4">
        <f t="shared" si="1"/>
        <v>23.369780996160678</v>
      </c>
      <c r="H27" s="4">
        <f t="shared" si="2"/>
        <v>1715.7703468033983</v>
      </c>
      <c r="I27" s="4">
        <f t="shared" si="3"/>
        <v>1106.8597977589507</v>
      </c>
      <c r="J27" s="9">
        <f>'1990-10'!J27</f>
        <v>731.8</v>
      </c>
      <c r="K27" s="9">
        <f>'1990-10'!K27</f>
        <v>810000</v>
      </c>
      <c r="L27" s="22">
        <f t="shared" si="4"/>
        <v>1899117.219063614</v>
      </c>
      <c r="M27" s="22">
        <f t="shared" si="5"/>
        <v>810000</v>
      </c>
      <c r="N27" s="19" t="s">
        <v>92</v>
      </c>
      <c r="O27" s="4">
        <f t="shared" si="6"/>
        <v>610.65318393003554</v>
      </c>
      <c r="P27" s="13">
        <f>'1990-10'!P27</f>
        <v>446876</v>
      </c>
      <c r="Q27" s="22">
        <f t="shared" si="7"/>
        <v>1047740.6251682364</v>
      </c>
      <c r="R27" s="13">
        <f t="shared" si="8"/>
        <v>446876</v>
      </c>
    </row>
    <row r="28" spans="1:18">
      <c r="A28" s="18" t="s">
        <v>43</v>
      </c>
      <c r="B28" s="4">
        <f>'1990-10'!B28</f>
        <v>65.308032205055966</v>
      </c>
      <c r="C28" s="4">
        <f>'1990-10'!C28</f>
        <v>67.920353493258204</v>
      </c>
      <c r="D28" s="16">
        <f t="shared" si="9"/>
        <v>32654.016102527981</v>
      </c>
      <c r="E28" s="4">
        <f>'Interval Circuities'!D28</f>
        <v>1.2908476784745491</v>
      </c>
      <c r="F28" s="4">
        <f t="shared" si="0"/>
        <v>50.593136040832725</v>
      </c>
      <c r="G28" s="4">
        <f t="shared" si="1"/>
        <v>25.296568020416363</v>
      </c>
      <c r="H28" s="4">
        <f t="shared" si="2"/>
        <v>2010.3565154180194</v>
      </c>
      <c r="I28" s="4">
        <f t="shared" si="3"/>
        <v>973.62164609985291</v>
      </c>
      <c r="J28" s="9">
        <f>'1990-10'!J28</f>
        <v>883.3</v>
      </c>
      <c r="K28" s="9">
        <f>'1990-10'!K28</f>
        <v>860000</v>
      </c>
      <c r="L28" s="22">
        <f t="shared" si="4"/>
        <v>1957326.6197888565</v>
      </c>
      <c r="M28" s="22">
        <f t="shared" si="5"/>
        <v>860000</v>
      </c>
      <c r="N28" s="19" t="s">
        <v>92</v>
      </c>
      <c r="O28" s="4">
        <f t="shared" si="6"/>
        <v>507.45726253820902</v>
      </c>
      <c r="P28" s="13">
        <f>'1990-10'!P28</f>
        <v>448237</v>
      </c>
      <c r="Q28" s="22">
        <f t="shared" si="7"/>
        <v>1020170.0140398809</v>
      </c>
      <c r="R28" s="13">
        <f t="shared" si="8"/>
        <v>448237</v>
      </c>
    </row>
    <row r="29" spans="1:18">
      <c r="A29" s="18" t="s">
        <v>44</v>
      </c>
      <c r="B29" s="4">
        <f>'1990-10'!B29</f>
        <v>64.485521071986952</v>
      </c>
      <c r="C29" s="4">
        <f>'1990-10'!C29</f>
        <v>67.064941914866438</v>
      </c>
      <c r="D29" s="16">
        <f t="shared" si="9"/>
        <v>32242.760535993475</v>
      </c>
      <c r="E29" s="4">
        <f>'Interval Circuities'!D29</f>
        <v>1.195432722588013</v>
      </c>
      <c r="F29" s="4">
        <f t="shared" si="0"/>
        <v>53.943245699666917</v>
      </c>
      <c r="G29" s="4">
        <f t="shared" si="1"/>
        <v>26.971622849833459</v>
      </c>
      <c r="H29" s="4">
        <f t="shared" si="2"/>
        <v>2285.4095041635665</v>
      </c>
      <c r="I29" s="4">
        <f t="shared" si="3"/>
        <v>927.60180995475116</v>
      </c>
      <c r="J29" s="9">
        <f>'1990-10'!J29</f>
        <v>1326</v>
      </c>
      <c r="K29" s="9">
        <f>'1990-10'!K29</f>
        <v>1230000</v>
      </c>
      <c r="L29" s="22">
        <f t="shared" si="4"/>
        <v>2119949.9925499149</v>
      </c>
      <c r="M29" s="22">
        <f t="shared" si="5"/>
        <v>1230000</v>
      </c>
      <c r="N29" s="19" t="s">
        <v>92</v>
      </c>
      <c r="O29" s="4">
        <f t="shared" si="6"/>
        <v>582.76923076923072</v>
      </c>
      <c r="P29" s="13">
        <f>'1990-10'!P29</f>
        <v>772752</v>
      </c>
      <c r="Q29" s="22">
        <f t="shared" si="7"/>
        <v>1331866.3387340906</v>
      </c>
      <c r="R29" s="13">
        <f t="shared" si="8"/>
        <v>772752</v>
      </c>
    </row>
    <row r="30" spans="1:18">
      <c r="A30" s="18" t="s">
        <v>45</v>
      </c>
      <c r="B30" s="4">
        <f>'1990-10'!B30</f>
        <v>63.564185114523426</v>
      </c>
      <c r="C30" s="4">
        <f>'1990-10'!C30</f>
        <v>66.106752519104361</v>
      </c>
      <c r="D30" s="16">
        <f t="shared" si="9"/>
        <v>31782.092557261712</v>
      </c>
      <c r="E30" s="4">
        <f>'Interval Circuities'!D30</f>
        <v>1.264148984854071</v>
      </c>
      <c r="F30" s="4">
        <f t="shared" si="0"/>
        <v>50.28219448505989</v>
      </c>
      <c r="G30" s="4">
        <f t="shared" si="1"/>
        <v>25.141097242529945</v>
      </c>
      <c r="H30" s="4">
        <f t="shared" si="2"/>
        <v>1985.7214557055563</v>
      </c>
      <c r="I30" s="4">
        <f t="shared" si="3"/>
        <v>730.08608477716029</v>
      </c>
      <c r="J30" s="9">
        <f>'1990-10'!J30</f>
        <v>2753.1</v>
      </c>
      <c r="K30" s="9">
        <f>'1990-10'!K30</f>
        <v>2010000</v>
      </c>
      <c r="L30" s="22">
        <f t="shared" si="4"/>
        <v>1449747.6030540729</v>
      </c>
      <c r="M30" s="22">
        <f t="shared" si="5"/>
        <v>1449747.6030540729</v>
      </c>
      <c r="N30" s="19" t="s">
        <v>92</v>
      </c>
      <c r="O30" s="4">
        <f t="shared" si="6"/>
        <v>474.96422214957687</v>
      </c>
      <c r="P30" s="13">
        <f>'1990-10'!P30</f>
        <v>1307624</v>
      </c>
      <c r="Q30" s="22">
        <f t="shared" si="7"/>
        <v>943146.64661491499</v>
      </c>
      <c r="R30" s="13">
        <f t="shared" si="8"/>
        <v>943146.64661491499</v>
      </c>
    </row>
    <row r="31" spans="1:18">
      <c r="A31" s="18" t="s">
        <v>46</v>
      </c>
      <c r="B31" s="4">
        <f>'1990-10'!B31</f>
        <v>63.734436519319452</v>
      </c>
      <c r="C31" s="4">
        <f>'1990-10'!C31</f>
        <v>66.283813980092233</v>
      </c>
      <c r="D31" s="16">
        <f t="shared" si="9"/>
        <v>31867.218259659727</v>
      </c>
      <c r="E31" s="4">
        <f>'Interval Circuities'!D31</f>
        <v>1.3216572823903541</v>
      </c>
      <c r="F31" s="4">
        <f t="shared" si="0"/>
        <v>48.223119085795922</v>
      </c>
      <c r="G31" s="4">
        <f t="shared" si="1"/>
        <v>24.111559542897961</v>
      </c>
      <c r="H31" s="4">
        <f t="shared" si="2"/>
        <v>1826.4192499978933</v>
      </c>
      <c r="I31" s="4">
        <f t="shared" si="3"/>
        <v>451.20587765532662</v>
      </c>
      <c r="J31" s="9">
        <f>'1990-10'!J31</f>
        <v>1252.2</v>
      </c>
      <c r="K31" s="9">
        <f>'1990-10'!K31</f>
        <v>565000</v>
      </c>
      <c r="L31" s="22">
        <f t="shared" si="4"/>
        <v>824091.1006618829</v>
      </c>
      <c r="M31" s="22">
        <f t="shared" si="5"/>
        <v>565000</v>
      </c>
      <c r="N31" s="19" t="s">
        <v>92</v>
      </c>
      <c r="O31" s="4">
        <f t="shared" si="6"/>
        <v>395.8768567321514</v>
      </c>
      <c r="P31" s="13">
        <f>'1990-10'!P31</f>
        <v>495717</v>
      </c>
      <c r="Q31" s="22">
        <f t="shared" si="7"/>
        <v>723037.1117642594</v>
      </c>
      <c r="R31" s="13">
        <f t="shared" si="8"/>
        <v>495717</v>
      </c>
    </row>
    <row r="32" spans="1:18">
      <c r="A32" s="18" t="s">
        <v>47</v>
      </c>
      <c r="B32" s="4">
        <f>'1990-10'!B32</f>
        <v>62.636693012318808</v>
      </c>
      <c r="C32" s="4">
        <f>'1990-10'!C32</f>
        <v>65.142160732811561</v>
      </c>
      <c r="D32" s="16">
        <f t="shared" si="9"/>
        <v>31318.346506159403</v>
      </c>
      <c r="E32" s="4">
        <f>'Interval Circuities'!D32</f>
        <v>1.334391541452087</v>
      </c>
      <c r="F32" s="4">
        <f t="shared" si="0"/>
        <v>46.940265331836152</v>
      </c>
      <c r="G32" s="4">
        <f t="shared" si="1"/>
        <v>23.470132665918076</v>
      </c>
      <c r="H32" s="4">
        <f t="shared" si="2"/>
        <v>1730.5372885520057</v>
      </c>
      <c r="I32" s="4">
        <f t="shared" si="3"/>
        <v>1501.072194424589</v>
      </c>
      <c r="J32" s="9">
        <f>'1990-10'!J32</f>
        <v>699.5</v>
      </c>
      <c r="K32" s="9">
        <f>'1990-10'!K32</f>
        <v>1050000</v>
      </c>
      <c r="L32" s="22">
        <f t="shared" si="4"/>
        <v>2597661.4052603375</v>
      </c>
      <c r="M32" s="22">
        <f t="shared" si="5"/>
        <v>1050000</v>
      </c>
      <c r="N32" s="19" t="s">
        <v>92</v>
      </c>
      <c r="O32" s="4">
        <f t="shared" si="6"/>
        <v>735.84846318799146</v>
      </c>
      <c r="P32" s="13">
        <f>'1990-10'!P32</f>
        <v>514726</v>
      </c>
      <c r="Q32" s="22">
        <f t="shared" si="7"/>
        <v>1273413.2042705072</v>
      </c>
      <c r="R32" s="13">
        <f t="shared" si="8"/>
        <v>514726</v>
      </c>
    </row>
    <row r="33" spans="1:18">
      <c r="A33" s="18" t="s">
        <v>65</v>
      </c>
      <c r="B33" s="4">
        <f>'1990-10'!B33</f>
        <v>59.42988867805861</v>
      </c>
      <c r="C33" s="4">
        <f>'1990-10'!C33</f>
        <v>62.40138311196155</v>
      </c>
      <c r="D33" s="16">
        <f t="shared" si="9"/>
        <v>29714.944339029305</v>
      </c>
      <c r="E33" s="4">
        <f>'Interval Circuities'!D33</f>
        <v>1.2633101259911681</v>
      </c>
      <c r="F33" s="4">
        <f t="shared" si="0"/>
        <v>47.042992417583207</v>
      </c>
      <c r="G33" s="4">
        <f t="shared" si="1"/>
        <v>23.521496208791604</v>
      </c>
      <c r="H33" s="4">
        <f t="shared" si="2"/>
        <v>1738.1200142201915</v>
      </c>
      <c r="I33" s="4">
        <f t="shared" si="3"/>
        <v>2072.7310590777161</v>
      </c>
      <c r="J33" s="9">
        <f>'1990-10'!J33</f>
        <v>7683.1</v>
      </c>
      <c r="K33" s="9">
        <f>'1990-10'!K33</f>
        <v>15925000</v>
      </c>
      <c r="L33" s="22">
        <f t="shared" si="4"/>
        <v>3602655.3378787925</v>
      </c>
      <c r="M33" s="22">
        <f t="shared" si="5"/>
        <v>3602655.3378787925</v>
      </c>
      <c r="N33" s="19" t="s">
        <v>92</v>
      </c>
      <c r="O33" s="4">
        <f t="shared" si="6"/>
        <v>1112.8936236675299</v>
      </c>
      <c r="P33" s="13">
        <f>'1990-10'!P33</f>
        <v>8550473</v>
      </c>
      <c r="Q33" s="22">
        <f t="shared" si="7"/>
        <v>1934342.6809945675</v>
      </c>
      <c r="R33" s="13">
        <f t="shared" si="8"/>
        <v>1934342.6809945675</v>
      </c>
    </row>
    <row r="34" spans="1:18">
      <c r="A34" s="18" t="s">
        <v>66</v>
      </c>
      <c r="B34" s="4">
        <f>'1990-10'!B34</f>
        <v>69.714425398287744</v>
      </c>
      <c r="C34" s="4">
        <f>'1990-10'!C34</f>
        <v>72.503002414219253</v>
      </c>
      <c r="D34" s="16">
        <f t="shared" si="9"/>
        <v>34857.212699143871</v>
      </c>
      <c r="E34" s="4">
        <f>'Interval Circuities'!D34</f>
        <v>1.2750009602571852</v>
      </c>
      <c r="F34" s="4">
        <f t="shared" si="0"/>
        <v>54.677939524237992</v>
      </c>
      <c r="G34" s="4">
        <f t="shared" si="1"/>
        <v>27.338969762118996</v>
      </c>
      <c r="H34" s="4">
        <f t="shared" si="2"/>
        <v>2348.0868804134479</v>
      </c>
      <c r="I34" s="4">
        <f t="shared" si="3"/>
        <v>411.8665313675163</v>
      </c>
      <c r="J34" s="9">
        <f>'1990-10'!J34</f>
        <v>1675.3</v>
      </c>
      <c r="K34" s="9">
        <f>'1990-10'!K34</f>
        <v>690000</v>
      </c>
      <c r="L34" s="22">
        <f t="shared" si="4"/>
        <v>967098.39878545888</v>
      </c>
      <c r="M34" s="22">
        <f t="shared" si="5"/>
        <v>690000</v>
      </c>
      <c r="N34" s="19" t="s">
        <v>92</v>
      </c>
      <c r="O34" s="4">
        <f t="shared" si="6"/>
        <v>268.68143019160749</v>
      </c>
      <c r="P34" s="13">
        <f>'1990-10'!P34</f>
        <v>450122</v>
      </c>
      <c r="Q34" s="22">
        <f t="shared" si="7"/>
        <v>630887.34124363516</v>
      </c>
      <c r="R34" s="13">
        <f t="shared" si="8"/>
        <v>450122</v>
      </c>
    </row>
    <row r="35" spans="1:18">
      <c r="A35" s="18" t="s">
        <v>48</v>
      </c>
      <c r="B35" s="4">
        <f>'1990-10'!B35</f>
        <v>58.78311324728174</v>
      </c>
      <c r="C35" s="4">
        <f>'1990-10'!C35</f>
        <v>61.722268909645827</v>
      </c>
      <c r="D35" s="16">
        <f t="shared" si="9"/>
        <v>29391.55662364087</v>
      </c>
      <c r="E35" s="4">
        <f>'Interval Circuities'!D35</f>
        <v>1.3376145866573186</v>
      </c>
      <c r="F35" s="4">
        <f t="shared" ref="F35:F53" si="10">B35/E35</f>
        <v>43.946226240086069</v>
      </c>
      <c r="G35" s="4">
        <f t="shared" ref="G35:G53" si="11">F35*$A$1</f>
        <v>21.973113120043035</v>
      </c>
      <c r="H35" s="4">
        <f t="shared" ref="H35:H53" si="12">PI()*G35^2</f>
        <v>1516.8165399281083</v>
      </c>
      <c r="I35" s="4">
        <f t="shared" ref="I35:I53" si="13">K35/J35</f>
        <v>841.40495059191858</v>
      </c>
      <c r="J35" s="9">
        <f>'1990-10'!J35</f>
        <v>1022.1</v>
      </c>
      <c r="K35" s="9">
        <f>'1990-10'!K35</f>
        <v>860000</v>
      </c>
      <c r="L35" s="22">
        <f t="shared" ref="L35:L53" si="14">H35*I35</f>
        <v>1276256.9458352148</v>
      </c>
      <c r="M35" s="22">
        <f t="shared" ref="M35:M53" si="15">MIN(K35,L35)</f>
        <v>860000</v>
      </c>
      <c r="N35" s="19" t="s">
        <v>92</v>
      </c>
      <c r="O35" s="4">
        <f t="shared" ref="O35:O53" si="16">P35/J35</f>
        <v>545.39477546228352</v>
      </c>
      <c r="P35" s="13">
        <f>'1990-10'!P35</f>
        <v>557448</v>
      </c>
      <c r="Q35" s="22">
        <f t="shared" ref="Q35:Q53" si="17">H35*O35</f>
        <v>827263.81621156842</v>
      </c>
      <c r="R35" s="13">
        <f t="shared" ref="R35:R53" si="18">MIN(Q35,P35)</f>
        <v>557448</v>
      </c>
    </row>
    <row r="36" spans="1:18">
      <c r="A36" s="18" t="s">
        <v>67</v>
      </c>
      <c r="B36" s="4">
        <f>'1990-10'!B36</f>
        <v>63.176257053555211</v>
      </c>
      <c r="C36" s="4">
        <f>'1990-10'!C36</f>
        <v>66.966832476768531</v>
      </c>
      <c r="D36" s="16">
        <f t="shared" si="9"/>
        <v>31588.128526777607</v>
      </c>
      <c r="E36" s="4">
        <f>'Interval Circuities'!D36</f>
        <v>1.2022800918654142</v>
      </c>
      <c r="F36" s="4">
        <f t="shared" si="10"/>
        <v>52.54703748403022</v>
      </c>
      <c r="G36" s="4">
        <f t="shared" si="11"/>
        <v>26.27351874201511</v>
      </c>
      <c r="H36" s="4">
        <f t="shared" si="12"/>
        <v>2168.6344567018709</v>
      </c>
      <c r="I36" s="4">
        <f t="shared" si="13"/>
        <v>1518.9201737803867</v>
      </c>
      <c r="J36" s="9">
        <f>'1990-10'!J36</f>
        <v>3015.3</v>
      </c>
      <c r="K36" s="9">
        <f>'1990-10'!K36</f>
        <v>4580000</v>
      </c>
      <c r="L36" s="22">
        <f t="shared" si="14"/>
        <v>3293982.62583974</v>
      </c>
      <c r="M36" s="22">
        <f t="shared" si="15"/>
        <v>3293982.62583974</v>
      </c>
      <c r="N36" s="19" t="s">
        <v>92</v>
      </c>
      <c r="O36" s="4">
        <f t="shared" si="16"/>
        <v>926.91175007461936</v>
      </c>
      <c r="P36" s="13">
        <f>'1990-10'!P36</f>
        <v>2794917</v>
      </c>
      <c r="Q36" s="22">
        <f t="shared" si="17"/>
        <v>2010132.7595336526</v>
      </c>
      <c r="R36" s="13">
        <f t="shared" si="18"/>
        <v>2010132.7595336526</v>
      </c>
    </row>
    <row r="37" spans="1:18">
      <c r="A37" s="18" t="s">
        <v>49</v>
      </c>
      <c r="B37" s="4">
        <f>'1990-10'!B37</f>
        <v>62.02920484038443</v>
      </c>
      <c r="C37" s="4">
        <f>'1990-10'!C37</f>
        <v>65.130665082403652</v>
      </c>
      <c r="D37" s="16">
        <f t="shared" si="9"/>
        <v>31014.602420192216</v>
      </c>
      <c r="E37" s="4">
        <f>'Interval Circuities'!D37</f>
        <v>1.2936940628378486</v>
      </c>
      <c r="F37" s="4">
        <f t="shared" si="10"/>
        <v>47.947352177157789</v>
      </c>
      <c r="G37" s="4">
        <f t="shared" si="11"/>
        <v>23.973676088578895</v>
      </c>
      <c r="H37" s="4">
        <f t="shared" si="12"/>
        <v>1805.5899931058027</v>
      </c>
      <c r="I37" s="4">
        <f t="shared" si="13"/>
        <v>987.28769407106381</v>
      </c>
      <c r="J37" s="9">
        <f>'1990-10'!J37</f>
        <v>1919.4</v>
      </c>
      <c r="K37" s="9">
        <f>'1990-10'!K37</f>
        <v>1895000</v>
      </c>
      <c r="L37" s="22">
        <f t="shared" si="14"/>
        <v>1782636.7807312158</v>
      </c>
      <c r="M37" s="22">
        <f t="shared" si="15"/>
        <v>1782636.7807312158</v>
      </c>
      <c r="N37" s="19" t="s">
        <v>92</v>
      </c>
      <c r="O37" s="4">
        <f t="shared" si="16"/>
        <v>519.17005314160667</v>
      </c>
      <c r="P37" s="13">
        <f>'1990-10'!P37</f>
        <v>996495</v>
      </c>
      <c r="Q37" s="22">
        <f t="shared" si="17"/>
        <v>937408.25267269276</v>
      </c>
      <c r="R37" s="13">
        <f t="shared" si="18"/>
        <v>937408.25267269276</v>
      </c>
    </row>
    <row r="38" spans="1:18">
      <c r="A38" s="18" t="s">
        <v>50</v>
      </c>
      <c r="B38" s="4">
        <f>'1990-10'!B38</f>
        <v>65.42916793409438</v>
      </c>
      <c r="C38" s="4">
        <f>'1990-10'!C38</f>
        <v>68.700626330799111</v>
      </c>
      <c r="D38" s="16">
        <f t="shared" si="9"/>
        <v>32714.583967047191</v>
      </c>
      <c r="E38" s="4">
        <f>'Interval Circuities'!D38</f>
        <v>1.2978145775706831</v>
      </c>
      <c r="F38" s="4">
        <f t="shared" si="10"/>
        <v>50.414881343502941</v>
      </c>
      <c r="G38" s="4">
        <f t="shared" si="11"/>
        <v>25.207440671751471</v>
      </c>
      <c r="H38" s="4">
        <f t="shared" si="12"/>
        <v>1996.2153008750236</v>
      </c>
      <c r="I38" s="4">
        <f t="shared" si="13"/>
        <v>883.28701865819767</v>
      </c>
      <c r="J38" s="9">
        <f>'1990-10'!J38</f>
        <v>2015.2</v>
      </c>
      <c r="K38" s="9">
        <f>'1990-10'!K38</f>
        <v>1780000</v>
      </c>
      <c r="L38" s="22">
        <f t="shared" si="14"/>
        <v>1763231.0617097765</v>
      </c>
      <c r="M38" s="22">
        <f t="shared" si="15"/>
        <v>1763231.0617097765</v>
      </c>
      <c r="N38" s="19" t="s">
        <v>92</v>
      </c>
      <c r="O38" s="4">
        <f t="shared" si="16"/>
        <v>474.4710202461294</v>
      </c>
      <c r="P38" s="13">
        <f>'1990-10'!P38</f>
        <v>956154</v>
      </c>
      <c r="Q38" s="22">
        <f t="shared" si="17"/>
        <v>947146.31043710664</v>
      </c>
      <c r="R38" s="13">
        <f t="shared" si="18"/>
        <v>947146.31043710664</v>
      </c>
    </row>
    <row r="39" spans="1:18">
      <c r="A39" s="18" t="s">
        <v>51</v>
      </c>
      <c r="B39" s="4">
        <f>'1990-10'!B39</f>
        <v>65.140770915733583</v>
      </c>
      <c r="C39" s="4">
        <f>'1990-10'!C39</f>
        <v>68.397809461520268</v>
      </c>
      <c r="D39" s="16">
        <f t="shared" si="9"/>
        <v>32570.385457866792</v>
      </c>
      <c r="E39" s="4">
        <f>'Interval Circuities'!D39</f>
        <v>1.429386472105842</v>
      </c>
      <c r="F39" s="4">
        <f t="shared" si="10"/>
        <v>45.572539118664679</v>
      </c>
      <c r="G39" s="4">
        <f t="shared" si="11"/>
        <v>22.786269559332339</v>
      </c>
      <c r="H39" s="4">
        <f t="shared" si="12"/>
        <v>1631.1591407210133</v>
      </c>
      <c r="I39" s="4">
        <f t="shared" si="13"/>
        <v>1184.1974325803562</v>
      </c>
      <c r="J39" s="9">
        <f>'1990-10'!J39</f>
        <v>1004.9</v>
      </c>
      <c r="K39" s="9">
        <f>'1990-10'!K39</f>
        <v>1190000</v>
      </c>
      <c r="L39" s="22">
        <f t="shared" si="14"/>
        <v>1931614.4665718039</v>
      </c>
      <c r="M39" s="22">
        <f t="shared" si="15"/>
        <v>1190000</v>
      </c>
      <c r="N39" s="19" t="s">
        <v>92</v>
      </c>
      <c r="O39" s="4">
        <f t="shared" si="16"/>
        <v>720.99910438849633</v>
      </c>
      <c r="P39" s="13">
        <f>'1990-10'!P39</f>
        <v>724532</v>
      </c>
      <c r="Q39" s="22">
        <f t="shared" si="17"/>
        <v>1176064.2795749598</v>
      </c>
      <c r="R39" s="13">
        <f t="shared" si="18"/>
        <v>724532</v>
      </c>
    </row>
    <row r="40" spans="1:18">
      <c r="A40" s="18" t="s">
        <v>52</v>
      </c>
      <c r="B40" s="4">
        <f>'1990-10'!B40</f>
        <v>70.338872065042395</v>
      </c>
      <c r="C40" s="4">
        <f>'1990-10'!C40</f>
        <v>75.262593109595372</v>
      </c>
      <c r="D40" s="16">
        <f t="shared" si="9"/>
        <v>35169.436032521196</v>
      </c>
      <c r="E40" s="4">
        <f>'Interval Circuities'!D40</f>
        <v>1.2504642611124295</v>
      </c>
      <c r="F40" s="4">
        <f t="shared" si="10"/>
        <v>56.250205825529157</v>
      </c>
      <c r="G40" s="4">
        <f t="shared" si="11"/>
        <v>28.125102912764579</v>
      </c>
      <c r="H40" s="4">
        <f t="shared" si="12"/>
        <v>2485.0670625946768</v>
      </c>
      <c r="I40" s="4">
        <f t="shared" si="13"/>
        <v>1415.4601861427093</v>
      </c>
      <c r="J40" s="9">
        <f>'1990-10'!J40</f>
        <v>773.6</v>
      </c>
      <c r="K40" s="9">
        <f>'1990-10'!K40</f>
        <v>1095000</v>
      </c>
      <c r="L40" s="22">
        <f t="shared" si="14"/>
        <v>3517513.4869973771</v>
      </c>
      <c r="M40" s="22">
        <f t="shared" si="15"/>
        <v>1095000</v>
      </c>
      <c r="N40" s="19" t="s">
        <v>92</v>
      </c>
      <c r="O40" s="4">
        <f t="shared" si="16"/>
        <v>704.06928645294727</v>
      </c>
      <c r="P40" s="13">
        <f>'1990-10'!P40</f>
        <v>544668</v>
      </c>
      <c r="Q40" s="22">
        <f t="shared" si="17"/>
        <v>1749659.3935487557</v>
      </c>
      <c r="R40" s="13">
        <f t="shared" si="18"/>
        <v>544668</v>
      </c>
    </row>
    <row r="41" spans="1:18">
      <c r="A41" s="18" t="s">
        <v>53</v>
      </c>
      <c r="B41" s="4">
        <f>'1990-10'!B41</f>
        <v>68.778714095226661</v>
      </c>
      <c r="C41" s="4">
        <f>'1990-10'!C41</f>
        <v>74.281011222844796</v>
      </c>
      <c r="D41" s="16">
        <f t="shared" si="9"/>
        <v>34389.357047613332</v>
      </c>
      <c r="E41" s="4">
        <f>'Interval Circuities'!D41</f>
        <v>1.2414407144506381</v>
      </c>
      <c r="F41" s="4">
        <f t="shared" si="10"/>
        <v>55.402334799098796</v>
      </c>
      <c r="G41" s="4">
        <f t="shared" si="11"/>
        <v>27.701167399549398</v>
      </c>
      <c r="H41" s="4">
        <f t="shared" si="12"/>
        <v>2410.7158106135325</v>
      </c>
      <c r="I41" s="4">
        <f t="shared" si="13"/>
        <v>1097.213078779899</v>
      </c>
      <c r="J41" s="9">
        <f>'1990-10'!J41</f>
        <v>455.7</v>
      </c>
      <c r="K41" s="9">
        <f>'1990-10'!K41</f>
        <v>500000</v>
      </c>
      <c r="L41" s="22">
        <f t="shared" si="14"/>
        <v>2645068.9166266541</v>
      </c>
      <c r="M41" s="22">
        <f t="shared" si="15"/>
        <v>500000</v>
      </c>
      <c r="N41" s="19" t="s">
        <v>92</v>
      </c>
      <c r="O41" s="4">
        <f t="shared" si="16"/>
        <v>877.11432960280888</v>
      </c>
      <c r="P41" s="13">
        <f>'1990-10'!P41</f>
        <v>399701</v>
      </c>
      <c r="Q41" s="22">
        <f t="shared" si="17"/>
        <v>2114473.3820891804</v>
      </c>
      <c r="R41" s="13">
        <f t="shared" si="18"/>
        <v>399701</v>
      </c>
    </row>
    <row r="42" spans="1:18">
      <c r="A42" s="18" t="s">
        <v>82</v>
      </c>
      <c r="B42" s="4">
        <f>'1990-10'!B42</f>
        <v>70.514936537683639</v>
      </c>
      <c r="C42" s="4">
        <f>'1990-10'!C42</f>
        <v>78.27157955682884</v>
      </c>
      <c r="D42" s="16">
        <f t="shared" si="9"/>
        <v>35257.468268841818</v>
      </c>
      <c r="E42" s="4">
        <f>'Interval Circuities'!D42</f>
        <v>1.2300018773129411</v>
      </c>
      <c r="F42" s="4">
        <f t="shared" si="10"/>
        <v>57.329129197534549</v>
      </c>
      <c r="G42" s="4">
        <f t="shared" si="11"/>
        <v>28.664564598767274</v>
      </c>
      <c r="H42" s="4">
        <f t="shared" si="12"/>
        <v>2581.3124232103833</v>
      </c>
      <c r="I42" s="4">
        <f t="shared" si="13"/>
        <v>1079.1366906474821</v>
      </c>
      <c r="J42" s="9">
        <f>'1990-10'!J42</f>
        <v>569.9</v>
      </c>
      <c r="K42" s="9">
        <f>'1990-10'!K42</f>
        <v>615000</v>
      </c>
      <c r="L42" s="22">
        <f t="shared" si="14"/>
        <v>2785588.9459104855</v>
      </c>
      <c r="M42" s="22">
        <f t="shared" si="15"/>
        <v>615000</v>
      </c>
      <c r="N42" s="19" t="s">
        <v>92</v>
      </c>
      <c r="O42" s="4">
        <f t="shared" si="16"/>
        <v>844.82716266011585</v>
      </c>
      <c r="P42" s="13">
        <f>'1990-10'!P42</f>
        <v>481467</v>
      </c>
      <c r="Q42" s="22">
        <f t="shared" si="17"/>
        <v>2180762.8504401362</v>
      </c>
      <c r="R42" s="13">
        <f t="shared" si="18"/>
        <v>481467</v>
      </c>
    </row>
    <row r="43" spans="1:18">
      <c r="A43" s="18" t="s">
        <v>54</v>
      </c>
      <c r="B43" s="4">
        <f>'1990-10'!B43</f>
        <v>61.557786724693997</v>
      </c>
      <c r="C43" s="4">
        <f>'1990-10'!C43</f>
        <v>68.329143264410348</v>
      </c>
      <c r="D43" s="16">
        <f t="shared" si="9"/>
        <v>30778.893362347</v>
      </c>
      <c r="E43" s="4">
        <f>'Interval Circuities'!D43</f>
        <v>1.4421055990573115</v>
      </c>
      <c r="F43" s="4">
        <f t="shared" si="10"/>
        <v>42.686046545366473</v>
      </c>
      <c r="G43" s="4">
        <f t="shared" si="11"/>
        <v>21.343023272683237</v>
      </c>
      <c r="H43" s="4">
        <f t="shared" si="12"/>
        <v>1431.0728701504431</v>
      </c>
      <c r="I43" s="4">
        <f t="shared" si="13"/>
        <v>1272.1174973979414</v>
      </c>
      <c r="J43" s="9">
        <f>'1990-10'!J43</f>
        <v>864.7</v>
      </c>
      <c r="K43" s="9">
        <f>'1990-10'!K43</f>
        <v>1100000</v>
      </c>
      <c r="L43" s="22">
        <f t="shared" si="14"/>
        <v>1820492.8381698709</v>
      </c>
      <c r="M43" s="22">
        <f t="shared" si="15"/>
        <v>1100000</v>
      </c>
      <c r="N43" s="19" t="s">
        <v>92</v>
      </c>
      <c r="O43" s="4">
        <f t="shared" si="16"/>
        <v>793.27512432057358</v>
      </c>
      <c r="P43" s="13">
        <f>'1990-10'!P43</f>
        <v>685945</v>
      </c>
      <c r="Q43" s="22">
        <f t="shared" si="17"/>
        <v>1135234.5089803927</v>
      </c>
      <c r="R43" s="13">
        <f t="shared" si="18"/>
        <v>685945</v>
      </c>
    </row>
    <row r="44" spans="1:18">
      <c r="A44" s="18" t="s">
        <v>55</v>
      </c>
      <c r="B44" s="4">
        <f>'1990-10'!B44</f>
        <v>65.143959367039756</v>
      </c>
      <c r="C44" s="4">
        <f>'1990-10'!C44</f>
        <v>73.612674084754914</v>
      </c>
      <c r="D44" s="16">
        <f t="shared" si="9"/>
        <v>32571.979683519879</v>
      </c>
      <c r="E44" s="4">
        <f>'Interval Circuities'!D44</f>
        <v>1.3440889544483587</v>
      </c>
      <c r="F44" s="4">
        <f t="shared" si="10"/>
        <v>48.467000008772601</v>
      </c>
      <c r="G44" s="4">
        <f t="shared" si="11"/>
        <v>24.2335000043863</v>
      </c>
      <c r="H44" s="4">
        <f t="shared" si="12"/>
        <v>1844.9396262970861</v>
      </c>
      <c r="I44" s="4">
        <f t="shared" si="13"/>
        <v>1215.620726333384</v>
      </c>
      <c r="J44" s="9">
        <f>'1990-10'!J44</f>
        <v>658.1</v>
      </c>
      <c r="K44" s="9">
        <f>'1990-10'!K44</f>
        <v>800000</v>
      </c>
      <c r="L44" s="22">
        <f t="shared" si="14"/>
        <v>2242746.848560506</v>
      </c>
      <c r="M44" s="22">
        <f t="shared" si="15"/>
        <v>800000</v>
      </c>
      <c r="N44" s="19" t="s">
        <v>92</v>
      </c>
      <c r="O44" s="4">
        <f t="shared" si="16"/>
        <v>728.36650964898945</v>
      </c>
      <c r="P44" s="13">
        <f>'1990-10'!P44</f>
        <v>479338</v>
      </c>
      <c r="Q44" s="22">
        <f t="shared" si="17"/>
        <v>1343792.2361191195</v>
      </c>
      <c r="R44" s="13">
        <f t="shared" si="18"/>
        <v>479338</v>
      </c>
    </row>
    <row r="45" spans="1:18">
      <c r="A45" s="18" t="s">
        <v>68</v>
      </c>
      <c r="B45" s="4">
        <f>'1990-10'!B45</f>
        <v>68.131157212250471</v>
      </c>
      <c r="C45" s="4">
        <f>'1990-10'!C45</f>
        <v>77.66951922196553</v>
      </c>
      <c r="D45" s="16">
        <f t="shared" si="9"/>
        <v>34065.578606125237</v>
      </c>
      <c r="E45" s="4">
        <f>'Interval Circuities'!D45</f>
        <v>1.380428163161324</v>
      </c>
      <c r="F45" s="4">
        <f t="shared" si="10"/>
        <v>49.355090710568405</v>
      </c>
      <c r="G45" s="4">
        <f t="shared" si="11"/>
        <v>24.677545355284202</v>
      </c>
      <c r="H45" s="4">
        <f t="shared" si="12"/>
        <v>1913.1710047186089</v>
      </c>
      <c r="I45" s="4">
        <f t="shared" si="13"/>
        <v>1031.2913177611283</v>
      </c>
      <c r="J45" s="9">
        <f>'1990-10'!J45</f>
        <v>1134.5</v>
      </c>
      <c r="K45" s="9">
        <f>'1990-10'!K45</f>
        <v>1170000</v>
      </c>
      <c r="L45" s="22">
        <f t="shared" si="14"/>
        <v>1973036.6465586359</v>
      </c>
      <c r="M45" s="22">
        <f t="shared" si="15"/>
        <v>1170000</v>
      </c>
      <c r="N45" s="19" t="s">
        <v>92</v>
      </c>
      <c r="O45" s="4">
        <f t="shared" si="16"/>
        <v>501.67386513882769</v>
      </c>
      <c r="P45" s="13">
        <f>'1990-10'!P45</f>
        <v>569149</v>
      </c>
      <c r="Q45" s="22">
        <f t="shared" si="17"/>
        <v>959787.89260871883</v>
      </c>
      <c r="R45" s="13">
        <f t="shared" si="18"/>
        <v>569149</v>
      </c>
    </row>
    <row r="46" spans="1:18">
      <c r="A46" s="18" t="s">
        <v>69</v>
      </c>
      <c r="B46" s="4">
        <f>'1990-10'!B46</f>
        <v>59.330043396898148</v>
      </c>
      <c r="C46" s="4">
        <f>'1990-10'!C46</f>
        <v>68.229549906432865</v>
      </c>
      <c r="D46" s="16">
        <f t="shared" si="9"/>
        <v>29665.021698449073</v>
      </c>
      <c r="E46" s="4">
        <f>'Interval Circuities'!D46</f>
        <v>1.4053465163955201</v>
      </c>
      <c r="F46" s="4">
        <f t="shared" si="10"/>
        <v>42.217376785527485</v>
      </c>
      <c r="G46" s="4">
        <f t="shared" si="11"/>
        <v>21.108688392763742</v>
      </c>
      <c r="H46" s="4">
        <f t="shared" si="12"/>
        <v>1399.8205679528432</v>
      </c>
      <c r="I46" s="4">
        <f t="shared" si="13"/>
        <v>1283.9160839160838</v>
      </c>
      <c r="J46" s="9">
        <f>'1990-10'!J46</f>
        <v>1787.5</v>
      </c>
      <c r="K46" s="9">
        <f>'1990-10'!K46</f>
        <v>2295000</v>
      </c>
      <c r="L46" s="22">
        <f t="shared" si="14"/>
        <v>1797252.1417912028</v>
      </c>
      <c r="M46" s="22">
        <f t="shared" si="15"/>
        <v>1797252.1417912028</v>
      </c>
      <c r="N46" s="19" t="s">
        <v>92</v>
      </c>
      <c r="O46" s="4">
        <f t="shared" si="16"/>
        <v>688.36139860139861</v>
      </c>
      <c r="P46" s="13">
        <f>'1990-10'!P46</f>
        <v>1230446</v>
      </c>
      <c r="Q46" s="22">
        <f t="shared" si="17"/>
        <v>963582.44394702336</v>
      </c>
      <c r="R46" s="13">
        <f t="shared" si="18"/>
        <v>963582.44394702336</v>
      </c>
    </row>
    <row r="47" spans="1:18" ht="16">
      <c r="A47" s="18" t="s">
        <v>114</v>
      </c>
      <c r="B47" s="4">
        <f>'1990-10'!B47</f>
        <v>53.936325276944842</v>
      </c>
      <c r="C47" s="4">
        <f>'1990-10'!C47</f>
        <v>62.026774068486567</v>
      </c>
      <c r="D47" s="16">
        <f t="shared" si="9"/>
        <v>26968.162638472422</v>
      </c>
      <c r="E47" s="4">
        <f>'Interval Circuities'!D47</f>
        <v>1.4029569815109362</v>
      </c>
      <c r="F47" s="4">
        <f t="shared" si="10"/>
        <v>38.444746337736802</v>
      </c>
      <c r="G47" s="4">
        <f t="shared" si="11"/>
        <v>19.222373168868401</v>
      </c>
      <c r="H47" s="4">
        <f t="shared" si="12"/>
        <v>1160.817323876282</v>
      </c>
      <c r="I47" s="4">
        <f t="shared" si="13"/>
        <v>1623.3049162948894</v>
      </c>
      <c r="J47" s="9">
        <f>'1990-10'!J47</f>
        <v>2263.9</v>
      </c>
      <c r="K47" s="9">
        <f>'1990-10'!K47</f>
        <v>3675000</v>
      </c>
      <c r="L47" s="22">
        <f t="shared" si="14"/>
        <v>1884360.4687686455</v>
      </c>
      <c r="M47" s="22">
        <f t="shared" si="15"/>
        <v>1884360.4687686455</v>
      </c>
      <c r="N47" s="19" t="s">
        <v>92</v>
      </c>
      <c r="O47" s="4">
        <f t="shared" si="16"/>
        <v>870.35072220504435</v>
      </c>
      <c r="P47" s="13">
        <f>'1990-10'!P47</f>
        <v>1970387</v>
      </c>
      <c r="Q47" s="22">
        <f t="shared" si="17"/>
        <v>1010318.1961838489</v>
      </c>
      <c r="R47" s="13">
        <f t="shared" si="18"/>
        <v>1010318.1961838489</v>
      </c>
    </row>
    <row r="48" spans="1:18" ht="16">
      <c r="A48" s="18" t="s">
        <v>72</v>
      </c>
      <c r="B48" s="4">
        <f>'1990-10'!B48</f>
        <v>57.58663731743308</v>
      </c>
      <c r="C48" s="4">
        <f>'1990-10'!C48</f>
        <v>66.800499288222369</v>
      </c>
      <c r="D48" s="16">
        <f t="shared" si="9"/>
        <v>28793.31865871654</v>
      </c>
      <c r="E48" s="4">
        <f>'Interval Circuities'!D48</f>
        <v>1.4092016414676893</v>
      </c>
      <c r="F48" s="4">
        <f t="shared" si="10"/>
        <v>40.864724836295508</v>
      </c>
      <c r="G48" s="4">
        <f t="shared" si="11"/>
        <v>20.432362418147754</v>
      </c>
      <c r="H48" s="4">
        <f t="shared" si="12"/>
        <v>1311.5566060222359</v>
      </c>
      <c r="I48" s="4">
        <f t="shared" si="13"/>
        <v>1608.4873374401095</v>
      </c>
      <c r="J48" s="9">
        <f>'1990-10'!J48</f>
        <v>876.6</v>
      </c>
      <c r="K48" s="9">
        <f>'1990-10'!K48</f>
        <v>1410000</v>
      </c>
      <c r="L48" s="22">
        <f t="shared" si="14"/>
        <v>2109622.1931226929</v>
      </c>
      <c r="M48" s="22">
        <f t="shared" si="15"/>
        <v>1410000</v>
      </c>
      <c r="N48" s="19" t="s">
        <v>92</v>
      </c>
      <c r="O48" s="4">
        <f t="shared" si="16"/>
        <v>1079.5836185261237</v>
      </c>
      <c r="P48" s="13">
        <f>'1990-10'!P48</f>
        <v>946363</v>
      </c>
      <c r="Q48" s="22">
        <f t="shared" si="17"/>
        <v>1415935.0266313271</v>
      </c>
      <c r="R48" s="13">
        <f t="shared" si="18"/>
        <v>946363</v>
      </c>
    </row>
    <row r="49" spans="1:18">
      <c r="A49" s="18" t="s">
        <v>56</v>
      </c>
      <c r="B49" s="4">
        <f>'1990-10'!B49</f>
        <v>57.751551670614234</v>
      </c>
      <c r="C49" s="4">
        <f>'1990-10'!C49</f>
        <v>67.569315454618646</v>
      </c>
      <c r="D49" s="16">
        <f t="shared" si="9"/>
        <v>28875.775835307119</v>
      </c>
      <c r="E49" s="4">
        <f>'Interval Circuities'!D49</f>
        <v>1.4286042358546414</v>
      </c>
      <c r="F49" s="4">
        <f t="shared" si="10"/>
        <v>40.425157801709318</v>
      </c>
      <c r="G49" s="4">
        <f t="shared" si="11"/>
        <v>20.212578900854659</v>
      </c>
      <c r="H49" s="4">
        <f t="shared" si="12"/>
        <v>1283.4924818746626</v>
      </c>
      <c r="I49" s="4">
        <f t="shared" si="13"/>
        <v>1477.6384054639784</v>
      </c>
      <c r="J49" s="9">
        <f>'1990-10'!J49</f>
        <v>1522.7</v>
      </c>
      <c r="K49" s="9">
        <f>'1990-10'!K49</f>
        <v>2250000</v>
      </c>
      <c r="L49" s="22">
        <f t="shared" si="14"/>
        <v>1896537.7843422808</v>
      </c>
      <c r="M49" s="22">
        <f t="shared" si="15"/>
        <v>1896537.7843422808</v>
      </c>
      <c r="N49" s="19" t="s">
        <v>92</v>
      </c>
      <c r="O49" s="4">
        <f t="shared" si="16"/>
        <v>859.22243383463581</v>
      </c>
      <c r="P49" s="13">
        <f>'1990-10'!P49</f>
        <v>1308338</v>
      </c>
      <c r="Q49" s="22">
        <f t="shared" si="17"/>
        <v>1102805.5340848048</v>
      </c>
      <c r="R49" s="13">
        <f t="shared" si="18"/>
        <v>1102805.5340848048</v>
      </c>
    </row>
    <row r="50" spans="1:18">
      <c r="A50" s="18" t="s">
        <v>76</v>
      </c>
      <c r="B50" s="4">
        <f>'1990-10'!B50</f>
        <v>57.267086544288581</v>
      </c>
      <c r="C50" s="4">
        <f>'1990-10'!C50</f>
        <v>59.557770006060125</v>
      </c>
      <c r="D50" s="16">
        <f t="shared" si="9"/>
        <v>28633.543272144292</v>
      </c>
      <c r="E50" s="4">
        <f>'Interval Circuities'!D50</f>
        <v>1.2577436829189439</v>
      </c>
      <c r="F50" s="4">
        <f t="shared" si="10"/>
        <v>45.531603395840072</v>
      </c>
      <c r="G50" s="4">
        <f t="shared" si="11"/>
        <v>22.765801697920036</v>
      </c>
      <c r="H50" s="4">
        <f t="shared" si="12"/>
        <v>1628.2300658728684</v>
      </c>
      <c r="I50" s="4">
        <f t="shared" si="13"/>
        <v>4280.7094372673528</v>
      </c>
      <c r="J50" s="9">
        <f>'1990-10'!J50</f>
        <v>913.4</v>
      </c>
      <c r="K50" s="9">
        <f>'1990-10'!K50</f>
        <v>3910000</v>
      </c>
      <c r="L50" s="22">
        <f t="shared" si="14"/>
        <v>6969979.8090244308</v>
      </c>
      <c r="M50" s="22">
        <f t="shared" si="15"/>
        <v>3910000</v>
      </c>
      <c r="N50" s="19" t="s">
        <v>92</v>
      </c>
      <c r="O50" s="4">
        <f t="shared" si="16"/>
        <v>1616.0335012042917</v>
      </c>
      <c r="P50" s="13">
        <f>'1990-10'!P50</f>
        <v>1476085</v>
      </c>
      <c r="Q50" s="22">
        <f t="shared" si="17"/>
        <v>2631274.3341186261</v>
      </c>
      <c r="R50" s="13">
        <f t="shared" si="18"/>
        <v>1476085</v>
      </c>
    </row>
    <row r="51" spans="1:18">
      <c r="A51" s="18" t="s">
        <v>57</v>
      </c>
      <c r="B51" s="4">
        <f>'1990-10'!B51</f>
        <v>65.029165523454452</v>
      </c>
      <c r="C51" s="4">
        <f>'1990-10'!C51</f>
        <v>79.985873593848979</v>
      </c>
      <c r="D51" s="16">
        <f t="shared" si="9"/>
        <v>32514.582761727226</v>
      </c>
      <c r="E51" s="4">
        <f>'Interval Circuities'!D51</f>
        <v>1.3390167731884297</v>
      </c>
      <c r="F51" s="4">
        <f t="shared" si="10"/>
        <v>48.564862536119549</v>
      </c>
      <c r="G51" s="4">
        <f t="shared" si="11"/>
        <v>24.282431268059774</v>
      </c>
      <c r="H51" s="4">
        <f t="shared" si="12"/>
        <v>1852.3975970623594</v>
      </c>
      <c r="I51" s="4">
        <f t="shared" si="13"/>
        <v>1039.2364793213148</v>
      </c>
      <c r="J51" s="9">
        <f>'1990-10'!J51</f>
        <v>1886</v>
      </c>
      <c r="K51" s="9">
        <f>'1990-10'!K51</f>
        <v>1960000</v>
      </c>
      <c r="L51" s="22">
        <f t="shared" si="14"/>
        <v>1925079.1570743499</v>
      </c>
      <c r="M51" s="22">
        <f t="shared" si="15"/>
        <v>1925079.1570743499</v>
      </c>
      <c r="N51" s="19" t="s">
        <v>92</v>
      </c>
      <c r="O51" s="4">
        <f t="shared" si="16"/>
        <v>606.75291622481438</v>
      </c>
      <c r="P51" s="13">
        <f>'1990-10'!P51</f>
        <v>1144336</v>
      </c>
      <c r="Q51" s="22">
        <f t="shared" si="17"/>
        <v>1123947.6440254252</v>
      </c>
      <c r="R51" s="13">
        <f t="shared" si="18"/>
        <v>1123947.6440254252</v>
      </c>
    </row>
    <row r="52" spans="1:18">
      <c r="A52" s="18" t="s">
        <v>71</v>
      </c>
      <c r="B52" s="4">
        <f>'1990-10'!B52</f>
        <v>57.772652523705723</v>
      </c>
      <c r="C52" s="4">
        <f>'1990-10'!C52</f>
        <v>71.060362604158044</v>
      </c>
      <c r="D52" s="16">
        <f t="shared" si="9"/>
        <v>28886.326261852861</v>
      </c>
      <c r="E52" s="4">
        <f>'Interval Circuities'!D52</f>
        <v>1.2955984531690132</v>
      </c>
      <c r="F52" s="4">
        <f t="shared" si="10"/>
        <v>44.591480008635955</v>
      </c>
      <c r="G52" s="4">
        <f t="shared" si="11"/>
        <v>22.295740004317977</v>
      </c>
      <c r="H52" s="4">
        <f t="shared" si="12"/>
        <v>1561.6857782831216</v>
      </c>
      <c r="I52" s="4">
        <f t="shared" si="13"/>
        <v>1022.1667558091162</v>
      </c>
      <c r="J52" s="9">
        <f>'1990-10'!J52</f>
        <v>1682.7</v>
      </c>
      <c r="K52" s="9">
        <f>'1990-10'!K52</f>
        <v>1720000</v>
      </c>
      <c r="L52" s="22">
        <f t="shared" si="14"/>
        <v>1596303.2855808933</v>
      </c>
      <c r="M52" s="22">
        <f t="shared" si="15"/>
        <v>1596303.2855808933</v>
      </c>
      <c r="N52" s="19" t="s">
        <v>92</v>
      </c>
      <c r="O52" s="4">
        <f t="shared" si="16"/>
        <v>543.59719498425147</v>
      </c>
      <c r="P52" s="13">
        <f>'1990-10'!P52</f>
        <v>914711</v>
      </c>
      <c r="Q52" s="22">
        <f t="shared" si="17"/>
        <v>848928.0085215026</v>
      </c>
      <c r="R52" s="13">
        <f t="shared" si="18"/>
        <v>848928.0085215026</v>
      </c>
    </row>
    <row r="53" spans="1:18" ht="16">
      <c r="A53" s="18" t="s">
        <v>118</v>
      </c>
      <c r="B53" s="4">
        <f>'1990-10'!B53</f>
        <v>57.166397237881569</v>
      </c>
      <c r="C53" s="4">
        <f>'1990-10'!C53</f>
        <v>76.031308326382486</v>
      </c>
      <c r="D53" s="16">
        <f t="shared" si="9"/>
        <v>28583.198618940783</v>
      </c>
      <c r="E53" s="4">
        <f>'Interval Circuities'!D53</f>
        <v>1.3445230318825292</v>
      </c>
      <c r="F53" s="4">
        <f t="shared" si="10"/>
        <v>42.517975432403148</v>
      </c>
      <c r="G53" s="4">
        <f t="shared" si="11"/>
        <v>21.258987716201574</v>
      </c>
      <c r="H53" s="4">
        <f t="shared" si="12"/>
        <v>1419.8257054971227</v>
      </c>
      <c r="I53" s="4">
        <f t="shared" si="13"/>
        <v>1267.0644976702363</v>
      </c>
      <c r="J53" s="9">
        <f>'1990-10'!J53</f>
        <v>2446.6</v>
      </c>
      <c r="K53" s="9">
        <f>'1990-10'!K53</f>
        <v>3100000</v>
      </c>
      <c r="L53" s="22">
        <f t="shared" si="14"/>
        <v>1799010.7443150007</v>
      </c>
      <c r="M53" s="22">
        <f t="shared" si="15"/>
        <v>1799010.7443150007</v>
      </c>
      <c r="N53" s="19" t="s">
        <v>92</v>
      </c>
      <c r="O53" s="4">
        <f t="shared" si="16"/>
        <v>905.07234529551215</v>
      </c>
      <c r="P53" s="13">
        <f>'1990-10'!P53</f>
        <v>2214350</v>
      </c>
      <c r="Q53" s="22">
        <f t="shared" si="17"/>
        <v>1285044.9811851359</v>
      </c>
      <c r="R53" s="13">
        <f t="shared" si="18"/>
        <v>1285044.9811851359</v>
      </c>
    </row>
    <row r="54" spans="1:18">
      <c r="D54" s="1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D2" sqref="D2"/>
    </sheetView>
  </sheetViews>
  <sheetFormatPr baseColWidth="10" defaultColWidth="11.5" defaultRowHeight="14" x14ac:dyDescent="0"/>
  <cols>
    <col min="4" max="4" width="8.5" style="18" customWidth="1"/>
  </cols>
  <sheetData>
    <row r="1" spans="1:18" ht="56">
      <c r="A1" s="18">
        <f>4/6</f>
        <v>0.66666666666666663</v>
      </c>
      <c r="B1" s="1" t="s">
        <v>60</v>
      </c>
      <c r="C1" s="1" t="s">
        <v>61</v>
      </c>
      <c r="D1" s="30" t="s">
        <v>165</v>
      </c>
      <c r="E1" s="7" t="s">
        <v>91</v>
      </c>
      <c r="F1" s="1" t="s">
        <v>21</v>
      </c>
      <c r="G1" s="1" t="s">
        <v>20</v>
      </c>
      <c r="H1" s="1" t="s">
        <v>134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125</v>
      </c>
      <c r="E2" s="18" t="s">
        <v>116</v>
      </c>
      <c r="F2" s="18" t="s">
        <v>17</v>
      </c>
      <c r="G2" s="18" t="s">
        <v>19</v>
      </c>
      <c r="H2" s="18" t="s">
        <v>135</v>
      </c>
      <c r="I2" s="18" t="s">
        <v>24</v>
      </c>
      <c r="J2" s="9" t="s">
        <v>16</v>
      </c>
      <c r="K2" s="13" t="s">
        <v>126</v>
      </c>
      <c r="L2" s="22" t="s">
        <v>132</v>
      </c>
      <c r="M2" s="22" t="s">
        <v>127</v>
      </c>
      <c r="N2" s="19" t="s">
        <v>92</v>
      </c>
      <c r="O2" s="18" t="s">
        <v>128</v>
      </c>
      <c r="P2" s="18" t="s">
        <v>129</v>
      </c>
      <c r="Q2" s="22" t="s">
        <v>131</v>
      </c>
      <c r="R2" s="18" t="s">
        <v>130</v>
      </c>
    </row>
    <row r="3" spans="1:18">
      <c r="A3" s="18" t="s">
        <v>26</v>
      </c>
      <c r="B3" s="4">
        <f>'1990-10'!B3</f>
        <v>60.37546801014345</v>
      </c>
      <c r="C3" s="4">
        <f>'1990-10'!C3</f>
        <v>63.997996090752061</v>
      </c>
      <c r="D3" s="16">
        <f>B3*$A$1*1000</f>
        <v>40250.312006762302</v>
      </c>
      <c r="E3" s="4">
        <f>'Interval Circuities'!E3</f>
        <v>1.2408930794674879</v>
      </c>
      <c r="F3" s="4">
        <f t="shared" ref="F3:F34" si="0">B3/E3</f>
        <v>48.654851098091981</v>
      </c>
      <c r="G3" s="4">
        <f t="shared" ref="G3:G34" si="1">F3*$A$1</f>
        <v>32.436567398727988</v>
      </c>
      <c r="H3" s="4">
        <f t="shared" ref="H3:H34" si="2">PI()*G3^2</f>
        <v>3305.366720544544</v>
      </c>
      <c r="I3" s="4">
        <f t="shared" ref="I3:I34" si="3">K3/J3</f>
        <v>964.67391304347825</v>
      </c>
      <c r="J3" s="9">
        <f>'1990-10'!J3</f>
        <v>2944</v>
      </c>
      <c r="K3" s="9">
        <f>'1990-10'!K3</f>
        <v>2840000</v>
      </c>
      <c r="L3" s="22">
        <f t="shared" ref="L3:L34" si="4">H3*I3</f>
        <v>3188601.0483513945</v>
      </c>
      <c r="M3" s="22">
        <f t="shared" ref="M3:M34" si="5">MIN(K3,L3)</f>
        <v>2840000</v>
      </c>
      <c r="N3" s="19" t="s">
        <v>92</v>
      </c>
      <c r="O3" s="4">
        <f t="shared" ref="O3:O34" si="6">P3/J3</f>
        <v>503.32235054347825</v>
      </c>
      <c r="P3" s="13">
        <f>'1990-10'!P3</f>
        <v>1481781</v>
      </c>
      <c r="Q3" s="22">
        <f t="shared" ref="Q3:Q34" si="7">H3*O3</f>
        <v>1663664.9471926682</v>
      </c>
      <c r="R3" s="13">
        <f t="shared" ref="R3:R34" si="8">MIN(Q3,P3)</f>
        <v>1481781</v>
      </c>
    </row>
    <row r="4" spans="1:18">
      <c r="A4" s="18" t="s">
        <v>27</v>
      </c>
      <c r="B4" s="4">
        <f>'1990-10'!B4</f>
        <v>63.478689145973746</v>
      </c>
      <c r="C4" s="4">
        <f>'1990-10'!C4</f>
        <v>67.922197386191925</v>
      </c>
      <c r="D4" s="16">
        <f t="shared" ref="D4:D53" si="9">B4*$A$1*1000</f>
        <v>42319.126097315828</v>
      </c>
      <c r="E4" s="4">
        <f>'Interval Circuities'!E4</f>
        <v>1.3288131567869899</v>
      </c>
      <c r="F4" s="4">
        <f t="shared" si="0"/>
        <v>47.770966762146116</v>
      </c>
      <c r="G4" s="4">
        <f t="shared" si="1"/>
        <v>31.847311174764076</v>
      </c>
      <c r="H4" s="4">
        <f t="shared" si="2"/>
        <v>3186.3642101163919</v>
      </c>
      <c r="I4" s="4">
        <f t="shared" si="3"/>
        <v>932.86219081272088</v>
      </c>
      <c r="J4" s="9">
        <f>'1990-10'!J4</f>
        <v>707.5</v>
      </c>
      <c r="K4" s="9">
        <f>'1990-10'!K4</f>
        <v>660000</v>
      </c>
      <c r="L4" s="22">
        <f t="shared" si="4"/>
        <v>2972438.6977764224</v>
      </c>
      <c r="M4" s="22">
        <f t="shared" si="5"/>
        <v>660000</v>
      </c>
      <c r="N4" s="19" t="s">
        <v>92</v>
      </c>
      <c r="O4" s="4">
        <f t="shared" si="6"/>
        <v>571.04734982332161</v>
      </c>
      <c r="P4" s="13">
        <f>'1990-10'!P4</f>
        <v>404016</v>
      </c>
      <c r="Q4" s="22">
        <f t="shared" si="7"/>
        <v>1819564.837758847</v>
      </c>
      <c r="R4" s="13">
        <f t="shared" si="8"/>
        <v>404016</v>
      </c>
    </row>
    <row r="5" spans="1:18" ht="16">
      <c r="A5" s="18" t="s">
        <v>119</v>
      </c>
      <c r="B5" s="4">
        <f>'1990-10'!B5</f>
        <v>60.37745029626894</v>
      </c>
      <c r="C5" s="4">
        <f>'1990-10'!C5</f>
        <v>64.603871817007771</v>
      </c>
      <c r="D5" s="16">
        <f t="shared" si="9"/>
        <v>40251.63353084596</v>
      </c>
      <c r="E5" s="4">
        <f>'Interval Circuities'!E5</f>
        <v>1.2365714332480808</v>
      </c>
      <c r="F5" s="4">
        <f t="shared" si="0"/>
        <v>48.826496127018345</v>
      </c>
      <c r="G5" s="4">
        <f t="shared" si="1"/>
        <v>32.55099741801223</v>
      </c>
      <c r="H5" s="4">
        <f t="shared" si="2"/>
        <v>3328.7292632050057</v>
      </c>
      <c r="I5" s="4">
        <f t="shared" si="3"/>
        <v>1296.8393613554904</v>
      </c>
      <c r="J5" s="9">
        <f>'1990-10'!J5</f>
        <v>1534.5</v>
      </c>
      <c r="K5" s="9">
        <f>'1990-10'!K5</f>
        <v>1990000</v>
      </c>
      <c r="L5" s="22">
        <f t="shared" si="4"/>
        <v>4316827.1318201115</v>
      </c>
      <c r="M5" s="22">
        <f t="shared" si="5"/>
        <v>1990000</v>
      </c>
      <c r="N5" s="19" t="s">
        <v>92</v>
      </c>
      <c r="O5" s="4">
        <f t="shared" si="6"/>
        <v>776.67839687194521</v>
      </c>
      <c r="P5" s="13">
        <f>'1990-10'!P5</f>
        <v>1191813</v>
      </c>
      <c r="Q5" s="22">
        <f t="shared" si="7"/>
        <v>2585352.1077667954</v>
      </c>
      <c r="R5" s="13">
        <f t="shared" si="8"/>
        <v>1191813</v>
      </c>
    </row>
    <row r="6" spans="1:18">
      <c r="A6" s="18" t="s">
        <v>29</v>
      </c>
      <c r="B6" s="4">
        <f>'1990-10'!B6</f>
        <v>61.541690600746875</v>
      </c>
      <c r="C6" s="4">
        <f>'1990-10'!C6</f>
        <v>67.695859660821569</v>
      </c>
      <c r="D6" s="16">
        <f t="shared" si="9"/>
        <v>41027.793733831248</v>
      </c>
      <c r="E6" s="4">
        <f>'Interval Circuities'!E6</f>
        <v>1.2071976050807991</v>
      </c>
      <c r="F6" s="4">
        <f t="shared" si="0"/>
        <v>50.978970088851213</v>
      </c>
      <c r="G6" s="4">
        <f t="shared" si="1"/>
        <v>33.985980059234137</v>
      </c>
      <c r="H6" s="4">
        <f t="shared" si="2"/>
        <v>3628.6866689391532</v>
      </c>
      <c r="I6" s="4">
        <f t="shared" si="3"/>
        <v>1563.9892556970801</v>
      </c>
      <c r="J6" s="9">
        <f>'1990-10'!J6</f>
        <v>2308.1999999999998</v>
      </c>
      <c r="K6" s="9">
        <f>'1990-10'!K6</f>
        <v>3610000</v>
      </c>
      <c r="L6" s="22">
        <f t="shared" si="4"/>
        <v>5675226.9625120629</v>
      </c>
      <c r="M6" s="22">
        <f t="shared" si="5"/>
        <v>3610000</v>
      </c>
      <c r="N6" s="19" t="s">
        <v>92</v>
      </c>
      <c r="O6" s="4">
        <f t="shared" si="6"/>
        <v>927.87323455506464</v>
      </c>
      <c r="P6" s="13">
        <f>'1990-10'!P6</f>
        <v>2141717</v>
      </c>
      <c r="Q6" s="22">
        <f t="shared" si="7"/>
        <v>3366961.2366954149</v>
      </c>
      <c r="R6" s="13">
        <f t="shared" si="8"/>
        <v>2141717</v>
      </c>
    </row>
    <row r="7" spans="1:18">
      <c r="A7" s="18" t="s">
        <v>30</v>
      </c>
      <c r="B7" s="4">
        <f>'1990-10'!B7</f>
        <v>73.27659816495958</v>
      </c>
      <c r="C7" s="4">
        <f>'1990-10'!C7</f>
        <v>76.207662091557978</v>
      </c>
      <c r="D7" s="16">
        <f t="shared" si="9"/>
        <v>48851.065443306383</v>
      </c>
      <c r="E7" s="4">
        <f>'Interval Circuities'!E7</f>
        <v>1.1790012375949392</v>
      </c>
      <c r="F7" s="4">
        <f t="shared" si="0"/>
        <v>62.151417512026974</v>
      </c>
      <c r="G7" s="4">
        <f t="shared" si="1"/>
        <v>41.434278341351316</v>
      </c>
      <c r="H7" s="4">
        <f t="shared" si="2"/>
        <v>5393.4844508012002</v>
      </c>
      <c r="I7" s="4">
        <f t="shared" si="3"/>
        <v>1440.1622718052738</v>
      </c>
      <c r="J7" s="9">
        <f>'1990-10'!J7</f>
        <v>739.5</v>
      </c>
      <c r="K7" s="9">
        <f>'1990-10'!K7</f>
        <v>1065000</v>
      </c>
      <c r="L7" s="22">
        <f t="shared" si="4"/>
        <v>7767492.8196122758</v>
      </c>
      <c r="M7" s="22">
        <f t="shared" si="5"/>
        <v>1065000</v>
      </c>
      <c r="N7" s="19" t="s">
        <v>92</v>
      </c>
      <c r="O7" s="4">
        <f t="shared" si="6"/>
        <v>718.21771467207577</v>
      </c>
      <c r="P7" s="13">
        <f>'1990-10'!P7</f>
        <v>531122</v>
      </c>
      <c r="Q7" s="22">
        <f t="shared" si="7"/>
        <v>3873696.0763738137</v>
      </c>
      <c r="R7" s="13">
        <f t="shared" si="8"/>
        <v>531122</v>
      </c>
    </row>
    <row r="8" spans="1:18">
      <c r="A8" s="18" t="s">
        <v>31</v>
      </c>
      <c r="B8" s="4">
        <f>'1990-10'!B8</f>
        <v>66.908176577055386</v>
      </c>
      <c r="C8" s="4">
        <f>'1990-10'!C8</f>
        <v>71.591748937449267</v>
      </c>
      <c r="D8" s="16">
        <f t="shared" si="9"/>
        <v>44605.451051370255</v>
      </c>
      <c r="E8" s="4">
        <f>'Interval Circuities'!E8</f>
        <v>1.2387012717627792</v>
      </c>
      <c r="F8" s="4">
        <f t="shared" si="0"/>
        <v>54.014779916903819</v>
      </c>
      <c r="G8" s="4">
        <f t="shared" si="1"/>
        <v>36.009853277935875</v>
      </c>
      <c r="H8" s="4">
        <f t="shared" si="2"/>
        <v>4073.7331430220015</v>
      </c>
      <c r="I8" s="4">
        <f t="shared" si="3"/>
        <v>862.48203162434118</v>
      </c>
      <c r="J8" s="9">
        <f>'1990-10'!J8</f>
        <v>626.1</v>
      </c>
      <c r="K8" s="9">
        <f>'1990-10'!K8</f>
        <v>540000</v>
      </c>
      <c r="L8" s="22">
        <f t="shared" si="4"/>
        <v>3513521.6374890287</v>
      </c>
      <c r="M8" s="22">
        <f t="shared" si="5"/>
        <v>540000</v>
      </c>
      <c r="N8" s="19" t="s">
        <v>92</v>
      </c>
      <c r="O8" s="4">
        <f t="shared" si="6"/>
        <v>966.06931800031941</v>
      </c>
      <c r="P8" s="13">
        <f>'1990-10'!P8</f>
        <v>604856</v>
      </c>
      <c r="Q8" s="22">
        <f t="shared" si="7"/>
        <v>3935508.5991945625</v>
      </c>
      <c r="R8" s="13">
        <f t="shared" si="8"/>
        <v>604856</v>
      </c>
    </row>
    <row r="9" spans="1:18">
      <c r="A9" s="18" t="s">
        <v>32</v>
      </c>
      <c r="B9" s="4">
        <f>'1990-10'!B9</f>
        <v>59.830534500000006</v>
      </c>
      <c r="C9" s="4">
        <f>'1990-10'!C9</f>
        <v>64.616977260000013</v>
      </c>
      <c r="D9" s="16">
        <f t="shared" si="9"/>
        <v>39887.023000000001</v>
      </c>
      <c r="E9" s="4">
        <f>'Interval Circuities'!E9</f>
        <v>1.2103694059250167</v>
      </c>
      <c r="F9" s="4">
        <f t="shared" si="0"/>
        <v>49.431631539195195</v>
      </c>
      <c r="G9" s="4">
        <f t="shared" si="1"/>
        <v>32.954421026130127</v>
      </c>
      <c r="H9" s="4">
        <f t="shared" si="2"/>
        <v>3411.750348653637</v>
      </c>
      <c r="I9" s="4">
        <f t="shared" si="3"/>
        <v>1830.0112091232515</v>
      </c>
      <c r="J9" s="9">
        <f>'1990-10'!J9</f>
        <v>4103.8</v>
      </c>
      <c r="K9" s="9">
        <f>'1990-10'!K9</f>
        <v>7510000</v>
      </c>
      <c r="L9" s="22">
        <f t="shared" si="4"/>
        <v>6243541.3807663172</v>
      </c>
      <c r="M9" s="22">
        <f t="shared" si="5"/>
        <v>6243541.3807663172</v>
      </c>
      <c r="N9" s="19" t="s">
        <v>92</v>
      </c>
      <c r="O9" s="4">
        <f t="shared" si="6"/>
        <v>936.04391052195524</v>
      </c>
      <c r="P9" s="13">
        <f>'1990-10'!P9</f>
        <v>3841337</v>
      </c>
      <c r="Q9" s="22">
        <f t="shared" si="7"/>
        <v>3193548.1380783948</v>
      </c>
      <c r="R9" s="13">
        <f t="shared" si="8"/>
        <v>3193548.1380783948</v>
      </c>
    </row>
    <row r="10" spans="1:18">
      <c r="A10" s="18" t="s">
        <v>33</v>
      </c>
      <c r="B10" s="4">
        <f>'1990-10'!B10</f>
        <v>67.518821168909824</v>
      </c>
      <c r="C10" s="4">
        <f>'1990-10'!C10</f>
        <v>74.270703285800806</v>
      </c>
      <c r="D10" s="16">
        <f t="shared" si="9"/>
        <v>45012.547445939883</v>
      </c>
      <c r="E10" s="4">
        <f>'Interval Circuities'!E10</f>
        <v>1.2903500317173222</v>
      </c>
      <c r="F10" s="4">
        <f t="shared" si="0"/>
        <v>52.325973192753963</v>
      </c>
      <c r="G10" s="4">
        <f t="shared" si="1"/>
        <v>34.883982128502637</v>
      </c>
      <c r="H10" s="4">
        <f t="shared" si="2"/>
        <v>3822.9796244501917</v>
      </c>
      <c r="I10" s="4">
        <f t="shared" si="3"/>
        <v>860.24750980984004</v>
      </c>
      <c r="J10" s="9">
        <f>'1990-10'!J10</f>
        <v>1325.2</v>
      </c>
      <c r="K10" s="9">
        <f>'1990-10'!K10</f>
        <v>1140000</v>
      </c>
      <c r="L10" s="22">
        <f t="shared" si="4"/>
        <v>3288708.7019870351</v>
      </c>
      <c r="M10" s="22">
        <f t="shared" si="5"/>
        <v>1140000</v>
      </c>
      <c r="N10" s="19" t="s">
        <v>92</v>
      </c>
      <c r="O10" s="4">
        <f t="shared" si="6"/>
        <v>613.31572592816178</v>
      </c>
      <c r="P10" s="13">
        <f>'1990-10'!P10</f>
        <v>812766</v>
      </c>
      <c r="Q10" s="22">
        <f t="shared" si="7"/>
        <v>2344693.5235782405</v>
      </c>
      <c r="R10" s="13">
        <f t="shared" si="8"/>
        <v>812766</v>
      </c>
    </row>
    <row r="11" spans="1:18">
      <c r="A11" s="18" t="s">
        <v>34</v>
      </c>
      <c r="B11" s="4">
        <f>'1990-10'!B11</f>
        <v>70.270147843682068</v>
      </c>
      <c r="C11" s="4">
        <f>'1990-10'!C11</f>
        <v>77.297162628050287</v>
      </c>
      <c r="D11" s="16">
        <f t="shared" si="9"/>
        <v>46846.765229121374</v>
      </c>
      <c r="E11" s="4">
        <f>'Interval Circuities'!E11</f>
        <v>1.173938239626513</v>
      </c>
      <c r="F11" s="4">
        <f t="shared" si="0"/>
        <v>59.858470805106776</v>
      </c>
      <c r="G11" s="4">
        <f t="shared" si="1"/>
        <v>39.905647203404513</v>
      </c>
      <c r="H11" s="4">
        <f t="shared" si="2"/>
        <v>5002.8627694054931</v>
      </c>
      <c r="I11" s="4">
        <f t="shared" si="3"/>
        <v>1068.6095931997572</v>
      </c>
      <c r="J11" s="9">
        <f>'1990-10'!J11</f>
        <v>1647</v>
      </c>
      <c r="K11" s="9">
        <f>'1990-10'!K11</f>
        <v>1760000</v>
      </c>
      <c r="L11" s="22">
        <f t="shared" si="4"/>
        <v>5346107.1488486147</v>
      </c>
      <c r="M11" s="22">
        <f t="shared" si="5"/>
        <v>1760000</v>
      </c>
      <c r="N11" s="19" t="s">
        <v>92</v>
      </c>
      <c r="O11" s="4">
        <f t="shared" si="6"/>
        <v>754.15846994535514</v>
      </c>
      <c r="P11" s="13">
        <f>'1990-10'!P11</f>
        <v>1242099</v>
      </c>
      <c r="Q11" s="22">
        <f t="shared" si="7"/>
        <v>3772951.3315214287</v>
      </c>
      <c r="R11" s="13">
        <f t="shared" si="8"/>
        <v>1242099</v>
      </c>
    </row>
    <row r="12" spans="1:18">
      <c r="A12" s="18" t="s">
        <v>35</v>
      </c>
      <c r="B12" s="4">
        <f>'1990-10'!B12</f>
        <v>67.725932932724078</v>
      </c>
      <c r="C12" s="4">
        <f>'1990-10'!C12</f>
        <v>77.20756354330544</v>
      </c>
      <c r="D12" s="16">
        <f t="shared" si="9"/>
        <v>45150.621955149385</v>
      </c>
      <c r="E12" s="4">
        <f>'Interval Circuities'!E12</f>
        <v>1.2064902089048501</v>
      </c>
      <c r="F12" s="4">
        <f t="shared" si="0"/>
        <v>56.134672650348286</v>
      </c>
      <c r="G12" s="4">
        <f t="shared" si="1"/>
        <v>37.423115100232188</v>
      </c>
      <c r="H12" s="4">
        <f t="shared" si="2"/>
        <v>4399.7676622478202</v>
      </c>
      <c r="I12" s="4">
        <f t="shared" si="3"/>
        <v>973.91693719914929</v>
      </c>
      <c r="J12" s="9">
        <f>'1990-10'!J12</f>
        <v>893.3</v>
      </c>
      <c r="K12" s="9">
        <f>'1990-10'!K12</f>
        <v>870000</v>
      </c>
      <c r="L12" s="22">
        <f t="shared" si="4"/>
        <v>4285008.2460042583</v>
      </c>
      <c r="M12" s="22">
        <f t="shared" si="5"/>
        <v>870000</v>
      </c>
      <c r="N12" s="19" t="s">
        <v>92</v>
      </c>
      <c r="O12" s="4">
        <f t="shared" si="6"/>
        <v>758.82570245158411</v>
      </c>
      <c r="P12" s="13">
        <f>'1990-10'!P12</f>
        <v>677859</v>
      </c>
      <c r="Q12" s="22">
        <f t="shared" si="7"/>
        <v>3338656.7869289662</v>
      </c>
      <c r="R12" s="13">
        <f t="shared" si="8"/>
        <v>677859</v>
      </c>
    </row>
    <row r="13" spans="1:18">
      <c r="A13" s="18" t="s">
        <v>62</v>
      </c>
      <c r="B13" s="4">
        <f>'1990-10'!B13</f>
        <v>66.03146949483623</v>
      </c>
      <c r="C13" s="4">
        <f>'1990-10'!C13</f>
        <v>76.596504614010016</v>
      </c>
      <c r="D13" s="16">
        <f t="shared" si="9"/>
        <v>44020.979663224156</v>
      </c>
      <c r="E13" s="4">
        <f>'Interval Circuities'!E13</f>
        <v>1.2511891343902113</v>
      </c>
      <c r="F13" s="4">
        <f t="shared" si="0"/>
        <v>52.774970370101407</v>
      </c>
      <c r="G13" s="4">
        <f t="shared" si="1"/>
        <v>35.183313580067605</v>
      </c>
      <c r="H13" s="4">
        <f t="shared" si="2"/>
        <v>3888.8693320653933</v>
      </c>
      <c r="I13" s="4">
        <f t="shared" si="3"/>
        <v>869.56521739130437</v>
      </c>
      <c r="J13" s="9">
        <f>'1990-10'!J13</f>
        <v>3737.5</v>
      </c>
      <c r="K13" s="9">
        <f>'1990-10'!K13</f>
        <v>3250000</v>
      </c>
      <c r="L13" s="22">
        <f t="shared" si="4"/>
        <v>3381625.5061438205</v>
      </c>
      <c r="M13" s="22">
        <f t="shared" si="5"/>
        <v>3250000</v>
      </c>
      <c r="N13" s="19" t="s">
        <v>92</v>
      </c>
      <c r="O13" s="4">
        <f t="shared" si="6"/>
        <v>528.85779264214045</v>
      </c>
      <c r="P13" s="13">
        <f>'1990-10'!P13</f>
        <v>1976606</v>
      </c>
      <c r="Q13" s="22">
        <f t="shared" si="7"/>
        <v>2056658.850829819</v>
      </c>
      <c r="R13" s="13">
        <f t="shared" si="8"/>
        <v>1976606</v>
      </c>
    </row>
    <row r="14" spans="1:18">
      <c r="A14" s="18" t="s">
        <v>36</v>
      </c>
      <c r="B14" s="4">
        <f>'1990-10'!B14</f>
        <v>65.002140793217592</v>
      </c>
      <c r="C14" s="4">
        <f>'1990-10'!C14</f>
        <v>76.052504728064577</v>
      </c>
      <c r="D14" s="16">
        <f t="shared" si="9"/>
        <v>43334.760528811727</v>
      </c>
      <c r="E14" s="4">
        <f>'Interval Circuities'!E14</f>
        <v>1.3407119414349367</v>
      </c>
      <c r="F14" s="4">
        <f t="shared" si="0"/>
        <v>48.483301135997287</v>
      </c>
      <c r="G14" s="4">
        <f t="shared" si="1"/>
        <v>32.322200757331522</v>
      </c>
      <c r="H14" s="4">
        <f t="shared" si="2"/>
        <v>3282.0993225262978</v>
      </c>
      <c r="I14" s="4">
        <f t="shared" si="3"/>
        <v>1329.5186805789297</v>
      </c>
      <c r="J14" s="9">
        <f>'1990-10'!J14</f>
        <v>1188.4000000000001</v>
      </c>
      <c r="K14" s="9">
        <f>'1990-10'!K14</f>
        <v>1580000</v>
      </c>
      <c r="L14" s="22">
        <f t="shared" si="4"/>
        <v>4363612.3608141625</v>
      </c>
      <c r="M14" s="22">
        <f t="shared" si="5"/>
        <v>1580000</v>
      </c>
      <c r="N14" s="19" t="s">
        <v>92</v>
      </c>
      <c r="O14" s="4">
        <f t="shared" si="6"/>
        <v>811.94210703466842</v>
      </c>
      <c r="P14" s="13">
        <f>'1990-10'!P14</f>
        <v>964912</v>
      </c>
      <c r="Q14" s="22">
        <f t="shared" si="7"/>
        <v>2664874.6394290598</v>
      </c>
      <c r="R14" s="13">
        <f t="shared" si="8"/>
        <v>964912</v>
      </c>
    </row>
    <row r="15" spans="1:18">
      <c r="A15" s="18" t="s">
        <v>37</v>
      </c>
      <c r="B15" s="4">
        <f>'1990-10'!B15</f>
        <v>59.740126684000487</v>
      </c>
      <c r="C15" s="4">
        <f>'1990-10'!C15</f>
        <v>69.895948220280573</v>
      </c>
      <c r="D15" s="16">
        <f t="shared" si="9"/>
        <v>39826.751122666989</v>
      </c>
      <c r="E15" s="4">
        <f>'Interval Circuities'!E15</f>
        <v>1.2045476702347175</v>
      </c>
      <c r="F15" s="4">
        <f t="shared" si="0"/>
        <v>49.595485641809056</v>
      </c>
      <c r="G15" s="4">
        <f t="shared" si="1"/>
        <v>33.063657094539366</v>
      </c>
      <c r="H15" s="4">
        <f t="shared" si="2"/>
        <v>3434.4061177982753</v>
      </c>
      <c r="I15" s="4">
        <f t="shared" si="3"/>
        <v>1369.2488100986411</v>
      </c>
      <c r="J15" s="9">
        <f>'1990-10'!J15</f>
        <v>2899.4</v>
      </c>
      <c r="K15" s="9">
        <f>'1990-10'!K15</f>
        <v>3970000</v>
      </c>
      <c r="L15" s="22">
        <f t="shared" si="4"/>
        <v>4702556.4901907817</v>
      </c>
      <c r="M15" s="22">
        <f t="shared" si="5"/>
        <v>3970000</v>
      </c>
      <c r="N15" s="19" t="s">
        <v>92</v>
      </c>
      <c r="O15" s="4">
        <f t="shared" si="6"/>
        <v>717.34841691384418</v>
      </c>
      <c r="P15" s="13">
        <f>'1990-10'!P15</f>
        <v>2079880</v>
      </c>
      <c r="Q15" s="22">
        <f t="shared" si="7"/>
        <v>2463665.7916418142</v>
      </c>
      <c r="R15" s="13">
        <f t="shared" si="8"/>
        <v>2079880</v>
      </c>
    </row>
    <row r="16" spans="1:18">
      <c r="A16" s="18" t="s">
        <v>80</v>
      </c>
      <c r="B16" s="4">
        <f>'1990-10'!B16</f>
        <v>70.939381203745498</v>
      </c>
      <c r="C16" s="4">
        <f>'1990-10'!C16</f>
        <v>83.70846982041968</v>
      </c>
      <c r="D16" s="16">
        <f t="shared" si="9"/>
        <v>47292.920802496992</v>
      </c>
      <c r="E16" s="4">
        <f>'Interval Circuities'!E16</f>
        <v>1.2419710808941744</v>
      </c>
      <c r="F16" s="4">
        <f t="shared" si="0"/>
        <v>57.118384071126442</v>
      </c>
      <c r="G16" s="4">
        <f t="shared" si="1"/>
        <v>38.078922714084293</v>
      </c>
      <c r="H16" s="4">
        <f t="shared" si="2"/>
        <v>4555.3230295460526</v>
      </c>
      <c r="I16" s="4">
        <f t="shared" si="3"/>
        <v>1190.58976132826</v>
      </c>
      <c r="J16" s="9">
        <f>'1990-10'!J16</f>
        <v>578.20000000000005</v>
      </c>
      <c r="K16" s="9">
        <f>'1990-10'!K16</f>
        <v>688399</v>
      </c>
      <c r="L16" s="22">
        <f t="shared" si="4"/>
        <v>5423520.9585203612</v>
      </c>
      <c r="M16" s="22">
        <f t="shared" si="5"/>
        <v>688399</v>
      </c>
      <c r="N16" s="19" t="s">
        <v>92</v>
      </c>
      <c r="O16" s="4">
        <f t="shared" si="6"/>
        <v>583.42269111034238</v>
      </c>
      <c r="P16" s="13">
        <f>'1990-10'!P16</f>
        <v>337335</v>
      </c>
      <c r="Q16" s="22">
        <f t="shared" si="7"/>
        <v>2657678.8207746758</v>
      </c>
      <c r="R16" s="13">
        <f t="shared" si="8"/>
        <v>337335</v>
      </c>
    </row>
    <row r="17" spans="1:18">
      <c r="A17" s="18" t="s">
        <v>58</v>
      </c>
      <c r="B17" s="4">
        <f>'1990-10'!B17</f>
        <v>64.898649256812377</v>
      </c>
      <c r="C17" s="4">
        <f>'1990-10'!C17</f>
        <v>85.666217018992342</v>
      </c>
      <c r="D17" s="16">
        <f t="shared" si="9"/>
        <v>43265.766171208248</v>
      </c>
      <c r="E17" s="4">
        <f>'Interval Circuities'!E17</f>
        <v>1.3127863353875946</v>
      </c>
      <c r="F17" s="4">
        <f t="shared" si="0"/>
        <v>49.435804980138926</v>
      </c>
      <c r="G17" s="4">
        <f t="shared" si="1"/>
        <v>32.957203320092617</v>
      </c>
      <c r="H17" s="4">
        <f t="shared" si="2"/>
        <v>3412.3264712386913</v>
      </c>
      <c r="I17" s="4">
        <f t="shared" si="3"/>
        <v>770.84181744138687</v>
      </c>
      <c r="J17" s="9">
        <f>'1990-10'!J17</f>
        <v>1718.9</v>
      </c>
      <c r="K17" s="9">
        <f>'1990-10'!K17</f>
        <v>1325000</v>
      </c>
      <c r="L17" s="22">
        <f t="shared" si="4"/>
        <v>2630363.9387929873</v>
      </c>
      <c r="M17" s="22">
        <f t="shared" si="5"/>
        <v>1325000</v>
      </c>
      <c r="N17" s="19" t="s">
        <v>92</v>
      </c>
      <c r="O17" s="4">
        <f t="shared" si="6"/>
        <v>406.65483739600904</v>
      </c>
      <c r="P17" s="13">
        <f>'1990-10'!P17</f>
        <v>698999</v>
      </c>
      <c r="Q17" s="22">
        <f t="shared" si="7"/>
        <v>1387639.0663036674</v>
      </c>
      <c r="R17" s="13">
        <f t="shared" si="8"/>
        <v>698999</v>
      </c>
    </row>
    <row r="18" spans="1:18">
      <c r="A18" s="18" t="s">
        <v>38</v>
      </c>
      <c r="B18" s="4">
        <f>'1990-10'!B18</f>
        <v>70.550117521710789</v>
      </c>
      <c r="C18" s="4">
        <f>'1990-10'!C18</f>
        <v>84.660141026052941</v>
      </c>
      <c r="D18" s="16">
        <f t="shared" si="9"/>
        <v>47033.411681140518</v>
      </c>
      <c r="E18" s="4">
        <f>'Interval Circuities'!E18</f>
        <v>1.2188864904956345</v>
      </c>
      <c r="F18" s="4">
        <f t="shared" si="0"/>
        <v>57.880793717734186</v>
      </c>
      <c r="G18" s="4">
        <f t="shared" si="1"/>
        <v>38.587195811822788</v>
      </c>
      <c r="H18" s="4">
        <f t="shared" si="2"/>
        <v>4677.7424932388958</v>
      </c>
      <c r="I18" s="4">
        <f t="shared" si="3"/>
        <v>1320.2112337974077</v>
      </c>
      <c r="J18" s="9">
        <f>'1990-10'!J18</f>
        <v>624.9</v>
      </c>
      <c r="K18" s="9">
        <f>'1990-10'!K18</f>
        <v>825000</v>
      </c>
      <c r="L18" s="22">
        <f t="shared" si="4"/>
        <v>6175608.1883854847</v>
      </c>
      <c r="M18" s="22">
        <f t="shared" si="5"/>
        <v>825000</v>
      </c>
      <c r="N18" s="19" t="s">
        <v>92</v>
      </c>
      <c r="O18" s="4">
        <f t="shared" si="6"/>
        <v>899.29428708593377</v>
      </c>
      <c r="P18" s="13">
        <f>'1990-10'!P18</f>
        <v>561969</v>
      </c>
      <c r="Q18" s="22">
        <f t="shared" si="7"/>
        <v>4206667.100628851</v>
      </c>
      <c r="R18" s="13">
        <f t="shared" si="8"/>
        <v>561969</v>
      </c>
    </row>
    <row r="19" spans="1:18">
      <c r="A19" s="18" t="s">
        <v>81</v>
      </c>
      <c r="B19" s="4">
        <f>'1990-10'!B19</f>
        <v>61.851770964117151</v>
      </c>
      <c r="C19" s="4">
        <f>'1990-10'!C19</f>
        <v>73.60360744729941</v>
      </c>
      <c r="D19" s="16">
        <f t="shared" si="9"/>
        <v>41234.513976078095</v>
      </c>
      <c r="E19" s="4">
        <f>'Interval Circuities'!E19</f>
        <v>1.4538117652110458</v>
      </c>
      <c r="F19" s="4">
        <f t="shared" si="0"/>
        <v>42.544552495857879</v>
      </c>
      <c r="G19" s="4">
        <f t="shared" si="1"/>
        <v>28.363034997238586</v>
      </c>
      <c r="H19" s="4">
        <f t="shared" si="2"/>
        <v>2527.2911372601484</v>
      </c>
      <c r="I19" s="4">
        <f t="shared" si="3"/>
        <v>2328.0373051224947</v>
      </c>
      <c r="J19" s="9">
        <f>'1990-10'!J19</f>
        <v>359.2</v>
      </c>
      <c r="K19" s="9">
        <f>'1990-10'!K19</f>
        <v>836231</v>
      </c>
      <c r="L19" s="22">
        <f t="shared" si="4"/>
        <v>5883628.0484470809</v>
      </c>
      <c r="M19" s="22">
        <f t="shared" si="5"/>
        <v>836231</v>
      </c>
      <c r="N19" s="19" t="s">
        <v>92</v>
      </c>
      <c r="O19" s="4">
        <f t="shared" si="6"/>
        <v>1218.0345211581291</v>
      </c>
      <c r="P19" s="13">
        <f>'1990-10'!P19</f>
        <v>437518</v>
      </c>
      <c r="Q19" s="22">
        <f t="shared" si="7"/>
        <v>3078327.8501998484</v>
      </c>
      <c r="R19" s="13">
        <f t="shared" si="8"/>
        <v>437518</v>
      </c>
    </row>
    <row r="20" spans="1:18">
      <c r="A20" s="18" t="s">
        <v>39</v>
      </c>
      <c r="B20" s="4">
        <f>'1990-10'!B20</f>
        <v>61.865929871835121</v>
      </c>
      <c r="C20" s="4">
        <f>'1990-10'!C20</f>
        <v>73.620456547483784</v>
      </c>
      <c r="D20" s="16">
        <f t="shared" si="9"/>
        <v>41243.953247890073</v>
      </c>
      <c r="E20" s="4">
        <f>'Interval Circuities'!E20</f>
        <v>1.2856652497453485</v>
      </c>
      <c r="F20" s="4">
        <f t="shared" si="0"/>
        <v>48.119780700371962</v>
      </c>
      <c r="G20" s="4">
        <f t="shared" si="1"/>
        <v>32.079853800247975</v>
      </c>
      <c r="H20" s="4">
        <f t="shared" si="2"/>
        <v>3233.0664692301666</v>
      </c>
      <c r="I20" s="4">
        <f t="shared" si="3"/>
        <v>951.03794313448986</v>
      </c>
      <c r="J20" s="9">
        <f>'1990-10'!J20</f>
        <v>3049.3</v>
      </c>
      <c r="K20" s="9">
        <f>'1990-10'!K20</f>
        <v>2900000</v>
      </c>
      <c r="L20" s="22">
        <f t="shared" si="4"/>
        <v>3074768.8849137453</v>
      </c>
      <c r="M20" s="22">
        <f t="shared" si="5"/>
        <v>2900000</v>
      </c>
      <c r="N20" s="19" t="s">
        <v>92</v>
      </c>
      <c r="O20" s="4">
        <f t="shared" si="6"/>
        <v>577.11474764700097</v>
      </c>
      <c r="P20" s="13">
        <f>'1990-10'!P20</f>
        <v>1759796</v>
      </c>
      <c r="Q20" s="22">
        <f t="shared" si="7"/>
        <v>1865850.339515748</v>
      </c>
      <c r="R20" s="13">
        <f t="shared" si="8"/>
        <v>1759796</v>
      </c>
    </row>
    <row r="21" spans="1:18">
      <c r="A21" s="18" t="s">
        <v>40</v>
      </c>
      <c r="B21" s="4">
        <f>'1990-10'!B21</f>
        <v>66.181816591922129</v>
      </c>
      <c r="C21" s="4">
        <f>'1990-10'!C21</f>
        <v>78.094543578468105</v>
      </c>
      <c r="D21" s="16">
        <f t="shared" si="9"/>
        <v>44121.211061281414</v>
      </c>
      <c r="E21" s="4">
        <f>'Interval Circuities'!E21</f>
        <v>1.200222268133452</v>
      </c>
      <c r="F21" s="4">
        <f t="shared" si="0"/>
        <v>55.141300365011567</v>
      </c>
      <c r="G21" s="4">
        <f t="shared" si="1"/>
        <v>36.760866910007707</v>
      </c>
      <c r="H21" s="4">
        <f t="shared" si="2"/>
        <v>4245.4268454452895</v>
      </c>
      <c r="I21" s="4">
        <f t="shared" si="3"/>
        <v>778.16205533596838</v>
      </c>
      <c r="J21" s="9">
        <f>'1990-10'!J21</f>
        <v>1214.4000000000001</v>
      </c>
      <c r="K21" s="9">
        <f>'1990-10'!K21</f>
        <v>945000</v>
      </c>
      <c r="L21" s="22">
        <f t="shared" si="4"/>
        <v>3303630.0798302032</v>
      </c>
      <c r="M21" s="22">
        <f t="shared" si="5"/>
        <v>945000</v>
      </c>
      <c r="N21" s="19" t="s">
        <v>92</v>
      </c>
      <c r="O21" s="4">
        <f t="shared" si="6"/>
        <v>514.63356389986825</v>
      </c>
      <c r="P21" s="13">
        <f>'1990-10'!P21</f>
        <v>624971</v>
      </c>
      <c r="Q21" s="22">
        <f t="shared" si="7"/>
        <v>2184839.1477476843</v>
      </c>
      <c r="R21" s="13">
        <f t="shared" si="8"/>
        <v>624971</v>
      </c>
    </row>
    <row r="22" spans="1:18" ht="16">
      <c r="A22" s="18" t="s">
        <v>120</v>
      </c>
      <c r="B22" s="4">
        <f>'1990-10'!B22</f>
        <v>65.10221093956217</v>
      </c>
      <c r="C22" s="4">
        <f>'1990-10'!C22</f>
        <v>72.914476252309626</v>
      </c>
      <c r="D22" s="16">
        <f t="shared" si="9"/>
        <v>43401.473959708113</v>
      </c>
      <c r="E22" s="4">
        <f>'Interval Circuities'!E22</f>
        <v>1.3212182810798512</v>
      </c>
      <c r="F22" s="4">
        <f t="shared" si="0"/>
        <v>49.274379466164497</v>
      </c>
      <c r="G22" s="4">
        <f t="shared" si="1"/>
        <v>32.849586310776331</v>
      </c>
      <c r="H22" s="4">
        <f t="shared" si="2"/>
        <v>3390.0779323142947</v>
      </c>
      <c r="I22" s="4">
        <f t="shared" si="3"/>
        <v>1078.3820073850286</v>
      </c>
      <c r="J22" s="9">
        <f>'1990-10'!J22</f>
        <v>1191.5999999999999</v>
      </c>
      <c r="K22" s="9">
        <f>'1990-10'!K22</f>
        <v>1285000</v>
      </c>
      <c r="L22" s="22">
        <f t="shared" si="4"/>
        <v>3655799.0458407761</v>
      </c>
      <c r="M22" s="22">
        <f t="shared" si="5"/>
        <v>1285000</v>
      </c>
      <c r="N22" s="19" t="s">
        <v>92</v>
      </c>
      <c r="O22" s="4">
        <f t="shared" si="6"/>
        <v>643.63293051359517</v>
      </c>
      <c r="P22" s="13">
        <f>'1990-10'!P22</f>
        <v>766953</v>
      </c>
      <c r="Q22" s="22">
        <f t="shared" si="7"/>
        <v>2181965.794244919</v>
      </c>
      <c r="R22" s="13">
        <f t="shared" si="8"/>
        <v>766953</v>
      </c>
    </row>
    <row r="23" spans="1:18">
      <c r="A23" s="18" t="s">
        <v>41</v>
      </c>
      <c r="B23" s="4">
        <f>'1990-10'!B23</f>
        <v>55.540281389808555</v>
      </c>
      <c r="C23" s="4">
        <f>'1990-10'!C23</f>
        <v>57.206489831502807</v>
      </c>
      <c r="D23" s="16">
        <f t="shared" si="9"/>
        <v>37026.854259872365</v>
      </c>
      <c r="E23" s="4">
        <f>'Interval Circuities'!E23</f>
        <v>1.3155753641323731</v>
      </c>
      <c r="F23" s="4">
        <f t="shared" si="0"/>
        <v>42.217483622793118</v>
      </c>
      <c r="G23" s="4">
        <f t="shared" si="1"/>
        <v>28.144989081862079</v>
      </c>
      <c r="H23" s="4">
        <f t="shared" si="2"/>
        <v>2488.5824939812182</v>
      </c>
      <c r="I23" s="4">
        <f t="shared" si="3"/>
        <v>547.57015742642022</v>
      </c>
      <c r="J23" s="9">
        <f>'1990-10'!J23</f>
        <v>1314.9</v>
      </c>
      <c r="K23" s="9">
        <f>'1990-10'!K23</f>
        <v>720000</v>
      </c>
      <c r="L23" s="22">
        <f t="shared" si="4"/>
        <v>1362673.5079979291</v>
      </c>
      <c r="M23" s="22">
        <f t="shared" si="5"/>
        <v>720000</v>
      </c>
      <c r="N23" s="19" t="s">
        <v>92</v>
      </c>
      <c r="O23" s="4">
        <f t="shared" si="6"/>
        <v>337.57852308160312</v>
      </c>
      <c r="P23" s="13">
        <f>'1990-10'!P23</f>
        <v>443882</v>
      </c>
      <c r="Q23" s="22">
        <f t="shared" si="7"/>
        <v>840092.00288491219</v>
      </c>
      <c r="R23" s="13">
        <f t="shared" si="8"/>
        <v>443882</v>
      </c>
    </row>
    <row r="24" spans="1:18">
      <c r="A24" s="18" t="s">
        <v>75</v>
      </c>
      <c r="B24" s="4">
        <f>'1990-10'!B24</f>
        <v>63.219918440805898</v>
      </c>
      <c r="C24" s="4">
        <f>'1990-10'!C24</f>
        <v>65.116515994030081</v>
      </c>
      <c r="D24" s="16">
        <f t="shared" si="9"/>
        <v>42146.612293870596</v>
      </c>
      <c r="E24" s="4">
        <f>'Interval Circuities'!E24</f>
        <v>1.2688501335417108</v>
      </c>
      <c r="F24" s="4">
        <f t="shared" si="0"/>
        <v>49.824574841113552</v>
      </c>
      <c r="G24" s="4">
        <f t="shared" si="1"/>
        <v>33.216383227409032</v>
      </c>
      <c r="H24" s="4">
        <f t="shared" si="2"/>
        <v>3466.2074996723272</v>
      </c>
      <c r="I24" s="4">
        <f t="shared" si="3"/>
        <v>587.90735391009071</v>
      </c>
      <c r="J24" s="9">
        <f>'1990-10'!J24</f>
        <v>1973.1</v>
      </c>
      <c r="K24" s="9">
        <f>'1990-10'!K24</f>
        <v>1160000</v>
      </c>
      <c r="L24" s="22">
        <f t="shared" si="4"/>
        <v>2037808.8792356695</v>
      </c>
      <c r="M24" s="22">
        <f t="shared" si="5"/>
        <v>1160000</v>
      </c>
      <c r="N24" s="19" t="s">
        <v>92</v>
      </c>
      <c r="O24" s="4">
        <f t="shared" si="6"/>
        <v>390.91227003192949</v>
      </c>
      <c r="P24" s="13">
        <f>'1990-10'!P24</f>
        <v>771309</v>
      </c>
      <c r="Q24" s="22">
        <f t="shared" si="7"/>
        <v>1354983.0420986079</v>
      </c>
      <c r="R24" s="13">
        <f t="shared" si="8"/>
        <v>771309</v>
      </c>
    </row>
    <row r="25" spans="1:18">
      <c r="A25" s="18" t="s">
        <v>63</v>
      </c>
      <c r="B25" s="4">
        <f>'1990-10'!B25</f>
        <v>58.291697709553844</v>
      </c>
      <c r="C25" s="4">
        <f>'1990-10'!C25</f>
        <v>60.040448640840452</v>
      </c>
      <c r="D25" s="16">
        <f t="shared" si="9"/>
        <v>38861.131806369231</v>
      </c>
      <c r="E25" s="4">
        <f>'Interval Circuities'!E25</f>
        <v>1.3314821860068244</v>
      </c>
      <c r="F25" s="4">
        <f t="shared" si="0"/>
        <v>43.779555086931573</v>
      </c>
      <c r="G25" s="4">
        <f t="shared" si="1"/>
        <v>29.186370057954381</v>
      </c>
      <c r="H25" s="4">
        <f t="shared" si="2"/>
        <v>2676.1474718004988</v>
      </c>
      <c r="I25" s="4">
        <f t="shared" si="3"/>
        <v>1175.4827875734677</v>
      </c>
      <c r="J25" s="9">
        <f>'1990-10'!J25</f>
        <v>595.5</v>
      </c>
      <c r="K25" s="9">
        <f>'1990-10'!K25</f>
        <v>700000</v>
      </c>
      <c r="L25" s="22">
        <f t="shared" si="4"/>
        <v>3145765.2901097382</v>
      </c>
      <c r="M25" s="22">
        <f t="shared" si="5"/>
        <v>700000</v>
      </c>
      <c r="N25" s="19" t="s">
        <v>92</v>
      </c>
      <c r="O25" s="4">
        <f t="shared" si="6"/>
        <v>623.22082283795135</v>
      </c>
      <c r="P25" s="13">
        <f>'1990-10'!P25</f>
        <v>371128</v>
      </c>
      <c r="Q25" s="22">
        <f t="shared" si="7"/>
        <v>1667830.82941121</v>
      </c>
      <c r="R25" s="13">
        <f t="shared" si="8"/>
        <v>371128</v>
      </c>
    </row>
    <row r="26" spans="1:18" ht="16">
      <c r="A26" s="18" t="s">
        <v>121</v>
      </c>
      <c r="B26" s="4">
        <f>'1990-10'!B26</f>
        <v>48.116227796764051</v>
      </c>
      <c r="C26" s="4">
        <f>'1990-10'!C26</f>
        <v>49.559714630666974</v>
      </c>
      <c r="D26" s="16">
        <f t="shared" si="9"/>
        <v>32077.4851978427</v>
      </c>
      <c r="E26" s="4">
        <f>'Interval Circuities'!E26</f>
        <v>1.2433543124840745</v>
      </c>
      <c r="F26" s="4">
        <f t="shared" si="0"/>
        <v>38.698725949350298</v>
      </c>
      <c r="G26" s="4">
        <f t="shared" si="1"/>
        <v>25.799150632900197</v>
      </c>
      <c r="H26" s="4">
        <f t="shared" si="2"/>
        <v>2091.0320485451794</v>
      </c>
      <c r="I26" s="4">
        <f t="shared" si="3"/>
        <v>2243.0420521281399</v>
      </c>
      <c r="J26" s="9">
        <f>'1990-10'!J26</f>
        <v>5091.3</v>
      </c>
      <c r="K26" s="9">
        <f>'1990-10'!K26</f>
        <v>11420000</v>
      </c>
      <c r="L26" s="22">
        <f t="shared" si="4"/>
        <v>4690272.8172344873</v>
      </c>
      <c r="M26" s="22">
        <f t="shared" si="5"/>
        <v>4690272.8172344873</v>
      </c>
      <c r="N26" s="19" t="s">
        <v>92</v>
      </c>
      <c r="O26" s="4">
        <f t="shared" si="6"/>
        <v>1186.7479818513934</v>
      </c>
      <c r="P26" s="13">
        <f>'1990-10'!P26</f>
        <v>6042090</v>
      </c>
      <c r="Q26" s="22">
        <f t="shared" si="7"/>
        <v>2481528.0635975767</v>
      </c>
      <c r="R26" s="13">
        <f t="shared" si="8"/>
        <v>2481528.0635975767</v>
      </c>
    </row>
    <row r="27" spans="1:18">
      <c r="A27" s="18" t="s">
        <v>42</v>
      </c>
      <c r="B27" s="4">
        <f>'1990-10'!B27</f>
        <v>62.487212851553508</v>
      </c>
      <c r="C27" s="4">
        <f>'1990-10'!C27</f>
        <v>64.986701365615659</v>
      </c>
      <c r="D27" s="16">
        <f t="shared" si="9"/>
        <v>41658.141901035669</v>
      </c>
      <c r="E27" s="4">
        <f>'Interval Circuities'!E27</f>
        <v>1.3141602486187556</v>
      </c>
      <c r="F27" s="4">
        <f t="shared" si="0"/>
        <v>47.549157659600887</v>
      </c>
      <c r="G27" s="4">
        <f t="shared" si="1"/>
        <v>31.699438439733925</v>
      </c>
      <c r="H27" s="4">
        <f t="shared" si="2"/>
        <v>3156.8431927818992</v>
      </c>
      <c r="I27" s="4">
        <f t="shared" si="3"/>
        <v>1106.8597977589507</v>
      </c>
      <c r="J27" s="9">
        <f>'1990-10'!J27</f>
        <v>731.8</v>
      </c>
      <c r="K27" s="9">
        <f>'1990-10'!K27</f>
        <v>810000</v>
      </c>
      <c r="L27" s="22">
        <f t="shared" si="4"/>
        <v>3494182.817919293</v>
      </c>
      <c r="M27" s="22">
        <f t="shared" si="5"/>
        <v>810000</v>
      </c>
      <c r="N27" s="19" t="s">
        <v>92</v>
      </c>
      <c r="O27" s="4">
        <f t="shared" si="6"/>
        <v>610.65318393003554</v>
      </c>
      <c r="P27" s="13">
        <f>'1990-10'!P27</f>
        <v>446876</v>
      </c>
      <c r="Q27" s="22">
        <f t="shared" si="7"/>
        <v>1927736.3468401257</v>
      </c>
      <c r="R27" s="13">
        <f t="shared" si="8"/>
        <v>446876</v>
      </c>
    </row>
    <row r="28" spans="1:18">
      <c r="A28" s="18" t="s">
        <v>43</v>
      </c>
      <c r="B28" s="4">
        <f>'1990-10'!B28</f>
        <v>65.308032205055966</v>
      </c>
      <c r="C28" s="4">
        <f>'1990-10'!C28</f>
        <v>67.920353493258204</v>
      </c>
      <c r="D28" s="16">
        <f t="shared" si="9"/>
        <v>43538.688136703975</v>
      </c>
      <c r="E28" s="4">
        <f>'Interval Circuities'!E28</f>
        <v>1.2725419334652774</v>
      </c>
      <c r="F28" s="4">
        <f t="shared" si="0"/>
        <v>51.320927419039712</v>
      </c>
      <c r="G28" s="4">
        <f t="shared" si="1"/>
        <v>34.213951612693137</v>
      </c>
      <c r="H28" s="4">
        <f t="shared" si="2"/>
        <v>3677.5310342695775</v>
      </c>
      <c r="I28" s="4">
        <f t="shared" si="3"/>
        <v>973.62164609985291</v>
      </c>
      <c r="J28" s="9">
        <f>'1990-10'!J28</f>
        <v>883.3</v>
      </c>
      <c r="K28" s="9">
        <f>'1990-10'!K28</f>
        <v>860000</v>
      </c>
      <c r="L28" s="22">
        <f t="shared" si="4"/>
        <v>3580523.8191688405</v>
      </c>
      <c r="M28" s="22">
        <f t="shared" si="5"/>
        <v>860000</v>
      </c>
      <c r="N28" s="19" t="s">
        <v>92</v>
      </c>
      <c r="O28" s="4">
        <f t="shared" si="6"/>
        <v>507.45726253820902</v>
      </c>
      <c r="P28" s="13">
        <f>'1990-10'!P28</f>
        <v>448237</v>
      </c>
      <c r="Q28" s="22">
        <f t="shared" si="7"/>
        <v>1866189.8315497483</v>
      </c>
      <c r="R28" s="13">
        <f t="shared" si="8"/>
        <v>448237</v>
      </c>
    </row>
    <row r="29" spans="1:18">
      <c r="A29" s="18" t="s">
        <v>44</v>
      </c>
      <c r="B29" s="4">
        <f>'1990-10'!B29</f>
        <v>64.485521071986952</v>
      </c>
      <c r="C29" s="4">
        <f>'1990-10'!C29</f>
        <v>67.064941914866438</v>
      </c>
      <c r="D29" s="16">
        <f t="shared" si="9"/>
        <v>42990.347381324631</v>
      </c>
      <c r="E29" s="4">
        <f>'Interval Circuities'!E29</f>
        <v>1.1840651584317397</v>
      </c>
      <c r="F29" s="4">
        <f t="shared" si="0"/>
        <v>54.461125397352433</v>
      </c>
      <c r="G29" s="4">
        <f t="shared" si="1"/>
        <v>36.307416931568284</v>
      </c>
      <c r="H29" s="4">
        <f t="shared" si="2"/>
        <v>4141.3370475134789</v>
      </c>
      <c r="I29" s="4">
        <f t="shared" si="3"/>
        <v>927.60180995475116</v>
      </c>
      <c r="J29" s="9">
        <f>'1990-10'!J29</f>
        <v>1326</v>
      </c>
      <c r="K29" s="9">
        <f>'1990-10'!K29</f>
        <v>1230000</v>
      </c>
      <c r="L29" s="22">
        <f t="shared" si="4"/>
        <v>3841511.7409061682</v>
      </c>
      <c r="M29" s="22">
        <f t="shared" si="5"/>
        <v>1230000</v>
      </c>
      <c r="N29" s="19" t="s">
        <v>92</v>
      </c>
      <c r="O29" s="4">
        <f t="shared" si="6"/>
        <v>582.76923076923072</v>
      </c>
      <c r="P29" s="13">
        <f>'1990-10'!P29</f>
        <v>772752</v>
      </c>
      <c r="Q29" s="22">
        <f t="shared" si="7"/>
        <v>2413443.805535547</v>
      </c>
      <c r="R29" s="13">
        <f t="shared" si="8"/>
        <v>772752</v>
      </c>
    </row>
    <row r="30" spans="1:18">
      <c r="A30" s="18" t="s">
        <v>45</v>
      </c>
      <c r="B30" s="4">
        <f>'1990-10'!B30</f>
        <v>63.564185114523426</v>
      </c>
      <c r="C30" s="4">
        <f>'1990-10'!C30</f>
        <v>66.106752519104361</v>
      </c>
      <c r="D30" s="16">
        <f t="shared" si="9"/>
        <v>42376.123409682281</v>
      </c>
      <c r="E30" s="4">
        <f>'Interval Circuities'!E30</f>
        <v>1.2474610396413324</v>
      </c>
      <c r="F30" s="4">
        <f t="shared" si="0"/>
        <v>50.954845958795858</v>
      </c>
      <c r="G30" s="4">
        <f t="shared" si="1"/>
        <v>33.969897305863903</v>
      </c>
      <c r="H30" s="4">
        <f t="shared" si="2"/>
        <v>3625.2531669866257</v>
      </c>
      <c r="I30" s="4">
        <f t="shared" si="3"/>
        <v>730.08608477716029</v>
      </c>
      <c r="J30" s="9">
        <f>'1990-10'!J30</f>
        <v>2753.1</v>
      </c>
      <c r="K30" s="9">
        <f>'1990-10'!K30</f>
        <v>2010000</v>
      </c>
      <c r="L30" s="22">
        <f t="shared" si="4"/>
        <v>2646746.8910112665</v>
      </c>
      <c r="M30" s="22">
        <f t="shared" si="5"/>
        <v>2010000</v>
      </c>
      <c r="N30" s="19" t="s">
        <v>92</v>
      </c>
      <c r="O30" s="4">
        <f t="shared" si="6"/>
        <v>474.96422214957687</v>
      </c>
      <c r="P30" s="13">
        <f>'1990-10'!P30</f>
        <v>1307624</v>
      </c>
      <c r="Q30" s="22">
        <f t="shared" si="7"/>
        <v>1721865.5505530927</v>
      </c>
      <c r="R30" s="13">
        <f t="shared" si="8"/>
        <v>1307624</v>
      </c>
    </row>
    <row r="31" spans="1:18">
      <c r="A31" s="18" t="s">
        <v>46</v>
      </c>
      <c r="B31" s="4">
        <f>'1990-10'!B31</f>
        <v>63.734436519319452</v>
      </c>
      <c r="C31" s="4">
        <f>'1990-10'!C31</f>
        <v>66.283813980092233</v>
      </c>
      <c r="D31" s="16">
        <f t="shared" si="9"/>
        <v>42489.624346212964</v>
      </c>
      <c r="E31" s="4">
        <f>'Interval Circuities'!E31</f>
        <v>1.3115095367813425</v>
      </c>
      <c r="F31" s="4">
        <f t="shared" si="0"/>
        <v>48.596243284462965</v>
      </c>
      <c r="G31" s="4">
        <f t="shared" si="1"/>
        <v>32.397495522975305</v>
      </c>
      <c r="H31" s="4">
        <f t="shared" si="2"/>
        <v>3297.4084743166663</v>
      </c>
      <c r="I31" s="4">
        <f t="shared" si="3"/>
        <v>451.20587765532662</v>
      </c>
      <c r="J31" s="9">
        <f>'1990-10'!J31</f>
        <v>1252.2</v>
      </c>
      <c r="K31" s="9">
        <f>'1990-10'!K31</f>
        <v>565000</v>
      </c>
      <c r="L31" s="22">
        <f t="shared" si="4"/>
        <v>1487810.084642163</v>
      </c>
      <c r="M31" s="22">
        <f t="shared" si="5"/>
        <v>565000</v>
      </c>
      <c r="N31" s="19" t="s">
        <v>92</v>
      </c>
      <c r="O31" s="4">
        <f t="shared" si="6"/>
        <v>395.8768567321514</v>
      </c>
      <c r="P31" s="13">
        <f>'1990-10'!P31</f>
        <v>495717</v>
      </c>
      <c r="Q31" s="22">
        <f t="shared" si="7"/>
        <v>1305367.7021744407</v>
      </c>
      <c r="R31" s="13">
        <f t="shared" si="8"/>
        <v>495717</v>
      </c>
    </row>
    <row r="32" spans="1:18">
      <c r="A32" s="18" t="s">
        <v>47</v>
      </c>
      <c r="B32" s="4">
        <f>'1990-10'!B32</f>
        <v>62.636693012318808</v>
      </c>
      <c r="C32" s="4">
        <f>'1990-10'!C32</f>
        <v>65.142160732811561</v>
      </c>
      <c r="D32" s="16">
        <f t="shared" si="9"/>
        <v>41757.795341545869</v>
      </c>
      <c r="E32" s="4">
        <f>'Interval Circuities'!E32</f>
        <v>1.3054174227361475</v>
      </c>
      <c r="F32" s="4">
        <f t="shared" si="0"/>
        <v>47.982118149635738</v>
      </c>
      <c r="G32" s="4">
        <f t="shared" si="1"/>
        <v>31.988078766423826</v>
      </c>
      <c r="H32" s="4">
        <f t="shared" si="2"/>
        <v>3214.5944175171558</v>
      </c>
      <c r="I32" s="4">
        <f t="shared" si="3"/>
        <v>1501.072194424589</v>
      </c>
      <c r="J32" s="9">
        <f>'1990-10'!J32</f>
        <v>699.5</v>
      </c>
      <c r="K32" s="9">
        <f>'1990-10'!K32</f>
        <v>1050000</v>
      </c>
      <c r="L32" s="22">
        <f t="shared" si="4"/>
        <v>4825338.2964875102</v>
      </c>
      <c r="M32" s="22">
        <f t="shared" si="5"/>
        <v>1050000</v>
      </c>
      <c r="N32" s="19" t="s">
        <v>92</v>
      </c>
      <c r="O32" s="4">
        <f t="shared" si="6"/>
        <v>735.84846318799146</v>
      </c>
      <c r="P32" s="13">
        <f>'1990-10'!P32</f>
        <v>514726</v>
      </c>
      <c r="Q32" s="22">
        <f t="shared" si="7"/>
        <v>2365454.3619026956</v>
      </c>
      <c r="R32" s="13">
        <f t="shared" si="8"/>
        <v>514726</v>
      </c>
    </row>
    <row r="33" spans="1:18">
      <c r="A33" s="18" t="s">
        <v>65</v>
      </c>
      <c r="B33" s="4">
        <f>'1990-10'!B33</f>
        <v>59.42988867805861</v>
      </c>
      <c r="C33" s="4">
        <f>'1990-10'!C33</f>
        <v>62.40138311196155</v>
      </c>
      <c r="D33" s="16">
        <f t="shared" si="9"/>
        <v>39619.925785372405</v>
      </c>
      <c r="E33" s="4">
        <f>'Interval Circuities'!E33</f>
        <v>1.2530601802762187</v>
      </c>
      <c r="F33" s="4">
        <f t="shared" si="0"/>
        <v>47.427800845892463</v>
      </c>
      <c r="G33" s="4">
        <f t="shared" si="1"/>
        <v>31.618533897261642</v>
      </c>
      <c r="H33" s="4">
        <f t="shared" si="2"/>
        <v>3140.7497197088087</v>
      </c>
      <c r="I33" s="4">
        <f t="shared" si="3"/>
        <v>2072.7310590777161</v>
      </c>
      <c r="J33" s="9">
        <f>'1990-10'!J33</f>
        <v>7683.1</v>
      </c>
      <c r="K33" s="9">
        <f>'1990-10'!K33</f>
        <v>15925000</v>
      </c>
      <c r="L33" s="22">
        <f t="shared" si="4"/>
        <v>6509929.492830079</v>
      </c>
      <c r="M33" s="22">
        <f t="shared" si="5"/>
        <v>6509929.492830079</v>
      </c>
      <c r="N33" s="19" t="s">
        <v>92</v>
      </c>
      <c r="O33" s="4">
        <f t="shared" si="6"/>
        <v>1112.8936236675299</v>
      </c>
      <c r="P33" s="13">
        <f>'1990-10'!P33</f>
        <v>8550473</v>
      </c>
      <c r="Q33" s="22">
        <f t="shared" si="7"/>
        <v>3495320.3365995153</v>
      </c>
      <c r="R33" s="13">
        <f t="shared" si="8"/>
        <v>3495320.3365995153</v>
      </c>
    </row>
    <row r="34" spans="1:18">
      <c r="A34" s="18" t="s">
        <v>66</v>
      </c>
      <c r="B34" s="4">
        <f>'1990-10'!B34</f>
        <v>69.714425398287744</v>
      </c>
      <c r="C34" s="4">
        <f>'1990-10'!C34</f>
        <v>72.503002414219253</v>
      </c>
      <c r="D34" s="16">
        <f t="shared" si="9"/>
        <v>46476.283598858492</v>
      </c>
      <c r="E34" s="4">
        <f>'Interval Circuities'!E34</f>
        <v>1.2672988581834221</v>
      </c>
      <c r="F34" s="4">
        <f t="shared" si="0"/>
        <v>55.010248725559606</v>
      </c>
      <c r="G34" s="4">
        <f t="shared" si="1"/>
        <v>36.673499150373068</v>
      </c>
      <c r="H34" s="4">
        <f t="shared" si="2"/>
        <v>4225.2710277300303</v>
      </c>
      <c r="I34" s="4">
        <f t="shared" si="3"/>
        <v>411.8665313675163</v>
      </c>
      <c r="J34" s="9">
        <f>'1990-10'!J34</f>
        <v>1675.3</v>
      </c>
      <c r="K34" s="9">
        <f>'1990-10'!K34</f>
        <v>690000</v>
      </c>
      <c r="L34" s="22">
        <f t="shared" si="4"/>
        <v>1740247.7222788283</v>
      </c>
      <c r="M34" s="22">
        <f t="shared" si="5"/>
        <v>690000</v>
      </c>
      <c r="N34" s="19" t="s">
        <v>92</v>
      </c>
      <c r="O34" s="4">
        <f t="shared" si="6"/>
        <v>268.68143019160749</v>
      </c>
      <c r="P34" s="13">
        <f>'1990-10'!P34</f>
        <v>450122</v>
      </c>
      <c r="Q34" s="22">
        <f t="shared" si="7"/>
        <v>1135251.8626776678</v>
      </c>
      <c r="R34" s="13">
        <f t="shared" si="8"/>
        <v>450122</v>
      </c>
    </row>
    <row r="35" spans="1:18">
      <c r="A35" s="18" t="s">
        <v>48</v>
      </c>
      <c r="B35" s="4">
        <f>'1990-10'!B35</f>
        <v>58.78311324728174</v>
      </c>
      <c r="C35" s="4">
        <f>'1990-10'!C35</f>
        <v>61.722268909645827</v>
      </c>
      <c r="D35" s="16">
        <f t="shared" si="9"/>
        <v>39188.742164854491</v>
      </c>
      <c r="E35" s="4">
        <f>'Interval Circuities'!E35</f>
        <v>1.3255911469497201</v>
      </c>
      <c r="F35" s="4">
        <f t="shared" ref="F35:F53" si="10">B35/E35</f>
        <v>44.344829386154153</v>
      </c>
      <c r="G35" s="4">
        <f t="shared" ref="G35:G53" si="11">F35*$A$1</f>
        <v>29.563219590769435</v>
      </c>
      <c r="H35" s="4">
        <f t="shared" ref="H35:H53" si="12">PI()*G35^2</f>
        <v>2745.7015647557341</v>
      </c>
      <c r="I35" s="4">
        <f t="shared" ref="I35:I53" si="13">K35/J35</f>
        <v>841.40495059191858</v>
      </c>
      <c r="J35" s="9">
        <f>'1990-10'!J35</f>
        <v>1022.1</v>
      </c>
      <c r="K35" s="9">
        <f>'1990-10'!K35</f>
        <v>860000</v>
      </c>
      <c r="L35" s="22">
        <f t="shared" ref="L35:L53" si="14">H35*I35</f>
        <v>2310246.8894334519</v>
      </c>
      <c r="M35" s="22">
        <f t="shared" ref="M35:M53" si="15">MIN(K35,L35)</f>
        <v>860000</v>
      </c>
      <c r="N35" s="19" t="s">
        <v>92</v>
      </c>
      <c r="O35" s="4">
        <f t="shared" ref="O35:O53" si="16">P35/J35</f>
        <v>545.39477546228352</v>
      </c>
      <c r="P35" s="13">
        <f>'1990-10'!P35</f>
        <v>557448</v>
      </c>
      <c r="Q35" s="22">
        <f t="shared" ref="Q35:Q53" si="17">H35*O35</f>
        <v>1497491.2883963941</v>
      </c>
      <c r="R35" s="13">
        <f t="shared" ref="R35:R53" si="18">MIN(Q35,P35)</f>
        <v>557448</v>
      </c>
    </row>
    <row r="36" spans="1:18">
      <c r="A36" s="18" t="s">
        <v>67</v>
      </c>
      <c r="B36" s="4">
        <f>'1990-10'!B36</f>
        <v>63.176257053555211</v>
      </c>
      <c r="C36" s="4">
        <f>'1990-10'!C36</f>
        <v>66.966832476768531</v>
      </c>
      <c r="D36" s="16">
        <f t="shared" si="9"/>
        <v>42117.504702370141</v>
      </c>
      <c r="E36" s="4">
        <f>'Interval Circuities'!E36</f>
        <v>1.1865529546953812</v>
      </c>
      <c r="F36" s="4">
        <f t="shared" si="10"/>
        <v>53.243520909502251</v>
      </c>
      <c r="G36" s="4">
        <f t="shared" si="11"/>
        <v>35.49568060633483</v>
      </c>
      <c r="H36" s="4">
        <f t="shared" si="12"/>
        <v>3958.2287462458798</v>
      </c>
      <c r="I36" s="4">
        <f t="shared" si="13"/>
        <v>1518.9201737803867</v>
      </c>
      <c r="J36" s="9">
        <f>'1990-10'!J36</f>
        <v>3015.3</v>
      </c>
      <c r="K36" s="9">
        <f>'1990-10'!K36</f>
        <v>4580000</v>
      </c>
      <c r="L36" s="22">
        <f t="shared" si="14"/>
        <v>6012233.4951103143</v>
      </c>
      <c r="M36" s="22">
        <f t="shared" si="15"/>
        <v>4580000</v>
      </c>
      <c r="N36" s="19" t="s">
        <v>92</v>
      </c>
      <c r="O36" s="4">
        <f t="shared" si="16"/>
        <v>926.91175007461936</v>
      </c>
      <c r="P36" s="13">
        <f>'1990-10'!P36</f>
        <v>2794917</v>
      </c>
      <c r="Q36" s="22">
        <f t="shared" si="17"/>
        <v>3668928.7343784347</v>
      </c>
      <c r="R36" s="13">
        <f t="shared" si="18"/>
        <v>2794917</v>
      </c>
    </row>
    <row r="37" spans="1:18">
      <c r="A37" s="18" t="s">
        <v>49</v>
      </c>
      <c r="B37" s="4">
        <f>'1990-10'!B37</f>
        <v>62.02920484038443</v>
      </c>
      <c r="C37" s="4">
        <f>'1990-10'!C37</f>
        <v>65.130665082403652</v>
      </c>
      <c r="D37" s="16">
        <f t="shared" si="9"/>
        <v>41352.803226922952</v>
      </c>
      <c r="E37" s="4">
        <f>'Interval Circuities'!E37</f>
        <v>1.2808248740156463</v>
      </c>
      <c r="F37" s="4">
        <f t="shared" si="10"/>
        <v>48.429106975343373</v>
      </c>
      <c r="G37" s="4">
        <f t="shared" si="11"/>
        <v>32.28607131689558</v>
      </c>
      <c r="H37" s="4">
        <f t="shared" si="12"/>
        <v>3274.7660262044014</v>
      </c>
      <c r="I37" s="4">
        <f t="shared" si="13"/>
        <v>987.28769407106381</v>
      </c>
      <c r="J37" s="9">
        <f>'1990-10'!J37</f>
        <v>1919.4</v>
      </c>
      <c r="K37" s="9">
        <f>'1990-10'!K37</f>
        <v>1895000</v>
      </c>
      <c r="L37" s="22">
        <f t="shared" si="14"/>
        <v>3233136.1986336042</v>
      </c>
      <c r="M37" s="22">
        <f t="shared" si="15"/>
        <v>1895000</v>
      </c>
      <c r="N37" s="19" t="s">
        <v>92</v>
      </c>
      <c r="O37" s="4">
        <f t="shared" si="16"/>
        <v>519.17005314160667</v>
      </c>
      <c r="P37" s="13">
        <f>'1990-10'!P37</f>
        <v>996495</v>
      </c>
      <c r="Q37" s="22">
        <f t="shared" si="17"/>
        <v>1700160.4518508671</v>
      </c>
      <c r="R37" s="13">
        <f t="shared" si="18"/>
        <v>996495</v>
      </c>
    </row>
    <row r="38" spans="1:18">
      <c r="A38" s="18" t="s">
        <v>50</v>
      </c>
      <c r="B38" s="4">
        <f>'1990-10'!B38</f>
        <v>65.42916793409438</v>
      </c>
      <c r="C38" s="4">
        <f>'1990-10'!C38</f>
        <v>68.700626330799111</v>
      </c>
      <c r="D38" s="16">
        <f t="shared" si="9"/>
        <v>43619.445289396252</v>
      </c>
      <c r="E38" s="4">
        <f>'Interval Circuities'!E38</f>
        <v>1.2770429807896806</v>
      </c>
      <c r="F38" s="4">
        <f t="shared" si="10"/>
        <v>51.234898839219312</v>
      </c>
      <c r="G38" s="4">
        <f t="shared" si="11"/>
        <v>34.156599226146206</v>
      </c>
      <c r="H38" s="4">
        <f t="shared" si="12"/>
        <v>3665.2121763567839</v>
      </c>
      <c r="I38" s="4">
        <f t="shared" si="13"/>
        <v>883.28701865819767</v>
      </c>
      <c r="J38" s="9">
        <f>'1990-10'!J38</f>
        <v>2015.2</v>
      </c>
      <c r="K38" s="9">
        <f>'1990-10'!K38</f>
        <v>1780000</v>
      </c>
      <c r="L38" s="22">
        <f t="shared" si="14"/>
        <v>3237434.336003908</v>
      </c>
      <c r="M38" s="22">
        <f t="shared" si="15"/>
        <v>1780000</v>
      </c>
      <c r="N38" s="19" t="s">
        <v>92</v>
      </c>
      <c r="O38" s="4">
        <f t="shared" si="16"/>
        <v>474.4710202461294</v>
      </c>
      <c r="P38" s="13">
        <f>'1990-10'!P38</f>
        <v>956154</v>
      </c>
      <c r="Q38" s="22">
        <f t="shared" si="17"/>
        <v>1739036.9607345397</v>
      </c>
      <c r="R38" s="13">
        <f t="shared" si="18"/>
        <v>956154</v>
      </c>
    </row>
    <row r="39" spans="1:18">
      <c r="A39" s="18" t="s">
        <v>51</v>
      </c>
      <c r="B39" s="4">
        <f>'1990-10'!B39</f>
        <v>65.140770915733583</v>
      </c>
      <c r="C39" s="4">
        <f>'1990-10'!C39</f>
        <v>68.397809461520268</v>
      </c>
      <c r="D39" s="16">
        <f t="shared" si="9"/>
        <v>43427.180610489057</v>
      </c>
      <c r="E39" s="4">
        <f>'Interval Circuities'!E39</f>
        <v>1.4103524391976028</v>
      </c>
      <c r="F39" s="4">
        <f t="shared" si="10"/>
        <v>46.187583404893012</v>
      </c>
      <c r="G39" s="4">
        <f t="shared" si="11"/>
        <v>30.791722269928673</v>
      </c>
      <c r="H39" s="4">
        <f t="shared" si="12"/>
        <v>2978.6387463975134</v>
      </c>
      <c r="I39" s="4">
        <f t="shared" si="13"/>
        <v>1184.1974325803562</v>
      </c>
      <c r="J39" s="9">
        <f>'1990-10'!J39</f>
        <v>1004.9</v>
      </c>
      <c r="K39" s="9">
        <f>'1990-10'!K39</f>
        <v>1190000</v>
      </c>
      <c r="L39" s="22">
        <f t="shared" si="14"/>
        <v>3527296.3560683061</v>
      </c>
      <c r="M39" s="22">
        <f t="shared" si="15"/>
        <v>1190000</v>
      </c>
      <c r="N39" s="19" t="s">
        <v>92</v>
      </c>
      <c r="O39" s="4">
        <f t="shared" si="16"/>
        <v>720.99910438849633</v>
      </c>
      <c r="P39" s="13">
        <f>'1990-10'!P39</f>
        <v>724532</v>
      </c>
      <c r="Q39" s="22">
        <f t="shared" si="17"/>
        <v>2147595.8684494807</v>
      </c>
      <c r="R39" s="13">
        <f t="shared" si="18"/>
        <v>724532</v>
      </c>
    </row>
    <row r="40" spans="1:18">
      <c r="A40" s="18" t="s">
        <v>52</v>
      </c>
      <c r="B40" s="4">
        <f>'1990-10'!B40</f>
        <v>70.338872065042395</v>
      </c>
      <c r="C40" s="4">
        <f>'1990-10'!C40</f>
        <v>75.262593109595372</v>
      </c>
      <c r="D40" s="16">
        <f t="shared" si="9"/>
        <v>46892.581376694929</v>
      </c>
      <c r="E40" s="4">
        <f>'Interval Circuities'!E40</f>
        <v>1.2344075390802982</v>
      </c>
      <c r="F40" s="4">
        <f t="shared" si="10"/>
        <v>56.981887940711005</v>
      </c>
      <c r="G40" s="4">
        <f t="shared" si="11"/>
        <v>37.987925293807336</v>
      </c>
      <c r="H40" s="4">
        <f t="shared" si="12"/>
        <v>4533.5772803947975</v>
      </c>
      <c r="I40" s="4">
        <f t="shared" si="13"/>
        <v>1415.4601861427093</v>
      </c>
      <c r="J40" s="9">
        <f>'1990-10'!J40</f>
        <v>773.6</v>
      </c>
      <c r="K40" s="9">
        <f>'1990-10'!K40</f>
        <v>1095000</v>
      </c>
      <c r="L40" s="22">
        <f t="shared" si="14"/>
        <v>6417098.1411999781</v>
      </c>
      <c r="M40" s="22">
        <f t="shared" si="15"/>
        <v>1095000</v>
      </c>
      <c r="N40" s="19" t="s">
        <v>92</v>
      </c>
      <c r="O40" s="4">
        <f t="shared" si="16"/>
        <v>704.06928645294727</v>
      </c>
      <c r="P40" s="13">
        <f>'1990-10'!P40</f>
        <v>544668</v>
      </c>
      <c r="Q40" s="22">
        <f t="shared" si="17"/>
        <v>3191952.5208868585</v>
      </c>
      <c r="R40" s="13">
        <f t="shared" si="18"/>
        <v>544668</v>
      </c>
    </row>
    <row r="41" spans="1:18">
      <c r="A41" s="18" t="s">
        <v>53</v>
      </c>
      <c r="B41" s="4">
        <f>'1990-10'!B41</f>
        <v>68.778714095226661</v>
      </c>
      <c r="C41" s="4">
        <f>'1990-10'!C41</f>
        <v>74.281011222844796</v>
      </c>
      <c r="D41" s="16">
        <f t="shared" si="9"/>
        <v>45852.476063484435</v>
      </c>
      <c r="E41" s="4">
        <f>'Interval Circuities'!E41</f>
        <v>1.2184570449621424</v>
      </c>
      <c r="F41" s="4">
        <f t="shared" si="10"/>
        <v>56.447385141397106</v>
      </c>
      <c r="G41" s="4">
        <f t="shared" si="11"/>
        <v>37.631590094264737</v>
      </c>
      <c r="H41" s="4">
        <f t="shared" si="12"/>
        <v>4448.9242542881411</v>
      </c>
      <c r="I41" s="4">
        <f t="shared" si="13"/>
        <v>1097.213078779899</v>
      </c>
      <c r="J41" s="9">
        <f>'1990-10'!J41</f>
        <v>455.7</v>
      </c>
      <c r="K41" s="9">
        <f>'1990-10'!K41</f>
        <v>500000</v>
      </c>
      <c r="L41" s="22">
        <f t="shared" si="14"/>
        <v>4881417.8783060573</v>
      </c>
      <c r="M41" s="22">
        <f t="shared" si="15"/>
        <v>500000</v>
      </c>
      <c r="N41" s="19" t="s">
        <v>92</v>
      </c>
      <c r="O41" s="4">
        <f t="shared" si="16"/>
        <v>877.11432960280888</v>
      </c>
      <c r="P41" s="13">
        <f>'1990-10'!P41</f>
        <v>399701</v>
      </c>
      <c r="Q41" s="22">
        <f t="shared" si="17"/>
        <v>3902215.2147536194</v>
      </c>
      <c r="R41" s="13">
        <f t="shared" si="18"/>
        <v>399701</v>
      </c>
    </row>
    <row r="42" spans="1:18">
      <c r="A42" s="18" t="s">
        <v>82</v>
      </c>
      <c r="B42" s="4">
        <f>'1990-10'!B42</f>
        <v>70.514936537683639</v>
      </c>
      <c r="C42" s="4">
        <f>'1990-10'!C42</f>
        <v>78.27157955682884</v>
      </c>
      <c r="D42" s="16">
        <f t="shared" si="9"/>
        <v>47009.957691789088</v>
      </c>
      <c r="E42" s="4">
        <f>'Interval Circuities'!E42</f>
        <v>1.2155184607907008</v>
      </c>
      <c r="F42" s="4">
        <f t="shared" si="10"/>
        <v>58.012230017315673</v>
      </c>
      <c r="G42" s="4">
        <f t="shared" si="11"/>
        <v>38.67482001154378</v>
      </c>
      <c r="H42" s="4">
        <f t="shared" si="12"/>
        <v>4699.0111455780316</v>
      </c>
      <c r="I42" s="4">
        <f t="shared" si="13"/>
        <v>1079.1366906474821</v>
      </c>
      <c r="J42" s="9">
        <f>'1990-10'!J42</f>
        <v>569.9</v>
      </c>
      <c r="K42" s="9">
        <f>'1990-10'!K42</f>
        <v>615000</v>
      </c>
      <c r="L42" s="22">
        <f t="shared" si="14"/>
        <v>5070875.3369547101</v>
      </c>
      <c r="M42" s="22">
        <f t="shared" si="15"/>
        <v>615000</v>
      </c>
      <c r="N42" s="19" t="s">
        <v>92</v>
      </c>
      <c r="O42" s="4">
        <f t="shared" si="16"/>
        <v>844.82716266011585</v>
      </c>
      <c r="P42" s="13">
        <f>'1990-10'!P42</f>
        <v>481467</v>
      </c>
      <c r="Q42" s="22">
        <f t="shared" si="17"/>
        <v>3969852.253426949</v>
      </c>
      <c r="R42" s="13">
        <f t="shared" si="18"/>
        <v>481467</v>
      </c>
    </row>
    <row r="43" spans="1:18">
      <c r="A43" s="18" t="s">
        <v>54</v>
      </c>
      <c r="B43" s="4">
        <f>'1990-10'!B43</f>
        <v>61.557786724693997</v>
      </c>
      <c r="C43" s="4">
        <f>'1990-10'!C43</f>
        <v>68.329143264410348</v>
      </c>
      <c r="D43" s="16">
        <f t="shared" si="9"/>
        <v>41038.524483129331</v>
      </c>
      <c r="E43" s="4">
        <f>'Interval Circuities'!E43</f>
        <v>1.4350462564567303</v>
      </c>
      <c r="F43" s="4">
        <f t="shared" si="10"/>
        <v>42.89602962115395</v>
      </c>
      <c r="G43" s="4">
        <f t="shared" si="11"/>
        <v>28.597353080769299</v>
      </c>
      <c r="H43" s="4">
        <f t="shared" si="12"/>
        <v>2569.2214999379134</v>
      </c>
      <c r="I43" s="4">
        <f t="shared" si="13"/>
        <v>1272.1174973979414</v>
      </c>
      <c r="J43" s="9">
        <f>'1990-10'!J43</f>
        <v>864.7</v>
      </c>
      <c r="K43" s="9">
        <f>'1990-10'!K43</f>
        <v>1100000</v>
      </c>
      <c r="L43" s="22">
        <f t="shared" si="14"/>
        <v>3268351.6247620038</v>
      </c>
      <c r="M43" s="22">
        <f t="shared" si="15"/>
        <v>1100000</v>
      </c>
      <c r="N43" s="19" t="s">
        <v>92</v>
      </c>
      <c r="O43" s="4">
        <f t="shared" si="16"/>
        <v>793.27512432057358</v>
      </c>
      <c r="P43" s="13">
        <f>'1990-10'!P43</f>
        <v>685945</v>
      </c>
      <c r="Q43" s="22">
        <f t="shared" si="17"/>
        <v>2038099.5047703388</v>
      </c>
      <c r="R43" s="13">
        <f t="shared" si="18"/>
        <v>685945</v>
      </c>
    </row>
    <row r="44" spans="1:18">
      <c r="A44" s="18" t="s">
        <v>55</v>
      </c>
      <c r="B44" s="4">
        <f>'1990-10'!B44</f>
        <v>65.143959367039756</v>
      </c>
      <c r="C44" s="4">
        <f>'1990-10'!C44</f>
        <v>73.612674084754914</v>
      </c>
      <c r="D44" s="16">
        <f t="shared" si="9"/>
        <v>43429.306244693165</v>
      </c>
      <c r="E44" s="4">
        <f>'Interval Circuities'!E44</f>
        <v>1.35647149571574</v>
      </c>
      <c r="F44" s="4">
        <f t="shared" si="10"/>
        <v>48.024569312948707</v>
      </c>
      <c r="G44" s="4">
        <f t="shared" si="11"/>
        <v>32.016379541965804</v>
      </c>
      <c r="H44" s="4">
        <f t="shared" si="12"/>
        <v>3220.2850224493127</v>
      </c>
      <c r="I44" s="4">
        <f t="shared" si="13"/>
        <v>1215.620726333384</v>
      </c>
      <c r="J44" s="9">
        <f>'1990-10'!J44</f>
        <v>658.1</v>
      </c>
      <c r="K44" s="9">
        <f>'1990-10'!K44</f>
        <v>800000</v>
      </c>
      <c r="L44" s="22">
        <f t="shared" si="14"/>
        <v>3914645.2179903514</v>
      </c>
      <c r="M44" s="22">
        <f t="shared" si="15"/>
        <v>800000</v>
      </c>
      <c r="N44" s="19" t="s">
        <v>92</v>
      </c>
      <c r="O44" s="4">
        <f t="shared" si="16"/>
        <v>728.36650964898945</v>
      </c>
      <c r="P44" s="13">
        <f>'1990-10'!P44</f>
        <v>479338</v>
      </c>
      <c r="Q44" s="22">
        <f t="shared" si="17"/>
        <v>2345547.7618763237</v>
      </c>
      <c r="R44" s="13">
        <f t="shared" si="18"/>
        <v>479338</v>
      </c>
    </row>
    <row r="45" spans="1:18">
      <c r="A45" s="18" t="s">
        <v>68</v>
      </c>
      <c r="B45" s="4">
        <f>'1990-10'!B45</f>
        <v>68.131157212250471</v>
      </c>
      <c r="C45" s="4">
        <f>'1990-10'!C45</f>
        <v>77.66951922196553</v>
      </c>
      <c r="D45" s="16">
        <f t="shared" si="9"/>
        <v>45420.771474833644</v>
      </c>
      <c r="E45" s="4">
        <f>'Interval Circuities'!E45</f>
        <v>1.3474505651680562</v>
      </c>
      <c r="F45" s="4">
        <f t="shared" si="10"/>
        <v>50.56301060199047</v>
      </c>
      <c r="G45" s="4">
        <f t="shared" si="11"/>
        <v>33.708673734660309</v>
      </c>
      <c r="H45" s="4">
        <f t="shared" si="12"/>
        <v>3569.7122026982784</v>
      </c>
      <c r="I45" s="4">
        <f t="shared" si="13"/>
        <v>1031.2913177611283</v>
      </c>
      <c r="J45" s="9">
        <f>'1990-10'!J45</f>
        <v>1134.5</v>
      </c>
      <c r="K45" s="9">
        <f>'1990-10'!K45</f>
        <v>1170000</v>
      </c>
      <c r="L45" s="22">
        <f t="shared" si="14"/>
        <v>3681413.2015486876</v>
      </c>
      <c r="M45" s="22">
        <f t="shared" si="15"/>
        <v>1170000</v>
      </c>
      <c r="N45" s="19" t="s">
        <v>92</v>
      </c>
      <c r="O45" s="4">
        <f t="shared" si="16"/>
        <v>501.67386513882769</v>
      </c>
      <c r="P45" s="13">
        <f>'1990-10'!P45</f>
        <v>569149</v>
      </c>
      <c r="Q45" s="22">
        <f t="shared" si="17"/>
        <v>1790831.3181608836</v>
      </c>
      <c r="R45" s="13">
        <f t="shared" si="18"/>
        <v>569149</v>
      </c>
    </row>
    <row r="46" spans="1:18">
      <c r="A46" s="18" t="s">
        <v>69</v>
      </c>
      <c r="B46" s="4">
        <f>'1990-10'!B46</f>
        <v>59.330043396898148</v>
      </c>
      <c r="C46" s="4">
        <f>'1990-10'!C46</f>
        <v>68.229549906432865</v>
      </c>
      <c r="D46" s="16">
        <f t="shared" si="9"/>
        <v>39553.362264598763</v>
      </c>
      <c r="E46" s="4">
        <f>'Interval Circuities'!E46</f>
        <v>1.4089076970134489</v>
      </c>
      <c r="F46" s="4">
        <f t="shared" si="10"/>
        <v>42.110667379178786</v>
      </c>
      <c r="G46" s="4">
        <f t="shared" si="11"/>
        <v>28.073778252785857</v>
      </c>
      <c r="H46" s="4">
        <f t="shared" si="12"/>
        <v>2476.0054889766297</v>
      </c>
      <c r="I46" s="4">
        <f t="shared" si="13"/>
        <v>1283.9160839160838</v>
      </c>
      <c r="J46" s="9">
        <f>'1990-10'!J46</f>
        <v>1787.5</v>
      </c>
      <c r="K46" s="9">
        <f>'1990-10'!K46</f>
        <v>2295000</v>
      </c>
      <c r="L46" s="22">
        <f t="shared" si="14"/>
        <v>3178983.2711616028</v>
      </c>
      <c r="M46" s="22">
        <f t="shared" si="15"/>
        <v>2295000</v>
      </c>
      <c r="N46" s="19" t="s">
        <v>92</v>
      </c>
      <c r="O46" s="4">
        <f t="shared" si="16"/>
        <v>688.36139860139861</v>
      </c>
      <c r="P46" s="13">
        <f>'1990-10'!P46</f>
        <v>1230446</v>
      </c>
      <c r="Q46" s="22">
        <f t="shared" si="17"/>
        <v>1704386.6013366927</v>
      </c>
      <c r="R46" s="13">
        <f t="shared" si="18"/>
        <v>1230446</v>
      </c>
    </row>
    <row r="47" spans="1:18" ht="16">
      <c r="A47" s="18" t="s">
        <v>114</v>
      </c>
      <c r="B47" s="4">
        <f>'1990-10'!B47</f>
        <v>53.936325276944842</v>
      </c>
      <c r="C47" s="4">
        <f>'1990-10'!C47</f>
        <v>62.026774068486567</v>
      </c>
      <c r="D47" s="16">
        <f t="shared" si="9"/>
        <v>35957.550184629894</v>
      </c>
      <c r="E47" s="4">
        <f>'Interval Circuities'!E47</f>
        <v>1.4015576532477296</v>
      </c>
      <c r="F47" s="4">
        <f t="shared" si="10"/>
        <v>38.483129931874039</v>
      </c>
      <c r="G47" s="4">
        <f t="shared" si="11"/>
        <v>25.65541995458269</v>
      </c>
      <c r="H47" s="4">
        <f t="shared" si="12"/>
        <v>2067.7980848699049</v>
      </c>
      <c r="I47" s="4">
        <f t="shared" si="13"/>
        <v>1623.3049162948894</v>
      </c>
      <c r="J47" s="9">
        <f>'1990-10'!J47</f>
        <v>2263.9</v>
      </c>
      <c r="K47" s="9">
        <f>'1990-10'!K47</f>
        <v>3675000</v>
      </c>
      <c r="L47" s="22">
        <f t="shared" si="14"/>
        <v>3356666.7970744735</v>
      </c>
      <c r="M47" s="22">
        <f t="shared" si="15"/>
        <v>3356666.7970744735</v>
      </c>
      <c r="N47" s="19" t="s">
        <v>92</v>
      </c>
      <c r="O47" s="4">
        <f t="shared" si="16"/>
        <v>870.35072220504435</v>
      </c>
      <c r="P47" s="13">
        <f>'1990-10'!P47</f>
        <v>1970387</v>
      </c>
      <c r="Q47" s="22">
        <f t="shared" si="17"/>
        <v>1799709.5565407292</v>
      </c>
      <c r="R47" s="13">
        <f t="shared" si="18"/>
        <v>1799709.5565407292</v>
      </c>
    </row>
    <row r="48" spans="1:18" ht="16">
      <c r="A48" s="18" t="s">
        <v>72</v>
      </c>
      <c r="B48" s="4">
        <f>'1990-10'!B48</f>
        <v>57.58663731743308</v>
      </c>
      <c r="C48" s="4">
        <f>'1990-10'!C48</f>
        <v>66.800499288222369</v>
      </c>
      <c r="D48" s="16">
        <f t="shared" si="9"/>
        <v>38391.091544955387</v>
      </c>
      <c r="E48" s="4">
        <f>'Interval Circuities'!E48</f>
        <v>1.4066804044667163</v>
      </c>
      <c r="F48" s="4">
        <f t="shared" si="10"/>
        <v>40.937967952475056</v>
      </c>
      <c r="G48" s="4">
        <f t="shared" si="11"/>
        <v>27.291978634983369</v>
      </c>
      <c r="H48" s="4">
        <f t="shared" si="12"/>
        <v>2340.0218784983463</v>
      </c>
      <c r="I48" s="4">
        <f t="shared" si="13"/>
        <v>1608.4873374401095</v>
      </c>
      <c r="J48" s="9">
        <f>'1990-10'!J48</f>
        <v>876.6</v>
      </c>
      <c r="K48" s="9">
        <f>'1990-10'!K48</f>
        <v>1410000</v>
      </c>
      <c r="L48" s="22">
        <f t="shared" si="14"/>
        <v>3763895.5608974085</v>
      </c>
      <c r="M48" s="22">
        <f t="shared" si="15"/>
        <v>1410000</v>
      </c>
      <c r="N48" s="19" t="s">
        <v>92</v>
      </c>
      <c r="O48" s="4">
        <f t="shared" si="16"/>
        <v>1079.5836185261237</v>
      </c>
      <c r="P48" s="13">
        <f>'1990-10'!P48</f>
        <v>946363</v>
      </c>
      <c r="Q48" s="22">
        <f t="shared" si="17"/>
        <v>2526249.287019542</v>
      </c>
      <c r="R48" s="13">
        <f t="shared" si="18"/>
        <v>946363</v>
      </c>
    </row>
    <row r="49" spans="1:18">
      <c r="A49" s="18" t="s">
        <v>56</v>
      </c>
      <c r="B49" s="4">
        <f>'1990-10'!B49</f>
        <v>57.751551670614234</v>
      </c>
      <c r="C49" s="4">
        <f>'1990-10'!C49</f>
        <v>67.569315454618646</v>
      </c>
      <c r="D49" s="16">
        <f t="shared" si="9"/>
        <v>38501.034447076148</v>
      </c>
      <c r="E49" s="4">
        <f>'Interval Circuities'!E49</f>
        <v>1.4179556733460521</v>
      </c>
      <c r="F49" s="4">
        <f t="shared" si="10"/>
        <v>40.728742623056569</v>
      </c>
      <c r="G49" s="4">
        <f t="shared" si="11"/>
        <v>27.15249508203771</v>
      </c>
      <c r="H49" s="4">
        <f t="shared" si="12"/>
        <v>2316.164282608529</v>
      </c>
      <c r="I49" s="4">
        <f t="shared" si="13"/>
        <v>1477.6384054639784</v>
      </c>
      <c r="J49" s="9">
        <f>'1990-10'!J49</f>
        <v>1522.7</v>
      </c>
      <c r="K49" s="9">
        <f>'1990-10'!K49</f>
        <v>2250000</v>
      </c>
      <c r="L49" s="22">
        <f t="shared" si="14"/>
        <v>3422453.2973462865</v>
      </c>
      <c r="M49" s="22">
        <f t="shared" si="15"/>
        <v>2250000</v>
      </c>
      <c r="N49" s="19" t="s">
        <v>92</v>
      </c>
      <c r="O49" s="4">
        <f t="shared" si="16"/>
        <v>859.22243383463581</v>
      </c>
      <c r="P49" s="13">
        <f>'1990-10'!P49</f>
        <v>1308338</v>
      </c>
      <c r="Q49" s="22">
        <f t="shared" si="17"/>
        <v>1990100.3120637536</v>
      </c>
      <c r="R49" s="13">
        <f t="shared" si="18"/>
        <v>1308338</v>
      </c>
    </row>
    <row r="50" spans="1:18">
      <c r="A50" s="18" t="s">
        <v>76</v>
      </c>
      <c r="B50" s="4">
        <f>'1990-10'!B50</f>
        <v>57.267086544288581</v>
      </c>
      <c r="C50" s="4">
        <f>'1990-10'!C50</f>
        <v>59.557770006060125</v>
      </c>
      <c r="D50" s="16">
        <f t="shared" si="9"/>
        <v>38178.05769619238</v>
      </c>
      <c r="E50" s="4">
        <f>'Interval Circuities'!E50</f>
        <v>1.2430345851340074</v>
      </c>
      <c r="F50" s="4">
        <f t="shared" si="10"/>
        <v>46.070388731874914</v>
      </c>
      <c r="G50" s="4">
        <f t="shared" si="11"/>
        <v>30.713592487916607</v>
      </c>
      <c r="H50" s="4">
        <f t="shared" si="12"/>
        <v>2963.5421470043061</v>
      </c>
      <c r="I50" s="4">
        <f t="shared" si="13"/>
        <v>4280.7094372673528</v>
      </c>
      <c r="J50" s="9">
        <f>'1990-10'!J50</f>
        <v>913.4</v>
      </c>
      <c r="K50" s="9">
        <f>'1990-10'!K50</f>
        <v>3910000</v>
      </c>
      <c r="L50" s="22">
        <f t="shared" si="14"/>
        <v>12686062.836420886</v>
      </c>
      <c r="M50" s="22">
        <f t="shared" si="15"/>
        <v>3910000</v>
      </c>
      <c r="N50" s="19" t="s">
        <v>92</v>
      </c>
      <c r="O50" s="4">
        <f t="shared" si="16"/>
        <v>1616.0335012042917</v>
      </c>
      <c r="P50" s="13">
        <f>'1990-10'!P50</f>
        <v>1476085</v>
      </c>
      <c r="Q50" s="22">
        <f t="shared" si="17"/>
        <v>4789183.3917898526</v>
      </c>
      <c r="R50" s="13">
        <f t="shared" si="18"/>
        <v>1476085</v>
      </c>
    </row>
    <row r="51" spans="1:18">
      <c r="A51" s="18" t="s">
        <v>57</v>
      </c>
      <c r="B51" s="4">
        <f>'1990-10'!B51</f>
        <v>65.029165523454452</v>
      </c>
      <c r="C51" s="4">
        <f>'1990-10'!C51</f>
        <v>79.985873593848979</v>
      </c>
      <c r="D51" s="16">
        <f t="shared" si="9"/>
        <v>43352.777015636297</v>
      </c>
      <c r="E51" s="4">
        <f>'Interval Circuities'!E51</f>
        <v>1.3276352104199123</v>
      </c>
      <c r="F51" s="4">
        <f t="shared" si="10"/>
        <v>48.981199815336808</v>
      </c>
      <c r="G51" s="4">
        <f t="shared" si="11"/>
        <v>32.654133210224536</v>
      </c>
      <c r="H51" s="4">
        <f t="shared" si="12"/>
        <v>3349.8564197764708</v>
      </c>
      <c r="I51" s="4">
        <f t="shared" si="13"/>
        <v>1039.2364793213148</v>
      </c>
      <c r="J51" s="9">
        <f>'1990-10'!J51</f>
        <v>1886</v>
      </c>
      <c r="K51" s="9">
        <f>'1990-10'!K51</f>
        <v>1960000</v>
      </c>
      <c r="L51" s="22">
        <f t="shared" si="14"/>
        <v>3481292.9919204041</v>
      </c>
      <c r="M51" s="22">
        <f t="shared" si="15"/>
        <v>1960000</v>
      </c>
      <c r="N51" s="19" t="s">
        <v>92</v>
      </c>
      <c r="O51" s="4">
        <f t="shared" si="16"/>
        <v>606.75291622481438</v>
      </c>
      <c r="P51" s="13">
        <f>'1990-10'!P51</f>
        <v>1144336</v>
      </c>
      <c r="Q51" s="22">
        <f t="shared" si="17"/>
        <v>2032535.1516337898</v>
      </c>
      <c r="R51" s="13">
        <f t="shared" si="18"/>
        <v>1144336</v>
      </c>
    </row>
    <row r="52" spans="1:18">
      <c r="A52" s="18" t="s">
        <v>71</v>
      </c>
      <c r="B52" s="4">
        <f>'1990-10'!B52</f>
        <v>57.772652523705723</v>
      </c>
      <c r="C52" s="4">
        <f>'1990-10'!C52</f>
        <v>71.060362604158044</v>
      </c>
      <c r="D52" s="16">
        <f t="shared" si="9"/>
        <v>38515.101682470478</v>
      </c>
      <c r="E52" s="4">
        <f>'Interval Circuities'!E52</f>
        <v>1.2778048064694179</v>
      </c>
      <c r="F52" s="4">
        <f t="shared" si="10"/>
        <v>45.212423862555269</v>
      </c>
      <c r="G52" s="4">
        <f t="shared" si="11"/>
        <v>30.141615908370177</v>
      </c>
      <c r="H52" s="4">
        <f t="shared" si="12"/>
        <v>2854.1903629192984</v>
      </c>
      <c r="I52" s="4">
        <f t="shared" si="13"/>
        <v>1022.1667558091162</v>
      </c>
      <c r="J52" s="9">
        <f>'1990-10'!J52</f>
        <v>1682.7</v>
      </c>
      <c r="K52" s="9">
        <f>'1990-10'!K52</f>
        <v>1720000</v>
      </c>
      <c r="L52" s="22">
        <f t="shared" si="14"/>
        <v>2917458.5037268633</v>
      </c>
      <c r="M52" s="22">
        <f t="shared" si="15"/>
        <v>1720000</v>
      </c>
      <c r="N52" s="19" t="s">
        <v>92</v>
      </c>
      <c r="O52" s="4">
        <f t="shared" si="16"/>
        <v>543.59719498425147</v>
      </c>
      <c r="P52" s="13">
        <f>'1990-10'!P52</f>
        <v>914711</v>
      </c>
      <c r="Q52" s="22">
        <f t="shared" si="17"/>
        <v>1551529.8752340134</v>
      </c>
      <c r="R52" s="13">
        <f t="shared" si="18"/>
        <v>914711</v>
      </c>
    </row>
    <row r="53" spans="1:18" ht="16">
      <c r="A53" s="18" t="s">
        <v>118</v>
      </c>
      <c r="B53" s="4">
        <f>'1990-10'!B53</f>
        <v>57.166397237881569</v>
      </c>
      <c r="C53" s="4">
        <f>'1990-10'!C53</f>
        <v>76.031308326382486</v>
      </c>
      <c r="D53" s="16">
        <f t="shared" si="9"/>
        <v>38110.931491921045</v>
      </c>
      <c r="E53" s="4">
        <f>'Interval Circuities'!E53</f>
        <v>1.3212312579926235</v>
      </c>
      <c r="F53" s="4">
        <f t="shared" si="10"/>
        <v>43.26751800039591</v>
      </c>
      <c r="G53" s="4">
        <f t="shared" si="11"/>
        <v>28.845012000263939</v>
      </c>
      <c r="H53" s="4">
        <f t="shared" si="12"/>
        <v>2613.9141553867971</v>
      </c>
      <c r="I53" s="4">
        <f t="shared" si="13"/>
        <v>1267.0644976702363</v>
      </c>
      <c r="J53" s="9">
        <f>'1990-10'!J53</f>
        <v>2446.6</v>
      </c>
      <c r="K53" s="9">
        <f>'1990-10'!K53</f>
        <v>3100000</v>
      </c>
      <c r="L53" s="22">
        <f t="shared" si="14"/>
        <v>3311997.8262482919</v>
      </c>
      <c r="M53" s="22">
        <f t="shared" si="15"/>
        <v>3100000</v>
      </c>
      <c r="N53" s="19" t="s">
        <v>92</v>
      </c>
      <c r="O53" s="4">
        <f t="shared" si="16"/>
        <v>905.07234529551215</v>
      </c>
      <c r="P53" s="13">
        <f>'1990-10'!P53</f>
        <v>2214350</v>
      </c>
      <c r="Q53" s="22">
        <f t="shared" si="17"/>
        <v>2365781.4150170661</v>
      </c>
      <c r="R53" s="13">
        <f t="shared" si="18"/>
        <v>2214350</v>
      </c>
    </row>
    <row r="54" spans="1:18">
      <c r="D54" s="1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D2" sqref="D2"/>
    </sheetView>
  </sheetViews>
  <sheetFormatPr baseColWidth="10" defaultColWidth="11.5" defaultRowHeight="14" x14ac:dyDescent="0"/>
  <cols>
    <col min="4" max="4" width="8.5" style="18" customWidth="1"/>
  </cols>
  <sheetData>
    <row r="1" spans="1:18" ht="56">
      <c r="A1" s="18">
        <f>5/6</f>
        <v>0.83333333333333337</v>
      </c>
      <c r="B1" s="1" t="s">
        <v>60</v>
      </c>
      <c r="C1" s="1" t="s">
        <v>61</v>
      </c>
      <c r="D1" s="30" t="s">
        <v>166</v>
      </c>
      <c r="E1" s="7" t="s">
        <v>91</v>
      </c>
      <c r="F1" s="1" t="s">
        <v>21</v>
      </c>
      <c r="G1" s="1" t="s">
        <v>20</v>
      </c>
      <c r="H1" s="1" t="s">
        <v>134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125</v>
      </c>
      <c r="E2" s="18" t="s">
        <v>116</v>
      </c>
      <c r="F2" s="18" t="s">
        <v>17</v>
      </c>
      <c r="G2" s="18" t="s">
        <v>19</v>
      </c>
      <c r="H2" s="18" t="s">
        <v>135</v>
      </c>
      <c r="I2" s="18" t="s">
        <v>24</v>
      </c>
      <c r="J2" s="9" t="s">
        <v>16</v>
      </c>
      <c r="K2" s="13" t="s">
        <v>126</v>
      </c>
      <c r="L2" s="22" t="s">
        <v>132</v>
      </c>
      <c r="M2" s="22" t="s">
        <v>127</v>
      </c>
      <c r="N2" s="19" t="s">
        <v>92</v>
      </c>
      <c r="O2" s="18" t="s">
        <v>128</v>
      </c>
      <c r="P2" s="18" t="s">
        <v>129</v>
      </c>
      <c r="Q2" s="22" t="s">
        <v>131</v>
      </c>
      <c r="R2" s="18" t="s">
        <v>130</v>
      </c>
    </row>
    <row r="3" spans="1:18">
      <c r="A3" s="18" t="s">
        <v>26</v>
      </c>
      <c r="B3" s="4">
        <f>'1990-10'!B3</f>
        <v>60.37546801014345</v>
      </c>
      <c r="C3" s="4">
        <f>'1990-10'!C3</f>
        <v>63.997996090752061</v>
      </c>
      <c r="D3" s="16">
        <f>B3*$A$1*1000</f>
        <v>50312.890008452872</v>
      </c>
      <c r="E3" s="4">
        <f>'Interval Circuities'!F3</f>
        <v>1.2257265693872379</v>
      </c>
      <c r="F3" s="4">
        <f t="shared" ref="F3:F34" si="0">B3/E3</f>
        <v>49.256881198492906</v>
      </c>
      <c r="G3" s="4">
        <f t="shared" ref="G3:G34" si="1">F3*$A$1</f>
        <v>41.047400998744088</v>
      </c>
      <c r="H3" s="4">
        <f t="shared" ref="H3:H34" si="2">PI()*G3^2</f>
        <v>5293.2353089996386</v>
      </c>
      <c r="I3" s="4">
        <f t="shared" ref="I3:I34" si="3">K3/J3</f>
        <v>964.67391304347825</v>
      </c>
      <c r="J3" s="9">
        <f>'1990-10'!J3</f>
        <v>2944</v>
      </c>
      <c r="K3" s="9">
        <f>'1990-10'!K3</f>
        <v>2840000</v>
      </c>
      <c r="L3" s="22">
        <f t="shared" ref="L3:L34" si="4">H3*I3</f>
        <v>5106246.0181925865</v>
      </c>
      <c r="M3" s="22">
        <f t="shared" ref="M3:M34" si="5">MIN(K3,L3)</f>
        <v>2840000</v>
      </c>
      <c r="N3" s="19" t="s">
        <v>92</v>
      </c>
      <c r="O3" s="4">
        <f t="shared" ref="O3:O34" si="6">P3/J3</f>
        <v>503.32235054347825</v>
      </c>
      <c r="P3" s="13">
        <f>'1990-10'!P3</f>
        <v>1481781</v>
      </c>
      <c r="Q3" s="22">
        <f t="shared" ref="Q3:Q34" si="7">H3*O3</f>
        <v>2664203.6377054327</v>
      </c>
      <c r="R3" s="13">
        <f t="shared" ref="R3:R34" si="8">MIN(Q3,P3)</f>
        <v>1481781</v>
      </c>
    </row>
    <row r="4" spans="1:18">
      <c r="A4" s="18" t="s">
        <v>27</v>
      </c>
      <c r="B4" s="4">
        <f>'1990-10'!B4</f>
        <v>63.478689145973746</v>
      </c>
      <c r="C4" s="4">
        <f>'1990-10'!C4</f>
        <v>67.922197386191925</v>
      </c>
      <c r="D4" s="16">
        <f t="shared" ref="D4:D53" si="9">B4*$A$1*1000</f>
        <v>52898.907621644787</v>
      </c>
      <c r="E4" s="4">
        <f>'Interval Circuities'!F4</f>
        <v>1.3049269079520347</v>
      </c>
      <c r="F4" s="4">
        <f t="shared" si="0"/>
        <v>48.645398266480562</v>
      </c>
      <c r="G4" s="4">
        <f t="shared" si="1"/>
        <v>40.537831888733805</v>
      </c>
      <c r="H4" s="4">
        <f t="shared" si="2"/>
        <v>5162.6288895419357</v>
      </c>
      <c r="I4" s="4">
        <f t="shared" si="3"/>
        <v>932.86219081272088</v>
      </c>
      <c r="J4" s="9">
        <f>'1990-10'!J4</f>
        <v>707.5</v>
      </c>
      <c r="K4" s="9">
        <f>'1990-10'!K4</f>
        <v>660000</v>
      </c>
      <c r="L4" s="22">
        <f t="shared" si="4"/>
        <v>4816021.2962511349</v>
      </c>
      <c r="M4" s="22">
        <f t="shared" si="5"/>
        <v>660000</v>
      </c>
      <c r="N4" s="19" t="s">
        <v>92</v>
      </c>
      <c r="O4" s="4">
        <f t="shared" si="6"/>
        <v>571.04734982332161</v>
      </c>
      <c r="P4" s="13">
        <f>'1990-10'!P4</f>
        <v>404016</v>
      </c>
      <c r="Q4" s="22">
        <f t="shared" si="7"/>
        <v>2948105.5454942402</v>
      </c>
      <c r="R4" s="13">
        <f t="shared" si="8"/>
        <v>404016</v>
      </c>
    </row>
    <row r="5" spans="1:18" ht="16">
      <c r="A5" s="18" t="s">
        <v>119</v>
      </c>
      <c r="B5" s="4">
        <f>'1990-10'!B5</f>
        <v>60.37745029626894</v>
      </c>
      <c r="C5" s="4">
        <f>'1990-10'!C5</f>
        <v>64.603871817007771</v>
      </c>
      <c r="D5" s="16">
        <f t="shared" si="9"/>
        <v>50314.541913557448</v>
      </c>
      <c r="E5" s="4">
        <f>'Interval Circuities'!F5</f>
        <v>1.223033434941925</v>
      </c>
      <c r="F5" s="4">
        <f t="shared" si="0"/>
        <v>49.366966242534431</v>
      </c>
      <c r="G5" s="4">
        <f t="shared" si="1"/>
        <v>41.139138535445362</v>
      </c>
      <c r="H5" s="4">
        <f t="shared" si="2"/>
        <v>5316.9216317125793</v>
      </c>
      <c r="I5" s="4">
        <f t="shared" si="3"/>
        <v>1296.8393613554904</v>
      </c>
      <c r="J5" s="9">
        <f>'1990-10'!J5</f>
        <v>1534.5</v>
      </c>
      <c r="K5" s="9">
        <f>'1990-10'!K5</f>
        <v>1990000</v>
      </c>
      <c r="L5" s="22">
        <f t="shared" si="4"/>
        <v>6895193.2532473328</v>
      </c>
      <c r="M5" s="22">
        <f t="shared" si="5"/>
        <v>1990000</v>
      </c>
      <c r="N5" s="19" t="s">
        <v>92</v>
      </c>
      <c r="O5" s="4">
        <f t="shared" si="6"/>
        <v>776.67839687194521</v>
      </c>
      <c r="P5" s="13">
        <f>'1990-10'!P5</f>
        <v>1191813</v>
      </c>
      <c r="Q5" s="22">
        <f t="shared" si="7"/>
        <v>4129538.1692122933</v>
      </c>
      <c r="R5" s="13">
        <f t="shared" si="8"/>
        <v>1191813</v>
      </c>
    </row>
    <row r="6" spans="1:18">
      <c r="A6" s="18" t="s">
        <v>29</v>
      </c>
      <c r="B6" s="4">
        <f>'1990-10'!B6</f>
        <v>61.541690600746875</v>
      </c>
      <c r="C6" s="4">
        <f>'1990-10'!C6</f>
        <v>67.695859660821569</v>
      </c>
      <c r="D6" s="16">
        <f t="shared" si="9"/>
        <v>51284.74216728907</v>
      </c>
      <c r="E6" s="4">
        <f>'Interval Circuities'!F6</f>
        <v>1.1972431356119253</v>
      </c>
      <c r="F6" s="4">
        <f t="shared" si="0"/>
        <v>51.402834370223538</v>
      </c>
      <c r="G6" s="4">
        <f t="shared" si="1"/>
        <v>42.835695308519618</v>
      </c>
      <c r="H6" s="4">
        <f t="shared" si="2"/>
        <v>5764.4982836155723</v>
      </c>
      <c r="I6" s="4">
        <f t="shared" si="3"/>
        <v>1563.9892556970801</v>
      </c>
      <c r="J6" s="9">
        <f>'1990-10'!J6</f>
        <v>2308.1999999999998</v>
      </c>
      <c r="K6" s="9">
        <f>'1990-10'!K6</f>
        <v>3610000</v>
      </c>
      <c r="L6" s="22">
        <f t="shared" si="4"/>
        <v>9015613.380059015</v>
      </c>
      <c r="M6" s="22">
        <f t="shared" si="5"/>
        <v>3610000</v>
      </c>
      <c r="N6" s="19" t="s">
        <v>92</v>
      </c>
      <c r="O6" s="4">
        <f t="shared" si="6"/>
        <v>927.87323455506464</v>
      </c>
      <c r="P6" s="13">
        <f>'1990-10'!P6</f>
        <v>2141717</v>
      </c>
      <c r="Q6" s="22">
        <f t="shared" si="7"/>
        <v>5348723.6680054991</v>
      </c>
      <c r="R6" s="13">
        <f t="shared" si="8"/>
        <v>2141717</v>
      </c>
    </row>
    <row r="7" spans="1:18">
      <c r="A7" s="18" t="s">
        <v>30</v>
      </c>
      <c r="B7" s="4">
        <f>'1990-10'!B7</f>
        <v>73.27659816495958</v>
      </c>
      <c r="C7" s="4">
        <f>'1990-10'!C7</f>
        <v>76.207662091557978</v>
      </c>
      <c r="D7" s="16">
        <f t="shared" si="9"/>
        <v>61063.831804132991</v>
      </c>
      <c r="E7" s="4">
        <f>'Interval Circuities'!F7</f>
        <v>1.1713810846497632</v>
      </c>
      <c r="F7" s="4">
        <f t="shared" si="0"/>
        <v>62.55572940796538</v>
      </c>
      <c r="G7" s="4">
        <f t="shared" si="1"/>
        <v>52.129774506637816</v>
      </c>
      <c r="H7" s="4">
        <f t="shared" si="2"/>
        <v>8537.3201024106002</v>
      </c>
      <c r="I7" s="4">
        <f t="shared" si="3"/>
        <v>1440.1622718052738</v>
      </c>
      <c r="J7" s="9">
        <f>'1990-10'!J7</f>
        <v>739.5</v>
      </c>
      <c r="K7" s="9">
        <f>'1990-10'!K7</f>
        <v>1065000</v>
      </c>
      <c r="L7" s="22">
        <f t="shared" si="4"/>
        <v>12295126.313816482</v>
      </c>
      <c r="M7" s="22">
        <f t="shared" si="5"/>
        <v>1065000</v>
      </c>
      <c r="N7" s="19" t="s">
        <v>92</v>
      </c>
      <c r="O7" s="4">
        <f t="shared" si="6"/>
        <v>718.21771467207577</v>
      </c>
      <c r="P7" s="13">
        <f>'1990-10'!P7</f>
        <v>531122</v>
      </c>
      <c r="Q7" s="22">
        <f t="shared" si="7"/>
        <v>6131654.5333773131</v>
      </c>
      <c r="R7" s="13">
        <f t="shared" si="8"/>
        <v>531122</v>
      </c>
    </row>
    <row r="8" spans="1:18">
      <c r="A8" s="18" t="s">
        <v>31</v>
      </c>
      <c r="B8" s="4">
        <f>'1990-10'!B8</f>
        <v>66.908176577055386</v>
      </c>
      <c r="C8" s="4">
        <f>'1990-10'!C8</f>
        <v>71.591748937449267</v>
      </c>
      <c r="D8" s="16">
        <f t="shared" si="9"/>
        <v>55756.813814212823</v>
      </c>
      <c r="E8" s="4">
        <f>'Interval Circuities'!F8</f>
        <v>1.2253877729576721</v>
      </c>
      <c r="F8" s="4">
        <f t="shared" si="0"/>
        <v>54.601635542324409</v>
      </c>
      <c r="G8" s="4">
        <f t="shared" si="1"/>
        <v>45.501362951937011</v>
      </c>
      <c r="H8" s="4">
        <f t="shared" si="2"/>
        <v>6504.2718443513304</v>
      </c>
      <c r="I8" s="4">
        <f t="shared" si="3"/>
        <v>862.48203162434118</v>
      </c>
      <c r="J8" s="9">
        <f>'1990-10'!J8</f>
        <v>626.1</v>
      </c>
      <c r="K8" s="9">
        <f>'1990-10'!K8</f>
        <v>540000</v>
      </c>
      <c r="L8" s="22">
        <f t="shared" si="4"/>
        <v>5609817.5945531363</v>
      </c>
      <c r="M8" s="22">
        <f t="shared" si="5"/>
        <v>540000</v>
      </c>
      <c r="N8" s="19" t="s">
        <v>92</v>
      </c>
      <c r="O8" s="4">
        <f t="shared" si="6"/>
        <v>966.06931800031941</v>
      </c>
      <c r="P8" s="13">
        <f>'1990-10'!P8</f>
        <v>604856</v>
      </c>
      <c r="Q8" s="22">
        <f t="shared" si="7"/>
        <v>6283577.4647611696</v>
      </c>
      <c r="R8" s="13">
        <f t="shared" si="8"/>
        <v>604856</v>
      </c>
    </row>
    <row r="9" spans="1:18">
      <c r="A9" s="18" t="s">
        <v>32</v>
      </c>
      <c r="B9" s="4">
        <f>'1990-10'!B9</f>
        <v>59.830534500000006</v>
      </c>
      <c r="C9" s="4">
        <f>'1990-10'!C9</f>
        <v>64.616977260000013</v>
      </c>
      <c r="D9" s="16">
        <f t="shared" si="9"/>
        <v>49858.778750000005</v>
      </c>
      <c r="E9" s="4">
        <f>'Interval Circuities'!F9</f>
        <v>1.1982844246373678</v>
      </c>
      <c r="F9" s="4">
        <f t="shared" si="0"/>
        <v>49.930161212023002</v>
      </c>
      <c r="G9" s="4">
        <f t="shared" si="1"/>
        <v>41.608467676685834</v>
      </c>
      <c r="H9" s="4">
        <f t="shared" si="2"/>
        <v>5438.9280934937269</v>
      </c>
      <c r="I9" s="4">
        <f t="shared" si="3"/>
        <v>1830.0112091232515</v>
      </c>
      <c r="J9" s="9">
        <f>'1990-10'!J9</f>
        <v>4103.8</v>
      </c>
      <c r="K9" s="9">
        <f>'1990-10'!K9</f>
        <v>7510000</v>
      </c>
      <c r="L9" s="22">
        <f t="shared" si="4"/>
        <v>9953299.3767088763</v>
      </c>
      <c r="M9" s="22">
        <f t="shared" si="5"/>
        <v>7510000</v>
      </c>
      <c r="N9" s="19" t="s">
        <v>92</v>
      </c>
      <c r="O9" s="4">
        <f t="shared" si="6"/>
        <v>936.04391052195524</v>
      </c>
      <c r="P9" s="13">
        <f>'1990-10'!P9</f>
        <v>3841337</v>
      </c>
      <c r="Q9" s="22">
        <f t="shared" si="7"/>
        <v>5091075.5216815909</v>
      </c>
      <c r="R9" s="13">
        <f t="shared" si="8"/>
        <v>3841337</v>
      </c>
    </row>
    <row r="10" spans="1:18">
      <c r="A10" s="18" t="s">
        <v>33</v>
      </c>
      <c r="B10" s="4">
        <f>'1990-10'!B10</f>
        <v>67.518821168909824</v>
      </c>
      <c r="C10" s="4">
        <f>'1990-10'!C10</f>
        <v>74.270703285800806</v>
      </c>
      <c r="D10" s="16">
        <f t="shared" si="9"/>
        <v>56265.684307424854</v>
      </c>
      <c r="E10" s="4">
        <f>'Interval Circuities'!F10</f>
        <v>1.2812488239067774</v>
      </c>
      <c r="F10" s="4">
        <f t="shared" si="0"/>
        <v>52.697664894654714</v>
      </c>
      <c r="G10" s="4">
        <f t="shared" si="1"/>
        <v>43.914720745545594</v>
      </c>
      <c r="H10" s="4">
        <f t="shared" si="2"/>
        <v>6058.5699089652016</v>
      </c>
      <c r="I10" s="4">
        <f t="shared" si="3"/>
        <v>860.24750980984004</v>
      </c>
      <c r="J10" s="9">
        <f>'1990-10'!J10</f>
        <v>1325.2</v>
      </c>
      <c r="K10" s="9">
        <f>'1990-10'!K10</f>
        <v>1140000</v>
      </c>
      <c r="L10" s="22">
        <f t="shared" si="4"/>
        <v>5211869.6771961441</v>
      </c>
      <c r="M10" s="22">
        <f t="shared" si="5"/>
        <v>1140000</v>
      </c>
      <c r="N10" s="19" t="s">
        <v>92</v>
      </c>
      <c r="O10" s="4">
        <f t="shared" si="6"/>
        <v>613.31572592816178</v>
      </c>
      <c r="P10" s="13">
        <f>'1990-10'!P10</f>
        <v>812766</v>
      </c>
      <c r="Q10" s="22">
        <f t="shared" si="7"/>
        <v>3715816.2018035096</v>
      </c>
      <c r="R10" s="13">
        <f t="shared" si="8"/>
        <v>812766</v>
      </c>
    </row>
    <row r="11" spans="1:18">
      <c r="A11" s="18" t="s">
        <v>34</v>
      </c>
      <c r="B11" s="4">
        <f>'1990-10'!B11</f>
        <v>70.270147843682068</v>
      </c>
      <c r="C11" s="4">
        <f>'1990-10'!C11</f>
        <v>77.297162628050287</v>
      </c>
      <c r="D11" s="16">
        <f t="shared" si="9"/>
        <v>58558.456536401725</v>
      </c>
      <c r="E11" s="4">
        <f>'Interval Circuities'!F11</f>
        <v>1.1648731509913355</v>
      </c>
      <c r="F11" s="4">
        <f t="shared" si="0"/>
        <v>60.324291777075004</v>
      </c>
      <c r="G11" s="4">
        <f t="shared" si="1"/>
        <v>50.270243147562503</v>
      </c>
      <c r="H11" s="4">
        <f t="shared" si="2"/>
        <v>7939.1104574613182</v>
      </c>
      <c r="I11" s="4">
        <f t="shared" si="3"/>
        <v>1068.6095931997572</v>
      </c>
      <c r="J11" s="9">
        <f>'1990-10'!J11</f>
        <v>1647</v>
      </c>
      <c r="K11" s="9">
        <f>'1990-10'!K11</f>
        <v>1760000</v>
      </c>
      <c r="L11" s="22">
        <f t="shared" si="4"/>
        <v>8483809.5963156782</v>
      </c>
      <c r="M11" s="22">
        <f t="shared" si="5"/>
        <v>1760000</v>
      </c>
      <c r="N11" s="19" t="s">
        <v>92</v>
      </c>
      <c r="O11" s="4">
        <f t="shared" si="6"/>
        <v>754.15846994535514</v>
      </c>
      <c r="P11" s="13">
        <f>'1990-10'!P11</f>
        <v>1242099</v>
      </c>
      <c r="Q11" s="22">
        <f t="shared" si="7"/>
        <v>5987347.3953261962</v>
      </c>
      <c r="R11" s="13">
        <f t="shared" si="8"/>
        <v>1242099</v>
      </c>
    </row>
    <row r="12" spans="1:18">
      <c r="A12" s="18" t="s">
        <v>35</v>
      </c>
      <c r="B12" s="4">
        <f>'1990-10'!B12</f>
        <v>67.725932932724078</v>
      </c>
      <c r="C12" s="4">
        <f>'1990-10'!C12</f>
        <v>77.20756354330544</v>
      </c>
      <c r="D12" s="16">
        <f t="shared" si="9"/>
        <v>56438.277443936735</v>
      </c>
      <c r="E12" s="4">
        <f>'Interval Circuities'!F12</f>
        <v>1.1931736027090176</v>
      </c>
      <c r="F12" s="4">
        <f t="shared" si="0"/>
        <v>56.761172706936406</v>
      </c>
      <c r="G12" s="4">
        <f t="shared" si="1"/>
        <v>47.300977255780339</v>
      </c>
      <c r="H12" s="4">
        <f t="shared" si="2"/>
        <v>7028.9442661545063</v>
      </c>
      <c r="I12" s="4">
        <f t="shared" si="3"/>
        <v>973.91693719914929</v>
      </c>
      <c r="J12" s="9">
        <f>'1990-10'!J12</f>
        <v>893.3</v>
      </c>
      <c r="K12" s="9">
        <f>'1990-10'!K12</f>
        <v>870000</v>
      </c>
      <c r="L12" s="22">
        <f t="shared" si="4"/>
        <v>6845607.8714367189</v>
      </c>
      <c r="M12" s="22">
        <f t="shared" si="5"/>
        <v>870000</v>
      </c>
      <c r="N12" s="19" t="s">
        <v>92</v>
      </c>
      <c r="O12" s="4">
        <f t="shared" si="6"/>
        <v>758.82570245158411</v>
      </c>
      <c r="P12" s="13">
        <f>'1990-10'!P12</f>
        <v>677859</v>
      </c>
      <c r="Q12" s="22">
        <f t="shared" si="7"/>
        <v>5333743.570257728</v>
      </c>
      <c r="R12" s="13">
        <f t="shared" si="8"/>
        <v>677859</v>
      </c>
    </row>
    <row r="13" spans="1:18">
      <c r="A13" s="18" t="s">
        <v>62</v>
      </c>
      <c r="B13" s="4">
        <f>'1990-10'!B13</f>
        <v>66.03146949483623</v>
      </c>
      <c r="C13" s="4">
        <f>'1990-10'!C13</f>
        <v>76.596504614010016</v>
      </c>
      <c r="D13" s="16">
        <f t="shared" si="9"/>
        <v>55026.224579030189</v>
      </c>
      <c r="E13" s="4">
        <f>'Interval Circuities'!F13</f>
        <v>1.2332624692753114</v>
      </c>
      <c r="F13" s="4">
        <f t="shared" si="0"/>
        <v>53.542105707341911</v>
      </c>
      <c r="G13" s="4">
        <f t="shared" si="1"/>
        <v>44.618421422784927</v>
      </c>
      <c r="H13" s="4">
        <f t="shared" si="2"/>
        <v>6254.2937454093144</v>
      </c>
      <c r="I13" s="4">
        <f t="shared" si="3"/>
        <v>869.56521739130437</v>
      </c>
      <c r="J13" s="9">
        <f>'1990-10'!J13</f>
        <v>3737.5</v>
      </c>
      <c r="K13" s="9">
        <f>'1990-10'!K13</f>
        <v>3250000</v>
      </c>
      <c r="L13" s="22">
        <f t="shared" si="4"/>
        <v>5438516.3003559262</v>
      </c>
      <c r="M13" s="22">
        <f t="shared" si="5"/>
        <v>3250000</v>
      </c>
      <c r="N13" s="19" t="s">
        <v>92</v>
      </c>
      <c r="O13" s="4">
        <f t="shared" si="6"/>
        <v>528.85779264214045</v>
      </c>
      <c r="P13" s="13">
        <f>'1990-10'!P13</f>
        <v>1976606</v>
      </c>
      <c r="Q13" s="22">
        <f t="shared" si="7"/>
        <v>3307631.9847327149</v>
      </c>
      <c r="R13" s="13">
        <f t="shared" si="8"/>
        <v>1976606</v>
      </c>
    </row>
    <row r="14" spans="1:18">
      <c r="A14" s="18" t="s">
        <v>36</v>
      </c>
      <c r="B14" s="4">
        <f>'1990-10'!B14</f>
        <v>65.002140793217592</v>
      </c>
      <c r="C14" s="4">
        <f>'1990-10'!C14</f>
        <v>76.052504728064577</v>
      </c>
      <c r="D14" s="16">
        <f t="shared" si="9"/>
        <v>54168.450661014656</v>
      </c>
      <c r="E14" s="4">
        <f>'Interval Circuities'!F14</f>
        <v>1.3310249643517464</v>
      </c>
      <c r="F14" s="4">
        <f t="shared" si="0"/>
        <v>48.836154493072037</v>
      </c>
      <c r="G14" s="4">
        <f t="shared" si="1"/>
        <v>40.696795410893365</v>
      </c>
      <c r="H14" s="4">
        <f t="shared" si="2"/>
        <v>5203.1973514005531</v>
      </c>
      <c r="I14" s="4">
        <f t="shared" si="3"/>
        <v>1329.5186805789297</v>
      </c>
      <c r="J14" s="9">
        <f>'1990-10'!J14</f>
        <v>1188.4000000000001</v>
      </c>
      <c r="K14" s="9">
        <f>'1990-10'!K14</f>
        <v>1580000</v>
      </c>
      <c r="L14" s="22">
        <f t="shared" si="4"/>
        <v>6917748.077425845</v>
      </c>
      <c r="M14" s="22">
        <f t="shared" si="5"/>
        <v>1580000</v>
      </c>
      <c r="N14" s="19" t="s">
        <v>92</v>
      </c>
      <c r="O14" s="4">
        <f t="shared" si="6"/>
        <v>811.94210703466842</v>
      </c>
      <c r="P14" s="13">
        <f>'1990-10'!P14</f>
        <v>964912</v>
      </c>
      <c r="Q14" s="22">
        <f t="shared" si="7"/>
        <v>4224695.0208133711</v>
      </c>
      <c r="R14" s="13">
        <f t="shared" si="8"/>
        <v>964912</v>
      </c>
    </row>
    <row r="15" spans="1:18">
      <c r="A15" s="18" t="s">
        <v>37</v>
      </c>
      <c r="B15" s="4">
        <f>'1990-10'!B15</f>
        <v>59.740126684000487</v>
      </c>
      <c r="C15" s="4">
        <f>'1990-10'!C15</f>
        <v>69.895948220280573</v>
      </c>
      <c r="D15" s="16">
        <f t="shared" si="9"/>
        <v>49783.438903333736</v>
      </c>
      <c r="E15" s="4">
        <f>'Interval Circuities'!F15</f>
        <v>1.1948625976389575</v>
      </c>
      <c r="F15" s="4">
        <f t="shared" si="0"/>
        <v>49.997486574646054</v>
      </c>
      <c r="G15" s="4">
        <f t="shared" si="1"/>
        <v>41.664572145538379</v>
      </c>
      <c r="H15" s="4">
        <f t="shared" si="2"/>
        <v>5453.605581915388</v>
      </c>
      <c r="I15" s="4">
        <f t="shared" si="3"/>
        <v>1369.2488100986411</v>
      </c>
      <c r="J15" s="9">
        <f>'1990-10'!J15</f>
        <v>2899.4</v>
      </c>
      <c r="K15" s="9">
        <f>'1990-10'!K15</f>
        <v>3970000</v>
      </c>
      <c r="L15" s="22">
        <f t="shared" si="4"/>
        <v>7467342.9537849519</v>
      </c>
      <c r="M15" s="22">
        <f t="shared" si="5"/>
        <v>3970000</v>
      </c>
      <c r="N15" s="19" t="s">
        <v>92</v>
      </c>
      <c r="O15" s="4">
        <f t="shared" si="6"/>
        <v>717.34841691384418</v>
      </c>
      <c r="P15" s="13">
        <f>'1990-10'!P15</f>
        <v>2079880</v>
      </c>
      <c r="Q15" s="22">
        <f t="shared" si="7"/>
        <v>3912135.3306595078</v>
      </c>
      <c r="R15" s="13">
        <f t="shared" si="8"/>
        <v>2079880</v>
      </c>
    </row>
    <row r="16" spans="1:18">
      <c r="A16" s="18" t="s">
        <v>80</v>
      </c>
      <c r="B16" s="4">
        <f>'1990-10'!B16</f>
        <v>70.939381203745498</v>
      </c>
      <c r="C16" s="4">
        <f>'1990-10'!C16</f>
        <v>83.70846982041968</v>
      </c>
      <c r="D16" s="16">
        <f t="shared" si="9"/>
        <v>59116.151003121253</v>
      </c>
      <c r="E16" s="4">
        <f>'Interval Circuities'!F16</f>
        <v>1.233456986217629</v>
      </c>
      <c r="F16" s="4">
        <f t="shared" si="0"/>
        <v>57.512651025861615</v>
      </c>
      <c r="G16" s="4">
        <f t="shared" si="1"/>
        <v>47.927209188218015</v>
      </c>
      <c r="H16" s="4">
        <f t="shared" si="2"/>
        <v>7216.2929279705813</v>
      </c>
      <c r="I16" s="4">
        <f t="shared" si="3"/>
        <v>1190.58976132826</v>
      </c>
      <c r="J16" s="9">
        <f>'1990-10'!J16</f>
        <v>578.20000000000005</v>
      </c>
      <c r="K16" s="9">
        <f>'1990-10'!K16</f>
        <v>688399</v>
      </c>
      <c r="L16" s="22">
        <f t="shared" si="4"/>
        <v>8591644.4747873042</v>
      </c>
      <c r="M16" s="22">
        <f t="shared" si="5"/>
        <v>688399</v>
      </c>
      <c r="N16" s="19" t="s">
        <v>92</v>
      </c>
      <c r="O16" s="4">
        <f t="shared" si="6"/>
        <v>583.42269111034238</v>
      </c>
      <c r="P16" s="13">
        <f>'1990-10'!P16</f>
        <v>337335</v>
      </c>
      <c r="Q16" s="22">
        <f t="shared" si="7"/>
        <v>4210149.0398771288</v>
      </c>
      <c r="R16" s="13">
        <f t="shared" si="8"/>
        <v>337335</v>
      </c>
    </row>
    <row r="17" spans="1:18">
      <c r="A17" s="18" t="s">
        <v>58</v>
      </c>
      <c r="B17" s="4">
        <f>'1990-10'!B17</f>
        <v>64.898649256812377</v>
      </c>
      <c r="C17" s="4">
        <f>'1990-10'!C17</f>
        <v>85.666217018992342</v>
      </c>
      <c r="D17" s="16">
        <f t="shared" si="9"/>
        <v>54082.207714010314</v>
      </c>
      <c r="E17" s="4">
        <f>'Interval Circuities'!F17</f>
        <v>1.3266315300264815</v>
      </c>
      <c r="F17" s="4">
        <f t="shared" si="0"/>
        <v>48.919875480056547</v>
      </c>
      <c r="G17" s="4">
        <f t="shared" si="1"/>
        <v>40.766562900047127</v>
      </c>
      <c r="H17" s="4">
        <f t="shared" si="2"/>
        <v>5221.0525742952204</v>
      </c>
      <c r="I17" s="4">
        <f t="shared" si="3"/>
        <v>770.84181744138687</v>
      </c>
      <c r="J17" s="9">
        <f>'1990-10'!J17</f>
        <v>1718.9</v>
      </c>
      <c r="K17" s="9">
        <f>'1990-10'!K17</f>
        <v>1325000</v>
      </c>
      <c r="L17" s="22">
        <f t="shared" si="4"/>
        <v>4024605.6553267594</v>
      </c>
      <c r="M17" s="22">
        <f t="shared" si="5"/>
        <v>1325000</v>
      </c>
      <c r="N17" s="19" t="s">
        <v>92</v>
      </c>
      <c r="O17" s="4">
        <f t="shared" si="6"/>
        <v>406.65483739600904</v>
      </c>
      <c r="P17" s="13">
        <f>'1990-10'!P17</f>
        <v>698999</v>
      </c>
      <c r="Q17" s="22">
        <f t="shared" si="7"/>
        <v>2123166.2856360371</v>
      </c>
      <c r="R17" s="13">
        <f t="shared" si="8"/>
        <v>698999</v>
      </c>
    </row>
    <row r="18" spans="1:18">
      <c r="A18" s="18" t="s">
        <v>38</v>
      </c>
      <c r="B18" s="4">
        <f>'1990-10'!B18</f>
        <v>70.550117521710789</v>
      </c>
      <c r="C18" s="4">
        <f>'1990-10'!C18</f>
        <v>84.660141026052941</v>
      </c>
      <c r="D18" s="16">
        <f t="shared" si="9"/>
        <v>58791.764601425661</v>
      </c>
      <c r="E18" s="4">
        <f>'Interval Circuities'!F18</f>
        <v>1.2145010966126184</v>
      </c>
      <c r="F18" s="4">
        <f t="shared" si="0"/>
        <v>58.089793182141278</v>
      </c>
      <c r="G18" s="4">
        <f t="shared" si="1"/>
        <v>48.408160985117732</v>
      </c>
      <c r="H18" s="4">
        <f t="shared" si="2"/>
        <v>7361.8513017469868</v>
      </c>
      <c r="I18" s="4">
        <f t="shared" si="3"/>
        <v>1320.2112337974077</v>
      </c>
      <c r="J18" s="9">
        <f>'1990-10'!J18</f>
        <v>624.9</v>
      </c>
      <c r="K18" s="9">
        <f>'1990-10'!K18</f>
        <v>825000</v>
      </c>
      <c r="L18" s="22">
        <f t="shared" si="4"/>
        <v>9719198.7901124414</v>
      </c>
      <c r="M18" s="22">
        <f t="shared" si="5"/>
        <v>825000</v>
      </c>
      <c r="N18" s="19" t="s">
        <v>92</v>
      </c>
      <c r="O18" s="4">
        <f t="shared" si="6"/>
        <v>899.29428708593377</v>
      </c>
      <c r="P18" s="13">
        <f>'1990-10'!P18</f>
        <v>561969</v>
      </c>
      <c r="Q18" s="22">
        <f t="shared" si="7"/>
        <v>6620470.81803721</v>
      </c>
      <c r="R18" s="13">
        <f t="shared" si="8"/>
        <v>561969</v>
      </c>
    </row>
    <row r="19" spans="1:18">
      <c r="A19" s="18" t="s">
        <v>81</v>
      </c>
      <c r="B19" s="4">
        <f>'1990-10'!B19</f>
        <v>61.851770964117151</v>
      </c>
      <c r="C19" s="4">
        <f>'1990-10'!C19</f>
        <v>73.60360744729941</v>
      </c>
      <c r="D19" s="16">
        <f t="shared" si="9"/>
        <v>51543.142470097628</v>
      </c>
      <c r="E19" s="4">
        <f>'Interval Circuities'!F19</f>
        <v>1.4574002955043319</v>
      </c>
      <c r="F19" s="4">
        <f t="shared" si="0"/>
        <v>42.439795816504486</v>
      </c>
      <c r="G19" s="4">
        <f t="shared" si="1"/>
        <v>35.366496513753738</v>
      </c>
      <c r="H19" s="4">
        <f t="shared" si="2"/>
        <v>3929.4697712755155</v>
      </c>
      <c r="I19" s="4">
        <f t="shared" si="3"/>
        <v>2328.0373051224947</v>
      </c>
      <c r="J19" s="9">
        <f>'1990-10'!J19</f>
        <v>359.2</v>
      </c>
      <c r="K19" s="9">
        <f>'1990-10'!K19</f>
        <v>836231</v>
      </c>
      <c r="L19" s="22">
        <f t="shared" si="4"/>
        <v>9147952.2168805562</v>
      </c>
      <c r="M19" s="22">
        <f t="shared" si="5"/>
        <v>836231</v>
      </c>
      <c r="N19" s="19" t="s">
        <v>92</v>
      </c>
      <c r="O19" s="4">
        <f t="shared" si="6"/>
        <v>1218.0345211581291</v>
      </c>
      <c r="P19" s="13">
        <f>'1990-10'!P19</f>
        <v>437518</v>
      </c>
      <c r="Q19" s="22">
        <f t="shared" si="7"/>
        <v>4786229.8312609158</v>
      </c>
      <c r="R19" s="13">
        <f t="shared" si="8"/>
        <v>437518</v>
      </c>
    </row>
    <row r="20" spans="1:18">
      <c r="A20" s="18" t="s">
        <v>39</v>
      </c>
      <c r="B20" s="4">
        <f>'1990-10'!B20</f>
        <v>61.865929871835121</v>
      </c>
      <c r="C20" s="4">
        <f>'1990-10'!C20</f>
        <v>73.620456547483784</v>
      </c>
      <c r="D20" s="16">
        <f t="shared" si="9"/>
        <v>51554.941559862607</v>
      </c>
      <c r="E20" s="4">
        <f>'Interval Circuities'!F20</f>
        <v>1.2722002879394259</v>
      </c>
      <c r="F20" s="4">
        <f t="shared" si="0"/>
        <v>48.629080230785789</v>
      </c>
      <c r="G20" s="4">
        <f t="shared" si="1"/>
        <v>40.524233525654829</v>
      </c>
      <c r="H20" s="4">
        <f t="shared" si="2"/>
        <v>5159.165876153781</v>
      </c>
      <c r="I20" s="4">
        <f t="shared" si="3"/>
        <v>951.03794313448986</v>
      </c>
      <c r="J20" s="9">
        <f>'1990-10'!J20</f>
        <v>3049.3</v>
      </c>
      <c r="K20" s="9">
        <f>'1990-10'!K20</f>
        <v>2900000</v>
      </c>
      <c r="L20" s="22">
        <f t="shared" si="4"/>
        <v>4906562.5031469399</v>
      </c>
      <c r="M20" s="22">
        <f t="shared" si="5"/>
        <v>2900000</v>
      </c>
      <c r="N20" s="19" t="s">
        <v>92</v>
      </c>
      <c r="O20" s="4">
        <f t="shared" si="6"/>
        <v>577.11474764700097</v>
      </c>
      <c r="P20" s="13">
        <f>'1990-10'!P20</f>
        <v>1759796</v>
      </c>
      <c r="Q20" s="22">
        <f t="shared" si="7"/>
        <v>2977430.7126855082</v>
      </c>
      <c r="R20" s="13">
        <f t="shared" si="8"/>
        <v>1759796</v>
      </c>
    </row>
    <row r="21" spans="1:18">
      <c r="A21" s="18" t="s">
        <v>40</v>
      </c>
      <c r="B21" s="4">
        <f>'1990-10'!B21</f>
        <v>66.181816591922129</v>
      </c>
      <c r="C21" s="4">
        <f>'1990-10'!C21</f>
        <v>78.094543578468105</v>
      </c>
      <c r="D21" s="16">
        <f t="shared" si="9"/>
        <v>55151.513826601782</v>
      </c>
      <c r="E21" s="4">
        <f>'Interval Circuities'!F21</f>
        <v>1.1891581230137593</v>
      </c>
      <c r="F21" s="4">
        <f t="shared" si="0"/>
        <v>55.654345129639552</v>
      </c>
      <c r="G21" s="4">
        <f t="shared" si="1"/>
        <v>46.378620941366293</v>
      </c>
      <c r="H21" s="4">
        <f t="shared" si="2"/>
        <v>6757.4919089411369</v>
      </c>
      <c r="I21" s="4">
        <f t="shared" si="3"/>
        <v>778.16205533596838</v>
      </c>
      <c r="J21" s="9">
        <f>'1990-10'!J21</f>
        <v>1214.4000000000001</v>
      </c>
      <c r="K21" s="9">
        <f>'1990-10'!K21</f>
        <v>945000</v>
      </c>
      <c r="L21" s="22">
        <f t="shared" si="4"/>
        <v>5258423.7927778112</v>
      </c>
      <c r="M21" s="22">
        <f t="shared" si="5"/>
        <v>945000</v>
      </c>
      <c r="N21" s="19" t="s">
        <v>92</v>
      </c>
      <c r="O21" s="4">
        <f t="shared" si="6"/>
        <v>514.63356389986825</v>
      </c>
      <c r="P21" s="13">
        <f>'1990-10'!P21</f>
        <v>624971</v>
      </c>
      <c r="Q21" s="22">
        <f t="shared" si="7"/>
        <v>3477632.1441229014</v>
      </c>
      <c r="R21" s="13">
        <f t="shared" si="8"/>
        <v>624971</v>
      </c>
    </row>
    <row r="22" spans="1:18" ht="16">
      <c r="A22" s="18" t="s">
        <v>120</v>
      </c>
      <c r="B22" s="4">
        <f>'1990-10'!B22</f>
        <v>65.10221093956217</v>
      </c>
      <c r="C22" s="4">
        <f>'1990-10'!C22</f>
        <v>72.914476252309626</v>
      </c>
      <c r="D22" s="16">
        <f t="shared" si="9"/>
        <v>54251.842449635144</v>
      </c>
      <c r="E22" s="4">
        <f>'Interval Circuities'!F22</f>
        <v>1.3158819753742408</v>
      </c>
      <c r="F22" s="4">
        <f t="shared" si="0"/>
        <v>49.474202214105794</v>
      </c>
      <c r="G22" s="4">
        <f t="shared" si="1"/>
        <v>41.228501845088161</v>
      </c>
      <c r="H22" s="4">
        <f t="shared" si="2"/>
        <v>5340.0457798190637</v>
      </c>
      <c r="I22" s="4">
        <f t="shared" si="3"/>
        <v>1078.3820073850286</v>
      </c>
      <c r="J22" s="9">
        <f>'1990-10'!J22</f>
        <v>1191.5999999999999</v>
      </c>
      <c r="K22" s="9">
        <f>'1990-10'!K22</f>
        <v>1285000</v>
      </c>
      <c r="L22" s="22">
        <f t="shared" si="4"/>
        <v>5758609.2875692323</v>
      </c>
      <c r="M22" s="22">
        <f t="shared" si="5"/>
        <v>1285000</v>
      </c>
      <c r="N22" s="19" t="s">
        <v>92</v>
      </c>
      <c r="O22" s="4">
        <f t="shared" si="6"/>
        <v>643.63293051359517</v>
      </c>
      <c r="P22" s="13">
        <f>'1990-10'!P22</f>
        <v>766953</v>
      </c>
      <c r="Q22" s="22">
        <f t="shared" si="7"/>
        <v>3437029.3143417006</v>
      </c>
      <c r="R22" s="13">
        <f t="shared" si="8"/>
        <v>766953</v>
      </c>
    </row>
    <row r="23" spans="1:18">
      <c r="A23" s="18" t="s">
        <v>41</v>
      </c>
      <c r="B23" s="4">
        <f>'1990-10'!B23</f>
        <v>55.540281389808555</v>
      </c>
      <c r="C23" s="4">
        <f>'1990-10'!C23</f>
        <v>57.206489831502807</v>
      </c>
      <c r="D23" s="16">
        <f t="shared" si="9"/>
        <v>46283.567824840466</v>
      </c>
      <c r="E23" s="4">
        <f>'Interval Circuities'!F23</f>
        <v>1.308047643913695</v>
      </c>
      <c r="F23" s="4">
        <f t="shared" si="0"/>
        <v>42.46044220807687</v>
      </c>
      <c r="G23" s="4">
        <f t="shared" si="1"/>
        <v>35.383701840064063</v>
      </c>
      <c r="H23" s="4">
        <f t="shared" si="2"/>
        <v>3933.2939699637545</v>
      </c>
      <c r="I23" s="4">
        <f t="shared" si="3"/>
        <v>547.57015742642022</v>
      </c>
      <c r="J23" s="9">
        <f>'1990-10'!J23</f>
        <v>1314.9</v>
      </c>
      <c r="K23" s="9">
        <f>'1990-10'!K23</f>
        <v>720000</v>
      </c>
      <c r="L23" s="22">
        <f t="shared" si="4"/>
        <v>2153754.3983374424</v>
      </c>
      <c r="M23" s="22">
        <f t="shared" si="5"/>
        <v>720000</v>
      </c>
      <c r="N23" s="19" t="s">
        <v>92</v>
      </c>
      <c r="O23" s="4">
        <f t="shared" si="6"/>
        <v>337.57852308160312</v>
      </c>
      <c r="P23" s="13">
        <f>'1990-10'!P23</f>
        <v>443882</v>
      </c>
      <c r="Q23" s="22">
        <f t="shared" si="7"/>
        <v>1327795.5692261397</v>
      </c>
      <c r="R23" s="13">
        <f t="shared" si="8"/>
        <v>443882</v>
      </c>
    </row>
    <row r="24" spans="1:18">
      <c r="A24" s="18" t="s">
        <v>75</v>
      </c>
      <c r="B24" s="4">
        <f>'1990-10'!B24</f>
        <v>63.219918440805898</v>
      </c>
      <c r="C24" s="4">
        <f>'1990-10'!C24</f>
        <v>65.116515994030081</v>
      </c>
      <c r="D24" s="16">
        <f t="shared" si="9"/>
        <v>52683.265367338252</v>
      </c>
      <c r="E24" s="4">
        <f>'Interval Circuities'!F24</f>
        <v>1.2596090368446629</v>
      </c>
      <c r="F24" s="4">
        <f t="shared" si="0"/>
        <v>50.190111845475975</v>
      </c>
      <c r="G24" s="4">
        <f t="shared" si="1"/>
        <v>41.825093204563316</v>
      </c>
      <c r="H24" s="4">
        <f t="shared" si="2"/>
        <v>5495.7087338479596</v>
      </c>
      <c r="I24" s="4">
        <f t="shared" si="3"/>
        <v>587.90735391009071</v>
      </c>
      <c r="J24" s="9">
        <f>'1990-10'!J24</f>
        <v>1973.1</v>
      </c>
      <c r="K24" s="9">
        <f>'1990-10'!K24</f>
        <v>1160000</v>
      </c>
      <c r="L24" s="22">
        <f t="shared" si="4"/>
        <v>3230967.5795771289</v>
      </c>
      <c r="M24" s="22">
        <f t="shared" si="5"/>
        <v>1160000</v>
      </c>
      <c r="N24" s="19" t="s">
        <v>92</v>
      </c>
      <c r="O24" s="4">
        <f t="shared" si="6"/>
        <v>390.91227003192949</v>
      </c>
      <c r="P24" s="13">
        <f>'1990-10'!P24</f>
        <v>771309</v>
      </c>
      <c r="Q24" s="22">
        <f t="shared" si="7"/>
        <v>2148339.976582807</v>
      </c>
      <c r="R24" s="13">
        <f t="shared" si="8"/>
        <v>771309</v>
      </c>
    </row>
    <row r="25" spans="1:18">
      <c r="A25" s="18" t="s">
        <v>63</v>
      </c>
      <c r="B25" s="4">
        <f>'1990-10'!B25</f>
        <v>58.291697709553844</v>
      </c>
      <c r="C25" s="4">
        <f>'1990-10'!C25</f>
        <v>60.040448640840452</v>
      </c>
      <c r="D25" s="16">
        <f t="shared" si="9"/>
        <v>48576.414757961538</v>
      </c>
      <c r="E25" s="4">
        <f>'Interval Circuities'!F25</f>
        <v>1.329484525894616</v>
      </c>
      <c r="F25" s="4">
        <f t="shared" si="0"/>
        <v>43.845337477944021</v>
      </c>
      <c r="G25" s="4">
        <f t="shared" si="1"/>
        <v>36.537781231620016</v>
      </c>
      <c r="H25" s="4">
        <f t="shared" si="2"/>
        <v>4194.0559036199575</v>
      </c>
      <c r="I25" s="4">
        <f t="shared" si="3"/>
        <v>1175.4827875734677</v>
      </c>
      <c r="J25" s="9">
        <f>'1990-10'!J25</f>
        <v>595.5</v>
      </c>
      <c r="K25" s="9">
        <f>'1990-10'!K25</f>
        <v>700000</v>
      </c>
      <c r="L25" s="22">
        <f t="shared" si="4"/>
        <v>4930040.5248261467</v>
      </c>
      <c r="M25" s="22">
        <f t="shared" si="5"/>
        <v>700000</v>
      </c>
      <c r="N25" s="19" t="s">
        <v>92</v>
      </c>
      <c r="O25" s="4">
        <f t="shared" si="6"/>
        <v>623.22082283795135</v>
      </c>
      <c r="P25" s="13">
        <f>'1990-10'!P25</f>
        <v>371128</v>
      </c>
      <c r="Q25" s="22">
        <f t="shared" si="7"/>
        <v>2613822.9712823974</v>
      </c>
      <c r="R25" s="13">
        <f t="shared" si="8"/>
        <v>371128</v>
      </c>
    </row>
    <row r="26" spans="1:18" ht="16">
      <c r="A26" s="18" t="s">
        <v>121</v>
      </c>
      <c r="B26" s="4">
        <f>'1990-10'!B26</f>
        <v>48.116227796764051</v>
      </c>
      <c r="C26" s="4">
        <f>'1990-10'!C26</f>
        <v>49.559714630666974</v>
      </c>
      <c r="D26" s="16">
        <f t="shared" si="9"/>
        <v>40096.856497303379</v>
      </c>
      <c r="E26" s="4">
        <f>'Interval Circuities'!F26</f>
        <v>1.2360933047718667</v>
      </c>
      <c r="F26" s="4">
        <f t="shared" si="0"/>
        <v>38.92604839053341</v>
      </c>
      <c r="G26" s="4">
        <f t="shared" si="1"/>
        <v>32.438373658777842</v>
      </c>
      <c r="H26" s="4">
        <f t="shared" si="2"/>
        <v>3305.7348555581116</v>
      </c>
      <c r="I26" s="4">
        <f t="shared" si="3"/>
        <v>2243.0420521281399</v>
      </c>
      <c r="J26" s="9">
        <f>'1990-10'!J26</f>
        <v>5091.3</v>
      </c>
      <c r="K26" s="9">
        <f>'1990-10'!K26</f>
        <v>11420000</v>
      </c>
      <c r="L26" s="22">
        <f t="shared" si="4"/>
        <v>7414902.2942025866</v>
      </c>
      <c r="M26" s="22">
        <f t="shared" si="5"/>
        <v>7414902.2942025866</v>
      </c>
      <c r="N26" s="19" t="s">
        <v>92</v>
      </c>
      <c r="O26" s="4">
        <f t="shared" si="6"/>
        <v>1186.7479818513934</v>
      </c>
      <c r="P26" s="13">
        <f>'1990-10'!P26</f>
        <v>6042090</v>
      </c>
      <c r="Q26" s="22">
        <f t="shared" si="7"/>
        <v>3923074.1683693966</v>
      </c>
      <c r="R26" s="13">
        <f t="shared" si="8"/>
        <v>3923074.1683693966</v>
      </c>
    </row>
    <row r="27" spans="1:18">
      <c r="A27" s="18" t="s">
        <v>42</v>
      </c>
      <c r="B27" s="4">
        <f>'1990-10'!B27</f>
        <v>62.487212851553508</v>
      </c>
      <c r="C27" s="4">
        <f>'1990-10'!C27</f>
        <v>64.986701365615659</v>
      </c>
      <c r="D27" s="16">
        <f t="shared" si="9"/>
        <v>52072.677376294596</v>
      </c>
      <c r="E27" s="4">
        <f>'Interval Circuities'!F27</f>
        <v>1.3025339347915854</v>
      </c>
      <c r="F27" s="4">
        <f t="shared" si="0"/>
        <v>47.973577641608166</v>
      </c>
      <c r="G27" s="4">
        <f t="shared" si="1"/>
        <v>39.977981368006809</v>
      </c>
      <c r="H27" s="4">
        <f t="shared" si="2"/>
        <v>5021.0158830501532</v>
      </c>
      <c r="I27" s="4">
        <f t="shared" si="3"/>
        <v>1106.8597977589507</v>
      </c>
      <c r="J27" s="9">
        <f>'1990-10'!J27</f>
        <v>731.8</v>
      </c>
      <c r="K27" s="9">
        <f>'1990-10'!K27</f>
        <v>810000</v>
      </c>
      <c r="L27" s="22">
        <f t="shared" si="4"/>
        <v>5557560.6248573717</v>
      </c>
      <c r="M27" s="22">
        <f t="shared" si="5"/>
        <v>810000</v>
      </c>
      <c r="N27" s="19" t="s">
        <v>92</v>
      </c>
      <c r="O27" s="4">
        <f t="shared" si="6"/>
        <v>610.65318393003554</v>
      </c>
      <c r="P27" s="13">
        <f>'1990-10'!P27</f>
        <v>446876</v>
      </c>
      <c r="Q27" s="22">
        <f t="shared" si="7"/>
        <v>3066099.3355478551</v>
      </c>
      <c r="R27" s="13">
        <f t="shared" si="8"/>
        <v>446876</v>
      </c>
    </row>
    <row r="28" spans="1:18">
      <c r="A28" s="18" t="s">
        <v>43</v>
      </c>
      <c r="B28" s="4">
        <f>'1990-10'!B28</f>
        <v>65.308032205055966</v>
      </c>
      <c r="C28" s="4">
        <f>'1990-10'!C28</f>
        <v>67.920353493258204</v>
      </c>
      <c r="D28" s="16">
        <f t="shared" si="9"/>
        <v>54423.360170879976</v>
      </c>
      <c r="E28" s="4">
        <f>'Interval Circuities'!F28</f>
        <v>1.2608373515002151</v>
      </c>
      <c r="F28" s="4">
        <f t="shared" si="0"/>
        <v>51.797348902575578</v>
      </c>
      <c r="G28" s="4">
        <f t="shared" si="1"/>
        <v>43.164457418812987</v>
      </c>
      <c r="H28" s="4">
        <f t="shared" si="2"/>
        <v>5853.3223915789204</v>
      </c>
      <c r="I28" s="4">
        <f t="shared" si="3"/>
        <v>973.62164609985291</v>
      </c>
      <c r="J28" s="9">
        <f>'1990-10'!J28</f>
        <v>883.3</v>
      </c>
      <c r="K28" s="9">
        <f>'1990-10'!K28</f>
        <v>860000</v>
      </c>
      <c r="L28" s="22">
        <f t="shared" si="4"/>
        <v>5698921.3820421966</v>
      </c>
      <c r="M28" s="22">
        <f t="shared" si="5"/>
        <v>860000</v>
      </c>
      <c r="N28" s="19" t="s">
        <v>92</v>
      </c>
      <c r="O28" s="4">
        <f t="shared" si="6"/>
        <v>507.45726253820902</v>
      </c>
      <c r="P28" s="13">
        <f>'1990-10'!P28</f>
        <v>448237</v>
      </c>
      <c r="Q28" s="22">
        <f t="shared" si="7"/>
        <v>2970310.9575842419</v>
      </c>
      <c r="R28" s="13">
        <f t="shared" si="8"/>
        <v>448237</v>
      </c>
    </row>
    <row r="29" spans="1:18">
      <c r="A29" s="18" t="s">
        <v>44</v>
      </c>
      <c r="B29" s="4">
        <f>'1990-10'!B29</f>
        <v>64.485521071986952</v>
      </c>
      <c r="C29" s="4">
        <f>'1990-10'!C29</f>
        <v>67.064941914866438</v>
      </c>
      <c r="D29" s="16">
        <f t="shared" si="9"/>
        <v>53737.934226655794</v>
      </c>
      <c r="E29" s="4">
        <f>'Interval Circuities'!F29</f>
        <v>1.1771971316163268</v>
      </c>
      <c r="F29" s="4">
        <f t="shared" si="0"/>
        <v>54.778863573551533</v>
      </c>
      <c r="G29" s="4">
        <f t="shared" si="1"/>
        <v>45.649052977959613</v>
      </c>
      <c r="H29" s="4">
        <f t="shared" si="2"/>
        <v>6546.5639875896468</v>
      </c>
      <c r="I29" s="4">
        <f t="shared" si="3"/>
        <v>927.60180995475116</v>
      </c>
      <c r="J29" s="9">
        <f>'1990-10'!J29</f>
        <v>1326</v>
      </c>
      <c r="K29" s="9">
        <f>'1990-10'!K29</f>
        <v>1230000</v>
      </c>
      <c r="L29" s="22">
        <f t="shared" si="4"/>
        <v>6072604.603872749</v>
      </c>
      <c r="M29" s="22">
        <f t="shared" si="5"/>
        <v>1230000</v>
      </c>
      <c r="N29" s="19" t="s">
        <v>92</v>
      </c>
      <c r="O29" s="4">
        <f t="shared" si="6"/>
        <v>582.76923076923072</v>
      </c>
      <c r="P29" s="13">
        <f>'1990-10'!P29</f>
        <v>772752</v>
      </c>
      <c r="Q29" s="22">
        <f t="shared" si="7"/>
        <v>3815136.0592291662</v>
      </c>
      <c r="R29" s="13">
        <f t="shared" si="8"/>
        <v>772752</v>
      </c>
    </row>
    <row r="30" spans="1:18">
      <c r="A30" s="18" t="s">
        <v>45</v>
      </c>
      <c r="B30" s="4">
        <f>'1990-10'!B30</f>
        <v>63.564185114523426</v>
      </c>
      <c r="C30" s="4">
        <f>'1990-10'!C30</f>
        <v>66.106752519104361</v>
      </c>
      <c r="D30" s="16">
        <f t="shared" si="9"/>
        <v>52970.154262102857</v>
      </c>
      <c r="E30" s="4">
        <f>'Interval Circuities'!F30</f>
        <v>1.2354179281430617</v>
      </c>
      <c r="F30" s="4">
        <f t="shared" si="0"/>
        <v>51.451564419229214</v>
      </c>
      <c r="G30" s="4">
        <f t="shared" si="1"/>
        <v>42.876303682691017</v>
      </c>
      <c r="H30" s="4">
        <f t="shared" si="2"/>
        <v>5775.4329893130389</v>
      </c>
      <c r="I30" s="4">
        <f t="shared" si="3"/>
        <v>730.08608477716029</v>
      </c>
      <c r="J30" s="9">
        <f>'1990-10'!J30</f>
        <v>2753.1</v>
      </c>
      <c r="K30" s="9">
        <f>'1990-10'!K30</f>
        <v>2010000</v>
      </c>
      <c r="L30" s="22">
        <f t="shared" si="4"/>
        <v>4216563.259060408</v>
      </c>
      <c r="M30" s="22">
        <f t="shared" si="5"/>
        <v>2010000</v>
      </c>
      <c r="N30" s="19" t="s">
        <v>92</v>
      </c>
      <c r="O30" s="4">
        <f t="shared" si="6"/>
        <v>474.96422214957687</v>
      </c>
      <c r="P30" s="13">
        <f>'1990-10'!P30</f>
        <v>1307624</v>
      </c>
      <c r="Q30" s="22">
        <f t="shared" si="7"/>
        <v>2743124.037346073</v>
      </c>
      <c r="R30" s="13">
        <f t="shared" si="8"/>
        <v>1307624</v>
      </c>
    </row>
    <row r="31" spans="1:18">
      <c r="A31" s="18" t="s">
        <v>46</v>
      </c>
      <c r="B31" s="4">
        <f>'1990-10'!B31</f>
        <v>63.734436519319452</v>
      </c>
      <c r="C31" s="4">
        <f>'1990-10'!C31</f>
        <v>66.283813980092233</v>
      </c>
      <c r="D31" s="16">
        <f t="shared" si="9"/>
        <v>53112.030432766209</v>
      </c>
      <c r="E31" s="4">
        <f>'Interval Circuities'!F31</f>
        <v>1.2975109840164123</v>
      </c>
      <c r="F31" s="4">
        <f t="shared" si="0"/>
        <v>49.120537170352982</v>
      </c>
      <c r="G31" s="4">
        <f t="shared" si="1"/>
        <v>40.933780975294155</v>
      </c>
      <c r="H31" s="4">
        <f t="shared" si="2"/>
        <v>5263.9723039135661</v>
      </c>
      <c r="I31" s="4">
        <f t="shared" si="3"/>
        <v>451.20587765532662</v>
      </c>
      <c r="J31" s="9">
        <f>'1990-10'!J31</f>
        <v>1252.2</v>
      </c>
      <c r="K31" s="9">
        <f>'1990-10'!K31</f>
        <v>565000</v>
      </c>
      <c r="L31" s="22">
        <f t="shared" si="4"/>
        <v>2375135.2433406524</v>
      </c>
      <c r="M31" s="22">
        <f t="shared" si="5"/>
        <v>565000</v>
      </c>
      <c r="N31" s="19" t="s">
        <v>92</v>
      </c>
      <c r="O31" s="4">
        <f t="shared" si="6"/>
        <v>395.8768567321514</v>
      </c>
      <c r="P31" s="13">
        <f>'1990-10'!P31</f>
        <v>495717</v>
      </c>
      <c r="Q31" s="22">
        <f t="shared" si="7"/>
        <v>2083884.8095984037</v>
      </c>
      <c r="R31" s="13">
        <f t="shared" si="8"/>
        <v>495717</v>
      </c>
    </row>
    <row r="32" spans="1:18">
      <c r="A32" s="18" t="s">
        <v>47</v>
      </c>
      <c r="B32" s="4">
        <f>'1990-10'!B32</f>
        <v>62.636693012318808</v>
      </c>
      <c r="C32" s="4">
        <f>'1990-10'!C32</f>
        <v>65.142160732811561</v>
      </c>
      <c r="D32" s="16">
        <f t="shared" si="9"/>
        <v>52197.244176932341</v>
      </c>
      <c r="E32" s="4">
        <f>'Interval Circuities'!F32</f>
        <v>1.2846690927988274</v>
      </c>
      <c r="F32" s="4">
        <f t="shared" si="0"/>
        <v>48.757063872266286</v>
      </c>
      <c r="G32" s="4">
        <f t="shared" si="1"/>
        <v>40.63088656022191</v>
      </c>
      <c r="H32" s="4">
        <f t="shared" si="2"/>
        <v>5186.3577423304323</v>
      </c>
      <c r="I32" s="4">
        <f t="shared" si="3"/>
        <v>1501.072194424589</v>
      </c>
      <c r="J32" s="9">
        <f>'1990-10'!J32</f>
        <v>699.5</v>
      </c>
      <c r="K32" s="9">
        <f>'1990-10'!K32</f>
        <v>1050000</v>
      </c>
      <c r="L32" s="22">
        <f t="shared" si="4"/>
        <v>7785097.3973508989</v>
      </c>
      <c r="M32" s="22">
        <f t="shared" si="5"/>
        <v>1050000</v>
      </c>
      <c r="N32" s="19" t="s">
        <v>92</v>
      </c>
      <c r="O32" s="4">
        <f t="shared" si="6"/>
        <v>735.84846318799146</v>
      </c>
      <c r="P32" s="13">
        <f>'1990-10'!P32</f>
        <v>514726</v>
      </c>
      <c r="Q32" s="22">
        <f t="shared" si="7"/>
        <v>3816373.3742369898</v>
      </c>
      <c r="R32" s="13">
        <f t="shared" si="8"/>
        <v>514726</v>
      </c>
    </row>
    <row r="33" spans="1:18">
      <c r="A33" s="18" t="s">
        <v>65</v>
      </c>
      <c r="B33" s="4">
        <f>'1990-10'!B33</f>
        <v>59.42988867805861</v>
      </c>
      <c r="C33" s="4">
        <f>'1990-10'!C33</f>
        <v>62.40138311196155</v>
      </c>
      <c r="D33" s="16">
        <f t="shared" si="9"/>
        <v>49524.907231715508</v>
      </c>
      <c r="E33" s="4">
        <f>'Interval Circuities'!F33</f>
        <v>1.2410959429298725</v>
      </c>
      <c r="F33" s="4">
        <f t="shared" si="0"/>
        <v>47.88500761493237</v>
      </c>
      <c r="G33" s="4">
        <f t="shared" si="1"/>
        <v>39.904173012443643</v>
      </c>
      <c r="H33" s="4">
        <f t="shared" si="2"/>
        <v>5002.4931455871401</v>
      </c>
      <c r="I33" s="4">
        <f t="shared" si="3"/>
        <v>2072.7310590777161</v>
      </c>
      <c r="J33" s="9">
        <f>'1990-10'!J33</f>
        <v>7683.1</v>
      </c>
      <c r="K33" s="9">
        <f>'1990-10'!K33</f>
        <v>15925000</v>
      </c>
      <c r="L33" s="22">
        <f t="shared" si="4"/>
        <v>10368822.915681848</v>
      </c>
      <c r="M33" s="22">
        <f t="shared" si="5"/>
        <v>10368822.915681848</v>
      </c>
      <c r="N33" s="19" t="s">
        <v>92</v>
      </c>
      <c r="O33" s="4">
        <f t="shared" si="6"/>
        <v>1112.8936236675299</v>
      </c>
      <c r="P33" s="13">
        <f>'1990-10'!P33</f>
        <v>8550473</v>
      </c>
      <c r="Q33" s="22">
        <f t="shared" si="7"/>
        <v>5567242.7241644524</v>
      </c>
      <c r="R33" s="13">
        <f t="shared" si="8"/>
        <v>5567242.7241644524</v>
      </c>
    </row>
    <row r="34" spans="1:18">
      <c r="A34" s="18" t="s">
        <v>66</v>
      </c>
      <c r="B34" s="4">
        <f>'1990-10'!B34</f>
        <v>69.714425398287744</v>
      </c>
      <c r="C34" s="4">
        <f>'1990-10'!C34</f>
        <v>72.503002414219253</v>
      </c>
      <c r="D34" s="16">
        <f t="shared" si="9"/>
        <v>58095.354498573121</v>
      </c>
      <c r="E34" s="4">
        <f>'Interval Circuities'!F34</f>
        <v>1.2638638232191739</v>
      </c>
      <c r="F34" s="4">
        <f t="shared" si="0"/>
        <v>55.159760187390191</v>
      </c>
      <c r="G34" s="4">
        <f t="shared" si="1"/>
        <v>45.966466822825161</v>
      </c>
      <c r="H34" s="4">
        <f t="shared" si="2"/>
        <v>6637.9216099932819</v>
      </c>
      <c r="I34" s="4">
        <f t="shared" si="3"/>
        <v>411.8665313675163</v>
      </c>
      <c r="J34" s="9">
        <f>'1990-10'!J34</f>
        <v>1675.3</v>
      </c>
      <c r="K34" s="9">
        <f>'1990-10'!K34</f>
        <v>690000</v>
      </c>
      <c r="L34" s="22">
        <f t="shared" si="4"/>
        <v>2733937.7489974122</v>
      </c>
      <c r="M34" s="22">
        <f t="shared" si="5"/>
        <v>690000</v>
      </c>
      <c r="N34" s="19" t="s">
        <v>92</v>
      </c>
      <c r="O34" s="4">
        <f t="shared" si="6"/>
        <v>268.68143019160749</v>
      </c>
      <c r="P34" s="13">
        <f>'1990-10'!P34</f>
        <v>450122</v>
      </c>
      <c r="Q34" s="22">
        <f t="shared" si="7"/>
        <v>1783486.2716727727</v>
      </c>
      <c r="R34" s="13">
        <f t="shared" si="8"/>
        <v>450122</v>
      </c>
    </row>
    <row r="35" spans="1:18">
      <c r="A35" s="18" t="s">
        <v>48</v>
      </c>
      <c r="B35" s="4">
        <f>'1990-10'!B35</f>
        <v>58.78311324728174</v>
      </c>
      <c r="C35" s="4">
        <f>'1990-10'!C35</f>
        <v>61.722268909645827</v>
      </c>
      <c r="D35" s="16">
        <f t="shared" si="9"/>
        <v>48985.92770606812</v>
      </c>
      <c r="E35" s="4">
        <f>'Interval Circuities'!F35</f>
        <v>1.315316264996125</v>
      </c>
      <c r="F35" s="4">
        <f t="shared" ref="F35:F53" si="10">B35/E35</f>
        <v>44.691238762606588</v>
      </c>
      <c r="G35" s="4">
        <f t="shared" ref="G35:G53" si="11">F35*$A$1</f>
        <v>37.242698968838823</v>
      </c>
      <c r="H35" s="4">
        <f t="shared" ref="H35:H53" si="12">PI()*G35^2</f>
        <v>4357.4475273529206</v>
      </c>
      <c r="I35" s="4">
        <f t="shared" ref="I35:I53" si="13">K35/J35</f>
        <v>841.40495059191858</v>
      </c>
      <c r="J35" s="9">
        <f>'1990-10'!J35</f>
        <v>1022.1</v>
      </c>
      <c r="K35" s="9">
        <f>'1990-10'!K35</f>
        <v>860000</v>
      </c>
      <c r="L35" s="22">
        <f t="shared" ref="L35:L53" si="14">H35*I35</f>
        <v>3666377.9214592618</v>
      </c>
      <c r="M35" s="22">
        <f t="shared" ref="M35:M53" si="15">MIN(K35,L35)</f>
        <v>860000</v>
      </c>
      <c r="N35" s="19" t="s">
        <v>92</v>
      </c>
      <c r="O35" s="4">
        <f t="shared" ref="O35:O53" si="16">P35/J35</f>
        <v>545.39477546228352</v>
      </c>
      <c r="P35" s="13">
        <f>'1990-10'!P35</f>
        <v>557448</v>
      </c>
      <c r="Q35" s="22">
        <f t="shared" ref="Q35:Q53" si="17">H35*O35</f>
        <v>2376529.1157693285</v>
      </c>
      <c r="R35" s="13">
        <f t="shared" ref="R35:R53" si="18">MIN(Q35,P35)</f>
        <v>557448</v>
      </c>
    </row>
    <row r="36" spans="1:18">
      <c r="A36" s="18" t="s">
        <v>67</v>
      </c>
      <c r="B36" s="4">
        <f>'1990-10'!B36</f>
        <v>63.176257053555211</v>
      </c>
      <c r="C36" s="4">
        <f>'1990-10'!C36</f>
        <v>66.966832476768531</v>
      </c>
      <c r="D36" s="16">
        <f t="shared" si="9"/>
        <v>52646.880877962678</v>
      </c>
      <c r="E36" s="4">
        <f>'Interval Circuities'!F36</f>
        <v>1.1750407221381178</v>
      </c>
      <c r="F36" s="4">
        <f t="shared" si="10"/>
        <v>53.765163932871154</v>
      </c>
      <c r="G36" s="4">
        <f t="shared" si="11"/>
        <v>44.804303277392627</v>
      </c>
      <c r="H36" s="4">
        <f t="shared" si="12"/>
        <v>6306.5134929975038</v>
      </c>
      <c r="I36" s="4">
        <f t="shared" si="13"/>
        <v>1518.9201737803867</v>
      </c>
      <c r="J36" s="9">
        <f>'1990-10'!J36</f>
        <v>3015.3</v>
      </c>
      <c r="K36" s="9">
        <f>'1990-10'!K36</f>
        <v>4580000</v>
      </c>
      <c r="L36" s="22">
        <f t="shared" si="14"/>
        <v>9579090.5707321223</v>
      </c>
      <c r="M36" s="22">
        <f t="shared" si="15"/>
        <v>4580000</v>
      </c>
      <c r="N36" s="19" t="s">
        <v>92</v>
      </c>
      <c r="O36" s="4">
        <f t="shared" si="16"/>
        <v>926.91175007461936</v>
      </c>
      <c r="P36" s="13">
        <f>'1990-10'!P36</f>
        <v>2794917</v>
      </c>
      <c r="Q36" s="22">
        <f t="shared" si="17"/>
        <v>5845581.4586635167</v>
      </c>
      <c r="R36" s="13">
        <f t="shared" si="18"/>
        <v>2794917</v>
      </c>
    </row>
    <row r="37" spans="1:18">
      <c r="A37" s="18" t="s">
        <v>49</v>
      </c>
      <c r="B37" s="4">
        <f>'1990-10'!B37</f>
        <v>62.02920484038443</v>
      </c>
      <c r="C37" s="4">
        <f>'1990-10'!C37</f>
        <v>65.130665082403652</v>
      </c>
      <c r="D37" s="16">
        <f t="shared" si="9"/>
        <v>51691.004033653691</v>
      </c>
      <c r="E37" s="4">
        <f>'Interval Circuities'!F37</f>
        <v>1.2687811766218124</v>
      </c>
      <c r="F37" s="4">
        <f t="shared" si="10"/>
        <v>48.88881233684441</v>
      </c>
      <c r="G37" s="4">
        <f t="shared" si="11"/>
        <v>40.740676947370346</v>
      </c>
      <c r="H37" s="4">
        <f t="shared" si="12"/>
        <v>5214.4241513492643</v>
      </c>
      <c r="I37" s="4">
        <f t="shared" si="13"/>
        <v>987.28769407106381</v>
      </c>
      <c r="J37" s="9">
        <f>'1990-10'!J37</f>
        <v>1919.4</v>
      </c>
      <c r="K37" s="9">
        <f>'1990-10'!K37</f>
        <v>1895000</v>
      </c>
      <c r="L37" s="22">
        <f t="shared" si="14"/>
        <v>5148136.7962940792</v>
      </c>
      <c r="M37" s="22">
        <f t="shared" si="15"/>
        <v>1895000</v>
      </c>
      <c r="N37" s="19" t="s">
        <v>92</v>
      </c>
      <c r="O37" s="4">
        <f t="shared" si="16"/>
        <v>519.17005314160667</v>
      </c>
      <c r="P37" s="13">
        <f>'1990-10'!P37</f>
        <v>996495</v>
      </c>
      <c r="Q37" s="22">
        <f t="shared" si="17"/>
        <v>2707172.8637588751</v>
      </c>
      <c r="R37" s="13">
        <f t="shared" si="18"/>
        <v>996495</v>
      </c>
    </row>
    <row r="38" spans="1:18">
      <c r="A38" s="18" t="s">
        <v>50</v>
      </c>
      <c r="B38" s="4">
        <f>'1990-10'!B38</f>
        <v>65.42916793409438</v>
      </c>
      <c r="C38" s="4">
        <f>'1990-10'!C38</f>
        <v>68.700626330799111</v>
      </c>
      <c r="D38" s="16">
        <f t="shared" si="9"/>
        <v>54524.30661174532</v>
      </c>
      <c r="E38" s="4">
        <f>'Interval Circuities'!F38</f>
        <v>1.2611477808444327</v>
      </c>
      <c r="F38" s="4">
        <f t="shared" si="10"/>
        <v>51.880651044943093</v>
      </c>
      <c r="G38" s="4">
        <f t="shared" si="11"/>
        <v>43.233875870785916</v>
      </c>
      <c r="H38" s="4">
        <f t="shared" si="12"/>
        <v>5872.1645287865031</v>
      </c>
      <c r="I38" s="4">
        <f t="shared" si="13"/>
        <v>883.28701865819767</v>
      </c>
      <c r="J38" s="9">
        <f>'1990-10'!J38</f>
        <v>2015.2</v>
      </c>
      <c r="K38" s="9">
        <f>'1990-10'!K38</f>
        <v>1780000</v>
      </c>
      <c r="L38" s="22">
        <f t="shared" si="14"/>
        <v>5186806.6997022508</v>
      </c>
      <c r="M38" s="22">
        <f t="shared" si="15"/>
        <v>1780000</v>
      </c>
      <c r="N38" s="19" t="s">
        <v>92</v>
      </c>
      <c r="O38" s="4">
        <f t="shared" si="16"/>
        <v>474.4710202461294</v>
      </c>
      <c r="P38" s="13">
        <f>'1990-10'!P38</f>
        <v>956154</v>
      </c>
      <c r="Q38" s="22">
        <f t="shared" si="17"/>
        <v>2786171.895026464</v>
      </c>
      <c r="R38" s="13">
        <f t="shared" si="18"/>
        <v>956154</v>
      </c>
    </row>
    <row r="39" spans="1:18">
      <c r="A39" s="18" t="s">
        <v>51</v>
      </c>
      <c r="B39" s="4">
        <f>'1990-10'!B39</f>
        <v>65.140770915733583</v>
      </c>
      <c r="C39" s="4">
        <f>'1990-10'!C39</f>
        <v>68.397809461520268</v>
      </c>
      <c r="D39" s="16">
        <f t="shared" si="9"/>
        <v>54283.975763111324</v>
      </c>
      <c r="E39" s="4">
        <f>'Interval Circuities'!F39</f>
        <v>1.404257765675055</v>
      </c>
      <c r="F39" s="4">
        <f t="shared" si="10"/>
        <v>46.388043924698614</v>
      </c>
      <c r="G39" s="4">
        <f t="shared" si="11"/>
        <v>38.656703270582177</v>
      </c>
      <c r="H39" s="4">
        <f t="shared" si="12"/>
        <v>4694.6097894270661</v>
      </c>
      <c r="I39" s="4">
        <f t="shared" si="13"/>
        <v>1184.1974325803562</v>
      </c>
      <c r="J39" s="9">
        <f>'1990-10'!J39</f>
        <v>1004.9</v>
      </c>
      <c r="K39" s="9">
        <f>'1990-10'!K39</f>
        <v>1190000</v>
      </c>
      <c r="L39" s="22">
        <f t="shared" si="14"/>
        <v>5559344.8596061384</v>
      </c>
      <c r="M39" s="22">
        <f t="shared" si="15"/>
        <v>1190000</v>
      </c>
      <c r="N39" s="19" t="s">
        <v>92</v>
      </c>
      <c r="O39" s="4">
        <f t="shared" si="16"/>
        <v>720.99910438849633</v>
      </c>
      <c r="P39" s="13">
        <f>'1990-10'!P39</f>
        <v>724532</v>
      </c>
      <c r="Q39" s="22">
        <f t="shared" si="17"/>
        <v>3384809.4536303822</v>
      </c>
      <c r="R39" s="13">
        <f t="shared" si="18"/>
        <v>724532</v>
      </c>
    </row>
    <row r="40" spans="1:18">
      <c r="A40" s="18" t="s">
        <v>52</v>
      </c>
      <c r="B40" s="4">
        <f>'1990-10'!B40</f>
        <v>70.338872065042395</v>
      </c>
      <c r="C40" s="4">
        <f>'1990-10'!C40</f>
        <v>75.262593109595372</v>
      </c>
      <c r="D40" s="16">
        <f t="shared" si="9"/>
        <v>58615.726720868668</v>
      </c>
      <c r="E40" s="4">
        <f>'Interval Circuities'!F40</f>
        <v>1.2254999619708764</v>
      </c>
      <c r="F40" s="4">
        <f t="shared" si="10"/>
        <v>57.396062217677958</v>
      </c>
      <c r="G40" s="4">
        <f t="shared" si="11"/>
        <v>47.830051848064969</v>
      </c>
      <c r="H40" s="4">
        <f t="shared" si="12"/>
        <v>7187.0650554273634</v>
      </c>
      <c r="I40" s="4">
        <f t="shared" si="13"/>
        <v>1415.4601861427093</v>
      </c>
      <c r="J40" s="9">
        <f>'1990-10'!J40</f>
        <v>773.6</v>
      </c>
      <c r="K40" s="9">
        <f>'1990-10'!K40</f>
        <v>1095000</v>
      </c>
      <c r="L40" s="22">
        <f t="shared" si="14"/>
        <v>10173004.441174977</v>
      </c>
      <c r="M40" s="22">
        <f t="shared" si="15"/>
        <v>1095000</v>
      </c>
      <c r="N40" s="19" t="s">
        <v>92</v>
      </c>
      <c r="O40" s="4">
        <f t="shared" si="16"/>
        <v>704.06928645294727</v>
      </c>
      <c r="P40" s="13">
        <f>'1990-10'!P40</f>
        <v>544668</v>
      </c>
      <c r="Q40" s="22">
        <f t="shared" si="17"/>
        <v>5060191.7652656557</v>
      </c>
      <c r="R40" s="13">
        <f t="shared" si="18"/>
        <v>544668</v>
      </c>
    </row>
    <row r="41" spans="1:18">
      <c r="A41" s="18" t="s">
        <v>53</v>
      </c>
      <c r="B41" s="4">
        <f>'1990-10'!B41</f>
        <v>68.778714095226661</v>
      </c>
      <c r="C41" s="4">
        <f>'1990-10'!C41</f>
        <v>74.281011222844796</v>
      </c>
      <c r="D41" s="16">
        <f t="shared" si="9"/>
        <v>57315.595079355553</v>
      </c>
      <c r="E41" s="4">
        <f>'Interval Circuities'!F41</f>
        <v>1.2020114783975173</v>
      </c>
      <c r="F41" s="4">
        <f t="shared" si="10"/>
        <v>57.219681618115835</v>
      </c>
      <c r="G41" s="4">
        <f t="shared" si="11"/>
        <v>47.683068015096531</v>
      </c>
      <c r="H41" s="4">
        <f t="shared" si="12"/>
        <v>7142.960599154977</v>
      </c>
      <c r="I41" s="4">
        <f t="shared" si="13"/>
        <v>1097.213078779899</v>
      </c>
      <c r="J41" s="9">
        <f>'1990-10'!J41</f>
        <v>455.7</v>
      </c>
      <c r="K41" s="9">
        <f>'1990-10'!K41</f>
        <v>500000</v>
      </c>
      <c r="L41" s="22">
        <f t="shared" si="14"/>
        <v>7837349.7906023441</v>
      </c>
      <c r="M41" s="22">
        <f t="shared" si="15"/>
        <v>500000</v>
      </c>
      <c r="N41" s="19" t="s">
        <v>92</v>
      </c>
      <c r="O41" s="4">
        <f t="shared" si="16"/>
        <v>877.11432960280888</v>
      </c>
      <c r="P41" s="13">
        <f>'1990-10'!P41</f>
        <v>399701</v>
      </c>
      <c r="Q41" s="22">
        <f t="shared" si="17"/>
        <v>6265193.0973070953</v>
      </c>
      <c r="R41" s="13">
        <f t="shared" si="18"/>
        <v>399701</v>
      </c>
    </row>
    <row r="42" spans="1:18">
      <c r="A42" s="18" t="s">
        <v>82</v>
      </c>
      <c r="B42" s="4">
        <f>'1990-10'!B42</f>
        <v>70.514936537683639</v>
      </c>
      <c r="C42" s="4">
        <f>'1990-10'!C42</f>
        <v>78.27157955682884</v>
      </c>
      <c r="D42" s="16">
        <f t="shared" si="9"/>
        <v>58762.447114736366</v>
      </c>
      <c r="E42" s="4">
        <f>'Interval Circuities'!F42</f>
        <v>1.2051187826060623</v>
      </c>
      <c r="F42" s="4">
        <f t="shared" si="10"/>
        <v>58.512851642055985</v>
      </c>
      <c r="G42" s="4">
        <f t="shared" si="11"/>
        <v>48.760709701713324</v>
      </c>
      <c r="H42" s="4">
        <f t="shared" si="12"/>
        <v>7469.4720893523881</v>
      </c>
      <c r="I42" s="4">
        <f t="shared" si="13"/>
        <v>1079.1366906474821</v>
      </c>
      <c r="J42" s="9">
        <f>'1990-10'!J42</f>
        <v>569.9</v>
      </c>
      <c r="K42" s="9">
        <f>'1990-10'!K42</f>
        <v>615000</v>
      </c>
      <c r="L42" s="22">
        <f t="shared" si="14"/>
        <v>8060581.3913874691</v>
      </c>
      <c r="M42" s="22">
        <f t="shared" si="15"/>
        <v>615000</v>
      </c>
      <c r="N42" s="19" t="s">
        <v>92</v>
      </c>
      <c r="O42" s="4">
        <f t="shared" si="16"/>
        <v>844.82716266011585</v>
      </c>
      <c r="P42" s="13">
        <f>'1990-10'!P42</f>
        <v>481467</v>
      </c>
      <c r="Q42" s="22">
        <f t="shared" si="17"/>
        <v>6310412.9118165057</v>
      </c>
      <c r="R42" s="13">
        <f t="shared" si="18"/>
        <v>481467</v>
      </c>
    </row>
    <row r="43" spans="1:18">
      <c r="A43" s="18" t="s">
        <v>54</v>
      </c>
      <c r="B43" s="4">
        <f>'1990-10'!B43</f>
        <v>61.557786724693997</v>
      </c>
      <c r="C43" s="4">
        <f>'1990-10'!C43</f>
        <v>68.329143264410348</v>
      </c>
      <c r="D43" s="16">
        <f t="shared" si="9"/>
        <v>51298.155603911669</v>
      </c>
      <c r="E43" s="4">
        <f>'Interval Circuities'!F43</f>
        <v>1.4385781100971682</v>
      </c>
      <c r="F43" s="4">
        <f t="shared" si="10"/>
        <v>42.790715563255795</v>
      </c>
      <c r="G43" s="4">
        <f t="shared" si="11"/>
        <v>35.658929636046494</v>
      </c>
      <c r="H43" s="4">
        <f t="shared" si="12"/>
        <v>3994.7212385804523</v>
      </c>
      <c r="I43" s="4">
        <f t="shared" si="13"/>
        <v>1272.1174973979414</v>
      </c>
      <c r="J43" s="9">
        <f>'1990-10'!J43</f>
        <v>864.7</v>
      </c>
      <c r="K43" s="9">
        <f>'1990-10'!K43</f>
        <v>1100000</v>
      </c>
      <c r="L43" s="22">
        <f t="shared" si="14"/>
        <v>5081754.7848253697</v>
      </c>
      <c r="M43" s="22">
        <f t="shared" si="15"/>
        <v>1100000</v>
      </c>
      <c r="N43" s="19" t="s">
        <v>92</v>
      </c>
      <c r="O43" s="4">
        <f t="shared" si="16"/>
        <v>793.27512432057358</v>
      </c>
      <c r="P43" s="13">
        <f>'1990-10'!P43</f>
        <v>685945</v>
      </c>
      <c r="Q43" s="22">
        <f t="shared" si="17"/>
        <v>3168912.9871609439</v>
      </c>
      <c r="R43" s="13">
        <f t="shared" si="18"/>
        <v>685945</v>
      </c>
    </row>
    <row r="44" spans="1:18">
      <c r="A44" s="18" t="s">
        <v>55</v>
      </c>
      <c r="B44" s="4">
        <f>'1990-10'!B44</f>
        <v>65.143959367039756</v>
      </c>
      <c r="C44" s="4">
        <f>'1990-10'!C44</f>
        <v>73.612674084754914</v>
      </c>
      <c r="D44" s="16">
        <f t="shared" si="9"/>
        <v>54286.632805866466</v>
      </c>
      <c r="E44" s="4">
        <f>'Interval Circuities'!F44</f>
        <v>1.3560394623383627</v>
      </c>
      <c r="F44" s="4">
        <f t="shared" si="10"/>
        <v>48.039869912565166</v>
      </c>
      <c r="G44" s="4">
        <f t="shared" si="11"/>
        <v>40.033224927137638</v>
      </c>
      <c r="H44" s="4">
        <f t="shared" si="12"/>
        <v>5034.9020486954851</v>
      </c>
      <c r="I44" s="4">
        <f t="shared" si="13"/>
        <v>1215.620726333384</v>
      </c>
      <c r="J44" s="9">
        <f>'1990-10'!J44</f>
        <v>658.1</v>
      </c>
      <c r="K44" s="9">
        <f>'1990-10'!K44</f>
        <v>800000</v>
      </c>
      <c r="L44" s="22">
        <f t="shared" si="14"/>
        <v>6120531.285452649</v>
      </c>
      <c r="M44" s="22">
        <f t="shared" si="15"/>
        <v>800000</v>
      </c>
      <c r="N44" s="19" t="s">
        <v>92</v>
      </c>
      <c r="O44" s="4">
        <f t="shared" si="16"/>
        <v>728.36650964898945</v>
      </c>
      <c r="P44" s="13">
        <f>'1990-10'!P44</f>
        <v>479338</v>
      </c>
      <c r="Q44" s="22">
        <f t="shared" si="17"/>
        <v>3667254.031632877</v>
      </c>
      <c r="R44" s="13">
        <f t="shared" si="18"/>
        <v>479338</v>
      </c>
    </row>
    <row r="45" spans="1:18">
      <c r="A45" s="18" t="s">
        <v>68</v>
      </c>
      <c r="B45" s="4">
        <f>'1990-10'!B45</f>
        <v>68.131157212250471</v>
      </c>
      <c r="C45" s="4">
        <f>'1990-10'!C45</f>
        <v>77.66951922196553</v>
      </c>
      <c r="D45" s="16">
        <f t="shared" si="9"/>
        <v>56775.964343542066</v>
      </c>
      <c r="E45" s="4">
        <f>'Interval Circuities'!F45</f>
        <v>1.3179414742979467</v>
      </c>
      <c r="F45" s="4">
        <f t="shared" si="10"/>
        <v>51.695131036484916</v>
      </c>
      <c r="G45" s="4">
        <f t="shared" si="11"/>
        <v>43.079275863737429</v>
      </c>
      <c r="H45" s="4">
        <f t="shared" si="12"/>
        <v>5830.2430728539985</v>
      </c>
      <c r="I45" s="4">
        <f t="shared" si="13"/>
        <v>1031.2913177611283</v>
      </c>
      <c r="J45" s="9">
        <f>'1990-10'!J45</f>
        <v>1134.5</v>
      </c>
      <c r="K45" s="9">
        <f>'1990-10'!K45</f>
        <v>1170000</v>
      </c>
      <c r="L45" s="22">
        <f t="shared" si="14"/>
        <v>6012679.06147129</v>
      </c>
      <c r="M45" s="22">
        <f t="shared" si="15"/>
        <v>1170000</v>
      </c>
      <c r="N45" s="19" t="s">
        <v>92</v>
      </c>
      <c r="O45" s="4">
        <f t="shared" si="16"/>
        <v>501.67386513882769</v>
      </c>
      <c r="P45" s="13">
        <f>'1990-10'!P45</f>
        <v>569149</v>
      </c>
      <c r="Q45" s="22">
        <f t="shared" si="17"/>
        <v>2924880.5770575413</v>
      </c>
      <c r="R45" s="13">
        <f t="shared" si="18"/>
        <v>569149</v>
      </c>
    </row>
    <row r="46" spans="1:18">
      <c r="A46" s="18" t="s">
        <v>69</v>
      </c>
      <c r="B46" s="4">
        <f>'1990-10'!B46</f>
        <v>59.330043396898148</v>
      </c>
      <c r="C46" s="4">
        <f>'1990-10'!C46</f>
        <v>68.229549906432865</v>
      </c>
      <c r="D46" s="16">
        <f t="shared" si="9"/>
        <v>49441.702830748458</v>
      </c>
      <c r="E46" s="4">
        <f>'Interval Circuities'!F46</f>
        <v>1.4089799491217252</v>
      </c>
      <c r="F46" s="4">
        <f t="shared" si="10"/>
        <v>42.108507955617817</v>
      </c>
      <c r="G46" s="4">
        <f t="shared" si="11"/>
        <v>35.090423296348185</v>
      </c>
      <c r="H46" s="4">
        <f t="shared" si="12"/>
        <v>3868.3618089258043</v>
      </c>
      <c r="I46" s="4">
        <f t="shared" si="13"/>
        <v>1283.9160839160838</v>
      </c>
      <c r="J46" s="9">
        <f>'1990-10'!J46</f>
        <v>1787.5</v>
      </c>
      <c r="K46" s="9">
        <f>'1990-10'!K46</f>
        <v>2295000</v>
      </c>
      <c r="L46" s="22">
        <f t="shared" si="14"/>
        <v>4966651.9448865568</v>
      </c>
      <c r="M46" s="22">
        <f t="shared" si="15"/>
        <v>2295000</v>
      </c>
      <c r="N46" s="19" t="s">
        <v>92</v>
      </c>
      <c r="O46" s="4">
        <f t="shared" si="16"/>
        <v>688.36139860139861</v>
      </c>
      <c r="P46" s="13">
        <f>'1990-10'!P46</f>
        <v>1230446</v>
      </c>
      <c r="Q46" s="22">
        <f t="shared" si="17"/>
        <v>2662830.9450884028</v>
      </c>
      <c r="R46" s="13">
        <f t="shared" si="18"/>
        <v>1230446</v>
      </c>
    </row>
    <row r="47" spans="1:18" ht="16">
      <c r="A47" s="18" t="s">
        <v>114</v>
      </c>
      <c r="B47" s="4">
        <f>'1990-10'!B47</f>
        <v>53.936325276944842</v>
      </c>
      <c r="C47" s="4">
        <f>'1990-10'!C47</f>
        <v>62.026774068486567</v>
      </c>
      <c r="D47" s="16">
        <f t="shared" si="9"/>
        <v>44946.937730787366</v>
      </c>
      <c r="E47" s="4">
        <f>'Interval Circuities'!F47</f>
        <v>1.3861138822910202</v>
      </c>
      <c r="F47" s="4">
        <f t="shared" si="10"/>
        <v>38.911900361171547</v>
      </c>
      <c r="G47" s="4">
        <f t="shared" si="11"/>
        <v>32.426583634309623</v>
      </c>
      <c r="H47" s="4">
        <f t="shared" si="12"/>
        <v>3303.3322929397013</v>
      </c>
      <c r="I47" s="4">
        <f t="shared" si="13"/>
        <v>1623.3049162948894</v>
      </c>
      <c r="J47" s="9">
        <f>'1990-10'!J47</f>
        <v>2263.9</v>
      </c>
      <c r="K47" s="9">
        <f>'1990-10'!K47</f>
        <v>3675000</v>
      </c>
      <c r="L47" s="22">
        <f t="shared" si="14"/>
        <v>5362315.5512846867</v>
      </c>
      <c r="M47" s="22">
        <f t="shared" si="15"/>
        <v>3675000</v>
      </c>
      <c r="N47" s="19" t="s">
        <v>92</v>
      </c>
      <c r="O47" s="4">
        <f t="shared" si="16"/>
        <v>870.35072220504435</v>
      </c>
      <c r="P47" s="13">
        <f>'1990-10'!P47</f>
        <v>1970387</v>
      </c>
      <c r="Q47" s="22">
        <f t="shared" si="17"/>
        <v>2875057.6468433142</v>
      </c>
      <c r="R47" s="13">
        <f t="shared" si="18"/>
        <v>1970387</v>
      </c>
    </row>
    <row r="48" spans="1:18" ht="16">
      <c r="A48" s="18" t="s">
        <v>72</v>
      </c>
      <c r="B48" s="4">
        <f>'1990-10'!B48</f>
        <v>57.58663731743308</v>
      </c>
      <c r="C48" s="4">
        <f>'1990-10'!C48</f>
        <v>66.800499288222369</v>
      </c>
      <c r="D48" s="16">
        <f t="shared" si="9"/>
        <v>47988.864431194241</v>
      </c>
      <c r="E48" s="4">
        <f>'Interval Circuities'!F48</f>
        <v>1.3969600624982641</v>
      </c>
      <c r="F48" s="4">
        <f t="shared" si="10"/>
        <v>41.222822944879027</v>
      </c>
      <c r="G48" s="4">
        <f t="shared" si="11"/>
        <v>34.352352454065858</v>
      </c>
      <c r="H48" s="4">
        <f t="shared" si="12"/>
        <v>3707.3435992716522</v>
      </c>
      <c r="I48" s="4">
        <f t="shared" si="13"/>
        <v>1608.4873374401095</v>
      </c>
      <c r="J48" s="9">
        <f>'1990-10'!J48</f>
        <v>876.6</v>
      </c>
      <c r="K48" s="9">
        <f>'1990-10'!K48</f>
        <v>1410000</v>
      </c>
      <c r="L48" s="22">
        <f t="shared" si="14"/>
        <v>5963215.2349680923</v>
      </c>
      <c r="M48" s="22">
        <f t="shared" si="15"/>
        <v>1410000</v>
      </c>
      <c r="N48" s="19" t="s">
        <v>92</v>
      </c>
      <c r="O48" s="4">
        <f t="shared" si="16"/>
        <v>1079.5836185261237</v>
      </c>
      <c r="P48" s="13">
        <f>'1990-10'!P48</f>
        <v>946363</v>
      </c>
      <c r="Q48" s="22">
        <f t="shared" si="17"/>
        <v>4002387.4180213539</v>
      </c>
      <c r="R48" s="13">
        <f t="shared" si="18"/>
        <v>946363</v>
      </c>
    </row>
    <row r="49" spans="1:18">
      <c r="A49" s="18" t="s">
        <v>56</v>
      </c>
      <c r="B49" s="4">
        <f>'1990-10'!B49</f>
        <v>57.751551670614234</v>
      </c>
      <c r="C49" s="4">
        <f>'1990-10'!C49</f>
        <v>67.569315454618646</v>
      </c>
      <c r="D49" s="16">
        <f t="shared" si="9"/>
        <v>48126.2930588452</v>
      </c>
      <c r="E49" s="4">
        <f>'Interval Circuities'!F49</f>
        <v>1.4147237318570247</v>
      </c>
      <c r="F49" s="4">
        <f t="shared" si="10"/>
        <v>40.821787583083214</v>
      </c>
      <c r="G49" s="4">
        <f t="shared" si="11"/>
        <v>34.018156319236013</v>
      </c>
      <c r="H49" s="4">
        <f t="shared" si="12"/>
        <v>3635.5608468025866</v>
      </c>
      <c r="I49" s="4">
        <f t="shared" si="13"/>
        <v>1477.6384054639784</v>
      </c>
      <c r="J49" s="9">
        <f>'1990-10'!J49</f>
        <v>1522.7</v>
      </c>
      <c r="K49" s="9">
        <f>'1990-10'!K49</f>
        <v>2250000</v>
      </c>
      <c r="L49" s="22">
        <f t="shared" si="14"/>
        <v>5372044.3326366451</v>
      </c>
      <c r="M49" s="22">
        <f t="shared" si="15"/>
        <v>2250000</v>
      </c>
      <c r="N49" s="19" t="s">
        <v>92</v>
      </c>
      <c r="O49" s="4">
        <f t="shared" si="16"/>
        <v>859.22243383463581</v>
      </c>
      <c r="P49" s="13">
        <f>'1990-10'!P49</f>
        <v>1308338</v>
      </c>
      <c r="Q49" s="22">
        <f t="shared" si="17"/>
        <v>3123755.4391436279</v>
      </c>
      <c r="R49" s="13">
        <f t="shared" si="18"/>
        <v>1308338</v>
      </c>
    </row>
    <row r="50" spans="1:18">
      <c r="A50" s="18" t="s">
        <v>76</v>
      </c>
      <c r="B50" s="4">
        <f>'1990-10'!B50</f>
        <v>57.267086544288581</v>
      </c>
      <c r="C50" s="4">
        <f>'1990-10'!C50</f>
        <v>59.557770006060125</v>
      </c>
      <c r="D50" s="16">
        <f t="shared" si="9"/>
        <v>47722.572120240482</v>
      </c>
      <c r="E50" s="4">
        <f>'Interval Circuities'!F50</f>
        <v>1.2297619139807563</v>
      </c>
      <c r="F50" s="4">
        <f t="shared" si="10"/>
        <v>46.567620848587048</v>
      </c>
      <c r="G50" s="4">
        <f t="shared" si="11"/>
        <v>38.806350707155872</v>
      </c>
      <c r="H50" s="4">
        <f t="shared" si="12"/>
        <v>4731.0275947171122</v>
      </c>
      <c r="I50" s="4">
        <f t="shared" si="13"/>
        <v>4280.7094372673528</v>
      </c>
      <c r="J50" s="9">
        <f>'1990-10'!J50</f>
        <v>913.4</v>
      </c>
      <c r="K50" s="9">
        <f>'1990-10'!K50</f>
        <v>3910000</v>
      </c>
      <c r="L50" s="22">
        <f t="shared" si="14"/>
        <v>20252154.472677808</v>
      </c>
      <c r="M50" s="22">
        <f t="shared" si="15"/>
        <v>3910000</v>
      </c>
      <c r="N50" s="19" t="s">
        <v>92</v>
      </c>
      <c r="O50" s="4">
        <f t="shared" si="16"/>
        <v>1616.0335012042917</v>
      </c>
      <c r="P50" s="13">
        <f>'1990-10'!P50</f>
        <v>1476085</v>
      </c>
      <c r="Q50" s="22">
        <f t="shared" si="17"/>
        <v>7645499.088184814</v>
      </c>
      <c r="R50" s="13">
        <f t="shared" si="18"/>
        <v>1476085</v>
      </c>
    </row>
    <row r="51" spans="1:18">
      <c r="A51" s="18" t="s">
        <v>57</v>
      </c>
      <c r="B51" s="4">
        <f>'1990-10'!B51</f>
        <v>65.029165523454452</v>
      </c>
      <c r="C51" s="4">
        <f>'1990-10'!C51</f>
        <v>79.985873593848979</v>
      </c>
      <c r="D51" s="16">
        <f t="shared" si="9"/>
        <v>54190.971269545378</v>
      </c>
      <c r="E51" s="4">
        <f>'Interval Circuities'!F51</f>
        <v>1.3217159774076757</v>
      </c>
      <c r="F51" s="4">
        <f t="shared" si="10"/>
        <v>49.200559450751484</v>
      </c>
      <c r="G51" s="4">
        <f t="shared" si="11"/>
        <v>41.000466208959573</v>
      </c>
      <c r="H51" s="4">
        <f t="shared" si="12"/>
        <v>5281.1373517359498</v>
      </c>
      <c r="I51" s="4">
        <f t="shared" si="13"/>
        <v>1039.2364793213148</v>
      </c>
      <c r="J51" s="9">
        <f>'1990-10'!J51</f>
        <v>1886</v>
      </c>
      <c r="K51" s="9">
        <f>'1990-10'!K51</f>
        <v>1960000</v>
      </c>
      <c r="L51" s="22">
        <f t="shared" si="14"/>
        <v>5488350.5882303612</v>
      </c>
      <c r="M51" s="22">
        <f t="shared" si="15"/>
        <v>1960000</v>
      </c>
      <c r="N51" s="19" t="s">
        <v>92</v>
      </c>
      <c r="O51" s="4">
        <f t="shared" si="16"/>
        <v>606.75291622481438</v>
      </c>
      <c r="P51" s="13">
        <f>'1990-10'!P51</f>
        <v>1144336</v>
      </c>
      <c r="Q51" s="22">
        <f t="shared" si="17"/>
        <v>3204345.4891495807</v>
      </c>
      <c r="R51" s="13">
        <f t="shared" si="18"/>
        <v>1144336</v>
      </c>
    </row>
    <row r="52" spans="1:18">
      <c r="A52" s="18" t="s">
        <v>71</v>
      </c>
      <c r="B52" s="4">
        <f>'1990-10'!B52</f>
        <v>57.772652523705723</v>
      </c>
      <c r="C52" s="4">
        <f>'1990-10'!C52</f>
        <v>71.060362604158044</v>
      </c>
      <c r="D52" s="16">
        <f t="shared" si="9"/>
        <v>48143.877103088103</v>
      </c>
      <c r="E52" s="4">
        <f>'Interval Circuities'!F52</f>
        <v>1.2628029081136267</v>
      </c>
      <c r="F52" s="4">
        <f t="shared" si="10"/>
        <v>45.749540290500626</v>
      </c>
      <c r="G52" s="4">
        <f t="shared" si="11"/>
        <v>38.124616908750525</v>
      </c>
      <c r="H52" s="4">
        <f t="shared" si="12"/>
        <v>4566.2622416940894</v>
      </c>
      <c r="I52" s="4">
        <f t="shared" si="13"/>
        <v>1022.1667558091162</v>
      </c>
      <c r="J52" s="9">
        <f>'1990-10'!J52</f>
        <v>1682.7</v>
      </c>
      <c r="K52" s="9">
        <f>'1990-10'!K52</f>
        <v>1720000</v>
      </c>
      <c r="L52" s="22">
        <f t="shared" si="14"/>
        <v>4667481.4617661098</v>
      </c>
      <c r="M52" s="22">
        <f t="shared" si="15"/>
        <v>1720000</v>
      </c>
      <c r="N52" s="19" t="s">
        <v>92</v>
      </c>
      <c r="O52" s="4">
        <f t="shared" si="16"/>
        <v>543.59719498425147</v>
      </c>
      <c r="P52" s="13">
        <f>'1990-10'!P52</f>
        <v>914711</v>
      </c>
      <c r="Q52" s="22">
        <f t="shared" si="17"/>
        <v>2482207.3461474073</v>
      </c>
      <c r="R52" s="13">
        <f t="shared" si="18"/>
        <v>914711</v>
      </c>
    </row>
    <row r="53" spans="1:18" ht="16">
      <c r="A53" s="18" t="s">
        <v>118</v>
      </c>
      <c r="B53" s="4">
        <f>'1990-10'!B53</f>
        <v>57.166397237881569</v>
      </c>
      <c r="C53" s="4">
        <f>'1990-10'!C53</f>
        <v>76.031308326382486</v>
      </c>
      <c r="D53" s="16">
        <f t="shared" si="9"/>
        <v>47638.664364901313</v>
      </c>
      <c r="E53" s="4">
        <f>'Interval Circuities'!F53</f>
        <v>1.3027244174175014</v>
      </c>
      <c r="F53" s="4">
        <f t="shared" si="10"/>
        <v>43.882187570574025</v>
      </c>
      <c r="G53" s="4">
        <f t="shared" si="11"/>
        <v>36.568489642145025</v>
      </c>
      <c r="H53" s="4">
        <f t="shared" si="12"/>
        <v>4201.1087080579819</v>
      </c>
      <c r="I53" s="4">
        <f t="shared" si="13"/>
        <v>1267.0644976702363</v>
      </c>
      <c r="J53" s="9">
        <f>'1990-10'!J53</f>
        <v>2446.6</v>
      </c>
      <c r="K53" s="9">
        <f>'1990-10'!K53</f>
        <v>3100000</v>
      </c>
      <c r="L53" s="22">
        <f t="shared" si="14"/>
        <v>5323075.6948335422</v>
      </c>
      <c r="M53" s="22">
        <f t="shared" si="15"/>
        <v>3100000</v>
      </c>
      <c r="N53" s="19" t="s">
        <v>92</v>
      </c>
      <c r="O53" s="4">
        <f t="shared" si="16"/>
        <v>905.07234529551215</v>
      </c>
      <c r="P53" s="13">
        <f>'1990-10'!P53</f>
        <v>2214350</v>
      </c>
      <c r="Q53" s="22">
        <f t="shared" si="17"/>
        <v>3802307.3112434368</v>
      </c>
      <c r="R53" s="13">
        <f t="shared" si="18"/>
        <v>2214350</v>
      </c>
    </row>
    <row r="54" spans="1:18">
      <c r="D54" s="1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D2" sqref="D2"/>
    </sheetView>
  </sheetViews>
  <sheetFormatPr baseColWidth="10" defaultColWidth="11.5" defaultRowHeight="14" x14ac:dyDescent="0"/>
  <cols>
    <col min="4" max="4" width="8.5" style="18" customWidth="1"/>
  </cols>
  <sheetData>
    <row r="1" spans="1:18" ht="56">
      <c r="A1" s="18">
        <f>6/6</f>
        <v>1</v>
      </c>
      <c r="B1" s="1" t="s">
        <v>60</v>
      </c>
      <c r="C1" s="1" t="s">
        <v>61</v>
      </c>
      <c r="D1" s="30" t="s">
        <v>167</v>
      </c>
      <c r="E1" s="7" t="s">
        <v>91</v>
      </c>
      <c r="F1" s="1" t="s">
        <v>21</v>
      </c>
      <c r="G1" s="1" t="s">
        <v>20</v>
      </c>
      <c r="H1" s="1" t="s">
        <v>134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125</v>
      </c>
      <c r="E2" s="18" t="s">
        <v>116</v>
      </c>
      <c r="F2" s="18" t="s">
        <v>17</v>
      </c>
      <c r="G2" s="18" t="s">
        <v>19</v>
      </c>
      <c r="H2" s="18" t="s">
        <v>135</v>
      </c>
      <c r="I2" s="18" t="s">
        <v>24</v>
      </c>
      <c r="J2" s="9" t="s">
        <v>16</v>
      </c>
      <c r="K2" s="13" t="s">
        <v>126</v>
      </c>
      <c r="L2" s="22" t="s">
        <v>132</v>
      </c>
      <c r="M2" s="22" t="s">
        <v>127</v>
      </c>
      <c r="N2" s="19" t="s">
        <v>92</v>
      </c>
      <c r="O2" s="18" t="s">
        <v>128</v>
      </c>
      <c r="P2" s="18" t="s">
        <v>129</v>
      </c>
      <c r="Q2" s="22" t="s">
        <v>131</v>
      </c>
      <c r="R2" s="18" t="s">
        <v>130</v>
      </c>
    </row>
    <row r="3" spans="1:18">
      <c r="A3" s="18" t="s">
        <v>26</v>
      </c>
      <c r="B3" s="4">
        <f>'1990-10'!B3</f>
        <v>60.37546801014345</v>
      </c>
      <c r="C3" s="4">
        <f>'1990-10'!C3</f>
        <v>63.997996090752061</v>
      </c>
      <c r="D3" s="16">
        <f>B3*$A$1*1000</f>
        <v>60375.46801014345</v>
      </c>
      <c r="E3" s="4">
        <f>'Interval Circuities'!G3</f>
        <v>1.212235646666648</v>
      </c>
      <c r="F3" s="4">
        <f t="shared" ref="F3:F34" si="0">B3/E3</f>
        <v>49.805059087448257</v>
      </c>
      <c r="G3" s="4">
        <f t="shared" ref="G3:G34" si="1">F3*$A$1</f>
        <v>49.805059087448257</v>
      </c>
      <c r="H3" s="4">
        <f t="shared" ref="H3:H34" si="2">PI()*G3^2</f>
        <v>7792.8585267752487</v>
      </c>
      <c r="I3" s="4">
        <f t="shared" ref="I3:I34" si="3">K3/J3</f>
        <v>964.67391304347825</v>
      </c>
      <c r="J3" s="9">
        <f>'1990-10'!J3</f>
        <v>2944</v>
      </c>
      <c r="K3" s="9">
        <f>'1990-10'!K3</f>
        <v>2840000</v>
      </c>
      <c r="L3" s="22">
        <f t="shared" ref="L3:L34" si="4">H3*I3</f>
        <v>7517567.328818514</v>
      </c>
      <c r="M3" s="22">
        <f t="shared" ref="M3:M34" si="5">MIN(K3,L3)</f>
        <v>2840000</v>
      </c>
      <c r="N3" s="19" t="s">
        <v>92</v>
      </c>
      <c r="O3" s="4">
        <f t="shared" ref="O3:O34" si="6">P3/J3</f>
        <v>503.32235054347825</v>
      </c>
      <c r="P3" s="13">
        <f>'1990-10'!P3</f>
        <v>1481781</v>
      </c>
      <c r="Q3" s="22">
        <f t="shared" ref="Q3:Q34" si="7">H3*O3</f>
        <v>3922319.8711493053</v>
      </c>
      <c r="R3" s="13">
        <f t="shared" ref="R3:R34" si="8">MIN(Q3,P3)</f>
        <v>1481781</v>
      </c>
    </row>
    <row r="4" spans="1:18">
      <c r="A4" s="18" t="s">
        <v>27</v>
      </c>
      <c r="B4" s="4">
        <f>'1990-10'!B4</f>
        <v>63.478689145973746</v>
      </c>
      <c r="C4" s="4">
        <f>'1990-10'!C4</f>
        <v>67.922197386191925</v>
      </c>
      <c r="D4" s="16">
        <f t="shared" ref="D4:D53" si="9">B4*$A$1*1000</f>
        <v>63478.689145973745</v>
      </c>
      <c r="E4" s="4">
        <f>'Interval Circuities'!G4</f>
        <v>1.2888700542866616</v>
      </c>
      <c r="F4" s="4">
        <f t="shared" si="0"/>
        <v>49.251426809746683</v>
      </c>
      <c r="G4" s="4">
        <f t="shared" si="1"/>
        <v>49.251426809746683</v>
      </c>
      <c r="H4" s="4">
        <f t="shared" si="2"/>
        <v>7620.5708590378008</v>
      </c>
      <c r="I4" s="4">
        <f t="shared" si="3"/>
        <v>932.86219081272088</v>
      </c>
      <c r="J4" s="9">
        <f>'1990-10'!J4</f>
        <v>707.5</v>
      </c>
      <c r="K4" s="9">
        <f>'1990-10'!K4</f>
        <v>660000</v>
      </c>
      <c r="L4" s="22">
        <f t="shared" si="4"/>
        <v>7108942.426805581</v>
      </c>
      <c r="M4" s="22">
        <f t="shared" si="5"/>
        <v>660000</v>
      </c>
      <c r="N4" s="19" t="s">
        <v>92</v>
      </c>
      <c r="O4" s="4">
        <f t="shared" si="6"/>
        <v>571.04734982332161</v>
      </c>
      <c r="P4" s="13">
        <f>'1990-10'!P4</f>
        <v>404016</v>
      </c>
      <c r="Q4" s="22">
        <f t="shared" si="7"/>
        <v>4351706.7931943694</v>
      </c>
      <c r="R4" s="13">
        <f t="shared" si="8"/>
        <v>404016</v>
      </c>
    </row>
    <row r="5" spans="1:18" ht="16">
      <c r="A5" s="18" t="s">
        <v>119</v>
      </c>
      <c r="B5" s="4">
        <f>'1990-10'!B5</f>
        <v>60.37745029626894</v>
      </c>
      <c r="C5" s="4">
        <f>'1990-10'!C5</f>
        <v>64.603871817007771</v>
      </c>
      <c r="D5" s="16">
        <f t="shared" si="9"/>
        <v>60377.450296268937</v>
      </c>
      <c r="E5" s="4">
        <f>'Interval Circuities'!G5</f>
        <v>1.2143662823884371</v>
      </c>
      <c r="F5" s="4">
        <f t="shared" si="0"/>
        <v>49.719307240248384</v>
      </c>
      <c r="G5" s="4">
        <f t="shared" si="1"/>
        <v>49.719307240248384</v>
      </c>
      <c r="H5" s="4">
        <f t="shared" si="2"/>
        <v>7766.0469239176828</v>
      </c>
      <c r="I5" s="4">
        <f t="shared" si="3"/>
        <v>1296.8393613554904</v>
      </c>
      <c r="J5" s="9">
        <f>'1990-10'!J5</f>
        <v>1534.5</v>
      </c>
      <c r="K5" s="9">
        <f>'1990-10'!K5</f>
        <v>1990000</v>
      </c>
      <c r="L5" s="22">
        <f t="shared" si="4"/>
        <v>10071315.333070178</v>
      </c>
      <c r="M5" s="22">
        <f t="shared" si="5"/>
        <v>1990000</v>
      </c>
      <c r="N5" s="19" t="s">
        <v>92</v>
      </c>
      <c r="O5" s="4">
        <f t="shared" si="6"/>
        <v>776.67839687194521</v>
      </c>
      <c r="P5" s="13">
        <f>'1990-10'!P5</f>
        <v>1191813</v>
      </c>
      <c r="Q5" s="22">
        <f t="shared" si="7"/>
        <v>6031720.8749006875</v>
      </c>
      <c r="R5" s="13">
        <f t="shared" si="8"/>
        <v>1191813</v>
      </c>
    </row>
    <row r="6" spans="1:18">
      <c r="A6" s="18" t="s">
        <v>29</v>
      </c>
      <c r="B6" s="4">
        <f>'1990-10'!B6</f>
        <v>61.541690600746875</v>
      </c>
      <c r="C6" s="4">
        <f>'1990-10'!C6</f>
        <v>67.695859660821569</v>
      </c>
      <c r="D6" s="16">
        <f t="shared" si="9"/>
        <v>61541.690600746879</v>
      </c>
      <c r="E6" s="4">
        <f>'Interval Circuities'!G6</f>
        <v>1.1905977100287723</v>
      </c>
      <c r="F6" s="4">
        <f t="shared" si="0"/>
        <v>51.689743800414028</v>
      </c>
      <c r="G6" s="4">
        <f t="shared" si="1"/>
        <v>51.689743800414028</v>
      </c>
      <c r="H6" s="4">
        <f t="shared" si="2"/>
        <v>8393.8002874649592</v>
      </c>
      <c r="I6" s="4">
        <f t="shared" si="3"/>
        <v>1563.9892556970801</v>
      </c>
      <c r="J6" s="9">
        <f>'1990-10'!J6</f>
        <v>2308.1999999999998</v>
      </c>
      <c r="K6" s="9">
        <f>'1990-10'!K6</f>
        <v>3610000</v>
      </c>
      <c r="L6" s="22">
        <f t="shared" si="4"/>
        <v>13127813.464062259</v>
      </c>
      <c r="M6" s="22">
        <f t="shared" si="5"/>
        <v>3610000</v>
      </c>
      <c r="N6" s="19" t="s">
        <v>92</v>
      </c>
      <c r="O6" s="4">
        <f t="shared" si="6"/>
        <v>927.87323455506464</v>
      </c>
      <c r="P6" s="13">
        <f>'1990-10'!P6</f>
        <v>2141717</v>
      </c>
      <c r="Q6" s="22">
        <f t="shared" si="7"/>
        <v>7788382.6229393426</v>
      </c>
      <c r="R6" s="13">
        <f t="shared" si="8"/>
        <v>2141717</v>
      </c>
    </row>
    <row r="7" spans="1:18">
      <c r="A7" s="18" t="s">
        <v>30</v>
      </c>
      <c r="B7" s="4">
        <f>'1990-10'!B7</f>
        <v>73.27659816495958</v>
      </c>
      <c r="C7" s="4">
        <f>'1990-10'!C7</f>
        <v>76.207662091557978</v>
      </c>
      <c r="D7" s="16">
        <f t="shared" si="9"/>
        <v>73276.598164959578</v>
      </c>
      <c r="E7" s="4">
        <f>'Interval Circuities'!G7</f>
        <v>1.1661290473210653</v>
      </c>
      <c r="F7" s="4">
        <f t="shared" si="0"/>
        <v>62.837469260625191</v>
      </c>
      <c r="G7" s="4">
        <f t="shared" si="1"/>
        <v>62.837469260625191</v>
      </c>
      <c r="H7" s="4">
        <f t="shared" si="2"/>
        <v>12404.727953690204</v>
      </c>
      <c r="I7" s="4">
        <f t="shared" si="3"/>
        <v>1440.1622718052738</v>
      </c>
      <c r="J7" s="9">
        <f>'1990-10'!J7</f>
        <v>739.5</v>
      </c>
      <c r="K7" s="9">
        <f>'1990-10'!K7</f>
        <v>1065000</v>
      </c>
      <c r="L7" s="22">
        <f t="shared" si="4"/>
        <v>17864821.190912869</v>
      </c>
      <c r="M7" s="22">
        <f t="shared" si="5"/>
        <v>1065000</v>
      </c>
      <c r="N7" s="19" t="s">
        <v>92</v>
      </c>
      <c r="O7" s="4">
        <f t="shared" si="6"/>
        <v>718.21771467207577</v>
      </c>
      <c r="P7" s="13">
        <f>'1990-10'!P7</f>
        <v>531122</v>
      </c>
      <c r="Q7" s="22">
        <f t="shared" si="7"/>
        <v>8909295.3620281927</v>
      </c>
      <c r="R7" s="13">
        <f t="shared" si="8"/>
        <v>531122</v>
      </c>
    </row>
    <row r="8" spans="1:18">
      <c r="A8" s="18" t="s">
        <v>31</v>
      </c>
      <c r="B8" s="4">
        <f>'1990-10'!B8</f>
        <v>66.908176577055386</v>
      </c>
      <c r="C8" s="4">
        <f>'1990-10'!C8</f>
        <v>71.591748937449267</v>
      </c>
      <c r="D8" s="16">
        <f t="shared" si="9"/>
        <v>66908.17657705539</v>
      </c>
      <c r="E8" s="4">
        <f>'Interval Circuities'!G8</f>
        <v>1.2193290088717623</v>
      </c>
      <c r="F8" s="4">
        <f t="shared" si="0"/>
        <v>54.872947408152875</v>
      </c>
      <c r="G8" s="4">
        <f t="shared" si="1"/>
        <v>54.872947408152875</v>
      </c>
      <c r="H8" s="4">
        <f t="shared" si="2"/>
        <v>9459.4622660238401</v>
      </c>
      <c r="I8" s="4">
        <f t="shared" si="3"/>
        <v>862.48203162434118</v>
      </c>
      <c r="J8" s="9">
        <f>'1990-10'!J8</f>
        <v>626.1</v>
      </c>
      <c r="K8" s="9">
        <f>'1990-10'!K8</f>
        <v>540000</v>
      </c>
      <c r="L8" s="22">
        <f t="shared" si="4"/>
        <v>8158616.2332740361</v>
      </c>
      <c r="M8" s="22">
        <f t="shared" si="5"/>
        <v>540000</v>
      </c>
      <c r="N8" s="19" t="s">
        <v>92</v>
      </c>
      <c r="O8" s="4">
        <f t="shared" si="6"/>
        <v>966.06931800031941</v>
      </c>
      <c r="P8" s="13">
        <f>'1990-10'!P8</f>
        <v>604856</v>
      </c>
      <c r="Q8" s="22">
        <f t="shared" si="7"/>
        <v>9138496.2599874064</v>
      </c>
      <c r="R8" s="13">
        <f t="shared" si="8"/>
        <v>604856</v>
      </c>
    </row>
    <row r="9" spans="1:18">
      <c r="A9" s="18" t="s">
        <v>32</v>
      </c>
      <c r="B9" s="4">
        <f>'1990-10'!B9</f>
        <v>59.830534500000006</v>
      </c>
      <c r="C9" s="4">
        <f>'1990-10'!C9</f>
        <v>64.616977260000013</v>
      </c>
      <c r="D9" s="16">
        <f t="shared" si="9"/>
        <v>59830.534500000009</v>
      </c>
      <c r="E9" s="4">
        <f>'Interval Circuities'!G9</f>
        <v>1.1888054867962321</v>
      </c>
      <c r="F9" s="4">
        <f t="shared" si="0"/>
        <v>50.328279238717286</v>
      </c>
      <c r="G9" s="4">
        <f t="shared" si="1"/>
        <v>50.328279238717286</v>
      </c>
      <c r="H9" s="4">
        <f t="shared" si="2"/>
        <v>7957.4521592703404</v>
      </c>
      <c r="I9" s="4">
        <f t="shared" si="3"/>
        <v>1830.0112091232515</v>
      </c>
      <c r="J9" s="9">
        <f>'1990-10'!J9</f>
        <v>4103.8</v>
      </c>
      <c r="K9" s="9">
        <f>'1990-10'!K9</f>
        <v>7510000</v>
      </c>
      <c r="L9" s="22">
        <f t="shared" si="4"/>
        <v>14562226.647526745</v>
      </c>
      <c r="M9" s="22">
        <f t="shared" si="5"/>
        <v>7510000</v>
      </c>
      <c r="N9" s="19" t="s">
        <v>92</v>
      </c>
      <c r="O9" s="4">
        <f t="shared" si="6"/>
        <v>936.04391052195524</v>
      </c>
      <c r="P9" s="13">
        <f>'1990-10'!P9</f>
        <v>3841337</v>
      </c>
      <c r="Q9" s="22">
        <f t="shared" si="7"/>
        <v>7448524.6369547863</v>
      </c>
      <c r="R9" s="13">
        <f t="shared" si="8"/>
        <v>3841337</v>
      </c>
    </row>
    <row r="10" spans="1:18">
      <c r="A10" s="18" t="s">
        <v>33</v>
      </c>
      <c r="B10" s="4">
        <f>'1990-10'!B10</f>
        <v>67.518821168909824</v>
      </c>
      <c r="C10" s="4">
        <f>'1990-10'!C10</f>
        <v>74.270703285800806</v>
      </c>
      <c r="D10" s="16">
        <f t="shared" si="9"/>
        <v>67518.821168909824</v>
      </c>
      <c r="E10" s="4">
        <f>'Interval Circuities'!G10</f>
        <v>1.2773637699667473</v>
      </c>
      <c r="F10" s="4">
        <f t="shared" si="0"/>
        <v>52.857942863580277</v>
      </c>
      <c r="G10" s="4">
        <f t="shared" si="1"/>
        <v>52.857942863580277</v>
      </c>
      <c r="H10" s="4">
        <f t="shared" si="2"/>
        <v>8777.4908824424529</v>
      </c>
      <c r="I10" s="4">
        <f t="shared" si="3"/>
        <v>860.24750980984004</v>
      </c>
      <c r="J10" s="9">
        <f>'1990-10'!J10</f>
        <v>1325.2</v>
      </c>
      <c r="K10" s="9">
        <f>'1990-10'!K10</f>
        <v>1140000</v>
      </c>
      <c r="L10" s="22">
        <f t="shared" si="4"/>
        <v>7550814.6739996951</v>
      </c>
      <c r="M10" s="22">
        <f t="shared" si="5"/>
        <v>1140000</v>
      </c>
      <c r="N10" s="19" t="s">
        <v>92</v>
      </c>
      <c r="O10" s="4">
        <f t="shared" si="6"/>
        <v>613.31572592816178</v>
      </c>
      <c r="P10" s="13">
        <f>'1990-10'!P10</f>
        <v>812766</v>
      </c>
      <c r="Q10" s="22">
        <f t="shared" si="7"/>
        <v>5383373.1923930142</v>
      </c>
      <c r="R10" s="13">
        <f t="shared" si="8"/>
        <v>812766</v>
      </c>
    </row>
    <row r="11" spans="1:18">
      <c r="A11" s="18" t="s">
        <v>34</v>
      </c>
      <c r="B11" s="4">
        <f>'1990-10'!B11</f>
        <v>70.270147843682068</v>
      </c>
      <c r="C11" s="4">
        <f>'1990-10'!C11</f>
        <v>77.297162628050287</v>
      </c>
      <c r="D11" s="16">
        <f t="shared" si="9"/>
        <v>70270.147843682062</v>
      </c>
      <c r="E11" s="4">
        <f>'Interval Circuities'!G11</f>
        <v>1.1600264575735515</v>
      </c>
      <c r="F11" s="4">
        <f t="shared" si="0"/>
        <v>60.576332018036396</v>
      </c>
      <c r="G11" s="4">
        <f t="shared" si="1"/>
        <v>60.576332018036396</v>
      </c>
      <c r="H11" s="4">
        <f t="shared" si="2"/>
        <v>11528.049111992184</v>
      </c>
      <c r="I11" s="4">
        <f t="shared" si="3"/>
        <v>1068.6095931997572</v>
      </c>
      <c r="J11" s="9">
        <f>'1990-10'!J11</f>
        <v>1647</v>
      </c>
      <c r="K11" s="9">
        <f>'1990-10'!K11</f>
        <v>1760000</v>
      </c>
      <c r="L11" s="22">
        <f t="shared" si="4"/>
        <v>12318983.871952791</v>
      </c>
      <c r="M11" s="22">
        <f t="shared" si="5"/>
        <v>1760000</v>
      </c>
      <c r="N11" s="19" t="s">
        <v>92</v>
      </c>
      <c r="O11" s="4">
        <f t="shared" si="6"/>
        <v>754.15846994535514</v>
      </c>
      <c r="P11" s="13">
        <f>'1990-10'!P11</f>
        <v>1242099</v>
      </c>
      <c r="Q11" s="22">
        <f t="shared" si="7"/>
        <v>8693975.8797549363</v>
      </c>
      <c r="R11" s="13">
        <f t="shared" si="8"/>
        <v>1242099</v>
      </c>
    </row>
    <row r="12" spans="1:18">
      <c r="A12" s="18" t="s">
        <v>35</v>
      </c>
      <c r="B12" s="4">
        <f>'1990-10'!B12</f>
        <v>67.725932932724078</v>
      </c>
      <c r="C12" s="4">
        <f>'1990-10'!C12</f>
        <v>77.20756354330544</v>
      </c>
      <c r="D12" s="16">
        <f t="shared" si="9"/>
        <v>67725.932932724085</v>
      </c>
      <c r="E12" s="4">
        <f>'Interval Circuities'!G12</f>
        <v>1.1841867800130694</v>
      </c>
      <c r="F12" s="4">
        <f t="shared" si="0"/>
        <v>57.191934647316877</v>
      </c>
      <c r="G12" s="4">
        <f t="shared" si="1"/>
        <v>57.191934647316877</v>
      </c>
      <c r="H12" s="4">
        <f t="shared" si="2"/>
        <v>10275.890038848343</v>
      </c>
      <c r="I12" s="4">
        <f t="shared" si="3"/>
        <v>973.91693719914929</v>
      </c>
      <c r="J12" s="9">
        <f>'1990-10'!J12</f>
        <v>893.3</v>
      </c>
      <c r="K12" s="9">
        <f>'1990-10'!K12</f>
        <v>870000</v>
      </c>
      <c r="L12" s="22">
        <f t="shared" si="4"/>
        <v>10007863.353630425</v>
      </c>
      <c r="M12" s="22">
        <f t="shared" si="5"/>
        <v>870000</v>
      </c>
      <c r="N12" s="19" t="s">
        <v>92</v>
      </c>
      <c r="O12" s="4">
        <f t="shared" si="6"/>
        <v>758.82570245158411</v>
      </c>
      <c r="P12" s="13">
        <f>'1990-10'!P12</f>
        <v>677859</v>
      </c>
      <c r="Q12" s="22">
        <f t="shared" si="7"/>
        <v>7797609.47704433</v>
      </c>
      <c r="R12" s="13">
        <f t="shared" si="8"/>
        <v>677859</v>
      </c>
    </row>
    <row r="13" spans="1:18">
      <c r="A13" s="18" t="s">
        <v>62</v>
      </c>
      <c r="B13" s="4">
        <f>'1990-10'!B13</f>
        <v>66.03146949483623</v>
      </c>
      <c r="C13" s="4">
        <f>'1990-10'!C13</f>
        <v>76.596504614010016</v>
      </c>
      <c r="D13" s="16">
        <f t="shared" si="9"/>
        <v>66031.46949483623</v>
      </c>
      <c r="E13" s="4">
        <f>'Interval Circuities'!G13</f>
        <v>1.2187551799905612</v>
      </c>
      <c r="F13" s="4">
        <f t="shared" si="0"/>
        <v>54.179437001734527</v>
      </c>
      <c r="G13" s="4">
        <f t="shared" si="1"/>
        <v>54.179437001734527</v>
      </c>
      <c r="H13" s="4">
        <f t="shared" si="2"/>
        <v>9221.8668701041443</v>
      </c>
      <c r="I13" s="4">
        <f t="shared" si="3"/>
        <v>869.56521739130437</v>
      </c>
      <c r="J13" s="9">
        <f>'1990-10'!J13</f>
        <v>3737.5</v>
      </c>
      <c r="K13" s="9">
        <f>'1990-10'!K13</f>
        <v>3250000</v>
      </c>
      <c r="L13" s="22">
        <f t="shared" si="4"/>
        <v>8019014.6696557775</v>
      </c>
      <c r="M13" s="22">
        <f t="shared" si="5"/>
        <v>3250000</v>
      </c>
      <c r="N13" s="19" t="s">
        <v>92</v>
      </c>
      <c r="O13" s="4">
        <f t="shared" si="6"/>
        <v>528.85779264214045</v>
      </c>
      <c r="P13" s="13">
        <f>'1990-10'!P13</f>
        <v>1976606</v>
      </c>
      <c r="Q13" s="22">
        <f t="shared" si="7"/>
        <v>4877056.1569629619</v>
      </c>
      <c r="R13" s="13">
        <f t="shared" si="8"/>
        <v>1976606</v>
      </c>
    </row>
    <row r="14" spans="1:18">
      <c r="A14" s="18" t="s">
        <v>36</v>
      </c>
      <c r="B14" s="4">
        <f>'1990-10'!B14</f>
        <v>65.002140793217592</v>
      </c>
      <c r="C14" s="4">
        <f>'1990-10'!C14</f>
        <v>76.052504728064577</v>
      </c>
      <c r="D14" s="16">
        <f t="shared" si="9"/>
        <v>65002.140793217593</v>
      </c>
      <c r="E14" s="4">
        <f>'Interval Circuities'!G14</f>
        <v>1.3233890487857078</v>
      </c>
      <c r="F14" s="4">
        <f t="shared" si="0"/>
        <v>49.117937656247889</v>
      </c>
      <c r="G14" s="4">
        <f t="shared" si="1"/>
        <v>49.117937656247889</v>
      </c>
      <c r="H14" s="4">
        <f t="shared" si="2"/>
        <v>7579.3178418908619</v>
      </c>
      <c r="I14" s="4">
        <f t="shared" si="3"/>
        <v>1329.5186805789297</v>
      </c>
      <c r="J14" s="9">
        <f>'1990-10'!J14</f>
        <v>1188.4000000000001</v>
      </c>
      <c r="K14" s="9">
        <f>'1990-10'!K14</f>
        <v>1580000</v>
      </c>
      <c r="L14" s="22">
        <f t="shared" si="4"/>
        <v>10076844.65683908</v>
      </c>
      <c r="M14" s="22">
        <f t="shared" si="5"/>
        <v>1580000</v>
      </c>
      <c r="N14" s="19" t="s">
        <v>92</v>
      </c>
      <c r="O14" s="4">
        <f t="shared" si="6"/>
        <v>811.94210703466842</v>
      </c>
      <c r="P14" s="13">
        <f>'1990-10'!P14</f>
        <v>964912</v>
      </c>
      <c r="Q14" s="22">
        <f t="shared" si="7"/>
        <v>6153967.2984303227</v>
      </c>
      <c r="R14" s="13">
        <f t="shared" si="8"/>
        <v>964912</v>
      </c>
    </row>
    <row r="15" spans="1:18">
      <c r="A15" s="18" t="s">
        <v>37</v>
      </c>
      <c r="B15" s="4">
        <f>'1990-10'!B15</f>
        <v>59.740126684000487</v>
      </c>
      <c r="C15" s="4">
        <f>'1990-10'!C15</f>
        <v>69.895948220280573</v>
      </c>
      <c r="D15" s="16">
        <f t="shared" si="9"/>
        <v>59740.12668400049</v>
      </c>
      <c r="E15" s="4">
        <f>'Interval Circuities'!G15</f>
        <v>1.1890981300925036</v>
      </c>
      <c r="F15" s="4">
        <f t="shared" si="0"/>
        <v>50.239862608608355</v>
      </c>
      <c r="G15" s="4">
        <f t="shared" si="1"/>
        <v>50.239862608608355</v>
      </c>
      <c r="H15" s="4">
        <f t="shared" si="2"/>
        <v>7929.517443496783</v>
      </c>
      <c r="I15" s="4">
        <f t="shared" si="3"/>
        <v>1369.2488100986411</v>
      </c>
      <c r="J15" s="9">
        <f>'1990-10'!J15</f>
        <v>2899.4</v>
      </c>
      <c r="K15" s="9">
        <f>'1990-10'!K15</f>
        <v>3970000</v>
      </c>
      <c r="L15" s="22">
        <f t="shared" si="4"/>
        <v>10857482.324164389</v>
      </c>
      <c r="M15" s="22">
        <f t="shared" si="5"/>
        <v>3970000</v>
      </c>
      <c r="N15" s="19" t="s">
        <v>92</v>
      </c>
      <c r="O15" s="4">
        <f t="shared" si="6"/>
        <v>717.34841691384418</v>
      </c>
      <c r="P15" s="13">
        <f>'1990-10'!P15</f>
        <v>2079880</v>
      </c>
      <c r="Q15" s="22">
        <f t="shared" si="7"/>
        <v>5688226.7849831302</v>
      </c>
      <c r="R15" s="13">
        <f t="shared" si="8"/>
        <v>2079880</v>
      </c>
    </row>
    <row r="16" spans="1:18">
      <c r="A16" s="18" t="s">
        <v>80</v>
      </c>
      <c r="B16" s="4">
        <f>'1990-10'!B16</f>
        <v>70.939381203745498</v>
      </c>
      <c r="C16" s="4">
        <f>'1990-10'!C16</f>
        <v>83.70846982041968</v>
      </c>
      <c r="D16" s="16">
        <f t="shared" si="9"/>
        <v>70939.381203745492</v>
      </c>
      <c r="E16" s="4">
        <f>'Interval Circuities'!G16</f>
        <v>1.2279984552443621</v>
      </c>
      <c r="F16" s="4">
        <f t="shared" si="0"/>
        <v>57.768298405252565</v>
      </c>
      <c r="G16" s="4">
        <f t="shared" si="1"/>
        <v>57.768298405252565</v>
      </c>
      <c r="H16" s="4">
        <f t="shared" si="2"/>
        <v>10484.048549819265</v>
      </c>
      <c r="I16" s="4">
        <f t="shared" si="3"/>
        <v>1190.58976132826</v>
      </c>
      <c r="J16" s="9">
        <f>'1990-10'!J16</f>
        <v>578.20000000000005</v>
      </c>
      <c r="K16" s="9">
        <f>'1990-10'!K16</f>
        <v>688399</v>
      </c>
      <c r="L16" s="22">
        <f t="shared" si="4"/>
        <v>12482200.860683208</v>
      </c>
      <c r="M16" s="22">
        <f t="shared" si="5"/>
        <v>688399</v>
      </c>
      <c r="N16" s="19" t="s">
        <v>92</v>
      </c>
      <c r="O16" s="4">
        <f t="shared" si="6"/>
        <v>583.42269111034238</v>
      </c>
      <c r="P16" s="13">
        <f>'1990-10'!P16</f>
        <v>337335</v>
      </c>
      <c r="Q16" s="22">
        <f t="shared" si="7"/>
        <v>6116631.8186670383</v>
      </c>
      <c r="R16" s="13">
        <f t="shared" si="8"/>
        <v>337335</v>
      </c>
    </row>
    <row r="17" spans="1:18">
      <c r="A17" s="18" t="s">
        <v>58</v>
      </c>
      <c r="B17" s="4">
        <f>'1990-10'!B17</f>
        <v>64.898649256812377</v>
      </c>
      <c r="C17" s="4">
        <f>'1990-10'!C17</f>
        <v>85.666217018992342</v>
      </c>
      <c r="D17" s="16">
        <f t="shared" si="9"/>
        <v>64898.649256812379</v>
      </c>
      <c r="E17" s="4">
        <f>'Interval Circuities'!G17</f>
        <v>1.346740351144762</v>
      </c>
      <c r="F17" s="4">
        <f t="shared" si="0"/>
        <v>48.189429537510293</v>
      </c>
      <c r="G17" s="4">
        <f t="shared" si="1"/>
        <v>48.189429537510293</v>
      </c>
      <c r="H17" s="4">
        <f t="shared" si="2"/>
        <v>7295.4728079348106</v>
      </c>
      <c r="I17" s="4">
        <f t="shared" si="3"/>
        <v>770.84181744138687</v>
      </c>
      <c r="J17" s="9">
        <f>'1990-10'!J17</f>
        <v>1718.9</v>
      </c>
      <c r="K17" s="9">
        <f>'1990-10'!K17</f>
        <v>1325000</v>
      </c>
      <c r="L17" s="22">
        <f t="shared" si="4"/>
        <v>5623655.518362687</v>
      </c>
      <c r="M17" s="22">
        <f t="shared" si="5"/>
        <v>1325000</v>
      </c>
      <c r="N17" s="19" t="s">
        <v>92</v>
      </c>
      <c r="O17" s="4">
        <f t="shared" si="6"/>
        <v>406.65483739600904</v>
      </c>
      <c r="P17" s="13">
        <f>'1990-10'!P17</f>
        <v>698999</v>
      </c>
      <c r="Q17" s="22">
        <f t="shared" si="7"/>
        <v>2966739.3084377358</v>
      </c>
      <c r="R17" s="13">
        <f t="shared" si="8"/>
        <v>698999</v>
      </c>
    </row>
    <row r="18" spans="1:18">
      <c r="A18" s="18" t="s">
        <v>38</v>
      </c>
      <c r="B18" s="4">
        <f>'1990-10'!B18</f>
        <v>70.550117521710789</v>
      </c>
      <c r="C18" s="4">
        <f>'1990-10'!C18</f>
        <v>84.660141026052941</v>
      </c>
      <c r="D18" s="16">
        <f t="shared" si="9"/>
        <v>70550.117521710796</v>
      </c>
      <c r="E18" s="4">
        <f>'Interval Circuities'!G18</f>
        <v>1.2117954649668699</v>
      </c>
      <c r="F18" s="4">
        <f t="shared" si="0"/>
        <v>58.219492943588143</v>
      </c>
      <c r="G18" s="4">
        <f t="shared" si="1"/>
        <v>58.219492943588143</v>
      </c>
      <c r="H18" s="4">
        <f t="shared" si="2"/>
        <v>10648.457700278344</v>
      </c>
      <c r="I18" s="4">
        <f t="shared" si="3"/>
        <v>1320.2112337974077</v>
      </c>
      <c r="J18" s="9">
        <f>'1990-10'!J18</f>
        <v>624.9</v>
      </c>
      <c r="K18" s="9">
        <f>'1990-10'!K18</f>
        <v>825000</v>
      </c>
      <c r="L18" s="22">
        <f t="shared" si="4"/>
        <v>14058213.478523979</v>
      </c>
      <c r="M18" s="22">
        <f t="shared" si="5"/>
        <v>825000</v>
      </c>
      <c r="N18" s="19" t="s">
        <v>92</v>
      </c>
      <c r="O18" s="4">
        <f t="shared" si="6"/>
        <v>899.29428708593377</v>
      </c>
      <c r="P18" s="13">
        <f>'1990-10'!P18</f>
        <v>561969</v>
      </c>
      <c r="Q18" s="22">
        <f t="shared" si="7"/>
        <v>9576097.1761365365</v>
      </c>
      <c r="R18" s="13">
        <f t="shared" si="8"/>
        <v>561969</v>
      </c>
    </row>
    <row r="19" spans="1:18">
      <c r="A19" s="18" t="s">
        <v>81</v>
      </c>
      <c r="B19" s="4">
        <f>'1990-10'!B19</f>
        <v>61.851770964117151</v>
      </c>
      <c r="C19" s="4">
        <f>'1990-10'!C19</f>
        <v>73.60360744729941</v>
      </c>
      <c r="D19" s="16">
        <f t="shared" si="9"/>
        <v>61851.770964117153</v>
      </c>
      <c r="E19" s="4">
        <f>'Interval Circuities'!G19</f>
        <v>1.4692986717859429</v>
      </c>
      <c r="F19" s="4">
        <f t="shared" si="0"/>
        <v>42.09611847599092</v>
      </c>
      <c r="G19" s="4">
        <f t="shared" si="1"/>
        <v>42.09611847599092</v>
      </c>
      <c r="H19" s="4">
        <f t="shared" si="2"/>
        <v>5567.163533593397</v>
      </c>
      <c r="I19" s="4">
        <f t="shared" si="3"/>
        <v>2328.0373051224947</v>
      </c>
      <c r="J19" s="9">
        <f>'1990-10'!J19</f>
        <v>359.2</v>
      </c>
      <c r="K19" s="9">
        <f>'1990-10'!K19</f>
        <v>836231</v>
      </c>
      <c r="L19" s="22">
        <f t="shared" si="4"/>
        <v>12960564.389922997</v>
      </c>
      <c r="M19" s="22">
        <f t="shared" si="5"/>
        <v>836231</v>
      </c>
      <c r="N19" s="19" t="s">
        <v>92</v>
      </c>
      <c r="O19" s="4">
        <f t="shared" si="6"/>
        <v>1218.0345211581291</v>
      </c>
      <c r="P19" s="13">
        <f>'1990-10'!P19</f>
        <v>437518</v>
      </c>
      <c r="Q19" s="22">
        <f t="shared" si="7"/>
        <v>6780997.3688494312</v>
      </c>
      <c r="R19" s="13">
        <f t="shared" si="8"/>
        <v>437518</v>
      </c>
    </row>
    <row r="20" spans="1:18">
      <c r="A20" s="18" t="s">
        <v>39</v>
      </c>
      <c r="B20" s="4">
        <f>'1990-10'!B20</f>
        <v>61.865929871835121</v>
      </c>
      <c r="C20" s="4">
        <f>'1990-10'!C20</f>
        <v>73.620456547483784</v>
      </c>
      <c r="D20" s="16">
        <f t="shared" si="9"/>
        <v>61865.92987183512</v>
      </c>
      <c r="E20" s="4">
        <f>'Interval Circuities'!G20</f>
        <v>1.2594130920664293</v>
      </c>
      <c r="F20" s="4">
        <f t="shared" si="0"/>
        <v>49.122825752371902</v>
      </c>
      <c r="G20" s="4">
        <f t="shared" si="1"/>
        <v>49.122825752371902</v>
      </c>
      <c r="H20" s="4">
        <f t="shared" si="2"/>
        <v>7580.8264670253029</v>
      </c>
      <c r="I20" s="4">
        <f t="shared" si="3"/>
        <v>951.03794313448986</v>
      </c>
      <c r="J20" s="9">
        <f>'1990-10'!J20</f>
        <v>3049.3</v>
      </c>
      <c r="K20" s="9">
        <f>'1990-10'!K20</f>
        <v>2900000</v>
      </c>
      <c r="L20" s="22">
        <f t="shared" si="4"/>
        <v>7209653.6104592457</v>
      </c>
      <c r="M20" s="22">
        <f t="shared" si="5"/>
        <v>2900000</v>
      </c>
      <c r="N20" s="19" t="s">
        <v>92</v>
      </c>
      <c r="O20" s="4">
        <f t="shared" si="6"/>
        <v>577.11474764700097</v>
      </c>
      <c r="P20" s="13">
        <f>'1990-10'!P20</f>
        <v>1759796</v>
      </c>
      <c r="Q20" s="22">
        <f t="shared" si="7"/>
        <v>4375006.7534730136</v>
      </c>
      <c r="R20" s="13">
        <f t="shared" si="8"/>
        <v>1759796</v>
      </c>
    </row>
    <row r="21" spans="1:18">
      <c r="A21" s="18" t="s">
        <v>40</v>
      </c>
      <c r="B21" s="4">
        <f>'1990-10'!B21</f>
        <v>66.181816591922129</v>
      </c>
      <c r="C21" s="4">
        <f>'1990-10'!C21</f>
        <v>78.094543578468105</v>
      </c>
      <c r="D21" s="16">
        <f t="shared" si="9"/>
        <v>66181.816591922136</v>
      </c>
      <c r="E21" s="4">
        <f>'Interval Circuities'!G21</f>
        <v>1.1812621353923214</v>
      </c>
      <c r="F21" s="4">
        <f t="shared" si="0"/>
        <v>56.026359102708213</v>
      </c>
      <c r="G21" s="4">
        <f t="shared" si="1"/>
        <v>56.026359102708213</v>
      </c>
      <c r="H21" s="4">
        <f t="shared" si="2"/>
        <v>9861.311415546792</v>
      </c>
      <c r="I21" s="4">
        <f t="shared" si="3"/>
        <v>778.16205533596838</v>
      </c>
      <c r="J21" s="9">
        <f>'1990-10'!J21</f>
        <v>1214.4000000000001</v>
      </c>
      <c r="K21" s="9">
        <f>'1990-10'!K21</f>
        <v>945000</v>
      </c>
      <c r="L21" s="22">
        <f t="shared" si="4"/>
        <v>7673698.3594299396</v>
      </c>
      <c r="M21" s="22">
        <f t="shared" si="5"/>
        <v>945000</v>
      </c>
      <c r="N21" s="19" t="s">
        <v>92</v>
      </c>
      <c r="O21" s="4">
        <f t="shared" si="6"/>
        <v>514.63356389986825</v>
      </c>
      <c r="P21" s="13">
        <f>'1990-10'!P21</f>
        <v>624971</v>
      </c>
      <c r="Q21" s="22">
        <f t="shared" si="7"/>
        <v>5074961.8385092998</v>
      </c>
      <c r="R21" s="13">
        <f t="shared" si="8"/>
        <v>624971</v>
      </c>
    </row>
    <row r="22" spans="1:18" ht="16">
      <c r="A22" s="18" t="s">
        <v>120</v>
      </c>
      <c r="B22" s="4">
        <f>'1990-10'!B22</f>
        <v>65.10221093956217</v>
      </c>
      <c r="C22" s="4">
        <f>'1990-10'!C22</f>
        <v>72.914476252309626</v>
      </c>
      <c r="D22" s="16">
        <f t="shared" si="9"/>
        <v>65102.210939562166</v>
      </c>
      <c r="E22" s="4">
        <f>'Interval Circuities'!G22</f>
        <v>1.312627353699904</v>
      </c>
      <c r="F22" s="4">
        <f t="shared" si="0"/>
        <v>49.596872071923919</v>
      </c>
      <c r="G22" s="4">
        <f t="shared" si="1"/>
        <v>49.596872071923919</v>
      </c>
      <c r="H22" s="4">
        <f t="shared" si="2"/>
        <v>7727.8458071468149</v>
      </c>
      <c r="I22" s="4">
        <f t="shared" si="3"/>
        <v>1078.3820073850286</v>
      </c>
      <c r="J22" s="9">
        <f>'1990-10'!J22</f>
        <v>1191.5999999999999</v>
      </c>
      <c r="K22" s="9">
        <f>'1990-10'!K22</f>
        <v>1285000</v>
      </c>
      <c r="L22" s="22">
        <f t="shared" si="4"/>
        <v>8333569.8742729584</v>
      </c>
      <c r="M22" s="22">
        <f t="shared" si="5"/>
        <v>1285000</v>
      </c>
      <c r="N22" s="19" t="s">
        <v>92</v>
      </c>
      <c r="O22" s="4">
        <f t="shared" si="6"/>
        <v>643.63293051359517</v>
      </c>
      <c r="P22" s="13">
        <f>'1990-10'!P22</f>
        <v>766953</v>
      </c>
      <c r="Q22" s="22">
        <f t="shared" si="7"/>
        <v>4973896.043411104</v>
      </c>
      <c r="R22" s="13">
        <f t="shared" si="8"/>
        <v>766953</v>
      </c>
    </row>
    <row r="23" spans="1:18">
      <c r="A23" s="18" t="s">
        <v>41</v>
      </c>
      <c r="B23" s="4">
        <f>'1990-10'!B23</f>
        <v>55.540281389808555</v>
      </c>
      <c r="C23" s="4">
        <f>'1990-10'!C23</f>
        <v>57.206489831502807</v>
      </c>
      <c r="D23" s="16">
        <f t="shared" si="9"/>
        <v>55540.281389808559</v>
      </c>
      <c r="E23" s="4">
        <f>'Interval Circuities'!G23</f>
        <v>1.3090196313866675</v>
      </c>
      <c r="F23" s="4">
        <f t="shared" si="0"/>
        <v>42.428914019397673</v>
      </c>
      <c r="G23" s="4">
        <f t="shared" si="1"/>
        <v>42.428914019397673</v>
      </c>
      <c r="H23" s="4">
        <f t="shared" si="2"/>
        <v>5655.5351341679843</v>
      </c>
      <c r="I23" s="4">
        <f t="shared" si="3"/>
        <v>547.57015742642022</v>
      </c>
      <c r="J23" s="9">
        <f>'1990-10'!J23</f>
        <v>1314.9</v>
      </c>
      <c r="K23" s="9">
        <f>'1990-10'!K23</f>
        <v>720000</v>
      </c>
      <c r="L23" s="22">
        <f t="shared" si="4"/>
        <v>3096802.2637470136</v>
      </c>
      <c r="M23" s="22">
        <f t="shared" si="5"/>
        <v>720000</v>
      </c>
      <c r="N23" s="19" t="s">
        <v>92</v>
      </c>
      <c r="O23" s="4">
        <f t="shared" si="6"/>
        <v>337.57852308160312</v>
      </c>
      <c r="P23" s="13">
        <f>'1990-10'!P23</f>
        <v>443882</v>
      </c>
      <c r="Q23" s="22">
        <f t="shared" si="7"/>
        <v>1909187.1978285443</v>
      </c>
      <c r="R23" s="13">
        <f t="shared" si="8"/>
        <v>443882</v>
      </c>
    </row>
    <row r="24" spans="1:18">
      <c r="A24" s="18" t="s">
        <v>75</v>
      </c>
      <c r="B24" s="4">
        <f>'1990-10'!B24</f>
        <v>63.219918440805898</v>
      </c>
      <c r="C24" s="4">
        <f>'1990-10'!C24</f>
        <v>65.116515994030081</v>
      </c>
      <c r="D24" s="16">
        <f t="shared" si="9"/>
        <v>63219.918440805901</v>
      </c>
      <c r="E24" s="4">
        <f>'Interval Circuities'!G24</f>
        <v>1.2489552286252659</v>
      </c>
      <c r="F24" s="4">
        <f t="shared" si="0"/>
        <v>50.618242345157981</v>
      </c>
      <c r="G24" s="4">
        <f t="shared" si="1"/>
        <v>50.618242345157981</v>
      </c>
      <c r="H24" s="4">
        <f t="shared" si="2"/>
        <v>8049.4089857885783</v>
      </c>
      <c r="I24" s="4">
        <f t="shared" si="3"/>
        <v>587.90735391009071</v>
      </c>
      <c r="J24" s="9">
        <f>'1990-10'!J24</f>
        <v>1973.1</v>
      </c>
      <c r="K24" s="9">
        <f>'1990-10'!K24</f>
        <v>1160000</v>
      </c>
      <c r="L24" s="22">
        <f t="shared" si="4"/>
        <v>4732306.7373750703</v>
      </c>
      <c r="M24" s="22">
        <f t="shared" si="5"/>
        <v>1160000</v>
      </c>
      <c r="N24" s="19" t="s">
        <v>92</v>
      </c>
      <c r="O24" s="4">
        <f t="shared" si="6"/>
        <v>390.91227003192949</v>
      </c>
      <c r="P24" s="13">
        <f>'1990-10'!P24</f>
        <v>771309</v>
      </c>
      <c r="Q24" s="22">
        <f t="shared" si="7"/>
        <v>3146612.7390500247</v>
      </c>
      <c r="R24" s="13">
        <f t="shared" si="8"/>
        <v>771309</v>
      </c>
    </row>
    <row r="25" spans="1:18">
      <c r="A25" s="18" t="s">
        <v>63</v>
      </c>
      <c r="B25" s="4">
        <f>'1990-10'!B25</f>
        <v>58.291697709553844</v>
      </c>
      <c r="C25" s="4">
        <f>'1990-10'!C25</f>
        <v>60.040448640840452</v>
      </c>
      <c r="D25" s="16">
        <f t="shared" si="9"/>
        <v>58291.697709553846</v>
      </c>
      <c r="E25" s="4">
        <f>'Interval Circuities'!G25</f>
        <v>1.3281005575067044</v>
      </c>
      <c r="F25" s="4">
        <f t="shared" si="0"/>
        <v>43.891027211815306</v>
      </c>
      <c r="G25" s="4">
        <f t="shared" si="1"/>
        <v>43.891027211815306</v>
      </c>
      <c r="H25" s="4">
        <f t="shared" si="2"/>
        <v>6052.0340502274066</v>
      </c>
      <c r="I25" s="4">
        <f t="shared" si="3"/>
        <v>1175.4827875734677</v>
      </c>
      <c r="J25" s="9">
        <f>'1990-10'!J25</f>
        <v>595.5</v>
      </c>
      <c r="K25" s="9">
        <f>'1990-10'!K25</f>
        <v>700000</v>
      </c>
      <c r="L25" s="22">
        <f t="shared" si="4"/>
        <v>7114061.8558508558</v>
      </c>
      <c r="M25" s="22">
        <f t="shared" si="5"/>
        <v>700000</v>
      </c>
      <c r="N25" s="19" t="s">
        <v>92</v>
      </c>
      <c r="O25" s="4">
        <f t="shared" si="6"/>
        <v>623.22082283795135</v>
      </c>
      <c r="P25" s="13">
        <f>'1990-10'!P25</f>
        <v>371128</v>
      </c>
      <c r="Q25" s="22">
        <f t="shared" si="7"/>
        <v>3771753.6406260235</v>
      </c>
      <c r="R25" s="13">
        <f t="shared" si="8"/>
        <v>371128</v>
      </c>
    </row>
    <row r="26" spans="1:18" ht="16">
      <c r="A26" s="18" t="s">
        <v>121</v>
      </c>
      <c r="B26" s="4">
        <f>'1990-10'!B26</f>
        <v>48.116227796764051</v>
      </c>
      <c r="C26" s="4">
        <f>'1990-10'!C26</f>
        <v>49.559714630666974</v>
      </c>
      <c r="D26" s="16">
        <f t="shared" si="9"/>
        <v>48116.227796764048</v>
      </c>
      <c r="E26" s="4">
        <f>'Interval Circuities'!G26</f>
        <v>1.2376914918106077</v>
      </c>
      <c r="F26" s="4">
        <f t="shared" si="0"/>
        <v>38.875784567586592</v>
      </c>
      <c r="G26" s="4">
        <f t="shared" si="1"/>
        <v>38.875784567586592</v>
      </c>
      <c r="H26" s="4">
        <f t="shared" si="2"/>
        <v>4747.9726246164109</v>
      </c>
      <c r="I26" s="4">
        <f t="shared" si="3"/>
        <v>2243.0420521281399</v>
      </c>
      <c r="J26" s="9">
        <f>'1990-10'!J26</f>
        <v>5091.3</v>
      </c>
      <c r="K26" s="9">
        <f>'1990-10'!K26</f>
        <v>11420000</v>
      </c>
      <c r="L26" s="22">
        <f t="shared" si="4"/>
        <v>10649902.259367825</v>
      </c>
      <c r="M26" s="22">
        <f t="shared" si="5"/>
        <v>10649902.259367825</v>
      </c>
      <c r="N26" s="19" t="s">
        <v>92</v>
      </c>
      <c r="O26" s="4">
        <f t="shared" si="6"/>
        <v>1186.7479818513934</v>
      </c>
      <c r="P26" s="13">
        <f>'1990-10'!P26</f>
        <v>6042090</v>
      </c>
      <c r="Q26" s="22">
        <f t="shared" si="7"/>
        <v>5634646.9301491892</v>
      </c>
      <c r="R26" s="13">
        <f t="shared" si="8"/>
        <v>5634646.9301491892</v>
      </c>
    </row>
    <row r="27" spans="1:18">
      <c r="A27" s="18" t="s">
        <v>42</v>
      </c>
      <c r="B27" s="4">
        <f>'1990-10'!B27</f>
        <v>62.487212851553508</v>
      </c>
      <c r="C27" s="4">
        <f>'1990-10'!C27</f>
        <v>64.986701365615659</v>
      </c>
      <c r="D27" s="16">
        <f t="shared" si="9"/>
        <v>62487.212851553508</v>
      </c>
      <c r="E27" s="4">
        <f>'Interval Circuities'!G27</f>
        <v>1.2936603925299017</v>
      </c>
      <c r="F27" s="4">
        <f t="shared" si="0"/>
        <v>48.302640486157713</v>
      </c>
      <c r="G27" s="4">
        <f t="shared" si="1"/>
        <v>48.302640486157713</v>
      </c>
      <c r="H27" s="4">
        <f t="shared" si="2"/>
        <v>7329.7914365997876</v>
      </c>
      <c r="I27" s="4">
        <f t="shared" si="3"/>
        <v>1106.8597977589507</v>
      </c>
      <c r="J27" s="9">
        <f>'1990-10'!J27</f>
        <v>731.8</v>
      </c>
      <c r="K27" s="9">
        <f>'1990-10'!K27</f>
        <v>810000</v>
      </c>
      <c r="L27" s="22">
        <f t="shared" si="4"/>
        <v>8113051.4671301292</v>
      </c>
      <c r="M27" s="22">
        <f t="shared" si="5"/>
        <v>810000</v>
      </c>
      <c r="N27" s="19" t="s">
        <v>92</v>
      </c>
      <c r="O27" s="4">
        <f t="shared" si="6"/>
        <v>610.65318393003554</v>
      </c>
      <c r="P27" s="13">
        <f>'1990-10'!P27</f>
        <v>446876</v>
      </c>
      <c r="Q27" s="22">
        <f t="shared" si="7"/>
        <v>4475960.4783027694</v>
      </c>
      <c r="R27" s="13">
        <f t="shared" si="8"/>
        <v>446876</v>
      </c>
    </row>
    <row r="28" spans="1:18">
      <c r="A28" s="18" t="s">
        <v>43</v>
      </c>
      <c r="B28" s="4">
        <f>'1990-10'!B28</f>
        <v>65.308032205055966</v>
      </c>
      <c r="C28" s="4">
        <f>'1990-10'!C28</f>
        <v>67.920353493258204</v>
      </c>
      <c r="D28" s="16">
        <f t="shared" si="9"/>
        <v>65308.032205055963</v>
      </c>
      <c r="E28" s="4">
        <f>'Interval Circuities'!G28</f>
        <v>1.2544777350597911</v>
      </c>
      <c r="F28" s="4">
        <f t="shared" si="0"/>
        <v>52.059937278953178</v>
      </c>
      <c r="G28" s="4">
        <f t="shared" si="1"/>
        <v>52.059937278953178</v>
      </c>
      <c r="H28" s="4">
        <f t="shared" si="2"/>
        <v>8514.4608669919235</v>
      </c>
      <c r="I28" s="4">
        <f t="shared" si="3"/>
        <v>973.62164609985291</v>
      </c>
      <c r="J28" s="9">
        <f>'1990-10'!J28</f>
        <v>883.3</v>
      </c>
      <c r="K28" s="9">
        <f>'1990-10'!K28</f>
        <v>860000</v>
      </c>
      <c r="L28" s="22">
        <f t="shared" si="4"/>
        <v>8289863.4049734576</v>
      </c>
      <c r="M28" s="22">
        <f t="shared" si="5"/>
        <v>860000</v>
      </c>
      <c r="N28" s="19" t="s">
        <v>92</v>
      </c>
      <c r="O28" s="4">
        <f t="shared" si="6"/>
        <v>507.45726253820902</v>
      </c>
      <c r="P28" s="13">
        <f>'1990-10'!P28</f>
        <v>448237</v>
      </c>
      <c r="Q28" s="22">
        <f t="shared" si="7"/>
        <v>4320725.0035524275</v>
      </c>
      <c r="R28" s="13">
        <f t="shared" si="8"/>
        <v>448237</v>
      </c>
    </row>
    <row r="29" spans="1:18">
      <c r="A29" s="18" t="s">
        <v>44</v>
      </c>
      <c r="B29" s="4">
        <f>'1990-10'!B29</f>
        <v>64.485521071986952</v>
      </c>
      <c r="C29" s="4">
        <f>'1990-10'!C29</f>
        <v>67.064941914866438</v>
      </c>
      <c r="D29" s="16">
        <f t="shared" si="9"/>
        <v>64485.52107198695</v>
      </c>
      <c r="E29" s="4">
        <f>'Interval Circuities'!G29</f>
        <v>1.171858273061906</v>
      </c>
      <c r="F29" s="4">
        <f t="shared" si="0"/>
        <v>55.028430104858217</v>
      </c>
      <c r="G29" s="4">
        <f t="shared" si="1"/>
        <v>55.028430104858217</v>
      </c>
      <c r="H29" s="4">
        <f t="shared" si="2"/>
        <v>9513.1450553088962</v>
      </c>
      <c r="I29" s="4">
        <f t="shared" si="3"/>
        <v>927.60180995475116</v>
      </c>
      <c r="J29" s="9">
        <f>'1990-10'!J29</f>
        <v>1326</v>
      </c>
      <c r="K29" s="9">
        <f>'1990-10'!K29</f>
        <v>1230000</v>
      </c>
      <c r="L29" s="22">
        <f t="shared" si="4"/>
        <v>8824410.5716666225</v>
      </c>
      <c r="M29" s="22">
        <f t="shared" si="5"/>
        <v>1230000</v>
      </c>
      <c r="N29" s="19" t="s">
        <v>92</v>
      </c>
      <c r="O29" s="4">
        <f t="shared" si="6"/>
        <v>582.76923076923072</v>
      </c>
      <c r="P29" s="13">
        <f>'1990-10'!P29</f>
        <v>772752</v>
      </c>
      <c r="Q29" s="22">
        <f t="shared" si="7"/>
        <v>5543968.2260784758</v>
      </c>
      <c r="R29" s="13">
        <f t="shared" si="8"/>
        <v>772752</v>
      </c>
    </row>
    <row r="30" spans="1:18">
      <c r="A30" s="18" t="s">
        <v>45</v>
      </c>
      <c r="B30" s="4">
        <f>'1990-10'!B30</f>
        <v>63.564185114523426</v>
      </c>
      <c r="C30" s="4">
        <f>'1990-10'!C30</f>
        <v>66.106752519104361</v>
      </c>
      <c r="D30" s="16">
        <f t="shared" si="9"/>
        <v>63564.185114523425</v>
      </c>
      <c r="E30" s="4">
        <f>'Interval Circuities'!G30</f>
        <v>1.2276619490486302</v>
      </c>
      <c r="F30" s="4">
        <f t="shared" si="0"/>
        <v>51.776619095983335</v>
      </c>
      <c r="G30" s="4">
        <f t="shared" si="1"/>
        <v>51.776619095983335</v>
      </c>
      <c r="H30" s="4">
        <f t="shared" si="2"/>
        <v>8422.0390297983213</v>
      </c>
      <c r="I30" s="4">
        <f t="shared" si="3"/>
        <v>730.08608477716029</v>
      </c>
      <c r="J30" s="9">
        <f>'1990-10'!J30</f>
        <v>2753.1</v>
      </c>
      <c r="K30" s="9">
        <f>'1990-10'!K30</f>
        <v>2010000</v>
      </c>
      <c r="L30" s="22">
        <f t="shared" si="4"/>
        <v>6148813.5011058897</v>
      </c>
      <c r="M30" s="22">
        <f t="shared" si="5"/>
        <v>2010000</v>
      </c>
      <c r="N30" s="19" t="s">
        <v>92</v>
      </c>
      <c r="O30" s="4">
        <f t="shared" si="6"/>
        <v>474.96422214957687</v>
      </c>
      <c r="P30" s="13">
        <f>'1990-10'!P30</f>
        <v>1307624</v>
      </c>
      <c r="Q30" s="22">
        <f t="shared" si="7"/>
        <v>4000167.2167015369</v>
      </c>
      <c r="R30" s="13">
        <f t="shared" si="8"/>
        <v>1307624</v>
      </c>
    </row>
    <row r="31" spans="1:18">
      <c r="A31" s="18" t="s">
        <v>46</v>
      </c>
      <c r="B31" s="4">
        <f>'1990-10'!B31</f>
        <v>63.734436519319452</v>
      </c>
      <c r="C31" s="4">
        <f>'1990-10'!C31</f>
        <v>66.283813980092233</v>
      </c>
      <c r="D31" s="16">
        <f t="shared" si="9"/>
        <v>63734.436519319454</v>
      </c>
      <c r="E31" s="4">
        <f>'Interval Circuities'!G31</f>
        <v>1.2812771919082664</v>
      </c>
      <c r="F31" s="4">
        <f t="shared" si="0"/>
        <v>49.742894762995633</v>
      </c>
      <c r="G31" s="4">
        <f t="shared" si="1"/>
        <v>49.742894762995633</v>
      </c>
      <c r="H31" s="4">
        <f t="shared" si="2"/>
        <v>7773.4173106196786</v>
      </c>
      <c r="I31" s="4">
        <f t="shared" si="3"/>
        <v>451.20587765532662</v>
      </c>
      <c r="J31" s="9">
        <f>'1990-10'!J31</f>
        <v>1252.2</v>
      </c>
      <c r="K31" s="9">
        <f>'1990-10'!K31</f>
        <v>565000</v>
      </c>
      <c r="L31" s="22">
        <f t="shared" si="4"/>
        <v>3507411.5800192608</v>
      </c>
      <c r="M31" s="22">
        <f t="shared" si="5"/>
        <v>565000</v>
      </c>
      <c r="N31" s="19" t="s">
        <v>92</v>
      </c>
      <c r="O31" s="4">
        <f t="shared" si="6"/>
        <v>395.8768567321514</v>
      </c>
      <c r="P31" s="13">
        <f>'1990-10'!P31</f>
        <v>495717</v>
      </c>
      <c r="Q31" s="22">
        <f t="shared" si="7"/>
        <v>3077316.0109954122</v>
      </c>
      <c r="R31" s="13">
        <f t="shared" si="8"/>
        <v>495717</v>
      </c>
    </row>
    <row r="32" spans="1:18">
      <c r="A32" s="18" t="s">
        <v>47</v>
      </c>
      <c r="B32" s="4">
        <f>'1990-10'!B32</f>
        <v>62.636693012318808</v>
      </c>
      <c r="C32" s="4">
        <f>'1990-10'!C32</f>
        <v>65.142160732811561</v>
      </c>
      <c r="D32" s="16">
        <f t="shared" si="9"/>
        <v>62636.693012318807</v>
      </c>
      <c r="E32" s="4">
        <f>'Interval Circuities'!G32</f>
        <v>1.2748337749432137</v>
      </c>
      <c r="F32" s="4">
        <f t="shared" si="0"/>
        <v>49.133223674677822</v>
      </c>
      <c r="G32" s="4">
        <f t="shared" si="1"/>
        <v>49.133223674677822</v>
      </c>
      <c r="H32" s="4">
        <f t="shared" si="2"/>
        <v>7584.0361027054178</v>
      </c>
      <c r="I32" s="4">
        <f t="shared" si="3"/>
        <v>1501.072194424589</v>
      </c>
      <c r="J32" s="9">
        <f>'1990-10'!J32</f>
        <v>699.5</v>
      </c>
      <c r="K32" s="9">
        <f>'1990-10'!K32</f>
        <v>1050000</v>
      </c>
      <c r="L32" s="22">
        <f t="shared" si="4"/>
        <v>11384185.715283329</v>
      </c>
      <c r="M32" s="22">
        <f t="shared" si="5"/>
        <v>1050000</v>
      </c>
      <c r="N32" s="19" t="s">
        <v>92</v>
      </c>
      <c r="O32" s="4">
        <f t="shared" si="6"/>
        <v>735.84846318799146</v>
      </c>
      <c r="P32" s="13">
        <f>'1990-10'!P32</f>
        <v>514726</v>
      </c>
      <c r="Q32" s="22">
        <f t="shared" si="7"/>
        <v>5580701.3109380258</v>
      </c>
      <c r="R32" s="13">
        <f t="shared" si="8"/>
        <v>514726</v>
      </c>
    </row>
    <row r="33" spans="1:18">
      <c r="A33" s="18" t="s">
        <v>65</v>
      </c>
      <c r="B33" s="4">
        <f>'1990-10'!B33</f>
        <v>59.42988867805861</v>
      </c>
      <c r="C33" s="4">
        <f>'1990-10'!C33</f>
        <v>62.40138311196155</v>
      </c>
      <c r="D33" s="16">
        <f t="shared" si="9"/>
        <v>59429.888678058611</v>
      </c>
      <c r="E33" s="4">
        <f>'Interval Circuities'!G33</f>
        <v>1.2333672126313162</v>
      </c>
      <c r="F33" s="4">
        <f t="shared" si="0"/>
        <v>48.185072595912814</v>
      </c>
      <c r="G33" s="4">
        <f t="shared" si="1"/>
        <v>48.185072595912814</v>
      </c>
      <c r="H33" s="4">
        <f t="shared" si="2"/>
        <v>7294.1536592199673</v>
      </c>
      <c r="I33" s="4">
        <f t="shared" si="3"/>
        <v>2072.7310590777161</v>
      </c>
      <c r="J33" s="9">
        <f>'1990-10'!J33</f>
        <v>7683.1</v>
      </c>
      <c r="K33" s="9">
        <f>'1990-10'!K33</f>
        <v>15925000</v>
      </c>
      <c r="L33" s="22">
        <f t="shared" si="4"/>
        <v>15118818.8391506</v>
      </c>
      <c r="M33" s="22">
        <f t="shared" si="5"/>
        <v>15118818.8391506</v>
      </c>
      <c r="N33" s="19" t="s">
        <v>92</v>
      </c>
      <c r="O33" s="4">
        <f t="shared" si="6"/>
        <v>1112.8936236675299</v>
      </c>
      <c r="P33" s="13">
        <f>'1990-10'!P33</f>
        <v>8550473</v>
      </c>
      <c r="Q33" s="22">
        <f t="shared" si="7"/>
        <v>8117617.0973970825</v>
      </c>
      <c r="R33" s="13">
        <f t="shared" si="8"/>
        <v>8117617.0973970825</v>
      </c>
    </row>
    <row r="34" spans="1:18">
      <c r="A34" s="18" t="s">
        <v>66</v>
      </c>
      <c r="B34" s="4">
        <f>'1990-10'!B34</f>
        <v>69.714425398287744</v>
      </c>
      <c r="C34" s="4">
        <f>'1990-10'!C34</f>
        <v>72.503002414219253</v>
      </c>
      <c r="D34" s="16">
        <f t="shared" si="9"/>
        <v>69714.425398287742</v>
      </c>
      <c r="E34" s="4">
        <f>'Interval Circuities'!G34</f>
        <v>1.2574334899680917</v>
      </c>
      <c r="F34" s="4">
        <f t="shared" si="0"/>
        <v>55.441839234023263</v>
      </c>
      <c r="G34" s="4">
        <f t="shared" si="1"/>
        <v>55.441839234023263</v>
      </c>
      <c r="H34" s="4">
        <f t="shared" si="2"/>
        <v>9656.6197629076614</v>
      </c>
      <c r="I34" s="4">
        <f t="shared" si="3"/>
        <v>411.8665313675163</v>
      </c>
      <c r="J34" s="9">
        <f>'1990-10'!J34</f>
        <v>1675.3</v>
      </c>
      <c r="K34" s="9">
        <f>'1990-10'!K34</f>
        <v>690000</v>
      </c>
      <c r="L34" s="22">
        <f t="shared" si="4"/>
        <v>3977238.4864837863</v>
      </c>
      <c r="M34" s="22">
        <f t="shared" si="5"/>
        <v>690000</v>
      </c>
      <c r="N34" s="19" t="s">
        <v>92</v>
      </c>
      <c r="O34" s="4">
        <f t="shared" si="6"/>
        <v>268.68143019160749</v>
      </c>
      <c r="P34" s="13">
        <f>'1990-10'!P34</f>
        <v>450122</v>
      </c>
      <c r="Q34" s="22">
        <f t="shared" si="7"/>
        <v>2594554.408714572</v>
      </c>
      <c r="R34" s="13">
        <f t="shared" si="8"/>
        <v>450122</v>
      </c>
    </row>
    <row r="35" spans="1:18">
      <c r="A35" s="18" t="s">
        <v>48</v>
      </c>
      <c r="B35" s="4">
        <f>'1990-10'!B35</f>
        <v>58.78311324728174</v>
      </c>
      <c r="C35" s="4">
        <f>'1990-10'!C35</f>
        <v>61.722268909645827</v>
      </c>
      <c r="D35" s="16">
        <f t="shared" si="9"/>
        <v>58783.113247281741</v>
      </c>
      <c r="E35" s="4">
        <f>'Interval Circuities'!G35</f>
        <v>1.3074104676721685</v>
      </c>
      <c r="F35" s="4">
        <f t="shared" ref="F35:F53" si="10">B35/E35</f>
        <v>44.961482794263148</v>
      </c>
      <c r="G35" s="4">
        <f t="shared" ref="G35:G53" si="11">F35*$A$1</f>
        <v>44.961482794263148</v>
      </c>
      <c r="H35" s="4">
        <f t="shared" ref="H35:H53" si="12">PI()*G35^2</f>
        <v>6350.8393009559113</v>
      </c>
      <c r="I35" s="4">
        <f t="shared" ref="I35:I53" si="13">K35/J35</f>
        <v>841.40495059191858</v>
      </c>
      <c r="J35" s="9">
        <f>'1990-10'!J35</f>
        <v>1022.1</v>
      </c>
      <c r="K35" s="9">
        <f>'1990-10'!K35</f>
        <v>860000</v>
      </c>
      <c r="L35" s="22">
        <f t="shared" ref="L35:L53" si="14">H35*I35</f>
        <v>5343627.6282380233</v>
      </c>
      <c r="M35" s="22">
        <f t="shared" ref="M35:M53" si="15">MIN(K35,L35)</f>
        <v>860000</v>
      </c>
      <c r="N35" s="19" t="s">
        <v>92</v>
      </c>
      <c r="O35" s="4">
        <f t="shared" ref="O35:O53" si="16">P35/J35</f>
        <v>545.39477546228352</v>
      </c>
      <c r="P35" s="13">
        <f>'1990-10'!P35</f>
        <v>557448</v>
      </c>
      <c r="Q35" s="22">
        <f t="shared" ref="Q35:Q53" si="17">H35*O35</f>
        <v>3463714.5745418947</v>
      </c>
      <c r="R35" s="13">
        <f t="shared" ref="R35:R53" si="18">MIN(Q35,P35)</f>
        <v>557448</v>
      </c>
    </row>
    <row r="36" spans="1:18">
      <c r="A36" s="18" t="s">
        <v>67</v>
      </c>
      <c r="B36" s="4">
        <f>'1990-10'!B36</f>
        <v>63.176257053555211</v>
      </c>
      <c r="C36" s="4">
        <f>'1990-10'!C36</f>
        <v>66.966832476768531</v>
      </c>
      <c r="D36" s="16">
        <f t="shared" si="9"/>
        <v>63176.257053555215</v>
      </c>
      <c r="E36" s="4">
        <f>'Interval Circuities'!G36</f>
        <v>1.1669146309492935</v>
      </c>
      <c r="F36" s="4">
        <f t="shared" si="10"/>
        <v>54.139570606086984</v>
      </c>
      <c r="G36" s="4">
        <f t="shared" si="11"/>
        <v>54.139570606086984</v>
      </c>
      <c r="H36" s="4">
        <f t="shared" si="12"/>
        <v>9208.3005669483919</v>
      </c>
      <c r="I36" s="4">
        <f t="shared" si="13"/>
        <v>1518.9201737803867</v>
      </c>
      <c r="J36" s="9">
        <f>'1990-10'!J36</f>
        <v>3015.3</v>
      </c>
      <c r="K36" s="9">
        <f>'1990-10'!K36</f>
        <v>4580000</v>
      </c>
      <c r="L36" s="22">
        <f t="shared" si="14"/>
        <v>13986673.497371284</v>
      </c>
      <c r="M36" s="22">
        <f t="shared" si="15"/>
        <v>4580000</v>
      </c>
      <c r="N36" s="19" t="s">
        <v>92</v>
      </c>
      <c r="O36" s="4">
        <f t="shared" si="16"/>
        <v>926.91175007461936</v>
      </c>
      <c r="P36" s="13">
        <f>'1990-10'!P36</f>
        <v>2794917</v>
      </c>
      <c r="Q36" s="22">
        <f t="shared" si="17"/>
        <v>8535281.9937232435</v>
      </c>
      <c r="R36" s="13">
        <f t="shared" si="18"/>
        <v>2794917</v>
      </c>
    </row>
    <row r="37" spans="1:18">
      <c r="A37" s="18" t="s">
        <v>49</v>
      </c>
      <c r="B37" s="4">
        <f>'1990-10'!B37</f>
        <v>62.02920484038443</v>
      </c>
      <c r="C37" s="4">
        <f>'1990-10'!C37</f>
        <v>65.130665082403652</v>
      </c>
      <c r="D37" s="16">
        <f t="shared" si="9"/>
        <v>62029.204840384431</v>
      </c>
      <c r="E37" s="4">
        <f>'Interval Circuities'!G37</f>
        <v>1.2594367890944496</v>
      </c>
      <c r="F37" s="4">
        <f t="shared" si="10"/>
        <v>49.251542735212766</v>
      </c>
      <c r="G37" s="4">
        <f t="shared" si="11"/>
        <v>49.251542735212766</v>
      </c>
      <c r="H37" s="4">
        <f t="shared" si="12"/>
        <v>7620.6067328926538</v>
      </c>
      <c r="I37" s="4">
        <f t="shared" si="13"/>
        <v>987.28769407106381</v>
      </c>
      <c r="J37" s="9">
        <f>'1990-10'!J37</f>
        <v>1919.4</v>
      </c>
      <c r="K37" s="9">
        <f>'1990-10'!K37</f>
        <v>1895000</v>
      </c>
      <c r="L37" s="22">
        <f t="shared" si="14"/>
        <v>7523731.2487400118</v>
      </c>
      <c r="M37" s="22">
        <f t="shared" si="15"/>
        <v>1895000</v>
      </c>
      <c r="N37" s="19" t="s">
        <v>92</v>
      </c>
      <c r="O37" s="4">
        <f t="shared" si="16"/>
        <v>519.17005314160667</v>
      </c>
      <c r="P37" s="13">
        <f>'1990-10'!P37</f>
        <v>996495</v>
      </c>
      <c r="Q37" s="22">
        <f t="shared" si="17"/>
        <v>3956390.8024871647</v>
      </c>
      <c r="R37" s="13">
        <f t="shared" si="18"/>
        <v>996495</v>
      </c>
    </row>
    <row r="38" spans="1:18">
      <c r="A38" s="18" t="s">
        <v>50</v>
      </c>
      <c r="B38" s="4">
        <f>'1990-10'!B38</f>
        <v>65.42916793409438</v>
      </c>
      <c r="C38" s="4">
        <f>'1990-10'!C38</f>
        <v>68.700626330799111</v>
      </c>
      <c r="D38" s="16">
        <f t="shared" si="9"/>
        <v>65429.167934094381</v>
      </c>
      <c r="E38" s="4">
        <f>'Interval Circuities'!G38</f>
        <v>1.249961861513895</v>
      </c>
      <c r="F38" s="4">
        <f t="shared" si="10"/>
        <v>52.344931432427586</v>
      </c>
      <c r="G38" s="4">
        <f t="shared" si="11"/>
        <v>52.344931432427586</v>
      </c>
      <c r="H38" s="4">
        <f t="shared" si="12"/>
        <v>8607.9382563804083</v>
      </c>
      <c r="I38" s="4">
        <f t="shared" si="13"/>
        <v>883.28701865819767</v>
      </c>
      <c r="J38" s="9">
        <f>'1990-10'!J38</f>
        <v>2015.2</v>
      </c>
      <c r="K38" s="9">
        <f>'1990-10'!K38</f>
        <v>1780000</v>
      </c>
      <c r="L38" s="22">
        <f t="shared" si="14"/>
        <v>7603280.1192720952</v>
      </c>
      <c r="M38" s="22">
        <f t="shared" si="15"/>
        <v>1780000</v>
      </c>
      <c r="N38" s="19" t="s">
        <v>92</v>
      </c>
      <c r="O38" s="4">
        <f t="shared" si="16"/>
        <v>474.4710202461294</v>
      </c>
      <c r="P38" s="13">
        <f>'1990-10'!P38</f>
        <v>956154</v>
      </c>
      <c r="Q38" s="22">
        <f t="shared" si="17"/>
        <v>4084217.2467205008</v>
      </c>
      <c r="R38" s="13">
        <f t="shared" si="18"/>
        <v>956154</v>
      </c>
    </row>
    <row r="39" spans="1:18">
      <c r="A39" s="18" t="s">
        <v>51</v>
      </c>
      <c r="B39" s="4">
        <f>'1990-10'!B39</f>
        <v>65.140770915733583</v>
      </c>
      <c r="C39" s="4">
        <f>'1990-10'!C39</f>
        <v>68.397809461520268</v>
      </c>
      <c r="D39" s="16">
        <f t="shared" si="9"/>
        <v>65140.770915733585</v>
      </c>
      <c r="E39" s="4">
        <f>'Interval Circuities'!G39</f>
        <v>1.4058560685168755</v>
      </c>
      <c r="F39" s="4">
        <f t="shared" si="10"/>
        <v>46.335305849947076</v>
      </c>
      <c r="G39" s="4">
        <f t="shared" si="11"/>
        <v>46.335305849947076</v>
      </c>
      <c r="H39" s="4">
        <f t="shared" si="12"/>
        <v>6744.8755486296595</v>
      </c>
      <c r="I39" s="4">
        <f t="shared" si="13"/>
        <v>1184.1974325803562</v>
      </c>
      <c r="J39" s="9">
        <f>'1990-10'!J39</f>
        <v>1004.9</v>
      </c>
      <c r="K39" s="9">
        <f>'1990-10'!K39</f>
        <v>1190000</v>
      </c>
      <c r="L39" s="22">
        <f t="shared" si="14"/>
        <v>7987264.307761265</v>
      </c>
      <c r="M39" s="22">
        <f t="shared" si="15"/>
        <v>1190000</v>
      </c>
      <c r="N39" s="19" t="s">
        <v>92</v>
      </c>
      <c r="O39" s="4">
        <f t="shared" si="16"/>
        <v>720.99910438849633</v>
      </c>
      <c r="P39" s="13">
        <f>'1990-10'!P39</f>
        <v>724532</v>
      </c>
      <c r="Q39" s="22">
        <f t="shared" si="17"/>
        <v>4863049.229773852</v>
      </c>
      <c r="R39" s="13">
        <f t="shared" si="18"/>
        <v>724532</v>
      </c>
    </row>
    <row r="40" spans="1:18">
      <c r="A40" s="18" t="s">
        <v>52</v>
      </c>
      <c r="B40" s="4">
        <f>'1990-10'!B40</f>
        <v>70.338872065042395</v>
      </c>
      <c r="C40" s="4">
        <f>'1990-10'!C40</f>
        <v>75.262593109595372</v>
      </c>
      <c r="D40" s="16">
        <f t="shared" si="9"/>
        <v>70338.872065042393</v>
      </c>
      <c r="E40" s="4">
        <f>'Interval Circuities'!G40</f>
        <v>1.2326892306619415</v>
      </c>
      <c r="F40" s="4">
        <f t="shared" si="10"/>
        <v>57.061317901894171</v>
      </c>
      <c r="G40" s="4">
        <f t="shared" si="11"/>
        <v>57.061317901894171</v>
      </c>
      <c r="H40" s="4">
        <f t="shared" si="12"/>
        <v>10229.006832734789</v>
      </c>
      <c r="I40" s="4">
        <f t="shared" si="13"/>
        <v>1415.4601861427093</v>
      </c>
      <c r="J40" s="9">
        <f>'1990-10'!J40</f>
        <v>773.6</v>
      </c>
      <c r="K40" s="9">
        <f>'1990-10'!K40</f>
        <v>1095000</v>
      </c>
      <c r="L40" s="22">
        <f t="shared" si="14"/>
        <v>14478751.915517829</v>
      </c>
      <c r="M40" s="22">
        <f t="shared" si="15"/>
        <v>1095000</v>
      </c>
      <c r="N40" s="19" t="s">
        <v>92</v>
      </c>
      <c r="O40" s="4">
        <f t="shared" si="16"/>
        <v>704.06928645294727</v>
      </c>
      <c r="P40" s="13">
        <f>'1990-10'!P40</f>
        <v>544668</v>
      </c>
      <c r="Q40" s="22">
        <f t="shared" si="17"/>
        <v>7201929.5418459047</v>
      </c>
      <c r="R40" s="13">
        <f t="shared" si="18"/>
        <v>544668</v>
      </c>
    </row>
    <row r="41" spans="1:18">
      <c r="A41" s="18" t="s">
        <v>53</v>
      </c>
      <c r="B41" s="4">
        <f>'1990-10'!B41</f>
        <v>68.778714095226661</v>
      </c>
      <c r="C41" s="4">
        <f>'1990-10'!C41</f>
        <v>74.281011222844796</v>
      </c>
      <c r="D41" s="16">
        <f t="shared" si="9"/>
        <v>68778.714095226664</v>
      </c>
      <c r="E41" s="4">
        <f>'Interval Circuities'!G41</f>
        <v>1.1916664069564715</v>
      </c>
      <c r="F41" s="4">
        <f t="shared" si="10"/>
        <v>57.716416015190205</v>
      </c>
      <c r="G41" s="4">
        <f t="shared" si="11"/>
        <v>57.716416015190205</v>
      </c>
      <c r="H41" s="4">
        <f t="shared" si="12"/>
        <v>10465.225311020009</v>
      </c>
      <c r="I41" s="4">
        <f t="shared" si="13"/>
        <v>1097.213078779899</v>
      </c>
      <c r="J41" s="9">
        <f>'1990-10'!J41</f>
        <v>455.7</v>
      </c>
      <c r="K41" s="9">
        <f>'1990-10'!K41</f>
        <v>500000</v>
      </c>
      <c r="L41" s="22">
        <f t="shared" si="14"/>
        <v>11482582.08362959</v>
      </c>
      <c r="M41" s="22">
        <f t="shared" si="15"/>
        <v>500000</v>
      </c>
      <c r="N41" s="19" t="s">
        <v>92</v>
      </c>
      <c r="O41" s="4">
        <f t="shared" si="16"/>
        <v>877.11432960280888</v>
      </c>
      <c r="P41" s="13">
        <f>'1990-10'!P41</f>
        <v>399701</v>
      </c>
      <c r="Q41" s="22">
        <f t="shared" si="17"/>
        <v>9179199.0828176625</v>
      </c>
      <c r="R41" s="13">
        <f t="shared" si="18"/>
        <v>399701</v>
      </c>
    </row>
    <row r="42" spans="1:18">
      <c r="A42" s="18" t="s">
        <v>82</v>
      </c>
      <c r="B42" s="4">
        <f>'1990-10'!B42</f>
        <v>70.514936537683639</v>
      </c>
      <c r="C42" s="4">
        <f>'1990-10'!C42</f>
        <v>78.27157955682884</v>
      </c>
      <c r="D42" s="16">
        <f t="shared" si="9"/>
        <v>70514.936537683636</v>
      </c>
      <c r="E42" s="4">
        <f>'Interval Circuities'!G42</f>
        <v>1.1981230153781832</v>
      </c>
      <c r="F42" s="4">
        <f t="shared" si="10"/>
        <v>58.854504614808569</v>
      </c>
      <c r="G42" s="4">
        <f t="shared" si="11"/>
        <v>58.854504614808569</v>
      </c>
      <c r="H42" s="4">
        <f t="shared" si="12"/>
        <v>10882.0142377058</v>
      </c>
      <c r="I42" s="4">
        <f t="shared" si="13"/>
        <v>1079.1366906474821</v>
      </c>
      <c r="J42" s="9">
        <f>'1990-10'!J42</f>
        <v>569.9</v>
      </c>
      <c r="K42" s="9">
        <f>'1990-10'!K42</f>
        <v>615000</v>
      </c>
      <c r="L42" s="22">
        <f t="shared" si="14"/>
        <v>11743180.832056619</v>
      </c>
      <c r="M42" s="22">
        <f t="shared" si="15"/>
        <v>615000</v>
      </c>
      <c r="N42" s="19" t="s">
        <v>92</v>
      </c>
      <c r="O42" s="4">
        <f t="shared" si="16"/>
        <v>844.82716266011585</v>
      </c>
      <c r="P42" s="13">
        <f>'1990-10'!P42</f>
        <v>481467</v>
      </c>
      <c r="Q42" s="22">
        <f t="shared" si="17"/>
        <v>9193421.2124679741</v>
      </c>
      <c r="R42" s="13">
        <f t="shared" si="18"/>
        <v>481467</v>
      </c>
    </row>
    <row r="43" spans="1:18">
      <c r="A43" s="18" t="s">
        <v>54</v>
      </c>
      <c r="B43" s="4">
        <f>'1990-10'!B43</f>
        <v>61.557786724693997</v>
      </c>
      <c r="C43" s="4">
        <f>'1990-10'!C43</f>
        <v>68.329143264410348</v>
      </c>
      <c r="D43" s="16">
        <f t="shared" si="9"/>
        <v>61557.786724694</v>
      </c>
      <c r="E43" s="4">
        <f>'Interval Circuities'!G43</f>
        <v>1.4347685339495491</v>
      </c>
      <c r="F43" s="4">
        <f t="shared" si="10"/>
        <v>42.904332837047399</v>
      </c>
      <c r="G43" s="4">
        <f t="shared" si="11"/>
        <v>42.904332837047399</v>
      </c>
      <c r="H43" s="4">
        <f t="shared" si="12"/>
        <v>5782.9865049472091</v>
      </c>
      <c r="I43" s="4">
        <f t="shared" si="13"/>
        <v>1272.1174973979414</v>
      </c>
      <c r="J43" s="9">
        <f>'1990-10'!J43</f>
        <v>864.7</v>
      </c>
      <c r="K43" s="9">
        <f>'1990-10'!K43</f>
        <v>1100000</v>
      </c>
      <c r="L43" s="22">
        <f t="shared" si="14"/>
        <v>7356638.3201595116</v>
      </c>
      <c r="M43" s="22">
        <f t="shared" si="15"/>
        <v>1100000</v>
      </c>
      <c r="N43" s="19" t="s">
        <v>92</v>
      </c>
      <c r="O43" s="4">
        <f t="shared" si="16"/>
        <v>793.27512432057358</v>
      </c>
      <c r="P43" s="13">
        <f>'1990-10'!P43</f>
        <v>685945</v>
      </c>
      <c r="Q43" s="22">
        <f t="shared" si="17"/>
        <v>4587499.3386561964</v>
      </c>
      <c r="R43" s="13">
        <f t="shared" si="18"/>
        <v>685945</v>
      </c>
    </row>
    <row r="44" spans="1:18">
      <c r="A44" s="18" t="s">
        <v>55</v>
      </c>
      <c r="B44" s="4">
        <f>'1990-10'!B44</f>
        <v>65.143959367039756</v>
      </c>
      <c r="C44" s="4">
        <f>'1990-10'!C44</f>
        <v>73.612674084754914</v>
      </c>
      <c r="D44" s="16">
        <f t="shared" si="9"/>
        <v>65143.959367039759</v>
      </c>
      <c r="E44" s="4">
        <f>'Interval Circuities'!G44</f>
        <v>1.3538234278475918</v>
      </c>
      <c r="F44" s="4">
        <f t="shared" si="10"/>
        <v>48.118504988948537</v>
      </c>
      <c r="G44" s="4">
        <f t="shared" si="11"/>
        <v>48.118504988948537</v>
      </c>
      <c r="H44" s="4">
        <f t="shared" si="12"/>
        <v>7274.013855273628</v>
      </c>
      <c r="I44" s="4">
        <f t="shared" si="13"/>
        <v>1215.620726333384</v>
      </c>
      <c r="J44" s="9">
        <f>'1990-10'!J44</f>
        <v>658.1</v>
      </c>
      <c r="K44" s="9">
        <f>'1990-10'!K44</f>
        <v>800000</v>
      </c>
      <c r="L44" s="22">
        <f t="shared" si="14"/>
        <v>8842442.0061068274</v>
      </c>
      <c r="M44" s="22">
        <f t="shared" si="15"/>
        <v>800000</v>
      </c>
      <c r="N44" s="19" t="s">
        <v>92</v>
      </c>
      <c r="O44" s="4">
        <f t="shared" si="16"/>
        <v>728.36650964898945</v>
      </c>
      <c r="P44" s="13">
        <f>'1990-10'!P44</f>
        <v>479338</v>
      </c>
      <c r="Q44" s="22">
        <f t="shared" si="17"/>
        <v>5298148.0829040417</v>
      </c>
      <c r="R44" s="13">
        <f t="shared" si="18"/>
        <v>479338</v>
      </c>
    </row>
    <row r="45" spans="1:18">
      <c r="A45" s="18" t="s">
        <v>68</v>
      </c>
      <c r="B45" s="4">
        <f>'1990-10'!B45</f>
        <v>68.131157212250471</v>
      </c>
      <c r="C45" s="4">
        <f>'1990-10'!C45</f>
        <v>77.66951922196553</v>
      </c>
      <c r="D45" s="16">
        <f t="shared" si="9"/>
        <v>68131.157212250473</v>
      </c>
      <c r="E45" s="4">
        <f>'Interval Circuities'!G45</f>
        <v>1.2984360342390284</v>
      </c>
      <c r="F45" s="4">
        <f t="shared" si="10"/>
        <v>52.47170859069692</v>
      </c>
      <c r="G45" s="4">
        <f t="shared" si="11"/>
        <v>52.47170859069692</v>
      </c>
      <c r="H45" s="4">
        <f t="shared" si="12"/>
        <v>8649.6848572189338</v>
      </c>
      <c r="I45" s="4">
        <f t="shared" si="13"/>
        <v>1031.2913177611283</v>
      </c>
      <c r="J45" s="9">
        <f>'1990-10'!J45</f>
        <v>1134.5</v>
      </c>
      <c r="K45" s="9">
        <f>'1990-10'!K45</f>
        <v>1170000</v>
      </c>
      <c r="L45" s="22">
        <f t="shared" si="14"/>
        <v>8920344.8946197908</v>
      </c>
      <c r="M45" s="22">
        <f t="shared" si="15"/>
        <v>1170000</v>
      </c>
      <c r="N45" s="19" t="s">
        <v>92</v>
      </c>
      <c r="O45" s="4">
        <f t="shared" si="16"/>
        <v>501.67386513882769</v>
      </c>
      <c r="P45" s="13">
        <f>'1990-10'!P45</f>
        <v>569149</v>
      </c>
      <c r="Q45" s="22">
        <f t="shared" si="17"/>
        <v>4339320.8345538117</v>
      </c>
      <c r="R45" s="13">
        <f t="shared" si="18"/>
        <v>569149</v>
      </c>
    </row>
    <row r="46" spans="1:18">
      <c r="A46" s="18" t="s">
        <v>69</v>
      </c>
      <c r="B46" s="4">
        <f>'1990-10'!B46</f>
        <v>59.330043396898148</v>
      </c>
      <c r="C46" s="4">
        <f>'1990-10'!C46</f>
        <v>68.229549906432865</v>
      </c>
      <c r="D46" s="16">
        <f t="shared" si="9"/>
        <v>59330.043396898145</v>
      </c>
      <c r="E46" s="4">
        <f>'Interval Circuities'!G46</f>
        <v>1.4127898925574056</v>
      </c>
      <c r="F46" s="4">
        <f t="shared" si="10"/>
        <v>41.994951768447336</v>
      </c>
      <c r="G46" s="4">
        <f t="shared" si="11"/>
        <v>41.994951768447336</v>
      </c>
      <c r="H46" s="4">
        <f t="shared" si="12"/>
        <v>5540.437324073363</v>
      </c>
      <c r="I46" s="4">
        <f t="shared" si="13"/>
        <v>1283.9160839160838</v>
      </c>
      <c r="J46" s="9">
        <f>'1990-10'!J46</f>
        <v>1787.5</v>
      </c>
      <c r="K46" s="9">
        <f>'1990-10'!K46</f>
        <v>2295000</v>
      </c>
      <c r="L46" s="22">
        <f t="shared" si="14"/>
        <v>7113456.5923067788</v>
      </c>
      <c r="M46" s="22">
        <f t="shared" si="15"/>
        <v>2295000</v>
      </c>
      <c r="N46" s="19" t="s">
        <v>92</v>
      </c>
      <c r="O46" s="4">
        <f t="shared" si="16"/>
        <v>688.36139860139861</v>
      </c>
      <c r="P46" s="13">
        <f>'1990-10'!P46</f>
        <v>1230446</v>
      </c>
      <c r="Q46" s="22">
        <f t="shared" si="17"/>
        <v>3813823.1852625306</v>
      </c>
      <c r="R46" s="13">
        <f t="shared" si="18"/>
        <v>1230446</v>
      </c>
    </row>
    <row r="47" spans="1:18" ht="16">
      <c r="A47" s="18" t="s">
        <v>114</v>
      </c>
      <c r="B47" s="4">
        <f>'1990-10'!B47</f>
        <v>53.936325276944842</v>
      </c>
      <c r="C47" s="4">
        <f>'1990-10'!C47</f>
        <v>62.026774068486567</v>
      </c>
      <c r="D47" s="16">
        <f t="shared" si="9"/>
        <v>53936.325276944845</v>
      </c>
      <c r="E47" s="4">
        <f>'Interval Circuities'!G47</f>
        <v>1.3778557245951841</v>
      </c>
      <c r="F47" s="4">
        <f t="shared" si="10"/>
        <v>39.145118254519289</v>
      </c>
      <c r="G47" s="4">
        <f t="shared" si="11"/>
        <v>39.145118254519289</v>
      </c>
      <c r="H47" s="4">
        <f t="shared" si="12"/>
        <v>4813.9889763761003</v>
      </c>
      <c r="I47" s="4">
        <f t="shared" si="13"/>
        <v>1623.3049162948894</v>
      </c>
      <c r="J47" s="9">
        <f>'1990-10'!J47</f>
        <v>2263.9</v>
      </c>
      <c r="K47" s="9">
        <f>'1990-10'!K47</f>
        <v>3675000</v>
      </c>
      <c r="L47" s="22">
        <f t="shared" si="14"/>
        <v>7814571.9723407254</v>
      </c>
      <c r="M47" s="22">
        <f t="shared" si="15"/>
        <v>3675000</v>
      </c>
      <c r="N47" s="19" t="s">
        <v>92</v>
      </c>
      <c r="O47" s="4">
        <f t="shared" si="16"/>
        <v>870.35072220504435</v>
      </c>
      <c r="P47" s="13">
        <f>'1990-10'!P47</f>
        <v>1970387</v>
      </c>
      <c r="Q47" s="22">
        <f t="shared" si="17"/>
        <v>4189858.7822760609</v>
      </c>
      <c r="R47" s="13">
        <f t="shared" si="18"/>
        <v>1970387</v>
      </c>
    </row>
    <row r="48" spans="1:18" ht="16">
      <c r="A48" s="18" t="s">
        <v>72</v>
      </c>
      <c r="B48" s="4">
        <f>'1990-10'!B48</f>
        <v>57.58663731743308</v>
      </c>
      <c r="C48" s="4">
        <f>'1990-10'!C48</f>
        <v>66.800499288222369</v>
      </c>
      <c r="D48" s="16">
        <f t="shared" si="9"/>
        <v>57586.63731743308</v>
      </c>
      <c r="E48" s="4">
        <f>'Interval Circuities'!G48</f>
        <v>1.3956926271635566</v>
      </c>
      <c r="F48" s="4">
        <f t="shared" si="10"/>
        <v>41.260257593009904</v>
      </c>
      <c r="G48" s="4">
        <f t="shared" si="11"/>
        <v>41.260257593009904</v>
      </c>
      <c r="H48" s="4">
        <f t="shared" si="12"/>
        <v>5348.2751574312342</v>
      </c>
      <c r="I48" s="4">
        <f t="shared" si="13"/>
        <v>1608.4873374401095</v>
      </c>
      <c r="J48" s="9">
        <f>'1990-10'!J48</f>
        <v>876.6</v>
      </c>
      <c r="K48" s="9">
        <f>'1990-10'!K48</f>
        <v>1410000</v>
      </c>
      <c r="L48" s="22">
        <f t="shared" si="14"/>
        <v>8602632.8678736482</v>
      </c>
      <c r="M48" s="22">
        <f t="shared" si="15"/>
        <v>1410000</v>
      </c>
      <c r="N48" s="19" t="s">
        <v>92</v>
      </c>
      <c r="O48" s="4">
        <f t="shared" si="16"/>
        <v>1079.5836185261237</v>
      </c>
      <c r="P48" s="13">
        <f>'1990-10'!P48</f>
        <v>946363</v>
      </c>
      <c r="Q48" s="22">
        <f t="shared" si="17"/>
        <v>5773910.2473329855</v>
      </c>
      <c r="R48" s="13">
        <f t="shared" si="18"/>
        <v>946363</v>
      </c>
    </row>
    <row r="49" spans="1:18">
      <c r="A49" s="18" t="s">
        <v>56</v>
      </c>
      <c r="B49" s="4">
        <f>'1990-10'!B49</f>
        <v>57.751551670614234</v>
      </c>
      <c r="C49" s="4">
        <f>'1990-10'!C49</f>
        <v>67.569315454618646</v>
      </c>
      <c r="D49" s="16">
        <f t="shared" si="9"/>
        <v>57751.551670614237</v>
      </c>
      <c r="E49" s="4">
        <f>'Interval Circuities'!G49</f>
        <v>1.4076416923663035</v>
      </c>
      <c r="F49" s="4">
        <f t="shared" si="10"/>
        <v>41.027167626394686</v>
      </c>
      <c r="G49" s="4">
        <f t="shared" si="11"/>
        <v>41.027167626394686</v>
      </c>
      <c r="H49" s="4">
        <f t="shared" si="12"/>
        <v>5288.0182379016651</v>
      </c>
      <c r="I49" s="4">
        <f t="shared" si="13"/>
        <v>1477.6384054639784</v>
      </c>
      <c r="J49" s="9">
        <f>'1990-10'!J49</f>
        <v>1522.7</v>
      </c>
      <c r="K49" s="9">
        <f>'1990-10'!K49</f>
        <v>2250000</v>
      </c>
      <c r="L49" s="22">
        <f t="shared" si="14"/>
        <v>7813778.8371174531</v>
      </c>
      <c r="M49" s="22">
        <f t="shared" si="15"/>
        <v>2250000</v>
      </c>
      <c r="N49" s="19" t="s">
        <v>92</v>
      </c>
      <c r="O49" s="4">
        <f t="shared" si="16"/>
        <v>859.22243383463581</v>
      </c>
      <c r="P49" s="13">
        <f>'1990-10'!P49</f>
        <v>1308338</v>
      </c>
      <c r="Q49" s="22">
        <f t="shared" si="17"/>
        <v>4543583.9005318107</v>
      </c>
      <c r="R49" s="13">
        <f t="shared" si="18"/>
        <v>1308338</v>
      </c>
    </row>
    <row r="50" spans="1:18">
      <c r="A50" s="18" t="s">
        <v>76</v>
      </c>
      <c r="B50" s="4">
        <f>'1990-10'!B50</f>
        <v>57.267086544288581</v>
      </c>
      <c r="C50" s="4">
        <f>'1990-10'!C50</f>
        <v>59.557770006060125</v>
      </c>
      <c r="D50" s="16">
        <f t="shared" si="9"/>
        <v>57267.086544288584</v>
      </c>
      <c r="E50" s="4">
        <f>'Interval Circuities'!G50</f>
        <v>1.2199936384657204</v>
      </c>
      <c r="F50" s="4">
        <f t="shared" si="10"/>
        <v>46.940479637507295</v>
      </c>
      <c r="G50" s="4">
        <f t="shared" si="11"/>
        <v>46.940479637507295</v>
      </c>
      <c r="H50" s="4">
        <f t="shared" si="12"/>
        <v>6922.2123604637245</v>
      </c>
      <c r="I50" s="4">
        <f t="shared" si="13"/>
        <v>4280.7094372673528</v>
      </c>
      <c r="J50" s="9">
        <f>'1990-10'!J50</f>
        <v>913.4</v>
      </c>
      <c r="K50" s="9">
        <f>'1990-10'!K50</f>
        <v>3910000</v>
      </c>
      <c r="L50" s="22">
        <f t="shared" si="14"/>
        <v>29631979.778205782</v>
      </c>
      <c r="M50" s="22">
        <f t="shared" si="15"/>
        <v>3910000</v>
      </c>
      <c r="N50" s="19" t="s">
        <v>92</v>
      </c>
      <c r="O50" s="4">
        <f t="shared" si="16"/>
        <v>1616.0335012042917</v>
      </c>
      <c r="P50" s="13">
        <f>'1990-10'!P50</f>
        <v>1476085</v>
      </c>
      <c r="Q50" s="22">
        <f t="shared" si="17"/>
        <v>11186527.076959817</v>
      </c>
      <c r="R50" s="13">
        <f t="shared" si="18"/>
        <v>1476085</v>
      </c>
    </row>
    <row r="51" spans="1:18">
      <c r="A51" s="18" t="s">
        <v>57</v>
      </c>
      <c r="B51" s="4">
        <f>'1990-10'!B51</f>
        <v>65.029165523454452</v>
      </c>
      <c r="C51" s="4">
        <f>'1990-10'!C51</f>
        <v>79.985873593848979</v>
      </c>
      <c r="D51" s="16">
        <f t="shared" si="9"/>
        <v>65029.165523454452</v>
      </c>
      <c r="E51" s="4">
        <f>'Interval Circuities'!G51</f>
        <v>1.3156220711743434</v>
      </c>
      <c r="F51" s="4">
        <f t="shared" si="10"/>
        <v>49.428454377789869</v>
      </c>
      <c r="G51" s="4">
        <f t="shared" si="11"/>
        <v>49.428454377789869</v>
      </c>
      <c r="H51" s="4">
        <f t="shared" si="12"/>
        <v>7675.4515276555949</v>
      </c>
      <c r="I51" s="4">
        <f t="shared" si="13"/>
        <v>1039.2364793213148</v>
      </c>
      <c r="J51" s="9">
        <f>'1990-10'!J51</f>
        <v>1886</v>
      </c>
      <c r="K51" s="9">
        <f>'1990-10'!K51</f>
        <v>1960000</v>
      </c>
      <c r="L51" s="22">
        <f t="shared" si="14"/>
        <v>7976609.2228022078</v>
      </c>
      <c r="M51" s="22">
        <f t="shared" si="15"/>
        <v>1960000</v>
      </c>
      <c r="N51" s="19" t="s">
        <v>92</v>
      </c>
      <c r="O51" s="4">
        <f t="shared" si="16"/>
        <v>606.75291622481438</v>
      </c>
      <c r="P51" s="13">
        <f>'1990-10'!P51</f>
        <v>1144336</v>
      </c>
      <c r="Q51" s="22">
        <f t="shared" si="17"/>
        <v>4657102.5977472384</v>
      </c>
      <c r="R51" s="13">
        <f t="shared" si="18"/>
        <v>1144336</v>
      </c>
    </row>
    <row r="52" spans="1:18">
      <c r="A52" s="18" t="s">
        <v>71</v>
      </c>
      <c r="B52" s="4">
        <f>'1990-10'!B52</f>
        <v>57.772652523705723</v>
      </c>
      <c r="C52" s="4">
        <f>'1990-10'!C52</f>
        <v>71.060362604158044</v>
      </c>
      <c r="D52" s="16">
        <f t="shared" si="9"/>
        <v>57772.652523705721</v>
      </c>
      <c r="E52" s="4">
        <f>'Interval Circuities'!G52</f>
        <v>1.2531993864468807</v>
      </c>
      <c r="F52" s="4">
        <f t="shared" si="10"/>
        <v>46.100128318371574</v>
      </c>
      <c r="G52" s="4">
        <f t="shared" si="11"/>
        <v>46.100128318371574</v>
      </c>
      <c r="H52" s="4">
        <f t="shared" si="12"/>
        <v>6676.5812914250218</v>
      </c>
      <c r="I52" s="4">
        <f t="shared" si="13"/>
        <v>1022.1667558091162</v>
      </c>
      <c r="J52" s="9">
        <f>'1990-10'!J52</f>
        <v>1682.7</v>
      </c>
      <c r="K52" s="9">
        <f>'1990-10'!K52</f>
        <v>1720000</v>
      </c>
      <c r="L52" s="22">
        <f t="shared" si="14"/>
        <v>6824579.4385517547</v>
      </c>
      <c r="M52" s="22">
        <f t="shared" si="15"/>
        <v>1720000</v>
      </c>
      <c r="N52" s="19" t="s">
        <v>92</v>
      </c>
      <c r="O52" s="4">
        <f t="shared" si="16"/>
        <v>543.59719498425147</v>
      </c>
      <c r="P52" s="13">
        <f>'1990-10'!P52</f>
        <v>914711</v>
      </c>
      <c r="Q52" s="22">
        <f t="shared" si="17"/>
        <v>3629370.8621029733</v>
      </c>
      <c r="R52" s="13">
        <f t="shared" si="18"/>
        <v>914711</v>
      </c>
    </row>
    <row r="53" spans="1:18" ht="16">
      <c r="A53" s="18" t="s">
        <v>118</v>
      </c>
      <c r="B53" s="4">
        <f>'1990-10'!B53</f>
        <v>57.166397237881569</v>
      </c>
      <c r="C53" s="4">
        <f>'1990-10'!C53</f>
        <v>76.031308326382486</v>
      </c>
      <c r="D53" s="16">
        <f t="shared" si="9"/>
        <v>57166.397237881567</v>
      </c>
      <c r="E53" s="4">
        <f>'Interval Circuities'!G53</f>
        <v>1.2922576304997151</v>
      </c>
      <c r="F53" s="4">
        <f t="shared" si="10"/>
        <v>44.237616314771046</v>
      </c>
      <c r="G53" s="4">
        <f t="shared" si="11"/>
        <v>44.237616314771046</v>
      </c>
      <c r="H53" s="4">
        <f t="shared" si="12"/>
        <v>6147.992199283919</v>
      </c>
      <c r="I53" s="4">
        <f t="shared" si="13"/>
        <v>1267.0644976702363</v>
      </c>
      <c r="J53" s="9">
        <f>'1990-10'!J53</f>
        <v>2446.6</v>
      </c>
      <c r="K53" s="9">
        <f>'1990-10'!K53</f>
        <v>3100000</v>
      </c>
      <c r="L53" s="22">
        <f t="shared" si="14"/>
        <v>7789902.6476662103</v>
      </c>
      <c r="M53" s="22">
        <f t="shared" si="15"/>
        <v>3100000</v>
      </c>
      <c r="N53" s="19" t="s">
        <v>92</v>
      </c>
      <c r="O53" s="4">
        <f t="shared" si="16"/>
        <v>905.07234529551215</v>
      </c>
      <c r="P53" s="13">
        <f>'1990-10'!P53</f>
        <v>2214350</v>
      </c>
      <c r="Q53" s="22">
        <f t="shared" si="17"/>
        <v>5564377.7186644105</v>
      </c>
      <c r="R53" s="13">
        <f t="shared" si="18"/>
        <v>2214350</v>
      </c>
    </row>
    <row r="54" spans="1:18">
      <c r="D54" s="1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D2" sqref="D2"/>
    </sheetView>
  </sheetViews>
  <sheetFormatPr baseColWidth="10" defaultColWidth="11.5" defaultRowHeight="14" x14ac:dyDescent="0"/>
  <cols>
    <col min="4" max="4" width="8.5" style="18" customWidth="1"/>
  </cols>
  <sheetData>
    <row r="1" spans="1:18" ht="56">
      <c r="A1" s="18">
        <f>7/6</f>
        <v>1.1666666666666667</v>
      </c>
      <c r="B1" s="1" t="s">
        <v>60</v>
      </c>
      <c r="C1" s="1" t="s">
        <v>61</v>
      </c>
      <c r="D1" s="30" t="s">
        <v>168</v>
      </c>
      <c r="E1" s="7" t="s">
        <v>91</v>
      </c>
      <c r="F1" s="1" t="s">
        <v>21</v>
      </c>
      <c r="G1" s="1" t="s">
        <v>20</v>
      </c>
      <c r="H1" s="1" t="s">
        <v>134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125</v>
      </c>
      <c r="E2" s="18" t="s">
        <v>116</v>
      </c>
      <c r="F2" s="18" t="s">
        <v>17</v>
      </c>
      <c r="G2" s="18" t="s">
        <v>19</v>
      </c>
      <c r="H2" s="18" t="s">
        <v>135</v>
      </c>
      <c r="I2" s="18" t="s">
        <v>24</v>
      </c>
      <c r="J2" s="9" t="s">
        <v>16</v>
      </c>
      <c r="K2" s="13" t="s">
        <v>126</v>
      </c>
      <c r="L2" s="22" t="s">
        <v>132</v>
      </c>
      <c r="M2" s="22" t="s">
        <v>127</v>
      </c>
      <c r="N2" s="19" t="s">
        <v>92</v>
      </c>
      <c r="O2" s="18" t="s">
        <v>128</v>
      </c>
      <c r="P2" s="18" t="s">
        <v>129</v>
      </c>
      <c r="Q2" s="22" t="s">
        <v>131</v>
      </c>
      <c r="R2" s="18" t="s">
        <v>130</v>
      </c>
    </row>
    <row r="3" spans="1:18">
      <c r="A3" s="18" t="s">
        <v>26</v>
      </c>
      <c r="B3" s="4">
        <f>'1990-10'!B3</f>
        <v>60.37546801014345</v>
      </c>
      <c r="C3" s="4">
        <f>'1990-10'!C3</f>
        <v>63.997996090752061</v>
      </c>
      <c r="D3" s="16">
        <f>B3*$A$1*1000</f>
        <v>70438.046011834027</v>
      </c>
      <c r="E3" s="4">
        <f>'Interval Circuities'!H3</f>
        <v>1.2025352150152295</v>
      </c>
      <c r="F3" s="4">
        <f t="shared" ref="F3:F53" si="0">B3/E3</f>
        <v>50.206819107063595</v>
      </c>
      <c r="G3" s="4">
        <f t="shared" ref="G3:G53" si="1">F3*$A$1</f>
        <v>58.574622291574201</v>
      </c>
      <c r="H3" s="4">
        <f t="shared" ref="H3:H53" si="2">PI()*G3^2</f>
        <v>10778.761595295051</v>
      </c>
      <c r="I3" s="4">
        <f t="shared" ref="I3:I53" si="3">K3/J3</f>
        <v>964.67391304347825</v>
      </c>
      <c r="J3" s="9">
        <f>'1990-10'!J3</f>
        <v>2944</v>
      </c>
      <c r="K3" s="9">
        <f>'1990-10'!K3</f>
        <v>2840000</v>
      </c>
      <c r="L3" s="22">
        <f t="shared" ref="L3:L53" si="4">H3*I3</f>
        <v>10397990.12589604</v>
      </c>
      <c r="M3" s="22">
        <f t="shared" ref="M3:M53" si="5">MIN(K3,L3)</f>
        <v>2840000</v>
      </c>
      <c r="N3" s="19" t="s">
        <v>92</v>
      </c>
      <c r="O3" s="4">
        <f t="shared" ref="O3:O53" si="6">P3/J3</f>
        <v>503.32235054347825</v>
      </c>
      <c r="P3" s="13">
        <f>'1990-10'!P3</f>
        <v>1481781</v>
      </c>
      <c r="Q3" s="22">
        <f t="shared" ref="Q3:Q53" si="7">H3*O3</f>
        <v>5425191.6220916761</v>
      </c>
      <c r="R3" s="13">
        <f t="shared" ref="R3:R53" si="8">MIN(Q3,P3)</f>
        <v>1481781</v>
      </c>
    </row>
    <row r="4" spans="1:18">
      <c r="A4" s="18" t="s">
        <v>27</v>
      </c>
      <c r="B4" s="4">
        <f>'1990-10'!B4</f>
        <v>63.478689145973746</v>
      </c>
      <c r="C4" s="4">
        <f>'1990-10'!C4</f>
        <v>67.922197386191925</v>
      </c>
      <c r="D4" s="16">
        <f t="shared" ref="D4:D53" si="9">B4*$A$1*1000</f>
        <v>74058.470670302704</v>
      </c>
      <c r="E4" s="4">
        <f>'Interval Circuities'!H4</f>
        <v>1.2773678081599549</v>
      </c>
      <c r="F4" s="4">
        <f t="shared" si="0"/>
        <v>49.69491851952543</v>
      </c>
      <c r="G4" s="4">
        <f t="shared" si="1"/>
        <v>57.977404939446338</v>
      </c>
      <c r="H4" s="4">
        <f t="shared" si="2"/>
        <v>10560.085091330437</v>
      </c>
      <c r="I4" s="4">
        <f t="shared" si="3"/>
        <v>932.86219081272088</v>
      </c>
      <c r="J4" s="9">
        <f>'1990-10'!J4</f>
        <v>707.5</v>
      </c>
      <c r="K4" s="9">
        <f>'1990-10'!K4</f>
        <v>660000</v>
      </c>
      <c r="L4" s="22">
        <f t="shared" si="4"/>
        <v>9851104.1134672631</v>
      </c>
      <c r="M4" s="22">
        <f t="shared" si="5"/>
        <v>660000</v>
      </c>
      <c r="N4" s="19" t="s">
        <v>92</v>
      </c>
      <c r="O4" s="4">
        <f t="shared" si="6"/>
        <v>571.04734982332161</v>
      </c>
      <c r="P4" s="13">
        <f>'1990-10'!P4</f>
        <v>404016</v>
      </c>
      <c r="Q4" s="22">
        <f t="shared" si="7"/>
        <v>6030308.6053130152</v>
      </c>
      <c r="R4" s="13">
        <f t="shared" si="8"/>
        <v>404016</v>
      </c>
    </row>
    <row r="5" spans="1:18" ht="16">
      <c r="A5" s="18" t="s">
        <v>119</v>
      </c>
      <c r="B5" s="4">
        <f>'1990-10'!B5</f>
        <v>60.37745029626894</v>
      </c>
      <c r="C5" s="4">
        <f>'1990-10'!C5</f>
        <v>64.603871817007771</v>
      </c>
      <c r="D5" s="16">
        <f t="shared" si="9"/>
        <v>70440.358678980425</v>
      </c>
      <c r="E5" s="4">
        <f>'Interval Circuities'!H5</f>
        <v>1.2079050813012584</v>
      </c>
      <c r="F5" s="4">
        <f t="shared" si="0"/>
        <v>49.985260622651907</v>
      </c>
      <c r="G5" s="4">
        <f t="shared" si="1"/>
        <v>58.316137393093896</v>
      </c>
      <c r="H5" s="4">
        <f t="shared" si="2"/>
        <v>10683.839956157108</v>
      </c>
      <c r="I5" s="4">
        <f t="shared" si="3"/>
        <v>1296.8393613554904</v>
      </c>
      <c r="J5" s="9">
        <f>'1990-10'!J5</f>
        <v>1534.5</v>
      </c>
      <c r="K5" s="9">
        <f>'1990-10'!K5</f>
        <v>1990000</v>
      </c>
      <c r="L5" s="22">
        <f t="shared" si="4"/>
        <v>13855224.185567053</v>
      </c>
      <c r="M5" s="22">
        <f t="shared" si="5"/>
        <v>1990000</v>
      </c>
      <c r="N5" s="19" t="s">
        <v>92</v>
      </c>
      <c r="O5" s="4">
        <f t="shared" si="6"/>
        <v>776.67839687194521</v>
      </c>
      <c r="P5" s="13">
        <f>'1990-10'!P5</f>
        <v>1191813</v>
      </c>
      <c r="Q5" s="22">
        <f t="shared" si="7"/>
        <v>8297907.6895845355</v>
      </c>
      <c r="R5" s="13">
        <f t="shared" si="8"/>
        <v>1191813</v>
      </c>
    </row>
    <row r="6" spans="1:18">
      <c r="A6" s="18" t="s">
        <v>29</v>
      </c>
      <c r="B6" s="4">
        <f>'1990-10'!B6</f>
        <v>61.541690600746875</v>
      </c>
      <c r="C6" s="4">
        <f>'1990-10'!C6</f>
        <v>67.695859660821569</v>
      </c>
      <c r="D6" s="16">
        <f t="shared" si="9"/>
        <v>71798.639034204694</v>
      </c>
      <c r="E6" s="4">
        <f>'Interval Circuities'!H6</f>
        <v>1.1866052347068958</v>
      </c>
      <c r="F6" s="4">
        <f t="shared" si="0"/>
        <v>51.863660129519261</v>
      </c>
      <c r="G6" s="4">
        <f t="shared" si="1"/>
        <v>60.507603484439144</v>
      </c>
      <c r="H6" s="4">
        <f t="shared" si="2"/>
        <v>11501.905025080399</v>
      </c>
      <c r="I6" s="4">
        <f t="shared" si="3"/>
        <v>1563.9892556970801</v>
      </c>
      <c r="J6" s="9">
        <f>'1990-10'!J6</f>
        <v>2308.1999999999998</v>
      </c>
      <c r="K6" s="9">
        <f>'1990-10'!K6</f>
        <v>3610000</v>
      </c>
      <c r="L6" s="22">
        <f t="shared" si="4"/>
        <v>17988855.879273999</v>
      </c>
      <c r="M6" s="22">
        <f t="shared" si="5"/>
        <v>3610000</v>
      </c>
      <c r="N6" s="19" t="s">
        <v>92</v>
      </c>
      <c r="O6" s="4">
        <f t="shared" si="6"/>
        <v>927.87323455506464</v>
      </c>
      <c r="P6" s="13">
        <f>'1990-10'!P6</f>
        <v>2141717</v>
      </c>
      <c r="Q6" s="22">
        <f t="shared" si="7"/>
        <v>10672309.819166502</v>
      </c>
      <c r="R6" s="13">
        <f t="shared" si="8"/>
        <v>2141717</v>
      </c>
    </row>
    <row r="7" spans="1:18">
      <c r="A7" s="18" t="s">
        <v>30</v>
      </c>
      <c r="B7" s="4">
        <f>'1990-10'!B7</f>
        <v>73.27659816495958</v>
      </c>
      <c r="C7" s="4">
        <f>'1990-10'!C7</f>
        <v>76.207662091557978</v>
      </c>
      <c r="D7" s="16">
        <f t="shared" si="9"/>
        <v>85489.364525786194</v>
      </c>
      <c r="E7" s="4">
        <f>'Interval Circuities'!H7</f>
        <v>1.1614956058387502</v>
      </c>
      <c r="F7" s="4">
        <f t="shared" si="0"/>
        <v>63.088140666743534</v>
      </c>
      <c r="G7" s="4">
        <f t="shared" si="1"/>
        <v>73.602830777867467</v>
      </c>
      <c r="H7" s="4">
        <f t="shared" si="2"/>
        <v>17019.190837784492</v>
      </c>
      <c r="I7" s="4">
        <f t="shared" si="3"/>
        <v>1440.1622718052738</v>
      </c>
      <c r="J7" s="9">
        <f>'1990-10'!J7</f>
        <v>739.5</v>
      </c>
      <c r="K7" s="9">
        <f>'1990-10'!K7</f>
        <v>1065000</v>
      </c>
      <c r="L7" s="22">
        <f t="shared" si="4"/>
        <v>24510396.541231215</v>
      </c>
      <c r="M7" s="22">
        <f t="shared" si="5"/>
        <v>1065000</v>
      </c>
      <c r="N7" s="19" t="s">
        <v>92</v>
      </c>
      <c r="O7" s="4">
        <f t="shared" si="6"/>
        <v>718.21771467207577</v>
      </c>
      <c r="P7" s="13">
        <f>'1990-10'!P7</f>
        <v>531122</v>
      </c>
      <c r="Q7" s="22">
        <f t="shared" si="7"/>
        <v>12223484.349081509</v>
      </c>
      <c r="R7" s="13">
        <f t="shared" si="8"/>
        <v>531122</v>
      </c>
    </row>
    <row r="8" spans="1:18">
      <c r="A8" s="18" t="s">
        <v>31</v>
      </c>
      <c r="B8" s="4">
        <f>'1990-10'!B8</f>
        <v>66.908176577055386</v>
      </c>
      <c r="C8" s="4">
        <f>'1990-10'!C8</f>
        <v>71.591748937449267</v>
      </c>
      <c r="D8" s="16">
        <f t="shared" si="9"/>
        <v>78059.53933989795</v>
      </c>
      <c r="E8" s="4">
        <f>'Interval Circuities'!H8</f>
        <v>1.2177488971903101</v>
      </c>
      <c r="F8" s="4">
        <f t="shared" si="0"/>
        <v>54.944148774374916</v>
      </c>
      <c r="G8" s="4">
        <f t="shared" si="1"/>
        <v>64.101506903437411</v>
      </c>
      <c r="H8" s="4">
        <f t="shared" si="2"/>
        <v>12908.814226771814</v>
      </c>
      <c r="I8" s="4">
        <f t="shared" si="3"/>
        <v>862.48203162434118</v>
      </c>
      <c r="J8" s="9">
        <f>'1990-10'!J8</f>
        <v>626.1</v>
      </c>
      <c r="K8" s="9">
        <f>'1990-10'!K8</f>
        <v>540000</v>
      </c>
      <c r="L8" s="22">
        <f t="shared" si="4"/>
        <v>11133620.320167353</v>
      </c>
      <c r="M8" s="22">
        <f t="shared" si="5"/>
        <v>540000</v>
      </c>
      <c r="N8" s="19" t="s">
        <v>92</v>
      </c>
      <c r="O8" s="4">
        <f t="shared" si="6"/>
        <v>966.06931800031941</v>
      </c>
      <c r="P8" s="13">
        <f>'1990-10'!P8</f>
        <v>604856</v>
      </c>
      <c r="Q8" s="22">
        <f t="shared" si="7"/>
        <v>12470809.356250267</v>
      </c>
      <c r="R8" s="13">
        <f t="shared" si="8"/>
        <v>604856</v>
      </c>
    </row>
    <row r="9" spans="1:18">
      <c r="A9" s="18" t="s">
        <v>32</v>
      </c>
      <c r="B9" s="4">
        <f>'1990-10'!B9</f>
        <v>59.830534500000006</v>
      </c>
      <c r="C9" s="4">
        <f>'1990-10'!C9</f>
        <v>64.616977260000013</v>
      </c>
      <c r="D9" s="16">
        <f t="shared" si="9"/>
        <v>69802.29025000002</v>
      </c>
      <c r="E9" s="4">
        <f>'Interval Circuities'!H9</f>
        <v>1.1815739484059185</v>
      </c>
      <c r="F9" s="4">
        <f t="shared" si="0"/>
        <v>50.636301334096267</v>
      </c>
      <c r="G9" s="4">
        <f t="shared" si="1"/>
        <v>59.075684889778984</v>
      </c>
      <c r="H9" s="4">
        <f t="shared" si="2"/>
        <v>10963.959011883744</v>
      </c>
      <c r="I9" s="4">
        <f t="shared" si="3"/>
        <v>1830.0112091232515</v>
      </c>
      <c r="J9" s="9">
        <f>'1990-10'!J9</f>
        <v>4103.8</v>
      </c>
      <c r="K9" s="9">
        <f>'1990-10'!K9</f>
        <v>7510000</v>
      </c>
      <c r="L9" s="22">
        <f t="shared" si="4"/>
        <v>20064167.888115142</v>
      </c>
      <c r="M9" s="22">
        <f t="shared" si="5"/>
        <v>7510000</v>
      </c>
      <c r="N9" s="19" t="s">
        <v>92</v>
      </c>
      <c r="O9" s="4">
        <f t="shared" si="6"/>
        <v>936.04391052195524</v>
      </c>
      <c r="P9" s="13">
        <f>'1990-10'!P9</f>
        <v>3841337</v>
      </c>
      <c r="Q9" s="22">
        <f t="shared" si="7"/>
        <v>10262747.068286093</v>
      </c>
      <c r="R9" s="13">
        <f t="shared" si="8"/>
        <v>3841337</v>
      </c>
    </row>
    <row r="10" spans="1:18">
      <c r="A10" s="18" t="s">
        <v>33</v>
      </c>
      <c r="B10" s="4">
        <f>'1990-10'!B10</f>
        <v>67.518821168909824</v>
      </c>
      <c r="C10" s="4">
        <f>'1990-10'!C10</f>
        <v>74.270703285800806</v>
      </c>
      <c r="D10" s="16">
        <f t="shared" si="9"/>
        <v>78771.958030394802</v>
      </c>
      <c r="E10" s="4">
        <f>'Interval Circuities'!H10</f>
        <v>1.2731009316004391</v>
      </c>
      <c r="F10" s="4">
        <f t="shared" si="0"/>
        <v>53.03493186830886</v>
      </c>
      <c r="G10" s="4">
        <f t="shared" si="1"/>
        <v>61.874087179693674</v>
      </c>
      <c r="H10" s="4">
        <f t="shared" si="2"/>
        <v>12027.281685212351</v>
      </c>
      <c r="I10" s="4">
        <f t="shared" si="3"/>
        <v>860.24750980984004</v>
      </c>
      <c r="J10" s="9">
        <f>'1990-10'!J10</f>
        <v>1325.2</v>
      </c>
      <c r="K10" s="9">
        <f>'1990-10'!K10</f>
        <v>1140000</v>
      </c>
      <c r="L10" s="22">
        <f t="shared" si="4"/>
        <v>10346439.119485421</v>
      </c>
      <c r="M10" s="22">
        <f t="shared" si="5"/>
        <v>1140000</v>
      </c>
      <c r="N10" s="19" t="s">
        <v>92</v>
      </c>
      <c r="O10" s="4">
        <f t="shared" si="6"/>
        <v>613.31572592816178</v>
      </c>
      <c r="P10" s="13">
        <f>'1990-10'!P10</f>
        <v>812766</v>
      </c>
      <c r="Q10" s="22">
        <f t="shared" si="7"/>
        <v>7376520.9977084976</v>
      </c>
      <c r="R10" s="13">
        <f t="shared" si="8"/>
        <v>812766</v>
      </c>
    </row>
    <row r="11" spans="1:18">
      <c r="A11" s="18" t="s">
        <v>34</v>
      </c>
      <c r="B11" s="4">
        <f>'1990-10'!B11</f>
        <v>70.270147843682068</v>
      </c>
      <c r="C11" s="4">
        <f>'1990-10'!C11</f>
        <v>77.297162628050287</v>
      </c>
      <c r="D11" s="16">
        <f t="shared" si="9"/>
        <v>81981.83915096242</v>
      </c>
      <c r="E11" s="4">
        <f>'Interval Circuities'!H11</f>
        <v>1.1559276711164435</v>
      </c>
      <c r="F11" s="4">
        <f t="shared" si="0"/>
        <v>60.791128718124909</v>
      </c>
      <c r="G11" s="4">
        <f t="shared" si="1"/>
        <v>70.922983504479063</v>
      </c>
      <c r="H11" s="4">
        <f t="shared" si="2"/>
        <v>15802.429668402663</v>
      </c>
      <c r="I11" s="4">
        <f t="shared" si="3"/>
        <v>1068.6095931997572</v>
      </c>
      <c r="J11" s="9">
        <f>'1990-10'!J11</f>
        <v>1647</v>
      </c>
      <c r="K11" s="9">
        <f>'1990-10'!K11</f>
        <v>1760000</v>
      </c>
      <c r="L11" s="22">
        <f t="shared" si="4"/>
        <v>16886627.939519543</v>
      </c>
      <c r="M11" s="22">
        <f t="shared" si="5"/>
        <v>1760000</v>
      </c>
      <c r="N11" s="19" t="s">
        <v>92</v>
      </c>
      <c r="O11" s="4">
        <f t="shared" si="6"/>
        <v>754.15846994535514</v>
      </c>
      <c r="P11" s="13">
        <f>'1990-10'!P11</f>
        <v>1242099</v>
      </c>
      <c r="Q11" s="22">
        <f t="shared" si="7"/>
        <v>11917536.180141639</v>
      </c>
      <c r="R11" s="13">
        <f t="shared" si="8"/>
        <v>1242099</v>
      </c>
    </row>
    <row r="12" spans="1:18">
      <c r="A12" s="18" t="s">
        <v>35</v>
      </c>
      <c r="B12" s="4">
        <f>'1990-10'!B12</f>
        <v>67.725932932724078</v>
      </c>
      <c r="C12" s="4">
        <f>'1990-10'!C12</f>
        <v>77.20756354330544</v>
      </c>
      <c r="D12" s="16">
        <f t="shared" si="9"/>
        <v>79013.588421511435</v>
      </c>
      <c r="E12" s="4">
        <f>'Interval Circuities'!H12</f>
        <v>1.1786599793271293</v>
      </c>
      <c r="F12" s="4">
        <f t="shared" si="0"/>
        <v>57.46011073642061</v>
      </c>
      <c r="G12" s="4">
        <f t="shared" si="1"/>
        <v>67.03679585915738</v>
      </c>
      <c r="H12" s="4">
        <f t="shared" si="2"/>
        <v>14118.103753986339</v>
      </c>
      <c r="I12" s="4">
        <f t="shared" si="3"/>
        <v>973.91693719914929</v>
      </c>
      <c r="J12" s="9">
        <f>'1990-10'!J12</f>
        <v>893.3</v>
      </c>
      <c r="K12" s="9">
        <f>'1990-10'!K12</f>
        <v>870000</v>
      </c>
      <c r="L12" s="22">
        <f t="shared" si="4"/>
        <v>13749860.367142187</v>
      </c>
      <c r="M12" s="22">
        <f t="shared" si="5"/>
        <v>870000</v>
      </c>
      <c r="N12" s="19" t="s">
        <v>92</v>
      </c>
      <c r="O12" s="4">
        <f t="shared" si="6"/>
        <v>758.82570245158411</v>
      </c>
      <c r="P12" s="13">
        <f>'1990-10'!P12</f>
        <v>677859</v>
      </c>
      <c r="Q12" s="22">
        <f t="shared" si="7"/>
        <v>10713179.99840303</v>
      </c>
      <c r="R12" s="13">
        <f t="shared" si="8"/>
        <v>677859</v>
      </c>
    </row>
    <row r="13" spans="1:18">
      <c r="A13" s="18" t="s">
        <v>62</v>
      </c>
      <c r="B13" s="4">
        <f>'1990-10'!B13</f>
        <v>66.03146949483623</v>
      </c>
      <c r="C13" s="4">
        <f>'1990-10'!C13</f>
        <v>76.596504614010016</v>
      </c>
      <c r="D13" s="16">
        <f t="shared" si="9"/>
        <v>77036.714410642278</v>
      </c>
      <c r="E13" s="4">
        <f>'Interval Circuities'!H13</f>
        <v>1.2086201083246289</v>
      </c>
      <c r="F13" s="4">
        <f t="shared" si="0"/>
        <v>54.633767086970003</v>
      </c>
      <c r="G13" s="4">
        <f t="shared" si="1"/>
        <v>63.739394934798341</v>
      </c>
      <c r="H13" s="4">
        <f t="shared" si="2"/>
        <v>12763.381355703183</v>
      </c>
      <c r="I13" s="4">
        <f t="shared" si="3"/>
        <v>869.56521739130437</v>
      </c>
      <c r="J13" s="9">
        <f>'1990-10'!J13</f>
        <v>3737.5</v>
      </c>
      <c r="K13" s="9">
        <f>'1990-10'!K13</f>
        <v>3250000</v>
      </c>
      <c r="L13" s="22">
        <f t="shared" si="4"/>
        <v>11098592.48322016</v>
      </c>
      <c r="M13" s="22">
        <f t="shared" si="5"/>
        <v>3250000</v>
      </c>
      <c r="N13" s="19" t="s">
        <v>92</v>
      </c>
      <c r="O13" s="4">
        <f t="shared" si="6"/>
        <v>528.85779264214045</v>
      </c>
      <c r="P13" s="13">
        <f>'1990-10'!P13</f>
        <v>1976606</v>
      </c>
      <c r="Q13" s="22">
        <f t="shared" si="7"/>
        <v>6750013.6904270351</v>
      </c>
      <c r="R13" s="13">
        <f t="shared" si="8"/>
        <v>1976606</v>
      </c>
    </row>
    <row r="14" spans="1:18">
      <c r="A14" s="18" t="s">
        <v>36</v>
      </c>
      <c r="B14" s="4">
        <f>'1990-10'!B14</f>
        <v>65.002140793217592</v>
      </c>
      <c r="C14" s="4">
        <f>'1990-10'!C14</f>
        <v>76.052504728064577</v>
      </c>
      <c r="D14" s="16">
        <f t="shared" si="9"/>
        <v>75835.830925420523</v>
      </c>
      <c r="E14" s="4">
        <f>'Interval Circuities'!H14</f>
        <v>1.3199025271396674</v>
      </c>
      <c r="F14" s="4">
        <f t="shared" si="0"/>
        <v>49.247682655841523</v>
      </c>
      <c r="G14" s="4">
        <f t="shared" si="1"/>
        <v>57.455629765148444</v>
      </c>
      <c r="H14" s="4">
        <f t="shared" si="2"/>
        <v>10370.866677397958</v>
      </c>
      <c r="I14" s="4">
        <f t="shared" si="3"/>
        <v>1329.5186805789297</v>
      </c>
      <c r="J14" s="9">
        <f>'1990-10'!J14</f>
        <v>1188.4000000000001</v>
      </c>
      <c r="K14" s="9">
        <f>'1990-10'!K14</f>
        <v>1580000</v>
      </c>
      <c r="L14" s="22">
        <f t="shared" si="4"/>
        <v>13788260.981394121</v>
      </c>
      <c r="M14" s="22">
        <f t="shared" si="5"/>
        <v>1580000</v>
      </c>
      <c r="N14" s="19" t="s">
        <v>92</v>
      </c>
      <c r="O14" s="4">
        <f t="shared" si="6"/>
        <v>811.94210703466842</v>
      </c>
      <c r="P14" s="13">
        <f>'1990-10'!P14</f>
        <v>964912</v>
      </c>
      <c r="Q14" s="22">
        <f t="shared" si="7"/>
        <v>8420543.3418221287</v>
      </c>
      <c r="R14" s="13">
        <f t="shared" si="8"/>
        <v>964912</v>
      </c>
    </row>
    <row r="15" spans="1:18">
      <c r="A15" s="18" t="s">
        <v>37</v>
      </c>
      <c r="B15" s="4">
        <f>'1990-10'!B15</f>
        <v>59.740126684000487</v>
      </c>
      <c r="C15" s="4">
        <f>'1990-10'!C15</f>
        <v>69.895948220280573</v>
      </c>
      <c r="D15" s="16">
        <f t="shared" si="9"/>
        <v>69696.814464667244</v>
      </c>
      <c r="E15" s="4">
        <f>'Interval Circuities'!H15</f>
        <v>1.1857996728322051</v>
      </c>
      <c r="F15" s="4">
        <f t="shared" si="0"/>
        <v>50.379611373407698</v>
      </c>
      <c r="G15" s="4">
        <f t="shared" si="1"/>
        <v>58.776213268975653</v>
      </c>
      <c r="H15" s="4">
        <f t="shared" si="2"/>
        <v>10853.081843161523</v>
      </c>
      <c r="I15" s="4">
        <f t="shared" si="3"/>
        <v>1369.2488100986411</v>
      </c>
      <c r="J15" s="9">
        <f>'1990-10'!J15</f>
        <v>2899.4</v>
      </c>
      <c r="K15" s="9">
        <f>'1990-10'!K15</f>
        <v>3970000</v>
      </c>
      <c r="L15" s="22">
        <f t="shared" si="4"/>
        <v>14860569.399652081</v>
      </c>
      <c r="M15" s="22">
        <f t="shared" si="5"/>
        <v>3970000</v>
      </c>
      <c r="N15" s="19" t="s">
        <v>92</v>
      </c>
      <c r="O15" s="4">
        <f t="shared" si="6"/>
        <v>717.34841691384418</v>
      </c>
      <c r="P15" s="13">
        <f>'1990-10'!P15</f>
        <v>2079880</v>
      </c>
      <c r="Q15" s="22">
        <f t="shared" si="7"/>
        <v>7785441.0788283041</v>
      </c>
      <c r="R15" s="13">
        <f t="shared" si="8"/>
        <v>2079880</v>
      </c>
    </row>
    <row r="16" spans="1:18">
      <c r="A16" s="18" t="s">
        <v>80</v>
      </c>
      <c r="B16" s="4">
        <f>'1990-10'!B16</f>
        <v>70.939381203745498</v>
      </c>
      <c r="C16" s="4">
        <f>'1990-10'!C16</f>
        <v>83.70846982041968</v>
      </c>
      <c r="D16" s="16">
        <f t="shared" si="9"/>
        <v>82762.611404369745</v>
      </c>
      <c r="E16" s="4">
        <f>'Interval Circuities'!H16</f>
        <v>1.224997316832088</v>
      </c>
      <c r="F16" s="4">
        <f t="shared" si="0"/>
        <v>57.909825784107618</v>
      </c>
      <c r="G16" s="4">
        <f t="shared" si="1"/>
        <v>67.561463414792229</v>
      </c>
      <c r="H16" s="4">
        <f t="shared" si="2"/>
        <v>14339.960952745143</v>
      </c>
      <c r="I16" s="4">
        <f t="shared" si="3"/>
        <v>1190.58976132826</v>
      </c>
      <c r="J16" s="9">
        <f>'1990-10'!J16</f>
        <v>578.20000000000005</v>
      </c>
      <c r="K16" s="9">
        <f>'1990-10'!K16</f>
        <v>688399</v>
      </c>
      <c r="L16" s="22">
        <f t="shared" si="4"/>
        <v>17073010.688185409</v>
      </c>
      <c r="M16" s="22">
        <f t="shared" si="5"/>
        <v>688399</v>
      </c>
      <c r="N16" s="19" t="s">
        <v>92</v>
      </c>
      <c r="O16" s="4">
        <f t="shared" si="6"/>
        <v>583.42269111034238</v>
      </c>
      <c r="P16" s="13">
        <f>'1990-10'!P16</f>
        <v>337335</v>
      </c>
      <c r="Q16" s="22">
        <f t="shared" si="7"/>
        <v>8366258.6094678007</v>
      </c>
      <c r="R16" s="13">
        <f t="shared" si="8"/>
        <v>337335</v>
      </c>
    </row>
    <row r="17" spans="1:18">
      <c r="A17" s="18" t="s">
        <v>58</v>
      </c>
      <c r="B17" s="4">
        <f>'1990-10'!B17</f>
        <v>64.898649256812377</v>
      </c>
      <c r="C17" s="4">
        <f>'1990-10'!C17</f>
        <v>85.666217018992342</v>
      </c>
      <c r="D17" s="16">
        <f t="shared" si="9"/>
        <v>75715.090799614438</v>
      </c>
      <c r="E17" s="4">
        <f>'Interval Circuities'!H17</f>
        <v>1.3587189631498593</v>
      </c>
      <c r="F17" s="4">
        <f t="shared" si="0"/>
        <v>47.764586361818822</v>
      </c>
      <c r="G17" s="4">
        <f t="shared" si="1"/>
        <v>55.725350755455295</v>
      </c>
      <c r="H17" s="4">
        <f t="shared" si="2"/>
        <v>9755.633901441337</v>
      </c>
      <c r="I17" s="4">
        <f t="shared" si="3"/>
        <v>770.84181744138687</v>
      </c>
      <c r="J17" s="9">
        <f>'1990-10'!J17</f>
        <v>1718.9</v>
      </c>
      <c r="K17" s="9">
        <f>'1990-10'!K17</f>
        <v>1325000</v>
      </c>
      <c r="L17" s="22">
        <f t="shared" si="4"/>
        <v>7520050.566879848</v>
      </c>
      <c r="M17" s="22">
        <f t="shared" si="5"/>
        <v>1325000</v>
      </c>
      <c r="N17" s="19" t="s">
        <v>92</v>
      </c>
      <c r="O17" s="4">
        <f t="shared" si="6"/>
        <v>406.65483739600904</v>
      </c>
      <c r="P17" s="13">
        <f>'1990-10'!P17</f>
        <v>698999</v>
      </c>
      <c r="Q17" s="22">
        <f t="shared" si="7"/>
        <v>3967175.7178856204</v>
      </c>
      <c r="R17" s="13">
        <f t="shared" si="8"/>
        <v>698999</v>
      </c>
    </row>
    <row r="18" spans="1:18">
      <c r="A18" s="18" t="s">
        <v>38</v>
      </c>
      <c r="B18" s="4">
        <f>'1990-10'!B18</f>
        <v>70.550117521710789</v>
      </c>
      <c r="C18" s="4">
        <f>'1990-10'!C18</f>
        <v>84.660141026052941</v>
      </c>
      <c r="D18" s="16">
        <f t="shared" si="9"/>
        <v>82308.470441995916</v>
      </c>
      <c r="E18" s="4">
        <f>'Interval Circuities'!H18</f>
        <v>1.2104758123426149</v>
      </c>
      <c r="F18" s="4">
        <f t="shared" si="0"/>
        <v>58.282963444908702</v>
      </c>
      <c r="G18" s="4">
        <f t="shared" si="1"/>
        <v>67.996790685726822</v>
      </c>
      <c r="H18" s="4">
        <f t="shared" si="2"/>
        <v>14525.353261849117</v>
      </c>
      <c r="I18" s="4">
        <f t="shared" si="3"/>
        <v>1320.2112337974077</v>
      </c>
      <c r="J18" s="9">
        <f>'1990-10'!J18</f>
        <v>624.9</v>
      </c>
      <c r="K18" s="9">
        <f>'1990-10'!K18</f>
        <v>825000</v>
      </c>
      <c r="L18" s="22">
        <f t="shared" si="4"/>
        <v>19176534.551169023</v>
      </c>
      <c r="M18" s="22">
        <f t="shared" si="5"/>
        <v>825000</v>
      </c>
      <c r="N18" s="19" t="s">
        <v>92</v>
      </c>
      <c r="O18" s="4">
        <f t="shared" si="6"/>
        <v>899.29428708593377</v>
      </c>
      <c r="P18" s="13">
        <f>'1990-10'!P18</f>
        <v>561969</v>
      </c>
      <c r="Q18" s="22">
        <f t="shared" si="7"/>
        <v>13062567.206285944</v>
      </c>
      <c r="R18" s="13">
        <f t="shared" si="8"/>
        <v>561969</v>
      </c>
    </row>
    <row r="19" spans="1:18">
      <c r="A19" s="18" t="s">
        <v>81</v>
      </c>
      <c r="B19" s="4">
        <f>'1990-10'!B19</f>
        <v>61.851770964117151</v>
      </c>
      <c r="C19" s="4">
        <f>'1990-10'!C19</f>
        <v>73.60360744729941</v>
      </c>
      <c r="D19" s="16">
        <f t="shared" si="9"/>
        <v>72160.399458136686</v>
      </c>
      <c r="E19" s="4">
        <f>'Interval Circuities'!H19</f>
        <v>1.4767113172087425</v>
      </c>
      <c r="F19" s="4">
        <f t="shared" si="0"/>
        <v>41.884808657814339</v>
      </c>
      <c r="G19" s="4">
        <f t="shared" si="1"/>
        <v>48.8656101007834</v>
      </c>
      <c r="H19" s="4">
        <f t="shared" si="2"/>
        <v>7501.6452650894162</v>
      </c>
      <c r="I19" s="4">
        <f t="shared" si="3"/>
        <v>2328.0373051224947</v>
      </c>
      <c r="J19" s="9">
        <f>'1990-10'!J19</f>
        <v>359.2</v>
      </c>
      <c r="K19" s="9">
        <f>'1990-10'!K19</f>
        <v>836231</v>
      </c>
      <c r="L19" s="22">
        <f t="shared" si="4"/>
        <v>17464110.026923686</v>
      </c>
      <c r="M19" s="22">
        <f t="shared" si="5"/>
        <v>836231</v>
      </c>
      <c r="N19" s="19" t="s">
        <v>92</v>
      </c>
      <c r="O19" s="4">
        <f t="shared" si="6"/>
        <v>1218.0345211581291</v>
      </c>
      <c r="P19" s="13">
        <f>'1990-10'!P19</f>
        <v>437518</v>
      </c>
      <c r="Q19" s="22">
        <f t="shared" si="7"/>
        <v>9137262.8983613327</v>
      </c>
      <c r="R19" s="13">
        <f t="shared" si="8"/>
        <v>437518</v>
      </c>
    </row>
    <row r="20" spans="1:18">
      <c r="A20" s="18" t="s">
        <v>39</v>
      </c>
      <c r="B20" s="4">
        <f>'1990-10'!B20</f>
        <v>61.865929871835121</v>
      </c>
      <c r="C20" s="4">
        <f>'1990-10'!C20</f>
        <v>73.620456547483784</v>
      </c>
      <c r="D20" s="16">
        <f t="shared" si="9"/>
        <v>72176.918183807647</v>
      </c>
      <c r="E20" s="4">
        <f>'Interval Circuities'!H20</f>
        <v>1.2522801836640733</v>
      </c>
      <c r="F20" s="4">
        <f t="shared" si="0"/>
        <v>49.402626248400956</v>
      </c>
      <c r="G20" s="4">
        <f t="shared" si="1"/>
        <v>57.636397289801117</v>
      </c>
      <c r="H20" s="4">
        <f t="shared" si="2"/>
        <v>10436.227201029227</v>
      </c>
      <c r="I20" s="4">
        <f t="shared" si="3"/>
        <v>951.03794313448986</v>
      </c>
      <c r="J20" s="9">
        <f>'1990-10'!J20</f>
        <v>3049.3</v>
      </c>
      <c r="K20" s="9">
        <f>'1990-10'!K20</f>
        <v>2900000</v>
      </c>
      <c r="L20" s="22">
        <f t="shared" si="4"/>
        <v>9925248.0513510499</v>
      </c>
      <c r="M20" s="22">
        <f t="shared" si="5"/>
        <v>2900000</v>
      </c>
      <c r="N20" s="19" t="s">
        <v>92</v>
      </c>
      <c r="O20" s="4">
        <f t="shared" si="6"/>
        <v>577.11474764700097</v>
      </c>
      <c r="P20" s="13">
        <f>'1990-10'!P20</f>
        <v>1759796</v>
      </c>
      <c r="Q20" s="22">
        <f t="shared" si="7"/>
        <v>6022900.6275087493</v>
      </c>
      <c r="R20" s="13">
        <f t="shared" si="8"/>
        <v>1759796</v>
      </c>
    </row>
    <row r="21" spans="1:18">
      <c r="A21" s="18" t="s">
        <v>40</v>
      </c>
      <c r="B21" s="4">
        <f>'1990-10'!B21</f>
        <v>66.181816591922129</v>
      </c>
      <c r="C21" s="4">
        <f>'1990-10'!C21</f>
        <v>78.094543578468105</v>
      </c>
      <c r="D21" s="16">
        <f t="shared" si="9"/>
        <v>77212.119357242482</v>
      </c>
      <c r="E21" s="4">
        <f>'Interval Circuities'!H21</f>
        <v>1.1756537398215856</v>
      </c>
      <c r="F21" s="4">
        <f t="shared" si="0"/>
        <v>56.293629961119095</v>
      </c>
      <c r="G21" s="4">
        <f t="shared" si="1"/>
        <v>65.675901621305613</v>
      </c>
      <c r="H21" s="4">
        <f t="shared" si="2"/>
        <v>13550.70715988042</v>
      </c>
      <c r="I21" s="4">
        <f t="shared" si="3"/>
        <v>778.16205533596838</v>
      </c>
      <c r="J21" s="9">
        <f>'1990-10'!J21</f>
        <v>1214.4000000000001</v>
      </c>
      <c r="K21" s="9">
        <f>'1990-10'!K21</f>
        <v>945000</v>
      </c>
      <c r="L21" s="22">
        <f t="shared" si="4"/>
        <v>10544646.13478837</v>
      </c>
      <c r="M21" s="22">
        <f t="shared" si="5"/>
        <v>945000</v>
      </c>
      <c r="N21" s="19" t="s">
        <v>92</v>
      </c>
      <c r="O21" s="4">
        <f t="shared" si="6"/>
        <v>514.63356389986825</v>
      </c>
      <c r="P21" s="13">
        <f>'1990-10'!P21</f>
        <v>624971</v>
      </c>
      <c r="Q21" s="22">
        <f t="shared" si="7"/>
        <v>6973648.7190527217</v>
      </c>
      <c r="R21" s="13">
        <f t="shared" si="8"/>
        <v>624971</v>
      </c>
    </row>
    <row r="22" spans="1:18" ht="16">
      <c r="A22" s="18" t="s">
        <v>120</v>
      </c>
      <c r="B22" s="4">
        <f>'1990-10'!B22</f>
        <v>65.10221093956217</v>
      </c>
      <c r="C22" s="4">
        <f>'1990-10'!C22</f>
        <v>72.914476252309626</v>
      </c>
      <c r="D22" s="16">
        <f t="shared" si="9"/>
        <v>75952.579429489211</v>
      </c>
      <c r="E22" s="4">
        <f>'Interval Circuities'!H22</f>
        <v>1.306991829104972</v>
      </c>
      <c r="F22" s="4">
        <f t="shared" si="0"/>
        <v>49.810725277559051</v>
      </c>
      <c r="G22" s="4">
        <f t="shared" si="1"/>
        <v>58.112512823818896</v>
      </c>
      <c r="H22" s="4">
        <f t="shared" si="2"/>
        <v>10609.35991396954</v>
      </c>
      <c r="I22" s="4">
        <f t="shared" si="3"/>
        <v>1078.3820073850286</v>
      </c>
      <c r="J22" s="9">
        <f>'1990-10'!J22</f>
        <v>1191.5999999999999</v>
      </c>
      <c r="K22" s="9">
        <f>'1990-10'!K22</f>
        <v>1285000</v>
      </c>
      <c r="L22" s="22">
        <f t="shared" si="4"/>
        <v>11440942.841096727</v>
      </c>
      <c r="M22" s="22">
        <f t="shared" si="5"/>
        <v>1285000</v>
      </c>
      <c r="N22" s="19" t="s">
        <v>92</v>
      </c>
      <c r="O22" s="4">
        <f t="shared" si="6"/>
        <v>643.63293051359517</v>
      </c>
      <c r="P22" s="13">
        <f>'1990-10'!P22</f>
        <v>766953</v>
      </c>
      <c r="Q22" s="22">
        <f t="shared" si="7"/>
        <v>6828533.4123016791</v>
      </c>
      <c r="R22" s="13">
        <f t="shared" si="8"/>
        <v>766953</v>
      </c>
    </row>
    <row r="23" spans="1:18">
      <c r="A23" s="18" t="s">
        <v>41</v>
      </c>
      <c r="B23" s="4">
        <f>'1990-10'!B23</f>
        <v>55.540281389808555</v>
      </c>
      <c r="C23" s="4">
        <f>'1990-10'!C23</f>
        <v>57.206489831502807</v>
      </c>
      <c r="D23" s="16">
        <f t="shared" si="9"/>
        <v>64796.994954776652</v>
      </c>
      <c r="E23" s="4">
        <f>'Interval Circuities'!H23</f>
        <v>1.3113691978150683</v>
      </c>
      <c r="F23" s="4">
        <f t="shared" si="0"/>
        <v>42.352894579456901</v>
      </c>
      <c r="G23" s="4">
        <f t="shared" si="1"/>
        <v>49.41171034269972</v>
      </c>
      <c r="H23" s="4">
        <f t="shared" si="2"/>
        <v>7670.2522446353969</v>
      </c>
      <c r="I23" s="4">
        <f t="shared" si="3"/>
        <v>547.57015742642022</v>
      </c>
      <c r="J23" s="9">
        <f>'1990-10'!J23</f>
        <v>1314.9</v>
      </c>
      <c r="K23" s="9">
        <f>'1990-10'!K23</f>
        <v>720000</v>
      </c>
      <c r="L23" s="22">
        <f t="shared" si="4"/>
        <v>4200001.2290953575</v>
      </c>
      <c r="M23" s="22">
        <f t="shared" si="5"/>
        <v>720000</v>
      </c>
      <c r="N23" s="19" t="s">
        <v>92</v>
      </c>
      <c r="O23" s="4">
        <f t="shared" si="6"/>
        <v>337.57852308160312</v>
      </c>
      <c r="P23" s="13">
        <f>'1990-10'!P23</f>
        <v>443882</v>
      </c>
      <c r="Q23" s="22">
        <f t="shared" si="7"/>
        <v>2589312.4244073685</v>
      </c>
      <c r="R23" s="13">
        <f t="shared" si="8"/>
        <v>443882</v>
      </c>
    </row>
    <row r="24" spans="1:18">
      <c r="A24" s="18" t="s">
        <v>75</v>
      </c>
      <c r="B24" s="4">
        <f>'1990-10'!B24</f>
        <v>63.219918440805898</v>
      </c>
      <c r="C24" s="4">
        <f>'1990-10'!C24</f>
        <v>65.116515994030081</v>
      </c>
      <c r="D24" s="16">
        <f t="shared" si="9"/>
        <v>73756.571514273543</v>
      </c>
      <c r="E24" s="4">
        <f>'Interval Circuities'!H24</f>
        <v>1.2409325101454991</v>
      </c>
      <c r="F24" s="4">
        <f t="shared" si="0"/>
        <v>50.945492944973594</v>
      </c>
      <c r="G24" s="4">
        <f t="shared" si="1"/>
        <v>59.436408435802534</v>
      </c>
      <c r="H24" s="4">
        <f t="shared" si="2"/>
        <v>11098.26241999842</v>
      </c>
      <c r="I24" s="4">
        <f t="shared" si="3"/>
        <v>587.90735391009071</v>
      </c>
      <c r="J24" s="9">
        <f>'1990-10'!J24</f>
        <v>1973.1</v>
      </c>
      <c r="K24" s="9">
        <f>'1990-10'!K24</f>
        <v>1160000</v>
      </c>
      <c r="L24" s="22">
        <f t="shared" si="4"/>
        <v>6524750.092341071</v>
      </c>
      <c r="M24" s="22">
        <f t="shared" si="5"/>
        <v>1160000</v>
      </c>
      <c r="N24" s="19" t="s">
        <v>92</v>
      </c>
      <c r="O24" s="4">
        <f t="shared" si="6"/>
        <v>390.91227003192949</v>
      </c>
      <c r="P24" s="13">
        <f>'1990-10'!P24</f>
        <v>771309</v>
      </c>
      <c r="Q24" s="22">
        <f t="shared" si="7"/>
        <v>4338446.956011638</v>
      </c>
      <c r="R24" s="13">
        <f t="shared" si="8"/>
        <v>771309</v>
      </c>
    </row>
    <row r="25" spans="1:18">
      <c r="A25" s="18" t="s">
        <v>63</v>
      </c>
      <c r="B25" s="4">
        <f>'1990-10'!B25</f>
        <v>58.291697709553844</v>
      </c>
      <c r="C25" s="4">
        <f>'1990-10'!C25</f>
        <v>60.040448640840452</v>
      </c>
      <c r="D25" s="16">
        <f t="shared" si="9"/>
        <v>68006.980661146154</v>
      </c>
      <c r="E25" s="4">
        <f>'Interval Circuities'!H25</f>
        <v>1.3273180275304128</v>
      </c>
      <c r="F25" s="4">
        <f t="shared" si="0"/>
        <v>43.916903485452139</v>
      </c>
      <c r="G25" s="4">
        <f t="shared" si="1"/>
        <v>51.236387399694166</v>
      </c>
      <c r="H25" s="4">
        <f t="shared" si="2"/>
        <v>8247.2065987161313</v>
      </c>
      <c r="I25" s="4">
        <f t="shared" si="3"/>
        <v>1175.4827875734677</v>
      </c>
      <c r="J25" s="9">
        <f>'1990-10'!J25</f>
        <v>595.5</v>
      </c>
      <c r="K25" s="9">
        <f>'1990-10'!K25</f>
        <v>700000</v>
      </c>
      <c r="L25" s="22">
        <f t="shared" si="4"/>
        <v>9694449.4023531359</v>
      </c>
      <c r="M25" s="22">
        <f t="shared" si="5"/>
        <v>700000</v>
      </c>
      <c r="N25" s="19" t="s">
        <v>92</v>
      </c>
      <c r="O25" s="4">
        <f t="shared" si="6"/>
        <v>623.22082283795135</v>
      </c>
      <c r="P25" s="13">
        <f>'1990-10'!P25</f>
        <v>371128</v>
      </c>
      <c r="Q25" s="22">
        <f t="shared" si="7"/>
        <v>5139830.8825664492</v>
      </c>
      <c r="R25" s="13">
        <f t="shared" si="8"/>
        <v>371128</v>
      </c>
    </row>
    <row r="26" spans="1:18" ht="16">
      <c r="A26" s="18" t="s">
        <v>121</v>
      </c>
      <c r="B26" s="4">
        <f>'1990-10'!B26</f>
        <v>48.116227796764051</v>
      </c>
      <c r="C26" s="4">
        <f>'1990-10'!C26</f>
        <v>49.559714630666974</v>
      </c>
      <c r="D26" s="16">
        <f t="shared" si="9"/>
        <v>56135.599096224731</v>
      </c>
      <c r="E26" s="4">
        <f>'Interval Circuities'!H26</f>
        <v>1.2408507300315808</v>
      </c>
      <c r="F26" s="4">
        <f t="shared" si="0"/>
        <v>38.776805809301052</v>
      </c>
      <c r="G26" s="4">
        <f t="shared" si="1"/>
        <v>45.239606777517899</v>
      </c>
      <c r="H26" s="4">
        <f t="shared" si="2"/>
        <v>6429.6527070564607</v>
      </c>
      <c r="I26" s="4">
        <f t="shared" si="3"/>
        <v>2243.0420521281399</v>
      </c>
      <c r="J26" s="9">
        <f>'1990-10'!J26</f>
        <v>5091.3</v>
      </c>
      <c r="K26" s="9">
        <f>'1990-10'!K26</f>
        <v>11420000</v>
      </c>
      <c r="L26" s="22">
        <f t="shared" si="4"/>
        <v>14421981.402507173</v>
      </c>
      <c r="M26" s="22">
        <f t="shared" si="5"/>
        <v>11420000</v>
      </c>
      <c r="N26" s="19" t="s">
        <v>92</v>
      </c>
      <c r="O26" s="4">
        <f t="shared" si="6"/>
        <v>1186.7479818513934</v>
      </c>
      <c r="P26" s="13">
        <f>'1990-10'!P26</f>
        <v>6042090</v>
      </c>
      <c r="Q26" s="22">
        <f t="shared" si="7"/>
        <v>7630377.3741046032</v>
      </c>
      <c r="R26" s="13">
        <f t="shared" si="8"/>
        <v>6042090</v>
      </c>
    </row>
    <row r="27" spans="1:18">
      <c r="A27" s="18" t="s">
        <v>42</v>
      </c>
      <c r="B27" s="4">
        <f>'1990-10'!B27</f>
        <v>62.487212851553508</v>
      </c>
      <c r="C27" s="4">
        <f>'1990-10'!C27</f>
        <v>64.986701365615659</v>
      </c>
      <c r="D27" s="16">
        <f t="shared" si="9"/>
        <v>72901.74832681242</v>
      </c>
      <c r="E27" s="4">
        <f>'Interval Circuities'!H27</f>
        <v>1.2909809753440558</v>
      </c>
      <c r="F27" s="4">
        <f t="shared" si="0"/>
        <v>48.402892099087836</v>
      </c>
      <c r="G27" s="4">
        <f t="shared" si="1"/>
        <v>56.470040782269145</v>
      </c>
      <c r="H27" s="4">
        <f t="shared" si="2"/>
        <v>10018.116446782</v>
      </c>
      <c r="I27" s="4">
        <f t="shared" si="3"/>
        <v>1106.8597977589507</v>
      </c>
      <c r="J27" s="9">
        <f>'1990-10'!J27</f>
        <v>731.8</v>
      </c>
      <c r="K27" s="9">
        <f>'1990-10'!K27</f>
        <v>810000</v>
      </c>
      <c r="L27" s="22">
        <f t="shared" si="4"/>
        <v>11088650.344210742</v>
      </c>
      <c r="M27" s="22">
        <f t="shared" si="5"/>
        <v>810000</v>
      </c>
      <c r="N27" s="19" t="s">
        <v>92</v>
      </c>
      <c r="O27" s="4">
        <f t="shared" si="6"/>
        <v>610.65318393003554</v>
      </c>
      <c r="P27" s="13">
        <f>'1990-10'!P27</f>
        <v>446876</v>
      </c>
      <c r="Q27" s="22">
        <f t="shared" si="7"/>
        <v>6117594.7052092822</v>
      </c>
      <c r="R27" s="13">
        <f t="shared" si="8"/>
        <v>446876</v>
      </c>
    </row>
    <row r="28" spans="1:18">
      <c r="A28" s="18" t="s">
        <v>43</v>
      </c>
      <c r="B28" s="4">
        <f>'1990-10'!B28</f>
        <v>65.308032205055966</v>
      </c>
      <c r="C28" s="4">
        <f>'1990-10'!C28</f>
        <v>67.920353493258204</v>
      </c>
      <c r="D28" s="16">
        <f t="shared" si="9"/>
        <v>76192.704239231971</v>
      </c>
      <c r="E28" s="4">
        <f>'Interval Circuities'!H28</f>
        <v>1.249699683468217</v>
      </c>
      <c r="F28" s="4">
        <f t="shared" si="0"/>
        <v>52.258981152824234</v>
      </c>
      <c r="G28" s="4">
        <f t="shared" si="1"/>
        <v>60.968811344961608</v>
      </c>
      <c r="H28" s="4">
        <f t="shared" si="2"/>
        <v>11677.9155098916</v>
      </c>
      <c r="I28" s="4">
        <f t="shared" si="3"/>
        <v>973.62164609985291</v>
      </c>
      <c r="J28" s="9">
        <f>'1990-10'!J28</f>
        <v>883.3</v>
      </c>
      <c r="K28" s="9">
        <f>'1990-10'!K28</f>
        <v>860000</v>
      </c>
      <c r="L28" s="22">
        <f t="shared" si="4"/>
        <v>11369871.321755663</v>
      </c>
      <c r="M28" s="22">
        <f t="shared" si="5"/>
        <v>860000</v>
      </c>
      <c r="N28" s="19" t="s">
        <v>92</v>
      </c>
      <c r="O28" s="4">
        <f t="shared" si="6"/>
        <v>507.45726253820902</v>
      </c>
      <c r="P28" s="13">
        <f>'1990-10'!P28</f>
        <v>448237</v>
      </c>
      <c r="Q28" s="22">
        <f t="shared" si="7"/>
        <v>5926043.0368020851</v>
      </c>
      <c r="R28" s="13">
        <f t="shared" si="8"/>
        <v>448237</v>
      </c>
    </row>
    <row r="29" spans="1:18">
      <c r="A29" s="18" t="s">
        <v>44</v>
      </c>
      <c r="B29" s="4">
        <f>'1990-10'!B29</f>
        <v>64.485521071986952</v>
      </c>
      <c r="C29" s="4">
        <f>'1990-10'!C29</f>
        <v>67.064941914866438</v>
      </c>
      <c r="D29" s="16">
        <f t="shared" si="9"/>
        <v>75233.107917318121</v>
      </c>
      <c r="E29" s="4">
        <f>'Interval Circuities'!H29</f>
        <v>1.1688546907246202</v>
      </c>
      <c r="F29" s="4">
        <f t="shared" si="0"/>
        <v>55.169835552449868</v>
      </c>
      <c r="G29" s="4">
        <f t="shared" si="1"/>
        <v>64.364808144524844</v>
      </c>
      <c r="H29" s="4">
        <f t="shared" si="2"/>
        <v>13015.079667018075</v>
      </c>
      <c r="I29" s="4">
        <f t="shared" si="3"/>
        <v>927.60180995475116</v>
      </c>
      <c r="J29" s="9">
        <f>'1990-10'!J29</f>
        <v>1326</v>
      </c>
      <c r="K29" s="9">
        <f>'1990-10'!K29</f>
        <v>1230000</v>
      </c>
      <c r="L29" s="22">
        <f t="shared" si="4"/>
        <v>12072811.455831246</v>
      </c>
      <c r="M29" s="22">
        <f t="shared" si="5"/>
        <v>1230000</v>
      </c>
      <c r="N29" s="19" t="s">
        <v>92</v>
      </c>
      <c r="O29" s="4">
        <f t="shared" si="6"/>
        <v>582.76923076923072</v>
      </c>
      <c r="P29" s="13">
        <f>'1990-10'!P29</f>
        <v>772752</v>
      </c>
      <c r="Q29" s="22">
        <f t="shared" si="7"/>
        <v>7584787.9659483796</v>
      </c>
      <c r="R29" s="13">
        <f t="shared" si="8"/>
        <v>772752</v>
      </c>
    </row>
    <row r="30" spans="1:18">
      <c r="A30" s="18" t="s">
        <v>45</v>
      </c>
      <c r="B30" s="4">
        <f>'1990-10'!B30</f>
        <v>63.564185114523426</v>
      </c>
      <c r="C30" s="4">
        <f>'1990-10'!C30</f>
        <v>66.106752519104361</v>
      </c>
      <c r="D30" s="16">
        <f t="shared" si="9"/>
        <v>74158.215966944001</v>
      </c>
      <c r="E30" s="4">
        <f>'Interval Circuities'!H30</f>
        <v>1.221194278923895</v>
      </c>
      <c r="F30" s="4">
        <f t="shared" si="0"/>
        <v>52.050837619822126</v>
      </c>
      <c r="G30" s="4">
        <f t="shared" si="1"/>
        <v>60.725977223125817</v>
      </c>
      <c r="H30" s="4">
        <f t="shared" si="2"/>
        <v>11585.076272417018</v>
      </c>
      <c r="I30" s="4">
        <f t="shared" si="3"/>
        <v>730.08608477716029</v>
      </c>
      <c r="J30" s="9">
        <f>'1990-10'!J30</f>
        <v>2753.1</v>
      </c>
      <c r="K30" s="9">
        <f>'1990-10'!K30</f>
        <v>2010000</v>
      </c>
      <c r="L30" s="22">
        <f t="shared" si="4"/>
        <v>8458102.9775737189</v>
      </c>
      <c r="M30" s="22">
        <f t="shared" si="5"/>
        <v>2010000</v>
      </c>
      <c r="N30" s="19" t="s">
        <v>92</v>
      </c>
      <c r="O30" s="4">
        <f t="shared" si="6"/>
        <v>474.96422214957687</v>
      </c>
      <c r="P30" s="13">
        <f>'1990-10'!P30</f>
        <v>1307624</v>
      </c>
      <c r="Q30" s="22">
        <f t="shared" si="7"/>
        <v>5502496.7402720684</v>
      </c>
      <c r="R30" s="13">
        <f t="shared" si="8"/>
        <v>1307624</v>
      </c>
    </row>
    <row r="31" spans="1:18">
      <c r="A31" s="18" t="s">
        <v>46</v>
      </c>
      <c r="B31" s="4">
        <f>'1990-10'!B31</f>
        <v>63.734436519319452</v>
      </c>
      <c r="C31" s="4">
        <f>'1990-10'!C31</f>
        <v>66.283813980092233</v>
      </c>
      <c r="D31" s="16">
        <f t="shared" si="9"/>
        <v>74356.842605872705</v>
      </c>
      <c r="E31" s="4">
        <f>'Interval Circuities'!H31</f>
        <v>1.268359624737877</v>
      </c>
      <c r="F31" s="4">
        <f t="shared" si="0"/>
        <v>50.249499649983733</v>
      </c>
      <c r="G31" s="4">
        <f t="shared" si="1"/>
        <v>58.624416258314362</v>
      </c>
      <c r="H31" s="4">
        <f t="shared" si="2"/>
        <v>10797.095317497327</v>
      </c>
      <c r="I31" s="4">
        <f t="shared" si="3"/>
        <v>451.20587765532662</v>
      </c>
      <c r="J31" s="9">
        <f>'1990-10'!J31</f>
        <v>1252.2</v>
      </c>
      <c r="K31" s="9">
        <f>'1990-10'!K31</f>
        <v>565000</v>
      </c>
      <c r="L31" s="22">
        <f t="shared" si="4"/>
        <v>4871712.8688595993</v>
      </c>
      <c r="M31" s="22">
        <f t="shared" si="5"/>
        <v>565000</v>
      </c>
      <c r="N31" s="19" t="s">
        <v>92</v>
      </c>
      <c r="O31" s="4">
        <f t="shared" si="6"/>
        <v>395.8768567321514</v>
      </c>
      <c r="P31" s="13">
        <f>'1990-10'!P31</f>
        <v>495717</v>
      </c>
      <c r="Q31" s="22">
        <f t="shared" si="7"/>
        <v>4274320.1561282724</v>
      </c>
      <c r="R31" s="13">
        <f t="shared" si="8"/>
        <v>495717</v>
      </c>
    </row>
    <row r="32" spans="1:18">
      <c r="A32" s="18" t="s">
        <v>47</v>
      </c>
      <c r="B32" s="4">
        <f>'1990-10'!B32</f>
        <v>62.636693012318808</v>
      </c>
      <c r="C32" s="4">
        <f>'1990-10'!C32</f>
        <v>65.142160732811561</v>
      </c>
      <c r="D32" s="16">
        <f t="shared" si="9"/>
        <v>73076.141847705294</v>
      </c>
      <c r="E32" s="4">
        <f>'Interval Circuities'!H32</f>
        <v>1.2788048514694768</v>
      </c>
      <c r="F32" s="4">
        <f t="shared" si="0"/>
        <v>48.98065012839362</v>
      </c>
      <c r="G32" s="4">
        <f t="shared" si="1"/>
        <v>57.14409181645923</v>
      </c>
      <c r="H32" s="4">
        <f t="shared" si="2"/>
        <v>10258.705026970065</v>
      </c>
      <c r="I32" s="4">
        <f t="shared" si="3"/>
        <v>1501.072194424589</v>
      </c>
      <c r="J32" s="9">
        <f>'1990-10'!J32</f>
        <v>699.5</v>
      </c>
      <c r="K32" s="9">
        <f>'1990-10'!K32</f>
        <v>1050000</v>
      </c>
      <c r="L32" s="22">
        <f t="shared" si="4"/>
        <v>15399056.866788518</v>
      </c>
      <c r="M32" s="22">
        <f t="shared" si="5"/>
        <v>1050000</v>
      </c>
      <c r="N32" s="19" t="s">
        <v>92</v>
      </c>
      <c r="O32" s="4">
        <f t="shared" si="6"/>
        <v>735.84846318799146</v>
      </c>
      <c r="P32" s="13">
        <f>'1990-10'!P32</f>
        <v>514726</v>
      </c>
      <c r="Q32" s="22">
        <f t="shared" si="7"/>
        <v>7548852.3283948451</v>
      </c>
      <c r="R32" s="13">
        <f t="shared" si="8"/>
        <v>514726</v>
      </c>
    </row>
    <row r="33" spans="1:18">
      <c r="A33" s="18" t="s">
        <v>65</v>
      </c>
      <c r="B33" s="4">
        <f>'1990-10'!B33</f>
        <v>59.42988867805861</v>
      </c>
      <c r="C33" s="4">
        <f>'1990-10'!C33</f>
        <v>62.40138311196155</v>
      </c>
      <c r="D33" s="16">
        <f t="shared" si="9"/>
        <v>69334.870124401714</v>
      </c>
      <c r="E33" s="4">
        <f>'Interval Circuities'!H33</f>
        <v>1.2294730247522823</v>
      </c>
      <c r="F33" s="4">
        <f t="shared" si="0"/>
        <v>48.337692232029831</v>
      </c>
      <c r="G33" s="4">
        <f t="shared" si="1"/>
        <v>56.39397427070147</v>
      </c>
      <c r="H33" s="4">
        <f t="shared" si="2"/>
        <v>9991.1453337904186</v>
      </c>
      <c r="I33" s="4">
        <f t="shared" si="3"/>
        <v>2072.7310590777161</v>
      </c>
      <c r="J33" s="9">
        <f>'1990-10'!J33</f>
        <v>7683.1</v>
      </c>
      <c r="K33" s="9">
        <f>'1990-10'!K33</f>
        <v>15925000</v>
      </c>
      <c r="L33" s="22">
        <f t="shared" si="4"/>
        <v>20708957.249106795</v>
      </c>
      <c r="M33" s="22">
        <f t="shared" si="5"/>
        <v>15925000</v>
      </c>
      <c r="N33" s="19" t="s">
        <v>92</v>
      </c>
      <c r="O33" s="4">
        <f t="shared" si="6"/>
        <v>1112.8936236675299</v>
      </c>
      <c r="P33" s="13">
        <f>'1990-10'!P33</f>
        <v>8550473</v>
      </c>
      <c r="Q33" s="22">
        <f t="shared" si="7"/>
        <v>11119081.935110953</v>
      </c>
      <c r="R33" s="13">
        <f t="shared" si="8"/>
        <v>8550473</v>
      </c>
    </row>
    <row r="34" spans="1:18">
      <c r="A34" s="18" t="s">
        <v>66</v>
      </c>
      <c r="B34" s="4">
        <f>'1990-10'!B34</f>
        <v>69.714425398287744</v>
      </c>
      <c r="C34" s="4">
        <f>'1990-10'!C34</f>
        <v>72.503002414219253</v>
      </c>
      <c r="D34" s="16">
        <f t="shared" si="9"/>
        <v>81333.49629800237</v>
      </c>
      <c r="E34" s="4">
        <f>'Interval Circuities'!H34</f>
        <v>1.2501762036613628</v>
      </c>
      <c r="F34" s="4">
        <f t="shared" si="0"/>
        <v>55.763679707001842</v>
      </c>
      <c r="G34" s="4">
        <f t="shared" si="1"/>
        <v>65.057626324835482</v>
      </c>
      <c r="H34" s="4">
        <f t="shared" si="2"/>
        <v>13296.774391035104</v>
      </c>
      <c r="I34" s="4">
        <f t="shared" si="3"/>
        <v>411.8665313675163</v>
      </c>
      <c r="J34" s="9">
        <f>'1990-10'!J34</f>
        <v>1675.3</v>
      </c>
      <c r="K34" s="9">
        <f>'1990-10'!K34</f>
        <v>690000</v>
      </c>
      <c r="L34" s="22">
        <f t="shared" si="4"/>
        <v>5476496.3468120471</v>
      </c>
      <c r="M34" s="22">
        <f t="shared" si="5"/>
        <v>690000</v>
      </c>
      <c r="N34" s="19" t="s">
        <v>92</v>
      </c>
      <c r="O34" s="4">
        <f t="shared" si="6"/>
        <v>268.68143019160749</v>
      </c>
      <c r="P34" s="13">
        <f>'1990-10'!P34</f>
        <v>450122</v>
      </c>
      <c r="Q34" s="22">
        <f t="shared" si="7"/>
        <v>3572596.3603184526</v>
      </c>
      <c r="R34" s="13">
        <f t="shared" si="8"/>
        <v>450122</v>
      </c>
    </row>
    <row r="35" spans="1:18">
      <c r="A35" s="18" t="s">
        <v>48</v>
      </c>
      <c r="B35" s="4">
        <f>'1990-10'!B35</f>
        <v>58.78311324728174</v>
      </c>
      <c r="C35" s="4">
        <f>'1990-10'!C35</f>
        <v>61.722268909645827</v>
      </c>
      <c r="D35" s="16">
        <f t="shared" si="9"/>
        <v>68580.298788495376</v>
      </c>
      <c r="E35" s="4">
        <f>'Interval Circuities'!H35</f>
        <v>1.2996850135029854</v>
      </c>
      <c r="F35" s="4">
        <f t="shared" si="0"/>
        <v>45.22873822238369</v>
      </c>
      <c r="G35" s="4">
        <f t="shared" si="1"/>
        <v>52.766861259447644</v>
      </c>
      <c r="H35" s="4">
        <f t="shared" si="2"/>
        <v>8747.2672638453023</v>
      </c>
      <c r="I35" s="4">
        <f t="shared" si="3"/>
        <v>841.40495059191858</v>
      </c>
      <c r="J35" s="9">
        <f>'1990-10'!J35</f>
        <v>1022.1</v>
      </c>
      <c r="K35" s="9">
        <f>'1990-10'!K35</f>
        <v>860000</v>
      </c>
      <c r="L35" s="22">
        <f t="shared" si="4"/>
        <v>7359993.9799500629</v>
      </c>
      <c r="M35" s="22">
        <f t="shared" si="5"/>
        <v>860000</v>
      </c>
      <c r="N35" s="19" t="s">
        <v>92</v>
      </c>
      <c r="O35" s="4">
        <f t="shared" si="6"/>
        <v>545.39477546228352</v>
      </c>
      <c r="P35" s="13">
        <f>'1990-10'!P35</f>
        <v>557448</v>
      </c>
      <c r="Q35" s="22">
        <f t="shared" si="7"/>
        <v>4770713.8652734915</v>
      </c>
      <c r="R35" s="13">
        <f t="shared" si="8"/>
        <v>557448</v>
      </c>
    </row>
    <row r="36" spans="1:18">
      <c r="A36" s="18" t="s">
        <v>67</v>
      </c>
      <c r="B36" s="4">
        <f>'1990-10'!B36</f>
        <v>63.176257053555211</v>
      </c>
      <c r="C36" s="4">
        <f>'1990-10'!C36</f>
        <v>66.966832476768531</v>
      </c>
      <c r="D36" s="16">
        <f t="shared" si="9"/>
        <v>73705.633229147745</v>
      </c>
      <c r="E36" s="4">
        <f>'Interval Circuities'!H36</f>
        <v>1.1601779981390801</v>
      </c>
      <c r="F36" s="4">
        <f t="shared" si="0"/>
        <v>54.453934788359739</v>
      </c>
      <c r="G36" s="4">
        <f t="shared" si="1"/>
        <v>63.529590586419701</v>
      </c>
      <c r="H36" s="4">
        <f t="shared" si="2"/>
        <v>12679.495847476548</v>
      </c>
      <c r="I36" s="4">
        <f t="shared" si="3"/>
        <v>1518.9201737803867</v>
      </c>
      <c r="J36" s="9">
        <f>'1990-10'!J36</f>
        <v>3015.3</v>
      </c>
      <c r="K36" s="9">
        <f>'1990-10'!K36</f>
        <v>4580000</v>
      </c>
      <c r="L36" s="22">
        <f t="shared" si="4"/>
        <v>19259142.03609677</v>
      </c>
      <c r="M36" s="22">
        <f t="shared" si="5"/>
        <v>4580000</v>
      </c>
      <c r="N36" s="19" t="s">
        <v>92</v>
      </c>
      <c r="O36" s="4">
        <f t="shared" si="6"/>
        <v>926.91175007461936</v>
      </c>
      <c r="P36" s="13">
        <f>'1990-10'!P36</f>
        <v>2794917</v>
      </c>
      <c r="Q36" s="22">
        <f t="shared" si="7"/>
        <v>11752773.686048357</v>
      </c>
      <c r="R36" s="13">
        <f t="shared" si="8"/>
        <v>2794917</v>
      </c>
    </row>
    <row r="37" spans="1:18">
      <c r="A37" s="18" t="s">
        <v>49</v>
      </c>
      <c r="B37" s="4">
        <f>'1990-10'!B37</f>
        <v>62.02920484038443</v>
      </c>
      <c r="C37" s="4">
        <f>'1990-10'!C37</f>
        <v>65.130665082403652</v>
      </c>
      <c r="D37" s="16">
        <f t="shared" si="9"/>
        <v>72367.405647115171</v>
      </c>
      <c r="E37" s="4">
        <f>'Interval Circuities'!H37</f>
        <v>1.2543540749183388</v>
      </c>
      <c r="F37" s="4">
        <f t="shared" si="0"/>
        <v>49.451112792392905</v>
      </c>
      <c r="G37" s="4">
        <f t="shared" si="1"/>
        <v>57.692964924458394</v>
      </c>
      <c r="H37" s="4">
        <f t="shared" si="2"/>
        <v>10456.722666329435</v>
      </c>
      <c r="I37" s="4">
        <f t="shared" si="3"/>
        <v>987.28769407106381</v>
      </c>
      <c r="J37" s="9">
        <f>'1990-10'!J37</f>
        <v>1919.4</v>
      </c>
      <c r="K37" s="9">
        <f>'1990-10'!K37</f>
        <v>1895000</v>
      </c>
      <c r="L37" s="22">
        <f t="shared" si="4"/>
        <v>10323793.608781014</v>
      </c>
      <c r="M37" s="22">
        <f t="shared" si="5"/>
        <v>1895000</v>
      </c>
      <c r="N37" s="19" t="s">
        <v>92</v>
      </c>
      <c r="O37" s="4">
        <f t="shared" si="6"/>
        <v>519.17005314160667</v>
      </c>
      <c r="P37" s="13">
        <f>'1990-10'!P37</f>
        <v>996495</v>
      </c>
      <c r="Q37" s="22">
        <f t="shared" si="7"/>
        <v>5428817.2623652956</v>
      </c>
      <c r="R37" s="13">
        <f t="shared" si="8"/>
        <v>996495</v>
      </c>
    </row>
    <row r="38" spans="1:18">
      <c r="A38" s="18" t="s">
        <v>50</v>
      </c>
      <c r="B38" s="4">
        <f>'1990-10'!B38</f>
        <v>65.42916793409438</v>
      </c>
      <c r="C38" s="4">
        <f>'1990-10'!C38</f>
        <v>68.700626330799111</v>
      </c>
      <c r="D38" s="16">
        <f t="shared" si="9"/>
        <v>76334.029256443449</v>
      </c>
      <c r="E38" s="4">
        <f>'Interval Circuities'!H38</f>
        <v>1.242272774487758</v>
      </c>
      <c r="F38" s="4">
        <f t="shared" si="0"/>
        <v>52.668922057857714</v>
      </c>
      <c r="G38" s="4">
        <f t="shared" si="1"/>
        <v>61.447075734167335</v>
      </c>
      <c r="H38" s="4">
        <f t="shared" si="2"/>
        <v>11861.846835949038</v>
      </c>
      <c r="I38" s="4">
        <f t="shared" si="3"/>
        <v>883.28701865819767</v>
      </c>
      <c r="J38" s="9">
        <f>'1990-10'!J38</f>
        <v>2015.2</v>
      </c>
      <c r="K38" s="9">
        <f>'1990-10'!K38</f>
        <v>1780000</v>
      </c>
      <c r="L38" s="22">
        <f t="shared" si="4"/>
        <v>10477415.327505602</v>
      </c>
      <c r="M38" s="22">
        <f t="shared" si="5"/>
        <v>1780000</v>
      </c>
      <c r="N38" s="19" t="s">
        <v>92</v>
      </c>
      <c r="O38" s="4">
        <f t="shared" si="6"/>
        <v>474.4710202461294</v>
      </c>
      <c r="P38" s="13">
        <f>'1990-10'!P38</f>
        <v>956154</v>
      </c>
      <c r="Q38" s="22">
        <f t="shared" si="7"/>
        <v>5628102.5702560619</v>
      </c>
      <c r="R38" s="13">
        <f t="shared" si="8"/>
        <v>956154</v>
      </c>
    </row>
    <row r="39" spans="1:18">
      <c r="A39" s="18" t="s">
        <v>51</v>
      </c>
      <c r="B39" s="4">
        <f>'1990-10'!B39</f>
        <v>65.140770915733583</v>
      </c>
      <c r="C39" s="4">
        <f>'1990-10'!C39</f>
        <v>68.397809461520268</v>
      </c>
      <c r="D39" s="16">
        <f t="shared" si="9"/>
        <v>75997.566068355853</v>
      </c>
      <c r="E39" s="4">
        <f>'Interval Circuities'!H39</f>
        <v>1.4076966144275667</v>
      </c>
      <c r="F39" s="4">
        <f t="shared" si="0"/>
        <v>46.274723010698423</v>
      </c>
      <c r="G39" s="4">
        <f t="shared" si="1"/>
        <v>53.98717684581483</v>
      </c>
      <c r="H39" s="4">
        <f t="shared" si="2"/>
        <v>9156.5339007359617</v>
      </c>
      <c r="I39" s="4">
        <f t="shared" si="3"/>
        <v>1184.1974325803562</v>
      </c>
      <c r="J39" s="9">
        <f>'1990-10'!J39</f>
        <v>1004.9</v>
      </c>
      <c r="K39" s="9">
        <f>'1990-10'!K39</f>
        <v>1190000</v>
      </c>
      <c r="L39" s="22">
        <f t="shared" si="4"/>
        <v>10843143.93658652</v>
      </c>
      <c r="M39" s="22">
        <f t="shared" si="5"/>
        <v>1190000</v>
      </c>
      <c r="N39" s="19" t="s">
        <v>92</v>
      </c>
      <c r="O39" s="4">
        <f t="shared" si="6"/>
        <v>720.99910438849633</v>
      </c>
      <c r="P39" s="13">
        <f>'1990-10'!P39</f>
        <v>724532</v>
      </c>
      <c r="Q39" s="22">
        <f t="shared" si="7"/>
        <v>6601852.7417335333</v>
      </c>
      <c r="R39" s="13">
        <f t="shared" si="8"/>
        <v>724532</v>
      </c>
    </row>
    <row r="40" spans="1:18">
      <c r="A40" s="18" t="s">
        <v>52</v>
      </c>
      <c r="B40" s="4">
        <f>'1990-10'!B40</f>
        <v>70.338872065042395</v>
      </c>
      <c r="C40" s="4">
        <f>'1990-10'!C40</f>
        <v>75.262593109595372</v>
      </c>
      <c r="D40" s="16">
        <f t="shared" si="9"/>
        <v>82062.017409216132</v>
      </c>
      <c r="E40" s="4">
        <f>'Interval Circuities'!H40</f>
        <v>1.2516865842920009</v>
      </c>
      <c r="F40" s="4">
        <f t="shared" si="0"/>
        <v>56.195275197287984</v>
      </c>
      <c r="G40" s="4">
        <f t="shared" si="1"/>
        <v>65.561154396835988</v>
      </c>
      <c r="H40" s="4">
        <f t="shared" si="2"/>
        <v>13503.397639883444</v>
      </c>
      <c r="I40" s="4">
        <f t="shared" si="3"/>
        <v>1415.4601861427093</v>
      </c>
      <c r="J40" s="9">
        <f>'1990-10'!J40</f>
        <v>773.6</v>
      </c>
      <c r="K40" s="9">
        <f>'1990-10'!K40</f>
        <v>1095000</v>
      </c>
      <c r="L40" s="22">
        <f t="shared" si="4"/>
        <v>19113521.73690844</v>
      </c>
      <c r="M40" s="22">
        <f t="shared" si="5"/>
        <v>1095000</v>
      </c>
      <c r="N40" s="19" t="s">
        <v>92</v>
      </c>
      <c r="O40" s="4">
        <f t="shared" si="6"/>
        <v>704.06928645294727</v>
      </c>
      <c r="P40" s="13">
        <f>'1990-10'!P40</f>
        <v>544668</v>
      </c>
      <c r="Q40" s="22">
        <f t="shared" si="7"/>
        <v>9507327.541003149</v>
      </c>
      <c r="R40" s="13">
        <f t="shared" si="8"/>
        <v>544668</v>
      </c>
    </row>
    <row r="41" spans="1:18">
      <c r="A41" s="18" t="s">
        <v>53</v>
      </c>
      <c r="B41" s="4">
        <f>'1990-10'!B41</f>
        <v>68.778714095226661</v>
      </c>
      <c r="C41" s="4">
        <f>'1990-10'!C41</f>
        <v>74.281011222844796</v>
      </c>
      <c r="D41" s="16">
        <f t="shared" si="9"/>
        <v>80241.833111097774</v>
      </c>
      <c r="E41" s="4">
        <f>'Interval Circuities'!H41</f>
        <v>1.1856403500794577</v>
      </c>
      <c r="F41" s="4">
        <f t="shared" si="0"/>
        <v>58.009761636922477</v>
      </c>
      <c r="G41" s="4">
        <f t="shared" si="1"/>
        <v>67.67805524307623</v>
      </c>
      <c r="H41" s="4">
        <f t="shared" si="2"/>
        <v>14389.497028817455</v>
      </c>
      <c r="I41" s="4">
        <f t="shared" si="3"/>
        <v>1097.213078779899</v>
      </c>
      <c r="J41" s="9">
        <f>'1990-10'!J41</f>
        <v>455.7</v>
      </c>
      <c r="K41" s="9">
        <f>'1990-10'!K41</f>
        <v>500000</v>
      </c>
      <c r="L41" s="22">
        <f t="shared" si="4"/>
        <v>15788344.337083008</v>
      </c>
      <c r="M41" s="22">
        <f t="shared" si="5"/>
        <v>500000</v>
      </c>
      <c r="N41" s="19" t="s">
        <v>92</v>
      </c>
      <c r="O41" s="4">
        <f t="shared" si="6"/>
        <v>877.11432960280888</v>
      </c>
      <c r="P41" s="13">
        <f>'1990-10'!P41</f>
        <v>399701</v>
      </c>
      <c r="Q41" s="22">
        <f t="shared" si="7"/>
        <v>12621234.039752834</v>
      </c>
      <c r="R41" s="13">
        <f t="shared" si="8"/>
        <v>399701</v>
      </c>
    </row>
    <row r="42" spans="1:18">
      <c r="A42" s="18" t="s">
        <v>82</v>
      </c>
      <c r="B42" s="4">
        <f>'1990-10'!B42</f>
        <v>70.514936537683639</v>
      </c>
      <c r="C42" s="4">
        <f>'1990-10'!C42</f>
        <v>78.27157955682884</v>
      </c>
      <c r="D42" s="16">
        <f t="shared" si="9"/>
        <v>82267.425960630921</v>
      </c>
      <c r="E42" s="4">
        <f>'Interval Circuities'!H42</f>
        <v>1.1939909654114582</v>
      </c>
      <c r="F42" s="4">
        <f t="shared" si="0"/>
        <v>59.058182666720313</v>
      </c>
      <c r="G42" s="4">
        <f t="shared" si="1"/>
        <v>68.901213111173703</v>
      </c>
      <c r="H42" s="4">
        <f t="shared" si="2"/>
        <v>14914.325235409939</v>
      </c>
      <c r="I42" s="4">
        <f t="shared" si="3"/>
        <v>1079.1366906474821</v>
      </c>
      <c r="J42" s="9">
        <f>'1990-10'!J42</f>
        <v>569.9</v>
      </c>
      <c r="K42" s="9">
        <f>'1990-10'!K42</f>
        <v>615000</v>
      </c>
      <c r="L42" s="22">
        <f t="shared" si="4"/>
        <v>16094595.577780509</v>
      </c>
      <c r="M42" s="22">
        <f t="shared" si="5"/>
        <v>615000</v>
      </c>
      <c r="N42" s="19" t="s">
        <v>92</v>
      </c>
      <c r="O42" s="4">
        <f t="shared" si="6"/>
        <v>844.82716266011585</v>
      </c>
      <c r="P42" s="13">
        <f>'1990-10'!P42</f>
        <v>481467</v>
      </c>
      <c r="Q42" s="22">
        <f t="shared" si="7"/>
        <v>12600027.071621543</v>
      </c>
      <c r="R42" s="13">
        <f t="shared" si="8"/>
        <v>481467</v>
      </c>
    </row>
    <row r="43" spans="1:18">
      <c r="A43" s="18" t="s">
        <v>54</v>
      </c>
      <c r="B43" s="4">
        <f>'1990-10'!B43</f>
        <v>61.557786724693997</v>
      </c>
      <c r="C43" s="4">
        <f>'1990-10'!C43</f>
        <v>68.329143264410348</v>
      </c>
      <c r="D43" s="16">
        <f t="shared" si="9"/>
        <v>71817.417845476331</v>
      </c>
      <c r="E43" s="4">
        <f>'Interval Circuities'!H43</f>
        <v>1.4288784987189356</v>
      </c>
      <c r="F43" s="4">
        <f t="shared" si="0"/>
        <v>43.0811904440327</v>
      </c>
      <c r="G43" s="4">
        <f t="shared" si="1"/>
        <v>50.261388851371485</v>
      </c>
      <c r="H43" s="4">
        <f t="shared" si="2"/>
        <v>7936.3140100843411</v>
      </c>
      <c r="I43" s="4">
        <f t="shared" si="3"/>
        <v>1272.1174973979414</v>
      </c>
      <c r="J43" s="9">
        <f>'1990-10'!J43</f>
        <v>864.7</v>
      </c>
      <c r="K43" s="9">
        <f>'1990-10'!K43</f>
        <v>1100000</v>
      </c>
      <c r="L43" s="22">
        <f t="shared" si="4"/>
        <v>10095923.917072713</v>
      </c>
      <c r="M43" s="22">
        <f t="shared" si="5"/>
        <v>1100000</v>
      </c>
      <c r="N43" s="19" t="s">
        <v>92</v>
      </c>
      <c r="O43" s="4">
        <f t="shared" si="6"/>
        <v>793.27512432057358</v>
      </c>
      <c r="P43" s="13">
        <f>'1990-10'!P43</f>
        <v>685945</v>
      </c>
      <c r="Q43" s="22">
        <f t="shared" si="7"/>
        <v>6295680.4829967655</v>
      </c>
      <c r="R43" s="13">
        <f t="shared" si="8"/>
        <v>685945</v>
      </c>
    </row>
    <row r="44" spans="1:18">
      <c r="A44" s="18" t="s">
        <v>55</v>
      </c>
      <c r="B44" s="4">
        <f>'1990-10'!B44</f>
        <v>65.143959367039756</v>
      </c>
      <c r="C44" s="4">
        <f>'1990-10'!C44</f>
        <v>73.612674084754914</v>
      </c>
      <c r="D44" s="16">
        <f t="shared" si="9"/>
        <v>76001.285928213052</v>
      </c>
      <c r="E44" s="4">
        <f>'Interval Circuities'!H44</f>
        <v>1.3584765487124808</v>
      </c>
      <c r="F44" s="4">
        <f t="shared" si="0"/>
        <v>47.953687112803713</v>
      </c>
      <c r="G44" s="4">
        <f t="shared" si="1"/>
        <v>55.945968298271005</v>
      </c>
      <c r="H44" s="4">
        <f t="shared" si="2"/>
        <v>9833.032226413241</v>
      </c>
      <c r="I44" s="4">
        <f t="shared" si="3"/>
        <v>1215.620726333384</v>
      </c>
      <c r="J44" s="9">
        <f>'1990-10'!J44</f>
        <v>658.1</v>
      </c>
      <c r="K44" s="9">
        <f>'1990-10'!K44</f>
        <v>800000</v>
      </c>
      <c r="L44" s="22">
        <f t="shared" si="4"/>
        <v>11953237.777132036</v>
      </c>
      <c r="M44" s="22">
        <f t="shared" si="5"/>
        <v>800000</v>
      </c>
      <c r="N44" s="19" t="s">
        <v>92</v>
      </c>
      <c r="O44" s="4">
        <f t="shared" si="6"/>
        <v>728.36650964898945</v>
      </c>
      <c r="P44" s="13">
        <f>'1990-10'!P44</f>
        <v>479338</v>
      </c>
      <c r="Q44" s="22">
        <f t="shared" si="7"/>
        <v>7162051.3620186439</v>
      </c>
      <c r="R44" s="13">
        <f t="shared" si="8"/>
        <v>479338</v>
      </c>
    </row>
    <row r="45" spans="1:18">
      <c r="A45" s="18" t="s">
        <v>68</v>
      </c>
      <c r="B45" s="4">
        <f>'1990-10'!B45</f>
        <v>68.131157212250471</v>
      </c>
      <c r="C45" s="4">
        <f>'1990-10'!C45</f>
        <v>77.66951922196553</v>
      </c>
      <c r="D45" s="16">
        <f t="shared" si="9"/>
        <v>79486.350080958888</v>
      </c>
      <c r="E45" s="4">
        <f>'Interval Circuities'!H45</f>
        <v>1.2805605904241975</v>
      </c>
      <c r="F45" s="4">
        <f t="shared" si="0"/>
        <v>53.204165208365033</v>
      </c>
      <c r="G45" s="4">
        <f t="shared" si="1"/>
        <v>62.071526076425876</v>
      </c>
      <c r="H45" s="4">
        <f t="shared" si="2"/>
        <v>12104.161751456833</v>
      </c>
      <c r="I45" s="4">
        <f t="shared" si="3"/>
        <v>1031.2913177611283</v>
      </c>
      <c r="J45" s="9">
        <f>'1990-10'!J45</f>
        <v>1134.5</v>
      </c>
      <c r="K45" s="9">
        <f>'1990-10'!K45</f>
        <v>1170000</v>
      </c>
      <c r="L45" s="22">
        <f t="shared" si="4"/>
        <v>12482916.923053764</v>
      </c>
      <c r="M45" s="22">
        <f t="shared" si="5"/>
        <v>1170000</v>
      </c>
      <c r="N45" s="19" t="s">
        <v>92</v>
      </c>
      <c r="O45" s="4">
        <f t="shared" si="6"/>
        <v>501.67386513882769</v>
      </c>
      <c r="P45" s="13">
        <f>'1990-10'!P45</f>
        <v>569149</v>
      </c>
      <c r="Q45" s="22">
        <f t="shared" si="7"/>
        <v>6072341.6101189116</v>
      </c>
      <c r="R45" s="13">
        <f t="shared" si="8"/>
        <v>569149</v>
      </c>
    </row>
    <row r="46" spans="1:18">
      <c r="A46" s="18" t="s">
        <v>69</v>
      </c>
      <c r="B46" s="4">
        <f>'1990-10'!B46</f>
        <v>59.330043396898148</v>
      </c>
      <c r="C46" s="4">
        <f>'1990-10'!C46</f>
        <v>68.229549906432865</v>
      </c>
      <c r="D46" s="16">
        <f t="shared" si="9"/>
        <v>69218.383963047847</v>
      </c>
      <c r="E46" s="4">
        <f>'Interval Circuities'!H46</f>
        <v>1.4155996434834515</v>
      </c>
      <c r="F46" s="4">
        <f t="shared" si="0"/>
        <v>41.911598148542289</v>
      </c>
      <c r="G46" s="4">
        <f t="shared" si="1"/>
        <v>48.896864506632674</v>
      </c>
      <c r="H46" s="4">
        <f t="shared" si="2"/>
        <v>7511.2444267580731</v>
      </c>
      <c r="I46" s="4">
        <f t="shared" si="3"/>
        <v>1283.9160839160838</v>
      </c>
      <c r="J46" s="9">
        <f>'1990-10'!J46</f>
        <v>1787.5</v>
      </c>
      <c r="K46" s="9">
        <f>'1990-10'!K46</f>
        <v>2295000</v>
      </c>
      <c r="L46" s="22">
        <f t="shared" si="4"/>
        <v>9643807.5297397356</v>
      </c>
      <c r="M46" s="22">
        <f t="shared" si="5"/>
        <v>2295000</v>
      </c>
      <c r="N46" s="19" t="s">
        <v>92</v>
      </c>
      <c r="O46" s="4">
        <f t="shared" si="6"/>
        <v>688.36139860139861</v>
      </c>
      <c r="P46" s="13">
        <f>'1990-10'!P46</f>
        <v>1230446</v>
      </c>
      <c r="Q46" s="22">
        <f t="shared" si="7"/>
        <v>5170450.7188401474</v>
      </c>
      <c r="R46" s="13">
        <f t="shared" si="8"/>
        <v>1230446</v>
      </c>
    </row>
    <row r="47" spans="1:18" ht="16">
      <c r="A47" s="18" t="s">
        <v>114</v>
      </c>
      <c r="B47" s="4">
        <f>'1990-10'!B47</f>
        <v>53.936325276944842</v>
      </c>
      <c r="C47" s="4">
        <f>'1990-10'!C47</f>
        <v>62.026774068486567</v>
      </c>
      <c r="D47" s="16">
        <f t="shared" si="9"/>
        <v>62925.712823102323</v>
      </c>
      <c r="E47" s="4">
        <f>'Interval Circuities'!H47</f>
        <v>1.3696843867703823</v>
      </c>
      <c r="F47" s="4">
        <f t="shared" si="0"/>
        <v>39.378652336194641</v>
      </c>
      <c r="G47" s="4">
        <f t="shared" si="1"/>
        <v>45.941761058893753</v>
      </c>
      <c r="H47" s="4">
        <f t="shared" si="2"/>
        <v>6630.7881118521382</v>
      </c>
      <c r="I47" s="4">
        <f t="shared" si="3"/>
        <v>1623.3049162948894</v>
      </c>
      <c r="J47" s="9">
        <f>'1990-10'!J47</f>
        <v>2263.9</v>
      </c>
      <c r="K47" s="9">
        <f>'1990-10'!K47</f>
        <v>3675000</v>
      </c>
      <c r="L47" s="22">
        <f t="shared" si="4"/>
        <v>10763790.940879283</v>
      </c>
      <c r="M47" s="22">
        <f t="shared" si="5"/>
        <v>3675000</v>
      </c>
      <c r="N47" s="19" t="s">
        <v>92</v>
      </c>
      <c r="O47" s="4">
        <f t="shared" si="6"/>
        <v>870.35072220504435</v>
      </c>
      <c r="P47" s="13">
        <f>'1990-10'!P47</f>
        <v>1970387</v>
      </c>
      <c r="Q47" s="22">
        <f t="shared" si="7"/>
        <v>5771111.2219391307</v>
      </c>
      <c r="R47" s="13">
        <f t="shared" si="8"/>
        <v>1970387</v>
      </c>
    </row>
    <row r="48" spans="1:18" ht="16">
      <c r="A48" s="18" t="s">
        <v>72</v>
      </c>
      <c r="B48" s="4">
        <f>'1990-10'!B48</f>
        <v>57.58663731743308</v>
      </c>
      <c r="C48" s="4">
        <f>'1990-10'!C48</f>
        <v>66.800499288222369</v>
      </c>
      <c r="D48" s="16">
        <f t="shared" si="9"/>
        <v>67184.410203671927</v>
      </c>
      <c r="E48" s="4">
        <f>'Interval Circuities'!H48</f>
        <v>1.3933547176001639</v>
      </c>
      <c r="F48" s="4">
        <f t="shared" si="0"/>
        <v>41.329488169830206</v>
      </c>
      <c r="G48" s="4">
        <f t="shared" si="1"/>
        <v>48.217736198135242</v>
      </c>
      <c r="H48" s="4">
        <f t="shared" si="2"/>
        <v>7304.0461040865875</v>
      </c>
      <c r="I48" s="4">
        <f t="shared" si="3"/>
        <v>1608.4873374401095</v>
      </c>
      <c r="J48" s="9">
        <f>'1990-10'!J48</f>
        <v>876.6</v>
      </c>
      <c r="K48" s="9">
        <f>'1990-10'!K48</f>
        <v>1410000</v>
      </c>
      <c r="L48" s="22">
        <f t="shared" si="4"/>
        <v>11748465.670502041</v>
      </c>
      <c r="M48" s="22">
        <f t="shared" si="5"/>
        <v>1410000</v>
      </c>
      <c r="N48" s="19" t="s">
        <v>92</v>
      </c>
      <c r="O48" s="4">
        <f t="shared" si="6"/>
        <v>1079.5836185261237</v>
      </c>
      <c r="P48" s="13">
        <f>'1990-10'!P48</f>
        <v>946363</v>
      </c>
      <c r="Q48" s="22">
        <f t="shared" si="7"/>
        <v>7885328.5229314342</v>
      </c>
      <c r="R48" s="13">
        <f t="shared" si="8"/>
        <v>946363</v>
      </c>
    </row>
    <row r="49" spans="1:18">
      <c r="A49" s="18" t="s">
        <v>56</v>
      </c>
      <c r="B49" s="4">
        <f>'1990-10'!B49</f>
        <v>57.751551670614234</v>
      </c>
      <c r="C49" s="4">
        <f>'1990-10'!C49</f>
        <v>67.569315454618646</v>
      </c>
      <c r="D49" s="16">
        <f t="shared" si="9"/>
        <v>67376.810282383274</v>
      </c>
      <c r="E49" s="4">
        <f>'Interval Circuities'!H49</f>
        <v>1.4064663638668218</v>
      </c>
      <c r="F49" s="4">
        <f t="shared" si="0"/>
        <v>41.061452413150441</v>
      </c>
      <c r="G49" s="4">
        <f t="shared" si="1"/>
        <v>47.905027815342187</v>
      </c>
      <c r="H49" s="4">
        <f t="shared" si="2"/>
        <v>7209.6148740527915</v>
      </c>
      <c r="I49" s="4">
        <f t="shared" si="3"/>
        <v>1477.6384054639784</v>
      </c>
      <c r="J49" s="9">
        <f>'1990-10'!J49</f>
        <v>1522.7</v>
      </c>
      <c r="K49" s="9">
        <f>'1990-10'!K49</f>
        <v>2250000</v>
      </c>
      <c r="L49" s="22">
        <f t="shared" si="4"/>
        <v>10653203.826504748</v>
      </c>
      <c r="M49" s="22">
        <f t="shared" si="5"/>
        <v>2250000</v>
      </c>
      <c r="N49" s="19" t="s">
        <v>92</v>
      </c>
      <c r="O49" s="4">
        <f t="shared" si="6"/>
        <v>859.22243383463581</v>
      </c>
      <c r="P49" s="13">
        <f>'1990-10'!P49</f>
        <v>1308338</v>
      </c>
      <c r="Q49" s="22">
        <f t="shared" si="7"/>
        <v>6194662.8390940307</v>
      </c>
      <c r="R49" s="13">
        <f t="shared" si="8"/>
        <v>1308338</v>
      </c>
    </row>
    <row r="50" spans="1:18">
      <c r="A50" s="18" t="s">
        <v>76</v>
      </c>
      <c r="B50" s="4">
        <f>'1990-10'!B50</f>
        <v>57.267086544288581</v>
      </c>
      <c r="C50" s="4">
        <f>'1990-10'!C50</f>
        <v>59.557770006060125</v>
      </c>
      <c r="D50" s="16">
        <f t="shared" si="9"/>
        <v>66811.600968336672</v>
      </c>
      <c r="E50" s="4">
        <f>'Interval Circuities'!H50</f>
        <v>1.2142757939961839</v>
      </c>
      <c r="F50" s="4">
        <f t="shared" si="0"/>
        <v>47.161515388380174</v>
      </c>
      <c r="G50" s="4">
        <f t="shared" si="1"/>
        <v>55.021767953110206</v>
      </c>
      <c r="H50" s="4">
        <f t="shared" si="2"/>
        <v>9510.8417303064889</v>
      </c>
      <c r="I50" s="4">
        <f t="shared" si="3"/>
        <v>4280.7094372673528</v>
      </c>
      <c r="J50" s="9">
        <f>'1990-10'!J50</f>
        <v>913.4</v>
      </c>
      <c r="K50" s="9">
        <f>'1990-10'!K50</f>
        <v>3910000</v>
      </c>
      <c r="L50" s="22">
        <f t="shared" si="4"/>
        <v>40713149.951279148</v>
      </c>
      <c r="M50" s="22">
        <f t="shared" si="5"/>
        <v>3910000</v>
      </c>
      <c r="N50" s="19" t="s">
        <v>92</v>
      </c>
      <c r="O50" s="4">
        <f t="shared" si="6"/>
        <v>1616.0335012042917</v>
      </c>
      <c r="P50" s="13">
        <f>'1990-10'!P50</f>
        <v>1476085</v>
      </c>
      <c r="Q50" s="22">
        <f t="shared" si="7"/>
        <v>15369838.860827079</v>
      </c>
      <c r="R50" s="13">
        <f t="shared" si="8"/>
        <v>1476085</v>
      </c>
    </row>
    <row r="51" spans="1:18">
      <c r="A51" s="18" t="s">
        <v>57</v>
      </c>
      <c r="B51" s="4">
        <f>'1990-10'!B51</f>
        <v>65.029165523454452</v>
      </c>
      <c r="C51" s="4">
        <f>'1990-10'!C51</f>
        <v>79.985873593848979</v>
      </c>
      <c r="D51" s="16">
        <f t="shared" si="9"/>
        <v>75867.359777363527</v>
      </c>
      <c r="E51" s="4">
        <f>'Interval Circuities'!H51</f>
        <v>1.3128623771549222</v>
      </c>
      <c r="F51" s="4">
        <f t="shared" si="0"/>
        <v>49.532355146300908</v>
      </c>
      <c r="G51" s="4">
        <f t="shared" si="1"/>
        <v>57.787747670684396</v>
      </c>
      <c r="H51" s="4">
        <f t="shared" si="2"/>
        <v>10491.109217143579</v>
      </c>
      <c r="I51" s="4">
        <f t="shared" si="3"/>
        <v>1039.2364793213148</v>
      </c>
      <c r="J51" s="9">
        <f>'1990-10'!J51</f>
        <v>1886</v>
      </c>
      <c r="K51" s="9">
        <f>'1990-10'!K51</f>
        <v>1960000</v>
      </c>
      <c r="L51" s="22">
        <f t="shared" si="4"/>
        <v>10902743.406999689</v>
      </c>
      <c r="M51" s="22">
        <f t="shared" si="5"/>
        <v>1960000</v>
      </c>
      <c r="N51" s="19" t="s">
        <v>92</v>
      </c>
      <c r="O51" s="4">
        <f t="shared" si="6"/>
        <v>606.75291622481438</v>
      </c>
      <c r="P51" s="13">
        <f>'1990-10'!P51</f>
        <v>1144336</v>
      </c>
      <c r="Q51" s="22">
        <f t="shared" si="7"/>
        <v>6365511.1119348966</v>
      </c>
      <c r="R51" s="13">
        <f t="shared" si="8"/>
        <v>1144336</v>
      </c>
    </row>
    <row r="52" spans="1:18">
      <c r="A52" s="18" t="s">
        <v>71</v>
      </c>
      <c r="B52" s="4">
        <f>'1990-10'!B52</f>
        <v>57.772652523705723</v>
      </c>
      <c r="C52" s="4">
        <f>'1990-10'!C52</f>
        <v>71.060362604158044</v>
      </c>
      <c r="D52" s="16">
        <f t="shared" si="9"/>
        <v>67401.427944323339</v>
      </c>
      <c r="E52" s="4">
        <f>'Interval Circuities'!H52</f>
        <v>1.24866206361036</v>
      </c>
      <c r="F52" s="4">
        <f t="shared" si="0"/>
        <v>46.267644551210971</v>
      </c>
      <c r="G52" s="4">
        <f t="shared" si="1"/>
        <v>53.978918643079467</v>
      </c>
      <c r="H52" s="4">
        <f t="shared" si="2"/>
        <v>9153.7328381746247</v>
      </c>
      <c r="I52" s="4">
        <f t="shared" si="3"/>
        <v>1022.1667558091162</v>
      </c>
      <c r="J52" s="9">
        <f>'1990-10'!J52</f>
        <v>1682.7</v>
      </c>
      <c r="K52" s="9">
        <f>'1990-10'!K52</f>
        <v>1720000</v>
      </c>
      <c r="L52" s="22">
        <f t="shared" si="4"/>
        <v>9356641.3987403307</v>
      </c>
      <c r="M52" s="22">
        <f t="shared" si="5"/>
        <v>1720000</v>
      </c>
      <c r="N52" s="19" t="s">
        <v>92</v>
      </c>
      <c r="O52" s="4">
        <f t="shared" si="6"/>
        <v>543.59719498425147</v>
      </c>
      <c r="P52" s="13">
        <f>'1990-10'!P52</f>
        <v>914711</v>
      </c>
      <c r="Q52" s="22">
        <f t="shared" si="7"/>
        <v>4975943.4944669567</v>
      </c>
      <c r="R52" s="13">
        <f t="shared" si="8"/>
        <v>914711</v>
      </c>
    </row>
    <row r="53" spans="1:18" ht="16">
      <c r="A53" s="18" t="s">
        <v>118</v>
      </c>
      <c r="B53" s="4">
        <f>'1990-10'!B53</f>
        <v>57.166397237881569</v>
      </c>
      <c r="C53" s="4">
        <f>'1990-10'!C53</f>
        <v>76.031308326382486</v>
      </c>
      <c r="D53" s="16">
        <f t="shared" si="9"/>
        <v>66694.130110861835</v>
      </c>
      <c r="E53" s="4">
        <f>'Interval Circuities'!H53</f>
        <v>1.2823778856158738</v>
      </c>
      <c r="F53" s="4">
        <f t="shared" si="0"/>
        <v>44.578433454836812</v>
      </c>
      <c r="G53" s="4">
        <f t="shared" si="1"/>
        <v>52.008172363976286</v>
      </c>
      <c r="H53" s="4">
        <f t="shared" si="2"/>
        <v>8497.5368659435808</v>
      </c>
      <c r="I53" s="4">
        <f t="shared" si="3"/>
        <v>1267.0644976702363</v>
      </c>
      <c r="J53" s="9">
        <f>'1990-10'!J53</f>
        <v>2446.6</v>
      </c>
      <c r="K53" s="9">
        <f>'1990-10'!K53</f>
        <v>3100000</v>
      </c>
      <c r="L53" s="22">
        <f t="shared" si="4"/>
        <v>10766927.280481117</v>
      </c>
      <c r="M53" s="22">
        <f t="shared" si="5"/>
        <v>3100000</v>
      </c>
      <c r="N53" s="19" t="s">
        <v>92</v>
      </c>
      <c r="O53" s="4">
        <f t="shared" si="6"/>
        <v>905.07234529551215</v>
      </c>
      <c r="P53" s="13">
        <f>'1990-10'!P53</f>
        <v>2214350</v>
      </c>
      <c r="Q53" s="22">
        <f t="shared" si="7"/>
        <v>7690885.620494633</v>
      </c>
      <c r="R53" s="13">
        <f t="shared" si="8"/>
        <v>2214350</v>
      </c>
    </row>
    <row r="54" spans="1:18">
      <c r="D54" s="1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E17" sqref="E17"/>
    </sheetView>
  </sheetViews>
  <sheetFormatPr baseColWidth="10" defaultColWidth="11.5" defaultRowHeight="14" x14ac:dyDescent="0"/>
  <cols>
    <col min="4" max="4" width="8.5" style="18" customWidth="1"/>
  </cols>
  <sheetData>
    <row r="1" spans="1:18" ht="56">
      <c r="A1" s="18">
        <f>8/6</f>
        <v>1.3333333333333333</v>
      </c>
      <c r="B1" s="1" t="s">
        <v>60</v>
      </c>
      <c r="C1" s="1" t="s">
        <v>61</v>
      </c>
      <c r="D1" s="30" t="s">
        <v>169</v>
      </c>
      <c r="E1" s="7" t="s">
        <v>91</v>
      </c>
      <c r="F1" s="1" t="s">
        <v>21</v>
      </c>
      <c r="G1" s="1" t="s">
        <v>20</v>
      </c>
      <c r="H1" s="1" t="s">
        <v>134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125</v>
      </c>
      <c r="E2" s="18" t="s">
        <v>116</v>
      </c>
      <c r="F2" s="18" t="s">
        <v>17</v>
      </c>
      <c r="G2" s="18" t="s">
        <v>19</v>
      </c>
      <c r="H2" s="18" t="s">
        <v>135</v>
      </c>
      <c r="I2" s="18" t="s">
        <v>24</v>
      </c>
      <c r="J2" s="9" t="s">
        <v>16</v>
      </c>
      <c r="K2" s="13" t="s">
        <v>126</v>
      </c>
      <c r="L2" s="22" t="s">
        <v>132</v>
      </c>
      <c r="M2" s="22" t="s">
        <v>127</v>
      </c>
      <c r="N2" s="19" t="s">
        <v>92</v>
      </c>
      <c r="O2" s="18" t="s">
        <v>128</v>
      </c>
      <c r="P2" s="18" t="s">
        <v>129</v>
      </c>
      <c r="Q2" s="22" t="s">
        <v>131</v>
      </c>
      <c r="R2" s="18" t="s">
        <v>130</v>
      </c>
    </row>
    <row r="3" spans="1:18">
      <c r="A3" s="18" t="s">
        <v>26</v>
      </c>
      <c r="B3" s="4">
        <f>'1990-10'!B3</f>
        <v>60.37546801014345</v>
      </c>
      <c r="C3" s="4">
        <f>'1990-10'!C3</f>
        <v>63.997996090752061</v>
      </c>
      <c r="D3" s="16">
        <f>B3*$A$1*1000</f>
        <v>80500.624013524604</v>
      </c>
      <c r="E3" s="4">
        <f>'Interval Circuities'!I3</f>
        <v>1.195563923486137</v>
      </c>
      <c r="F3" s="4">
        <f t="shared" ref="F3:F53" si="0">B3/E3</f>
        <v>50.499573317748677</v>
      </c>
      <c r="G3" s="4">
        <f t="shared" ref="G3:G53" si="1">F3*$A$1</f>
        <v>67.332764423664898</v>
      </c>
      <c r="H3" s="4">
        <f t="shared" ref="H3:H53" si="2">PI()*G3^2</f>
        <v>14243.042273324225</v>
      </c>
      <c r="I3" s="4">
        <f t="shared" ref="I3:I53" si="3">K3/J3</f>
        <v>964.67391304347825</v>
      </c>
      <c r="J3" s="9">
        <f>'1990-10'!J3</f>
        <v>2944</v>
      </c>
      <c r="K3" s="9">
        <f>'1990-10'!K3</f>
        <v>2840000</v>
      </c>
      <c r="L3" s="22">
        <f t="shared" ref="L3:L53" si="4">H3*I3</f>
        <v>13739891.323451359</v>
      </c>
      <c r="M3" s="22">
        <f t="shared" ref="M3:M53" si="5">MIN(K3,L3)</f>
        <v>2840000</v>
      </c>
      <c r="N3" s="19" t="s">
        <v>92</v>
      </c>
      <c r="O3" s="4">
        <f t="shared" ref="O3:O53" si="6">P3/J3</f>
        <v>503.32235054347825</v>
      </c>
      <c r="P3" s="13">
        <f>'1990-10'!P3</f>
        <v>1481781</v>
      </c>
      <c r="Q3" s="22">
        <f t="shared" ref="Q3:Q53" si="7">H3*O3</f>
        <v>7168841.515899675</v>
      </c>
      <c r="R3" s="13">
        <f t="shared" ref="R3:R53" si="8">MIN(Q3,P3)</f>
        <v>1481781</v>
      </c>
    </row>
    <row r="4" spans="1:18">
      <c r="A4" s="18" t="s">
        <v>27</v>
      </c>
      <c r="B4" s="4">
        <f>'1990-10'!B4</f>
        <v>63.478689145973746</v>
      </c>
      <c r="C4" s="4">
        <f>'1990-10'!C4</f>
        <v>67.922197386191925</v>
      </c>
      <c r="D4" s="16">
        <f t="shared" ref="D4:D53" si="9">B4*$A$1*1000</f>
        <v>84638.252194631656</v>
      </c>
      <c r="E4" s="4">
        <f>'Interval Circuities'!I4</f>
        <v>1.2690969416879858</v>
      </c>
      <c r="F4" s="4">
        <f t="shared" si="0"/>
        <v>50.018786635434438</v>
      </c>
      <c r="G4" s="4">
        <f t="shared" si="1"/>
        <v>66.691715513912584</v>
      </c>
      <c r="H4" s="4">
        <f t="shared" si="2"/>
        <v>13973.128423728938</v>
      </c>
      <c r="I4" s="4">
        <f t="shared" si="3"/>
        <v>932.86219081272088</v>
      </c>
      <c r="J4" s="9">
        <f>'1990-10'!J4</f>
        <v>707.5</v>
      </c>
      <c r="K4" s="9">
        <f>'1990-10'!K4</f>
        <v>660000</v>
      </c>
      <c r="L4" s="22">
        <f t="shared" si="4"/>
        <v>13035003.193867279</v>
      </c>
      <c r="M4" s="22">
        <f t="shared" si="5"/>
        <v>660000</v>
      </c>
      <c r="N4" s="19" t="s">
        <v>92</v>
      </c>
      <c r="O4" s="4">
        <f t="shared" si="6"/>
        <v>571.04734982332161</v>
      </c>
      <c r="P4" s="13">
        <f>'1990-10'!P4</f>
        <v>404016</v>
      </c>
      <c r="Q4" s="22">
        <f t="shared" si="7"/>
        <v>7979317.9551113378</v>
      </c>
      <c r="R4" s="13">
        <f t="shared" si="8"/>
        <v>404016</v>
      </c>
    </row>
    <row r="5" spans="1:18" ht="16">
      <c r="A5" s="18" t="s">
        <v>119</v>
      </c>
      <c r="B5" s="4">
        <f>'1990-10'!B5</f>
        <v>60.37745029626894</v>
      </c>
      <c r="C5" s="4">
        <f>'1990-10'!C5</f>
        <v>64.603871817007771</v>
      </c>
      <c r="D5" s="16">
        <f t="shared" si="9"/>
        <v>80503.26706169192</v>
      </c>
      <c r="E5" s="4">
        <f>'Interval Circuities'!I5</f>
        <v>1.2040907518677497</v>
      </c>
      <c r="F5" s="4">
        <f t="shared" si="0"/>
        <v>50.143604377504964</v>
      </c>
      <c r="G5" s="4">
        <f t="shared" si="1"/>
        <v>66.858139170006609</v>
      </c>
      <c r="H5" s="4">
        <f t="shared" si="2"/>
        <v>14042.953006791025</v>
      </c>
      <c r="I5" s="4">
        <f t="shared" si="3"/>
        <v>1296.8393613554904</v>
      </c>
      <c r="J5" s="9">
        <f>'1990-10'!J5</f>
        <v>1534.5</v>
      </c>
      <c r="K5" s="9">
        <f>'1990-10'!K5</f>
        <v>1990000</v>
      </c>
      <c r="L5" s="22">
        <f t="shared" si="4"/>
        <v>18211454.208872035</v>
      </c>
      <c r="M5" s="22">
        <f t="shared" si="5"/>
        <v>1990000</v>
      </c>
      <c r="N5" s="19" t="s">
        <v>92</v>
      </c>
      <c r="O5" s="4">
        <f t="shared" si="6"/>
        <v>776.67839687194521</v>
      </c>
      <c r="P5" s="13">
        <f>'1990-10'!P5</f>
        <v>1191813</v>
      </c>
      <c r="Q5" s="22">
        <f t="shared" si="7"/>
        <v>10906858.228662517</v>
      </c>
      <c r="R5" s="13">
        <f t="shared" si="8"/>
        <v>1191813</v>
      </c>
    </row>
    <row r="6" spans="1:18">
      <c r="A6" s="18" t="s">
        <v>29</v>
      </c>
      <c r="B6" s="4">
        <f>'1990-10'!B6</f>
        <v>61.541690600746875</v>
      </c>
      <c r="C6" s="4">
        <f>'1990-10'!C6</f>
        <v>67.695859660821569</v>
      </c>
      <c r="D6" s="16">
        <f t="shared" si="9"/>
        <v>82055.587467662495</v>
      </c>
      <c r="E6" s="4">
        <f>'Interval Circuities'!I6</f>
        <v>1.1828891685044345</v>
      </c>
      <c r="F6" s="4">
        <f t="shared" si="0"/>
        <v>52.026590689435473</v>
      </c>
      <c r="G6" s="4">
        <f t="shared" si="1"/>
        <v>69.368787585913964</v>
      </c>
      <c r="H6" s="4">
        <f t="shared" si="2"/>
        <v>15117.433984947636</v>
      </c>
      <c r="I6" s="4">
        <f t="shared" si="3"/>
        <v>1563.9892556970801</v>
      </c>
      <c r="J6" s="9">
        <f>'1990-10'!J6</f>
        <v>2308.1999999999998</v>
      </c>
      <c r="K6" s="9">
        <f>'1990-10'!K6</f>
        <v>3610000</v>
      </c>
      <c r="L6" s="22">
        <f t="shared" si="4"/>
        <v>23643504.326167997</v>
      </c>
      <c r="M6" s="22">
        <f t="shared" si="5"/>
        <v>3610000</v>
      </c>
      <c r="N6" s="19" t="s">
        <v>92</v>
      </c>
      <c r="O6" s="4">
        <f t="shared" si="6"/>
        <v>927.87323455506464</v>
      </c>
      <c r="P6" s="13">
        <f>'1990-10'!P6</f>
        <v>2141717</v>
      </c>
      <c r="Q6" s="22">
        <f t="shared" si="7"/>
        <v>14027062.369786024</v>
      </c>
      <c r="R6" s="13">
        <f t="shared" si="8"/>
        <v>2141717</v>
      </c>
    </row>
    <row r="7" spans="1:18">
      <c r="A7" s="18" t="s">
        <v>30</v>
      </c>
      <c r="B7" s="4">
        <f>'1990-10'!B7</f>
        <v>73.27659816495958</v>
      </c>
      <c r="C7" s="4">
        <f>'1990-10'!C7</f>
        <v>76.207662091557978</v>
      </c>
      <c r="D7" s="16">
        <f t="shared" si="9"/>
        <v>97702.130886612766</v>
      </c>
      <c r="E7" s="4">
        <f>'Interval Circuities'!I7</f>
        <v>1.158387437968984</v>
      </c>
      <c r="F7" s="4">
        <f t="shared" si="0"/>
        <v>63.257417823380756</v>
      </c>
      <c r="G7" s="4">
        <f t="shared" si="1"/>
        <v>84.34322376450767</v>
      </c>
      <c r="H7" s="4">
        <f t="shared" si="2"/>
        <v>22348.597086558435</v>
      </c>
      <c r="I7" s="4">
        <f t="shared" si="3"/>
        <v>1440.1622718052738</v>
      </c>
      <c r="J7" s="9">
        <f>'1990-10'!J7</f>
        <v>739.5</v>
      </c>
      <c r="K7" s="9">
        <f>'1990-10'!K7</f>
        <v>1065000</v>
      </c>
      <c r="L7" s="22">
        <f t="shared" si="4"/>
        <v>32185606.351838719</v>
      </c>
      <c r="M7" s="22">
        <f t="shared" si="5"/>
        <v>1065000</v>
      </c>
      <c r="N7" s="19" t="s">
        <v>92</v>
      </c>
      <c r="O7" s="4">
        <f t="shared" si="6"/>
        <v>718.21771467207577</v>
      </c>
      <c r="P7" s="13">
        <f>'1990-10'!P7</f>
        <v>531122</v>
      </c>
      <c r="Q7" s="22">
        <f t="shared" si="7"/>
        <v>16051158.32563501</v>
      </c>
      <c r="R7" s="13">
        <f t="shared" si="8"/>
        <v>531122</v>
      </c>
    </row>
    <row r="8" spans="1:18">
      <c r="A8" s="18" t="s">
        <v>31</v>
      </c>
      <c r="B8" s="4">
        <f>'1990-10'!B8</f>
        <v>66.908176577055386</v>
      </c>
      <c r="C8" s="4">
        <f>'1990-10'!C8</f>
        <v>71.591748937449267</v>
      </c>
      <c r="D8" s="16">
        <f t="shared" si="9"/>
        <v>89210.902102740511</v>
      </c>
      <c r="E8" s="4">
        <f>'Interval Circuities'!I8</f>
        <v>1.217383629587133</v>
      </c>
      <c r="F8" s="4">
        <f t="shared" si="0"/>
        <v>54.960634389134029</v>
      </c>
      <c r="G8" s="4">
        <f t="shared" si="1"/>
        <v>73.2808458521787</v>
      </c>
      <c r="H8" s="4">
        <f t="shared" si="2"/>
        <v>16870.611319028008</v>
      </c>
      <c r="I8" s="4">
        <f t="shared" si="3"/>
        <v>862.48203162434118</v>
      </c>
      <c r="J8" s="9">
        <f>'1990-10'!J8</f>
        <v>626.1</v>
      </c>
      <c r="K8" s="9">
        <f>'1990-10'!K8</f>
        <v>540000</v>
      </c>
      <c r="L8" s="22">
        <f t="shared" si="4"/>
        <v>14550599.125179883</v>
      </c>
      <c r="M8" s="22">
        <f t="shared" si="5"/>
        <v>540000</v>
      </c>
      <c r="N8" s="19" t="s">
        <v>92</v>
      </c>
      <c r="O8" s="4">
        <f t="shared" si="6"/>
        <v>966.06931800031941</v>
      </c>
      <c r="P8" s="13">
        <f>'1990-10'!P8</f>
        <v>604856</v>
      </c>
      <c r="Q8" s="22">
        <f t="shared" si="7"/>
        <v>16298179.971221857</v>
      </c>
      <c r="R8" s="13">
        <f t="shared" si="8"/>
        <v>604856</v>
      </c>
    </row>
    <row r="9" spans="1:18">
      <c r="A9" s="18" t="s">
        <v>32</v>
      </c>
      <c r="B9" s="4">
        <f>'1990-10'!B9</f>
        <v>59.830534500000006</v>
      </c>
      <c r="C9" s="4">
        <f>'1990-10'!C9</f>
        <v>64.616977260000013</v>
      </c>
      <c r="D9" s="16">
        <f t="shared" si="9"/>
        <v>79774.046000000002</v>
      </c>
      <c r="E9" s="4">
        <f>'Interval Circuities'!I9</f>
        <v>1.1760459405189148</v>
      </c>
      <c r="F9" s="4">
        <f t="shared" si="0"/>
        <v>50.874317438314165</v>
      </c>
      <c r="G9" s="4">
        <f t="shared" si="1"/>
        <v>67.832423251085544</v>
      </c>
      <c r="H9" s="4">
        <f t="shared" si="2"/>
        <v>14455.214380170639</v>
      </c>
      <c r="I9" s="4">
        <f t="shared" si="3"/>
        <v>1830.0112091232515</v>
      </c>
      <c r="J9" s="9">
        <f>'1990-10'!J9</f>
        <v>4103.8</v>
      </c>
      <c r="K9" s="9">
        <f>'1990-10'!K9</f>
        <v>7510000</v>
      </c>
      <c r="L9" s="22">
        <f t="shared" si="4"/>
        <v>26453204.345991883</v>
      </c>
      <c r="M9" s="22">
        <f t="shared" si="5"/>
        <v>7510000</v>
      </c>
      <c r="N9" s="19" t="s">
        <v>92</v>
      </c>
      <c r="O9" s="4">
        <f t="shared" si="6"/>
        <v>936.04391052195524</v>
      </c>
      <c r="P9" s="13">
        <f>'1990-10'!P9</f>
        <v>3841337</v>
      </c>
      <c r="Q9" s="22">
        <f t="shared" si="7"/>
        <v>13530715.395848125</v>
      </c>
      <c r="R9" s="13">
        <f t="shared" si="8"/>
        <v>3841337</v>
      </c>
    </row>
    <row r="10" spans="1:18">
      <c r="A10" s="18" t="s">
        <v>33</v>
      </c>
      <c r="B10" s="4">
        <f>'1990-10'!B10</f>
        <v>67.518821168909824</v>
      </c>
      <c r="C10" s="4">
        <f>'1990-10'!C10</f>
        <v>74.270703285800806</v>
      </c>
      <c r="D10" s="16">
        <f t="shared" si="9"/>
        <v>90025.094891879766</v>
      </c>
      <c r="E10" s="4">
        <f>'Interval Circuities'!I10</f>
        <v>1.2694061423644654</v>
      </c>
      <c r="F10" s="4">
        <f t="shared" si="0"/>
        <v>53.189297668865514</v>
      </c>
      <c r="G10" s="4">
        <f t="shared" si="1"/>
        <v>70.919063558487352</v>
      </c>
      <c r="H10" s="4">
        <f t="shared" si="2"/>
        <v>15800.682901531844</v>
      </c>
      <c r="I10" s="4">
        <f t="shared" si="3"/>
        <v>860.24750980984004</v>
      </c>
      <c r="J10" s="9">
        <f>'1990-10'!J10</f>
        <v>1325.2</v>
      </c>
      <c r="K10" s="9">
        <f>'1990-10'!K10</f>
        <v>1140000</v>
      </c>
      <c r="L10" s="22">
        <f t="shared" si="4"/>
        <v>13592498.119337687</v>
      </c>
      <c r="M10" s="22">
        <f t="shared" si="5"/>
        <v>1140000</v>
      </c>
      <c r="N10" s="19" t="s">
        <v>92</v>
      </c>
      <c r="O10" s="4">
        <f t="shared" si="6"/>
        <v>613.31572592816178</v>
      </c>
      <c r="P10" s="13">
        <f>'1990-10'!P10</f>
        <v>812766</v>
      </c>
      <c r="Q10" s="22">
        <f t="shared" si="7"/>
        <v>9690807.3039136957</v>
      </c>
      <c r="R10" s="13">
        <f t="shared" si="8"/>
        <v>812766</v>
      </c>
    </row>
    <row r="11" spans="1:18">
      <c r="A11" s="18" t="s">
        <v>34</v>
      </c>
      <c r="B11" s="4">
        <f>'1990-10'!B11</f>
        <v>70.270147843682068</v>
      </c>
      <c r="C11" s="4">
        <f>'1990-10'!C11</f>
        <v>77.297162628050287</v>
      </c>
      <c r="D11" s="16">
        <f t="shared" si="9"/>
        <v>93693.530458242749</v>
      </c>
      <c r="E11" s="4">
        <f>'Interval Circuities'!I11</f>
        <v>1.153029011882468</v>
      </c>
      <c r="F11" s="4">
        <f t="shared" si="0"/>
        <v>60.943954678952117</v>
      </c>
      <c r="G11" s="4">
        <f t="shared" si="1"/>
        <v>81.258606238602823</v>
      </c>
      <c r="H11" s="4">
        <f t="shared" si="2"/>
        <v>20743.814045498362</v>
      </c>
      <c r="I11" s="4">
        <f t="shared" si="3"/>
        <v>1068.6095931997572</v>
      </c>
      <c r="J11" s="9">
        <f>'1990-10'!J11</f>
        <v>1647</v>
      </c>
      <c r="K11" s="9">
        <f>'1990-10'!K11</f>
        <v>1760000</v>
      </c>
      <c r="L11" s="22">
        <f t="shared" si="4"/>
        <v>22167038.688571416</v>
      </c>
      <c r="M11" s="22">
        <f t="shared" si="5"/>
        <v>1760000</v>
      </c>
      <c r="N11" s="19" t="s">
        <v>92</v>
      </c>
      <c r="O11" s="4">
        <f t="shared" si="6"/>
        <v>754.15846994535514</v>
      </c>
      <c r="P11" s="13">
        <f>'1990-10'!P11</f>
        <v>1242099</v>
      </c>
      <c r="Q11" s="22">
        <f t="shared" si="7"/>
        <v>15644123.061384013</v>
      </c>
      <c r="R11" s="13">
        <f t="shared" si="8"/>
        <v>1242099</v>
      </c>
    </row>
    <row r="12" spans="1:18">
      <c r="A12" s="18" t="s">
        <v>35</v>
      </c>
      <c r="B12" s="4">
        <f>'1990-10'!B12</f>
        <v>67.725932932724078</v>
      </c>
      <c r="C12" s="4">
        <f>'1990-10'!C12</f>
        <v>77.20756354330544</v>
      </c>
      <c r="D12" s="16">
        <f t="shared" si="9"/>
        <v>90301.24391029877</v>
      </c>
      <c r="E12" s="4">
        <f>'Interval Circuities'!I12</f>
        <v>1.1744125033260115</v>
      </c>
      <c r="F12" s="4">
        <f t="shared" si="0"/>
        <v>57.667925657228523</v>
      </c>
      <c r="G12" s="4">
        <f t="shared" si="1"/>
        <v>76.890567542971354</v>
      </c>
      <c r="H12" s="4">
        <f t="shared" si="2"/>
        <v>18573.596465887291</v>
      </c>
      <c r="I12" s="4">
        <f t="shared" si="3"/>
        <v>973.91693719914929</v>
      </c>
      <c r="J12" s="9">
        <f>'1990-10'!J12</f>
        <v>893.3</v>
      </c>
      <c r="K12" s="9">
        <f>'1990-10'!K12</f>
        <v>870000</v>
      </c>
      <c r="L12" s="22">
        <f t="shared" si="4"/>
        <v>18089140.182829894</v>
      </c>
      <c r="M12" s="22">
        <f t="shared" si="5"/>
        <v>870000</v>
      </c>
      <c r="N12" s="19" t="s">
        <v>92</v>
      </c>
      <c r="O12" s="4">
        <f t="shared" si="6"/>
        <v>758.82570245158411</v>
      </c>
      <c r="P12" s="13">
        <f>'1990-10'!P12</f>
        <v>677859</v>
      </c>
      <c r="Q12" s="22">
        <f t="shared" si="7"/>
        <v>14094122.385279184</v>
      </c>
      <c r="R12" s="13">
        <f t="shared" si="8"/>
        <v>677859</v>
      </c>
    </row>
    <row r="13" spans="1:18">
      <c r="A13" s="18" t="s">
        <v>62</v>
      </c>
      <c r="B13" s="4">
        <f>'1990-10'!B13</f>
        <v>66.03146949483623</v>
      </c>
      <c r="C13" s="4">
        <f>'1990-10'!C13</f>
        <v>76.596504614010016</v>
      </c>
      <c r="D13" s="16">
        <f t="shared" si="9"/>
        <v>88041.959326448312</v>
      </c>
      <c r="E13" s="4">
        <f>'Interval Circuities'!I13</f>
        <v>1.20062304078927</v>
      </c>
      <c r="F13" s="4">
        <f t="shared" si="0"/>
        <v>54.997669752721237</v>
      </c>
      <c r="G13" s="4">
        <f t="shared" si="1"/>
        <v>73.330226336961644</v>
      </c>
      <c r="H13" s="4">
        <f t="shared" si="2"/>
        <v>16893.355588475759</v>
      </c>
      <c r="I13" s="4">
        <f t="shared" si="3"/>
        <v>869.56521739130437</v>
      </c>
      <c r="J13" s="9">
        <f>'1990-10'!J13</f>
        <v>3737.5</v>
      </c>
      <c r="K13" s="9">
        <f>'1990-10'!K13</f>
        <v>3250000</v>
      </c>
      <c r="L13" s="22">
        <f t="shared" si="4"/>
        <v>14689874.42476153</v>
      </c>
      <c r="M13" s="22">
        <f t="shared" si="5"/>
        <v>3250000</v>
      </c>
      <c r="N13" s="19" t="s">
        <v>92</v>
      </c>
      <c r="O13" s="4">
        <f t="shared" si="6"/>
        <v>528.85779264214045</v>
      </c>
      <c r="P13" s="13">
        <f>'1990-10'!P13</f>
        <v>1976606</v>
      </c>
      <c r="Q13" s="22">
        <f t="shared" si="7"/>
        <v>8934182.7468400579</v>
      </c>
      <c r="R13" s="13">
        <f t="shared" si="8"/>
        <v>1976606</v>
      </c>
    </row>
    <row r="14" spans="1:18">
      <c r="A14" s="18" t="s">
        <v>36</v>
      </c>
      <c r="B14" s="4">
        <f>'1990-10'!B14</f>
        <v>65.002140793217592</v>
      </c>
      <c r="C14" s="4">
        <f>'1990-10'!C14</f>
        <v>76.052504728064577</v>
      </c>
      <c r="D14" s="16">
        <f t="shared" si="9"/>
        <v>86669.521057623453</v>
      </c>
      <c r="E14" s="4">
        <f>'Interval Circuities'!I14</f>
        <v>1.3213862630598945</v>
      </c>
      <c r="F14" s="4">
        <f t="shared" si="0"/>
        <v>49.192384248564899</v>
      </c>
      <c r="G14" s="4">
        <f t="shared" si="1"/>
        <v>65.589845664753199</v>
      </c>
      <c r="H14" s="4">
        <f t="shared" si="2"/>
        <v>13515.219102689674</v>
      </c>
      <c r="I14" s="4">
        <f t="shared" si="3"/>
        <v>1329.5186805789297</v>
      </c>
      <c r="J14" s="9">
        <f>'1990-10'!J14</f>
        <v>1188.4000000000001</v>
      </c>
      <c r="K14" s="9">
        <f>'1990-10'!K14</f>
        <v>1580000</v>
      </c>
      <c r="L14" s="22">
        <f t="shared" si="4"/>
        <v>17968736.269143123</v>
      </c>
      <c r="M14" s="22">
        <f t="shared" si="5"/>
        <v>1580000</v>
      </c>
      <c r="N14" s="19" t="s">
        <v>92</v>
      </c>
      <c r="O14" s="4">
        <f t="shared" si="6"/>
        <v>811.94210703466842</v>
      </c>
      <c r="P14" s="13">
        <f>'1990-10'!P14</f>
        <v>964912</v>
      </c>
      <c r="Q14" s="22">
        <f t="shared" si="7"/>
        <v>10973575.475273054</v>
      </c>
      <c r="R14" s="13">
        <f t="shared" si="8"/>
        <v>964912</v>
      </c>
    </row>
    <row r="15" spans="1:18">
      <c r="A15" s="18" t="s">
        <v>37</v>
      </c>
      <c r="B15" s="4">
        <f>'1990-10'!B15</f>
        <v>59.740126684000487</v>
      </c>
      <c r="C15" s="4">
        <f>'1990-10'!C15</f>
        <v>69.895948220280573</v>
      </c>
      <c r="D15" s="16">
        <f t="shared" si="9"/>
        <v>79653.502245333977</v>
      </c>
      <c r="E15" s="4">
        <f>'Interval Circuities'!I15</f>
        <v>1.1834504180945258</v>
      </c>
      <c r="F15" s="4">
        <f t="shared" si="0"/>
        <v>50.479619399846172</v>
      </c>
      <c r="G15" s="4">
        <f t="shared" si="1"/>
        <v>67.306159199794891</v>
      </c>
      <c r="H15" s="4">
        <f t="shared" si="2"/>
        <v>14231.788778349361</v>
      </c>
      <c r="I15" s="4">
        <f t="shared" si="3"/>
        <v>1369.2488100986411</v>
      </c>
      <c r="J15" s="9">
        <f>'1990-10'!J15</f>
        <v>2899.4</v>
      </c>
      <c r="K15" s="9">
        <f>'1990-10'!K15</f>
        <v>3970000</v>
      </c>
      <c r="L15" s="22">
        <f t="shared" si="4"/>
        <v>19486859.850330055</v>
      </c>
      <c r="M15" s="22">
        <f t="shared" si="5"/>
        <v>3970000</v>
      </c>
      <c r="N15" s="19" t="s">
        <v>92</v>
      </c>
      <c r="O15" s="4">
        <f t="shared" si="6"/>
        <v>717.34841691384418</v>
      </c>
      <c r="P15" s="13">
        <f>'1990-10'!P15</f>
        <v>2079880</v>
      </c>
      <c r="Q15" s="22">
        <f t="shared" si="7"/>
        <v>10209151.150001125</v>
      </c>
      <c r="R15" s="13">
        <f t="shared" si="8"/>
        <v>2079880</v>
      </c>
    </row>
    <row r="16" spans="1:18">
      <c r="A16" s="18" t="s">
        <v>80</v>
      </c>
      <c r="B16" s="4">
        <f>'1990-10'!B16</f>
        <v>70.939381203745498</v>
      </c>
      <c r="C16" s="4">
        <f>'1990-10'!C16</f>
        <v>83.70846982041968</v>
      </c>
      <c r="D16" s="16">
        <f t="shared" si="9"/>
        <v>94585.841604993984</v>
      </c>
      <c r="E16" s="4">
        <f>'Interval Circuities'!I16</f>
        <v>1.2239079252730434</v>
      </c>
      <c r="F16" s="4">
        <f t="shared" si="0"/>
        <v>57.961370899628363</v>
      </c>
      <c r="G16" s="4">
        <f t="shared" si="1"/>
        <v>77.281827866171142</v>
      </c>
      <c r="H16" s="4">
        <f t="shared" si="2"/>
        <v>18763.102176751188</v>
      </c>
      <c r="I16" s="4">
        <f t="shared" si="3"/>
        <v>1190.58976132826</v>
      </c>
      <c r="J16" s="9">
        <f>'1990-10'!J16</f>
        <v>578.20000000000005</v>
      </c>
      <c r="K16" s="9">
        <f>'1990-10'!K16</f>
        <v>688399</v>
      </c>
      <c r="L16" s="22">
        <f t="shared" si="4"/>
        <v>22339157.342395954</v>
      </c>
      <c r="M16" s="22">
        <f t="shared" si="5"/>
        <v>688399</v>
      </c>
      <c r="N16" s="19" t="s">
        <v>92</v>
      </c>
      <c r="O16" s="4">
        <f t="shared" si="6"/>
        <v>583.42269111034238</v>
      </c>
      <c r="P16" s="13">
        <f>'1990-10'!P16</f>
        <v>337335</v>
      </c>
      <c r="Q16" s="22">
        <f t="shared" si="7"/>
        <v>10946819.565538501</v>
      </c>
      <c r="R16" s="13">
        <f t="shared" si="8"/>
        <v>337335</v>
      </c>
    </row>
    <row r="17" spans="1:18">
      <c r="A17" s="18" t="s">
        <v>58</v>
      </c>
      <c r="B17" s="4">
        <f>'1990-10'!B17</f>
        <v>64.898649256812377</v>
      </c>
      <c r="C17" s="4">
        <f>'1990-10'!C17</f>
        <v>85.666217018992342</v>
      </c>
      <c r="D17" s="16">
        <f t="shared" si="9"/>
        <v>86531.532342416496</v>
      </c>
      <c r="E17" s="4">
        <f>'Interval Circuities'!I17</f>
        <v>1.366151779003018</v>
      </c>
      <c r="F17" s="4">
        <f t="shared" si="0"/>
        <v>47.504713791152639</v>
      </c>
      <c r="G17" s="4">
        <f t="shared" si="1"/>
        <v>63.339618388203519</v>
      </c>
      <c r="H17" s="4">
        <f t="shared" si="2"/>
        <v>12603.778367244278</v>
      </c>
      <c r="I17" s="4">
        <f t="shared" si="3"/>
        <v>770.84181744138687</v>
      </c>
      <c r="J17" s="9">
        <f>'1990-10'!J17</f>
        <v>1718.9</v>
      </c>
      <c r="K17" s="9">
        <f>'1990-10'!K17</f>
        <v>1325000</v>
      </c>
      <c r="L17" s="22">
        <f t="shared" si="4"/>
        <v>9715519.4232350159</v>
      </c>
      <c r="M17" s="22">
        <f t="shared" si="5"/>
        <v>1325000</v>
      </c>
      <c r="N17" s="19" t="s">
        <v>92</v>
      </c>
      <c r="O17" s="4">
        <f t="shared" si="6"/>
        <v>406.65483739600904</v>
      </c>
      <c r="P17" s="13">
        <f>'1990-10'!P17</f>
        <v>698999</v>
      </c>
      <c r="Q17" s="22">
        <f t="shared" si="7"/>
        <v>5125387.4425070584</v>
      </c>
      <c r="R17" s="13">
        <f t="shared" si="8"/>
        <v>698999</v>
      </c>
    </row>
    <row r="18" spans="1:18">
      <c r="A18" s="18" t="s">
        <v>38</v>
      </c>
      <c r="B18" s="4">
        <f>'1990-10'!B18</f>
        <v>70.550117521710789</v>
      </c>
      <c r="C18" s="4">
        <f>'1990-10'!C18</f>
        <v>84.660141026052941</v>
      </c>
      <c r="D18" s="16">
        <f t="shared" si="9"/>
        <v>94066.823362281037</v>
      </c>
      <c r="E18" s="4">
        <f>'Interval Circuities'!I18</f>
        <v>1.2093125584058166</v>
      </c>
      <c r="F18" s="4">
        <f t="shared" si="0"/>
        <v>58.339026607574382</v>
      </c>
      <c r="G18" s="4">
        <f t="shared" si="1"/>
        <v>77.785368810099172</v>
      </c>
      <c r="H18" s="4">
        <f t="shared" si="2"/>
        <v>19008.406158737969</v>
      </c>
      <c r="I18" s="4">
        <f t="shared" si="3"/>
        <v>1320.2112337974077</v>
      </c>
      <c r="J18" s="9">
        <f>'1990-10'!J18</f>
        <v>624.9</v>
      </c>
      <c r="K18" s="9">
        <f>'1990-10'!K18</f>
        <v>825000</v>
      </c>
      <c r="L18" s="22">
        <f t="shared" si="4"/>
        <v>25095111.347349696</v>
      </c>
      <c r="M18" s="22">
        <f t="shared" si="5"/>
        <v>825000</v>
      </c>
      <c r="N18" s="19" t="s">
        <v>92</v>
      </c>
      <c r="O18" s="4">
        <f t="shared" si="6"/>
        <v>899.29428708593377</v>
      </c>
      <c r="P18" s="13">
        <f>'1990-10'!P18</f>
        <v>561969</v>
      </c>
      <c r="Q18" s="22">
        <f t="shared" si="7"/>
        <v>17094151.065162133</v>
      </c>
      <c r="R18" s="13">
        <f t="shared" si="8"/>
        <v>561969</v>
      </c>
    </row>
    <row r="19" spans="1:18">
      <c r="A19" s="18" t="s">
        <v>81</v>
      </c>
      <c r="B19" s="4">
        <f>'1990-10'!B19</f>
        <v>61.851770964117151</v>
      </c>
      <c r="C19" s="4">
        <f>'1990-10'!C19</f>
        <v>73.60360744729941</v>
      </c>
      <c r="D19" s="16">
        <f t="shared" si="9"/>
        <v>82469.02795215619</v>
      </c>
      <c r="E19" s="4">
        <f>'Interval Circuities'!I19</f>
        <v>1.4777791774280755</v>
      </c>
      <c r="F19" s="4">
        <f t="shared" si="0"/>
        <v>41.854542213650532</v>
      </c>
      <c r="G19" s="4">
        <f t="shared" si="1"/>
        <v>55.806056284867374</v>
      </c>
      <c r="H19" s="4">
        <f t="shared" si="2"/>
        <v>9783.9120091657896</v>
      </c>
      <c r="I19" s="4">
        <f t="shared" si="3"/>
        <v>2328.0373051224947</v>
      </c>
      <c r="J19" s="9">
        <f>'1990-10'!J19</f>
        <v>359.2</v>
      </c>
      <c r="K19" s="9">
        <f>'1990-10'!K19</f>
        <v>836231</v>
      </c>
      <c r="L19" s="22">
        <f t="shared" si="4"/>
        <v>22777312.147373937</v>
      </c>
      <c r="M19" s="22">
        <f t="shared" si="5"/>
        <v>836231</v>
      </c>
      <c r="N19" s="19" t="s">
        <v>92</v>
      </c>
      <c r="O19" s="4">
        <f t="shared" si="6"/>
        <v>1218.0345211581291</v>
      </c>
      <c r="P19" s="13">
        <f>'1990-10'!P19</f>
        <v>437518</v>
      </c>
      <c r="Q19" s="22">
        <f t="shared" si="7"/>
        <v>11917142.579137521</v>
      </c>
      <c r="R19" s="13">
        <f t="shared" si="8"/>
        <v>437518</v>
      </c>
    </row>
    <row r="20" spans="1:18">
      <c r="A20" s="18" t="s">
        <v>39</v>
      </c>
      <c r="B20" s="4">
        <f>'1990-10'!B20</f>
        <v>61.865929871835121</v>
      </c>
      <c r="C20" s="4">
        <f>'1990-10'!C20</f>
        <v>73.620456547483784</v>
      </c>
      <c r="D20" s="16">
        <f t="shared" si="9"/>
        <v>82487.906495780146</v>
      </c>
      <c r="E20" s="4">
        <f>'Interval Circuities'!I20</f>
        <v>1.2449949020243729</v>
      </c>
      <c r="F20" s="4">
        <f t="shared" si="0"/>
        <v>49.69171341283451</v>
      </c>
      <c r="G20" s="4">
        <f t="shared" si="1"/>
        <v>66.255617883779337</v>
      </c>
      <c r="H20" s="4">
        <f t="shared" si="2"/>
        <v>13790.985111366368</v>
      </c>
      <c r="I20" s="4">
        <f t="shared" si="3"/>
        <v>951.03794313448986</v>
      </c>
      <c r="J20" s="9">
        <f>'1990-10'!J20</f>
        <v>3049.3</v>
      </c>
      <c r="K20" s="9">
        <f>'1990-10'!K20</f>
        <v>2900000</v>
      </c>
      <c r="L20" s="22">
        <f t="shared" si="4"/>
        <v>13115750.114112245</v>
      </c>
      <c r="M20" s="22">
        <f t="shared" si="5"/>
        <v>2900000</v>
      </c>
      <c r="N20" s="19" t="s">
        <v>92</v>
      </c>
      <c r="O20" s="4">
        <f t="shared" si="6"/>
        <v>577.11474764700097</v>
      </c>
      <c r="P20" s="13">
        <f>'1990-10'!P20</f>
        <v>1759796</v>
      </c>
      <c r="Q20" s="22">
        <f t="shared" si="7"/>
        <v>7958980.8923497489</v>
      </c>
      <c r="R20" s="13">
        <f t="shared" si="8"/>
        <v>1759796</v>
      </c>
    </row>
    <row r="21" spans="1:18">
      <c r="A21" s="18" t="s">
        <v>40</v>
      </c>
      <c r="B21" s="4">
        <f>'1990-10'!B21</f>
        <v>66.181816591922129</v>
      </c>
      <c r="C21" s="4">
        <f>'1990-10'!C21</f>
        <v>78.094543578468105</v>
      </c>
      <c r="D21" s="16">
        <f t="shared" si="9"/>
        <v>88242.422122562828</v>
      </c>
      <c r="E21" s="4">
        <f>'Interval Circuities'!I21</f>
        <v>1.171319986899658</v>
      </c>
      <c r="F21" s="4">
        <f t="shared" si="0"/>
        <v>56.501910094693571</v>
      </c>
      <c r="G21" s="4">
        <f t="shared" si="1"/>
        <v>75.33588012625809</v>
      </c>
      <c r="H21" s="4">
        <f t="shared" si="2"/>
        <v>17830.092877231353</v>
      </c>
      <c r="I21" s="4">
        <f t="shared" si="3"/>
        <v>778.16205533596838</v>
      </c>
      <c r="J21" s="9">
        <f>'1990-10'!J21</f>
        <v>1214.4000000000001</v>
      </c>
      <c r="K21" s="9">
        <f>'1990-10'!K21</f>
        <v>945000</v>
      </c>
      <c r="L21" s="22">
        <f t="shared" si="4"/>
        <v>13874701.720177559</v>
      </c>
      <c r="M21" s="22">
        <f t="shared" si="5"/>
        <v>945000</v>
      </c>
      <c r="N21" s="19" t="s">
        <v>92</v>
      </c>
      <c r="O21" s="4">
        <f t="shared" si="6"/>
        <v>514.63356389986825</v>
      </c>
      <c r="P21" s="13">
        <f>'1990-10'!P21</f>
        <v>624971</v>
      </c>
      <c r="Q21" s="22">
        <f t="shared" si="7"/>
        <v>9175964.2420752272</v>
      </c>
      <c r="R21" s="13">
        <f t="shared" si="8"/>
        <v>624971</v>
      </c>
    </row>
    <row r="22" spans="1:18" ht="16">
      <c r="A22" s="18" t="s">
        <v>120</v>
      </c>
      <c r="B22" s="4">
        <f>'1990-10'!B22</f>
        <v>65.10221093956217</v>
      </c>
      <c r="C22" s="4">
        <f>'1990-10'!C22</f>
        <v>72.914476252309626</v>
      </c>
      <c r="D22" s="16">
        <f t="shared" si="9"/>
        <v>86802.947919416227</v>
      </c>
      <c r="E22" s="4">
        <f>'Interval Circuities'!I22</f>
        <v>1.3018012430142005</v>
      </c>
      <c r="F22" s="4">
        <f t="shared" si="0"/>
        <v>50.009332291636177</v>
      </c>
      <c r="G22" s="4">
        <f t="shared" si="1"/>
        <v>66.679109722181565</v>
      </c>
      <c r="H22" s="4">
        <f t="shared" si="2"/>
        <v>13967.846637272109</v>
      </c>
      <c r="I22" s="4">
        <f t="shared" si="3"/>
        <v>1078.3820073850286</v>
      </c>
      <c r="J22" s="9">
        <f>'1990-10'!J22</f>
        <v>1191.5999999999999</v>
      </c>
      <c r="K22" s="9">
        <f>'1990-10'!K22</f>
        <v>1285000</v>
      </c>
      <c r="L22" s="22">
        <f t="shared" si="4"/>
        <v>15062674.495547717</v>
      </c>
      <c r="M22" s="22">
        <f t="shared" si="5"/>
        <v>1285000</v>
      </c>
      <c r="N22" s="19" t="s">
        <v>92</v>
      </c>
      <c r="O22" s="4">
        <f t="shared" si="6"/>
        <v>643.63293051359517</v>
      </c>
      <c r="P22" s="13">
        <f>'1990-10'!P22</f>
        <v>766953</v>
      </c>
      <c r="Q22" s="22">
        <f t="shared" si="7"/>
        <v>8990166.0641119126</v>
      </c>
      <c r="R22" s="13">
        <f t="shared" si="8"/>
        <v>766953</v>
      </c>
    </row>
    <row r="23" spans="1:18">
      <c r="A23" s="18" t="s">
        <v>41</v>
      </c>
      <c r="B23" s="4">
        <f>'1990-10'!B23</f>
        <v>55.540281389808555</v>
      </c>
      <c r="C23" s="4">
        <f>'1990-10'!C23</f>
        <v>57.206489831502807</v>
      </c>
      <c r="D23" s="16">
        <f t="shared" si="9"/>
        <v>74053.70851974473</v>
      </c>
      <c r="E23" s="4">
        <f>'Interval Circuities'!I23</f>
        <v>1.3143309967769681</v>
      </c>
      <c r="F23" s="4">
        <f t="shared" si="0"/>
        <v>42.257453811867542</v>
      </c>
      <c r="G23" s="4">
        <f t="shared" si="1"/>
        <v>56.34327174915672</v>
      </c>
      <c r="H23" s="4">
        <f t="shared" si="2"/>
        <v>9973.1877933767428</v>
      </c>
      <c r="I23" s="4">
        <f t="shared" si="3"/>
        <v>547.57015742642022</v>
      </c>
      <c r="J23" s="9">
        <f>'1990-10'!J23</f>
        <v>1314.9</v>
      </c>
      <c r="K23" s="9">
        <f>'1990-10'!K23</f>
        <v>720000</v>
      </c>
      <c r="L23" s="22">
        <f t="shared" si="4"/>
        <v>5461020.0100625558</v>
      </c>
      <c r="M23" s="22">
        <f t="shared" si="5"/>
        <v>720000</v>
      </c>
      <c r="N23" s="19" t="s">
        <v>92</v>
      </c>
      <c r="O23" s="4">
        <f t="shared" si="6"/>
        <v>337.57852308160312</v>
      </c>
      <c r="P23" s="13">
        <f>'1990-10'!P23</f>
        <v>443882</v>
      </c>
      <c r="Q23" s="22">
        <f t="shared" si="7"/>
        <v>3366734.0057035931</v>
      </c>
      <c r="R23" s="13">
        <f t="shared" si="8"/>
        <v>443882</v>
      </c>
    </row>
    <row r="24" spans="1:18">
      <c r="A24" s="18" t="s">
        <v>75</v>
      </c>
      <c r="B24" s="4">
        <f>'1990-10'!B24</f>
        <v>63.219918440805898</v>
      </c>
      <c r="C24" s="4">
        <f>'1990-10'!C24</f>
        <v>65.116515994030081</v>
      </c>
      <c r="D24" s="16">
        <f t="shared" si="9"/>
        <v>84293.224587741191</v>
      </c>
      <c r="E24" s="4">
        <f>'Interval Circuities'!I24</f>
        <v>1.2355926103504966</v>
      </c>
      <c r="F24" s="4">
        <f t="shared" si="0"/>
        <v>51.165665698561035</v>
      </c>
      <c r="G24" s="4">
        <f t="shared" si="1"/>
        <v>68.220887598081376</v>
      </c>
      <c r="H24" s="4">
        <f t="shared" si="2"/>
        <v>14621.253397020799</v>
      </c>
      <c r="I24" s="4">
        <f t="shared" si="3"/>
        <v>587.90735391009071</v>
      </c>
      <c r="J24" s="9">
        <f>'1990-10'!J24</f>
        <v>1973.1</v>
      </c>
      <c r="K24" s="9">
        <f>'1990-10'!K24</f>
        <v>1160000</v>
      </c>
      <c r="L24" s="22">
        <f t="shared" si="4"/>
        <v>8595942.3954914231</v>
      </c>
      <c r="M24" s="22">
        <f t="shared" si="5"/>
        <v>1160000</v>
      </c>
      <c r="N24" s="19" t="s">
        <v>92</v>
      </c>
      <c r="O24" s="4">
        <f t="shared" si="6"/>
        <v>390.91227003192949</v>
      </c>
      <c r="P24" s="13">
        <f>'1990-10'!P24</f>
        <v>771309</v>
      </c>
      <c r="Q24" s="22">
        <f t="shared" si="7"/>
        <v>5715627.3561414611</v>
      </c>
      <c r="R24" s="13">
        <f t="shared" si="8"/>
        <v>771309</v>
      </c>
    </row>
    <row r="25" spans="1:18">
      <c r="A25" s="18" t="s">
        <v>63</v>
      </c>
      <c r="B25" s="4">
        <f>'1990-10'!B25</f>
        <v>58.291697709553844</v>
      </c>
      <c r="C25" s="4">
        <f>'1990-10'!C25</f>
        <v>60.040448640840452</v>
      </c>
      <c r="D25" s="16">
        <f t="shared" si="9"/>
        <v>77722.263612738461</v>
      </c>
      <c r="E25" s="4">
        <f>'Interval Circuities'!I25</f>
        <v>1.3260391661883868</v>
      </c>
      <c r="F25" s="4">
        <f t="shared" si="0"/>
        <v>43.959257913255712</v>
      </c>
      <c r="G25" s="4">
        <f t="shared" si="1"/>
        <v>58.612343884340945</v>
      </c>
      <c r="H25" s="4">
        <f t="shared" si="2"/>
        <v>10792.648939695988</v>
      </c>
      <c r="I25" s="4">
        <f t="shared" si="3"/>
        <v>1175.4827875734677</v>
      </c>
      <c r="J25" s="9">
        <f>'1990-10'!J25</f>
        <v>595.5</v>
      </c>
      <c r="K25" s="9">
        <f>'1990-10'!K25</f>
        <v>700000</v>
      </c>
      <c r="L25" s="22">
        <f t="shared" si="4"/>
        <v>12686573.060935671</v>
      </c>
      <c r="M25" s="22">
        <f t="shared" si="5"/>
        <v>700000</v>
      </c>
      <c r="N25" s="19" t="s">
        <v>92</v>
      </c>
      <c r="O25" s="4">
        <f t="shared" si="6"/>
        <v>623.22082283795135</v>
      </c>
      <c r="P25" s="13">
        <f>'1990-10'!P25</f>
        <v>371128</v>
      </c>
      <c r="Q25" s="22">
        <f t="shared" si="7"/>
        <v>6726203.552798477</v>
      </c>
      <c r="R25" s="13">
        <f t="shared" si="8"/>
        <v>371128</v>
      </c>
    </row>
    <row r="26" spans="1:18" ht="16">
      <c r="A26" s="18" t="s">
        <v>121</v>
      </c>
      <c r="B26" s="4">
        <f>'1990-10'!B26</f>
        <v>48.116227796764051</v>
      </c>
      <c r="C26" s="4">
        <f>'1990-10'!C26</f>
        <v>49.559714630666974</v>
      </c>
      <c r="D26" s="16">
        <f t="shared" si="9"/>
        <v>64154.970395685399</v>
      </c>
      <c r="E26" s="4">
        <f>'Interval Circuities'!I26</f>
        <v>1.2450143270582681</v>
      </c>
      <c r="F26" s="4">
        <f t="shared" si="0"/>
        <v>38.647127788845239</v>
      </c>
      <c r="G26" s="4">
        <f t="shared" si="1"/>
        <v>51.529503718460319</v>
      </c>
      <c r="H26" s="4">
        <f t="shared" si="2"/>
        <v>8341.8387826561684</v>
      </c>
      <c r="I26" s="4">
        <f t="shared" si="3"/>
        <v>2243.0420521281399</v>
      </c>
      <c r="J26" s="9">
        <f>'1990-10'!J26</f>
        <v>5091.3</v>
      </c>
      <c r="K26" s="9">
        <f>'1990-10'!K26</f>
        <v>11420000</v>
      </c>
      <c r="L26" s="22">
        <f t="shared" si="4"/>
        <v>18711095.181571197</v>
      </c>
      <c r="M26" s="22">
        <f t="shared" si="5"/>
        <v>11420000</v>
      </c>
      <c r="N26" s="19" t="s">
        <v>92</v>
      </c>
      <c r="O26" s="4">
        <f t="shared" si="6"/>
        <v>1186.7479818513934</v>
      </c>
      <c r="P26" s="13">
        <f>'1990-10'!P26</f>
        <v>6042090</v>
      </c>
      <c r="Q26" s="22">
        <f t="shared" si="7"/>
        <v>9899660.3402468916</v>
      </c>
      <c r="R26" s="13">
        <f t="shared" si="8"/>
        <v>6042090</v>
      </c>
    </row>
    <row r="27" spans="1:18">
      <c r="A27" s="18" t="s">
        <v>42</v>
      </c>
      <c r="B27" s="4">
        <f>'1990-10'!B27</f>
        <v>62.487212851553508</v>
      </c>
      <c r="C27" s="4">
        <f>'1990-10'!C27</f>
        <v>64.986701365615659</v>
      </c>
      <c r="D27" s="16">
        <f t="shared" si="9"/>
        <v>83316.283802071339</v>
      </c>
      <c r="E27" s="4">
        <f>'Interval Circuities'!I27</f>
        <v>1.2926419494509371</v>
      </c>
      <c r="F27" s="4">
        <f t="shared" si="0"/>
        <v>48.340697033773033</v>
      </c>
      <c r="G27" s="4">
        <f t="shared" si="1"/>
        <v>64.454262711697368</v>
      </c>
      <c r="H27" s="4">
        <f t="shared" si="2"/>
        <v>13051.281666161627</v>
      </c>
      <c r="I27" s="4">
        <f t="shared" si="3"/>
        <v>1106.8597977589507</v>
      </c>
      <c r="J27" s="9">
        <f>'1990-10'!J27</f>
        <v>731.8</v>
      </c>
      <c r="K27" s="9">
        <f>'1990-10'!K27</f>
        <v>810000</v>
      </c>
      <c r="L27" s="22">
        <f t="shared" si="4"/>
        <v>14445938.985502759</v>
      </c>
      <c r="M27" s="22">
        <f t="shared" si="5"/>
        <v>810000</v>
      </c>
      <c r="N27" s="19" t="s">
        <v>92</v>
      </c>
      <c r="O27" s="4">
        <f t="shared" si="6"/>
        <v>610.65318393003554</v>
      </c>
      <c r="P27" s="13">
        <f>'1990-10'!P27</f>
        <v>446876</v>
      </c>
      <c r="Q27" s="22">
        <f t="shared" si="7"/>
        <v>7969806.7038092967</v>
      </c>
      <c r="R27" s="13">
        <f t="shared" si="8"/>
        <v>446876</v>
      </c>
    </row>
    <row r="28" spans="1:18">
      <c r="A28" s="18" t="s">
        <v>43</v>
      </c>
      <c r="B28" s="4">
        <f>'1990-10'!B28</f>
        <v>65.308032205055966</v>
      </c>
      <c r="C28" s="4">
        <f>'1990-10'!C28</f>
        <v>67.920353493258204</v>
      </c>
      <c r="D28" s="16">
        <f t="shared" si="9"/>
        <v>87077.37627340795</v>
      </c>
      <c r="E28" s="4">
        <f>'Interval Circuities'!I28</f>
        <v>1.2476866201392505</v>
      </c>
      <c r="F28" s="4">
        <f t="shared" si="0"/>
        <v>52.343297708656308</v>
      </c>
      <c r="G28" s="4">
        <f t="shared" si="1"/>
        <v>69.791063611541745</v>
      </c>
      <c r="H28" s="4">
        <f t="shared" si="2"/>
        <v>15302.046123750904</v>
      </c>
      <c r="I28" s="4">
        <f t="shared" si="3"/>
        <v>973.62164609985291</v>
      </c>
      <c r="J28" s="9">
        <f>'1990-10'!J28</f>
        <v>883.3</v>
      </c>
      <c r="K28" s="9">
        <f>'1990-10'!K28</f>
        <v>860000</v>
      </c>
      <c r="L28" s="22">
        <f t="shared" si="4"/>
        <v>14898403.335702229</v>
      </c>
      <c r="M28" s="22">
        <f t="shared" si="5"/>
        <v>860000</v>
      </c>
      <c r="N28" s="19" t="s">
        <v>92</v>
      </c>
      <c r="O28" s="4">
        <f t="shared" si="6"/>
        <v>507.45726253820902</v>
      </c>
      <c r="P28" s="13">
        <f>'1990-10'!P28</f>
        <v>448237</v>
      </c>
      <c r="Q28" s="22">
        <f t="shared" si="7"/>
        <v>7765134.4371920461</v>
      </c>
      <c r="R28" s="13">
        <f t="shared" si="8"/>
        <v>448237</v>
      </c>
    </row>
    <row r="29" spans="1:18">
      <c r="A29" s="18" t="s">
        <v>44</v>
      </c>
      <c r="B29" s="4">
        <f>'1990-10'!B29</f>
        <v>64.485521071986952</v>
      </c>
      <c r="C29" s="4">
        <f>'1990-10'!C29</f>
        <v>67.064941914866438</v>
      </c>
      <c r="D29" s="16">
        <f t="shared" si="9"/>
        <v>85980.694762649262</v>
      </c>
      <c r="E29" s="4">
        <f>'Interval Circuities'!I29</f>
        <v>1.1684578197240036</v>
      </c>
      <c r="F29" s="4">
        <f t="shared" si="0"/>
        <v>55.188574190225197</v>
      </c>
      <c r="G29" s="4">
        <f t="shared" si="1"/>
        <v>73.584765586966924</v>
      </c>
      <c r="H29" s="4">
        <f t="shared" si="2"/>
        <v>17010.837430799864</v>
      </c>
      <c r="I29" s="4">
        <f t="shared" si="3"/>
        <v>927.60180995475116</v>
      </c>
      <c r="J29" s="9">
        <f>'1990-10'!J29</f>
        <v>1326</v>
      </c>
      <c r="K29" s="9">
        <f>'1990-10'!K29</f>
        <v>1230000</v>
      </c>
      <c r="L29" s="22">
        <f t="shared" si="4"/>
        <v>15779283.589655982</v>
      </c>
      <c r="M29" s="22">
        <f t="shared" si="5"/>
        <v>1230000</v>
      </c>
      <c r="N29" s="19" t="s">
        <v>92</v>
      </c>
      <c r="O29" s="4">
        <f t="shared" si="6"/>
        <v>582.76923076923072</v>
      </c>
      <c r="P29" s="13">
        <f>'1990-10'!P29</f>
        <v>772752</v>
      </c>
      <c r="Q29" s="22">
        <f t="shared" si="7"/>
        <v>9913392.6442876738</v>
      </c>
      <c r="R29" s="13">
        <f t="shared" si="8"/>
        <v>772752</v>
      </c>
    </row>
    <row r="30" spans="1:18">
      <c r="A30" s="18" t="s">
        <v>45</v>
      </c>
      <c r="B30" s="4">
        <f>'1990-10'!B30</f>
        <v>63.564185114523426</v>
      </c>
      <c r="C30" s="4">
        <f>'1990-10'!C30</f>
        <v>66.106752519104361</v>
      </c>
      <c r="D30" s="16">
        <f t="shared" si="9"/>
        <v>84752.246819364562</v>
      </c>
      <c r="E30" s="4">
        <f>'Interval Circuities'!I30</f>
        <v>1.2155297767685767</v>
      </c>
      <c r="F30" s="4">
        <f t="shared" si="0"/>
        <v>52.293400235332399</v>
      </c>
      <c r="G30" s="4">
        <f t="shared" si="1"/>
        <v>69.724533647109865</v>
      </c>
      <c r="H30" s="4">
        <f t="shared" si="2"/>
        <v>15272.885962140497</v>
      </c>
      <c r="I30" s="4">
        <f t="shared" si="3"/>
        <v>730.08608477716029</v>
      </c>
      <c r="J30" s="9">
        <f>'1990-10'!J30</f>
        <v>2753.1</v>
      </c>
      <c r="K30" s="9">
        <f>'1990-10'!K30</f>
        <v>2010000</v>
      </c>
      <c r="L30" s="22">
        <f t="shared" si="4"/>
        <v>11150521.515347209</v>
      </c>
      <c r="M30" s="22">
        <f t="shared" si="5"/>
        <v>2010000</v>
      </c>
      <c r="N30" s="19" t="s">
        <v>92</v>
      </c>
      <c r="O30" s="4">
        <f t="shared" si="6"/>
        <v>474.96422214957687</v>
      </c>
      <c r="P30" s="13">
        <f>'1990-10'!P30</f>
        <v>1307624</v>
      </c>
      <c r="Q30" s="22">
        <f t="shared" si="7"/>
        <v>7254074.4009872535</v>
      </c>
      <c r="R30" s="13">
        <f t="shared" si="8"/>
        <v>1307624</v>
      </c>
    </row>
    <row r="31" spans="1:18">
      <c r="A31" s="18" t="s">
        <v>46</v>
      </c>
      <c r="B31" s="4">
        <f>'1990-10'!B31</f>
        <v>63.734436519319452</v>
      </c>
      <c r="C31" s="4">
        <f>'1990-10'!C31</f>
        <v>66.283813980092233</v>
      </c>
      <c r="D31" s="16">
        <f t="shared" si="9"/>
        <v>84979.248692425928</v>
      </c>
      <c r="E31" s="4">
        <f>'Interval Circuities'!I31</f>
        <v>1.2583035105280034</v>
      </c>
      <c r="F31" s="4">
        <f t="shared" si="0"/>
        <v>50.651083769587125</v>
      </c>
      <c r="G31" s="4">
        <f t="shared" si="1"/>
        <v>67.53477835944949</v>
      </c>
      <c r="H31" s="4">
        <f t="shared" si="2"/>
        <v>14328.635351986828</v>
      </c>
      <c r="I31" s="4">
        <f t="shared" si="3"/>
        <v>451.20587765532662</v>
      </c>
      <c r="J31" s="9">
        <f>'1990-10'!J31</f>
        <v>1252.2</v>
      </c>
      <c r="K31" s="9">
        <f>'1990-10'!K31</f>
        <v>565000</v>
      </c>
      <c r="L31" s="22">
        <f t="shared" si="4"/>
        <v>6465164.4895963566</v>
      </c>
      <c r="M31" s="22">
        <f t="shared" si="5"/>
        <v>565000</v>
      </c>
      <c r="N31" s="19" t="s">
        <v>92</v>
      </c>
      <c r="O31" s="4">
        <f t="shared" si="6"/>
        <v>395.8768567321514</v>
      </c>
      <c r="P31" s="13">
        <f>'1990-10'!P31</f>
        <v>495717</v>
      </c>
      <c r="Q31" s="22">
        <f t="shared" si="7"/>
        <v>5672375.1244057296</v>
      </c>
      <c r="R31" s="13">
        <f t="shared" si="8"/>
        <v>495717</v>
      </c>
    </row>
    <row r="32" spans="1:18">
      <c r="A32" s="18" t="s">
        <v>47</v>
      </c>
      <c r="B32" s="4">
        <f>'1990-10'!B32</f>
        <v>62.636693012318808</v>
      </c>
      <c r="C32" s="4">
        <f>'1990-10'!C32</f>
        <v>65.142160732811561</v>
      </c>
      <c r="D32" s="16">
        <f t="shared" si="9"/>
        <v>83515.590683091737</v>
      </c>
      <c r="E32" s="4">
        <f>'Interval Circuities'!I32</f>
        <v>1.2934036196515124</v>
      </c>
      <c r="F32" s="4">
        <f t="shared" si="0"/>
        <v>48.427800928217053</v>
      </c>
      <c r="G32" s="4">
        <f t="shared" si="1"/>
        <v>64.570401237622733</v>
      </c>
      <c r="H32" s="4">
        <f t="shared" si="2"/>
        <v>13098.357597288812</v>
      </c>
      <c r="I32" s="4">
        <f t="shared" si="3"/>
        <v>1501.072194424589</v>
      </c>
      <c r="J32" s="9">
        <f>'1990-10'!J32</f>
        <v>699.5</v>
      </c>
      <c r="K32" s="9">
        <f>'1990-10'!K32</f>
        <v>1050000</v>
      </c>
      <c r="L32" s="22">
        <f t="shared" si="4"/>
        <v>19661580.381920304</v>
      </c>
      <c r="M32" s="22">
        <f t="shared" si="5"/>
        <v>1050000</v>
      </c>
      <c r="N32" s="19" t="s">
        <v>92</v>
      </c>
      <c r="O32" s="4">
        <f t="shared" si="6"/>
        <v>735.84846318799146</v>
      </c>
      <c r="P32" s="13">
        <f>'1990-10'!P32</f>
        <v>514726</v>
      </c>
      <c r="Q32" s="22">
        <f t="shared" si="7"/>
        <v>9638406.3082517255</v>
      </c>
      <c r="R32" s="13">
        <f t="shared" si="8"/>
        <v>514726</v>
      </c>
    </row>
    <row r="33" spans="1:18">
      <c r="A33" s="18" t="s">
        <v>65</v>
      </c>
      <c r="B33" s="4">
        <f>'1990-10'!B33</f>
        <v>59.42988867805861</v>
      </c>
      <c r="C33" s="4">
        <f>'1990-10'!C33</f>
        <v>62.40138311196155</v>
      </c>
      <c r="D33" s="16">
        <f t="shared" si="9"/>
        <v>79239.85157074481</v>
      </c>
      <c r="E33" s="4">
        <f>'Interval Circuities'!I33</f>
        <v>1.226367172907711</v>
      </c>
      <c r="F33" s="4">
        <f t="shared" si="0"/>
        <v>48.460110471768921</v>
      </c>
      <c r="G33" s="4">
        <f t="shared" si="1"/>
        <v>64.613480629025219</v>
      </c>
      <c r="H33" s="4">
        <f t="shared" si="2"/>
        <v>13115.841072516509</v>
      </c>
      <c r="I33" s="4">
        <f t="shared" si="3"/>
        <v>2072.7310590777161</v>
      </c>
      <c r="J33" s="9">
        <f>'1990-10'!J33</f>
        <v>7683.1</v>
      </c>
      <c r="K33" s="9">
        <f>'1990-10'!K33</f>
        <v>15925000</v>
      </c>
      <c r="L33" s="22">
        <f t="shared" si="4"/>
        <v>27185611.156932149</v>
      </c>
      <c r="M33" s="22">
        <f t="shared" si="5"/>
        <v>15925000</v>
      </c>
      <c r="N33" s="19" t="s">
        <v>92</v>
      </c>
      <c r="O33" s="4">
        <f t="shared" si="6"/>
        <v>1112.8936236675299</v>
      </c>
      <c r="P33" s="13">
        <f>'1990-10'!P33</f>
        <v>8550473</v>
      </c>
      <c r="Q33" s="22">
        <f t="shared" si="7"/>
        <v>14596535.89864032</v>
      </c>
      <c r="R33" s="13">
        <f t="shared" si="8"/>
        <v>8550473</v>
      </c>
    </row>
    <row r="34" spans="1:18">
      <c r="A34" s="18" t="s">
        <v>66</v>
      </c>
      <c r="B34" s="4">
        <f>'1990-10'!B34</f>
        <v>69.714425398287744</v>
      </c>
      <c r="C34" s="4">
        <f>'1990-10'!C34</f>
        <v>72.503002414219253</v>
      </c>
      <c r="D34" s="16">
        <f t="shared" si="9"/>
        <v>92952.567197716984</v>
      </c>
      <c r="E34" s="4">
        <f>'Interval Circuities'!I34</f>
        <v>1.2453602734229849</v>
      </c>
      <c r="F34" s="4">
        <f t="shared" si="0"/>
        <v>55.97932332197442</v>
      </c>
      <c r="G34" s="4">
        <f t="shared" si="1"/>
        <v>74.639097762632559</v>
      </c>
      <c r="H34" s="4">
        <f t="shared" si="2"/>
        <v>17501.796697584046</v>
      </c>
      <c r="I34" s="4">
        <f t="shared" si="3"/>
        <v>411.8665313675163</v>
      </c>
      <c r="J34" s="9">
        <f>'1990-10'!J34</f>
        <v>1675.3</v>
      </c>
      <c r="K34" s="9">
        <f>'1990-10'!K34</f>
        <v>690000</v>
      </c>
      <c r="L34" s="22">
        <f t="shared" si="4"/>
        <v>7208404.2985333931</v>
      </c>
      <c r="M34" s="22">
        <f t="shared" si="5"/>
        <v>690000</v>
      </c>
      <c r="N34" s="19" t="s">
        <v>92</v>
      </c>
      <c r="O34" s="4">
        <f t="shared" si="6"/>
        <v>268.68143019160749</v>
      </c>
      <c r="P34" s="13">
        <f>'1990-10'!P34</f>
        <v>450122</v>
      </c>
      <c r="Q34" s="22">
        <f t="shared" si="7"/>
        <v>4702407.7676296346</v>
      </c>
      <c r="R34" s="13">
        <f t="shared" si="8"/>
        <v>450122</v>
      </c>
    </row>
    <row r="35" spans="1:18">
      <c r="A35" s="18" t="s">
        <v>48</v>
      </c>
      <c r="B35" s="4">
        <f>'1990-10'!B35</f>
        <v>58.78311324728174</v>
      </c>
      <c r="C35" s="4">
        <f>'1990-10'!C35</f>
        <v>61.722268909645827</v>
      </c>
      <c r="D35" s="16">
        <f t="shared" si="9"/>
        <v>78377.484329708983</v>
      </c>
      <c r="E35" s="4">
        <f>'Interval Circuities'!I35</f>
        <v>1.2929926440222419</v>
      </c>
      <c r="F35" s="4">
        <f t="shared" si="0"/>
        <v>45.462836559084522</v>
      </c>
      <c r="G35" s="4">
        <f t="shared" si="1"/>
        <v>60.617115412112696</v>
      </c>
      <c r="H35" s="4">
        <f t="shared" si="2"/>
        <v>11543.576999565099</v>
      </c>
      <c r="I35" s="4">
        <f t="shared" si="3"/>
        <v>841.40495059191858</v>
      </c>
      <c r="J35" s="9">
        <f>'1990-10'!J35</f>
        <v>1022.1</v>
      </c>
      <c r="K35" s="9">
        <f>'1990-10'!K35</f>
        <v>860000</v>
      </c>
      <c r="L35" s="22">
        <f t="shared" si="4"/>
        <v>9712822.8349730801</v>
      </c>
      <c r="M35" s="22">
        <f t="shared" si="5"/>
        <v>860000</v>
      </c>
      <c r="N35" s="19" t="s">
        <v>92</v>
      </c>
      <c r="O35" s="4">
        <f t="shared" si="6"/>
        <v>545.39477546228352</v>
      </c>
      <c r="P35" s="13">
        <f>'1990-10'!P35</f>
        <v>557448</v>
      </c>
      <c r="Q35" s="22">
        <f t="shared" si="7"/>
        <v>6295806.5857093874</v>
      </c>
      <c r="R35" s="13">
        <f t="shared" si="8"/>
        <v>557448</v>
      </c>
    </row>
    <row r="36" spans="1:18">
      <c r="A36" s="18" t="s">
        <v>67</v>
      </c>
      <c r="B36" s="4">
        <f>'1990-10'!B36</f>
        <v>63.176257053555211</v>
      </c>
      <c r="C36" s="4">
        <f>'1990-10'!C36</f>
        <v>66.966832476768531</v>
      </c>
      <c r="D36" s="16">
        <f t="shared" si="9"/>
        <v>84235.009404740282</v>
      </c>
      <c r="E36" s="4">
        <f>'Interval Circuities'!I36</f>
        <v>1.1537358360102858</v>
      </c>
      <c r="F36" s="4">
        <f t="shared" si="0"/>
        <v>54.757991458446803</v>
      </c>
      <c r="G36" s="4">
        <f t="shared" si="1"/>
        <v>73.010655277929061</v>
      </c>
      <c r="H36" s="4">
        <f t="shared" si="2"/>
        <v>16746.434890918696</v>
      </c>
      <c r="I36" s="4">
        <f t="shared" si="3"/>
        <v>1518.9201737803867</v>
      </c>
      <c r="J36" s="9">
        <f>'1990-10'!J36</f>
        <v>3015.3</v>
      </c>
      <c r="K36" s="9">
        <f>'1990-10'!K36</f>
        <v>4580000</v>
      </c>
      <c r="L36" s="22">
        <f t="shared" si="4"/>
        <v>25436497.794716157</v>
      </c>
      <c r="M36" s="22">
        <f t="shared" si="5"/>
        <v>4580000</v>
      </c>
      <c r="N36" s="19" t="s">
        <v>92</v>
      </c>
      <c r="O36" s="4">
        <f t="shared" si="6"/>
        <v>926.91175007461936</v>
      </c>
      <c r="P36" s="13">
        <f>'1990-10'!P36</f>
        <v>2794917</v>
      </c>
      <c r="Q36" s="22">
        <f t="shared" si="7"/>
        <v>15522467.272252116</v>
      </c>
      <c r="R36" s="13">
        <f t="shared" si="8"/>
        <v>2794917</v>
      </c>
    </row>
    <row r="37" spans="1:18">
      <c r="A37" s="18" t="s">
        <v>49</v>
      </c>
      <c r="B37" s="4">
        <f>'1990-10'!B37</f>
        <v>62.02920484038443</v>
      </c>
      <c r="C37" s="4">
        <f>'1990-10'!C37</f>
        <v>65.130665082403652</v>
      </c>
      <c r="D37" s="16">
        <f t="shared" si="9"/>
        <v>82705.606453845903</v>
      </c>
      <c r="E37" s="4">
        <f>'Interval Circuities'!I37</f>
        <v>1.2498088103824545</v>
      </c>
      <c r="F37" s="4">
        <f t="shared" si="0"/>
        <v>49.630955010953116</v>
      </c>
      <c r="G37" s="4">
        <f t="shared" si="1"/>
        <v>66.174606681270816</v>
      </c>
      <c r="H37" s="4">
        <f t="shared" si="2"/>
        <v>13757.281063185177</v>
      </c>
      <c r="I37" s="4">
        <f t="shared" si="3"/>
        <v>987.28769407106381</v>
      </c>
      <c r="J37" s="9">
        <f>'1990-10'!J37</f>
        <v>1919.4</v>
      </c>
      <c r="K37" s="9">
        <f>'1990-10'!K37</f>
        <v>1895000</v>
      </c>
      <c r="L37" s="22">
        <f t="shared" si="4"/>
        <v>13582394.297559606</v>
      </c>
      <c r="M37" s="22">
        <f t="shared" si="5"/>
        <v>1895000</v>
      </c>
      <c r="N37" s="19" t="s">
        <v>92</v>
      </c>
      <c r="O37" s="4">
        <f t="shared" si="6"/>
        <v>519.17005314160667</v>
      </c>
      <c r="P37" s="13">
        <f>'1990-10'!P37</f>
        <v>996495</v>
      </c>
      <c r="Q37" s="22">
        <f t="shared" si="7"/>
        <v>7142368.3406578675</v>
      </c>
      <c r="R37" s="13">
        <f t="shared" si="8"/>
        <v>996495</v>
      </c>
    </row>
    <row r="38" spans="1:18">
      <c r="A38" s="18" t="s">
        <v>50</v>
      </c>
      <c r="B38" s="4">
        <f>'1990-10'!B38</f>
        <v>65.42916793409438</v>
      </c>
      <c r="C38" s="4">
        <f>'1990-10'!C38</f>
        <v>68.700626330799111</v>
      </c>
      <c r="D38" s="16">
        <f t="shared" si="9"/>
        <v>87238.890578792503</v>
      </c>
      <c r="E38" s="4">
        <f>'Interval Circuities'!I38</f>
        <v>1.2360973278953262</v>
      </c>
      <c r="F38" s="4">
        <f t="shared" si="0"/>
        <v>52.932051916574466</v>
      </c>
      <c r="G38" s="4">
        <f t="shared" si="1"/>
        <v>70.576069222099278</v>
      </c>
      <c r="H38" s="4">
        <f t="shared" si="2"/>
        <v>15648.215035226875</v>
      </c>
      <c r="I38" s="4">
        <f t="shared" si="3"/>
        <v>883.28701865819767</v>
      </c>
      <c r="J38" s="9">
        <f>'1990-10'!J38</f>
        <v>2015.2</v>
      </c>
      <c r="K38" s="9">
        <f>'1990-10'!K38</f>
        <v>1780000</v>
      </c>
      <c r="L38" s="22">
        <f t="shared" si="4"/>
        <v>13821865.205787929</v>
      </c>
      <c r="M38" s="22">
        <f t="shared" si="5"/>
        <v>1780000</v>
      </c>
      <c r="N38" s="19" t="s">
        <v>92</v>
      </c>
      <c r="O38" s="4">
        <f t="shared" si="6"/>
        <v>474.4710202461294</v>
      </c>
      <c r="P38" s="13">
        <f>'1990-10'!P38</f>
        <v>956154</v>
      </c>
      <c r="Q38" s="22">
        <f t="shared" si="7"/>
        <v>7424624.5527949166</v>
      </c>
      <c r="R38" s="13">
        <f t="shared" si="8"/>
        <v>956154</v>
      </c>
    </row>
    <row r="39" spans="1:18">
      <c r="A39" s="18" t="s">
        <v>51</v>
      </c>
      <c r="B39" s="4">
        <f>'1990-10'!B39</f>
        <v>65.140770915733583</v>
      </c>
      <c r="C39" s="4">
        <f>'1990-10'!C39</f>
        <v>68.397809461520268</v>
      </c>
      <c r="D39" s="16">
        <f t="shared" si="9"/>
        <v>86854.361220978113</v>
      </c>
      <c r="E39" s="4">
        <f>'Interval Circuities'!I39</f>
        <v>1.4067225747834864</v>
      </c>
      <c r="F39" s="4">
        <f t="shared" si="0"/>
        <v>46.306764449102289</v>
      </c>
      <c r="G39" s="4">
        <f t="shared" si="1"/>
        <v>61.742352598803052</v>
      </c>
      <c r="H39" s="4">
        <f t="shared" si="2"/>
        <v>11976.122231509398</v>
      </c>
      <c r="I39" s="4">
        <f t="shared" si="3"/>
        <v>1184.1974325803562</v>
      </c>
      <c r="J39" s="9">
        <f>'1990-10'!J39</f>
        <v>1004.9</v>
      </c>
      <c r="K39" s="9">
        <f>'1990-10'!K39</f>
        <v>1190000</v>
      </c>
      <c r="L39" s="22">
        <f t="shared" si="4"/>
        <v>14182093.198821956</v>
      </c>
      <c r="M39" s="22">
        <f t="shared" si="5"/>
        <v>1190000</v>
      </c>
      <c r="N39" s="19" t="s">
        <v>92</v>
      </c>
      <c r="O39" s="4">
        <f t="shared" si="6"/>
        <v>720.99910438849633</v>
      </c>
      <c r="P39" s="13">
        <f>'1990-10'!P39</f>
        <v>724532</v>
      </c>
      <c r="Q39" s="22">
        <f t="shared" si="7"/>
        <v>8634773.4029654358</v>
      </c>
      <c r="R39" s="13">
        <f t="shared" si="8"/>
        <v>724532</v>
      </c>
    </row>
    <row r="40" spans="1:18">
      <c r="A40" s="18" t="s">
        <v>52</v>
      </c>
      <c r="B40" s="4">
        <f>'1990-10'!B40</f>
        <v>70.338872065042395</v>
      </c>
      <c r="C40" s="4">
        <f>'1990-10'!C40</f>
        <v>75.262593109595372</v>
      </c>
      <c r="D40" s="16">
        <f t="shared" si="9"/>
        <v>93785.162753389857</v>
      </c>
      <c r="E40" s="4">
        <f>'Interval Circuities'!I40</f>
        <v>1.2777037231788928</v>
      </c>
      <c r="F40" s="4">
        <f t="shared" si="0"/>
        <v>55.051003443929204</v>
      </c>
      <c r="G40" s="4">
        <f t="shared" si="1"/>
        <v>73.401337925238934</v>
      </c>
      <c r="H40" s="4">
        <f t="shared" si="2"/>
        <v>16926.135954521542</v>
      </c>
      <c r="I40" s="4">
        <f t="shared" si="3"/>
        <v>1415.4601861427093</v>
      </c>
      <c r="J40" s="9">
        <f>'1990-10'!J40</f>
        <v>773.6</v>
      </c>
      <c r="K40" s="9">
        <f>'1990-10'!K40</f>
        <v>1095000</v>
      </c>
      <c r="L40" s="22">
        <f t="shared" si="4"/>
        <v>23958271.548863865</v>
      </c>
      <c r="M40" s="22">
        <f t="shared" si="5"/>
        <v>1095000</v>
      </c>
      <c r="N40" s="19" t="s">
        <v>92</v>
      </c>
      <c r="O40" s="4">
        <f t="shared" si="6"/>
        <v>704.06928645294727</v>
      </c>
      <c r="P40" s="13">
        <f>'1990-10'!P40</f>
        <v>544668</v>
      </c>
      <c r="Q40" s="22">
        <f t="shared" si="7"/>
        <v>11917172.463905558</v>
      </c>
      <c r="R40" s="13">
        <f t="shared" si="8"/>
        <v>544668</v>
      </c>
    </row>
    <row r="41" spans="1:18">
      <c r="A41" s="18" t="s">
        <v>53</v>
      </c>
      <c r="B41" s="4">
        <f>'1990-10'!B41</f>
        <v>68.778714095226661</v>
      </c>
      <c r="C41" s="4">
        <f>'1990-10'!C41</f>
        <v>74.281011222844796</v>
      </c>
      <c r="D41" s="16">
        <f t="shared" si="9"/>
        <v>91704.95212696887</v>
      </c>
      <c r="E41" s="4">
        <f>'Interval Circuities'!I41</f>
        <v>1.1824888896863308</v>
      </c>
      <c r="F41" s="4">
        <f t="shared" si="0"/>
        <v>58.164363906599604</v>
      </c>
      <c r="G41" s="4">
        <f t="shared" si="1"/>
        <v>77.552485208799467</v>
      </c>
      <c r="H41" s="4">
        <f t="shared" si="2"/>
        <v>18894.757037449916</v>
      </c>
      <c r="I41" s="4">
        <f t="shared" si="3"/>
        <v>1097.213078779899</v>
      </c>
      <c r="J41" s="9">
        <f>'1990-10'!J41</f>
        <v>455.7</v>
      </c>
      <c r="K41" s="9">
        <f>'1990-10'!K41</f>
        <v>500000</v>
      </c>
      <c r="L41" s="22">
        <f t="shared" si="4"/>
        <v>20731574.541858584</v>
      </c>
      <c r="M41" s="22">
        <f t="shared" si="5"/>
        <v>500000</v>
      </c>
      <c r="N41" s="19" t="s">
        <v>92</v>
      </c>
      <c r="O41" s="4">
        <f t="shared" si="6"/>
        <v>877.11432960280888</v>
      </c>
      <c r="P41" s="13">
        <f>'1990-10'!P41</f>
        <v>399701</v>
      </c>
      <c r="Q41" s="22">
        <f t="shared" si="7"/>
        <v>16572862.151910838</v>
      </c>
      <c r="R41" s="13">
        <f t="shared" si="8"/>
        <v>399701</v>
      </c>
    </row>
    <row r="42" spans="1:18">
      <c r="A42" s="18" t="s">
        <v>82</v>
      </c>
      <c r="B42" s="4">
        <f>'1990-10'!B42</f>
        <v>70.514936537683639</v>
      </c>
      <c r="C42" s="4">
        <f>'1990-10'!C42</f>
        <v>78.27157955682884</v>
      </c>
      <c r="D42" s="16">
        <f t="shared" si="9"/>
        <v>94019.915383578176</v>
      </c>
      <c r="E42" s="4">
        <f>'Interval Circuities'!I42</f>
        <v>1.1915082714674636</v>
      </c>
      <c r="F42" s="4">
        <f t="shared" si="0"/>
        <v>59.18123963238402</v>
      </c>
      <c r="G42" s="4">
        <f t="shared" si="1"/>
        <v>78.908319509845356</v>
      </c>
      <c r="H42" s="4">
        <f t="shared" si="2"/>
        <v>19561.19856193431</v>
      </c>
      <c r="I42" s="4">
        <f t="shared" si="3"/>
        <v>1079.1366906474821</v>
      </c>
      <c r="J42" s="9">
        <f>'1990-10'!J42</f>
        <v>569.9</v>
      </c>
      <c r="K42" s="9">
        <f>'1990-10'!K42</f>
        <v>615000</v>
      </c>
      <c r="L42" s="22">
        <f t="shared" si="4"/>
        <v>21109207.081224076</v>
      </c>
      <c r="M42" s="22">
        <f t="shared" si="5"/>
        <v>615000</v>
      </c>
      <c r="N42" s="19" t="s">
        <v>92</v>
      </c>
      <c r="O42" s="4">
        <f t="shared" si="6"/>
        <v>844.82716266011585</v>
      </c>
      <c r="P42" s="13">
        <f>'1990-10'!P42</f>
        <v>481467</v>
      </c>
      <c r="Q42" s="22">
        <f t="shared" si="7"/>
        <v>16525831.879310101</v>
      </c>
      <c r="R42" s="13">
        <f t="shared" si="8"/>
        <v>481467</v>
      </c>
    </row>
    <row r="43" spans="1:18">
      <c r="A43" s="18" t="s">
        <v>54</v>
      </c>
      <c r="B43" s="4">
        <f>'1990-10'!B43</f>
        <v>61.557786724693997</v>
      </c>
      <c r="C43" s="4">
        <f>'1990-10'!C43</f>
        <v>68.329143264410348</v>
      </c>
      <c r="D43" s="16">
        <f t="shared" si="9"/>
        <v>82077.048966258662</v>
      </c>
      <c r="E43" s="4">
        <f>'Interval Circuities'!I43</f>
        <v>1.4240532472781748</v>
      </c>
      <c r="F43" s="4">
        <f t="shared" si="0"/>
        <v>43.227166429591584</v>
      </c>
      <c r="G43" s="4">
        <f t="shared" si="1"/>
        <v>57.63622190612211</v>
      </c>
      <c r="H43" s="4">
        <f t="shared" si="2"/>
        <v>10436.163687651475</v>
      </c>
      <c r="I43" s="4">
        <f t="shared" si="3"/>
        <v>1272.1174973979414</v>
      </c>
      <c r="J43" s="9">
        <f>'1990-10'!J43</f>
        <v>864.7</v>
      </c>
      <c r="K43" s="9">
        <f>'1990-10'!K43</f>
        <v>1100000</v>
      </c>
      <c r="L43" s="22">
        <f t="shared" si="4"/>
        <v>13276026.432770466</v>
      </c>
      <c r="M43" s="22">
        <f t="shared" si="5"/>
        <v>1100000</v>
      </c>
      <c r="N43" s="19" t="s">
        <v>92</v>
      </c>
      <c r="O43" s="4">
        <f t="shared" si="6"/>
        <v>793.27512432057358</v>
      </c>
      <c r="P43" s="13">
        <f>'1990-10'!P43</f>
        <v>685945</v>
      </c>
      <c r="Q43" s="22">
        <f t="shared" si="7"/>
        <v>8278749.0467515793</v>
      </c>
      <c r="R43" s="13">
        <f t="shared" si="8"/>
        <v>685945</v>
      </c>
    </row>
    <row r="44" spans="1:18">
      <c r="A44" s="18" t="s">
        <v>55</v>
      </c>
      <c r="B44" s="4">
        <f>'1990-10'!B44</f>
        <v>65.143959367039756</v>
      </c>
      <c r="C44" s="4">
        <f>'1990-10'!C44</f>
        <v>73.612674084754914</v>
      </c>
      <c r="D44" s="16">
        <f t="shared" si="9"/>
        <v>86858.612489386331</v>
      </c>
      <c r="E44" s="4">
        <f>'Interval Circuities'!I44</f>
        <v>1.3585092754758687</v>
      </c>
      <c r="F44" s="4">
        <f t="shared" si="0"/>
        <v>47.952531898776066</v>
      </c>
      <c r="G44" s="4">
        <f t="shared" si="1"/>
        <v>63.936709198368085</v>
      </c>
      <c r="H44" s="4">
        <f t="shared" si="2"/>
        <v>12842.52535202865</v>
      </c>
      <c r="I44" s="4">
        <f t="shared" si="3"/>
        <v>1215.620726333384</v>
      </c>
      <c r="J44" s="9">
        <f>'1990-10'!J44</f>
        <v>658.1</v>
      </c>
      <c r="K44" s="9">
        <f>'1990-10'!K44</f>
        <v>800000</v>
      </c>
      <c r="L44" s="22">
        <f t="shared" si="4"/>
        <v>15611639.996387966</v>
      </c>
      <c r="M44" s="22">
        <f t="shared" si="5"/>
        <v>800000</v>
      </c>
      <c r="N44" s="19" t="s">
        <v>92</v>
      </c>
      <c r="O44" s="4">
        <f t="shared" si="6"/>
        <v>728.36650964898945</v>
      </c>
      <c r="P44" s="13">
        <f>'1990-10'!P44</f>
        <v>479338</v>
      </c>
      <c r="Q44" s="22">
        <f t="shared" si="7"/>
        <v>9354065.3657357674</v>
      </c>
      <c r="R44" s="13">
        <f t="shared" si="8"/>
        <v>479338</v>
      </c>
    </row>
    <row r="45" spans="1:18">
      <c r="A45" s="18" t="s">
        <v>68</v>
      </c>
      <c r="B45" s="4">
        <f>'1990-10'!B45</f>
        <v>68.131157212250471</v>
      </c>
      <c r="C45" s="4">
        <f>'1990-10'!C45</f>
        <v>77.66951922196553</v>
      </c>
      <c r="D45" s="16">
        <f t="shared" si="9"/>
        <v>90841.542949667288</v>
      </c>
      <c r="E45" s="4">
        <f>'Interval Circuities'!I45</f>
        <v>1.2672119287543748</v>
      </c>
      <c r="F45" s="4">
        <f t="shared" si="0"/>
        <v>53.764611637787397</v>
      </c>
      <c r="G45" s="4">
        <f t="shared" si="1"/>
        <v>71.686148850383191</v>
      </c>
      <c r="H45" s="4">
        <f t="shared" si="2"/>
        <v>16144.342855980651</v>
      </c>
      <c r="I45" s="4">
        <f t="shared" si="3"/>
        <v>1031.2913177611283</v>
      </c>
      <c r="J45" s="9">
        <f>'1990-10'!J45</f>
        <v>1134.5</v>
      </c>
      <c r="K45" s="9">
        <f>'1990-10'!K45</f>
        <v>1170000</v>
      </c>
      <c r="L45" s="22">
        <f t="shared" si="4"/>
        <v>16649520.618331743</v>
      </c>
      <c r="M45" s="22">
        <f t="shared" si="5"/>
        <v>1170000</v>
      </c>
      <c r="N45" s="19" t="s">
        <v>92</v>
      </c>
      <c r="O45" s="4">
        <f t="shared" si="6"/>
        <v>501.67386513882769</v>
      </c>
      <c r="P45" s="13">
        <f>'1990-10'!P45</f>
        <v>569149</v>
      </c>
      <c r="Q45" s="22">
        <f t="shared" si="7"/>
        <v>8099194.8806862338</v>
      </c>
      <c r="R45" s="13">
        <f t="shared" si="8"/>
        <v>569149</v>
      </c>
    </row>
    <row r="46" spans="1:18">
      <c r="A46" s="18" t="s">
        <v>69</v>
      </c>
      <c r="B46" s="4">
        <f>'1990-10'!B46</f>
        <v>59.330043396898148</v>
      </c>
      <c r="C46" s="4">
        <f>'1990-10'!C46</f>
        <v>68.229549906432865</v>
      </c>
      <c r="D46" s="16">
        <f t="shared" si="9"/>
        <v>79106.724529197527</v>
      </c>
      <c r="E46" s="4">
        <f>'Interval Circuities'!I46</f>
        <v>1.4158730357637557</v>
      </c>
      <c r="F46" s="4">
        <f t="shared" si="0"/>
        <v>41.903505397921577</v>
      </c>
      <c r="G46" s="4">
        <f t="shared" si="1"/>
        <v>55.871340530562101</v>
      </c>
      <c r="H46" s="4">
        <f t="shared" si="2"/>
        <v>9806.8166531265997</v>
      </c>
      <c r="I46" s="4">
        <f t="shared" si="3"/>
        <v>1283.9160839160838</v>
      </c>
      <c r="J46" s="9">
        <f>'1990-10'!J46</f>
        <v>1787.5</v>
      </c>
      <c r="K46" s="9">
        <f>'1990-10'!K46</f>
        <v>2295000</v>
      </c>
      <c r="L46" s="22">
        <f t="shared" si="4"/>
        <v>12591129.632965339</v>
      </c>
      <c r="M46" s="22">
        <f t="shared" si="5"/>
        <v>2295000</v>
      </c>
      <c r="N46" s="19" t="s">
        <v>92</v>
      </c>
      <c r="O46" s="4">
        <f t="shared" si="6"/>
        <v>688.36139860139861</v>
      </c>
      <c r="P46" s="13">
        <f>'1990-10'!P46</f>
        <v>1230446</v>
      </c>
      <c r="Q46" s="22">
        <f t="shared" si="7"/>
        <v>6750634.0271737128</v>
      </c>
      <c r="R46" s="13">
        <f t="shared" si="8"/>
        <v>1230446</v>
      </c>
    </row>
    <row r="47" spans="1:18" ht="16">
      <c r="A47" s="18" t="s">
        <v>114</v>
      </c>
      <c r="B47" s="4">
        <f>'1990-10'!B47</f>
        <v>53.936325276944842</v>
      </c>
      <c r="C47" s="4">
        <f>'1990-10'!C47</f>
        <v>62.026774068486567</v>
      </c>
      <c r="D47" s="16">
        <f t="shared" si="9"/>
        <v>71915.100369259788</v>
      </c>
      <c r="E47" s="4">
        <f>'Interval Circuities'!I47</f>
        <v>1.3613612725155106</v>
      </c>
      <c r="F47" s="4">
        <f t="shared" si="0"/>
        <v>39.619406226593917</v>
      </c>
      <c r="G47" s="4">
        <f t="shared" si="1"/>
        <v>52.825874968791886</v>
      </c>
      <c r="H47" s="4">
        <f t="shared" si="2"/>
        <v>8766.8438441373728</v>
      </c>
      <c r="I47" s="4">
        <f t="shared" si="3"/>
        <v>1623.3049162948894</v>
      </c>
      <c r="J47" s="9">
        <f>'1990-10'!J47</f>
        <v>2263.9</v>
      </c>
      <c r="K47" s="9">
        <f>'1990-10'!K47</f>
        <v>3675000</v>
      </c>
      <c r="L47" s="22">
        <f t="shared" si="4"/>
        <v>14231260.712577784</v>
      </c>
      <c r="M47" s="22">
        <f t="shared" si="5"/>
        <v>3675000</v>
      </c>
      <c r="N47" s="19" t="s">
        <v>92</v>
      </c>
      <c r="O47" s="4">
        <f t="shared" si="6"/>
        <v>870.35072220504435</v>
      </c>
      <c r="P47" s="13">
        <f>'1990-10'!P47</f>
        <v>1970387</v>
      </c>
      <c r="Q47" s="22">
        <f t="shared" si="7"/>
        <v>7630228.87120381</v>
      </c>
      <c r="R47" s="13">
        <f t="shared" si="8"/>
        <v>1970387</v>
      </c>
    </row>
    <row r="48" spans="1:18" ht="16">
      <c r="A48" s="18" t="s">
        <v>72</v>
      </c>
      <c r="B48" s="4">
        <f>'1990-10'!B48</f>
        <v>57.58663731743308</v>
      </c>
      <c r="C48" s="4">
        <f>'1990-10'!C48</f>
        <v>66.800499288222369</v>
      </c>
      <c r="D48" s="16">
        <f t="shared" si="9"/>
        <v>76782.183089910774</v>
      </c>
      <c r="E48" s="4">
        <f>'Interval Circuities'!I48</f>
        <v>1.3870483808267393</v>
      </c>
      <c r="F48" s="4">
        <f t="shared" si="0"/>
        <v>41.517396302433959</v>
      </c>
      <c r="G48" s="4">
        <f t="shared" si="1"/>
        <v>55.356528403245278</v>
      </c>
      <c r="H48" s="4">
        <f t="shared" si="2"/>
        <v>9626.9244841800555</v>
      </c>
      <c r="I48" s="4">
        <f t="shared" si="3"/>
        <v>1608.4873374401095</v>
      </c>
      <c r="J48" s="9">
        <f>'1990-10'!J48</f>
        <v>876.6</v>
      </c>
      <c r="K48" s="9">
        <f>'1990-10'!K48</f>
        <v>1410000</v>
      </c>
      <c r="L48" s="22">
        <f t="shared" si="4"/>
        <v>15484786.131295778</v>
      </c>
      <c r="M48" s="22">
        <f t="shared" si="5"/>
        <v>1410000</v>
      </c>
      <c r="N48" s="19" t="s">
        <v>92</v>
      </c>
      <c r="O48" s="4">
        <f t="shared" si="6"/>
        <v>1079.5836185261237</v>
      </c>
      <c r="P48" s="13">
        <f>'1990-10'!P48</f>
        <v>946363</v>
      </c>
      <c r="Q48" s="22">
        <f t="shared" si="7"/>
        <v>10393069.969908841</v>
      </c>
      <c r="R48" s="13">
        <f t="shared" si="8"/>
        <v>946363</v>
      </c>
    </row>
    <row r="49" spans="1:18">
      <c r="A49" s="18" t="s">
        <v>56</v>
      </c>
      <c r="B49" s="4">
        <f>'1990-10'!B49</f>
        <v>57.751551670614234</v>
      </c>
      <c r="C49" s="4">
        <f>'1990-10'!C49</f>
        <v>67.569315454618646</v>
      </c>
      <c r="D49" s="16">
        <f t="shared" si="9"/>
        <v>77002.068894152297</v>
      </c>
      <c r="E49" s="4">
        <f>'Interval Circuities'!I49</f>
        <v>1.4027150253194258</v>
      </c>
      <c r="F49" s="4">
        <f t="shared" si="0"/>
        <v>41.171264745997192</v>
      </c>
      <c r="G49" s="4">
        <f t="shared" si="1"/>
        <v>54.895019661329584</v>
      </c>
      <c r="H49" s="4">
        <f t="shared" si="2"/>
        <v>9467.0737995168711</v>
      </c>
      <c r="I49" s="4">
        <f t="shared" si="3"/>
        <v>1477.6384054639784</v>
      </c>
      <c r="J49" s="9">
        <f>'1990-10'!J49</f>
        <v>1522.7</v>
      </c>
      <c r="K49" s="9">
        <f>'1990-10'!K49</f>
        <v>2250000</v>
      </c>
      <c r="L49" s="22">
        <f t="shared" si="4"/>
        <v>13988911.833527917</v>
      </c>
      <c r="M49" s="22">
        <f t="shared" si="5"/>
        <v>2250000</v>
      </c>
      <c r="N49" s="19" t="s">
        <v>92</v>
      </c>
      <c r="O49" s="4">
        <f t="shared" si="6"/>
        <v>859.22243383463581</v>
      </c>
      <c r="P49" s="13">
        <f>'1990-10'!P49</f>
        <v>1308338</v>
      </c>
      <c r="Q49" s="22">
        <f t="shared" si="7"/>
        <v>8134322.1913129985</v>
      </c>
      <c r="R49" s="13">
        <f t="shared" si="8"/>
        <v>1308338</v>
      </c>
    </row>
    <row r="50" spans="1:18">
      <c r="A50" s="18" t="s">
        <v>76</v>
      </c>
      <c r="B50" s="4">
        <f>'1990-10'!B50</f>
        <v>57.267086544288581</v>
      </c>
      <c r="C50" s="4">
        <f>'1990-10'!C50</f>
        <v>59.557770006060125</v>
      </c>
      <c r="D50" s="16">
        <f t="shared" si="9"/>
        <v>76356.11539238476</v>
      </c>
      <c r="E50" s="4">
        <f>'Interval Circuities'!I50</f>
        <v>1.214361845814369</v>
      </c>
      <c r="F50" s="4">
        <f t="shared" si="0"/>
        <v>47.158173440375528</v>
      </c>
      <c r="G50" s="4">
        <f t="shared" si="1"/>
        <v>62.87756458716737</v>
      </c>
      <c r="H50" s="4">
        <f t="shared" si="2"/>
        <v>12420.56341954337</v>
      </c>
      <c r="I50" s="4">
        <f t="shared" si="3"/>
        <v>4280.7094372673528</v>
      </c>
      <c r="J50" s="9">
        <f>'1990-10'!J50</f>
        <v>913.4</v>
      </c>
      <c r="K50" s="9">
        <f>'1990-10'!K50</f>
        <v>3910000</v>
      </c>
      <c r="L50" s="22">
        <f t="shared" si="4"/>
        <v>53168823.046216965</v>
      </c>
      <c r="M50" s="22">
        <f t="shared" si="5"/>
        <v>3910000</v>
      </c>
      <c r="N50" s="19" t="s">
        <v>92</v>
      </c>
      <c r="O50" s="4">
        <f t="shared" si="6"/>
        <v>1616.0335012042917</v>
      </c>
      <c r="P50" s="13">
        <f>'1990-10'!P50</f>
        <v>1476085</v>
      </c>
      <c r="Q50" s="22">
        <f t="shared" si="7"/>
        <v>20072046.589814622</v>
      </c>
      <c r="R50" s="13">
        <f t="shared" si="8"/>
        <v>1476085</v>
      </c>
    </row>
    <row r="51" spans="1:18">
      <c r="A51" s="18" t="s">
        <v>57</v>
      </c>
      <c r="B51" s="4">
        <f>'1990-10'!B51</f>
        <v>65.029165523454452</v>
      </c>
      <c r="C51" s="4">
        <f>'1990-10'!C51</f>
        <v>79.985873593848979</v>
      </c>
      <c r="D51" s="16">
        <f t="shared" si="9"/>
        <v>86705.554031272593</v>
      </c>
      <c r="E51" s="4">
        <f>'Interval Circuities'!I51</f>
        <v>1.3101513878193871</v>
      </c>
      <c r="F51" s="4">
        <f t="shared" si="0"/>
        <v>49.6348484060982</v>
      </c>
      <c r="G51" s="4">
        <f t="shared" si="1"/>
        <v>66.1797978747976</v>
      </c>
      <c r="H51" s="4">
        <f t="shared" si="2"/>
        <v>13759.439580271812</v>
      </c>
      <c r="I51" s="4">
        <f t="shared" si="3"/>
        <v>1039.2364793213148</v>
      </c>
      <c r="J51" s="9">
        <f>'1990-10'!J51</f>
        <v>1886</v>
      </c>
      <c r="K51" s="9">
        <f>'1990-10'!K51</f>
        <v>1960000</v>
      </c>
      <c r="L51" s="22">
        <f t="shared" si="4"/>
        <v>14299311.546836028</v>
      </c>
      <c r="M51" s="22">
        <f t="shared" si="5"/>
        <v>1960000</v>
      </c>
      <c r="N51" s="19" t="s">
        <v>92</v>
      </c>
      <c r="O51" s="4">
        <f t="shared" si="6"/>
        <v>606.75291622481438</v>
      </c>
      <c r="P51" s="13">
        <f>'1990-10'!P51</f>
        <v>1144336</v>
      </c>
      <c r="Q51" s="22">
        <f t="shared" si="7"/>
        <v>8348580.0909490576</v>
      </c>
      <c r="R51" s="13">
        <f t="shared" si="8"/>
        <v>1144336</v>
      </c>
    </row>
    <row r="52" spans="1:18">
      <c r="A52" s="18" t="s">
        <v>71</v>
      </c>
      <c r="B52" s="4">
        <f>'1990-10'!B52</f>
        <v>57.772652523705723</v>
      </c>
      <c r="C52" s="4">
        <f>'1990-10'!C52</f>
        <v>71.060362604158044</v>
      </c>
      <c r="D52" s="16">
        <f t="shared" si="9"/>
        <v>77030.203364940957</v>
      </c>
      <c r="E52" s="4">
        <f>'Interval Circuities'!I52</f>
        <v>1.2457713004690596</v>
      </c>
      <c r="F52" s="4">
        <f t="shared" si="0"/>
        <v>46.375006794548149</v>
      </c>
      <c r="G52" s="4">
        <f t="shared" si="1"/>
        <v>61.833342392730863</v>
      </c>
      <c r="H52" s="4">
        <f t="shared" si="2"/>
        <v>12011.446698357009</v>
      </c>
      <c r="I52" s="4">
        <f t="shared" si="3"/>
        <v>1022.1667558091162</v>
      </c>
      <c r="J52" s="9">
        <f>'1990-10'!J52</f>
        <v>1682.7</v>
      </c>
      <c r="K52" s="9">
        <f>'1990-10'!K52</f>
        <v>1720000</v>
      </c>
      <c r="L52" s="22">
        <f t="shared" si="4"/>
        <v>12277701.504233705</v>
      </c>
      <c r="M52" s="22">
        <f t="shared" si="5"/>
        <v>1720000</v>
      </c>
      <c r="N52" s="19" t="s">
        <v>92</v>
      </c>
      <c r="O52" s="4">
        <f t="shared" si="6"/>
        <v>543.59719498425147</v>
      </c>
      <c r="P52" s="13">
        <f>'1990-10'!P52</f>
        <v>914711</v>
      </c>
      <c r="Q52" s="22">
        <f t="shared" si="7"/>
        <v>6529388.7329297187</v>
      </c>
      <c r="R52" s="13">
        <f t="shared" si="8"/>
        <v>914711</v>
      </c>
    </row>
    <row r="53" spans="1:18" ht="16">
      <c r="A53" s="18" t="s">
        <v>118</v>
      </c>
      <c r="B53" s="4">
        <f>'1990-10'!B53</f>
        <v>57.166397237881569</v>
      </c>
      <c r="C53" s="4">
        <f>'1990-10'!C53</f>
        <v>76.031308326382486</v>
      </c>
      <c r="D53" s="16">
        <f t="shared" si="9"/>
        <v>76221.862983842089</v>
      </c>
      <c r="E53" s="4">
        <f>'Interval Circuities'!I53</f>
        <v>1.2766240742806114</v>
      </c>
      <c r="F53" s="4">
        <f t="shared" si="0"/>
        <v>44.779350781157184</v>
      </c>
      <c r="G53" s="4">
        <f t="shared" si="1"/>
        <v>59.705801041542912</v>
      </c>
      <c r="H53" s="4">
        <f t="shared" si="2"/>
        <v>11199.095072887612</v>
      </c>
      <c r="I53" s="4">
        <f t="shared" si="3"/>
        <v>1267.0644976702363</v>
      </c>
      <c r="J53" s="9">
        <f>'1990-10'!J53</f>
        <v>2446.6</v>
      </c>
      <c r="K53" s="9">
        <f>'1990-10'!K53</f>
        <v>3100000</v>
      </c>
      <c r="L53" s="22">
        <f t="shared" si="4"/>
        <v>14189975.77288956</v>
      </c>
      <c r="M53" s="22">
        <f t="shared" si="5"/>
        <v>3100000</v>
      </c>
      <c r="N53" s="19" t="s">
        <v>92</v>
      </c>
      <c r="O53" s="4">
        <f t="shared" si="6"/>
        <v>905.07234529551215</v>
      </c>
      <c r="P53" s="13">
        <f>'1990-10'!P53</f>
        <v>2214350</v>
      </c>
      <c r="Q53" s="22">
        <f t="shared" si="7"/>
        <v>10135991.242805805</v>
      </c>
      <c r="R53" s="13">
        <f t="shared" si="8"/>
        <v>2214350</v>
      </c>
    </row>
    <row r="54" spans="1:18">
      <c r="D54" s="1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E4" sqref="E4"/>
    </sheetView>
  </sheetViews>
  <sheetFormatPr baseColWidth="10" defaultColWidth="11.5" defaultRowHeight="14" x14ac:dyDescent="0"/>
  <cols>
    <col min="4" max="4" width="8.5" style="18" customWidth="1"/>
  </cols>
  <sheetData>
    <row r="1" spans="1:18" ht="56">
      <c r="A1" s="18">
        <f>9/6</f>
        <v>1.5</v>
      </c>
      <c r="B1" s="1" t="s">
        <v>60</v>
      </c>
      <c r="C1" s="1" t="s">
        <v>61</v>
      </c>
      <c r="D1" s="30" t="s">
        <v>170</v>
      </c>
      <c r="E1" s="7" t="s">
        <v>91</v>
      </c>
      <c r="F1" s="1" t="s">
        <v>21</v>
      </c>
      <c r="G1" s="1" t="s">
        <v>20</v>
      </c>
      <c r="H1" s="1" t="s">
        <v>134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125</v>
      </c>
      <c r="E2" s="18" t="s">
        <v>116</v>
      </c>
      <c r="F2" s="18" t="s">
        <v>17</v>
      </c>
      <c r="G2" s="18" t="s">
        <v>19</v>
      </c>
      <c r="H2" s="18" t="s">
        <v>135</v>
      </c>
      <c r="I2" s="18" t="s">
        <v>24</v>
      </c>
      <c r="J2" s="9" t="s">
        <v>16</v>
      </c>
      <c r="K2" s="13" t="s">
        <v>126</v>
      </c>
      <c r="L2" s="22" t="s">
        <v>132</v>
      </c>
      <c r="M2" s="22" t="s">
        <v>127</v>
      </c>
      <c r="N2" s="19" t="s">
        <v>92</v>
      </c>
      <c r="O2" s="18" t="s">
        <v>128</v>
      </c>
      <c r="P2" s="18" t="s">
        <v>129</v>
      </c>
      <c r="Q2" s="22" t="s">
        <v>131</v>
      </c>
      <c r="R2" s="18" t="s">
        <v>130</v>
      </c>
    </row>
    <row r="3" spans="1:18">
      <c r="A3" s="18" t="s">
        <v>26</v>
      </c>
      <c r="B3" s="4">
        <f>'1990-10'!B3</f>
        <v>60.37546801014345</v>
      </c>
      <c r="C3" s="4">
        <f>'1990-10'!C3</f>
        <v>63.997996090752061</v>
      </c>
      <c r="D3" s="16">
        <f>B3*$A$1*1000</f>
        <v>90563.202015215182</v>
      </c>
      <c r="E3" s="4">
        <f>'Interval Circuities'!J3</f>
        <v>1.1893214778643948</v>
      </c>
      <c r="F3" s="4">
        <f t="shared" ref="F3:F53" si="0">B3/E3</f>
        <v>50.764632720294152</v>
      </c>
      <c r="G3" s="4">
        <f t="shared" ref="G3:G53" si="1">F3*$A$1</f>
        <v>76.146949080441232</v>
      </c>
      <c r="H3" s="4">
        <f t="shared" ref="H3:H53" si="2">PI()*G3^2</f>
        <v>18216.078437825723</v>
      </c>
      <c r="I3" s="4">
        <f t="shared" ref="I3:I53" si="3">K3/J3</f>
        <v>964.67391304347825</v>
      </c>
      <c r="J3" s="9">
        <f>'1990-10'!J3</f>
        <v>2944</v>
      </c>
      <c r="K3" s="9">
        <f>'1990-10'!K3</f>
        <v>2840000</v>
      </c>
      <c r="L3" s="22">
        <f t="shared" ref="L3:L53" si="4">H3*I3</f>
        <v>17572575.666924272</v>
      </c>
      <c r="M3" s="22">
        <f t="shared" ref="M3:M53" si="5">MIN(K3,L3)</f>
        <v>2840000</v>
      </c>
      <c r="N3" s="19" t="s">
        <v>92</v>
      </c>
      <c r="O3" s="4">
        <f t="shared" ref="O3:O53" si="6">P3/J3</f>
        <v>503.32235054347825</v>
      </c>
      <c r="P3" s="13">
        <f>'1990-10'!P3</f>
        <v>1481781</v>
      </c>
      <c r="Q3" s="22">
        <f t="shared" ref="Q3:Q53" si="7">H3*O3</f>
        <v>9168559.417010814</v>
      </c>
      <c r="R3" s="13">
        <f t="shared" ref="R3:R53" si="8">MIN(Q3,P3)</f>
        <v>1481781</v>
      </c>
    </row>
    <row r="4" spans="1:18">
      <c r="A4" s="18" t="s">
        <v>27</v>
      </c>
      <c r="B4" s="4">
        <f>'1990-10'!B4</f>
        <v>63.478689145973746</v>
      </c>
      <c r="C4" s="4">
        <f>'1990-10'!C4</f>
        <v>67.922197386191925</v>
      </c>
      <c r="D4" s="16">
        <f t="shared" ref="D4:D53" si="9">B4*$A$1*1000</f>
        <v>95218.033718960607</v>
      </c>
      <c r="E4" s="4">
        <f>'Interval Circuities'!J4</f>
        <v>1.2651081597994529</v>
      </c>
      <c r="F4" s="4">
        <f t="shared" si="0"/>
        <v>50.176491752322974</v>
      </c>
      <c r="G4" s="4">
        <f t="shared" si="1"/>
        <v>75.264737628484454</v>
      </c>
      <c r="H4" s="4">
        <f t="shared" si="2"/>
        <v>17796.433526459135</v>
      </c>
      <c r="I4" s="4">
        <f t="shared" si="3"/>
        <v>932.86219081272088</v>
      </c>
      <c r="J4" s="9">
        <f>'1990-10'!J4</f>
        <v>707.5</v>
      </c>
      <c r="K4" s="9">
        <f>'1990-10'!K4</f>
        <v>660000</v>
      </c>
      <c r="L4" s="22">
        <f t="shared" si="4"/>
        <v>16601619.968145626</v>
      </c>
      <c r="M4" s="22">
        <f t="shared" si="5"/>
        <v>660000</v>
      </c>
      <c r="N4" s="19" t="s">
        <v>92</v>
      </c>
      <c r="O4" s="4">
        <f t="shared" si="6"/>
        <v>571.04734982332161</v>
      </c>
      <c r="P4" s="13">
        <f>'1990-10'!P4</f>
        <v>404016</v>
      </c>
      <c r="Q4" s="22">
        <f t="shared" si="7"/>
        <v>10162606.201591399</v>
      </c>
      <c r="R4" s="13">
        <f t="shared" si="8"/>
        <v>404016</v>
      </c>
    </row>
    <row r="5" spans="1:18" ht="16">
      <c r="A5" s="18" t="s">
        <v>119</v>
      </c>
      <c r="B5" s="4">
        <f>'1990-10'!B5</f>
        <v>60.37745029626894</v>
      </c>
      <c r="C5" s="4">
        <f>'1990-10'!C5</f>
        <v>64.603871817007771</v>
      </c>
      <c r="D5" s="16">
        <f t="shared" si="9"/>
        <v>90566.175444403416</v>
      </c>
      <c r="E5" s="4">
        <f>'Interval Circuities'!J5</f>
        <v>1.2022457558485753</v>
      </c>
      <c r="F5" s="4">
        <f t="shared" si="0"/>
        <v>50.220555990778287</v>
      </c>
      <c r="G5" s="4">
        <f t="shared" si="1"/>
        <v>75.330833986167434</v>
      </c>
      <c r="H5" s="4">
        <f t="shared" si="2"/>
        <v>17827.704370372438</v>
      </c>
      <c r="I5" s="4">
        <f t="shared" si="3"/>
        <v>1296.8393613554904</v>
      </c>
      <c r="J5" s="9">
        <f>'1990-10'!J5</f>
        <v>1534.5</v>
      </c>
      <c r="K5" s="9">
        <f>'1990-10'!K5</f>
        <v>1990000</v>
      </c>
      <c r="L5" s="22">
        <f t="shared" si="4"/>
        <v>23119668.750108276</v>
      </c>
      <c r="M5" s="22">
        <f t="shared" si="5"/>
        <v>1990000</v>
      </c>
      <c r="N5" s="19" t="s">
        <v>92</v>
      </c>
      <c r="O5" s="4">
        <f t="shared" si="6"/>
        <v>776.67839687194521</v>
      </c>
      <c r="P5" s="13">
        <f>'1990-10'!P5</f>
        <v>1191813</v>
      </c>
      <c r="Q5" s="22">
        <f t="shared" si="7"/>
        <v>13846392.850287836</v>
      </c>
      <c r="R5" s="13">
        <f t="shared" si="8"/>
        <v>1191813</v>
      </c>
    </row>
    <row r="6" spans="1:18">
      <c r="A6" s="18" t="s">
        <v>29</v>
      </c>
      <c r="B6" s="4">
        <f>'1990-10'!B6</f>
        <v>61.541690600746875</v>
      </c>
      <c r="C6" s="4">
        <f>'1990-10'!C6</f>
        <v>67.695859660821569</v>
      </c>
      <c r="D6" s="16">
        <f t="shared" si="9"/>
        <v>92312.535901120311</v>
      </c>
      <c r="E6" s="4">
        <f>'Interval Circuities'!J6</f>
        <v>1.1798759561696266</v>
      </c>
      <c r="F6" s="4">
        <f t="shared" si="0"/>
        <v>52.159458186212284</v>
      </c>
      <c r="G6" s="4">
        <f t="shared" si="1"/>
        <v>78.239187279318429</v>
      </c>
      <c r="H6" s="4">
        <f t="shared" si="2"/>
        <v>19230.852360626373</v>
      </c>
      <c r="I6" s="4">
        <f t="shared" si="3"/>
        <v>1563.9892556970801</v>
      </c>
      <c r="J6" s="9">
        <f>'1990-10'!J6</f>
        <v>2308.1999999999998</v>
      </c>
      <c r="K6" s="9">
        <f>'1990-10'!K6</f>
        <v>3610000</v>
      </c>
      <c r="L6" s="22">
        <f t="shared" si="4"/>
        <v>30076846.469916478</v>
      </c>
      <c r="M6" s="22">
        <f t="shared" si="5"/>
        <v>3610000</v>
      </c>
      <c r="N6" s="19" t="s">
        <v>92</v>
      </c>
      <c r="O6" s="4">
        <f t="shared" si="6"/>
        <v>927.87323455506464</v>
      </c>
      <c r="P6" s="13">
        <f>'1990-10'!P6</f>
        <v>2141717</v>
      </c>
      <c r="Q6" s="22">
        <f t="shared" si="7"/>
        <v>17843793.183105294</v>
      </c>
      <c r="R6" s="13">
        <f t="shared" si="8"/>
        <v>2141717</v>
      </c>
    </row>
    <row r="7" spans="1:18">
      <c r="A7" s="18" t="s">
        <v>30</v>
      </c>
      <c r="B7" s="4">
        <f>'1990-10'!B7</f>
        <v>73.27659816495958</v>
      </c>
      <c r="C7" s="4">
        <f>'1990-10'!C7</f>
        <v>76.207662091557978</v>
      </c>
      <c r="D7" s="16">
        <f t="shared" si="9"/>
        <v>109914.89724743937</v>
      </c>
      <c r="E7" s="4">
        <f>'Interval Circuities'!J7</f>
        <v>1.1576149370541791</v>
      </c>
      <c r="F7" s="4">
        <f t="shared" si="0"/>
        <v>63.29963083530086</v>
      </c>
      <c r="G7" s="4">
        <f t="shared" si="1"/>
        <v>94.94944625295129</v>
      </c>
      <c r="H7" s="4">
        <f t="shared" si="2"/>
        <v>28322.706064293074</v>
      </c>
      <c r="I7" s="4">
        <f t="shared" si="3"/>
        <v>1440.1622718052738</v>
      </c>
      <c r="J7" s="9">
        <f>'1990-10'!J7</f>
        <v>739.5</v>
      </c>
      <c r="K7" s="9">
        <f>'1990-10'!K7</f>
        <v>1065000</v>
      </c>
      <c r="L7" s="22">
        <f t="shared" si="4"/>
        <v>40789292.709225319</v>
      </c>
      <c r="M7" s="22">
        <f t="shared" si="5"/>
        <v>1065000</v>
      </c>
      <c r="N7" s="19" t="s">
        <v>92</v>
      </c>
      <c r="O7" s="4">
        <f t="shared" si="6"/>
        <v>718.21771467207577</v>
      </c>
      <c r="P7" s="13">
        <f>'1990-10'!P7</f>
        <v>531122</v>
      </c>
      <c r="Q7" s="22">
        <f t="shared" si="7"/>
        <v>20341869.222825512</v>
      </c>
      <c r="R7" s="13">
        <f t="shared" si="8"/>
        <v>531122</v>
      </c>
    </row>
    <row r="8" spans="1:18">
      <c r="A8" s="18" t="s">
        <v>31</v>
      </c>
      <c r="B8" s="4">
        <f>'1990-10'!B8</f>
        <v>66.908176577055386</v>
      </c>
      <c r="C8" s="4">
        <f>'1990-10'!C8</f>
        <v>71.591748937449267</v>
      </c>
      <c r="D8" s="16">
        <f t="shared" si="9"/>
        <v>100362.26486558309</v>
      </c>
      <c r="E8" s="4">
        <f>'Interval Circuities'!J8</f>
        <v>1.2165063980151767</v>
      </c>
      <c r="F8" s="4">
        <f t="shared" si="0"/>
        <v>55.000266900545036</v>
      </c>
      <c r="G8" s="4">
        <f t="shared" si="1"/>
        <v>82.500400350817557</v>
      </c>
      <c r="H8" s="4">
        <f t="shared" si="2"/>
        <v>21382.672525964968</v>
      </c>
      <c r="I8" s="4">
        <f t="shared" si="3"/>
        <v>862.48203162434118</v>
      </c>
      <c r="J8" s="9">
        <f>'1990-10'!J8</f>
        <v>626.1</v>
      </c>
      <c r="K8" s="9">
        <f>'1990-10'!K8</f>
        <v>540000</v>
      </c>
      <c r="L8" s="22">
        <f t="shared" si="4"/>
        <v>18442170.84175225</v>
      </c>
      <c r="M8" s="22">
        <f t="shared" si="5"/>
        <v>540000</v>
      </c>
      <c r="N8" s="19" t="s">
        <v>92</v>
      </c>
      <c r="O8" s="4">
        <f t="shared" si="6"/>
        <v>966.06931800031941</v>
      </c>
      <c r="P8" s="13">
        <f>'1990-10'!P8</f>
        <v>604856</v>
      </c>
      <c r="Q8" s="22">
        <f t="shared" si="7"/>
        <v>20657143.864183143</v>
      </c>
      <c r="R8" s="13">
        <f t="shared" si="8"/>
        <v>604856</v>
      </c>
    </row>
    <row r="9" spans="1:18">
      <c r="A9" s="18" t="s">
        <v>32</v>
      </c>
      <c r="B9" s="4">
        <f>'1990-10'!B9</f>
        <v>59.830534500000006</v>
      </c>
      <c r="C9" s="4">
        <f>'1990-10'!C9</f>
        <v>64.616977260000013</v>
      </c>
      <c r="D9" s="16">
        <f t="shared" si="9"/>
        <v>89745.801750000013</v>
      </c>
      <c r="E9" s="4">
        <f>'Interval Circuities'!J9</f>
        <v>1.1721614975084573</v>
      </c>
      <c r="F9" s="4">
        <f t="shared" si="0"/>
        <v>51.042910577745126</v>
      </c>
      <c r="G9" s="4">
        <f t="shared" si="1"/>
        <v>76.564365866617692</v>
      </c>
      <c r="H9" s="4">
        <f t="shared" si="2"/>
        <v>18416.336956535939</v>
      </c>
      <c r="I9" s="4">
        <f t="shared" si="3"/>
        <v>1830.0112091232515</v>
      </c>
      <c r="J9" s="9">
        <f>'1990-10'!J9</f>
        <v>4103.8</v>
      </c>
      <c r="K9" s="9">
        <f>'1990-10'!K9</f>
        <v>7510000</v>
      </c>
      <c r="L9" s="22">
        <f t="shared" si="4"/>
        <v>33702103.061451554</v>
      </c>
      <c r="M9" s="22">
        <f t="shared" si="5"/>
        <v>7510000</v>
      </c>
      <c r="N9" s="19" t="s">
        <v>92</v>
      </c>
      <c r="O9" s="4">
        <f t="shared" si="6"/>
        <v>936.04391052195524</v>
      </c>
      <c r="P9" s="13">
        <f>'1990-10'!P9</f>
        <v>3841337</v>
      </c>
      <c r="Q9" s="22">
        <f t="shared" si="7"/>
        <v>17238500.062285904</v>
      </c>
      <c r="R9" s="13">
        <f t="shared" si="8"/>
        <v>3841337</v>
      </c>
    </row>
    <row r="10" spans="1:18">
      <c r="A10" s="18" t="s">
        <v>33</v>
      </c>
      <c r="B10" s="4">
        <f>'1990-10'!B10</f>
        <v>67.518821168909824</v>
      </c>
      <c r="C10" s="4">
        <f>'1990-10'!C10</f>
        <v>74.270703285800806</v>
      </c>
      <c r="D10" s="16">
        <f t="shared" si="9"/>
        <v>101278.23175336473</v>
      </c>
      <c r="E10" s="4">
        <f>'Interval Circuities'!J10</f>
        <v>1.2651549601619831</v>
      </c>
      <c r="F10" s="4">
        <f t="shared" si="0"/>
        <v>53.368024704471857</v>
      </c>
      <c r="G10" s="4">
        <f t="shared" si="1"/>
        <v>80.052037056707789</v>
      </c>
      <c r="H10" s="4">
        <f t="shared" si="2"/>
        <v>20132.358167563722</v>
      </c>
      <c r="I10" s="4">
        <f t="shared" si="3"/>
        <v>860.24750980984004</v>
      </c>
      <c r="J10" s="9">
        <f>'1990-10'!J10</f>
        <v>1325.2</v>
      </c>
      <c r="K10" s="9">
        <f>'1990-10'!K10</f>
        <v>1140000</v>
      </c>
      <c r="L10" s="22">
        <f t="shared" si="4"/>
        <v>17318810.980246484</v>
      </c>
      <c r="M10" s="22">
        <f t="shared" si="5"/>
        <v>1140000</v>
      </c>
      <c r="N10" s="19" t="s">
        <v>92</v>
      </c>
      <c r="O10" s="4">
        <f t="shared" si="6"/>
        <v>613.31572592816178</v>
      </c>
      <c r="P10" s="13">
        <f>'1990-10'!P10</f>
        <v>812766</v>
      </c>
      <c r="Q10" s="22">
        <f t="shared" si="7"/>
        <v>12347491.8641851</v>
      </c>
      <c r="R10" s="13">
        <f t="shared" si="8"/>
        <v>812766</v>
      </c>
    </row>
    <row r="11" spans="1:18">
      <c r="A11" s="18" t="s">
        <v>34</v>
      </c>
      <c r="B11" s="4">
        <f>'1990-10'!B11</f>
        <v>70.270147843682068</v>
      </c>
      <c r="C11" s="4">
        <f>'1990-10'!C11</f>
        <v>77.297162628050287</v>
      </c>
      <c r="D11" s="16">
        <f t="shared" si="9"/>
        <v>105405.22176552309</v>
      </c>
      <c r="E11" s="4">
        <f>'Interval Circuities'!J11</f>
        <v>1.1515515188480558</v>
      </c>
      <c r="F11" s="4">
        <f t="shared" si="0"/>
        <v>61.022148547879276</v>
      </c>
      <c r="G11" s="4">
        <f t="shared" si="1"/>
        <v>91.53322282181891</v>
      </c>
      <c r="H11" s="4">
        <f t="shared" si="2"/>
        <v>26321.302742419823</v>
      </c>
      <c r="I11" s="4">
        <f t="shared" si="3"/>
        <v>1068.6095931997572</v>
      </c>
      <c r="J11" s="9">
        <f>'1990-10'!J11</f>
        <v>1647</v>
      </c>
      <c r="K11" s="9">
        <f>'1990-10'!K11</f>
        <v>1760000</v>
      </c>
      <c r="L11" s="22">
        <f t="shared" si="4"/>
        <v>28127196.616064902</v>
      </c>
      <c r="M11" s="22">
        <f t="shared" si="5"/>
        <v>1760000</v>
      </c>
      <c r="N11" s="19" t="s">
        <v>92</v>
      </c>
      <c r="O11" s="4">
        <f t="shared" si="6"/>
        <v>754.15846994535514</v>
      </c>
      <c r="P11" s="13">
        <f>'1990-10'!P11</f>
        <v>1242099</v>
      </c>
      <c r="Q11" s="22">
        <f t="shared" si="7"/>
        <v>19850433.403191812</v>
      </c>
      <c r="R11" s="13">
        <f t="shared" si="8"/>
        <v>1242099</v>
      </c>
    </row>
    <row r="12" spans="1:18">
      <c r="A12" s="18" t="s">
        <v>35</v>
      </c>
      <c r="B12" s="4">
        <f>'1990-10'!B12</f>
        <v>67.725932932724078</v>
      </c>
      <c r="C12" s="4">
        <f>'1990-10'!C12</f>
        <v>77.20756354330544</v>
      </c>
      <c r="D12" s="16">
        <f t="shared" si="9"/>
        <v>101588.89939908612</v>
      </c>
      <c r="E12" s="4">
        <f>'Interval Circuities'!J12</f>
        <v>1.1706400753910029</v>
      </c>
      <c r="F12" s="4">
        <f t="shared" si="0"/>
        <v>57.853762532521444</v>
      </c>
      <c r="G12" s="4">
        <f t="shared" si="1"/>
        <v>86.780643798782165</v>
      </c>
      <c r="H12" s="4">
        <f t="shared" si="2"/>
        <v>23658.95771701798</v>
      </c>
      <c r="I12" s="4">
        <f t="shared" si="3"/>
        <v>973.91693719914929</v>
      </c>
      <c r="J12" s="9">
        <f>'1990-10'!J12</f>
        <v>893.3</v>
      </c>
      <c r="K12" s="9">
        <f>'1990-10'!K12</f>
        <v>870000</v>
      </c>
      <c r="L12" s="22">
        <f t="shared" si="4"/>
        <v>23041859.637082327</v>
      </c>
      <c r="M12" s="22">
        <f t="shared" si="5"/>
        <v>870000</v>
      </c>
      <c r="N12" s="19" t="s">
        <v>92</v>
      </c>
      <c r="O12" s="4">
        <f t="shared" si="6"/>
        <v>758.82570245158411</v>
      </c>
      <c r="P12" s="13">
        <f>'1990-10'!P12</f>
        <v>677859</v>
      </c>
      <c r="Q12" s="22">
        <f t="shared" si="7"/>
        <v>17953025.208888493</v>
      </c>
      <c r="R12" s="13">
        <f t="shared" si="8"/>
        <v>677859</v>
      </c>
    </row>
    <row r="13" spans="1:18">
      <c r="A13" s="18" t="s">
        <v>62</v>
      </c>
      <c r="B13" s="4">
        <f>'1990-10'!B13</f>
        <v>66.03146949483623</v>
      </c>
      <c r="C13" s="4">
        <f>'1990-10'!C13</f>
        <v>76.596504614010016</v>
      </c>
      <c r="D13" s="16">
        <f t="shared" si="9"/>
        <v>99047.204242254345</v>
      </c>
      <c r="E13" s="4">
        <f>'Interval Circuities'!J13</f>
        <v>1.1935432741418819</v>
      </c>
      <c r="F13" s="4">
        <f t="shared" si="0"/>
        <v>55.323900628831971</v>
      </c>
      <c r="G13" s="4">
        <f t="shared" si="1"/>
        <v>82.985850943247954</v>
      </c>
      <c r="H13" s="4">
        <f t="shared" si="2"/>
        <v>21635.053624437685</v>
      </c>
      <c r="I13" s="4">
        <f t="shared" si="3"/>
        <v>869.56521739130437</v>
      </c>
      <c r="J13" s="9">
        <f>'1990-10'!J13</f>
        <v>3737.5</v>
      </c>
      <c r="K13" s="9">
        <f>'1990-10'!K13</f>
        <v>3250000</v>
      </c>
      <c r="L13" s="22">
        <f t="shared" si="4"/>
        <v>18813090.108206682</v>
      </c>
      <c r="M13" s="22">
        <f t="shared" si="5"/>
        <v>3250000</v>
      </c>
      <c r="N13" s="19" t="s">
        <v>92</v>
      </c>
      <c r="O13" s="4">
        <f t="shared" si="6"/>
        <v>528.85779264214045</v>
      </c>
      <c r="P13" s="13">
        <f>'1990-10'!P13</f>
        <v>1976606</v>
      </c>
      <c r="Q13" s="22">
        <f t="shared" si="7"/>
        <v>11441866.703514455</v>
      </c>
      <c r="R13" s="13">
        <f t="shared" si="8"/>
        <v>1976606</v>
      </c>
    </row>
    <row r="14" spans="1:18">
      <c r="A14" s="18" t="s">
        <v>36</v>
      </c>
      <c r="B14" s="4">
        <f>'1990-10'!B14</f>
        <v>65.002140793217592</v>
      </c>
      <c r="C14" s="4">
        <f>'1990-10'!C14</f>
        <v>76.052504728064577</v>
      </c>
      <c r="D14" s="16">
        <f t="shared" si="9"/>
        <v>97503.211189826383</v>
      </c>
      <c r="E14" s="4">
        <f>'Interval Circuities'!J14</f>
        <v>1.3240785487461841</v>
      </c>
      <c r="F14" s="4">
        <f t="shared" si="0"/>
        <v>49.092360007471136</v>
      </c>
      <c r="G14" s="4">
        <f t="shared" si="1"/>
        <v>73.6385400112067</v>
      </c>
      <c r="H14" s="4">
        <f t="shared" si="2"/>
        <v>17035.708943865746</v>
      </c>
      <c r="I14" s="4">
        <f t="shared" si="3"/>
        <v>1329.5186805789297</v>
      </c>
      <c r="J14" s="9">
        <f>'1990-10'!J14</f>
        <v>1188.4000000000001</v>
      </c>
      <c r="K14" s="9">
        <f>'1990-10'!K14</f>
        <v>1580000</v>
      </c>
      <c r="L14" s="22">
        <f t="shared" si="4"/>
        <v>22649293.277775057</v>
      </c>
      <c r="M14" s="22">
        <f t="shared" si="5"/>
        <v>1580000</v>
      </c>
      <c r="N14" s="19" t="s">
        <v>92</v>
      </c>
      <c r="O14" s="4">
        <f t="shared" si="6"/>
        <v>811.94210703466842</v>
      </c>
      <c r="P14" s="13">
        <f>'1990-10'!P14</f>
        <v>964912</v>
      </c>
      <c r="Q14" s="22">
        <f t="shared" si="7"/>
        <v>13832009.414711699</v>
      </c>
      <c r="R14" s="13">
        <f t="shared" si="8"/>
        <v>964912</v>
      </c>
    </row>
    <row r="15" spans="1:18">
      <c r="A15" s="18" t="s">
        <v>37</v>
      </c>
      <c r="B15" s="4">
        <f>'1990-10'!B15</f>
        <v>59.740126684000487</v>
      </c>
      <c r="C15" s="4">
        <f>'1990-10'!C15</f>
        <v>69.895948220280573</v>
      </c>
      <c r="D15" s="16">
        <f t="shared" si="9"/>
        <v>89610.190026000739</v>
      </c>
      <c r="E15" s="4">
        <f>'Interval Circuities'!J15</f>
        <v>1.1815111634315267</v>
      </c>
      <c r="F15" s="4">
        <f t="shared" si="0"/>
        <v>50.562473324834279</v>
      </c>
      <c r="G15" s="4">
        <f t="shared" si="1"/>
        <v>75.843709987251415</v>
      </c>
      <c r="H15" s="4">
        <f t="shared" si="2"/>
        <v>18071.283972967671</v>
      </c>
      <c r="I15" s="4">
        <f t="shared" si="3"/>
        <v>1369.2488100986411</v>
      </c>
      <c r="J15" s="9">
        <f>'1990-10'!J15</f>
        <v>2899.4</v>
      </c>
      <c r="K15" s="9">
        <f>'1990-10'!K15</f>
        <v>3970000</v>
      </c>
      <c r="L15" s="22">
        <f t="shared" si="4"/>
        <v>24744084.076940626</v>
      </c>
      <c r="M15" s="22">
        <f t="shared" si="5"/>
        <v>3970000</v>
      </c>
      <c r="N15" s="19" t="s">
        <v>92</v>
      </c>
      <c r="O15" s="4">
        <f t="shared" si="6"/>
        <v>717.34841691384418</v>
      </c>
      <c r="P15" s="13">
        <f>'1990-10'!P15</f>
        <v>2079880</v>
      </c>
      <c r="Q15" s="22">
        <f t="shared" si="7"/>
        <v>12963406.949608883</v>
      </c>
      <c r="R15" s="13">
        <f t="shared" si="8"/>
        <v>2079880</v>
      </c>
    </row>
    <row r="16" spans="1:18">
      <c r="A16" s="18" t="s">
        <v>80</v>
      </c>
      <c r="B16" s="4">
        <f>'1990-10'!B16</f>
        <v>70.939381203745498</v>
      </c>
      <c r="C16" s="4">
        <f>'1990-10'!C16</f>
        <v>83.70846982041968</v>
      </c>
      <c r="D16" s="16">
        <f t="shared" si="9"/>
        <v>106409.07180561825</v>
      </c>
      <c r="E16" s="4">
        <f>'Interval Circuities'!J16</f>
        <v>1.2232412513078061</v>
      </c>
      <c r="F16" s="4">
        <f t="shared" si="0"/>
        <v>57.992960201351899</v>
      </c>
      <c r="G16" s="4">
        <f t="shared" si="1"/>
        <v>86.989440302027845</v>
      </c>
      <c r="H16" s="4">
        <f t="shared" si="2"/>
        <v>23772.94282242563</v>
      </c>
      <c r="I16" s="4">
        <f t="shared" si="3"/>
        <v>1190.58976132826</v>
      </c>
      <c r="J16" s="9">
        <f>'1990-10'!J16</f>
        <v>578.20000000000005</v>
      </c>
      <c r="K16" s="9">
        <f>'1990-10'!K16</f>
        <v>688399</v>
      </c>
      <c r="L16" s="22">
        <f t="shared" si="4"/>
        <v>28303822.321022101</v>
      </c>
      <c r="M16" s="22">
        <f t="shared" si="5"/>
        <v>688399</v>
      </c>
      <c r="N16" s="19" t="s">
        <v>92</v>
      </c>
      <c r="O16" s="4">
        <f t="shared" si="6"/>
        <v>583.42269111034238</v>
      </c>
      <c r="P16" s="13">
        <f>'1990-10'!P16</f>
        <v>337335</v>
      </c>
      <c r="Q16" s="22">
        <f t="shared" si="7"/>
        <v>13869674.27707186</v>
      </c>
      <c r="R16" s="13">
        <f t="shared" si="8"/>
        <v>337335</v>
      </c>
    </row>
    <row r="17" spans="1:18">
      <c r="A17" s="18" t="s">
        <v>58</v>
      </c>
      <c r="B17" s="4">
        <f>'1990-10'!B17</f>
        <v>64.898649256812377</v>
      </c>
      <c r="C17" s="4">
        <f>'1990-10'!C17</f>
        <v>85.666217018992342</v>
      </c>
      <c r="D17" s="16">
        <f t="shared" si="9"/>
        <v>97347.973885218569</v>
      </c>
      <c r="E17" s="4">
        <f>'Interval Circuities'!J17</f>
        <v>1.3692372738659986</v>
      </c>
      <c r="F17" s="4">
        <f t="shared" si="0"/>
        <v>47.397664740438358</v>
      </c>
      <c r="G17" s="4">
        <f t="shared" si="1"/>
        <v>71.096497110657538</v>
      </c>
      <c r="H17" s="4">
        <f t="shared" si="2"/>
        <v>15879.845775469152</v>
      </c>
      <c r="I17" s="4">
        <f t="shared" si="3"/>
        <v>770.84181744138687</v>
      </c>
      <c r="J17" s="9">
        <f>'1990-10'!J17</f>
        <v>1718.9</v>
      </c>
      <c r="K17" s="9">
        <f>'1990-10'!K17</f>
        <v>1325000</v>
      </c>
      <c r="L17" s="22">
        <f t="shared" si="4"/>
        <v>12240849.17825157</v>
      </c>
      <c r="M17" s="22">
        <f t="shared" si="5"/>
        <v>1325000</v>
      </c>
      <c r="N17" s="19" t="s">
        <v>92</v>
      </c>
      <c r="O17" s="4">
        <f t="shared" si="6"/>
        <v>406.65483739600904</v>
      </c>
      <c r="P17" s="13">
        <f>'1990-10'!P17</f>
        <v>698999</v>
      </c>
      <c r="Q17" s="22">
        <f t="shared" si="7"/>
        <v>6457616.1016971087</v>
      </c>
      <c r="R17" s="13">
        <f t="shared" si="8"/>
        <v>698999</v>
      </c>
    </row>
    <row r="18" spans="1:18">
      <c r="A18" s="18" t="s">
        <v>38</v>
      </c>
      <c r="B18" s="4">
        <f>'1990-10'!B18</f>
        <v>70.550117521710789</v>
      </c>
      <c r="C18" s="4">
        <f>'1990-10'!C18</f>
        <v>84.660141026052941</v>
      </c>
      <c r="D18" s="16">
        <f t="shared" si="9"/>
        <v>105825.17628256619</v>
      </c>
      <c r="E18" s="4">
        <f>'Interval Circuities'!J18</f>
        <v>1.209107216071498</v>
      </c>
      <c r="F18" s="4">
        <f t="shared" si="0"/>
        <v>58.348934307856254</v>
      </c>
      <c r="G18" s="4">
        <f t="shared" si="1"/>
        <v>87.523401461784374</v>
      </c>
      <c r="H18" s="4">
        <f t="shared" si="2"/>
        <v>24065.686100046642</v>
      </c>
      <c r="I18" s="4">
        <f t="shared" si="3"/>
        <v>1320.2112337974077</v>
      </c>
      <c r="J18" s="9">
        <f>'1990-10'!J18</f>
        <v>624.9</v>
      </c>
      <c r="K18" s="9">
        <f>'1990-10'!K18</f>
        <v>825000</v>
      </c>
      <c r="L18" s="22">
        <f t="shared" si="4"/>
        <v>31771789.138323702</v>
      </c>
      <c r="M18" s="22">
        <f t="shared" si="5"/>
        <v>825000</v>
      </c>
      <c r="N18" s="19" t="s">
        <v>92</v>
      </c>
      <c r="O18" s="4">
        <f t="shared" si="6"/>
        <v>899.29428708593377</v>
      </c>
      <c r="P18" s="13">
        <f>'1990-10'!P18</f>
        <v>561969</v>
      </c>
      <c r="Q18" s="22">
        <f t="shared" si="7"/>
        <v>21642134.024575312</v>
      </c>
      <c r="R18" s="13">
        <f t="shared" si="8"/>
        <v>561969</v>
      </c>
    </row>
    <row r="19" spans="1:18">
      <c r="A19" s="18" t="s">
        <v>81</v>
      </c>
      <c r="B19" s="4">
        <f>'1990-10'!B19</f>
        <v>61.851770964117151</v>
      </c>
      <c r="C19" s="4">
        <f>'1990-10'!C19</f>
        <v>73.60360744729941</v>
      </c>
      <c r="D19" s="16">
        <f t="shared" si="9"/>
        <v>92777.656446175723</v>
      </c>
      <c r="E19" s="4">
        <f>'Interval Circuities'!J19</f>
        <v>1.4777153986356404</v>
      </c>
      <c r="F19" s="4">
        <f t="shared" si="0"/>
        <v>41.856348672568657</v>
      </c>
      <c r="G19" s="4">
        <f t="shared" si="1"/>
        <v>62.784523008852986</v>
      </c>
      <c r="H19" s="4">
        <f t="shared" si="2"/>
        <v>12383.832549810146</v>
      </c>
      <c r="I19" s="4">
        <f t="shared" si="3"/>
        <v>2328.0373051224947</v>
      </c>
      <c r="J19" s="9">
        <f>'1990-10'!J19</f>
        <v>359.2</v>
      </c>
      <c r="K19" s="9">
        <f>'1990-10'!K19</f>
        <v>836231</v>
      </c>
      <c r="L19" s="22">
        <f t="shared" si="4"/>
        <v>28830024.156348243</v>
      </c>
      <c r="M19" s="22">
        <f t="shared" si="5"/>
        <v>836231</v>
      </c>
      <c r="N19" s="19" t="s">
        <v>92</v>
      </c>
      <c r="O19" s="4">
        <f t="shared" si="6"/>
        <v>1218.0345211581291</v>
      </c>
      <c r="P19" s="13">
        <f>'1990-10'!P19</f>
        <v>437518</v>
      </c>
      <c r="Q19" s="22">
        <f t="shared" si="7"/>
        <v>15083935.549910454</v>
      </c>
      <c r="R19" s="13">
        <f t="shared" si="8"/>
        <v>437518</v>
      </c>
    </row>
    <row r="20" spans="1:18">
      <c r="A20" s="18" t="s">
        <v>39</v>
      </c>
      <c r="B20" s="4">
        <f>'1990-10'!B20</f>
        <v>61.865929871835121</v>
      </c>
      <c r="C20" s="4">
        <f>'1990-10'!C20</f>
        <v>73.620456547483784</v>
      </c>
      <c r="D20" s="16">
        <f t="shared" si="9"/>
        <v>92798.894807752673</v>
      </c>
      <c r="E20" s="4">
        <f>'Interval Circuities'!J20</f>
        <v>1.2388417245899803</v>
      </c>
      <c r="F20" s="4">
        <f t="shared" si="0"/>
        <v>49.938526160241253</v>
      </c>
      <c r="G20" s="4">
        <f t="shared" si="1"/>
        <v>74.907789240361879</v>
      </c>
      <c r="H20" s="4">
        <f t="shared" si="2"/>
        <v>17628.032092093446</v>
      </c>
      <c r="I20" s="4">
        <f t="shared" si="3"/>
        <v>951.03794313448986</v>
      </c>
      <c r="J20" s="9">
        <f>'1990-10'!J20</f>
        <v>3049.3</v>
      </c>
      <c r="K20" s="9">
        <f>'1990-10'!K20</f>
        <v>2900000</v>
      </c>
      <c r="L20" s="22">
        <f t="shared" si="4"/>
        <v>16764927.382373329</v>
      </c>
      <c r="M20" s="22">
        <f t="shared" si="5"/>
        <v>2900000</v>
      </c>
      <c r="N20" s="19" t="s">
        <v>92</v>
      </c>
      <c r="O20" s="4">
        <f t="shared" si="6"/>
        <v>577.11474764700097</v>
      </c>
      <c r="P20" s="13">
        <f>'1990-10'!P20</f>
        <v>1759796</v>
      </c>
      <c r="Q20" s="22">
        <f t="shared" si="7"/>
        <v>10173397.292341745</v>
      </c>
      <c r="R20" s="13">
        <f t="shared" si="8"/>
        <v>1759796</v>
      </c>
    </row>
    <row r="21" spans="1:18">
      <c r="A21" s="18" t="s">
        <v>40</v>
      </c>
      <c r="B21" s="4">
        <f>'1990-10'!B21</f>
        <v>66.181816591922129</v>
      </c>
      <c r="C21" s="4">
        <f>'1990-10'!C21</f>
        <v>78.094543578468105</v>
      </c>
      <c r="D21" s="16">
        <f t="shared" si="9"/>
        <v>99272.724887883189</v>
      </c>
      <c r="E21" s="4">
        <f>'Interval Circuities'!J21</f>
        <v>1.1680289166643287</v>
      </c>
      <c r="F21" s="4">
        <f t="shared" si="0"/>
        <v>56.661111422587865</v>
      </c>
      <c r="G21" s="4">
        <f t="shared" si="1"/>
        <v>84.991667133881805</v>
      </c>
      <c r="H21" s="4">
        <f t="shared" si="2"/>
        <v>22693.556800261304</v>
      </c>
      <c r="I21" s="4">
        <f t="shared" si="3"/>
        <v>778.16205533596838</v>
      </c>
      <c r="J21" s="9">
        <f>'1990-10'!J21</f>
        <v>1214.4000000000001</v>
      </c>
      <c r="K21" s="9">
        <f>'1990-10'!K21</f>
        <v>945000</v>
      </c>
      <c r="L21" s="22">
        <f t="shared" si="4"/>
        <v>17659264.802574877</v>
      </c>
      <c r="M21" s="22">
        <f t="shared" si="5"/>
        <v>945000</v>
      </c>
      <c r="N21" s="19" t="s">
        <v>92</v>
      </c>
      <c r="O21" s="4">
        <f t="shared" si="6"/>
        <v>514.63356389986825</v>
      </c>
      <c r="P21" s="13">
        <f>'1990-10'!P21</f>
        <v>624971</v>
      </c>
      <c r="Q21" s="22">
        <f t="shared" si="7"/>
        <v>11678866.013682565</v>
      </c>
      <c r="R21" s="13">
        <f t="shared" si="8"/>
        <v>624971</v>
      </c>
    </row>
    <row r="22" spans="1:18" ht="16">
      <c r="A22" s="18" t="s">
        <v>120</v>
      </c>
      <c r="B22" s="4">
        <f>'1990-10'!B22</f>
        <v>65.10221093956217</v>
      </c>
      <c r="C22" s="4">
        <f>'1990-10'!C22</f>
        <v>72.914476252309626</v>
      </c>
      <c r="D22" s="16">
        <f t="shared" si="9"/>
        <v>97653.316409343257</v>
      </c>
      <c r="E22" s="4">
        <f>'Interval Circuities'!J22</f>
        <v>1.295915004423644</v>
      </c>
      <c r="F22" s="4">
        <f t="shared" si="0"/>
        <v>50.236482112896184</v>
      </c>
      <c r="G22" s="4">
        <f t="shared" si="1"/>
        <v>75.354723169344282</v>
      </c>
      <c r="H22" s="4">
        <f t="shared" si="2"/>
        <v>17839.013333848725</v>
      </c>
      <c r="I22" s="4">
        <f t="shared" si="3"/>
        <v>1078.3820073850286</v>
      </c>
      <c r="J22" s="9">
        <f>'1990-10'!J22</f>
        <v>1191.5999999999999</v>
      </c>
      <c r="K22" s="9">
        <f>'1990-10'!K22</f>
        <v>1285000</v>
      </c>
      <c r="L22" s="22">
        <f t="shared" si="4"/>
        <v>19237271.008724079</v>
      </c>
      <c r="M22" s="22">
        <f t="shared" si="5"/>
        <v>1285000</v>
      </c>
      <c r="N22" s="19" t="s">
        <v>92</v>
      </c>
      <c r="O22" s="4">
        <f t="shared" si="6"/>
        <v>643.63293051359517</v>
      </c>
      <c r="P22" s="13">
        <f>'1990-10'!P22</f>
        <v>766953</v>
      </c>
      <c r="Q22" s="22">
        <f t="shared" si="7"/>
        <v>11481776.429536154</v>
      </c>
      <c r="R22" s="13">
        <f t="shared" si="8"/>
        <v>766953</v>
      </c>
    </row>
    <row r="23" spans="1:18">
      <c r="A23" s="18" t="s">
        <v>41</v>
      </c>
      <c r="B23" s="4">
        <f>'1990-10'!B23</f>
        <v>55.540281389808555</v>
      </c>
      <c r="C23" s="4">
        <f>'1990-10'!C23</f>
        <v>57.206489831502807</v>
      </c>
      <c r="D23" s="16">
        <f t="shared" si="9"/>
        <v>83310.422084712831</v>
      </c>
      <c r="E23" s="4">
        <f>'Interval Circuities'!J23</f>
        <v>1.3179998880697821</v>
      </c>
      <c r="F23" s="4">
        <f t="shared" si="0"/>
        <v>42.139822539095654</v>
      </c>
      <c r="G23" s="4">
        <f t="shared" si="1"/>
        <v>63.209733808643477</v>
      </c>
      <c r="H23" s="4">
        <f t="shared" si="2"/>
        <v>12552.140607573212</v>
      </c>
      <c r="I23" s="4">
        <f t="shared" si="3"/>
        <v>547.57015742642022</v>
      </c>
      <c r="J23" s="9">
        <f>'1990-10'!J23</f>
        <v>1314.9</v>
      </c>
      <c r="K23" s="9">
        <f>'1990-10'!K23</f>
        <v>720000</v>
      </c>
      <c r="L23" s="22">
        <f t="shared" si="4"/>
        <v>6873177.6085274257</v>
      </c>
      <c r="M23" s="22">
        <f t="shared" si="5"/>
        <v>720000</v>
      </c>
      <c r="N23" s="19" t="s">
        <v>92</v>
      </c>
      <c r="O23" s="4">
        <f t="shared" si="6"/>
        <v>337.57852308160312</v>
      </c>
      <c r="P23" s="13">
        <f>'1990-10'!P23</f>
        <v>443882</v>
      </c>
      <c r="Q23" s="22">
        <f t="shared" si="7"/>
        <v>4237333.0878171818</v>
      </c>
      <c r="R23" s="13">
        <f t="shared" si="8"/>
        <v>443882</v>
      </c>
    </row>
    <row r="24" spans="1:18">
      <c r="A24" s="18" t="s">
        <v>75</v>
      </c>
      <c r="B24" s="4">
        <f>'1990-10'!B24</f>
        <v>63.219918440805898</v>
      </c>
      <c r="C24" s="4">
        <f>'1990-10'!C24</f>
        <v>65.116515994030081</v>
      </c>
      <c r="D24" s="16">
        <f t="shared" si="9"/>
        <v>94829.877661208855</v>
      </c>
      <c r="E24" s="4">
        <f>'Interval Circuities'!J24</f>
        <v>1.2317795249177137</v>
      </c>
      <c r="F24" s="4">
        <f t="shared" si="0"/>
        <v>51.324053665390458</v>
      </c>
      <c r="G24" s="4">
        <f t="shared" si="1"/>
        <v>76.986080498085684</v>
      </c>
      <c r="H24" s="4">
        <f t="shared" si="2"/>
        <v>18619.769123462251</v>
      </c>
      <c r="I24" s="4">
        <f t="shared" si="3"/>
        <v>587.90735391009071</v>
      </c>
      <c r="J24" s="9">
        <f>'1990-10'!J24</f>
        <v>1973.1</v>
      </c>
      <c r="K24" s="9">
        <f>'1990-10'!K24</f>
        <v>1160000</v>
      </c>
      <c r="L24" s="22">
        <f t="shared" si="4"/>
        <v>10946699.195791502</v>
      </c>
      <c r="M24" s="22">
        <f t="shared" si="5"/>
        <v>1160000</v>
      </c>
      <c r="N24" s="19" t="s">
        <v>92</v>
      </c>
      <c r="O24" s="4">
        <f t="shared" si="6"/>
        <v>390.91227003192949</v>
      </c>
      <c r="P24" s="13">
        <f>'1990-10'!P24</f>
        <v>771309</v>
      </c>
      <c r="Q24" s="22">
        <f t="shared" si="7"/>
        <v>7278696.2155230585</v>
      </c>
      <c r="R24" s="13">
        <f t="shared" si="8"/>
        <v>771309</v>
      </c>
    </row>
    <row r="25" spans="1:18">
      <c r="A25" s="18" t="s">
        <v>63</v>
      </c>
      <c r="B25" s="4">
        <f>'1990-10'!B25</f>
        <v>58.291697709553844</v>
      </c>
      <c r="C25" s="4">
        <f>'1990-10'!C25</f>
        <v>60.040448640840452</v>
      </c>
      <c r="D25" s="16">
        <f t="shared" si="9"/>
        <v>87437.546564330769</v>
      </c>
      <c r="E25" s="4">
        <f>'Interval Circuities'!J25</f>
        <v>1.3262462737318623</v>
      </c>
      <c r="F25" s="4">
        <f t="shared" si="0"/>
        <v>43.952393204868024</v>
      </c>
      <c r="G25" s="4">
        <f t="shared" si="1"/>
        <v>65.928589807302032</v>
      </c>
      <c r="H25" s="4">
        <f t="shared" si="2"/>
        <v>13655.180510069971</v>
      </c>
      <c r="I25" s="4">
        <f t="shared" si="3"/>
        <v>1175.4827875734677</v>
      </c>
      <c r="J25" s="9">
        <f>'1990-10'!J25</f>
        <v>595.5</v>
      </c>
      <c r="K25" s="9">
        <f>'1990-10'!K25</f>
        <v>700000</v>
      </c>
      <c r="L25" s="22">
        <f t="shared" si="4"/>
        <v>16051429.650795937</v>
      </c>
      <c r="M25" s="22">
        <f t="shared" si="5"/>
        <v>700000</v>
      </c>
      <c r="N25" s="19" t="s">
        <v>92</v>
      </c>
      <c r="O25" s="4">
        <f t="shared" si="6"/>
        <v>623.22082283795135</v>
      </c>
      <c r="P25" s="13">
        <f>'1990-10'!P25</f>
        <v>371128</v>
      </c>
      <c r="Q25" s="22">
        <f t="shared" si="7"/>
        <v>8510192.8334865645</v>
      </c>
      <c r="R25" s="13">
        <f t="shared" si="8"/>
        <v>371128</v>
      </c>
    </row>
    <row r="26" spans="1:18" ht="16">
      <c r="A26" s="18" t="s">
        <v>121</v>
      </c>
      <c r="B26" s="4">
        <f>'1990-10'!B26</f>
        <v>48.116227796764051</v>
      </c>
      <c r="C26" s="4">
        <f>'1990-10'!C26</f>
        <v>49.559714630666974</v>
      </c>
      <c r="D26" s="16">
        <f t="shared" si="9"/>
        <v>72174.341695146068</v>
      </c>
      <c r="E26" s="4">
        <f>'Interval Circuities'!J26</f>
        <v>1.2490194092718765</v>
      </c>
      <c r="F26" s="4">
        <f t="shared" si="0"/>
        <v>38.523202633667395</v>
      </c>
      <c r="G26" s="4">
        <f t="shared" si="1"/>
        <v>57.784803950501093</v>
      </c>
      <c r="H26" s="4">
        <f t="shared" si="2"/>
        <v>10490.040405687792</v>
      </c>
      <c r="I26" s="4">
        <f t="shared" si="3"/>
        <v>2243.0420521281399</v>
      </c>
      <c r="J26" s="9">
        <f>'1990-10'!J26</f>
        <v>5091.3</v>
      </c>
      <c r="K26" s="9">
        <f>'1990-10'!K26</f>
        <v>11420000</v>
      </c>
      <c r="L26" s="22">
        <f t="shared" si="4"/>
        <v>23529601.758481052</v>
      </c>
      <c r="M26" s="22">
        <f t="shared" si="5"/>
        <v>11420000</v>
      </c>
      <c r="N26" s="19" t="s">
        <v>92</v>
      </c>
      <c r="O26" s="4">
        <f t="shared" si="6"/>
        <v>1186.7479818513934</v>
      </c>
      <c r="P26" s="13">
        <f>'1990-10'!P26</f>
        <v>6042090</v>
      </c>
      <c r="Q26" s="22">
        <f t="shared" si="7"/>
        <v>12449034.280989559</v>
      </c>
      <c r="R26" s="13">
        <f t="shared" si="8"/>
        <v>6042090</v>
      </c>
    </row>
    <row r="27" spans="1:18">
      <c r="A27" s="18" t="s">
        <v>42</v>
      </c>
      <c r="B27" s="4">
        <f>'1990-10'!B27</f>
        <v>62.487212851553508</v>
      </c>
      <c r="C27" s="4">
        <f>'1990-10'!C27</f>
        <v>64.986701365615659</v>
      </c>
      <c r="D27" s="16">
        <f t="shared" si="9"/>
        <v>93730.819277330258</v>
      </c>
      <c r="E27" s="4">
        <f>'Interval Circuities'!J27</f>
        <v>1.2981553223941871</v>
      </c>
      <c r="F27" s="4">
        <f t="shared" si="0"/>
        <v>48.135390098242155</v>
      </c>
      <c r="G27" s="4">
        <f t="shared" si="1"/>
        <v>72.203085147363225</v>
      </c>
      <c r="H27" s="4">
        <f t="shared" si="2"/>
        <v>16378.019442937619</v>
      </c>
      <c r="I27" s="4">
        <f t="shared" si="3"/>
        <v>1106.8597977589507</v>
      </c>
      <c r="J27" s="9">
        <f>'1990-10'!J27</f>
        <v>731.8</v>
      </c>
      <c r="K27" s="9">
        <f>'1990-10'!K27</f>
        <v>810000</v>
      </c>
      <c r="L27" s="22">
        <f t="shared" si="4"/>
        <v>18128171.288302094</v>
      </c>
      <c r="M27" s="22">
        <f t="shared" si="5"/>
        <v>810000</v>
      </c>
      <c r="N27" s="19" t="s">
        <v>92</v>
      </c>
      <c r="O27" s="4">
        <f t="shared" si="6"/>
        <v>610.65318393003554</v>
      </c>
      <c r="P27" s="13">
        <f>'1990-10'!P27</f>
        <v>446876</v>
      </c>
      <c r="Q27" s="22">
        <f t="shared" si="7"/>
        <v>10001289.719297884</v>
      </c>
      <c r="R27" s="13">
        <f t="shared" si="8"/>
        <v>446876</v>
      </c>
    </row>
    <row r="28" spans="1:18">
      <c r="A28" s="18" t="s">
        <v>43</v>
      </c>
      <c r="B28" s="4">
        <f>'1990-10'!B28</f>
        <v>65.308032205055966</v>
      </c>
      <c r="C28" s="4">
        <f>'1990-10'!C28</f>
        <v>67.920353493258204</v>
      </c>
      <c r="D28" s="16">
        <f t="shared" si="9"/>
        <v>97962.048307583958</v>
      </c>
      <c r="E28" s="4">
        <f>'Interval Circuities'!J28</f>
        <v>1.2462450438919415</v>
      </c>
      <c r="F28" s="4">
        <f t="shared" si="0"/>
        <v>52.403845074563563</v>
      </c>
      <c r="G28" s="4">
        <f t="shared" si="1"/>
        <v>78.605767611845351</v>
      </c>
      <c r="H28" s="4">
        <f t="shared" si="2"/>
        <v>19411.482238034496</v>
      </c>
      <c r="I28" s="4">
        <f t="shared" si="3"/>
        <v>973.62164609985291</v>
      </c>
      <c r="J28" s="9">
        <f>'1990-10'!J28</f>
        <v>883.3</v>
      </c>
      <c r="K28" s="9">
        <f>'1990-10'!K28</f>
        <v>860000</v>
      </c>
      <c r="L28" s="22">
        <f t="shared" si="4"/>
        <v>18899439.289833203</v>
      </c>
      <c r="M28" s="22">
        <f t="shared" si="5"/>
        <v>860000</v>
      </c>
      <c r="N28" s="19" t="s">
        <v>92</v>
      </c>
      <c r="O28" s="4">
        <f t="shared" si="6"/>
        <v>507.45726253820902</v>
      </c>
      <c r="P28" s="13">
        <f>'1990-10'!P28</f>
        <v>448237</v>
      </c>
      <c r="Q28" s="22">
        <f t="shared" si="7"/>
        <v>9850497.6383220516</v>
      </c>
      <c r="R28" s="13">
        <f t="shared" si="8"/>
        <v>448237</v>
      </c>
    </row>
    <row r="29" spans="1:18">
      <c r="A29" s="18" t="s">
        <v>44</v>
      </c>
      <c r="B29" s="4">
        <f>'1990-10'!B29</f>
        <v>64.485521071986952</v>
      </c>
      <c r="C29" s="4">
        <f>'1990-10'!C29</f>
        <v>67.064941914866438</v>
      </c>
      <c r="D29" s="16">
        <f t="shared" si="9"/>
        <v>96728.281607980418</v>
      </c>
      <c r="E29" s="4">
        <f>'Interval Circuities'!J29</f>
        <v>1.1687494009015562</v>
      </c>
      <c r="F29" s="4">
        <f t="shared" si="0"/>
        <v>55.17480567026923</v>
      </c>
      <c r="G29" s="4">
        <f t="shared" si="1"/>
        <v>82.762208505403848</v>
      </c>
      <c r="H29" s="4">
        <f t="shared" si="2"/>
        <v>21518.600125215788</v>
      </c>
      <c r="I29" s="4">
        <f t="shared" si="3"/>
        <v>927.60180995475116</v>
      </c>
      <c r="J29" s="9">
        <f>'1990-10'!J29</f>
        <v>1326</v>
      </c>
      <c r="K29" s="9">
        <f>'1990-10'!K29</f>
        <v>1230000</v>
      </c>
      <c r="L29" s="22">
        <f t="shared" si="4"/>
        <v>19960692.423842698</v>
      </c>
      <c r="M29" s="22">
        <f t="shared" si="5"/>
        <v>1230000</v>
      </c>
      <c r="N29" s="19" t="s">
        <v>92</v>
      </c>
      <c r="O29" s="4">
        <f t="shared" si="6"/>
        <v>582.76923076923072</v>
      </c>
      <c r="P29" s="13">
        <f>'1990-10'!P29</f>
        <v>772752</v>
      </c>
      <c r="Q29" s="22">
        <f t="shared" si="7"/>
        <v>12540378.042202676</v>
      </c>
      <c r="R29" s="13">
        <f t="shared" si="8"/>
        <v>772752</v>
      </c>
    </row>
    <row r="30" spans="1:18">
      <c r="A30" s="18" t="s">
        <v>45</v>
      </c>
      <c r="B30" s="4">
        <f>'1990-10'!B30</f>
        <v>63.564185114523426</v>
      </c>
      <c r="C30" s="4">
        <f>'1990-10'!C30</f>
        <v>66.106752519104361</v>
      </c>
      <c r="D30" s="16">
        <f t="shared" si="9"/>
        <v>95346.277671785152</v>
      </c>
      <c r="E30" s="4">
        <f>'Interval Circuities'!J30</f>
        <v>1.2111779645088356</v>
      </c>
      <c r="F30" s="4">
        <f t="shared" si="0"/>
        <v>52.481292573961554</v>
      </c>
      <c r="G30" s="4">
        <f t="shared" si="1"/>
        <v>78.721938860942331</v>
      </c>
      <c r="H30" s="4">
        <f t="shared" si="2"/>
        <v>19468.900989294878</v>
      </c>
      <c r="I30" s="4">
        <f t="shared" si="3"/>
        <v>730.08608477716029</v>
      </c>
      <c r="J30" s="9">
        <f>'1990-10'!J30</f>
        <v>2753.1</v>
      </c>
      <c r="K30" s="9">
        <f>'1990-10'!K30</f>
        <v>2010000</v>
      </c>
      <c r="L30" s="22">
        <f t="shared" si="4"/>
        <v>14213973.69818848</v>
      </c>
      <c r="M30" s="22">
        <f t="shared" si="5"/>
        <v>2010000</v>
      </c>
      <c r="N30" s="19" t="s">
        <v>92</v>
      </c>
      <c r="O30" s="4">
        <f t="shared" si="6"/>
        <v>474.96422214957687</v>
      </c>
      <c r="P30" s="13">
        <f>'1990-10'!P30</f>
        <v>1307624</v>
      </c>
      <c r="Q30" s="22">
        <f t="shared" si="7"/>
        <v>9247031.4144875687</v>
      </c>
      <c r="R30" s="13">
        <f t="shared" si="8"/>
        <v>1307624</v>
      </c>
    </row>
    <row r="31" spans="1:18">
      <c r="A31" s="18" t="s">
        <v>46</v>
      </c>
      <c r="B31" s="4">
        <f>'1990-10'!B31</f>
        <v>63.734436519319452</v>
      </c>
      <c r="C31" s="4">
        <f>'1990-10'!C31</f>
        <v>66.283813980092233</v>
      </c>
      <c r="D31" s="16">
        <f t="shared" si="9"/>
        <v>95601.65477897918</v>
      </c>
      <c r="E31" s="4">
        <f>'Interval Circuities'!J31</f>
        <v>1.2500066845621041</v>
      </c>
      <c r="F31" s="4">
        <f t="shared" si="0"/>
        <v>50.98727655336225</v>
      </c>
      <c r="G31" s="4">
        <f t="shared" si="1"/>
        <v>76.480914830043375</v>
      </c>
      <c r="H31" s="4">
        <f t="shared" si="2"/>
        <v>18376.213203327814</v>
      </c>
      <c r="I31" s="4">
        <f t="shared" si="3"/>
        <v>451.20587765532662</v>
      </c>
      <c r="J31" s="9">
        <f>'1990-10'!J31</f>
        <v>1252.2</v>
      </c>
      <c r="K31" s="9">
        <f>'1990-10'!K31</f>
        <v>565000</v>
      </c>
      <c r="L31" s="22">
        <f t="shared" si="4"/>
        <v>8291455.4063889273</v>
      </c>
      <c r="M31" s="22">
        <f t="shared" si="5"/>
        <v>565000</v>
      </c>
      <c r="N31" s="19" t="s">
        <v>92</v>
      </c>
      <c r="O31" s="4">
        <f t="shared" si="6"/>
        <v>395.8768567321514</v>
      </c>
      <c r="P31" s="13">
        <f>'1990-10'!P31</f>
        <v>495717</v>
      </c>
      <c r="Q31" s="22">
        <f t="shared" si="7"/>
        <v>7274717.5215732735</v>
      </c>
      <c r="R31" s="13">
        <f t="shared" si="8"/>
        <v>495717</v>
      </c>
    </row>
    <row r="32" spans="1:18">
      <c r="A32" s="18" t="s">
        <v>47</v>
      </c>
      <c r="B32" s="4">
        <f>'1990-10'!B32</f>
        <v>62.636693012318808</v>
      </c>
      <c r="C32" s="4">
        <f>'1990-10'!C32</f>
        <v>65.142160732811561</v>
      </c>
      <c r="D32" s="16">
        <f t="shared" si="9"/>
        <v>93955.03951847821</v>
      </c>
      <c r="E32" s="4">
        <f>'Interval Circuities'!J32</f>
        <v>1.3135288044033089</v>
      </c>
      <c r="F32" s="4">
        <f t="shared" si="0"/>
        <v>47.685816102656773</v>
      </c>
      <c r="G32" s="4">
        <f t="shared" si="1"/>
        <v>71.528724153985166</v>
      </c>
      <c r="H32" s="4">
        <f t="shared" si="2"/>
        <v>16073.513896903405</v>
      </c>
      <c r="I32" s="4">
        <f t="shared" si="3"/>
        <v>1501.072194424589</v>
      </c>
      <c r="J32" s="9">
        <f>'1990-10'!J32</f>
        <v>699.5</v>
      </c>
      <c r="K32" s="9">
        <f>'1990-10'!K32</f>
        <v>1050000</v>
      </c>
      <c r="L32" s="22">
        <f t="shared" si="4"/>
        <v>24127504.777338922</v>
      </c>
      <c r="M32" s="22">
        <f t="shared" si="5"/>
        <v>1050000</v>
      </c>
      <c r="N32" s="19" t="s">
        <v>92</v>
      </c>
      <c r="O32" s="4">
        <f t="shared" si="6"/>
        <v>735.84846318799146</v>
      </c>
      <c r="P32" s="13">
        <f>'1990-10'!P32</f>
        <v>514726</v>
      </c>
      <c r="Q32" s="22">
        <f t="shared" si="7"/>
        <v>11827670.499067195</v>
      </c>
      <c r="R32" s="13">
        <f t="shared" si="8"/>
        <v>514726</v>
      </c>
    </row>
    <row r="33" spans="1:18">
      <c r="A33" s="18" t="s">
        <v>65</v>
      </c>
      <c r="B33" s="4">
        <f>'1990-10'!B33</f>
        <v>59.42988867805861</v>
      </c>
      <c r="C33" s="4">
        <f>'1990-10'!C33</f>
        <v>62.40138311196155</v>
      </c>
      <c r="D33" s="16">
        <f t="shared" si="9"/>
        <v>89144.83301708792</v>
      </c>
      <c r="E33" s="4">
        <f>'Interval Circuities'!J33</f>
        <v>1.2250064344151086</v>
      </c>
      <c r="F33" s="4">
        <f t="shared" si="0"/>
        <v>48.513940015697955</v>
      </c>
      <c r="G33" s="4">
        <f t="shared" si="1"/>
        <v>72.770910023546932</v>
      </c>
      <c r="H33" s="4">
        <f t="shared" si="2"/>
        <v>16636.6348502211</v>
      </c>
      <c r="I33" s="4">
        <f t="shared" si="3"/>
        <v>2072.7310590777161</v>
      </c>
      <c r="J33" s="9">
        <f>'1990-10'!J33</f>
        <v>7683.1</v>
      </c>
      <c r="K33" s="9">
        <f>'1990-10'!K33</f>
        <v>15925000</v>
      </c>
      <c r="L33" s="22">
        <f t="shared" si="4"/>
        <v>34483269.772588022</v>
      </c>
      <c r="M33" s="22">
        <f t="shared" si="5"/>
        <v>15925000</v>
      </c>
      <c r="N33" s="19" t="s">
        <v>92</v>
      </c>
      <c r="O33" s="4">
        <f t="shared" si="6"/>
        <v>1112.8936236675299</v>
      </c>
      <c r="P33" s="13">
        <f>'1990-10'!P33</f>
        <v>8550473</v>
      </c>
      <c r="Q33" s="22">
        <f t="shared" si="7"/>
        <v>18514804.844096076</v>
      </c>
      <c r="R33" s="13">
        <f t="shared" si="8"/>
        <v>8550473</v>
      </c>
    </row>
    <row r="34" spans="1:18">
      <c r="A34" s="18" t="s">
        <v>66</v>
      </c>
      <c r="B34" s="4">
        <f>'1990-10'!B34</f>
        <v>69.714425398287744</v>
      </c>
      <c r="C34" s="4">
        <f>'1990-10'!C34</f>
        <v>72.503002414219253</v>
      </c>
      <c r="D34" s="16">
        <f t="shared" si="9"/>
        <v>104571.63809743161</v>
      </c>
      <c r="E34" s="4">
        <f>'Interval Circuities'!J34</f>
        <v>1.242139526018162</v>
      </c>
      <c r="F34" s="4">
        <f t="shared" si="0"/>
        <v>56.124472281923353</v>
      </c>
      <c r="G34" s="4">
        <f t="shared" si="1"/>
        <v>84.186708422885033</v>
      </c>
      <c r="H34" s="4">
        <f t="shared" si="2"/>
        <v>22265.729663789418</v>
      </c>
      <c r="I34" s="4">
        <f t="shared" si="3"/>
        <v>411.8665313675163</v>
      </c>
      <c r="J34" s="9">
        <f>'1990-10'!J34</f>
        <v>1675.3</v>
      </c>
      <c r="K34" s="9">
        <f>'1990-10'!K34</f>
        <v>690000</v>
      </c>
      <c r="L34" s="22">
        <f t="shared" si="4"/>
        <v>9170508.8449917622</v>
      </c>
      <c r="M34" s="22">
        <f t="shared" si="5"/>
        <v>690000</v>
      </c>
      <c r="N34" s="19" t="s">
        <v>92</v>
      </c>
      <c r="O34" s="4">
        <f t="shared" si="6"/>
        <v>268.68143019160749</v>
      </c>
      <c r="P34" s="13">
        <f>'1990-10'!P34</f>
        <v>450122</v>
      </c>
      <c r="Q34" s="22">
        <f t="shared" si="7"/>
        <v>5982388.0903266408</v>
      </c>
      <c r="R34" s="13">
        <f t="shared" si="8"/>
        <v>450122</v>
      </c>
    </row>
    <row r="35" spans="1:18">
      <c r="A35" s="18" t="s">
        <v>48</v>
      </c>
      <c r="B35" s="4">
        <f>'1990-10'!B35</f>
        <v>58.78311324728174</v>
      </c>
      <c r="C35" s="4">
        <f>'1990-10'!C35</f>
        <v>61.722268909645827</v>
      </c>
      <c r="D35" s="16">
        <f t="shared" si="9"/>
        <v>88174.669870922618</v>
      </c>
      <c r="E35" s="4">
        <f>'Interval Circuities'!J35</f>
        <v>1.2853519714869961</v>
      </c>
      <c r="F35" s="4">
        <f t="shared" si="0"/>
        <v>45.733086774105011</v>
      </c>
      <c r="G35" s="4">
        <f t="shared" si="1"/>
        <v>68.599630161157521</v>
      </c>
      <c r="H35" s="4">
        <f t="shared" si="2"/>
        <v>14784.049954170829</v>
      </c>
      <c r="I35" s="4">
        <f t="shared" si="3"/>
        <v>841.40495059191858</v>
      </c>
      <c r="J35" s="9">
        <f>'1990-10'!J35</f>
        <v>1022.1</v>
      </c>
      <c r="K35" s="9">
        <f>'1990-10'!K35</f>
        <v>860000</v>
      </c>
      <c r="L35" s="22">
        <f t="shared" si="4"/>
        <v>12439372.821237562</v>
      </c>
      <c r="M35" s="22">
        <f t="shared" si="5"/>
        <v>860000</v>
      </c>
      <c r="N35" s="19" t="s">
        <v>92</v>
      </c>
      <c r="O35" s="4">
        <f t="shared" si="6"/>
        <v>545.39477546228352</v>
      </c>
      <c r="P35" s="13">
        <f>'1990-10'!P35</f>
        <v>557448</v>
      </c>
      <c r="Q35" s="22">
        <f t="shared" si="7"/>
        <v>8063143.605178182</v>
      </c>
      <c r="R35" s="13">
        <f t="shared" si="8"/>
        <v>557448</v>
      </c>
    </row>
    <row r="36" spans="1:18">
      <c r="A36" s="18" t="s">
        <v>67</v>
      </c>
      <c r="B36" s="4">
        <f>'1990-10'!B36</f>
        <v>63.176257053555211</v>
      </c>
      <c r="C36" s="4">
        <f>'1990-10'!C36</f>
        <v>66.966832476768531</v>
      </c>
      <c r="D36" s="16">
        <f t="shared" si="9"/>
        <v>94764.385580332819</v>
      </c>
      <c r="E36" s="4">
        <f>'Interval Circuities'!J36</f>
        <v>1.1487822147683098</v>
      </c>
      <c r="F36" s="4">
        <f t="shared" si="0"/>
        <v>54.994111365396449</v>
      </c>
      <c r="G36" s="4">
        <f t="shared" si="1"/>
        <v>82.491167048094667</v>
      </c>
      <c r="H36" s="4">
        <f t="shared" si="2"/>
        <v>21377.886570031325</v>
      </c>
      <c r="I36" s="4">
        <f t="shared" si="3"/>
        <v>1518.9201737803867</v>
      </c>
      <c r="J36" s="9">
        <f>'1990-10'!J36</f>
        <v>3015.3</v>
      </c>
      <c r="K36" s="9">
        <f>'1990-10'!K36</f>
        <v>4580000</v>
      </c>
      <c r="L36" s="22">
        <f t="shared" si="4"/>
        <v>32471303.184009377</v>
      </c>
      <c r="M36" s="22">
        <f t="shared" si="5"/>
        <v>4580000</v>
      </c>
      <c r="N36" s="19" t="s">
        <v>92</v>
      </c>
      <c r="O36" s="4">
        <f t="shared" si="6"/>
        <v>926.91175007461936</v>
      </c>
      <c r="P36" s="13">
        <f>'1990-10'!P36</f>
        <v>2794917</v>
      </c>
      <c r="Q36" s="22">
        <f t="shared" si="7"/>
        <v>19815414.253524438</v>
      </c>
      <c r="R36" s="13">
        <f t="shared" si="8"/>
        <v>2794917</v>
      </c>
    </row>
    <row r="37" spans="1:18">
      <c r="A37" s="18" t="s">
        <v>49</v>
      </c>
      <c r="B37" s="4">
        <f>'1990-10'!B37</f>
        <v>62.02920484038443</v>
      </c>
      <c r="C37" s="4">
        <f>'1990-10'!C37</f>
        <v>65.130665082403652</v>
      </c>
      <c r="D37" s="16">
        <f t="shared" si="9"/>
        <v>93043.807260576636</v>
      </c>
      <c r="E37" s="4">
        <f>'Interval Circuities'!J37</f>
        <v>1.2441574943956268</v>
      </c>
      <c r="F37" s="4">
        <f t="shared" si="0"/>
        <v>49.856392876141697</v>
      </c>
      <c r="G37" s="4">
        <f t="shared" si="1"/>
        <v>74.784589314212553</v>
      </c>
      <c r="H37" s="4">
        <f t="shared" si="2"/>
        <v>17570.094557685887</v>
      </c>
      <c r="I37" s="4">
        <f t="shared" si="3"/>
        <v>987.28769407106381</v>
      </c>
      <c r="J37" s="9">
        <f>'1990-10'!J37</f>
        <v>1919.4</v>
      </c>
      <c r="K37" s="9">
        <f>'1990-10'!K37</f>
        <v>1895000</v>
      </c>
      <c r="L37" s="22">
        <f t="shared" si="4"/>
        <v>17346738.140468247</v>
      </c>
      <c r="M37" s="22">
        <f t="shared" si="5"/>
        <v>1895000</v>
      </c>
      <c r="N37" s="19" t="s">
        <v>92</v>
      </c>
      <c r="O37" s="4">
        <f t="shared" si="6"/>
        <v>519.17005314160667</v>
      </c>
      <c r="P37" s="13">
        <f>'1990-10'!P37</f>
        <v>996495</v>
      </c>
      <c r="Q37" s="22">
        <f t="shared" si="7"/>
        <v>9121866.9252168369</v>
      </c>
      <c r="R37" s="13">
        <f t="shared" si="8"/>
        <v>996495</v>
      </c>
    </row>
    <row r="38" spans="1:18">
      <c r="A38" s="18" t="s">
        <v>50</v>
      </c>
      <c r="B38" s="4">
        <f>'1990-10'!B38</f>
        <v>65.42916793409438</v>
      </c>
      <c r="C38" s="4">
        <f>'1990-10'!C38</f>
        <v>68.700626330799111</v>
      </c>
      <c r="D38" s="16">
        <f t="shared" si="9"/>
        <v>98143.751901141572</v>
      </c>
      <c r="E38" s="4">
        <f>'Interval Circuities'!J38</f>
        <v>1.230645564176768</v>
      </c>
      <c r="F38" s="4">
        <f t="shared" si="0"/>
        <v>53.166541072987805</v>
      </c>
      <c r="G38" s="4">
        <f t="shared" si="1"/>
        <v>79.749811609481711</v>
      </c>
      <c r="H38" s="4">
        <f t="shared" si="2"/>
        <v>19980.631227003643</v>
      </c>
      <c r="I38" s="4">
        <f t="shared" si="3"/>
        <v>883.28701865819767</v>
      </c>
      <c r="J38" s="9">
        <f>'1990-10'!J38</f>
        <v>2015.2</v>
      </c>
      <c r="K38" s="9">
        <f>'1990-10'!K38</f>
        <v>1780000</v>
      </c>
      <c r="L38" s="22">
        <f t="shared" si="4"/>
        <v>17648632.187408935</v>
      </c>
      <c r="M38" s="22">
        <f t="shared" si="5"/>
        <v>1780000</v>
      </c>
      <c r="N38" s="19" t="s">
        <v>92</v>
      </c>
      <c r="O38" s="4">
        <f t="shared" si="6"/>
        <v>474.4710202461294</v>
      </c>
      <c r="P38" s="13">
        <f>'1990-10'!P38</f>
        <v>956154</v>
      </c>
      <c r="Q38" s="22">
        <f t="shared" si="7"/>
        <v>9480230.4834380914</v>
      </c>
      <c r="R38" s="13">
        <f t="shared" si="8"/>
        <v>956154</v>
      </c>
    </row>
    <row r="39" spans="1:18">
      <c r="A39" s="18" t="s">
        <v>51</v>
      </c>
      <c r="B39" s="4">
        <f>'1990-10'!B39</f>
        <v>65.140770915733583</v>
      </c>
      <c r="C39" s="4">
        <f>'1990-10'!C39</f>
        <v>68.397809461520268</v>
      </c>
      <c r="D39" s="16">
        <f t="shared" si="9"/>
        <v>97711.156373600374</v>
      </c>
      <c r="E39" s="4">
        <f>'Interval Circuities'!J39</f>
        <v>1.4090100947005904</v>
      </c>
      <c r="F39" s="4">
        <f t="shared" si="0"/>
        <v>46.231585679005207</v>
      </c>
      <c r="G39" s="4">
        <f t="shared" si="1"/>
        <v>69.34737851850781</v>
      </c>
      <c r="H39" s="4">
        <f t="shared" si="2"/>
        <v>15108.104134134464</v>
      </c>
      <c r="I39" s="4">
        <f t="shared" si="3"/>
        <v>1184.1974325803562</v>
      </c>
      <c r="J39" s="9">
        <f>'1990-10'!J39</f>
        <v>1004.9</v>
      </c>
      <c r="K39" s="9">
        <f>'1990-10'!K39</f>
        <v>1190000</v>
      </c>
      <c r="L39" s="22">
        <f t="shared" si="4"/>
        <v>17890978.126798701</v>
      </c>
      <c r="M39" s="22">
        <f t="shared" si="5"/>
        <v>1190000</v>
      </c>
      <c r="N39" s="19" t="s">
        <v>92</v>
      </c>
      <c r="O39" s="4">
        <f t="shared" si="6"/>
        <v>720.99910438849633</v>
      </c>
      <c r="P39" s="13">
        <f>'1990-10'!P39</f>
        <v>724532</v>
      </c>
      <c r="Q39" s="22">
        <f t="shared" si="7"/>
        <v>10892929.549719088</v>
      </c>
      <c r="R39" s="13">
        <f t="shared" si="8"/>
        <v>724532</v>
      </c>
    </row>
    <row r="40" spans="1:18">
      <c r="A40" s="18" t="s">
        <v>52</v>
      </c>
      <c r="B40" s="4">
        <f>'1990-10'!B40</f>
        <v>70.338872065042395</v>
      </c>
      <c r="C40" s="4">
        <f>'1990-10'!C40</f>
        <v>75.262593109595372</v>
      </c>
      <c r="D40" s="16">
        <f t="shared" si="9"/>
        <v>105508.3080975636</v>
      </c>
      <c r="E40" s="4">
        <f>'Interval Circuities'!J40</f>
        <v>1.3034961857915537</v>
      </c>
      <c r="F40" s="4">
        <f t="shared" si="0"/>
        <v>53.96170148540083</v>
      </c>
      <c r="G40" s="4">
        <f t="shared" si="1"/>
        <v>80.942552228101249</v>
      </c>
      <c r="H40" s="4">
        <f t="shared" si="2"/>
        <v>20582.762413530501</v>
      </c>
      <c r="I40" s="4">
        <f t="shared" si="3"/>
        <v>1415.4601861427093</v>
      </c>
      <c r="J40" s="9">
        <f>'1990-10'!J40</f>
        <v>773.6</v>
      </c>
      <c r="K40" s="9">
        <f>'1990-10'!K40</f>
        <v>1095000</v>
      </c>
      <c r="L40" s="22">
        <f t="shared" si="4"/>
        <v>29134080.717187043</v>
      </c>
      <c r="M40" s="22">
        <f t="shared" si="5"/>
        <v>1095000</v>
      </c>
      <c r="N40" s="19" t="s">
        <v>92</v>
      </c>
      <c r="O40" s="4">
        <f t="shared" si="6"/>
        <v>704.06928645294727</v>
      </c>
      <c r="P40" s="13">
        <f>'1990-10'!P40</f>
        <v>544668</v>
      </c>
      <c r="Q40" s="22">
        <f t="shared" si="7"/>
        <v>14491690.845724963</v>
      </c>
      <c r="R40" s="13">
        <f t="shared" si="8"/>
        <v>544668</v>
      </c>
    </row>
    <row r="41" spans="1:18">
      <c r="A41" s="18" t="s">
        <v>53</v>
      </c>
      <c r="B41" s="4">
        <f>'1990-10'!B41</f>
        <v>68.778714095226661</v>
      </c>
      <c r="C41" s="4">
        <f>'1990-10'!C41</f>
        <v>74.281011222844796</v>
      </c>
      <c r="D41" s="16">
        <f t="shared" si="9"/>
        <v>103168.07114284</v>
      </c>
      <c r="E41" s="4">
        <f>'Interval Circuities'!J41</f>
        <v>1.1804905890715129</v>
      </c>
      <c r="F41" s="4">
        <f t="shared" si="0"/>
        <v>58.262822873770588</v>
      </c>
      <c r="G41" s="4">
        <f t="shared" si="1"/>
        <v>87.394234310655889</v>
      </c>
      <c r="H41" s="4">
        <f t="shared" si="2"/>
        <v>23994.706172386424</v>
      </c>
      <c r="I41" s="4">
        <f t="shared" si="3"/>
        <v>1097.213078779899</v>
      </c>
      <c r="J41" s="9">
        <f>'1990-10'!J41</f>
        <v>455.7</v>
      </c>
      <c r="K41" s="9">
        <f>'1990-10'!K41</f>
        <v>500000</v>
      </c>
      <c r="L41" s="22">
        <f t="shared" si="4"/>
        <v>26327305.433823153</v>
      </c>
      <c r="M41" s="22">
        <f t="shared" si="5"/>
        <v>500000</v>
      </c>
      <c r="N41" s="19" t="s">
        <v>92</v>
      </c>
      <c r="O41" s="4">
        <f t="shared" si="6"/>
        <v>877.11432960280888</v>
      </c>
      <c r="P41" s="13">
        <f>'1990-10'!P41</f>
        <v>399701</v>
      </c>
      <c r="Q41" s="22">
        <f t="shared" si="7"/>
        <v>21046100.618409097</v>
      </c>
      <c r="R41" s="13">
        <f t="shared" si="8"/>
        <v>399701</v>
      </c>
    </row>
    <row r="42" spans="1:18">
      <c r="A42" s="18" t="s">
        <v>82</v>
      </c>
      <c r="B42" s="4">
        <f>'1990-10'!B42</f>
        <v>70.514936537683639</v>
      </c>
      <c r="C42" s="4">
        <f>'1990-10'!C42</f>
        <v>78.27157955682884</v>
      </c>
      <c r="D42" s="16">
        <f t="shared" si="9"/>
        <v>105772.40480652546</v>
      </c>
      <c r="E42" s="4">
        <f>'Interval Circuities'!J42</f>
        <v>1.1903924626591105</v>
      </c>
      <c r="F42" s="4">
        <f t="shared" si="0"/>
        <v>59.236712890609773</v>
      </c>
      <c r="G42" s="4">
        <f t="shared" si="1"/>
        <v>88.855069335914663</v>
      </c>
      <c r="H42" s="4">
        <f t="shared" si="2"/>
        <v>24803.575664412561</v>
      </c>
      <c r="I42" s="4">
        <f t="shared" si="3"/>
        <v>1079.1366906474821</v>
      </c>
      <c r="J42" s="9">
        <f>'1990-10'!J42</f>
        <v>569.9</v>
      </c>
      <c r="K42" s="9">
        <f>'1990-10'!K42</f>
        <v>615000</v>
      </c>
      <c r="L42" s="22">
        <f t="shared" si="4"/>
        <v>26766448.558718592</v>
      </c>
      <c r="M42" s="22">
        <f t="shared" si="5"/>
        <v>615000</v>
      </c>
      <c r="N42" s="19" t="s">
        <v>92</v>
      </c>
      <c r="O42" s="4">
        <f t="shared" si="6"/>
        <v>844.82716266011585</v>
      </c>
      <c r="P42" s="13">
        <f>'1990-10'!P42</f>
        <v>481467</v>
      </c>
      <c r="Q42" s="22">
        <f t="shared" si="7"/>
        <v>20954734.452391163</v>
      </c>
      <c r="R42" s="13">
        <f t="shared" si="8"/>
        <v>481467</v>
      </c>
    </row>
    <row r="43" spans="1:18">
      <c r="A43" s="18" t="s">
        <v>54</v>
      </c>
      <c r="B43" s="4">
        <f>'1990-10'!B43</f>
        <v>61.557786724693997</v>
      </c>
      <c r="C43" s="4">
        <f>'1990-10'!C43</f>
        <v>68.329143264410348</v>
      </c>
      <c r="D43" s="16">
        <f t="shared" si="9"/>
        <v>92336.680087041008</v>
      </c>
      <c r="E43" s="4">
        <f>'Interval Circuities'!J43</f>
        <v>1.4191489046882568</v>
      </c>
      <c r="F43" s="4">
        <f t="shared" si="0"/>
        <v>43.376552327478521</v>
      </c>
      <c r="G43" s="4">
        <f t="shared" si="1"/>
        <v>65.064828491217781</v>
      </c>
      <c r="H43" s="4">
        <f t="shared" si="2"/>
        <v>13299.718577220756</v>
      </c>
      <c r="I43" s="4">
        <f t="shared" si="3"/>
        <v>1272.1174973979414</v>
      </c>
      <c r="J43" s="9">
        <f>'1990-10'!J43</f>
        <v>864.7</v>
      </c>
      <c r="K43" s="9">
        <f>'1990-10'!K43</f>
        <v>1100000</v>
      </c>
      <c r="L43" s="22">
        <f t="shared" si="4"/>
        <v>16918804.712550979</v>
      </c>
      <c r="M43" s="22">
        <f t="shared" si="5"/>
        <v>1100000</v>
      </c>
      <c r="N43" s="19" t="s">
        <v>92</v>
      </c>
      <c r="O43" s="4">
        <f t="shared" si="6"/>
        <v>793.27512432057358</v>
      </c>
      <c r="P43" s="13">
        <f>'1990-10'!P43</f>
        <v>685945</v>
      </c>
      <c r="Q43" s="22">
        <f t="shared" si="7"/>
        <v>10550335.907773437</v>
      </c>
      <c r="R43" s="13">
        <f t="shared" si="8"/>
        <v>685945</v>
      </c>
    </row>
    <row r="44" spans="1:18">
      <c r="A44" s="18" t="s">
        <v>55</v>
      </c>
      <c r="B44" s="4">
        <f>'1990-10'!B44</f>
        <v>65.143959367039756</v>
      </c>
      <c r="C44" s="4">
        <f>'1990-10'!C44</f>
        <v>73.612674084754914</v>
      </c>
      <c r="D44" s="16">
        <f t="shared" si="9"/>
        <v>97715.939050559624</v>
      </c>
      <c r="E44" s="4">
        <f>'Interval Circuities'!J44</f>
        <v>1.3567658510298659</v>
      </c>
      <c r="F44" s="4">
        <f t="shared" si="0"/>
        <v>48.014150206973163</v>
      </c>
      <c r="G44" s="4">
        <f t="shared" si="1"/>
        <v>72.021225310459741</v>
      </c>
      <c r="H44" s="4">
        <f t="shared" si="2"/>
        <v>16295.619835775453</v>
      </c>
      <c r="I44" s="4">
        <f t="shared" si="3"/>
        <v>1215.620726333384</v>
      </c>
      <c r="J44" s="9">
        <f>'1990-10'!J44</f>
        <v>658.1</v>
      </c>
      <c r="K44" s="9">
        <f>'1990-10'!K44</f>
        <v>800000</v>
      </c>
      <c r="L44" s="22">
        <f t="shared" si="4"/>
        <v>19809293.220818058</v>
      </c>
      <c r="M44" s="22">
        <f t="shared" si="5"/>
        <v>800000</v>
      </c>
      <c r="N44" s="19" t="s">
        <v>92</v>
      </c>
      <c r="O44" s="4">
        <f t="shared" si="6"/>
        <v>728.36650964898945</v>
      </c>
      <c r="P44" s="13">
        <f>'1990-10'!P44</f>
        <v>479338</v>
      </c>
      <c r="Q44" s="22">
        <f t="shared" si="7"/>
        <v>11869183.742350604</v>
      </c>
      <c r="R44" s="13">
        <f t="shared" si="8"/>
        <v>479338</v>
      </c>
    </row>
    <row r="45" spans="1:18">
      <c r="A45" s="18" t="s">
        <v>68</v>
      </c>
      <c r="B45" s="4">
        <f>'1990-10'!B45</f>
        <v>68.131157212250471</v>
      </c>
      <c r="C45" s="4">
        <f>'1990-10'!C45</f>
        <v>77.66951922196553</v>
      </c>
      <c r="D45" s="16">
        <f t="shared" si="9"/>
        <v>102196.73581837572</v>
      </c>
      <c r="E45" s="4">
        <f>'Interval Circuities'!J45</f>
        <v>1.2568984728722048</v>
      </c>
      <c r="F45" s="4">
        <f t="shared" si="0"/>
        <v>54.205776108996602</v>
      </c>
      <c r="G45" s="4">
        <f t="shared" si="1"/>
        <v>81.30866416349491</v>
      </c>
      <c r="H45" s="4">
        <f t="shared" si="2"/>
        <v>20769.379636027963</v>
      </c>
      <c r="I45" s="4">
        <f t="shared" si="3"/>
        <v>1031.2913177611283</v>
      </c>
      <c r="J45" s="9">
        <f>'1990-10'!J45</f>
        <v>1134.5</v>
      </c>
      <c r="K45" s="9">
        <f>'1990-10'!K45</f>
        <v>1170000</v>
      </c>
      <c r="L45" s="22">
        <f t="shared" si="4"/>
        <v>21419280.893920422</v>
      </c>
      <c r="M45" s="22">
        <f t="shared" si="5"/>
        <v>1170000</v>
      </c>
      <c r="N45" s="19" t="s">
        <v>92</v>
      </c>
      <c r="O45" s="4">
        <f t="shared" si="6"/>
        <v>501.67386513882769</v>
      </c>
      <c r="P45" s="13">
        <f>'1990-10'!P45</f>
        <v>569149</v>
      </c>
      <c r="Q45" s="22">
        <f t="shared" si="7"/>
        <v>10419454.958541807</v>
      </c>
      <c r="R45" s="13">
        <f t="shared" si="8"/>
        <v>569149</v>
      </c>
    </row>
    <row r="46" spans="1:18">
      <c r="A46" s="18" t="s">
        <v>69</v>
      </c>
      <c r="B46" s="4">
        <f>'1990-10'!B46</f>
        <v>59.330043396898148</v>
      </c>
      <c r="C46" s="4">
        <f>'1990-10'!C46</f>
        <v>68.229549906432865</v>
      </c>
      <c r="D46" s="16">
        <f t="shared" si="9"/>
        <v>88995.065095347236</v>
      </c>
      <c r="E46" s="4">
        <f>'Interval Circuities'!J46</f>
        <v>1.4158043711614672</v>
      </c>
      <c r="F46" s="4">
        <f t="shared" si="0"/>
        <v>41.905537661411685</v>
      </c>
      <c r="G46" s="4">
        <f t="shared" si="1"/>
        <v>62.858306492117528</v>
      </c>
      <c r="H46" s="4">
        <f t="shared" si="2"/>
        <v>12412.956262299685</v>
      </c>
      <c r="I46" s="4">
        <f t="shared" si="3"/>
        <v>1283.9160839160838</v>
      </c>
      <c r="J46" s="9">
        <f>'1990-10'!J46</f>
        <v>1787.5</v>
      </c>
      <c r="K46" s="9">
        <f>'1990-10'!K46</f>
        <v>2295000</v>
      </c>
      <c r="L46" s="22">
        <f t="shared" si="4"/>
        <v>15937194.194113441</v>
      </c>
      <c r="M46" s="22">
        <f t="shared" si="5"/>
        <v>2295000</v>
      </c>
      <c r="N46" s="19" t="s">
        <v>92</v>
      </c>
      <c r="O46" s="4">
        <f t="shared" si="6"/>
        <v>688.36139860139861</v>
      </c>
      <c r="P46" s="13">
        <f>'1990-10'!P46</f>
        <v>1230446</v>
      </c>
      <c r="Q46" s="22">
        <f t="shared" si="7"/>
        <v>8544599.9334946014</v>
      </c>
      <c r="R46" s="13">
        <f t="shared" si="8"/>
        <v>1230446</v>
      </c>
    </row>
    <row r="47" spans="1:18" ht="16">
      <c r="A47" s="18" t="s">
        <v>114</v>
      </c>
      <c r="B47" s="4">
        <f>'1990-10'!B47</f>
        <v>53.936325276944842</v>
      </c>
      <c r="C47" s="4">
        <f>'1990-10'!C47</f>
        <v>62.026774068486567</v>
      </c>
      <c r="D47" s="16">
        <f t="shared" si="9"/>
        <v>80904.487915417267</v>
      </c>
      <c r="E47" s="4">
        <f>'Interval Circuities'!J47</f>
        <v>1.3561774377034035</v>
      </c>
      <c r="F47" s="4">
        <f t="shared" si="0"/>
        <v>39.770846924191886</v>
      </c>
      <c r="G47" s="4">
        <f t="shared" si="1"/>
        <v>59.656270386287829</v>
      </c>
      <c r="H47" s="4">
        <f t="shared" si="2"/>
        <v>11180.521720732879</v>
      </c>
      <c r="I47" s="4">
        <f t="shared" si="3"/>
        <v>1623.3049162948894</v>
      </c>
      <c r="J47" s="9">
        <f>'1990-10'!J47</f>
        <v>2263.9</v>
      </c>
      <c r="K47" s="9">
        <f>'1990-10'!K47</f>
        <v>3675000</v>
      </c>
      <c r="L47" s="22">
        <f t="shared" si="4"/>
        <v>18149395.876007479</v>
      </c>
      <c r="M47" s="22">
        <f t="shared" si="5"/>
        <v>3675000</v>
      </c>
      <c r="N47" s="19" t="s">
        <v>92</v>
      </c>
      <c r="O47" s="4">
        <f t="shared" si="6"/>
        <v>870.35072220504435</v>
      </c>
      <c r="P47" s="13">
        <f>'1990-10'!P47</f>
        <v>1970387</v>
      </c>
      <c r="Q47" s="22">
        <f t="shared" si="7"/>
        <v>9730975.1542690471</v>
      </c>
      <c r="R47" s="13">
        <f t="shared" si="8"/>
        <v>1970387</v>
      </c>
    </row>
    <row r="48" spans="1:18" ht="16">
      <c r="A48" s="18" t="s">
        <v>72</v>
      </c>
      <c r="B48" s="4">
        <f>'1990-10'!B48</f>
        <v>57.58663731743308</v>
      </c>
      <c r="C48" s="4">
        <f>'1990-10'!C48</f>
        <v>66.800499288222369</v>
      </c>
      <c r="D48" s="16">
        <f t="shared" si="9"/>
        <v>86379.95597614962</v>
      </c>
      <c r="E48" s="4">
        <f>'Interval Circuities'!J48</f>
        <v>1.3737245874828627</v>
      </c>
      <c r="F48" s="4">
        <f t="shared" si="0"/>
        <v>41.920074694849617</v>
      </c>
      <c r="G48" s="4">
        <f t="shared" si="1"/>
        <v>62.880112042274426</v>
      </c>
      <c r="H48" s="4">
        <f t="shared" si="2"/>
        <v>12421.569866560842</v>
      </c>
      <c r="I48" s="4">
        <f t="shared" si="3"/>
        <v>1608.4873374401095</v>
      </c>
      <c r="J48" s="9">
        <f>'1990-10'!J48</f>
        <v>876.6</v>
      </c>
      <c r="K48" s="9">
        <f>'1990-10'!K48</f>
        <v>1410000</v>
      </c>
      <c r="L48" s="22">
        <f t="shared" si="4"/>
        <v>19979937.841490746</v>
      </c>
      <c r="M48" s="22">
        <f t="shared" si="5"/>
        <v>1410000</v>
      </c>
      <c r="N48" s="19" t="s">
        <v>92</v>
      </c>
      <c r="O48" s="4">
        <f t="shared" si="6"/>
        <v>1079.5836185261237</v>
      </c>
      <c r="P48" s="13">
        <f>'1990-10'!P48</f>
        <v>946363</v>
      </c>
      <c r="Q48" s="22">
        <f t="shared" si="7"/>
        <v>13410123.344316812</v>
      </c>
      <c r="R48" s="13">
        <f t="shared" si="8"/>
        <v>946363</v>
      </c>
    </row>
    <row r="49" spans="1:18">
      <c r="A49" s="18" t="s">
        <v>56</v>
      </c>
      <c r="B49" s="4">
        <f>'1990-10'!B49</f>
        <v>57.751551670614234</v>
      </c>
      <c r="C49" s="4">
        <f>'1990-10'!C49</f>
        <v>67.569315454618646</v>
      </c>
      <c r="D49" s="16">
        <f t="shared" si="9"/>
        <v>86627.327505921363</v>
      </c>
      <c r="E49" s="4">
        <f>'Interval Circuities'!J49</f>
        <v>1.4000644916749054</v>
      </c>
      <c r="F49" s="4">
        <f t="shared" si="0"/>
        <v>41.249208171493379</v>
      </c>
      <c r="G49" s="4">
        <f t="shared" si="1"/>
        <v>61.873812257240068</v>
      </c>
      <c r="H49" s="4">
        <f t="shared" si="2"/>
        <v>12027.174804849476</v>
      </c>
      <c r="I49" s="4">
        <f t="shared" si="3"/>
        <v>1477.6384054639784</v>
      </c>
      <c r="J49" s="9">
        <f>'1990-10'!J49</f>
        <v>1522.7</v>
      </c>
      <c r="K49" s="9">
        <f>'1990-10'!K49</f>
        <v>2250000</v>
      </c>
      <c r="L49" s="22">
        <f t="shared" si="4"/>
        <v>17771815.400874313</v>
      </c>
      <c r="M49" s="22">
        <f t="shared" si="5"/>
        <v>2250000</v>
      </c>
      <c r="N49" s="19" t="s">
        <v>92</v>
      </c>
      <c r="O49" s="4">
        <f t="shared" si="6"/>
        <v>859.22243383463581</v>
      </c>
      <c r="P49" s="13">
        <f>'1990-10'!P49</f>
        <v>1308338</v>
      </c>
      <c r="Q49" s="22">
        <f t="shared" si="7"/>
        <v>10334018.407977378</v>
      </c>
      <c r="R49" s="13">
        <f t="shared" si="8"/>
        <v>1308338</v>
      </c>
    </row>
    <row r="50" spans="1:18">
      <c r="A50" s="18" t="s">
        <v>76</v>
      </c>
      <c r="B50" s="4">
        <f>'1990-10'!B50</f>
        <v>57.267086544288581</v>
      </c>
      <c r="C50" s="4">
        <f>'1990-10'!C50</f>
        <v>59.557770006060125</v>
      </c>
      <c r="D50" s="16">
        <f t="shared" si="9"/>
        <v>85900.629816432862</v>
      </c>
      <c r="E50" s="4">
        <f>'Interval Circuities'!J50</f>
        <v>1.2164204597714086</v>
      </c>
      <c r="F50" s="4">
        <f t="shared" si="0"/>
        <v>47.078365119779633</v>
      </c>
      <c r="G50" s="4">
        <f t="shared" si="1"/>
        <v>70.617547679669457</v>
      </c>
      <c r="H50" s="4">
        <f t="shared" si="2"/>
        <v>15666.613752018407</v>
      </c>
      <c r="I50" s="4">
        <f t="shared" si="3"/>
        <v>4280.7094372673528</v>
      </c>
      <c r="J50" s="9">
        <f>'1990-10'!J50</f>
        <v>913.4</v>
      </c>
      <c r="K50" s="9">
        <f>'1990-10'!K50</f>
        <v>3910000</v>
      </c>
      <c r="L50" s="22">
        <f t="shared" si="4"/>
        <v>67064221.338287689</v>
      </c>
      <c r="M50" s="22">
        <f t="shared" si="5"/>
        <v>3910000</v>
      </c>
      <c r="N50" s="19" t="s">
        <v>92</v>
      </c>
      <c r="O50" s="4">
        <f t="shared" si="6"/>
        <v>1616.0335012042917</v>
      </c>
      <c r="P50" s="13">
        <f>'1990-10'!P50</f>
        <v>1476085</v>
      </c>
      <c r="Q50" s="22">
        <f t="shared" si="7"/>
        <v>25317772.673689611</v>
      </c>
      <c r="R50" s="13">
        <f t="shared" si="8"/>
        <v>1476085</v>
      </c>
    </row>
    <row r="51" spans="1:18">
      <c r="A51" s="18" t="s">
        <v>57</v>
      </c>
      <c r="B51" s="4">
        <f>'1990-10'!B51</f>
        <v>65.029165523454452</v>
      </c>
      <c r="C51" s="4">
        <f>'1990-10'!C51</f>
        <v>79.985873593848979</v>
      </c>
      <c r="D51" s="16">
        <f t="shared" si="9"/>
        <v>97543.748285181675</v>
      </c>
      <c r="E51" s="4">
        <f>'Interval Circuities'!J51</f>
        <v>1.3053275799381137</v>
      </c>
      <c r="F51" s="4">
        <f t="shared" si="0"/>
        <v>49.818272840398826</v>
      </c>
      <c r="G51" s="4">
        <f t="shared" si="1"/>
        <v>74.727409260598236</v>
      </c>
      <c r="H51" s="4">
        <f t="shared" si="2"/>
        <v>17543.236755067857</v>
      </c>
      <c r="I51" s="4">
        <f t="shared" si="3"/>
        <v>1039.2364793213148</v>
      </c>
      <c r="J51" s="9">
        <f>'1990-10'!J51</f>
        <v>1886</v>
      </c>
      <c r="K51" s="9">
        <f>'1990-10'!K51</f>
        <v>1960000</v>
      </c>
      <c r="L51" s="22">
        <f t="shared" si="4"/>
        <v>18231571.601237006</v>
      </c>
      <c r="M51" s="22">
        <f t="shared" si="5"/>
        <v>1960000</v>
      </c>
      <c r="N51" s="19" t="s">
        <v>92</v>
      </c>
      <c r="O51" s="4">
        <f t="shared" si="6"/>
        <v>606.75291622481438</v>
      </c>
      <c r="P51" s="13">
        <f>'1990-10'!P51</f>
        <v>1144336</v>
      </c>
      <c r="Q51" s="22">
        <f t="shared" si="7"/>
        <v>10644410.061159773</v>
      </c>
      <c r="R51" s="13">
        <f t="shared" si="8"/>
        <v>1144336</v>
      </c>
    </row>
    <row r="52" spans="1:18">
      <c r="A52" s="18" t="s">
        <v>71</v>
      </c>
      <c r="B52" s="4">
        <f>'1990-10'!B52</f>
        <v>57.772652523705723</v>
      </c>
      <c r="C52" s="4">
        <f>'1990-10'!C52</f>
        <v>71.060362604158044</v>
      </c>
      <c r="D52" s="16">
        <f t="shared" si="9"/>
        <v>86658.978785558589</v>
      </c>
      <c r="E52" s="4">
        <f>'Interval Circuities'!J52</f>
        <v>1.242165398130372</v>
      </c>
      <c r="F52" s="4">
        <f t="shared" si="0"/>
        <v>46.509629563552025</v>
      </c>
      <c r="G52" s="4">
        <f t="shared" si="1"/>
        <v>69.76444434532803</v>
      </c>
      <c r="H52" s="4">
        <f t="shared" si="2"/>
        <v>15290.375530473293</v>
      </c>
      <c r="I52" s="4">
        <f t="shared" si="3"/>
        <v>1022.1667558091162</v>
      </c>
      <c r="J52" s="9">
        <f>'1990-10'!J52</f>
        <v>1682.7</v>
      </c>
      <c r="K52" s="9">
        <f>'1990-10'!K52</f>
        <v>1720000</v>
      </c>
      <c r="L52" s="22">
        <f t="shared" si="4"/>
        <v>15629313.551086981</v>
      </c>
      <c r="M52" s="22">
        <f t="shared" si="5"/>
        <v>1720000</v>
      </c>
      <c r="N52" s="19" t="s">
        <v>92</v>
      </c>
      <c r="O52" s="4">
        <f t="shared" si="6"/>
        <v>543.59719498425147</v>
      </c>
      <c r="P52" s="13">
        <f>'1990-10'!P52</f>
        <v>914711</v>
      </c>
      <c r="Q52" s="22">
        <f t="shared" si="7"/>
        <v>8311805.2486211183</v>
      </c>
      <c r="R52" s="13">
        <f t="shared" si="8"/>
        <v>914711</v>
      </c>
    </row>
    <row r="53" spans="1:18" ht="16">
      <c r="A53" s="18" t="s">
        <v>118</v>
      </c>
      <c r="B53" s="4">
        <f>'1990-10'!B53</f>
        <v>57.166397237881569</v>
      </c>
      <c r="C53" s="4">
        <f>'1990-10'!C53</f>
        <v>76.031308326382486</v>
      </c>
      <c r="D53" s="16">
        <f t="shared" si="9"/>
        <v>85749.595856822358</v>
      </c>
      <c r="E53" s="4">
        <f>'Interval Circuities'!J53</f>
        <v>1.2722219503645329</v>
      </c>
      <c r="F53" s="4">
        <f t="shared" si="0"/>
        <v>44.93429564039635</v>
      </c>
      <c r="G53" s="4">
        <f t="shared" si="1"/>
        <v>67.401443460594521</v>
      </c>
      <c r="H53" s="4">
        <f t="shared" si="2"/>
        <v>14272.112735916215</v>
      </c>
      <c r="I53" s="4">
        <f t="shared" si="3"/>
        <v>1267.0644976702363</v>
      </c>
      <c r="J53" s="9">
        <f>'1990-10'!J53</f>
        <v>2446.6</v>
      </c>
      <c r="K53" s="9">
        <f>'1990-10'!K53</f>
        <v>3100000</v>
      </c>
      <c r="L53" s="22">
        <f t="shared" si="4"/>
        <v>18083687.35442666</v>
      </c>
      <c r="M53" s="22">
        <f t="shared" si="5"/>
        <v>3100000</v>
      </c>
      <c r="N53" s="19" t="s">
        <v>92</v>
      </c>
      <c r="O53" s="4">
        <f t="shared" si="6"/>
        <v>905.07234529551215</v>
      </c>
      <c r="P53" s="13">
        <f>'1990-10'!P53</f>
        <v>2214350</v>
      </c>
      <c r="Q53" s="22">
        <f t="shared" si="7"/>
        <v>12917294.546217637</v>
      </c>
      <c r="R53" s="13">
        <f t="shared" si="8"/>
        <v>2214350</v>
      </c>
    </row>
    <row r="54" spans="1:18">
      <c r="D54" s="1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"/>
  <sheetViews>
    <sheetView workbookViewId="0">
      <selection sqref="A1:J52"/>
    </sheetView>
  </sheetViews>
  <sheetFormatPr baseColWidth="10" defaultColWidth="11.5" defaultRowHeight="14" x14ac:dyDescent="0"/>
  <cols>
    <col min="9" max="11" width="11.5" style="18"/>
    <col min="18" max="21" width="11.5" style="18"/>
    <col min="26" max="26" width="23.83203125" customWidth="1"/>
  </cols>
  <sheetData>
    <row r="1" spans="1:33">
      <c r="A1" s="29" t="s">
        <v>16</v>
      </c>
      <c r="B1" s="29" t="s">
        <v>137</v>
      </c>
      <c r="C1" s="29" t="s">
        <v>138</v>
      </c>
      <c r="D1" s="29" t="s">
        <v>139</v>
      </c>
      <c r="E1" s="29" t="s">
        <v>140</v>
      </c>
      <c r="F1" s="29" t="s">
        <v>141</v>
      </c>
      <c r="G1" s="29" t="s">
        <v>142</v>
      </c>
      <c r="H1" s="29" t="s">
        <v>155</v>
      </c>
      <c r="I1" s="29" t="s">
        <v>156</v>
      </c>
      <c r="J1" s="29" t="s">
        <v>157</v>
      </c>
      <c r="K1" s="29"/>
      <c r="L1" s="29" t="s">
        <v>137</v>
      </c>
      <c r="M1" s="29" t="s">
        <v>143</v>
      </c>
      <c r="N1" s="29" t="s">
        <v>144</v>
      </c>
      <c r="O1" s="29" t="s">
        <v>145</v>
      </c>
      <c r="P1" s="29" t="s">
        <v>146</v>
      </c>
      <c r="Q1" s="29" t="s">
        <v>147</v>
      </c>
      <c r="R1" s="29" t="s">
        <v>158</v>
      </c>
      <c r="S1" s="29" t="s">
        <v>159</v>
      </c>
      <c r="T1" s="29" t="s">
        <v>160</v>
      </c>
      <c r="U1" s="29"/>
      <c r="V1" s="29" t="s">
        <v>148</v>
      </c>
      <c r="W1" s="29"/>
      <c r="X1" s="29" t="s">
        <v>150</v>
      </c>
      <c r="Y1" s="29" t="s">
        <v>133</v>
      </c>
      <c r="Z1" s="29" t="s">
        <v>16</v>
      </c>
      <c r="AA1" s="29">
        <v>10</v>
      </c>
      <c r="AB1" s="29">
        <v>20</v>
      </c>
      <c r="AC1" s="29">
        <v>30</v>
      </c>
      <c r="AD1" s="29">
        <v>40</v>
      </c>
      <c r="AE1" s="29">
        <v>50</v>
      </c>
      <c r="AF1" s="29">
        <v>60</v>
      </c>
      <c r="AG1" s="29" t="str">
        <f>Z1</f>
        <v>Area</v>
      </c>
    </row>
    <row r="2" spans="1:33">
      <c r="A2" s="18" t="s">
        <v>26</v>
      </c>
      <c r="B2" s="13">
        <f>'1990-10'!$R3</f>
        <v>87559.644388326706</v>
      </c>
      <c r="C2" s="13">
        <f>'1990-20'!$R3</f>
        <v>383924.99077233503</v>
      </c>
      <c r="D2" s="13">
        <f>'1990-30'!$R3</f>
        <v>908006.43315926066</v>
      </c>
      <c r="E2" s="13">
        <f>'1990-40'!$R3</f>
        <v>1481781</v>
      </c>
      <c r="F2" s="13">
        <f>'1990-50'!$R3</f>
        <v>1481781</v>
      </c>
      <c r="G2" s="13">
        <f>'1990-60'!$R3</f>
        <v>1481781</v>
      </c>
      <c r="H2" s="13">
        <f>'1990-70'!$R3</f>
        <v>1481781</v>
      </c>
      <c r="I2" s="13">
        <f>'1990-80'!$R3</f>
        <v>1481781</v>
      </c>
      <c r="J2" s="13">
        <f>'1990-90'!$R3</f>
        <v>1481781</v>
      </c>
      <c r="L2" s="13">
        <f>B2</f>
        <v>87559.644388326706</v>
      </c>
      <c r="M2" s="13">
        <f>C2-B2</f>
        <v>296365.3463840083</v>
      </c>
      <c r="N2" s="13">
        <f>D2-C2</f>
        <v>524081.44238692563</v>
      </c>
      <c r="O2" s="13">
        <f>E2-D2</f>
        <v>573774.56684073934</v>
      </c>
      <c r="P2" s="13">
        <f>F2-E2</f>
        <v>0</v>
      </c>
      <c r="Q2" s="13">
        <f>G2-F2</f>
        <v>0</v>
      </c>
      <c r="R2" s="13">
        <f t="shared" ref="R2:R52" si="0">H2-G2</f>
        <v>0</v>
      </c>
      <c r="S2" s="13">
        <f t="shared" ref="S2:S52" si="1">I2-H2</f>
        <v>0</v>
      </c>
      <c r="T2" s="13">
        <f t="shared" ref="T2:T52" si="2">J2-I2</f>
        <v>0</v>
      </c>
      <c r="U2" s="13"/>
      <c r="V2" s="13">
        <f>T2+S2+R2+Q2+P2+O2+N2+M2+L2</f>
        <v>1481780.9999999998</v>
      </c>
      <c r="X2" s="13">
        <f t="shared" ref="X2:X33" si="3">L2*EXP(Beta*10)+M2*EXP(Beta*20)+N2*EXP(Beta*30)+O2*EXP(Beta*40)+P2*EXP(Beta*50)+Q2*EXP(Beta*60)+R2*EXP(Beta*70)+S2*EXP(Beta*80)+T2*EXP(Beta*90)</f>
        <v>170110.12754215632</v>
      </c>
      <c r="Y2">
        <f>RANK(X2,$X$2:$X$52)</f>
        <v>22</v>
      </c>
      <c r="Z2" t="str">
        <f>A2</f>
        <v>Atlanta</v>
      </c>
      <c r="AA2">
        <f t="shared" ref="AA2:AF2" si="4">RANK(B2,B$2:B$52)</f>
        <v>44</v>
      </c>
      <c r="AB2" s="18">
        <f t="shared" si="4"/>
        <v>42</v>
      </c>
      <c r="AC2" s="18">
        <f t="shared" si="4"/>
        <v>22</v>
      </c>
      <c r="AD2" s="18">
        <f t="shared" si="4"/>
        <v>11</v>
      </c>
      <c r="AE2" s="18">
        <f t="shared" si="4"/>
        <v>11</v>
      </c>
      <c r="AF2" s="18">
        <f t="shared" si="4"/>
        <v>11</v>
      </c>
      <c r="AG2" s="18" t="str">
        <f t="shared" ref="AG2:AG52" si="5">Z2</f>
        <v>Atlanta</v>
      </c>
    </row>
    <row r="3" spans="1:33">
      <c r="A3" s="18" t="s">
        <v>27</v>
      </c>
      <c r="B3" s="13">
        <f>'1990-10'!R4</f>
        <v>98728.964430651627</v>
      </c>
      <c r="C3" s="13">
        <f>'1990-20'!$R4</f>
        <v>404016</v>
      </c>
      <c r="D3" s="13">
        <f>'1990-30'!$R4</f>
        <v>404016</v>
      </c>
      <c r="E3" s="13">
        <f>'1990-40'!$R4</f>
        <v>404016</v>
      </c>
      <c r="F3" s="13">
        <f>'1990-50'!$R4</f>
        <v>404016</v>
      </c>
      <c r="G3" s="13">
        <f>'1990-60'!$R4</f>
        <v>404016</v>
      </c>
      <c r="H3" s="13">
        <f>'1990-70'!$R4</f>
        <v>404016</v>
      </c>
      <c r="I3" s="13">
        <f>'1990-80'!$R4</f>
        <v>404016</v>
      </c>
      <c r="J3" s="13">
        <f>'1990-90'!$R4</f>
        <v>404016</v>
      </c>
      <c r="L3" s="13">
        <f t="shared" ref="L3:L52" si="6">B3</f>
        <v>98728.964430651627</v>
      </c>
      <c r="M3" s="13">
        <f t="shared" ref="M3:M52" si="7">C3-B3</f>
        <v>305287.03556934837</v>
      </c>
      <c r="N3" s="13">
        <f t="shared" ref="N3:N52" si="8">D3-C3</f>
        <v>0</v>
      </c>
      <c r="O3" s="13">
        <f t="shared" ref="O3:O52" si="9">E3-D3</f>
        <v>0</v>
      </c>
      <c r="P3" s="13">
        <f t="shared" ref="P3:P52" si="10">F3-E3</f>
        <v>0</v>
      </c>
      <c r="Q3" s="13">
        <f t="shared" ref="Q3:Q52" si="11">G3-F3</f>
        <v>0</v>
      </c>
      <c r="R3" s="13">
        <f t="shared" si="0"/>
        <v>0</v>
      </c>
      <c r="S3" s="13">
        <f t="shared" si="1"/>
        <v>0</v>
      </c>
      <c r="T3" s="13">
        <f t="shared" si="2"/>
        <v>0</v>
      </c>
      <c r="U3" s="13"/>
      <c r="V3" s="13">
        <f t="shared" ref="V3:V52" si="12">T3+S3+R3+Q3+P3+O3+N3+M3+L3</f>
        <v>404016</v>
      </c>
      <c r="X3" s="13">
        <f t="shared" si="3"/>
        <v>105998.17278635266</v>
      </c>
      <c r="Y3" s="18">
        <f t="shared" ref="Y3:Y52" si="13">RANK(X3,$X$2:$X$52)</f>
        <v>46</v>
      </c>
      <c r="Z3" s="18" t="str">
        <f t="shared" ref="Z3:Z52" si="14">A3</f>
        <v>Austin</v>
      </c>
      <c r="AA3" s="18">
        <f t="shared" ref="AA3:AA52" si="15">RANK(B3,B$2:B$52)</f>
        <v>39</v>
      </c>
      <c r="AB3" s="18">
        <f t="shared" ref="AB3:AB17" si="16">RANK(C3,C$2:C$52)</f>
        <v>38</v>
      </c>
      <c r="AC3" s="18">
        <f t="shared" ref="AC3:AC17" si="17">RANK(D3,D$2:D$52)</f>
        <v>48</v>
      </c>
      <c r="AD3" s="18">
        <f t="shared" ref="AD3:AD17" si="18">RANK(E3,E$2:E$52)</f>
        <v>48</v>
      </c>
      <c r="AE3" s="18">
        <f t="shared" ref="AE3:AE17" si="19">RANK(F3,F$2:F$52)</f>
        <v>48</v>
      </c>
      <c r="AF3" s="18">
        <f t="shared" ref="AF3:AF17" si="20">RANK(G3,G$2:G$52)</f>
        <v>48</v>
      </c>
      <c r="AG3" s="18" t="str">
        <f t="shared" si="5"/>
        <v>Austin</v>
      </c>
    </row>
    <row r="4" spans="1:33">
      <c r="A4" s="18" t="s">
        <v>28</v>
      </c>
      <c r="B4" s="13">
        <f>'1990-10'!R5</f>
        <v>137289.95507835154</v>
      </c>
      <c r="C4" s="13">
        <f>'1990-20'!$R5</f>
        <v>589992.59403251775</v>
      </c>
      <c r="D4" s="13">
        <f>'1990-30'!$R5</f>
        <v>1191813</v>
      </c>
      <c r="E4" s="13">
        <f>'1990-40'!$R5</f>
        <v>1191813</v>
      </c>
      <c r="F4" s="13">
        <f>'1990-50'!$R5</f>
        <v>1191813</v>
      </c>
      <c r="G4" s="13">
        <f>'1990-60'!$R5</f>
        <v>1191813</v>
      </c>
      <c r="H4" s="13">
        <f>'1990-70'!$R5</f>
        <v>1191813</v>
      </c>
      <c r="I4" s="13">
        <f>'1990-80'!$R5</f>
        <v>1191813</v>
      </c>
      <c r="J4" s="13">
        <f>'1990-90'!$R5</f>
        <v>1191813</v>
      </c>
      <c r="L4" s="13">
        <f t="shared" si="6"/>
        <v>137289.95507835154</v>
      </c>
      <c r="M4" s="13">
        <f t="shared" si="7"/>
        <v>452702.63895416621</v>
      </c>
      <c r="N4" s="13">
        <f t="shared" si="8"/>
        <v>601820.40596748225</v>
      </c>
      <c r="O4" s="13">
        <f t="shared" si="9"/>
        <v>0</v>
      </c>
      <c r="P4" s="13">
        <f t="shared" si="10"/>
        <v>0</v>
      </c>
      <c r="Q4" s="13">
        <f t="shared" si="11"/>
        <v>0</v>
      </c>
      <c r="R4" s="13">
        <f t="shared" si="0"/>
        <v>0</v>
      </c>
      <c r="S4" s="13">
        <f t="shared" si="1"/>
        <v>0</v>
      </c>
      <c r="T4" s="13">
        <f t="shared" si="2"/>
        <v>0</v>
      </c>
      <c r="U4" s="13"/>
      <c r="V4" s="13">
        <f t="shared" si="12"/>
        <v>1191813</v>
      </c>
      <c r="X4" s="13">
        <f t="shared" si="3"/>
        <v>207683.35526806669</v>
      </c>
      <c r="Y4" s="18">
        <f t="shared" si="13"/>
        <v>11</v>
      </c>
      <c r="Z4" s="18" t="str">
        <f t="shared" si="14"/>
        <v>Baltimore</v>
      </c>
      <c r="AA4" s="18">
        <f t="shared" si="15"/>
        <v>20</v>
      </c>
      <c r="AB4" s="18">
        <f t="shared" si="16"/>
        <v>11</v>
      </c>
      <c r="AC4" s="18">
        <f t="shared" si="17"/>
        <v>10</v>
      </c>
      <c r="AD4" s="18">
        <f t="shared" si="18"/>
        <v>17</v>
      </c>
      <c r="AE4" s="18">
        <f t="shared" si="19"/>
        <v>17</v>
      </c>
      <c r="AF4" s="18">
        <f t="shared" si="20"/>
        <v>17</v>
      </c>
      <c r="AG4" s="18" t="str">
        <f t="shared" si="5"/>
        <v>Baltimore</v>
      </c>
    </row>
    <row r="5" spans="1:33">
      <c r="A5" s="18" t="s">
        <v>29</v>
      </c>
      <c r="B5" s="13">
        <f>'1990-10'!R6</f>
        <v>174509.00644892405</v>
      </c>
      <c r="C5" s="13">
        <f>'1990-20'!$R6</f>
        <v>777655.31532734609</v>
      </c>
      <c r="D5" s="13">
        <f>'1990-30'!$R6</f>
        <v>1837964.6055296876</v>
      </c>
      <c r="E5" s="13">
        <f>'1990-40'!$R6</f>
        <v>2141717</v>
      </c>
      <c r="F5" s="13">
        <f>'1990-50'!$R6</f>
        <v>2141717</v>
      </c>
      <c r="G5" s="13">
        <f>'1990-60'!$R6</f>
        <v>2141717</v>
      </c>
      <c r="H5" s="13">
        <f>'1990-70'!$R6</f>
        <v>2141717</v>
      </c>
      <c r="I5" s="13">
        <f>'1990-80'!$R6</f>
        <v>2141717</v>
      </c>
      <c r="J5" s="13">
        <f>'1990-90'!$R6</f>
        <v>2141717</v>
      </c>
      <c r="L5" s="13">
        <f t="shared" si="6"/>
        <v>174509.00644892405</v>
      </c>
      <c r="M5" s="13">
        <f t="shared" si="7"/>
        <v>603146.30887842202</v>
      </c>
      <c r="N5" s="13">
        <f t="shared" si="8"/>
        <v>1060309.2902023415</v>
      </c>
      <c r="O5" s="13">
        <f t="shared" si="9"/>
        <v>303752.3944703124</v>
      </c>
      <c r="P5" s="13">
        <f t="shared" si="10"/>
        <v>0</v>
      </c>
      <c r="Q5" s="13">
        <f t="shared" si="11"/>
        <v>0</v>
      </c>
      <c r="R5" s="13">
        <f t="shared" si="0"/>
        <v>0</v>
      </c>
      <c r="S5" s="13">
        <f t="shared" si="1"/>
        <v>0</v>
      </c>
      <c r="T5" s="13">
        <f t="shared" si="2"/>
        <v>0</v>
      </c>
      <c r="U5" s="13"/>
      <c r="V5" s="13">
        <f t="shared" si="12"/>
        <v>2141717</v>
      </c>
      <c r="X5" s="13">
        <f t="shared" si="3"/>
        <v>308755.79642392509</v>
      </c>
      <c r="Y5" s="18">
        <f t="shared" si="13"/>
        <v>6</v>
      </c>
      <c r="Z5" s="18" t="str">
        <f t="shared" si="14"/>
        <v>Boston</v>
      </c>
      <c r="AA5" s="18">
        <f t="shared" si="15"/>
        <v>13</v>
      </c>
      <c r="AB5" s="18">
        <f t="shared" si="16"/>
        <v>5</v>
      </c>
      <c r="AC5" s="18">
        <f t="shared" si="17"/>
        <v>3</v>
      </c>
      <c r="AD5" s="18">
        <f t="shared" si="18"/>
        <v>6</v>
      </c>
      <c r="AE5" s="18">
        <f t="shared" si="19"/>
        <v>6</v>
      </c>
      <c r="AF5" s="18">
        <f t="shared" si="20"/>
        <v>6</v>
      </c>
      <c r="AG5" s="18" t="str">
        <f t="shared" si="5"/>
        <v>Boston</v>
      </c>
    </row>
    <row r="6" spans="1:33">
      <c r="A6" s="18" t="s">
        <v>30</v>
      </c>
      <c r="B6" s="13">
        <f>'1990-10'!R7</f>
        <v>216152.3949883226</v>
      </c>
      <c r="C6" s="13">
        <f>'1990-20'!$R7</f>
        <v>531122</v>
      </c>
      <c r="D6" s="13">
        <f>'1990-30'!$R7</f>
        <v>531122</v>
      </c>
      <c r="E6" s="13">
        <f>'1990-40'!$R7</f>
        <v>531122</v>
      </c>
      <c r="F6" s="13">
        <f>'1990-50'!$R7</f>
        <v>531122</v>
      </c>
      <c r="G6" s="13">
        <f>'1990-60'!$R7</f>
        <v>531122</v>
      </c>
      <c r="H6" s="13">
        <f>'1990-70'!$R7</f>
        <v>531122</v>
      </c>
      <c r="I6" s="13">
        <f>'1990-80'!$R7</f>
        <v>531122</v>
      </c>
      <c r="J6" s="13">
        <f>'1990-90'!$R7</f>
        <v>531122</v>
      </c>
      <c r="L6" s="13">
        <f t="shared" si="6"/>
        <v>216152.3949883226</v>
      </c>
      <c r="M6" s="13">
        <f t="shared" si="7"/>
        <v>314969.60501167737</v>
      </c>
      <c r="N6" s="13">
        <f t="shared" si="8"/>
        <v>0</v>
      </c>
      <c r="O6" s="13">
        <f t="shared" si="9"/>
        <v>0</v>
      </c>
      <c r="P6" s="13">
        <f t="shared" si="10"/>
        <v>0</v>
      </c>
      <c r="Q6" s="13">
        <f t="shared" si="11"/>
        <v>0</v>
      </c>
      <c r="R6" s="13">
        <f t="shared" si="0"/>
        <v>0</v>
      </c>
      <c r="S6" s="13">
        <f t="shared" si="1"/>
        <v>0</v>
      </c>
      <c r="T6" s="13">
        <f t="shared" si="2"/>
        <v>0</v>
      </c>
      <c r="U6" s="13"/>
      <c r="V6" s="13">
        <f t="shared" si="12"/>
        <v>531122</v>
      </c>
      <c r="X6" s="13">
        <f t="shared" si="3"/>
        <v>160714.79825756911</v>
      </c>
      <c r="Y6" s="18">
        <f t="shared" si="13"/>
        <v>26</v>
      </c>
      <c r="Z6" s="18" t="str">
        <f t="shared" si="14"/>
        <v>Buffalo</v>
      </c>
      <c r="AA6" s="18">
        <f t="shared" si="15"/>
        <v>4</v>
      </c>
      <c r="AB6" s="18">
        <f t="shared" si="16"/>
        <v>19</v>
      </c>
      <c r="AC6" s="18">
        <f t="shared" si="17"/>
        <v>38</v>
      </c>
      <c r="AD6" s="18">
        <f t="shared" si="18"/>
        <v>38</v>
      </c>
      <c r="AE6" s="18">
        <f t="shared" si="19"/>
        <v>38</v>
      </c>
      <c r="AF6" s="18">
        <f t="shared" si="20"/>
        <v>38</v>
      </c>
      <c r="AG6" s="18" t="str">
        <f t="shared" si="5"/>
        <v>Buffalo</v>
      </c>
    </row>
    <row r="7" spans="1:33">
      <c r="A7" s="18" t="s">
        <v>31</v>
      </c>
      <c r="B7" s="13">
        <f>'1990-10'!R8</f>
        <v>202665.57713351652</v>
      </c>
      <c r="C7" s="13">
        <f>'1990-20'!$R8</f>
        <v>604856</v>
      </c>
      <c r="D7" s="13">
        <f>'1990-30'!$R8</f>
        <v>604856</v>
      </c>
      <c r="E7" s="13">
        <f>'1990-40'!$R8</f>
        <v>604856</v>
      </c>
      <c r="F7" s="13">
        <f>'1990-50'!$R8</f>
        <v>604856</v>
      </c>
      <c r="G7" s="13">
        <f>'1990-60'!$R8</f>
        <v>604856</v>
      </c>
      <c r="H7" s="13">
        <f>'1990-70'!$R8</f>
        <v>604856</v>
      </c>
      <c r="I7" s="13">
        <f>'1990-80'!$R8</f>
        <v>604856</v>
      </c>
      <c r="J7" s="13">
        <f>'1990-90'!$R8</f>
        <v>604856</v>
      </c>
      <c r="L7" s="13">
        <f t="shared" si="6"/>
        <v>202665.57713351652</v>
      </c>
      <c r="M7" s="13">
        <f t="shared" si="7"/>
        <v>402190.42286648345</v>
      </c>
      <c r="N7" s="13">
        <f t="shared" si="8"/>
        <v>0</v>
      </c>
      <c r="O7" s="13">
        <f t="shared" si="9"/>
        <v>0</v>
      </c>
      <c r="P7" s="13">
        <f t="shared" si="10"/>
        <v>0</v>
      </c>
      <c r="Q7" s="13">
        <f t="shared" si="11"/>
        <v>0</v>
      </c>
      <c r="R7" s="13">
        <f t="shared" si="0"/>
        <v>0</v>
      </c>
      <c r="S7" s="13">
        <f t="shared" si="1"/>
        <v>0</v>
      </c>
      <c r="T7" s="13">
        <f t="shared" si="2"/>
        <v>0</v>
      </c>
      <c r="U7" s="13"/>
      <c r="V7" s="13">
        <f t="shared" si="12"/>
        <v>604856</v>
      </c>
      <c r="X7" s="13">
        <f t="shared" si="3"/>
        <v>172264.35978316289</v>
      </c>
      <c r="Y7" s="18">
        <f t="shared" si="13"/>
        <v>19</v>
      </c>
      <c r="Z7" s="18" t="str">
        <f t="shared" si="14"/>
        <v>Charlotte</v>
      </c>
      <c r="AA7" s="18">
        <f t="shared" si="15"/>
        <v>7</v>
      </c>
      <c r="AB7" s="18">
        <f t="shared" si="16"/>
        <v>10</v>
      </c>
      <c r="AC7" s="18">
        <f t="shared" si="17"/>
        <v>33</v>
      </c>
      <c r="AD7" s="18">
        <f t="shared" si="18"/>
        <v>33</v>
      </c>
      <c r="AE7" s="18">
        <f t="shared" si="19"/>
        <v>33</v>
      </c>
      <c r="AF7" s="18">
        <f t="shared" si="20"/>
        <v>33</v>
      </c>
      <c r="AG7" s="18" t="str">
        <f t="shared" si="5"/>
        <v>Charlotte</v>
      </c>
    </row>
    <row r="8" spans="1:33">
      <c r="A8" s="18" t="s">
        <v>32</v>
      </c>
      <c r="B8" s="13">
        <f>'1990-10'!R9</f>
        <v>168813.12277656634</v>
      </c>
      <c r="C8" s="13">
        <f>'1990-20'!$R9</f>
        <v>736844.9408679459</v>
      </c>
      <c r="D8" s="13">
        <f>'1990-30'!$R9</f>
        <v>1734211.9667450499</v>
      </c>
      <c r="E8" s="13">
        <f>'1990-40'!$R9</f>
        <v>3193548.1380783948</v>
      </c>
      <c r="F8" s="13">
        <f>'1990-50'!$R9</f>
        <v>3841337</v>
      </c>
      <c r="G8" s="13">
        <f>'1990-60'!$R9</f>
        <v>3841337</v>
      </c>
      <c r="H8" s="13">
        <f>'1990-70'!$R9</f>
        <v>3841337</v>
      </c>
      <c r="I8" s="13">
        <f>'1990-80'!$R9</f>
        <v>3841337</v>
      </c>
      <c r="J8" s="13">
        <f>'1990-90'!$R9</f>
        <v>3841337</v>
      </c>
      <c r="L8" s="13">
        <f t="shared" si="6"/>
        <v>168813.12277656634</v>
      </c>
      <c r="M8" s="13">
        <f t="shared" si="7"/>
        <v>568031.81809137959</v>
      </c>
      <c r="N8" s="13">
        <f t="shared" si="8"/>
        <v>997367.02587710402</v>
      </c>
      <c r="O8" s="13">
        <f t="shared" si="9"/>
        <v>1459336.1713333449</v>
      </c>
      <c r="P8" s="13">
        <f t="shared" si="10"/>
        <v>647788.86192160519</v>
      </c>
      <c r="Q8" s="13">
        <f t="shared" si="11"/>
        <v>0</v>
      </c>
      <c r="R8" s="13">
        <f t="shared" si="0"/>
        <v>0</v>
      </c>
      <c r="S8" s="13">
        <f t="shared" si="1"/>
        <v>0</v>
      </c>
      <c r="T8" s="13">
        <f t="shared" si="2"/>
        <v>0</v>
      </c>
      <c r="U8" s="13"/>
      <c r="V8" s="13">
        <f t="shared" si="12"/>
        <v>3841337.0000000005</v>
      </c>
      <c r="X8" s="13">
        <f t="shared" si="3"/>
        <v>352365.7925953283</v>
      </c>
      <c r="Y8" s="18">
        <f t="shared" si="13"/>
        <v>3</v>
      </c>
      <c r="Z8" s="18" t="str">
        <f t="shared" si="14"/>
        <v>Chicago</v>
      </c>
      <c r="AA8" s="18">
        <f t="shared" si="15"/>
        <v>14</v>
      </c>
      <c r="AB8" s="18">
        <f t="shared" si="16"/>
        <v>6</v>
      </c>
      <c r="AC8" s="18">
        <f t="shared" si="17"/>
        <v>4</v>
      </c>
      <c r="AD8" s="18">
        <f t="shared" si="18"/>
        <v>2</v>
      </c>
      <c r="AE8" s="18">
        <f t="shared" si="19"/>
        <v>3</v>
      </c>
      <c r="AF8" s="18">
        <f t="shared" si="20"/>
        <v>3</v>
      </c>
      <c r="AG8" s="18" t="str">
        <f t="shared" si="5"/>
        <v>Chicago</v>
      </c>
    </row>
    <row r="9" spans="1:33">
      <c r="A9" s="18" t="s">
        <v>33</v>
      </c>
      <c r="B9" s="13">
        <f>'1990-10'!R10</f>
        <v>126401.7133112927</v>
      </c>
      <c r="C9" s="13">
        <f>'1990-20'!$R10</f>
        <v>548967.41532961128</v>
      </c>
      <c r="D9" s="13">
        <f>'1990-30'!$R10</f>
        <v>812766</v>
      </c>
      <c r="E9" s="13">
        <f>'1990-40'!$R10</f>
        <v>812766</v>
      </c>
      <c r="F9" s="13">
        <f>'1990-50'!$R10</f>
        <v>812766</v>
      </c>
      <c r="G9" s="13">
        <f>'1990-60'!$R10</f>
        <v>812766</v>
      </c>
      <c r="H9" s="13">
        <f>'1990-70'!$R10</f>
        <v>812766</v>
      </c>
      <c r="I9" s="13">
        <f>'1990-80'!$R10</f>
        <v>812766</v>
      </c>
      <c r="J9" s="13">
        <f>'1990-90'!$R10</f>
        <v>812766</v>
      </c>
      <c r="L9" s="13">
        <f t="shared" si="6"/>
        <v>126401.7133112927</v>
      </c>
      <c r="M9" s="13">
        <f t="shared" si="7"/>
        <v>422565.70201831858</v>
      </c>
      <c r="N9" s="13">
        <f t="shared" si="8"/>
        <v>263798.58467038872</v>
      </c>
      <c r="O9" s="13">
        <f t="shared" si="9"/>
        <v>0</v>
      </c>
      <c r="P9" s="13">
        <f t="shared" si="10"/>
        <v>0</v>
      </c>
      <c r="Q9" s="13">
        <f t="shared" si="11"/>
        <v>0</v>
      </c>
      <c r="R9" s="13">
        <f t="shared" si="0"/>
        <v>0</v>
      </c>
      <c r="S9" s="13">
        <f t="shared" si="1"/>
        <v>0</v>
      </c>
      <c r="T9" s="13">
        <f t="shared" si="2"/>
        <v>0</v>
      </c>
      <c r="U9" s="13"/>
      <c r="V9" s="13">
        <f t="shared" si="12"/>
        <v>812766</v>
      </c>
      <c r="X9" s="13">
        <f t="shared" si="3"/>
        <v>166041.76244821225</v>
      </c>
      <c r="Y9" s="18">
        <f t="shared" si="13"/>
        <v>25</v>
      </c>
      <c r="Z9" s="18" t="str">
        <f t="shared" si="14"/>
        <v>Cincinnati</v>
      </c>
      <c r="AA9" s="18">
        <f t="shared" si="15"/>
        <v>24</v>
      </c>
      <c r="AB9" s="18">
        <f t="shared" si="16"/>
        <v>16</v>
      </c>
      <c r="AC9" s="18">
        <f t="shared" si="17"/>
        <v>24</v>
      </c>
      <c r="AD9" s="18">
        <f t="shared" si="18"/>
        <v>24</v>
      </c>
      <c r="AE9" s="18">
        <f t="shared" si="19"/>
        <v>24</v>
      </c>
      <c r="AF9" s="18">
        <f t="shared" si="20"/>
        <v>24</v>
      </c>
      <c r="AG9" s="18" t="str">
        <f t="shared" si="5"/>
        <v>Cincinnati</v>
      </c>
    </row>
    <row r="10" spans="1:33">
      <c r="A10" s="18" t="s">
        <v>34</v>
      </c>
      <c r="B10" s="13">
        <f>'1990-10'!R11</f>
        <v>200994.23939738882</v>
      </c>
      <c r="C10" s="13">
        <f>'1990-20'!$R11</f>
        <v>879257.21050737659</v>
      </c>
      <c r="D10" s="13">
        <f>'1990-30'!$R11</f>
        <v>1242099</v>
      </c>
      <c r="E10" s="13">
        <f>'1990-40'!$R11</f>
        <v>1242099</v>
      </c>
      <c r="F10" s="13">
        <f>'1990-50'!$R11</f>
        <v>1242099</v>
      </c>
      <c r="G10" s="13">
        <f>'1990-60'!$R11</f>
        <v>1242099</v>
      </c>
      <c r="H10" s="13">
        <f>'1990-70'!$R11</f>
        <v>1242099</v>
      </c>
      <c r="I10" s="13">
        <f>'1990-80'!$R11</f>
        <v>1242099</v>
      </c>
      <c r="J10" s="13">
        <f>'1990-90'!$R11</f>
        <v>1242099</v>
      </c>
      <c r="L10" s="13">
        <f t="shared" si="6"/>
        <v>200994.23939738882</v>
      </c>
      <c r="M10" s="13">
        <f t="shared" si="7"/>
        <v>678262.9711099877</v>
      </c>
      <c r="N10" s="13">
        <f t="shared" si="8"/>
        <v>362841.78949262341</v>
      </c>
      <c r="O10" s="13">
        <f t="shared" si="9"/>
        <v>0</v>
      </c>
      <c r="P10" s="13">
        <f t="shared" si="10"/>
        <v>0</v>
      </c>
      <c r="Q10" s="13">
        <f t="shared" si="11"/>
        <v>0</v>
      </c>
      <c r="R10" s="13">
        <f t="shared" si="0"/>
        <v>0</v>
      </c>
      <c r="S10" s="13">
        <f t="shared" si="1"/>
        <v>0</v>
      </c>
      <c r="T10" s="13">
        <f t="shared" si="2"/>
        <v>0</v>
      </c>
      <c r="U10" s="13"/>
      <c r="V10" s="13">
        <f t="shared" si="12"/>
        <v>1242099</v>
      </c>
      <c r="X10" s="13">
        <f t="shared" si="3"/>
        <v>260167.73004441228</v>
      </c>
      <c r="Y10" s="18">
        <f t="shared" si="13"/>
        <v>7</v>
      </c>
      <c r="Z10" s="18" t="str">
        <f t="shared" si="14"/>
        <v>Cleveland</v>
      </c>
      <c r="AA10" s="18">
        <f t="shared" si="15"/>
        <v>8</v>
      </c>
      <c r="AB10" s="18">
        <f t="shared" si="16"/>
        <v>2</v>
      </c>
      <c r="AC10" s="18">
        <f t="shared" si="17"/>
        <v>9</v>
      </c>
      <c r="AD10" s="18">
        <f t="shared" si="18"/>
        <v>15</v>
      </c>
      <c r="AE10" s="18">
        <f t="shared" si="19"/>
        <v>15</v>
      </c>
      <c r="AF10" s="18">
        <f t="shared" si="20"/>
        <v>15</v>
      </c>
      <c r="AG10" s="18" t="str">
        <f t="shared" si="5"/>
        <v>Cleveland</v>
      </c>
    </row>
    <row r="11" spans="1:33">
      <c r="A11" s="18" t="s">
        <v>35</v>
      </c>
      <c r="B11" s="13">
        <f>'1990-10'!R12</f>
        <v>175541.69100188781</v>
      </c>
      <c r="C11" s="13">
        <f>'1990-20'!$R12</f>
        <v>677859</v>
      </c>
      <c r="D11" s="13">
        <f>'1990-30'!$R12</f>
        <v>677859</v>
      </c>
      <c r="E11" s="13">
        <f>'1990-40'!$R12</f>
        <v>677859</v>
      </c>
      <c r="F11" s="13">
        <f>'1990-50'!$R12</f>
        <v>677859</v>
      </c>
      <c r="G11" s="13">
        <f>'1990-60'!$R12</f>
        <v>677859</v>
      </c>
      <c r="H11" s="13">
        <f>'1990-70'!$R12</f>
        <v>677859</v>
      </c>
      <c r="I11" s="13">
        <f>'1990-80'!$R12</f>
        <v>677859</v>
      </c>
      <c r="J11" s="13">
        <f>'1990-90'!$R12</f>
        <v>677859</v>
      </c>
      <c r="L11" s="13">
        <f t="shared" si="6"/>
        <v>175541.69100188781</v>
      </c>
      <c r="M11" s="13">
        <f t="shared" si="7"/>
        <v>502317.30899811222</v>
      </c>
      <c r="N11" s="13">
        <f t="shared" si="8"/>
        <v>0</v>
      </c>
      <c r="O11" s="13">
        <f t="shared" si="9"/>
        <v>0</v>
      </c>
      <c r="P11" s="13">
        <f t="shared" si="10"/>
        <v>0</v>
      </c>
      <c r="Q11" s="13">
        <f t="shared" si="11"/>
        <v>0</v>
      </c>
      <c r="R11" s="13">
        <f t="shared" si="0"/>
        <v>0</v>
      </c>
      <c r="S11" s="13">
        <f t="shared" si="1"/>
        <v>0</v>
      </c>
      <c r="T11" s="13">
        <f t="shared" si="2"/>
        <v>0</v>
      </c>
      <c r="U11" s="13"/>
      <c r="V11" s="13">
        <f t="shared" si="12"/>
        <v>677859</v>
      </c>
      <c r="X11" s="13">
        <f t="shared" si="3"/>
        <v>180292.08179242787</v>
      </c>
      <c r="Y11" s="18">
        <f t="shared" si="13"/>
        <v>18</v>
      </c>
      <c r="Z11" s="18" t="str">
        <f t="shared" si="14"/>
        <v>Columbus</v>
      </c>
      <c r="AA11" s="18">
        <f t="shared" si="15"/>
        <v>11</v>
      </c>
      <c r="AB11" s="18">
        <f t="shared" si="16"/>
        <v>7</v>
      </c>
      <c r="AC11" s="18">
        <f t="shared" si="17"/>
        <v>31</v>
      </c>
      <c r="AD11" s="18">
        <f t="shared" si="18"/>
        <v>31</v>
      </c>
      <c r="AE11" s="18">
        <f t="shared" si="19"/>
        <v>31</v>
      </c>
      <c r="AF11" s="18">
        <f t="shared" si="20"/>
        <v>31</v>
      </c>
      <c r="AG11" s="18" t="str">
        <f t="shared" si="5"/>
        <v>Columbus</v>
      </c>
    </row>
    <row r="12" spans="1:33">
      <c r="A12" s="18" t="s">
        <v>62</v>
      </c>
      <c r="B12" s="13">
        <f>'1990-10'!R13</f>
        <v>107066.35281127057</v>
      </c>
      <c r="C12" s="13">
        <f>'1990-20'!$R13</f>
        <v>464244.68793073372</v>
      </c>
      <c r="D12" s="13">
        <f>'1990-30'!$R13</f>
        <v>1106232.4991188743</v>
      </c>
      <c r="E12" s="13">
        <f>'1990-40'!$R13</f>
        <v>1976606</v>
      </c>
      <c r="F12" s="13">
        <f>'1990-50'!$R13</f>
        <v>1976606</v>
      </c>
      <c r="G12" s="13">
        <f>'1990-60'!$R13</f>
        <v>1976606</v>
      </c>
      <c r="H12" s="13">
        <f>'1990-70'!$R13</f>
        <v>1976606</v>
      </c>
      <c r="I12" s="13">
        <f>'1990-80'!$R13</f>
        <v>1976606</v>
      </c>
      <c r="J12" s="13">
        <f>'1990-90'!$R13</f>
        <v>1976606</v>
      </c>
      <c r="L12" s="13">
        <f t="shared" si="6"/>
        <v>107066.35281127057</v>
      </c>
      <c r="M12" s="13">
        <f t="shared" si="7"/>
        <v>357178.33511946315</v>
      </c>
      <c r="N12" s="13">
        <f t="shared" si="8"/>
        <v>641987.81118814065</v>
      </c>
      <c r="O12" s="13">
        <f t="shared" si="9"/>
        <v>870373.50088112568</v>
      </c>
      <c r="P12" s="13">
        <f t="shared" si="10"/>
        <v>0</v>
      </c>
      <c r="Q12" s="13">
        <f t="shared" si="11"/>
        <v>0</v>
      </c>
      <c r="R12" s="13">
        <f t="shared" si="0"/>
        <v>0</v>
      </c>
      <c r="S12" s="13">
        <f t="shared" si="1"/>
        <v>0</v>
      </c>
      <c r="T12" s="13">
        <f t="shared" si="2"/>
        <v>0</v>
      </c>
      <c r="U12" s="13"/>
      <c r="V12" s="13">
        <f t="shared" si="12"/>
        <v>1976606.0000000002</v>
      </c>
      <c r="X12" s="13">
        <f t="shared" si="3"/>
        <v>213939.23801226399</v>
      </c>
      <c r="Y12" s="18">
        <f t="shared" si="13"/>
        <v>10</v>
      </c>
      <c r="Z12" s="18" t="str">
        <f t="shared" si="14"/>
        <v>Dallas-Fort Worth</v>
      </c>
      <c r="AA12" s="18">
        <f t="shared" si="15"/>
        <v>33</v>
      </c>
      <c r="AB12" s="18">
        <f t="shared" si="16"/>
        <v>29</v>
      </c>
      <c r="AC12" s="18">
        <f t="shared" si="17"/>
        <v>12</v>
      </c>
      <c r="AD12" s="18">
        <f t="shared" si="18"/>
        <v>8</v>
      </c>
      <c r="AE12" s="18">
        <f t="shared" si="19"/>
        <v>8</v>
      </c>
      <c r="AF12" s="18">
        <f t="shared" si="20"/>
        <v>8</v>
      </c>
      <c r="AG12" s="18" t="str">
        <f t="shared" si="5"/>
        <v>Dallas-Fort Worth</v>
      </c>
    </row>
    <row r="13" spans="1:33">
      <c r="A13" s="18" t="s">
        <v>36</v>
      </c>
      <c r="B13" s="13">
        <f>'1990-10'!R14</f>
        <v>156322.64612955024</v>
      </c>
      <c r="C13" s="13">
        <f>'1990-20'!$R14</f>
        <v>638432.63000827772</v>
      </c>
      <c r="D13" s="13">
        <f>'1990-30'!$R14</f>
        <v>964912</v>
      </c>
      <c r="E13" s="13">
        <f>'1990-40'!$R14</f>
        <v>964912</v>
      </c>
      <c r="F13" s="13">
        <f>'1990-50'!$R14</f>
        <v>964912</v>
      </c>
      <c r="G13" s="13">
        <f>'1990-60'!$R14</f>
        <v>964912</v>
      </c>
      <c r="H13" s="13">
        <f>'1990-70'!$R14</f>
        <v>964912</v>
      </c>
      <c r="I13" s="13">
        <f>'1990-80'!$R14</f>
        <v>964912</v>
      </c>
      <c r="J13" s="13">
        <f>'1990-90'!$R14</f>
        <v>964912</v>
      </c>
      <c r="L13" s="13">
        <f t="shared" si="6"/>
        <v>156322.64612955024</v>
      </c>
      <c r="M13" s="13">
        <f t="shared" si="7"/>
        <v>482109.98387872748</v>
      </c>
      <c r="N13" s="13">
        <f t="shared" si="8"/>
        <v>326479.36999172228</v>
      </c>
      <c r="O13" s="13">
        <f t="shared" si="9"/>
        <v>0</v>
      </c>
      <c r="P13" s="13">
        <f t="shared" si="10"/>
        <v>0</v>
      </c>
      <c r="Q13" s="13">
        <f t="shared" si="11"/>
        <v>0</v>
      </c>
      <c r="R13" s="13">
        <f t="shared" si="0"/>
        <v>0</v>
      </c>
      <c r="S13" s="13">
        <f t="shared" si="1"/>
        <v>0</v>
      </c>
      <c r="T13" s="13">
        <f t="shared" si="2"/>
        <v>0</v>
      </c>
      <c r="U13" s="13"/>
      <c r="V13" s="13">
        <f t="shared" si="12"/>
        <v>964912</v>
      </c>
      <c r="X13" s="13">
        <f t="shared" si="3"/>
        <v>197194.1599258942</v>
      </c>
      <c r="Y13" s="18">
        <f t="shared" si="13"/>
        <v>13</v>
      </c>
      <c r="Z13" s="18" t="str">
        <f t="shared" si="14"/>
        <v>Denver</v>
      </c>
      <c r="AA13" s="18">
        <f t="shared" si="15"/>
        <v>16</v>
      </c>
      <c r="AB13" s="18">
        <f t="shared" si="16"/>
        <v>8</v>
      </c>
      <c r="AC13" s="18">
        <f t="shared" si="17"/>
        <v>16</v>
      </c>
      <c r="AD13" s="18">
        <f t="shared" si="18"/>
        <v>20</v>
      </c>
      <c r="AE13" s="18">
        <f t="shared" si="19"/>
        <v>20</v>
      </c>
      <c r="AF13" s="18">
        <f t="shared" si="20"/>
        <v>20</v>
      </c>
      <c r="AG13" s="18" t="str">
        <f t="shared" si="5"/>
        <v>Denver</v>
      </c>
    </row>
    <row r="14" spans="1:33">
      <c r="A14" s="18" t="s">
        <v>37</v>
      </c>
      <c r="B14" s="13">
        <f>'1990-10'!R15</f>
        <v>132975.97010867984</v>
      </c>
      <c r="C14" s="13">
        <f>'1990-20'!$R15</f>
        <v>577362.16043188062</v>
      </c>
      <c r="D14" s="13">
        <f>'1990-30'!$R15</f>
        <v>1348568.9272699899</v>
      </c>
      <c r="E14" s="13">
        <f>'1990-40'!$R15</f>
        <v>2079880</v>
      </c>
      <c r="F14" s="13">
        <f>'1990-50'!$R15</f>
        <v>2079880</v>
      </c>
      <c r="G14" s="13">
        <f>'1990-60'!$R15</f>
        <v>2079880</v>
      </c>
      <c r="H14" s="13">
        <f>'1990-70'!$R15</f>
        <v>2079880</v>
      </c>
      <c r="I14" s="13">
        <f>'1990-80'!$R15</f>
        <v>2079880</v>
      </c>
      <c r="J14" s="13">
        <f>'1990-90'!$R15</f>
        <v>2079880</v>
      </c>
      <c r="L14" s="13">
        <f t="shared" si="6"/>
        <v>132975.97010867984</v>
      </c>
      <c r="M14" s="13">
        <f t="shared" si="7"/>
        <v>444386.19032320078</v>
      </c>
      <c r="N14" s="13">
        <f t="shared" si="8"/>
        <v>771206.76683810924</v>
      </c>
      <c r="O14" s="13">
        <f t="shared" si="9"/>
        <v>731311.07273001014</v>
      </c>
      <c r="P14" s="13">
        <f t="shared" si="10"/>
        <v>0</v>
      </c>
      <c r="Q14" s="13">
        <f t="shared" si="11"/>
        <v>0</v>
      </c>
      <c r="R14" s="13">
        <f t="shared" si="0"/>
        <v>0</v>
      </c>
      <c r="S14" s="13">
        <f t="shared" si="1"/>
        <v>0</v>
      </c>
      <c r="T14" s="13">
        <f t="shared" si="2"/>
        <v>0</v>
      </c>
      <c r="U14" s="13"/>
      <c r="V14" s="13">
        <f t="shared" si="12"/>
        <v>2079880</v>
      </c>
      <c r="X14" s="13">
        <f t="shared" si="3"/>
        <v>249242.1299413371</v>
      </c>
      <c r="Y14" s="18">
        <f t="shared" si="13"/>
        <v>8</v>
      </c>
      <c r="Z14" s="18" t="str">
        <f t="shared" si="14"/>
        <v>Detroit</v>
      </c>
      <c r="AA14" s="18">
        <f t="shared" si="15"/>
        <v>21</v>
      </c>
      <c r="AB14" s="18">
        <f t="shared" si="16"/>
        <v>13</v>
      </c>
      <c r="AC14" s="18">
        <f t="shared" si="17"/>
        <v>7</v>
      </c>
      <c r="AD14" s="18">
        <f t="shared" si="18"/>
        <v>7</v>
      </c>
      <c r="AE14" s="18">
        <f t="shared" si="19"/>
        <v>7</v>
      </c>
      <c r="AF14" s="18">
        <f t="shared" si="20"/>
        <v>7</v>
      </c>
      <c r="AG14" s="18" t="str">
        <f t="shared" si="5"/>
        <v>Detroit</v>
      </c>
    </row>
    <row r="15" spans="1:33">
      <c r="A15" s="18" t="s">
        <v>80</v>
      </c>
      <c r="B15" s="13">
        <f>'1990-10'!R16</f>
        <v>143788.43839776184</v>
      </c>
      <c r="C15" s="13">
        <f>'1990-20'!$R16</f>
        <v>337335</v>
      </c>
      <c r="D15" s="13">
        <f>'1990-30'!$R16</f>
        <v>337335</v>
      </c>
      <c r="E15" s="13">
        <f>'1990-40'!$R16</f>
        <v>337335</v>
      </c>
      <c r="F15" s="13">
        <f>'1990-50'!$R16</f>
        <v>337335</v>
      </c>
      <c r="G15" s="13">
        <f>'1990-60'!$R16</f>
        <v>337335</v>
      </c>
      <c r="H15" s="13">
        <f>'1990-70'!$R16</f>
        <v>337335</v>
      </c>
      <c r="I15" s="13">
        <f>'1990-80'!$R16</f>
        <v>337335</v>
      </c>
      <c r="J15" s="13">
        <f>'1990-90'!$R16</f>
        <v>337335</v>
      </c>
      <c r="L15" s="13">
        <f t="shared" si="6"/>
        <v>143788.43839776184</v>
      </c>
      <c r="M15" s="13">
        <f t="shared" si="7"/>
        <v>193546.56160223816</v>
      </c>
      <c r="N15" s="13">
        <f t="shared" si="8"/>
        <v>0</v>
      </c>
      <c r="O15" s="13">
        <f t="shared" si="9"/>
        <v>0</v>
      </c>
      <c r="P15" s="13">
        <f t="shared" si="10"/>
        <v>0</v>
      </c>
      <c r="Q15" s="13">
        <f t="shared" si="11"/>
        <v>0</v>
      </c>
      <c r="R15" s="13">
        <f t="shared" si="0"/>
        <v>0</v>
      </c>
      <c r="S15" s="13">
        <f t="shared" si="1"/>
        <v>0</v>
      </c>
      <c r="T15" s="13">
        <f t="shared" si="2"/>
        <v>0</v>
      </c>
      <c r="U15" s="13"/>
      <c r="V15" s="13">
        <f t="shared" si="12"/>
        <v>337335</v>
      </c>
      <c r="X15" s="13">
        <f t="shared" si="3"/>
        <v>103684.68693462921</v>
      </c>
      <c r="Y15" s="18">
        <f t="shared" si="13"/>
        <v>47</v>
      </c>
      <c r="Z15" s="18" t="str">
        <f t="shared" si="14"/>
        <v>Grand Rapids</v>
      </c>
      <c r="AA15" s="18">
        <f t="shared" si="15"/>
        <v>18</v>
      </c>
      <c r="AB15" s="18">
        <f t="shared" si="16"/>
        <v>47</v>
      </c>
      <c r="AC15" s="18">
        <f t="shared" si="17"/>
        <v>51</v>
      </c>
      <c r="AD15" s="18">
        <f t="shared" si="18"/>
        <v>51</v>
      </c>
      <c r="AE15" s="18">
        <f t="shared" si="19"/>
        <v>51</v>
      </c>
      <c r="AF15" s="18">
        <f t="shared" si="20"/>
        <v>51</v>
      </c>
      <c r="AG15" s="18" t="str">
        <f t="shared" si="5"/>
        <v>Grand Rapids</v>
      </c>
    </row>
    <row r="16" spans="1:33">
      <c r="A16" s="18" t="s">
        <v>58</v>
      </c>
      <c r="B16" s="13">
        <f>'1990-10'!R17</f>
        <v>78822.471271547169</v>
      </c>
      <c r="C16" s="13">
        <f>'1990-20'!$R17</f>
        <v>339017.02397313435</v>
      </c>
      <c r="D16" s="13">
        <f>'1990-30'!$R17</f>
        <v>698999</v>
      </c>
      <c r="E16" s="13">
        <f>'1990-40'!$R17</f>
        <v>698999</v>
      </c>
      <c r="F16" s="13">
        <f>'1990-50'!$R17</f>
        <v>698999</v>
      </c>
      <c r="G16" s="13">
        <f>'1990-60'!$R17</f>
        <v>698999</v>
      </c>
      <c r="H16" s="13">
        <f>'1990-70'!$R17</f>
        <v>698999</v>
      </c>
      <c r="I16" s="13">
        <f>'1990-80'!$R17</f>
        <v>698999</v>
      </c>
      <c r="J16" s="13">
        <f>'1990-90'!$R17</f>
        <v>698999</v>
      </c>
      <c r="L16" s="13">
        <f t="shared" si="6"/>
        <v>78822.471271547169</v>
      </c>
      <c r="M16" s="13">
        <f t="shared" si="7"/>
        <v>260194.55270158718</v>
      </c>
      <c r="N16" s="13">
        <f t="shared" si="8"/>
        <v>359981.97602686565</v>
      </c>
      <c r="O16" s="13">
        <f t="shared" si="9"/>
        <v>0</v>
      </c>
      <c r="P16" s="13">
        <f t="shared" si="10"/>
        <v>0</v>
      </c>
      <c r="Q16" s="13">
        <f t="shared" si="11"/>
        <v>0</v>
      </c>
      <c r="R16" s="13">
        <f t="shared" si="0"/>
        <v>0</v>
      </c>
      <c r="S16" s="13">
        <f t="shared" si="1"/>
        <v>0</v>
      </c>
      <c r="T16" s="13">
        <f t="shared" si="2"/>
        <v>0</v>
      </c>
      <c r="U16" s="13"/>
      <c r="V16" s="13">
        <f t="shared" si="12"/>
        <v>698999</v>
      </c>
      <c r="X16" s="13">
        <f t="shared" si="3"/>
        <v>120606.42164346666</v>
      </c>
      <c r="Y16" s="18">
        <f t="shared" si="13"/>
        <v>42</v>
      </c>
      <c r="Z16" s="18" t="str">
        <f t="shared" si="14"/>
        <v>Hampton Roads</v>
      </c>
      <c r="AA16" s="18">
        <f t="shared" si="15"/>
        <v>47</v>
      </c>
      <c r="AB16" s="18">
        <f t="shared" si="16"/>
        <v>46</v>
      </c>
      <c r="AC16" s="18">
        <f t="shared" si="17"/>
        <v>29</v>
      </c>
      <c r="AD16" s="18">
        <f t="shared" si="18"/>
        <v>29</v>
      </c>
      <c r="AE16" s="18">
        <f t="shared" si="19"/>
        <v>29</v>
      </c>
      <c r="AF16" s="18">
        <f t="shared" si="20"/>
        <v>29</v>
      </c>
      <c r="AG16" s="18" t="str">
        <f t="shared" si="5"/>
        <v>Hampton Roads</v>
      </c>
    </row>
    <row r="17" spans="1:33">
      <c r="A17" s="18" t="s">
        <v>38</v>
      </c>
      <c r="B17" s="13">
        <f>'1990-10'!R18</f>
        <v>231026.1610082562</v>
      </c>
      <c r="C17" s="13">
        <f>'1990-20'!$R18</f>
        <v>561969</v>
      </c>
      <c r="D17" s="13">
        <f>'1990-30'!$R18</f>
        <v>561969</v>
      </c>
      <c r="E17" s="13">
        <f>'1990-40'!$R18</f>
        <v>561969</v>
      </c>
      <c r="F17" s="13">
        <f>'1990-50'!$R18</f>
        <v>561969</v>
      </c>
      <c r="G17" s="13">
        <f>'1990-60'!$R18</f>
        <v>561969</v>
      </c>
      <c r="H17" s="13">
        <f>'1990-70'!$R18</f>
        <v>561969</v>
      </c>
      <c r="I17" s="13">
        <f>'1990-80'!$R18</f>
        <v>561969</v>
      </c>
      <c r="J17" s="13">
        <f>'1990-90'!$R18</f>
        <v>561969</v>
      </c>
      <c r="L17" s="13">
        <f t="shared" si="6"/>
        <v>231026.1610082562</v>
      </c>
      <c r="M17" s="13">
        <f t="shared" si="7"/>
        <v>330942.8389917438</v>
      </c>
      <c r="N17" s="13">
        <f t="shared" si="8"/>
        <v>0</v>
      </c>
      <c r="O17" s="13">
        <f t="shared" si="9"/>
        <v>0</v>
      </c>
      <c r="P17" s="13">
        <f t="shared" si="10"/>
        <v>0</v>
      </c>
      <c r="Q17" s="13">
        <f t="shared" si="11"/>
        <v>0</v>
      </c>
      <c r="R17" s="13">
        <f t="shared" si="0"/>
        <v>0</v>
      </c>
      <c r="S17" s="13">
        <f t="shared" si="1"/>
        <v>0</v>
      </c>
      <c r="T17" s="13">
        <f t="shared" si="2"/>
        <v>0</v>
      </c>
      <c r="U17" s="13"/>
      <c r="V17" s="13">
        <f t="shared" si="12"/>
        <v>561969</v>
      </c>
      <c r="X17" s="13">
        <f t="shared" si="3"/>
        <v>170622.95245751715</v>
      </c>
      <c r="Y17" s="18">
        <f t="shared" si="13"/>
        <v>21</v>
      </c>
      <c r="Z17" s="18" t="str">
        <f t="shared" si="14"/>
        <v>Hartford</v>
      </c>
      <c r="AA17" s="18">
        <f t="shared" si="15"/>
        <v>2</v>
      </c>
      <c r="AB17" s="18">
        <f t="shared" si="16"/>
        <v>15</v>
      </c>
      <c r="AC17" s="18">
        <f t="shared" si="17"/>
        <v>35</v>
      </c>
      <c r="AD17" s="18">
        <f t="shared" si="18"/>
        <v>35</v>
      </c>
      <c r="AE17" s="18">
        <f t="shared" si="19"/>
        <v>35</v>
      </c>
      <c r="AF17" s="18">
        <f t="shared" si="20"/>
        <v>35</v>
      </c>
      <c r="AG17" s="18" t="str">
        <f t="shared" si="5"/>
        <v>Hartford</v>
      </c>
    </row>
    <row r="18" spans="1:33">
      <c r="A18" s="18" t="s">
        <v>81</v>
      </c>
      <c r="B18" s="13">
        <f>'1990-10'!R19</f>
        <v>207855.66101103494</v>
      </c>
      <c r="C18" s="13">
        <f>'1990-20'!$R19</f>
        <v>437518</v>
      </c>
      <c r="D18" s="13">
        <f>'1990-30'!$R19</f>
        <v>437518</v>
      </c>
      <c r="E18" s="13">
        <f>'1990-40'!$R19</f>
        <v>437518</v>
      </c>
      <c r="F18" s="13">
        <f>'1990-50'!$R19</f>
        <v>437518</v>
      </c>
      <c r="G18" s="13">
        <f>'1990-60'!$R19</f>
        <v>437518</v>
      </c>
      <c r="H18" s="13">
        <f>'1990-70'!$R19</f>
        <v>437518</v>
      </c>
      <c r="I18" s="13">
        <f>'1990-80'!$R19</f>
        <v>437518</v>
      </c>
      <c r="J18" s="13">
        <f>'1990-90'!$R19</f>
        <v>437518</v>
      </c>
      <c r="L18" s="13">
        <f t="shared" si="6"/>
        <v>207855.66101103494</v>
      </c>
      <c r="M18" s="13">
        <f t="shared" si="7"/>
        <v>229662.33898896506</v>
      </c>
      <c r="N18" s="13">
        <f t="shared" si="8"/>
        <v>0</v>
      </c>
      <c r="O18" s="13">
        <f t="shared" si="9"/>
        <v>0</v>
      </c>
      <c r="P18" s="13">
        <f t="shared" si="10"/>
        <v>0</v>
      </c>
      <c r="Q18" s="13">
        <f t="shared" si="11"/>
        <v>0</v>
      </c>
      <c r="R18" s="13">
        <f t="shared" si="0"/>
        <v>0</v>
      </c>
      <c r="S18" s="13">
        <f t="shared" si="1"/>
        <v>0</v>
      </c>
      <c r="T18" s="13">
        <f t="shared" si="2"/>
        <v>0</v>
      </c>
      <c r="U18" s="13"/>
      <c r="V18" s="13">
        <f t="shared" si="12"/>
        <v>437518</v>
      </c>
      <c r="X18" s="13">
        <f t="shared" si="3"/>
        <v>139763.59540436891</v>
      </c>
      <c r="Y18" s="18">
        <f t="shared" si="13"/>
        <v>36</v>
      </c>
      <c r="Z18" s="18" t="str">
        <f t="shared" si="14"/>
        <v>Honolulu</v>
      </c>
      <c r="AA18" s="18">
        <f t="shared" si="15"/>
        <v>5</v>
      </c>
      <c r="AB18" s="18">
        <f t="shared" ref="AB18:AB52" si="21">RANK(C18,C$2:C$52)</f>
        <v>32</v>
      </c>
      <c r="AC18" s="18">
        <f t="shared" ref="AC18:AC52" si="22">RANK(D18,D$2:D$52)</f>
        <v>47</v>
      </c>
      <c r="AD18" s="18">
        <f t="shared" ref="AD18:AD52" si="23">RANK(E18,E$2:E$52)</f>
        <v>47</v>
      </c>
      <c r="AE18" s="18">
        <f t="shared" ref="AE18:AE52" si="24">RANK(F18,F$2:F$52)</f>
        <v>47</v>
      </c>
      <c r="AF18" s="18">
        <f t="shared" ref="AF18:AF52" si="25">RANK(G18,G$2:G$52)</f>
        <v>47</v>
      </c>
      <c r="AG18" s="18" t="str">
        <f t="shared" si="5"/>
        <v>Honolulu</v>
      </c>
    </row>
    <row r="19" spans="1:33">
      <c r="A19" s="18" t="s">
        <v>39</v>
      </c>
      <c r="B19" s="13">
        <f>'1990-10'!R20</f>
        <v>99802.206290804956</v>
      </c>
      <c r="C19" s="13">
        <f>'1990-20'!$R20</f>
        <v>430203.29673756764</v>
      </c>
      <c r="D19" s="13">
        <f>'1990-30'!$R20</f>
        <v>1015660.117955127</v>
      </c>
      <c r="E19" s="13">
        <f>'1990-40'!$R20</f>
        <v>1759796</v>
      </c>
      <c r="F19" s="13">
        <f>'1990-50'!$R20</f>
        <v>1759796</v>
      </c>
      <c r="G19" s="13">
        <f>'1990-60'!$R20</f>
        <v>1759796</v>
      </c>
      <c r="H19" s="13">
        <f>'1990-70'!$R20</f>
        <v>1759796</v>
      </c>
      <c r="I19" s="13">
        <f>'1990-80'!$R20</f>
        <v>1759796</v>
      </c>
      <c r="J19" s="13">
        <f>'1990-90'!$R20</f>
        <v>1759796</v>
      </c>
      <c r="L19" s="13">
        <f t="shared" si="6"/>
        <v>99802.206290804956</v>
      </c>
      <c r="M19" s="13">
        <f t="shared" si="7"/>
        <v>330401.09044676268</v>
      </c>
      <c r="N19" s="13">
        <f t="shared" si="8"/>
        <v>585456.82121755939</v>
      </c>
      <c r="O19" s="13">
        <f t="shared" si="9"/>
        <v>744135.88204487297</v>
      </c>
      <c r="P19" s="13">
        <f t="shared" si="10"/>
        <v>0</v>
      </c>
      <c r="Q19" s="13">
        <f t="shared" si="11"/>
        <v>0</v>
      </c>
      <c r="R19" s="13">
        <f t="shared" si="0"/>
        <v>0</v>
      </c>
      <c r="S19" s="13">
        <f t="shared" si="1"/>
        <v>0</v>
      </c>
      <c r="T19" s="13">
        <f t="shared" si="2"/>
        <v>0</v>
      </c>
      <c r="U19" s="13"/>
      <c r="V19" s="13">
        <f t="shared" si="12"/>
        <v>1759796.0000000002</v>
      </c>
      <c r="X19" s="13">
        <f t="shared" si="3"/>
        <v>194994.91484381628</v>
      </c>
      <c r="Y19" s="18">
        <f t="shared" si="13"/>
        <v>14</v>
      </c>
      <c r="Z19" s="18" t="str">
        <f t="shared" si="14"/>
        <v>Houston</v>
      </c>
      <c r="AA19" s="18">
        <f t="shared" si="15"/>
        <v>37</v>
      </c>
      <c r="AB19" s="18">
        <f t="shared" si="21"/>
        <v>34</v>
      </c>
      <c r="AC19" s="18">
        <f t="shared" si="22"/>
        <v>14</v>
      </c>
      <c r="AD19" s="18">
        <f t="shared" si="23"/>
        <v>10</v>
      </c>
      <c r="AE19" s="18">
        <f t="shared" si="24"/>
        <v>10</v>
      </c>
      <c r="AF19" s="18">
        <f t="shared" si="25"/>
        <v>10</v>
      </c>
      <c r="AG19" s="18" t="str">
        <f t="shared" si="5"/>
        <v>Houston</v>
      </c>
    </row>
    <row r="20" spans="1:33">
      <c r="A20" s="18" t="s">
        <v>40</v>
      </c>
      <c r="B20" s="13">
        <f>'1990-10'!R21</f>
        <v>114055.55181646344</v>
      </c>
      <c r="C20" s="13">
        <f>'1990-20'!$R21</f>
        <v>503276.22652186808</v>
      </c>
      <c r="D20" s="13">
        <f>'1990-30'!$R21</f>
        <v>624971</v>
      </c>
      <c r="E20" s="13">
        <f>'1990-40'!$R21</f>
        <v>624971</v>
      </c>
      <c r="F20" s="13">
        <f>'1990-50'!$R21</f>
        <v>624971</v>
      </c>
      <c r="G20" s="13">
        <f>'1990-60'!$R21</f>
        <v>624971</v>
      </c>
      <c r="H20" s="13">
        <f>'1990-70'!$R21</f>
        <v>624971</v>
      </c>
      <c r="I20" s="13">
        <f>'1990-80'!$R21</f>
        <v>624971</v>
      </c>
      <c r="J20" s="13">
        <f>'1990-90'!$R21</f>
        <v>624971</v>
      </c>
      <c r="L20" s="13">
        <f t="shared" si="6"/>
        <v>114055.55181646344</v>
      </c>
      <c r="M20" s="13">
        <f t="shared" si="7"/>
        <v>389220.67470540467</v>
      </c>
      <c r="N20" s="13">
        <f t="shared" si="8"/>
        <v>121694.77347813192</v>
      </c>
      <c r="O20" s="13">
        <f t="shared" si="9"/>
        <v>0</v>
      </c>
      <c r="P20" s="13">
        <f t="shared" si="10"/>
        <v>0</v>
      </c>
      <c r="Q20" s="13">
        <f t="shared" si="11"/>
        <v>0</v>
      </c>
      <c r="R20" s="13">
        <f t="shared" si="0"/>
        <v>0</v>
      </c>
      <c r="S20" s="13">
        <f t="shared" si="1"/>
        <v>0</v>
      </c>
      <c r="T20" s="13">
        <f t="shared" si="2"/>
        <v>0</v>
      </c>
      <c r="U20" s="13"/>
      <c r="V20" s="13">
        <f t="shared" si="12"/>
        <v>624971</v>
      </c>
      <c r="X20" s="13">
        <f t="shared" si="3"/>
        <v>140870.66268001604</v>
      </c>
      <c r="Y20" s="18">
        <f t="shared" si="13"/>
        <v>35</v>
      </c>
      <c r="Z20" s="18" t="str">
        <f t="shared" si="14"/>
        <v>Indianapolis</v>
      </c>
      <c r="AA20" s="18">
        <f t="shared" si="15"/>
        <v>30</v>
      </c>
      <c r="AB20" s="18">
        <f t="shared" si="21"/>
        <v>22</v>
      </c>
      <c r="AC20" s="18">
        <f t="shared" si="22"/>
        <v>32</v>
      </c>
      <c r="AD20" s="18">
        <f t="shared" si="23"/>
        <v>32</v>
      </c>
      <c r="AE20" s="18">
        <f t="shared" si="24"/>
        <v>32</v>
      </c>
      <c r="AF20" s="18">
        <f t="shared" si="25"/>
        <v>32</v>
      </c>
      <c r="AG20" s="18" t="str">
        <f t="shared" si="5"/>
        <v>Indianapolis</v>
      </c>
    </row>
    <row r="21" spans="1:33">
      <c r="A21" s="18" t="s">
        <v>85</v>
      </c>
      <c r="B21" s="13">
        <f>'1990-10'!R22</f>
        <v>124250.1927685893</v>
      </c>
      <c r="C21" s="13">
        <f>'1990-20'!$R22</f>
        <v>521148.28145969735</v>
      </c>
      <c r="D21" s="13">
        <f>'1990-30'!$R22</f>
        <v>766953</v>
      </c>
      <c r="E21" s="13">
        <f>'1990-40'!$R22</f>
        <v>766953</v>
      </c>
      <c r="F21" s="13">
        <f>'1990-50'!$R22</f>
        <v>766953</v>
      </c>
      <c r="G21" s="13">
        <f>'1990-60'!$R22</f>
        <v>766953</v>
      </c>
      <c r="H21" s="13">
        <f>'1990-70'!$R22</f>
        <v>766953</v>
      </c>
      <c r="I21" s="13">
        <f>'1990-80'!$R22</f>
        <v>766953</v>
      </c>
      <c r="J21" s="13">
        <f>'1990-90'!$R22</f>
        <v>766953</v>
      </c>
      <c r="L21" s="13">
        <f t="shared" si="6"/>
        <v>124250.1927685893</v>
      </c>
      <c r="M21" s="13">
        <f t="shared" si="7"/>
        <v>396898.08869110805</v>
      </c>
      <c r="N21" s="13">
        <f t="shared" si="8"/>
        <v>245804.71854030265</v>
      </c>
      <c r="O21" s="13">
        <f t="shared" si="9"/>
        <v>0</v>
      </c>
      <c r="P21" s="13">
        <f t="shared" si="10"/>
        <v>0</v>
      </c>
      <c r="Q21" s="13">
        <f t="shared" si="11"/>
        <v>0</v>
      </c>
      <c r="R21" s="13">
        <f t="shared" si="0"/>
        <v>0</v>
      </c>
      <c r="S21" s="13">
        <f t="shared" si="1"/>
        <v>0</v>
      </c>
      <c r="T21" s="13">
        <f t="shared" si="2"/>
        <v>0</v>
      </c>
      <c r="U21" s="13"/>
      <c r="V21" s="13">
        <f t="shared" si="12"/>
        <v>766953</v>
      </c>
      <c r="X21" s="13">
        <f t="shared" si="3"/>
        <v>158260.45348840032</v>
      </c>
      <c r="Y21" s="18">
        <f t="shared" si="13"/>
        <v>27</v>
      </c>
      <c r="Z21" s="18" t="str">
        <f t="shared" si="14"/>
        <v>Inland Empire</v>
      </c>
      <c r="AA21" s="18">
        <f t="shared" si="15"/>
        <v>26</v>
      </c>
      <c r="AB21" s="18">
        <f t="shared" si="21"/>
        <v>20</v>
      </c>
      <c r="AC21" s="18">
        <f t="shared" si="22"/>
        <v>26</v>
      </c>
      <c r="AD21" s="18">
        <f t="shared" si="23"/>
        <v>27</v>
      </c>
      <c r="AE21" s="18">
        <f t="shared" si="24"/>
        <v>27</v>
      </c>
      <c r="AF21" s="18">
        <f t="shared" si="25"/>
        <v>27</v>
      </c>
      <c r="AG21" s="18" t="str">
        <f t="shared" si="5"/>
        <v>Inland Empire</v>
      </c>
    </row>
    <row r="22" spans="1:33">
      <c r="A22" s="18" t="s">
        <v>41</v>
      </c>
      <c r="B22" s="13">
        <f>'1990-10'!R23</f>
        <v>47609.77466319369</v>
      </c>
      <c r="C22" s="13">
        <f>'1990-20'!$R23</f>
        <v>196140.74676835604</v>
      </c>
      <c r="D22" s="13">
        <f>'1990-30'!$R23</f>
        <v>443882</v>
      </c>
      <c r="E22" s="13">
        <f>'1990-40'!$R23</f>
        <v>443882</v>
      </c>
      <c r="F22" s="13">
        <f>'1990-50'!$R23</f>
        <v>443882</v>
      </c>
      <c r="G22" s="13">
        <f>'1990-60'!$R23</f>
        <v>443882</v>
      </c>
      <c r="H22" s="13">
        <f>'1990-70'!$R23</f>
        <v>443882</v>
      </c>
      <c r="I22" s="13">
        <f>'1990-80'!$R23</f>
        <v>443882</v>
      </c>
      <c r="J22" s="13">
        <f>'1990-90'!$R23</f>
        <v>443882</v>
      </c>
      <c r="L22" s="13">
        <f t="shared" si="6"/>
        <v>47609.77466319369</v>
      </c>
      <c r="M22" s="13">
        <f t="shared" si="7"/>
        <v>148530.97210516233</v>
      </c>
      <c r="N22" s="13">
        <f t="shared" si="8"/>
        <v>247741.25323164396</v>
      </c>
      <c r="O22" s="13">
        <f t="shared" si="9"/>
        <v>0</v>
      </c>
      <c r="P22" s="13">
        <f t="shared" si="10"/>
        <v>0</v>
      </c>
      <c r="Q22" s="13">
        <f t="shared" si="11"/>
        <v>0</v>
      </c>
      <c r="R22" s="13">
        <f t="shared" si="0"/>
        <v>0</v>
      </c>
      <c r="S22" s="13">
        <f t="shared" si="1"/>
        <v>0</v>
      </c>
      <c r="T22" s="13">
        <f t="shared" si="2"/>
        <v>0</v>
      </c>
      <c r="U22" s="13"/>
      <c r="V22" s="13">
        <f t="shared" si="12"/>
        <v>443881.99999999994</v>
      </c>
      <c r="X22" s="13">
        <f t="shared" si="3"/>
        <v>73854.91625218952</v>
      </c>
      <c r="Y22" s="18">
        <f t="shared" si="13"/>
        <v>51</v>
      </c>
      <c r="Z22" s="18" t="str">
        <f t="shared" si="14"/>
        <v>Jacksonville</v>
      </c>
      <c r="AA22" s="18">
        <f t="shared" si="15"/>
        <v>51</v>
      </c>
      <c r="AB22" s="18">
        <f t="shared" si="21"/>
        <v>51</v>
      </c>
      <c r="AC22" s="18">
        <f t="shared" si="22"/>
        <v>46</v>
      </c>
      <c r="AD22" s="18">
        <f t="shared" si="23"/>
        <v>46</v>
      </c>
      <c r="AE22" s="18">
        <f t="shared" si="24"/>
        <v>46</v>
      </c>
      <c r="AF22" s="18">
        <f t="shared" si="25"/>
        <v>46</v>
      </c>
      <c r="AG22" s="18" t="str">
        <f t="shared" si="5"/>
        <v>Jacksonville</v>
      </c>
    </row>
    <row r="23" spans="1:33">
      <c r="A23" s="18" t="s">
        <v>75</v>
      </c>
      <c r="B23" s="13">
        <f>'1990-10'!R24</f>
        <v>74840.490817125887</v>
      </c>
      <c r="C23" s="13">
        <f>'1990-20'!$R24</f>
        <v>327175.62188389571</v>
      </c>
      <c r="D23" s="13">
        <f>'1990-30'!$R24</f>
        <v>753234.48846890999</v>
      </c>
      <c r="E23" s="13">
        <f>'1990-40'!$R24</f>
        <v>771309</v>
      </c>
      <c r="F23" s="13">
        <f>'1990-50'!$R24</f>
        <v>771309</v>
      </c>
      <c r="G23" s="13">
        <f>'1990-60'!$R24</f>
        <v>771309</v>
      </c>
      <c r="H23" s="13">
        <f>'1990-70'!$R24</f>
        <v>771309</v>
      </c>
      <c r="I23" s="13">
        <f>'1990-80'!$R24</f>
        <v>771309</v>
      </c>
      <c r="J23" s="13">
        <f>'1990-90'!$R24</f>
        <v>771309</v>
      </c>
      <c r="L23" s="13">
        <f t="shared" si="6"/>
        <v>74840.490817125887</v>
      </c>
      <c r="M23" s="13">
        <f t="shared" si="7"/>
        <v>252335.13106676983</v>
      </c>
      <c r="N23" s="13">
        <f t="shared" si="8"/>
        <v>426058.86658501427</v>
      </c>
      <c r="O23" s="13">
        <f t="shared" si="9"/>
        <v>18074.511531090015</v>
      </c>
      <c r="P23" s="13">
        <f t="shared" si="10"/>
        <v>0</v>
      </c>
      <c r="Q23" s="13">
        <f t="shared" si="11"/>
        <v>0</v>
      </c>
      <c r="R23" s="13">
        <f t="shared" si="0"/>
        <v>0</v>
      </c>
      <c r="S23" s="13">
        <f t="shared" si="1"/>
        <v>0</v>
      </c>
      <c r="T23" s="13">
        <f t="shared" si="2"/>
        <v>0</v>
      </c>
      <c r="U23" s="13"/>
      <c r="V23" s="13">
        <f t="shared" si="12"/>
        <v>771309</v>
      </c>
      <c r="X23" s="13">
        <f t="shared" si="3"/>
        <v>123961.5298262284</v>
      </c>
      <c r="Y23" s="18">
        <f t="shared" si="13"/>
        <v>40</v>
      </c>
      <c r="Z23" s="18" t="str">
        <f t="shared" si="14"/>
        <v>Kansas City</v>
      </c>
      <c r="AA23" s="18">
        <f t="shared" si="15"/>
        <v>48</v>
      </c>
      <c r="AB23" s="18">
        <f t="shared" si="21"/>
        <v>48</v>
      </c>
      <c r="AC23" s="18">
        <f t="shared" si="22"/>
        <v>27</v>
      </c>
      <c r="AD23" s="18">
        <f t="shared" si="23"/>
        <v>26</v>
      </c>
      <c r="AE23" s="18">
        <f t="shared" si="24"/>
        <v>26</v>
      </c>
      <c r="AF23" s="18">
        <f t="shared" si="25"/>
        <v>26</v>
      </c>
      <c r="AG23" s="18" t="str">
        <f t="shared" si="5"/>
        <v>Kansas City</v>
      </c>
    </row>
    <row r="24" spans="1:33">
      <c r="A24" s="18" t="s">
        <v>63</v>
      </c>
      <c r="B24" s="13">
        <f>'1990-10'!R25</f>
        <v>106673.99967492989</v>
      </c>
      <c r="C24" s="13">
        <f>'1990-20'!$R25</f>
        <v>371128</v>
      </c>
      <c r="D24" s="13">
        <f>'1990-30'!$R25</f>
        <v>371128</v>
      </c>
      <c r="E24" s="13">
        <f>'1990-40'!$R25</f>
        <v>371128</v>
      </c>
      <c r="F24" s="13">
        <f>'1990-50'!$R25</f>
        <v>371128</v>
      </c>
      <c r="G24" s="13">
        <f>'1990-60'!$R25</f>
        <v>371128</v>
      </c>
      <c r="H24" s="13">
        <f>'1990-70'!$R25</f>
        <v>371128</v>
      </c>
      <c r="I24" s="13">
        <f>'1990-80'!$R25</f>
        <v>371128</v>
      </c>
      <c r="J24" s="13">
        <f>'1990-90'!$R25</f>
        <v>371128</v>
      </c>
      <c r="L24" s="13">
        <f t="shared" si="6"/>
        <v>106673.99967492989</v>
      </c>
      <c r="M24" s="13">
        <f t="shared" si="7"/>
        <v>264454.00032507011</v>
      </c>
      <c r="N24" s="13">
        <f t="shared" si="8"/>
        <v>0</v>
      </c>
      <c r="O24" s="13">
        <f t="shared" si="9"/>
        <v>0</v>
      </c>
      <c r="P24" s="13">
        <f t="shared" si="10"/>
        <v>0</v>
      </c>
      <c r="Q24" s="13">
        <f t="shared" si="11"/>
        <v>0</v>
      </c>
      <c r="R24" s="13">
        <f t="shared" si="0"/>
        <v>0</v>
      </c>
      <c r="S24" s="13">
        <f t="shared" si="1"/>
        <v>0</v>
      </c>
      <c r="T24" s="13">
        <f t="shared" si="2"/>
        <v>0</v>
      </c>
      <c r="U24" s="13"/>
      <c r="V24" s="13">
        <f t="shared" si="12"/>
        <v>371128</v>
      </c>
      <c r="X24" s="13">
        <f t="shared" si="3"/>
        <v>101324.05960756619</v>
      </c>
      <c r="Y24" s="18">
        <f t="shared" si="13"/>
        <v>48</v>
      </c>
      <c r="Z24" s="18" t="str">
        <f t="shared" si="14"/>
        <v>Las Vegas</v>
      </c>
      <c r="AA24" s="18">
        <f t="shared" si="15"/>
        <v>34</v>
      </c>
      <c r="AB24" s="18">
        <f t="shared" si="21"/>
        <v>43</v>
      </c>
      <c r="AC24" s="18">
        <f t="shared" si="22"/>
        <v>50</v>
      </c>
      <c r="AD24" s="18">
        <f t="shared" si="23"/>
        <v>50</v>
      </c>
      <c r="AE24" s="18">
        <f t="shared" si="24"/>
        <v>50</v>
      </c>
      <c r="AF24" s="18">
        <f t="shared" si="25"/>
        <v>50</v>
      </c>
      <c r="AG24" s="18" t="str">
        <f t="shared" si="5"/>
        <v>Las Vegas</v>
      </c>
    </row>
    <row r="25" spans="1:33">
      <c r="A25" s="18" t="s">
        <v>64</v>
      </c>
      <c r="B25" s="13">
        <f>'1990-10'!R26</f>
        <v>142592.21638202376</v>
      </c>
      <c r="C25" s="13">
        <f>'1990-20'!$R26</f>
        <v>584007.57575868943</v>
      </c>
      <c r="D25" s="13">
        <f>'1990-30'!$R26</f>
        <v>1364670.8659690279</v>
      </c>
      <c r="E25" s="13">
        <f>'1990-40'!$R26</f>
        <v>2481528.0635975767</v>
      </c>
      <c r="F25" s="13">
        <f>'1990-50'!$R26</f>
        <v>3923074.1683693966</v>
      </c>
      <c r="G25" s="13">
        <f>'1990-60'!$R26</f>
        <v>5634646.9301491892</v>
      </c>
      <c r="H25" s="13">
        <f>'1990-70'!$R26</f>
        <v>6042090</v>
      </c>
      <c r="I25" s="13">
        <f>'1990-80'!$R26</f>
        <v>6042090</v>
      </c>
      <c r="J25" s="13">
        <f>'1990-90'!$R26</f>
        <v>6042090</v>
      </c>
      <c r="L25" s="13">
        <f t="shared" si="6"/>
        <v>142592.21638202376</v>
      </c>
      <c r="M25" s="13">
        <f t="shared" si="7"/>
        <v>441415.35937666567</v>
      </c>
      <c r="N25" s="13">
        <f t="shared" si="8"/>
        <v>780663.29021033843</v>
      </c>
      <c r="O25" s="13">
        <f t="shared" si="9"/>
        <v>1116857.1976285488</v>
      </c>
      <c r="P25" s="13">
        <f t="shared" si="10"/>
        <v>1441546.1047718199</v>
      </c>
      <c r="Q25" s="13">
        <f t="shared" si="11"/>
        <v>1711572.7617797926</v>
      </c>
      <c r="R25" s="13">
        <f t="shared" si="0"/>
        <v>407443.0698508108</v>
      </c>
      <c r="S25" s="13">
        <f t="shared" si="1"/>
        <v>0</v>
      </c>
      <c r="T25" s="13">
        <f t="shared" si="2"/>
        <v>0</v>
      </c>
      <c r="U25" s="13"/>
      <c r="V25" s="13">
        <f t="shared" si="12"/>
        <v>6042089.9999999991</v>
      </c>
      <c r="X25" s="13">
        <f t="shared" si="3"/>
        <v>311532.09145255969</v>
      </c>
      <c r="Y25" s="18">
        <f t="shared" si="13"/>
        <v>5</v>
      </c>
      <c r="Z25" s="18" t="str">
        <f t="shared" si="14"/>
        <v>Los Angeles</v>
      </c>
      <c r="AA25" s="18">
        <f t="shared" si="15"/>
        <v>19</v>
      </c>
      <c r="AB25" s="18">
        <f t="shared" si="21"/>
        <v>12</v>
      </c>
      <c r="AC25" s="18">
        <f t="shared" si="22"/>
        <v>6</v>
      </c>
      <c r="AD25" s="18">
        <f t="shared" si="23"/>
        <v>4</v>
      </c>
      <c r="AE25" s="18">
        <f t="shared" si="24"/>
        <v>2</v>
      </c>
      <c r="AF25" s="18">
        <f t="shared" si="25"/>
        <v>2</v>
      </c>
      <c r="AG25" s="18" t="str">
        <f t="shared" si="5"/>
        <v>Los Angeles</v>
      </c>
    </row>
    <row r="26" spans="1:33">
      <c r="A26" s="18" t="s">
        <v>42</v>
      </c>
      <c r="B26" s="13">
        <f>'1990-10'!R27</f>
        <v>99492.539570919776</v>
      </c>
      <c r="C26" s="13">
        <f>'1990-20'!$R27</f>
        <v>438620.30367429147</v>
      </c>
      <c r="D26" s="13">
        <f>'1990-30'!$R27</f>
        <v>446876</v>
      </c>
      <c r="E26" s="13">
        <f>'1990-40'!$R27</f>
        <v>446876</v>
      </c>
      <c r="F26" s="13">
        <f>'1990-50'!$R27</f>
        <v>446876</v>
      </c>
      <c r="G26" s="13">
        <f>'1990-60'!$R27</f>
        <v>446876</v>
      </c>
      <c r="H26" s="13">
        <f>'1990-70'!$R27</f>
        <v>446876</v>
      </c>
      <c r="I26" s="13">
        <f>'1990-80'!$R27</f>
        <v>446876</v>
      </c>
      <c r="J26" s="13">
        <f>'1990-90'!$R27</f>
        <v>446876</v>
      </c>
      <c r="L26" s="13">
        <f t="shared" si="6"/>
        <v>99492.539570919776</v>
      </c>
      <c r="M26" s="13">
        <f t="shared" si="7"/>
        <v>339127.76410337171</v>
      </c>
      <c r="N26" s="13">
        <f t="shared" si="8"/>
        <v>8255.6963257085299</v>
      </c>
      <c r="O26" s="13">
        <f t="shared" si="9"/>
        <v>0</v>
      </c>
      <c r="P26" s="13">
        <f t="shared" si="10"/>
        <v>0</v>
      </c>
      <c r="Q26" s="13">
        <f t="shared" si="11"/>
        <v>0</v>
      </c>
      <c r="R26" s="13">
        <f t="shared" si="0"/>
        <v>0</v>
      </c>
      <c r="S26" s="13">
        <f t="shared" si="1"/>
        <v>0</v>
      </c>
      <c r="T26" s="13">
        <f t="shared" si="2"/>
        <v>0</v>
      </c>
      <c r="U26" s="13"/>
      <c r="V26" s="13">
        <f t="shared" si="12"/>
        <v>446876</v>
      </c>
      <c r="X26" s="13">
        <f t="shared" si="3"/>
        <v>113922.53434422391</v>
      </c>
      <c r="Y26" s="18">
        <f t="shared" si="13"/>
        <v>43</v>
      </c>
      <c r="Z26" s="18" t="str">
        <f t="shared" si="14"/>
        <v>Louisville</v>
      </c>
      <c r="AA26" s="18">
        <f t="shared" si="15"/>
        <v>38</v>
      </c>
      <c r="AB26" s="18">
        <f t="shared" si="21"/>
        <v>31</v>
      </c>
      <c r="AC26" s="18">
        <f t="shared" si="22"/>
        <v>45</v>
      </c>
      <c r="AD26" s="18">
        <f t="shared" si="23"/>
        <v>45</v>
      </c>
      <c r="AE26" s="18">
        <f t="shared" si="24"/>
        <v>45</v>
      </c>
      <c r="AF26" s="18">
        <f t="shared" si="25"/>
        <v>45</v>
      </c>
      <c r="AG26" s="18" t="str">
        <f t="shared" si="5"/>
        <v>Louisville</v>
      </c>
    </row>
    <row r="27" spans="1:33">
      <c r="A27" s="18" t="s">
        <v>43</v>
      </c>
      <c r="B27" s="13">
        <f>'1990-10'!R28</f>
        <v>101024.2158038855</v>
      </c>
      <c r="C27" s="13">
        <f>'1990-20'!$R28</f>
        <v>431032.16790527344</v>
      </c>
      <c r="D27" s="13">
        <f>'1990-30'!$R28</f>
        <v>448237</v>
      </c>
      <c r="E27" s="13">
        <f>'1990-40'!$R28</f>
        <v>448237</v>
      </c>
      <c r="F27" s="13">
        <f>'1990-50'!$R28</f>
        <v>448237</v>
      </c>
      <c r="G27" s="13">
        <f>'1990-60'!$R28</f>
        <v>448237</v>
      </c>
      <c r="H27" s="13">
        <f>'1990-70'!$R28</f>
        <v>448237</v>
      </c>
      <c r="I27" s="13">
        <f>'1990-80'!$R28</f>
        <v>448237</v>
      </c>
      <c r="J27" s="13">
        <f>'1990-90'!$R28</f>
        <v>448237</v>
      </c>
      <c r="L27" s="13">
        <f t="shared" si="6"/>
        <v>101024.2158038855</v>
      </c>
      <c r="M27" s="13">
        <f t="shared" si="7"/>
        <v>330007.95210138796</v>
      </c>
      <c r="N27" s="13">
        <f t="shared" si="8"/>
        <v>17204.83209472656</v>
      </c>
      <c r="O27" s="13">
        <f t="shared" si="9"/>
        <v>0</v>
      </c>
      <c r="P27" s="13">
        <f t="shared" si="10"/>
        <v>0</v>
      </c>
      <c r="Q27" s="13">
        <f t="shared" si="11"/>
        <v>0</v>
      </c>
      <c r="R27" s="13">
        <f t="shared" si="0"/>
        <v>0</v>
      </c>
      <c r="S27" s="13">
        <f t="shared" si="1"/>
        <v>0</v>
      </c>
      <c r="T27" s="13">
        <f t="shared" si="2"/>
        <v>0</v>
      </c>
      <c r="U27" s="13"/>
      <c r="V27" s="13">
        <f t="shared" si="12"/>
        <v>448237</v>
      </c>
      <c r="X27" s="13">
        <f t="shared" si="3"/>
        <v>113581.34983205335</v>
      </c>
      <c r="Y27" s="18">
        <f t="shared" si="13"/>
        <v>44</v>
      </c>
      <c r="Z27" s="18" t="str">
        <f t="shared" si="14"/>
        <v>Memphis</v>
      </c>
      <c r="AA27" s="18">
        <f t="shared" si="15"/>
        <v>36</v>
      </c>
      <c r="AB27" s="18">
        <f t="shared" si="21"/>
        <v>33</v>
      </c>
      <c r="AC27" s="18">
        <f t="shared" si="22"/>
        <v>44</v>
      </c>
      <c r="AD27" s="18">
        <f t="shared" si="23"/>
        <v>44</v>
      </c>
      <c r="AE27" s="18">
        <f t="shared" si="24"/>
        <v>44</v>
      </c>
      <c r="AF27" s="18">
        <f t="shared" si="25"/>
        <v>44</v>
      </c>
      <c r="AG27" s="18" t="str">
        <f t="shared" si="5"/>
        <v>Memphis</v>
      </c>
    </row>
    <row r="28" spans="1:33">
      <c r="A28" s="18" t="s">
        <v>44</v>
      </c>
      <c r="B28" s="13">
        <f>'1990-10'!R29</f>
        <v>132315.0481906356</v>
      </c>
      <c r="C28" s="13">
        <f>'1990-20'!$R29</f>
        <v>569615.87246055983</v>
      </c>
      <c r="D28" s="13">
        <f>'1990-30'!$R29</f>
        <v>772752</v>
      </c>
      <c r="E28" s="13">
        <f>'1990-40'!$R29</f>
        <v>772752</v>
      </c>
      <c r="F28" s="13">
        <f>'1990-50'!$R29</f>
        <v>772752</v>
      </c>
      <c r="G28" s="13">
        <f>'1990-60'!$R29</f>
        <v>772752</v>
      </c>
      <c r="H28" s="13">
        <f>'1990-70'!$R29</f>
        <v>772752</v>
      </c>
      <c r="I28" s="13">
        <f>'1990-80'!$R29</f>
        <v>772752</v>
      </c>
      <c r="J28" s="13">
        <f>'1990-90'!$R29</f>
        <v>772752</v>
      </c>
      <c r="L28" s="13">
        <f t="shared" si="6"/>
        <v>132315.0481906356</v>
      </c>
      <c r="M28" s="13">
        <f t="shared" si="7"/>
        <v>437300.8242699242</v>
      </c>
      <c r="N28" s="13">
        <f t="shared" si="8"/>
        <v>203136.12753944017</v>
      </c>
      <c r="O28" s="13">
        <f t="shared" si="9"/>
        <v>0</v>
      </c>
      <c r="P28" s="13">
        <f t="shared" si="10"/>
        <v>0</v>
      </c>
      <c r="Q28" s="13">
        <f t="shared" si="11"/>
        <v>0</v>
      </c>
      <c r="R28" s="13">
        <f t="shared" si="0"/>
        <v>0</v>
      </c>
      <c r="S28" s="13">
        <f t="shared" si="1"/>
        <v>0</v>
      </c>
      <c r="T28" s="13">
        <f t="shared" si="2"/>
        <v>0</v>
      </c>
      <c r="U28" s="13"/>
      <c r="V28" s="13">
        <f t="shared" si="12"/>
        <v>772752</v>
      </c>
      <c r="X28" s="13">
        <f t="shared" si="3"/>
        <v>166170.59100642399</v>
      </c>
      <c r="Y28" s="18">
        <f t="shared" si="13"/>
        <v>24</v>
      </c>
      <c r="Z28" s="18" t="str">
        <f t="shared" si="14"/>
        <v>Milwaukee</v>
      </c>
      <c r="AA28" s="18">
        <f t="shared" si="15"/>
        <v>22</v>
      </c>
      <c r="AB28" s="18">
        <f t="shared" si="21"/>
        <v>14</v>
      </c>
      <c r="AC28" s="18">
        <f t="shared" si="22"/>
        <v>25</v>
      </c>
      <c r="AD28" s="18">
        <f t="shared" si="23"/>
        <v>25</v>
      </c>
      <c r="AE28" s="18">
        <f t="shared" si="24"/>
        <v>25</v>
      </c>
      <c r="AF28" s="18">
        <f t="shared" si="25"/>
        <v>25</v>
      </c>
      <c r="AG28" s="18" t="str">
        <f t="shared" si="5"/>
        <v>Milwaukee</v>
      </c>
    </row>
    <row r="29" spans="1:33">
      <c r="A29" s="18" t="s">
        <v>45</v>
      </c>
      <c r="B29" s="13">
        <f>'1990-10'!R30</f>
        <v>92817.54459213189</v>
      </c>
      <c r="C29" s="13">
        <f>'1990-20'!$R30</f>
        <v>399578.48289383267</v>
      </c>
      <c r="D29" s="13">
        <f>'1990-30'!$R30</f>
        <v>943146.64661491499</v>
      </c>
      <c r="E29" s="13">
        <f>'1990-40'!$R30</f>
        <v>1307624</v>
      </c>
      <c r="F29" s="13">
        <f>'1990-50'!$R30</f>
        <v>1307624</v>
      </c>
      <c r="G29" s="13">
        <f>'1990-60'!$R30</f>
        <v>1307624</v>
      </c>
      <c r="H29" s="13">
        <f>'1990-70'!$R30</f>
        <v>1307624</v>
      </c>
      <c r="I29" s="13">
        <f>'1990-80'!$R30</f>
        <v>1307624</v>
      </c>
      <c r="J29" s="13">
        <f>'1990-90'!$R30</f>
        <v>1307624</v>
      </c>
      <c r="L29" s="13">
        <f t="shared" si="6"/>
        <v>92817.54459213189</v>
      </c>
      <c r="M29" s="13">
        <f t="shared" si="7"/>
        <v>306760.93830170075</v>
      </c>
      <c r="N29" s="13">
        <f t="shared" si="8"/>
        <v>543568.16372108227</v>
      </c>
      <c r="O29" s="13">
        <f t="shared" si="9"/>
        <v>364477.35338508501</v>
      </c>
      <c r="P29" s="13">
        <f t="shared" si="10"/>
        <v>0</v>
      </c>
      <c r="Q29" s="13">
        <f t="shared" si="11"/>
        <v>0</v>
      </c>
      <c r="R29" s="13">
        <f t="shared" si="0"/>
        <v>0</v>
      </c>
      <c r="S29" s="13">
        <f t="shared" si="1"/>
        <v>0</v>
      </c>
      <c r="T29" s="13">
        <f t="shared" si="2"/>
        <v>0</v>
      </c>
      <c r="U29" s="13"/>
      <c r="V29" s="13">
        <f t="shared" si="12"/>
        <v>1307624</v>
      </c>
      <c r="X29" s="13">
        <f t="shared" si="3"/>
        <v>167807.8679736121</v>
      </c>
      <c r="Y29" s="18">
        <f t="shared" si="13"/>
        <v>23</v>
      </c>
      <c r="Z29" s="18" t="str">
        <f t="shared" si="14"/>
        <v>Minneapolis-St.Paul</v>
      </c>
      <c r="AA29" s="18">
        <f t="shared" si="15"/>
        <v>42</v>
      </c>
      <c r="AB29" s="18">
        <f t="shared" si="21"/>
        <v>41</v>
      </c>
      <c r="AC29" s="18">
        <f t="shared" si="22"/>
        <v>20</v>
      </c>
      <c r="AD29" s="18">
        <f t="shared" si="23"/>
        <v>14</v>
      </c>
      <c r="AE29" s="18">
        <f t="shared" si="24"/>
        <v>14</v>
      </c>
      <c r="AF29" s="18">
        <f t="shared" si="25"/>
        <v>14</v>
      </c>
      <c r="AG29" s="18" t="str">
        <f t="shared" si="5"/>
        <v>Minneapolis-St.Paul</v>
      </c>
    </row>
    <row r="30" spans="1:33">
      <c r="A30" s="18" t="s">
        <v>46</v>
      </c>
      <c r="B30" s="13">
        <f>'1990-10'!R31</f>
        <v>71978.010992047944</v>
      </c>
      <c r="C30" s="13">
        <f>'1990-20'!$R31</f>
        <v>305437.55702486966</v>
      </c>
      <c r="D30" s="13">
        <f>'1990-30'!$R31</f>
        <v>495717</v>
      </c>
      <c r="E30" s="13">
        <f>'1990-40'!$R31</f>
        <v>495717</v>
      </c>
      <c r="F30" s="13">
        <f>'1990-50'!$R31</f>
        <v>495717</v>
      </c>
      <c r="G30" s="13">
        <f>'1990-60'!$R31</f>
        <v>495717</v>
      </c>
      <c r="H30" s="13">
        <f>'1990-70'!$R31</f>
        <v>495717</v>
      </c>
      <c r="I30" s="13">
        <f>'1990-80'!$R31</f>
        <v>495717</v>
      </c>
      <c r="J30" s="13">
        <f>'1990-90'!$R31</f>
        <v>495717</v>
      </c>
      <c r="L30" s="13">
        <f t="shared" si="6"/>
        <v>71978.010992047944</v>
      </c>
      <c r="M30" s="13">
        <f t="shared" si="7"/>
        <v>233459.5460328217</v>
      </c>
      <c r="N30" s="13">
        <f t="shared" si="8"/>
        <v>190279.44297513034</v>
      </c>
      <c r="O30" s="13">
        <f t="shared" si="9"/>
        <v>0</v>
      </c>
      <c r="P30" s="13">
        <f t="shared" si="10"/>
        <v>0</v>
      </c>
      <c r="Q30" s="13">
        <f t="shared" si="11"/>
        <v>0</v>
      </c>
      <c r="R30" s="13">
        <f t="shared" si="0"/>
        <v>0</v>
      </c>
      <c r="S30" s="13">
        <f t="shared" si="1"/>
        <v>0</v>
      </c>
      <c r="T30" s="13">
        <f t="shared" si="2"/>
        <v>0</v>
      </c>
      <c r="U30" s="13"/>
      <c r="V30" s="13">
        <f t="shared" si="12"/>
        <v>495717</v>
      </c>
      <c r="X30" s="13">
        <f t="shared" si="3"/>
        <v>96738.236174667851</v>
      </c>
      <c r="Y30" s="18">
        <f t="shared" si="13"/>
        <v>49</v>
      </c>
      <c r="Z30" s="18" t="str">
        <f t="shared" si="14"/>
        <v>Nashville</v>
      </c>
      <c r="AA30" s="18">
        <f t="shared" si="15"/>
        <v>49</v>
      </c>
      <c r="AB30" s="18">
        <f t="shared" si="21"/>
        <v>49</v>
      </c>
      <c r="AC30" s="18">
        <f t="shared" si="22"/>
        <v>40</v>
      </c>
      <c r="AD30" s="18">
        <f t="shared" si="23"/>
        <v>40</v>
      </c>
      <c r="AE30" s="18">
        <f t="shared" si="24"/>
        <v>40</v>
      </c>
      <c r="AF30" s="18">
        <f t="shared" si="25"/>
        <v>40</v>
      </c>
      <c r="AG30" s="18" t="str">
        <f t="shared" si="5"/>
        <v>Nashville</v>
      </c>
    </row>
    <row r="31" spans="1:33">
      <c r="A31" s="18" t="s">
        <v>47</v>
      </c>
      <c r="B31" s="13">
        <f>'1990-10'!R32</f>
        <v>130986.8205620407</v>
      </c>
      <c r="C31" s="13">
        <f>'1990-20'!$R32</f>
        <v>514726</v>
      </c>
      <c r="D31" s="13">
        <f>'1990-30'!$R32</f>
        <v>514726</v>
      </c>
      <c r="E31" s="13">
        <f>'1990-40'!$R32</f>
        <v>514726</v>
      </c>
      <c r="F31" s="13">
        <f>'1990-50'!$R32</f>
        <v>514726</v>
      </c>
      <c r="G31" s="13">
        <f>'1990-60'!$R32</f>
        <v>514726</v>
      </c>
      <c r="H31" s="13">
        <f>'1990-70'!$R32</f>
        <v>514726</v>
      </c>
      <c r="I31" s="13">
        <f>'1990-80'!$R32</f>
        <v>514726</v>
      </c>
      <c r="J31" s="13">
        <f>'1990-90'!$R32</f>
        <v>514726</v>
      </c>
      <c r="L31" s="13">
        <f t="shared" si="6"/>
        <v>130986.8205620407</v>
      </c>
      <c r="M31" s="13">
        <f t="shared" si="7"/>
        <v>383739.17943795933</v>
      </c>
      <c r="N31" s="13">
        <f t="shared" si="8"/>
        <v>0</v>
      </c>
      <c r="O31" s="13">
        <f t="shared" si="9"/>
        <v>0</v>
      </c>
      <c r="P31" s="13">
        <f t="shared" si="10"/>
        <v>0</v>
      </c>
      <c r="Q31" s="13">
        <f t="shared" si="11"/>
        <v>0</v>
      </c>
      <c r="R31" s="13">
        <f t="shared" si="0"/>
        <v>0</v>
      </c>
      <c r="S31" s="13">
        <f t="shared" si="1"/>
        <v>0</v>
      </c>
      <c r="T31" s="13">
        <f t="shared" si="2"/>
        <v>0</v>
      </c>
      <c r="U31" s="13"/>
      <c r="V31" s="13">
        <f t="shared" si="12"/>
        <v>514726</v>
      </c>
      <c r="X31" s="13">
        <f t="shared" si="3"/>
        <v>136331.77654280036</v>
      </c>
      <c r="Y31" s="18">
        <f t="shared" si="13"/>
        <v>37</v>
      </c>
      <c r="Z31" s="18" t="str">
        <f t="shared" si="14"/>
        <v>New Orleans</v>
      </c>
      <c r="AA31" s="18">
        <f t="shared" si="15"/>
        <v>23</v>
      </c>
      <c r="AB31" s="18">
        <f t="shared" si="21"/>
        <v>21</v>
      </c>
      <c r="AC31" s="18">
        <f t="shared" si="22"/>
        <v>39</v>
      </c>
      <c r="AD31" s="18">
        <f t="shared" si="23"/>
        <v>39</v>
      </c>
      <c r="AE31" s="18">
        <f t="shared" si="24"/>
        <v>39</v>
      </c>
      <c r="AF31" s="18">
        <f t="shared" si="25"/>
        <v>39</v>
      </c>
      <c r="AG31" s="18" t="str">
        <f t="shared" si="5"/>
        <v>New Orleans</v>
      </c>
    </row>
    <row r="32" spans="1:33">
      <c r="A32" s="18" t="s">
        <v>65</v>
      </c>
      <c r="B32" s="13">
        <f>'1990-10'!R33</f>
        <v>194336.2212446231</v>
      </c>
      <c r="C32" s="13">
        <f>'1990-20'!$R33</f>
        <v>831896.52310865908</v>
      </c>
      <c r="D32" s="13">
        <f>'1990-30'!$R33</f>
        <v>1934342.6809945675</v>
      </c>
      <c r="E32" s="13">
        <f>'1990-40'!$R33</f>
        <v>3495320.3365995153</v>
      </c>
      <c r="F32" s="13">
        <f>'1990-50'!$R33</f>
        <v>5567242.7241644524</v>
      </c>
      <c r="G32" s="13">
        <f>'1990-60'!$R33</f>
        <v>8117617.0973970825</v>
      </c>
      <c r="H32" s="13">
        <f>'1990-70'!$R33</f>
        <v>8550473</v>
      </c>
      <c r="I32" s="13">
        <f>'1990-80'!$R33</f>
        <v>8550473</v>
      </c>
      <c r="J32" s="13">
        <f>'1990-90'!$R33</f>
        <v>8550473</v>
      </c>
      <c r="L32" s="13">
        <f t="shared" si="6"/>
        <v>194336.2212446231</v>
      </c>
      <c r="M32" s="13">
        <f t="shared" si="7"/>
        <v>637560.30186403601</v>
      </c>
      <c r="N32" s="13">
        <f t="shared" si="8"/>
        <v>1102446.1578859084</v>
      </c>
      <c r="O32" s="13">
        <f t="shared" si="9"/>
        <v>1560977.6556049478</v>
      </c>
      <c r="P32" s="13">
        <f t="shared" si="10"/>
        <v>2071922.3875649371</v>
      </c>
      <c r="Q32" s="13">
        <f t="shared" si="11"/>
        <v>2550374.3732326301</v>
      </c>
      <c r="R32" s="13">
        <f t="shared" si="0"/>
        <v>432855.90260291751</v>
      </c>
      <c r="S32" s="13">
        <f t="shared" si="1"/>
        <v>0</v>
      </c>
      <c r="T32" s="13">
        <f t="shared" si="2"/>
        <v>0</v>
      </c>
      <c r="U32" s="13"/>
      <c r="V32" s="13">
        <f t="shared" si="12"/>
        <v>8550473</v>
      </c>
      <c r="X32" s="13">
        <f t="shared" si="3"/>
        <v>440220.80696373055</v>
      </c>
      <c r="Y32" s="18">
        <f t="shared" si="13"/>
        <v>1</v>
      </c>
      <c r="Z32" s="18" t="str">
        <f t="shared" si="14"/>
        <v>New York</v>
      </c>
      <c r="AA32" s="18">
        <f t="shared" si="15"/>
        <v>10</v>
      </c>
      <c r="AB32" s="18">
        <f t="shared" si="21"/>
        <v>4</v>
      </c>
      <c r="AC32" s="18">
        <f t="shared" si="22"/>
        <v>2</v>
      </c>
      <c r="AD32" s="18">
        <f t="shared" si="23"/>
        <v>1</v>
      </c>
      <c r="AE32" s="18">
        <f t="shared" si="24"/>
        <v>1</v>
      </c>
      <c r="AF32" s="18">
        <f t="shared" si="25"/>
        <v>1</v>
      </c>
      <c r="AG32" s="18" t="str">
        <f t="shared" si="5"/>
        <v>New York</v>
      </c>
    </row>
    <row r="33" spans="1:33">
      <c r="A33" s="18" t="s">
        <v>66</v>
      </c>
      <c r="B33" s="13">
        <f>'1990-10'!R34</f>
        <v>66291.875877367071</v>
      </c>
      <c r="C33" s="13">
        <f>'1990-20'!$R34</f>
        <v>274000.64548833418</v>
      </c>
      <c r="D33" s="13">
        <f>'1990-30'!$R34</f>
        <v>450122</v>
      </c>
      <c r="E33" s="13">
        <f>'1990-40'!$R34</f>
        <v>450122</v>
      </c>
      <c r="F33" s="13">
        <f>'1990-50'!$R34</f>
        <v>450122</v>
      </c>
      <c r="G33" s="13">
        <f>'1990-60'!$R34</f>
        <v>450122</v>
      </c>
      <c r="H33" s="13">
        <f>'1990-70'!$R34</f>
        <v>450122</v>
      </c>
      <c r="I33" s="13">
        <f>'1990-80'!$R34</f>
        <v>450122</v>
      </c>
      <c r="J33" s="13">
        <f>'1990-90'!$R34</f>
        <v>450122</v>
      </c>
      <c r="L33" s="13">
        <f t="shared" si="6"/>
        <v>66291.875877367071</v>
      </c>
      <c r="M33" s="13">
        <f t="shared" si="7"/>
        <v>207708.76961096711</v>
      </c>
      <c r="N33" s="13">
        <f t="shared" si="8"/>
        <v>176121.35451166582</v>
      </c>
      <c r="O33" s="13">
        <f t="shared" si="9"/>
        <v>0</v>
      </c>
      <c r="P33" s="13">
        <f t="shared" si="10"/>
        <v>0</v>
      </c>
      <c r="Q33" s="13">
        <f t="shared" si="11"/>
        <v>0</v>
      </c>
      <c r="R33" s="13">
        <f t="shared" si="0"/>
        <v>0</v>
      </c>
      <c r="S33" s="13">
        <f t="shared" si="1"/>
        <v>0</v>
      </c>
      <c r="T33" s="13">
        <f t="shared" si="2"/>
        <v>0</v>
      </c>
      <c r="U33" s="13"/>
      <c r="V33" s="13">
        <f t="shared" si="12"/>
        <v>450122</v>
      </c>
      <c r="X33" s="13">
        <f t="shared" si="3"/>
        <v>87699.906070630488</v>
      </c>
      <c r="Y33" s="18">
        <f t="shared" si="13"/>
        <v>50</v>
      </c>
      <c r="Z33" s="18" t="str">
        <f t="shared" si="14"/>
        <v>Oklahoma City</v>
      </c>
      <c r="AA33" s="18">
        <f t="shared" si="15"/>
        <v>50</v>
      </c>
      <c r="AB33" s="18">
        <f t="shared" si="21"/>
        <v>50</v>
      </c>
      <c r="AC33" s="18">
        <f t="shared" si="22"/>
        <v>43</v>
      </c>
      <c r="AD33" s="18">
        <f t="shared" si="23"/>
        <v>43</v>
      </c>
      <c r="AE33" s="18">
        <f t="shared" si="24"/>
        <v>43</v>
      </c>
      <c r="AF33" s="18">
        <f t="shared" si="25"/>
        <v>43</v>
      </c>
      <c r="AG33" s="18" t="str">
        <f t="shared" si="5"/>
        <v>Oklahoma City</v>
      </c>
    </row>
    <row r="34" spans="1:33">
      <c r="A34" s="18" t="s">
        <v>48</v>
      </c>
      <c r="B34" s="13">
        <f>'1990-10'!R35</f>
        <v>85752.718784814031</v>
      </c>
      <c r="C34" s="13">
        <f>'1990-20'!$R35</f>
        <v>358773.80851274577</v>
      </c>
      <c r="D34" s="13">
        <f>'1990-30'!$R35</f>
        <v>557448</v>
      </c>
      <c r="E34" s="13">
        <f>'1990-40'!$R35</f>
        <v>557448</v>
      </c>
      <c r="F34" s="13">
        <f>'1990-50'!$R35</f>
        <v>557448</v>
      </c>
      <c r="G34" s="13">
        <f>'1990-60'!$R35</f>
        <v>557448</v>
      </c>
      <c r="H34" s="13">
        <f>'1990-70'!$R35</f>
        <v>557448</v>
      </c>
      <c r="I34" s="13">
        <f>'1990-80'!$R35</f>
        <v>557448</v>
      </c>
      <c r="J34" s="13">
        <f>'1990-90'!$R35</f>
        <v>557448</v>
      </c>
      <c r="L34" s="13">
        <f t="shared" si="6"/>
        <v>85752.718784814031</v>
      </c>
      <c r="M34" s="13">
        <f t="shared" si="7"/>
        <v>273021.08972793177</v>
      </c>
      <c r="N34" s="13">
        <f t="shared" si="8"/>
        <v>198674.19148725423</v>
      </c>
      <c r="O34" s="13">
        <f t="shared" si="9"/>
        <v>0</v>
      </c>
      <c r="P34" s="13">
        <f t="shared" si="10"/>
        <v>0</v>
      </c>
      <c r="Q34" s="13">
        <f t="shared" si="11"/>
        <v>0</v>
      </c>
      <c r="R34" s="13">
        <f t="shared" si="0"/>
        <v>0</v>
      </c>
      <c r="S34" s="13">
        <f t="shared" si="1"/>
        <v>0</v>
      </c>
      <c r="T34" s="13">
        <f t="shared" si="2"/>
        <v>0</v>
      </c>
      <c r="U34" s="13"/>
      <c r="V34" s="13">
        <f t="shared" si="12"/>
        <v>557448</v>
      </c>
      <c r="X34" s="13">
        <f t="shared" ref="X34:X52" si="26">L34*EXP(Beta*10)+M34*EXP(Beta*20)+N34*EXP(Beta*30)+O34*EXP(Beta*40)+P34*EXP(Beta*50)+Q34*EXP(Beta*60)+R34*EXP(Beta*70)+S34*EXP(Beta*80)+T34*EXP(Beta*90)</f>
        <v>111676.50368014422</v>
      </c>
      <c r="Y34" s="18">
        <f t="shared" si="13"/>
        <v>45</v>
      </c>
      <c r="Z34" s="18" t="str">
        <f t="shared" si="14"/>
        <v>Orlando</v>
      </c>
      <c r="AA34" s="18">
        <f t="shared" si="15"/>
        <v>46</v>
      </c>
      <c r="AB34" s="18">
        <f t="shared" si="21"/>
        <v>45</v>
      </c>
      <c r="AC34" s="18">
        <f t="shared" si="22"/>
        <v>36</v>
      </c>
      <c r="AD34" s="18">
        <f t="shared" si="23"/>
        <v>36</v>
      </c>
      <c r="AE34" s="18">
        <f t="shared" si="24"/>
        <v>36</v>
      </c>
      <c r="AF34" s="18">
        <f t="shared" si="25"/>
        <v>36</v>
      </c>
      <c r="AG34" s="18" t="str">
        <f t="shared" si="5"/>
        <v>Orlando</v>
      </c>
    </row>
    <row r="35" spans="1:33">
      <c r="A35" s="18" t="s">
        <v>67</v>
      </c>
      <c r="B35" s="13">
        <f>'1990-10'!R36</f>
        <v>195786.99562763842</v>
      </c>
      <c r="C35" s="13">
        <f>'1990-20'!$R36</f>
        <v>858421.42557842389</v>
      </c>
      <c r="D35" s="13">
        <f>'1990-30'!$R36</f>
        <v>2010132.7595336526</v>
      </c>
      <c r="E35" s="13">
        <f>'1990-40'!$R36</f>
        <v>2794917</v>
      </c>
      <c r="F35" s="13">
        <f>'1990-50'!$R36</f>
        <v>2794917</v>
      </c>
      <c r="G35" s="13">
        <f>'1990-60'!$R36</f>
        <v>2794917</v>
      </c>
      <c r="H35" s="13">
        <f>'1990-70'!$R36</f>
        <v>2794917</v>
      </c>
      <c r="I35" s="13">
        <f>'1990-80'!$R36</f>
        <v>2794917</v>
      </c>
      <c r="J35" s="13">
        <f>'1990-90'!$R36</f>
        <v>2794917</v>
      </c>
      <c r="L35" s="13">
        <f t="shared" si="6"/>
        <v>195786.99562763842</v>
      </c>
      <c r="M35" s="13">
        <f t="shared" si="7"/>
        <v>662634.42995078547</v>
      </c>
      <c r="N35" s="13">
        <f t="shared" si="8"/>
        <v>1151711.3339552288</v>
      </c>
      <c r="O35" s="13">
        <f t="shared" si="9"/>
        <v>784784.24046634743</v>
      </c>
      <c r="P35" s="13">
        <f t="shared" si="10"/>
        <v>0</v>
      </c>
      <c r="Q35" s="13">
        <f t="shared" si="11"/>
        <v>0</v>
      </c>
      <c r="R35" s="13">
        <f t="shared" si="0"/>
        <v>0</v>
      </c>
      <c r="S35" s="13">
        <f t="shared" si="1"/>
        <v>0</v>
      </c>
      <c r="T35" s="13">
        <f t="shared" si="2"/>
        <v>0</v>
      </c>
      <c r="U35" s="13"/>
      <c r="V35" s="13">
        <f t="shared" si="12"/>
        <v>2794917</v>
      </c>
      <c r="X35" s="13">
        <f t="shared" si="26"/>
        <v>358226.7823289606</v>
      </c>
      <c r="Y35" s="18">
        <f t="shared" si="13"/>
        <v>2</v>
      </c>
      <c r="Z35" s="18" t="str">
        <f t="shared" si="14"/>
        <v>Philadelphia</v>
      </c>
      <c r="AA35" s="18">
        <f t="shared" si="15"/>
        <v>9</v>
      </c>
      <c r="AB35" s="18">
        <f t="shared" si="21"/>
        <v>3</v>
      </c>
      <c r="AC35" s="18">
        <f t="shared" si="22"/>
        <v>1</v>
      </c>
      <c r="AD35" s="18">
        <f t="shared" si="23"/>
        <v>3</v>
      </c>
      <c r="AE35" s="18">
        <f t="shared" si="24"/>
        <v>4</v>
      </c>
      <c r="AF35" s="18">
        <f t="shared" si="25"/>
        <v>4</v>
      </c>
      <c r="AG35" s="18" t="str">
        <f t="shared" si="5"/>
        <v>Philadelphia</v>
      </c>
    </row>
    <row r="36" spans="1:33">
      <c r="A36" s="18" t="s">
        <v>49</v>
      </c>
      <c r="B36" s="13">
        <f>'1990-10'!R37</f>
        <v>97412.8523041671</v>
      </c>
      <c r="C36" s="13">
        <f>'1990-20'!$R37</f>
        <v>408842.88818430732</v>
      </c>
      <c r="D36" s="13">
        <f>'1990-30'!$R37</f>
        <v>937408.25267269276</v>
      </c>
      <c r="E36" s="13">
        <f>'1990-40'!$R37</f>
        <v>996495</v>
      </c>
      <c r="F36" s="13">
        <f>'1990-50'!$R37</f>
        <v>996495</v>
      </c>
      <c r="G36" s="13">
        <f>'1990-60'!$R37</f>
        <v>996495</v>
      </c>
      <c r="H36" s="13">
        <f>'1990-70'!$R37</f>
        <v>996495</v>
      </c>
      <c r="I36" s="13">
        <f>'1990-80'!$R37</f>
        <v>996495</v>
      </c>
      <c r="J36" s="13">
        <f>'1990-90'!$R37</f>
        <v>996495</v>
      </c>
      <c r="L36" s="13">
        <f t="shared" si="6"/>
        <v>97412.8523041671</v>
      </c>
      <c r="M36" s="13">
        <f t="shared" si="7"/>
        <v>311430.0358801402</v>
      </c>
      <c r="N36" s="13">
        <f t="shared" si="8"/>
        <v>528565.36448838538</v>
      </c>
      <c r="O36" s="13">
        <f t="shared" si="9"/>
        <v>59086.747327307239</v>
      </c>
      <c r="P36" s="13">
        <f t="shared" si="10"/>
        <v>0</v>
      </c>
      <c r="Q36" s="13">
        <f t="shared" si="11"/>
        <v>0</v>
      </c>
      <c r="R36" s="13">
        <f t="shared" si="0"/>
        <v>0</v>
      </c>
      <c r="S36" s="13">
        <f t="shared" si="1"/>
        <v>0</v>
      </c>
      <c r="T36" s="13">
        <f t="shared" si="2"/>
        <v>0</v>
      </c>
      <c r="U36" s="13"/>
      <c r="V36" s="13">
        <f t="shared" si="12"/>
        <v>996495</v>
      </c>
      <c r="X36" s="13">
        <f t="shared" si="26"/>
        <v>157005.92995371876</v>
      </c>
      <c r="Y36" s="18">
        <f t="shared" si="13"/>
        <v>28</v>
      </c>
      <c r="Z36" s="18" t="str">
        <f t="shared" si="14"/>
        <v>Phoenix</v>
      </c>
      <c r="AA36" s="18">
        <f t="shared" si="15"/>
        <v>40</v>
      </c>
      <c r="AB36" s="18">
        <f t="shared" si="21"/>
        <v>36</v>
      </c>
      <c r="AC36" s="18">
        <f t="shared" si="22"/>
        <v>21</v>
      </c>
      <c r="AD36" s="18">
        <f t="shared" si="23"/>
        <v>19</v>
      </c>
      <c r="AE36" s="18">
        <f t="shared" si="24"/>
        <v>19</v>
      </c>
      <c r="AF36" s="18">
        <f t="shared" si="25"/>
        <v>19</v>
      </c>
      <c r="AG36" s="18" t="str">
        <f t="shared" si="5"/>
        <v>Phoenix</v>
      </c>
    </row>
    <row r="37" spans="1:33">
      <c r="A37" s="18" t="s">
        <v>50</v>
      </c>
      <c r="B37" s="13">
        <f>'1990-10'!R38</f>
        <v>90892.741108969902</v>
      </c>
      <c r="C37" s="13">
        <f>'1990-20'!$R38</f>
        <v>400791.64968775539</v>
      </c>
      <c r="D37" s="13">
        <f>'1990-30'!$R38</f>
        <v>947146.31043710664</v>
      </c>
      <c r="E37" s="13">
        <f>'1990-40'!$R38</f>
        <v>956154</v>
      </c>
      <c r="F37" s="13">
        <f>'1990-50'!$R38</f>
        <v>956154</v>
      </c>
      <c r="G37" s="13">
        <f>'1990-60'!$R38</f>
        <v>956154</v>
      </c>
      <c r="H37" s="13">
        <f>'1990-70'!$R38</f>
        <v>956154</v>
      </c>
      <c r="I37" s="13">
        <f>'1990-80'!$R38</f>
        <v>956154</v>
      </c>
      <c r="J37" s="13">
        <f>'1990-90'!$R38</f>
        <v>956154</v>
      </c>
      <c r="L37" s="13">
        <f t="shared" si="6"/>
        <v>90892.741108969902</v>
      </c>
      <c r="M37" s="13">
        <f t="shared" si="7"/>
        <v>309898.90857878549</v>
      </c>
      <c r="N37" s="13">
        <f t="shared" si="8"/>
        <v>546354.66074935126</v>
      </c>
      <c r="O37" s="13">
        <f t="shared" si="9"/>
        <v>9007.6895628933562</v>
      </c>
      <c r="P37" s="13">
        <f t="shared" si="10"/>
        <v>0</v>
      </c>
      <c r="Q37" s="13">
        <f t="shared" si="11"/>
        <v>0</v>
      </c>
      <c r="R37" s="13">
        <f t="shared" si="0"/>
        <v>0</v>
      </c>
      <c r="S37" s="13">
        <f t="shared" si="1"/>
        <v>0</v>
      </c>
      <c r="T37" s="13">
        <f t="shared" si="2"/>
        <v>0</v>
      </c>
      <c r="U37" s="13"/>
      <c r="V37" s="13">
        <f t="shared" si="12"/>
        <v>956154</v>
      </c>
      <c r="X37" s="13">
        <f t="shared" si="26"/>
        <v>153339.60165331801</v>
      </c>
      <c r="Y37" s="18">
        <f t="shared" si="13"/>
        <v>29</v>
      </c>
      <c r="Z37" s="18" t="str">
        <f t="shared" si="14"/>
        <v>Pittsburgh</v>
      </c>
      <c r="AA37" s="18">
        <f t="shared" si="15"/>
        <v>43</v>
      </c>
      <c r="AB37" s="18">
        <f t="shared" si="21"/>
        <v>39</v>
      </c>
      <c r="AC37" s="18">
        <f t="shared" si="22"/>
        <v>18</v>
      </c>
      <c r="AD37" s="18">
        <f t="shared" si="23"/>
        <v>21</v>
      </c>
      <c r="AE37" s="18">
        <f t="shared" si="24"/>
        <v>21</v>
      </c>
      <c r="AF37" s="18">
        <f t="shared" si="25"/>
        <v>21</v>
      </c>
      <c r="AG37" s="18" t="str">
        <f t="shared" si="5"/>
        <v>Pittsburgh</v>
      </c>
    </row>
    <row r="38" spans="1:33">
      <c r="A38" s="18" t="s">
        <v>51</v>
      </c>
      <c r="B38" s="13">
        <f>'1990-10'!R39</f>
        <v>116589.37511700606</v>
      </c>
      <c r="C38" s="13">
        <f>'1990-20'!$R39</f>
        <v>502294.93370311422</v>
      </c>
      <c r="D38" s="13">
        <f>'1990-30'!$R39</f>
        <v>724532</v>
      </c>
      <c r="E38" s="13">
        <f>'1990-40'!$R39</f>
        <v>724532</v>
      </c>
      <c r="F38" s="13">
        <f>'1990-50'!$R39</f>
        <v>724532</v>
      </c>
      <c r="G38" s="13">
        <f>'1990-60'!$R39</f>
        <v>724532</v>
      </c>
      <c r="H38" s="13">
        <f>'1990-70'!$R39</f>
        <v>724532</v>
      </c>
      <c r="I38" s="13">
        <f>'1990-80'!$R39</f>
        <v>724532</v>
      </c>
      <c r="J38" s="13">
        <f>'1990-90'!$R39</f>
        <v>724532</v>
      </c>
      <c r="L38" s="13">
        <f t="shared" si="6"/>
        <v>116589.37511700606</v>
      </c>
      <c r="M38" s="13">
        <f t="shared" si="7"/>
        <v>385705.55858610815</v>
      </c>
      <c r="N38" s="13">
        <f t="shared" si="8"/>
        <v>222237.06629688578</v>
      </c>
      <c r="O38" s="13">
        <f t="shared" si="9"/>
        <v>0</v>
      </c>
      <c r="P38" s="13">
        <f t="shared" si="10"/>
        <v>0</v>
      </c>
      <c r="Q38" s="13">
        <f t="shared" si="11"/>
        <v>0</v>
      </c>
      <c r="R38" s="13">
        <f t="shared" si="0"/>
        <v>0</v>
      </c>
      <c r="S38" s="13">
        <f t="shared" si="1"/>
        <v>0</v>
      </c>
      <c r="T38" s="13">
        <f t="shared" si="2"/>
        <v>0</v>
      </c>
      <c r="U38" s="13"/>
      <c r="V38" s="13">
        <f t="shared" si="12"/>
        <v>724532</v>
      </c>
      <c r="X38" s="13">
        <f t="shared" si="26"/>
        <v>150420.48419761425</v>
      </c>
      <c r="Y38" s="18">
        <f t="shared" si="13"/>
        <v>32</v>
      </c>
      <c r="Z38" s="18" t="str">
        <f t="shared" si="14"/>
        <v>Portland</v>
      </c>
      <c r="AA38" s="18">
        <f t="shared" si="15"/>
        <v>29</v>
      </c>
      <c r="AB38" s="18">
        <f t="shared" si="21"/>
        <v>23</v>
      </c>
      <c r="AC38" s="18">
        <f t="shared" si="22"/>
        <v>28</v>
      </c>
      <c r="AD38" s="18">
        <f t="shared" si="23"/>
        <v>28</v>
      </c>
      <c r="AE38" s="18">
        <f t="shared" si="24"/>
        <v>28</v>
      </c>
      <c r="AF38" s="18">
        <f t="shared" si="25"/>
        <v>28</v>
      </c>
      <c r="AG38" s="18" t="str">
        <f t="shared" si="5"/>
        <v>Portland</v>
      </c>
    </row>
    <row r="39" spans="1:33">
      <c r="A39" s="18" t="s">
        <v>52</v>
      </c>
      <c r="B39" s="13">
        <f>'1990-10'!R40</f>
        <v>175120.12485352129</v>
      </c>
      <c r="C39" s="13">
        <f>'1990-20'!$R40</f>
        <v>544668</v>
      </c>
      <c r="D39" s="13">
        <f>'1990-30'!$R40</f>
        <v>544668</v>
      </c>
      <c r="E39" s="13">
        <f>'1990-40'!$R40</f>
        <v>544668</v>
      </c>
      <c r="F39" s="13">
        <f>'1990-50'!$R40</f>
        <v>544668</v>
      </c>
      <c r="G39" s="13">
        <f>'1990-60'!$R40</f>
        <v>544668</v>
      </c>
      <c r="H39" s="13">
        <f>'1990-70'!$R40</f>
        <v>544668</v>
      </c>
      <c r="I39" s="13">
        <f>'1990-80'!$R40</f>
        <v>544668</v>
      </c>
      <c r="J39" s="13">
        <f>'1990-90'!$R40</f>
        <v>544668</v>
      </c>
      <c r="L39" s="13">
        <f t="shared" si="6"/>
        <v>175120.12485352129</v>
      </c>
      <c r="M39" s="13">
        <f t="shared" si="7"/>
        <v>369547.87514647871</v>
      </c>
      <c r="N39" s="13">
        <f t="shared" si="8"/>
        <v>0</v>
      </c>
      <c r="O39" s="13">
        <f t="shared" si="9"/>
        <v>0</v>
      </c>
      <c r="P39" s="13">
        <f t="shared" si="10"/>
        <v>0</v>
      </c>
      <c r="Q39" s="13">
        <f t="shared" si="11"/>
        <v>0</v>
      </c>
      <c r="R39" s="13">
        <f t="shared" si="0"/>
        <v>0</v>
      </c>
      <c r="S39" s="13">
        <f t="shared" si="1"/>
        <v>0</v>
      </c>
      <c r="T39" s="13">
        <f t="shared" si="2"/>
        <v>0</v>
      </c>
      <c r="U39" s="13"/>
      <c r="V39" s="13">
        <f t="shared" si="12"/>
        <v>544668</v>
      </c>
      <c r="X39" s="13">
        <f t="shared" si="26"/>
        <v>153296.97352090891</v>
      </c>
      <c r="Y39" s="18">
        <f t="shared" si="13"/>
        <v>30</v>
      </c>
      <c r="Z39" s="18" t="str">
        <f t="shared" si="14"/>
        <v>Providence</v>
      </c>
      <c r="AA39" s="18">
        <f t="shared" si="15"/>
        <v>12</v>
      </c>
      <c r="AB39" s="18">
        <f t="shared" si="21"/>
        <v>17</v>
      </c>
      <c r="AC39" s="18">
        <f t="shared" si="22"/>
        <v>37</v>
      </c>
      <c r="AD39" s="18">
        <f t="shared" si="23"/>
        <v>37</v>
      </c>
      <c r="AE39" s="18">
        <f t="shared" si="24"/>
        <v>37</v>
      </c>
      <c r="AF39" s="18">
        <f t="shared" si="25"/>
        <v>37</v>
      </c>
      <c r="AG39" s="18" t="str">
        <f t="shared" si="5"/>
        <v>Providence</v>
      </c>
    </row>
    <row r="40" spans="1:33">
      <c r="A40" s="18" t="s">
        <v>53</v>
      </c>
      <c r="B40" s="13">
        <f>'1990-10'!R41</f>
        <v>204350.72840486871</v>
      </c>
      <c r="C40" s="13">
        <f>'1990-20'!$R41</f>
        <v>399701</v>
      </c>
      <c r="D40" s="13">
        <f>'1990-30'!$R41</f>
        <v>399701</v>
      </c>
      <c r="E40" s="13">
        <f>'1990-40'!$R41</f>
        <v>399701</v>
      </c>
      <c r="F40" s="13">
        <f>'1990-50'!$R41</f>
        <v>399701</v>
      </c>
      <c r="G40" s="13">
        <f>'1990-60'!$R41</f>
        <v>399701</v>
      </c>
      <c r="H40" s="13">
        <f>'1990-70'!$R41</f>
        <v>399701</v>
      </c>
      <c r="I40" s="13">
        <f>'1990-80'!$R41</f>
        <v>399701</v>
      </c>
      <c r="J40" s="13">
        <f>'1990-90'!$R41</f>
        <v>399701</v>
      </c>
      <c r="L40" s="13">
        <f t="shared" si="6"/>
        <v>204350.72840486871</v>
      </c>
      <c r="M40" s="13">
        <f t="shared" si="7"/>
        <v>195350.27159513129</v>
      </c>
      <c r="N40" s="13">
        <f t="shared" si="8"/>
        <v>0</v>
      </c>
      <c r="O40" s="13">
        <f t="shared" si="9"/>
        <v>0</v>
      </c>
      <c r="P40" s="13">
        <f t="shared" si="10"/>
        <v>0</v>
      </c>
      <c r="Q40" s="13">
        <f t="shared" si="11"/>
        <v>0</v>
      </c>
      <c r="R40" s="13">
        <f t="shared" si="0"/>
        <v>0</v>
      </c>
      <c r="S40" s="13">
        <f t="shared" si="1"/>
        <v>0</v>
      </c>
      <c r="T40" s="13">
        <f t="shared" si="2"/>
        <v>0</v>
      </c>
      <c r="U40" s="13"/>
      <c r="V40" s="13">
        <f t="shared" si="12"/>
        <v>399701</v>
      </c>
      <c r="X40" s="13">
        <f t="shared" si="26"/>
        <v>131261.24073512657</v>
      </c>
      <c r="Y40" s="18">
        <f t="shared" si="13"/>
        <v>39</v>
      </c>
      <c r="Z40" s="18" t="str">
        <f t="shared" si="14"/>
        <v>Raleigh</v>
      </c>
      <c r="AA40" s="18">
        <f t="shared" si="15"/>
        <v>6</v>
      </c>
      <c r="AB40" s="18">
        <f t="shared" si="21"/>
        <v>40</v>
      </c>
      <c r="AC40" s="18">
        <f t="shared" si="22"/>
        <v>49</v>
      </c>
      <c r="AD40" s="18">
        <f t="shared" si="23"/>
        <v>49</v>
      </c>
      <c r="AE40" s="18">
        <f t="shared" si="24"/>
        <v>49</v>
      </c>
      <c r="AF40" s="18">
        <f t="shared" si="25"/>
        <v>49</v>
      </c>
      <c r="AG40" s="18" t="str">
        <f t="shared" si="5"/>
        <v>Raleigh</v>
      </c>
    </row>
    <row r="41" spans="1:33">
      <c r="A41" s="18" t="s">
        <v>82</v>
      </c>
      <c r="B41" s="13">
        <f>'1990-10'!R42</f>
        <v>217989.62123334655</v>
      </c>
      <c r="C41" s="13">
        <f>'1990-20'!$R42</f>
        <v>481467</v>
      </c>
      <c r="D41" s="13">
        <f>'1990-30'!$R42</f>
        <v>481467</v>
      </c>
      <c r="E41" s="13">
        <f>'1990-40'!$R42</f>
        <v>481467</v>
      </c>
      <c r="F41" s="13">
        <f>'1990-50'!$R42</f>
        <v>481467</v>
      </c>
      <c r="G41" s="13">
        <f>'1990-60'!$R42</f>
        <v>481467</v>
      </c>
      <c r="H41" s="13">
        <f>'1990-70'!$R42</f>
        <v>481467</v>
      </c>
      <c r="I41" s="13">
        <f>'1990-80'!$R42</f>
        <v>481467</v>
      </c>
      <c r="J41" s="13">
        <f>'1990-90'!$R42</f>
        <v>481467</v>
      </c>
      <c r="L41" s="13">
        <f t="shared" si="6"/>
        <v>217989.62123334655</v>
      </c>
      <c r="M41" s="13">
        <f t="shared" si="7"/>
        <v>263477.37876665348</v>
      </c>
      <c r="N41" s="13">
        <f t="shared" si="8"/>
        <v>0</v>
      </c>
      <c r="O41" s="13">
        <f t="shared" si="9"/>
        <v>0</v>
      </c>
      <c r="P41" s="13">
        <f t="shared" si="10"/>
        <v>0</v>
      </c>
      <c r="Q41" s="13">
        <f t="shared" si="11"/>
        <v>0</v>
      </c>
      <c r="R41" s="13">
        <f t="shared" si="0"/>
        <v>0</v>
      </c>
      <c r="S41" s="13">
        <f t="shared" si="1"/>
        <v>0</v>
      </c>
      <c r="T41" s="13">
        <f t="shared" si="2"/>
        <v>0</v>
      </c>
      <c r="U41" s="13"/>
      <c r="V41" s="13">
        <f t="shared" si="12"/>
        <v>481467</v>
      </c>
      <c r="X41" s="13">
        <f t="shared" si="26"/>
        <v>151144.21604043138</v>
      </c>
      <c r="Y41" s="18">
        <f t="shared" si="13"/>
        <v>31</v>
      </c>
      <c r="Z41" s="18" t="str">
        <f t="shared" si="14"/>
        <v>Rochester</v>
      </c>
      <c r="AA41" s="18">
        <f t="shared" si="15"/>
        <v>3</v>
      </c>
      <c r="AB41" s="18">
        <f t="shared" si="21"/>
        <v>25</v>
      </c>
      <c r="AC41" s="18">
        <f t="shared" si="22"/>
        <v>41</v>
      </c>
      <c r="AD41" s="18">
        <f t="shared" si="23"/>
        <v>41</v>
      </c>
      <c r="AE41" s="18">
        <f t="shared" si="24"/>
        <v>41</v>
      </c>
      <c r="AF41" s="18">
        <f t="shared" si="25"/>
        <v>41</v>
      </c>
      <c r="AG41" s="18" t="str">
        <f t="shared" si="5"/>
        <v>Rochester</v>
      </c>
    </row>
    <row r="42" spans="1:33">
      <c r="A42" s="18" t="s">
        <v>54</v>
      </c>
      <c r="B42" s="13">
        <f>'1990-10'!R43</f>
        <v>123715.41529699377</v>
      </c>
      <c r="C42" s="13">
        <f>'1990-20'!$R43</f>
        <v>496981.04888040491</v>
      </c>
      <c r="D42" s="13">
        <f>'1990-30'!$R43</f>
        <v>685945</v>
      </c>
      <c r="E42" s="13">
        <f>'1990-40'!$R43</f>
        <v>685945</v>
      </c>
      <c r="F42" s="13">
        <f>'1990-50'!$R43</f>
        <v>685945</v>
      </c>
      <c r="G42" s="13">
        <f>'1990-60'!$R43</f>
        <v>685945</v>
      </c>
      <c r="H42" s="13">
        <f>'1990-70'!$R43</f>
        <v>685945</v>
      </c>
      <c r="I42" s="13">
        <f>'1990-80'!$R43</f>
        <v>685945</v>
      </c>
      <c r="J42" s="13">
        <f>'1990-90'!$R43</f>
        <v>685945</v>
      </c>
      <c r="L42" s="13">
        <f t="shared" si="6"/>
        <v>123715.41529699377</v>
      </c>
      <c r="M42" s="13">
        <f t="shared" si="7"/>
        <v>373265.63358341111</v>
      </c>
      <c r="N42" s="13">
        <f t="shared" si="8"/>
        <v>188963.95111959509</v>
      </c>
      <c r="O42" s="13">
        <f t="shared" si="9"/>
        <v>0</v>
      </c>
      <c r="P42" s="13">
        <f t="shared" si="10"/>
        <v>0</v>
      </c>
      <c r="Q42" s="13">
        <f t="shared" si="11"/>
        <v>0</v>
      </c>
      <c r="R42" s="13">
        <f t="shared" si="0"/>
        <v>0</v>
      </c>
      <c r="S42" s="13">
        <f t="shared" si="1"/>
        <v>0</v>
      </c>
      <c r="T42" s="13">
        <f t="shared" si="2"/>
        <v>0</v>
      </c>
      <c r="U42" s="13"/>
      <c r="V42" s="13">
        <f t="shared" si="12"/>
        <v>685945</v>
      </c>
      <c r="X42" s="13">
        <f t="shared" si="26"/>
        <v>148092.37399933994</v>
      </c>
      <c r="Y42" s="18">
        <f t="shared" si="13"/>
        <v>33</v>
      </c>
      <c r="Z42" s="18" t="str">
        <f t="shared" si="14"/>
        <v>Sacramento</v>
      </c>
      <c r="AA42" s="18">
        <f t="shared" si="15"/>
        <v>27</v>
      </c>
      <c r="AB42" s="18">
        <f t="shared" si="21"/>
        <v>24</v>
      </c>
      <c r="AC42" s="18">
        <f t="shared" si="22"/>
        <v>30</v>
      </c>
      <c r="AD42" s="18">
        <f t="shared" si="23"/>
        <v>30</v>
      </c>
      <c r="AE42" s="18">
        <f t="shared" si="24"/>
        <v>30</v>
      </c>
      <c r="AF42" s="18">
        <f t="shared" si="25"/>
        <v>30</v>
      </c>
      <c r="AG42" s="18" t="str">
        <f t="shared" si="5"/>
        <v>Sacramento</v>
      </c>
    </row>
    <row r="43" spans="1:33">
      <c r="A43" s="18" t="s">
        <v>55</v>
      </c>
      <c r="B43" s="13">
        <f>'1990-10'!R44</f>
        <v>145547.91722437678</v>
      </c>
      <c r="C43" s="13">
        <f>'1990-20'!$R44</f>
        <v>479338</v>
      </c>
      <c r="D43" s="13">
        <f>'1990-30'!$R44</f>
        <v>479338</v>
      </c>
      <c r="E43" s="13">
        <f>'1990-40'!$R44</f>
        <v>479338</v>
      </c>
      <c r="F43" s="13">
        <f>'1990-50'!$R44</f>
        <v>479338</v>
      </c>
      <c r="G43" s="13">
        <f>'1990-60'!$R44</f>
        <v>479338</v>
      </c>
      <c r="H43" s="13">
        <f>'1990-70'!$R44</f>
        <v>479338</v>
      </c>
      <c r="I43" s="13">
        <f>'1990-80'!$R44</f>
        <v>479338</v>
      </c>
      <c r="J43" s="13">
        <f>'1990-90'!$R44</f>
        <v>479338</v>
      </c>
      <c r="L43" s="13">
        <f t="shared" si="6"/>
        <v>145547.91722437678</v>
      </c>
      <c r="M43" s="13">
        <f t="shared" si="7"/>
        <v>333790.08277562319</v>
      </c>
      <c r="N43" s="13">
        <f t="shared" si="8"/>
        <v>0</v>
      </c>
      <c r="O43" s="13">
        <f t="shared" si="9"/>
        <v>0</v>
      </c>
      <c r="P43" s="13">
        <f t="shared" si="10"/>
        <v>0</v>
      </c>
      <c r="Q43" s="13">
        <f t="shared" si="11"/>
        <v>0</v>
      </c>
      <c r="R43" s="13">
        <f t="shared" si="0"/>
        <v>0</v>
      </c>
      <c r="S43" s="13">
        <f t="shared" si="1"/>
        <v>0</v>
      </c>
      <c r="T43" s="13">
        <f t="shared" si="2"/>
        <v>0</v>
      </c>
      <c r="U43" s="13"/>
      <c r="V43" s="13">
        <f t="shared" si="12"/>
        <v>479338</v>
      </c>
      <c r="X43" s="13">
        <f t="shared" si="26"/>
        <v>132789.95032939443</v>
      </c>
      <c r="Y43" s="18">
        <f t="shared" si="13"/>
        <v>38</v>
      </c>
      <c r="Z43" s="18" t="str">
        <f t="shared" si="14"/>
        <v>Salt Lake City</v>
      </c>
      <c r="AA43" s="18">
        <f t="shared" si="15"/>
        <v>17</v>
      </c>
      <c r="AB43" s="18">
        <f t="shared" si="21"/>
        <v>26</v>
      </c>
      <c r="AC43" s="18">
        <f t="shared" si="22"/>
        <v>42</v>
      </c>
      <c r="AD43" s="18">
        <f t="shared" si="23"/>
        <v>42</v>
      </c>
      <c r="AE43" s="18">
        <f t="shared" si="24"/>
        <v>42</v>
      </c>
      <c r="AF43" s="18">
        <f t="shared" si="25"/>
        <v>42</v>
      </c>
      <c r="AG43" s="18" t="str">
        <f t="shared" si="5"/>
        <v>Salt Lake City</v>
      </c>
    </row>
    <row r="44" spans="1:33">
      <c r="A44" s="18" t="s">
        <v>68</v>
      </c>
      <c r="B44" s="13">
        <f>'1990-10'!R45</f>
        <v>96393.372855160836</v>
      </c>
      <c r="C44" s="13">
        <f>'1990-20'!$R45</f>
        <v>407739.42747909843</v>
      </c>
      <c r="D44" s="13">
        <f>'1990-30'!$R45</f>
        <v>569149</v>
      </c>
      <c r="E44" s="13">
        <f>'1990-40'!$R45</f>
        <v>569149</v>
      </c>
      <c r="F44" s="13">
        <f>'1990-50'!$R45</f>
        <v>569149</v>
      </c>
      <c r="G44" s="13">
        <f>'1990-60'!$R45</f>
        <v>569149</v>
      </c>
      <c r="H44" s="13">
        <f>'1990-70'!$R45</f>
        <v>569149</v>
      </c>
      <c r="I44" s="13">
        <f>'1990-80'!$R45</f>
        <v>569149</v>
      </c>
      <c r="J44" s="13">
        <f>'1990-90'!$R45</f>
        <v>569149</v>
      </c>
      <c r="L44" s="13">
        <f t="shared" si="6"/>
        <v>96393.372855160836</v>
      </c>
      <c r="M44" s="13">
        <f t="shared" si="7"/>
        <v>311346.05462393758</v>
      </c>
      <c r="N44" s="13">
        <f t="shared" si="8"/>
        <v>161409.57252090157</v>
      </c>
      <c r="O44" s="13">
        <f t="shared" si="9"/>
        <v>0</v>
      </c>
      <c r="P44" s="13">
        <f t="shared" si="10"/>
        <v>0</v>
      </c>
      <c r="Q44" s="13">
        <f t="shared" si="11"/>
        <v>0</v>
      </c>
      <c r="R44" s="13">
        <f t="shared" si="0"/>
        <v>0</v>
      </c>
      <c r="S44" s="13">
        <f t="shared" si="1"/>
        <v>0</v>
      </c>
      <c r="T44" s="13">
        <f t="shared" si="2"/>
        <v>0</v>
      </c>
      <c r="U44" s="13"/>
      <c r="V44" s="13">
        <f t="shared" si="12"/>
        <v>569149</v>
      </c>
      <c r="X44" s="13">
        <f t="shared" si="26"/>
        <v>120814.76475313648</v>
      </c>
      <c r="Y44" s="18">
        <f t="shared" si="13"/>
        <v>41</v>
      </c>
      <c r="Z44" s="18" t="str">
        <f t="shared" si="14"/>
        <v>San Antonio</v>
      </c>
      <c r="AA44" s="18">
        <f t="shared" si="15"/>
        <v>41</v>
      </c>
      <c r="AB44" s="18">
        <f t="shared" si="21"/>
        <v>37</v>
      </c>
      <c r="AC44" s="18">
        <f t="shared" si="22"/>
        <v>34</v>
      </c>
      <c r="AD44" s="18">
        <f t="shared" si="23"/>
        <v>34</v>
      </c>
      <c r="AE44" s="18">
        <f t="shared" si="24"/>
        <v>34</v>
      </c>
      <c r="AF44" s="18">
        <f t="shared" si="25"/>
        <v>34</v>
      </c>
      <c r="AG44" s="18" t="str">
        <f t="shared" si="5"/>
        <v>San Antonio</v>
      </c>
    </row>
    <row r="45" spans="1:33">
      <c r="A45" s="18" t="s">
        <v>69</v>
      </c>
      <c r="B45" s="13">
        <f>'1990-10'!R46</f>
        <v>104869.09065221057</v>
      </c>
      <c r="C45" s="13">
        <f>'1990-20'!$R46</f>
        <v>429257.90887911152</v>
      </c>
      <c r="D45" s="13">
        <f>'1990-30'!$R46</f>
        <v>963582.44394702336</v>
      </c>
      <c r="E45" s="13">
        <f>'1990-40'!$R46</f>
        <v>1230446</v>
      </c>
      <c r="F45" s="13">
        <f>'1990-50'!$R46</f>
        <v>1230446</v>
      </c>
      <c r="G45" s="13">
        <f>'1990-60'!$R46</f>
        <v>1230446</v>
      </c>
      <c r="H45" s="13">
        <f>'1990-70'!$R46</f>
        <v>1230446</v>
      </c>
      <c r="I45" s="13">
        <f>'1990-80'!$R46</f>
        <v>1230446</v>
      </c>
      <c r="J45" s="13">
        <f>'1990-90'!$R46</f>
        <v>1230446</v>
      </c>
      <c r="L45" s="13">
        <f t="shared" si="6"/>
        <v>104869.09065221057</v>
      </c>
      <c r="M45" s="13">
        <f t="shared" si="7"/>
        <v>324388.81822690094</v>
      </c>
      <c r="N45" s="13">
        <f t="shared" si="8"/>
        <v>534324.53506791184</v>
      </c>
      <c r="O45" s="13">
        <f t="shared" si="9"/>
        <v>266863.55605297664</v>
      </c>
      <c r="P45" s="13">
        <f t="shared" si="10"/>
        <v>0</v>
      </c>
      <c r="Q45" s="13">
        <f t="shared" si="11"/>
        <v>0</v>
      </c>
      <c r="R45" s="13">
        <f t="shared" si="0"/>
        <v>0</v>
      </c>
      <c r="S45" s="13">
        <f t="shared" si="1"/>
        <v>0</v>
      </c>
      <c r="T45" s="13">
        <f t="shared" si="2"/>
        <v>0</v>
      </c>
      <c r="U45" s="13"/>
      <c r="V45" s="13">
        <f t="shared" si="12"/>
        <v>1230446</v>
      </c>
      <c r="X45" s="13">
        <f t="shared" si="26"/>
        <v>171964.46766698675</v>
      </c>
      <c r="Y45" s="18">
        <f t="shared" si="13"/>
        <v>20</v>
      </c>
      <c r="Z45" s="18" t="str">
        <f t="shared" si="14"/>
        <v>San Diego</v>
      </c>
      <c r="AA45" s="18">
        <f t="shared" si="15"/>
        <v>35</v>
      </c>
      <c r="AB45" s="18">
        <f t="shared" si="21"/>
        <v>35</v>
      </c>
      <c r="AC45" s="18">
        <f t="shared" si="22"/>
        <v>17</v>
      </c>
      <c r="AD45" s="18">
        <f t="shared" si="23"/>
        <v>16</v>
      </c>
      <c r="AE45" s="18">
        <f t="shared" si="24"/>
        <v>16</v>
      </c>
      <c r="AF45" s="18">
        <f t="shared" si="25"/>
        <v>16</v>
      </c>
      <c r="AG45" s="18" t="str">
        <f t="shared" si="5"/>
        <v>San Diego</v>
      </c>
    </row>
    <row r="46" spans="1:33">
      <c r="A46" s="18" t="s">
        <v>70</v>
      </c>
      <c r="B46" s="13">
        <f>'1990-10'!R47</f>
        <v>110771.39228148428</v>
      </c>
      <c r="C46" s="13">
        <f>'1990-20'!$R47</f>
        <v>440442.80435138236</v>
      </c>
      <c r="D46" s="13">
        <f>'1990-30'!$R47</f>
        <v>1010318.1961838489</v>
      </c>
      <c r="E46" s="13">
        <f>'1990-40'!$R47</f>
        <v>1799709.5565407292</v>
      </c>
      <c r="F46" s="13">
        <f>'1990-50'!$R47</f>
        <v>1970387</v>
      </c>
      <c r="G46" s="13">
        <f>'1990-60'!$R47</f>
        <v>1970387</v>
      </c>
      <c r="H46" s="13">
        <f>'1990-70'!$R47</f>
        <v>1970387</v>
      </c>
      <c r="I46" s="13">
        <f>'1990-80'!$R47</f>
        <v>1970387</v>
      </c>
      <c r="J46" s="13">
        <f>'1990-90'!$R47</f>
        <v>1970387</v>
      </c>
      <c r="L46" s="13">
        <f t="shared" si="6"/>
        <v>110771.39228148428</v>
      </c>
      <c r="M46" s="13">
        <f t="shared" si="7"/>
        <v>329671.4120698981</v>
      </c>
      <c r="N46" s="13">
        <f t="shared" si="8"/>
        <v>569875.39183246647</v>
      </c>
      <c r="O46" s="13">
        <f t="shared" si="9"/>
        <v>789391.36035688035</v>
      </c>
      <c r="P46" s="13">
        <f t="shared" si="10"/>
        <v>170677.44345927075</v>
      </c>
      <c r="Q46" s="13">
        <f t="shared" si="11"/>
        <v>0</v>
      </c>
      <c r="R46" s="13">
        <f t="shared" si="0"/>
        <v>0</v>
      </c>
      <c r="S46" s="13">
        <f t="shared" si="1"/>
        <v>0</v>
      </c>
      <c r="T46" s="13">
        <f t="shared" si="2"/>
        <v>0</v>
      </c>
      <c r="U46" s="13"/>
      <c r="V46" s="13">
        <f t="shared" si="12"/>
        <v>1970387</v>
      </c>
      <c r="X46" s="13">
        <f t="shared" si="26"/>
        <v>203333.63237447818</v>
      </c>
      <c r="Y46" s="18">
        <f t="shared" si="13"/>
        <v>12</v>
      </c>
      <c r="Z46" s="18" t="str">
        <f t="shared" si="14"/>
        <v>San Francisco</v>
      </c>
      <c r="AA46" s="18">
        <f t="shared" si="15"/>
        <v>31</v>
      </c>
      <c r="AB46" s="18">
        <f t="shared" si="21"/>
        <v>30</v>
      </c>
      <c r="AC46" s="18">
        <f t="shared" si="22"/>
        <v>15</v>
      </c>
      <c r="AD46" s="18">
        <f t="shared" si="23"/>
        <v>9</v>
      </c>
      <c r="AE46" s="18">
        <f t="shared" si="24"/>
        <v>9</v>
      </c>
      <c r="AF46" s="18">
        <f t="shared" si="25"/>
        <v>9</v>
      </c>
      <c r="AG46" s="18" t="str">
        <f t="shared" si="5"/>
        <v>San Francisco</v>
      </c>
    </row>
    <row r="47" spans="1:33">
      <c r="A47" s="18" t="s">
        <v>86</v>
      </c>
      <c r="B47" s="13">
        <f>'1990-10'!R48</f>
        <v>157230.2826100059</v>
      </c>
      <c r="C47" s="13">
        <f>'1990-20'!$R48</f>
        <v>628924.41966584348</v>
      </c>
      <c r="D47" s="13">
        <f>'1990-30'!$R48</f>
        <v>946363</v>
      </c>
      <c r="E47" s="13">
        <f>'1990-40'!$R48</f>
        <v>946363</v>
      </c>
      <c r="F47" s="13">
        <f>'1990-50'!$R48</f>
        <v>946363</v>
      </c>
      <c r="G47" s="13">
        <f>'1990-60'!$R48</f>
        <v>946363</v>
      </c>
      <c r="H47" s="13">
        <f>'1990-70'!$R48</f>
        <v>946363</v>
      </c>
      <c r="I47" s="13">
        <f>'1990-80'!$R48</f>
        <v>946363</v>
      </c>
      <c r="J47" s="13">
        <f>'1990-90'!$R48</f>
        <v>946363</v>
      </c>
      <c r="L47" s="13">
        <f t="shared" si="6"/>
        <v>157230.2826100059</v>
      </c>
      <c r="M47" s="13">
        <f t="shared" si="7"/>
        <v>471694.13705583755</v>
      </c>
      <c r="N47" s="13">
        <f t="shared" si="8"/>
        <v>317438.58033415652</v>
      </c>
      <c r="O47" s="13">
        <f t="shared" si="9"/>
        <v>0</v>
      </c>
      <c r="P47" s="13">
        <f t="shared" si="10"/>
        <v>0</v>
      </c>
      <c r="Q47" s="13">
        <f t="shared" si="11"/>
        <v>0</v>
      </c>
      <c r="R47" s="13">
        <f t="shared" si="0"/>
        <v>0</v>
      </c>
      <c r="S47" s="13">
        <f t="shared" si="1"/>
        <v>0</v>
      </c>
      <c r="T47" s="13">
        <f t="shared" si="2"/>
        <v>0</v>
      </c>
      <c r="U47" s="13"/>
      <c r="V47" s="13">
        <f t="shared" si="12"/>
        <v>946363</v>
      </c>
      <c r="X47" s="13">
        <f t="shared" si="26"/>
        <v>194678.90214609072</v>
      </c>
      <c r="Y47" s="18">
        <f t="shared" si="13"/>
        <v>15</v>
      </c>
      <c r="Z47" s="18" t="str">
        <f t="shared" si="14"/>
        <v>San Jose</v>
      </c>
      <c r="AA47" s="18">
        <f t="shared" si="15"/>
        <v>15</v>
      </c>
      <c r="AB47" s="18">
        <f t="shared" si="21"/>
        <v>9</v>
      </c>
      <c r="AC47" s="18">
        <f t="shared" si="22"/>
        <v>19</v>
      </c>
      <c r="AD47" s="18">
        <f t="shared" si="23"/>
        <v>22</v>
      </c>
      <c r="AE47" s="18">
        <f t="shared" si="24"/>
        <v>22</v>
      </c>
      <c r="AF47" s="18">
        <f t="shared" si="25"/>
        <v>22</v>
      </c>
      <c r="AG47" s="18" t="str">
        <f t="shared" si="5"/>
        <v>San Jose</v>
      </c>
    </row>
    <row r="48" spans="1:33">
      <c r="A48" s="18" t="s">
        <v>56</v>
      </c>
      <c r="B48" s="13">
        <f>'1990-10'!R49</f>
        <v>119660.32695296707</v>
      </c>
      <c r="C48" s="13">
        <f>'1990-20'!$R49</f>
        <v>472096.97806937766</v>
      </c>
      <c r="D48" s="13">
        <f>'1990-30'!$R49</f>
        <v>1102805.5340848048</v>
      </c>
      <c r="E48" s="13">
        <f>'1990-40'!$R49</f>
        <v>1308338</v>
      </c>
      <c r="F48" s="13">
        <f>'1990-50'!$R49</f>
        <v>1308338</v>
      </c>
      <c r="G48" s="13">
        <f>'1990-60'!$R49</f>
        <v>1308338</v>
      </c>
      <c r="H48" s="13">
        <f>'1990-70'!$R49</f>
        <v>1308338</v>
      </c>
      <c r="I48" s="13">
        <f>'1990-80'!$R49</f>
        <v>1308338</v>
      </c>
      <c r="J48" s="13">
        <f>'1990-90'!$R49</f>
        <v>1308338</v>
      </c>
      <c r="L48" s="13">
        <f t="shared" si="6"/>
        <v>119660.32695296707</v>
      </c>
      <c r="M48" s="13">
        <f t="shared" si="7"/>
        <v>352436.65111641062</v>
      </c>
      <c r="N48" s="13">
        <f t="shared" si="8"/>
        <v>630708.55601542722</v>
      </c>
      <c r="O48" s="13">
        <f t="shared" si="9"/>
        <v>205532.46591519518</v>
      </c>
      <c r="P48" s="13">
        <f t="shared" si="10"/>
        <v>0</v>
      </c>
      <c r="Q48" s="13">
        <f t="shared" si="11"/>
        <v>0</v>
      </c>
      <c r="R48" s="13">
        <f t="shared" si="0"/>
        <v>0</v>
      </c>
      <c r="S48" s="13">
        <f t="shared" si="1"/>
        <v>0</v>
      </c>
      <c r="T48" s="13">
        <f t="shared" si="2"/>
        <v>0</v>
      </c>
      <c r="U48" s="13"/>
      <c r="V48" s="13">
        <f t="shared" si="12"/>
        <v>1308338.0000000002</v>
      </c>
      <c r="X48" s="13">
        <f t="shared" si="26"/>
        <v>190517.12905345735</v>
      </c>
      <c r="Y48" s="18">
        <f t="shared" si="13"/>
        <v>16</v>
      </c>
      <c r="Z48" s="18" t="str">
        <f t="shared" si="14"/>
        <v>Seattle</v>
      </c>
      <c r="AA48" s="18">
        <f t="shared" si="15"/>
        <v>28</v>
      </c>
      <c r="AB48" s="18">
        <f t="shared" si="21"/>
        <v>28</v>
      </c>
      <c r="AC48" s="18">
        <f t="shared" si="22"/>
        <v>13</v>
      </c>
      <c r="AD48" s="18">
        <f t="shared" si="23"/>
        <v>13</v>
      </c>
      <c r="AE48" s="18">
        <f t="shared" si="24"/>
        <v>13</v>
      </c>
      <c r="AF48" s="18">
        <f t="shared" si="25"/>
        <v>13</v>
      </c>
      <c r="AG48" s="18" t="str">
        <f t="shared" si="5"/>
        <v>Seattle</v>
      </c>
    </row>
    <row r="49" spans="1:33">
      <c r="A49" s="18" t="s">
        <v>76</v>
      </c>
      <c r="B49" s="13">
        <f>'1990-10'!R50</f>
        <v>265296.82666290499</v>
      </c>
      <c r="C49" s="13">
        <f>'1990-20'!$R50</f>
        <v>1134661.7791264467</v>
      </c>
      <c r="D49" s="13">
        <f>'1990-30'!$R50</f>
        <v>1476085</v>
      </c>
      <c r="E49" s="13">
        <f>'1990-40'!$R50</f>
        <v>1476085</v>
      </c>
      <c r="F49" s="13">
        <f>'1990-50'!$R50</f>
        <v>1476085</v>
      </c>
      <c r="G49" s="13">
        <f>'1990-60'!$R50</f>
        <v>1476085</v>
      </c>
      <c r="H49" s="13">
        <f>'1990-70'!$R50</f>
        <v>1476085</v>
      </c>
      <c r="I49" s="13">
        <f>'1990-80'!$R50</f>
        <v>1476085</v>
      </c>
      <c r="J49" s="13">
        <f>'1990-90'!$R50</f>
        <v>1476085</v>
      </c>
      <c r="L49" s="13">
        <f t="shared" si="6"/>
        <v>265296.82666290499</v>
      </c>
      <c r="M49" s="13">
        <f t="shared" si="7"/>
        <v>869364.95246354165</v>
      </c>
      <c r="N49" s="13">
        <f t="shared" si="8"/>
        <v>341423.22087355331</v>
      </c>
      <c r="O49" s="13">
        <f t="shared" si="9"/>
        <v>0</v>
      </c>
      <c r="P49" s="13">
        <f t="shared" si="10"/>
        <v>0</v>
      </c>
      <c r="Q49" s="13">
        <f t="shared" si="11"/>
        <v>0</v>
      </c>
      <c r="R49" s="13">
        <f t="shared" si="0"/>
        <v>0</v>
      </c>
      <c r="S49" s="13">
        <f t="shared" si="1"/>
        <v>0</v>
      </c>
      <c r="T49" s="13">
        <f t="shared" si="2"/>
        <v>0</v>
      </c>
      <c r="U49" s="13"/>
      <c r="V49" s="13">
        <f t="shared" si="12"/>
        <v>1476085</v>
      </c>
      <c r="X49" s="13">
        <f t="shared" si="26"/>
        <v>325700.52088013518</v>
      </c>
      <c r="Y49" s="18">
        <f t="shared" si="13"/>
        <v>4</v>
      </c>
      <c r="Z49" s="18" t="str">
        <f t="shared" si="14"/>
        <v>South Florida</v>
      </c>
      <c r="AA49" s="18">
        <f t="shared" si="15"/>
        <v>1</v>
      </c>
      <c r="AB49" s="18">
        <f t="shared" si="21"/>
        <v>1</v>
      </c>
      <c r="AC49" s="18">
        <f t="shared" si="22"/>
        <v>5</v>
      </c>
      <c r="AD49" s="18">
        <f t="shared" si="23"/>
        <v>12</v>
      </c>
      <c r="AE49" s="18">
        <f t="shared" si="24"/>
        <v>12</v>
      </c>
      <c r="AF49" s="18">
        <f t="shared" si="25"/>
        <v>12</v>
      </c>
      <c r="AG49" s="18" t="str">
        <f t="shared" si="5"/>
        <v>South Florida</v>
      </c>
    </row>
    <row r="50" spans="1:33">
      <c r="A50" s="18" t="s">
        <v>57</v>
      </c>
      <c r="B50" s="13">
        <f>'1990-10'!R51</f>
        <v>108987.37359124416</v>
      </c>
      <c r="C50" s="13">
        <f>'1990-20'!$R51</f>
        <v>477666.73430719285</v>
      </c>
      <c r="D50" s="13">
        <f>'1990-30'!$R51</f>
        <v>1123947.6440254252</v>
      </c>
      <c r="E50" s="13">
        <f>'1990-40'!$R51</f>
        <v>1144336</v>
      </c>
      <c r="F50" s="13">
        <f>'1990-50'!$R51</f>
        <v>1144336</v>
      </c>
      <c r="G50" s="13">
        <f>'1990-60'!$R51</f>
        <v>1144336</v>
      </c>
      <c r="H50" s="13">
        <f>'1990-70'!$R51</f>
        <v>1144336</v>
      </c>
      <c r="I50" s="13">
        <f>'1990-80'!$R51</f>
        <v>1144336</v>
      </c>
      <c r="J50" s="13">
        <f>'1990-90'!$R51</f>
        <v>1144336</v>
      </c>
      <c r="L50" s="13">
        <f t="shared" si="6"/>
        <v>108987.37359124416</v>
      </c>
      <c r="M50" s="13">
        <f t="shared" si="7"/>
        <v>368679.36071594869</v>
      </c>
      <c r="N50" s="13">
        <f t="shared" si="8"/>
        <v>646280.90971823235</v>
      </c>
      <c r="O50" s="13">
        <f t="shared" si="9"/>
        <v>20388.355974574806</v>
      </c>
      <c r="P50" s="13">
        <f t="shared" si="10"/>
        <v>0</v>
      </c>
      <c r="Q50" s="13">
        <f t="shared" si="11"/>
        <v>0</v>
      </c>
      <c r="R50" s="13">
        <f t="shared" si="0"/>
        <v>0</v>
      </c>
      <c r="S50" s="13">
        <f t="shared" si="1"/>
        <v>0</v>
      </c>
      <c r="T50" s="13">
        <f t="shared" si="2"/>
        <v>0</v>
      </c>
      <c r="U50" s="13"/>
      <c r="V50" s="13">
        <f t="shared" si="12"/>
        <v>1144336</v>
      </c>
      <c r="X50" s="13">
        <f t="shared" si="26"/>
        <v>182866.61856733274</v>
      </c>
      <c r="Y50" s="18">
        <f t="shared" si="13"/>
        <v>17</v>
      </c>
      <c r="Z50" s="18" t="str">
        <f t="shared" si="14"/>
        <v>St. Louis</v>
      </c>
      <c r="AA50" s="18">
        <f t="shared" si="15"/>
        <v>32</v>
      </c>
      <c r="AB50" s="18">
        <f t="shared" si="21"/>
        <v>27</v>
      </c>
      <c r="AC50" s="18">
        <f t="shared" si="22"/>
        <v>11</v>
      </c>
      <c r="AD50" s="18">
        <f t="shared" si="23"/>
        <v>18</v>
      </c>
      <c r="AE50" s="18">
        <f t="shared" si="24"/>
        <v>18</v>
      </c>
      <c r="AF50" s="18">
        <f t="shared" si="25"/>
        <v>18</v>
      </c>
      <c r="AG50" s="18" t="str">
        <f t="shared" si="5"/>
        <v>St. Louis</v>
      </c>
    </row>
    <row r="51" spans="1:33">
      <c r="A51" s="18" t="s">
        <v>71</v>
      </c>
      <c r="B51" s="13">
        <f>'1990-10'!R52</f>
        <v>86408.319781659142</v>
      </c>
      <c r="C51" s="13">
        <f>'1990-20'!$R52</f>
        <v>365090.31324181554</v>
      </c>
      <c r="D51" s="13">
        <f>'1990-30'!$R52</f>
        <v>848928.0085215026</v>
      </c>
      <c r="E51" s="13">
        <f>'1990-40'!$R52</f>
        <v>914711</v>
      </c>
      <c r="F51" s="13">
        <f>'1990-50'!$R52</f>
        <v>914711</v>
      </c>
      <c r="G51" s="13">
        <f>'1990-60'!$R52</f>
        <v>914711</v>
      </c>
      <c r="H51" s="13">
        <f>'1990-70'!$R52</f>
        <v>914711</v>
      </c>
      <c r="I51" s="13">
        <f>'1990-80'!$R52</f>
        <v>914711</v>
      </c>
      <c r="J51" s="13">
        <f>'1990-90'!$R52</f>
        <v>914711</v>
      </c>
      <c r="L51" s="13">
        <f t="shared" si="6"/>
        <v>86408.319781659142</v>
      </c>
      <c r="M51" s="13">
        <f t="shared" si="7"/>
        <v>278681.99346015637</v>
      </c>
      <c r="N51" s="13">
        <f t="shared" si="8"/>
        <v>483837.69527968706</v>
      </c>
      <c r="O51" s="13">
        <f t="shared" si="9"/>
        <v>65782.991478497395</v>
      </c>
      <c r="P51" s="13">
        <f t="shared" si="10"/>
        <v>0</v>
      </c>
      <c r="Q51" s="13">
        <f t="shared" si="11"/>
        <v>0</v>
      </c>
      <c r="R51" s="13">
        <f t="shared" si="0"/>
        <v>0</v>
      </c>
      <c r="S51" s="13">
        <f t="shared" si="1"/>
        <v>0</v>
      </c>
      <c r="T51" s="13">
        <f t="shared" si="2"/>
        <v>0</v>
      </c>
      <c r="U51" s="13"/>
      <c r="V51" s="13">
        <f t="shared" si="12"/>
        <v>914711</v>
      </c>
      <c r="X51" s="13">
        <f t="shared" si="26"/>
        <v>141664.91008301071</v>
      </c>
      <c r="Y51" s="18">
        <f t="shared" si="13"/>
        <v>34</v>
      </c>
      <c r="Z51" s="18" t="str">
        <f t="shared" si="14"/>
        <v>Tampa Bay</v>
      </c>
      <c r="AA51" s="18">
        <f t="shared" si="15"/>
        <v>45</v>
      </c>
      <c r="AB51" s="18">
        <f t="shared" si="21"/>
        <v>44</v>
      </c>
      <c r="AC51" s="18">
        <f t="shared" si="22"/>
        <v>23</v>
      </c>
      <c r="AD51" s="18">
        <f t="shared" si="23"/>
        <v>23</v>
      </c>
      <c r="AE51" s="18">
        <f t="shared" si="24"/>
        <v>23</v>
      </c>
      <c r="AF51" s="18">
        <f t="shared" si="25"/>
        <v>23</v>
      </c>
      <c r="AG51" s="18" t="str">
        <f t="shared" si="5"/>
        <v>Tampa Bay</v>
      </c>
    </row>
    <row r="52" spans="1:33">
      <c r="A52" s="18" t="s">
        <v>59</v>
      </c>
      <c r="B52" s="13">
        <f>'1990-10'!R53</f>
        <v>125249.77216503282</v>
      </c>
      <c r="C52" s="13">
        <f>'1990-20'!$R53</f>
        <v>536510.49229908513</v>
      </c>
      <c r="D52" s="13">
        <f>'1990-30'!$R53</f>
        <v>1285044.9811851359</v>
      </c>
      <c r="E52" s="13">
        <f>'1990-40'!$R53</f>
        <v>2214350</v>
      </c>
      <c r="F52" s="13">
        <f>'1990-50'!$R53</f>
        <v>2214350</v>
      </c>
      <c r="G52" s="13">
        <f>'1990-60'!$R53</f>
        <v>2214350</v>
      </c>
      <c r="H52" s="13">
        <f>'1990-70'!$R53</f>
        <v>2214350</v>
      </c>
      <c r="I52" s="13">
        <f>'1990-80'!$R53</f>
        <v>2214350</v>
      </c>
      <c r="J52" s="13">
        <f>'1990-90'!$R53</f>
        <v>2214350</v>
      </c>
      <c r="L52" s="13">
        <f t="shared" si="6"/>
        <v>125249.77216503282</v>
      </c>
      <c r="M52" s="13">
        <f t="shared" si="7"/>
        <v>411260.72013405233</v>
      </c>
      <c r="N52" s="13">
        <f t="shared" si="8"/>
        <v>748534.48888605076</v>
      </c>
      <c r="O52" s="13">
        <f t="shared" si="9"/>
        <v>929305.0188148641</v>
      </c>
      <c r="P52" s="13">
        <f t="shared" si="10"/>
        <v>0</v>
      </c>
      <c r="Q52" s="13">
        <f t="shared" si="11"/>
        <v>0</v>
      </c>
      <c r="R52" s="13">
        <f t="shared" si="0"/>
        <v>0</v>
      </c>
      <c r="S52" s="13">
        <f t="shared" si="1"/>
        <v>0</v>
      </c>
      <c r="T52" s="13">
        <f t="shared" si="2"/>
        <v>0</v>
      </c>
      <c r="U52" s="13"/>
      <c r="V52" s="13">
        <f t="shared" si="12"/>
        <v>2214350.0000000005</v>
      </c>
      <c r="X52" s="13">
        <f t="shared" si="26"/>
        <v>245096.49529920178</v>
      </c>
      <c r="Y52" s="18">
        <f t="shared" si="13"/>
        <v>9</v>
      </c>
      <c r="Z52" s="18" t="str">
        <f t="shared" si="14"/>
        <v>Washington</v>
      </c>
      <c r="AA52" s="18">
        <f t="shared" si="15"/>
        <v>25</v>
      </c>
      <c r="AB52" s="18">
        <f t="shared" si="21"/>
        <v>18</v>
      </c>
      <c r="AC52" s="18">
        <f t="shared" si="22"/>
        <v>8</v>
      </c>
      <c r="AD52" s="18">
        <f t="shared" si="23"/>
        <v>5</v>
      </c>
      <c r="AE52" s="18">
        <f t="shared" si="24"/>
        <v>5</v>
      </c>
      <c r="AF52" s="18">
        <f t="shared" si="25"/>
        <v>5</v>
      </c>
      <c r="AG52" s="18" t="str">
        <f t="shared" si="5"/>
        <v>Washington</v>
      </c>
    </row>
    <row r="54" spans="1:33"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 s="18">
        <v>1</v>
      </c>
      <c r="S54" s="18">
        <v>1</v>
      </c>
      <c r="T54" s="18">
        <v>1</v>
      </c>
      <c r="X54" s="28">
        <f>L54*EXP(Beta*10)+M54*EXP(Beta*20)+N54*EXP(Beta*30)+O54*EXP(Beta*40)+P54*EXP(Beta*50)+Q54*EXP(Beta*60)</f>
        <v>0.80925102531740989</v>
      </c>
      <c r="AA54" t="s">
        <v>153</v>
      </c>
    </row>
    <row r="55" spans="1:33">
      <c r="A55" t="s">
        <v>149</v>
      </c>
      <c r="B55">
        <v>-0.08</v>
      </c>
      <c r="Y55" s="29" t="s">
        <v>154</v>
      </c>
      <c r="Z55" s="29" t="s">
        <v>133</v>
      </c>
      <c r="AA55" s="29">
        <f>AA1</f>
        <v>10</v>
      </c>
      <c r="AB55" s="29">
        <f t="shared" ref="AB55:AF55" si="27">AB1</f>
        <v>20</v>
      </c>
      <c r="AC55" s="29">
        <f t="shared" si="27"/>
        <v>30</v>
      </c>
      <c r="AD55" s="29">
        <f t="shared" si="27"/>
        <v>40</v>
      </c>
      <c r="AE55" s="29">
        <f t="shared" si="27"/>
        <v>50</v>
      </c>
      <c r="AF55" s="29">
        <f t="shared" si="27"/>
        <v>60</v>
      </c>
      <c r="AG55" t="s">
        <v>154</v>
      </c>
    </row>
    <row r="56" spans="1:33">
      <c r="Y56" s="18" t="str">
        <f>VLOOKUP($Z56,Y$2:$Z$52,2,FALSE)</f>
        <v>New York</v>
      </c>
      <c r="Z56">
        <v>1</v>
      </c>
      <c r="AA56" t="str">
        <f>VLOOKUP($Z56,AA$2:$AG$52,8-AA$1/10,FALSE)</f>
        <v>South Florida</v>
      </c>
      <c r="AB56" s="18" t="str">
        <f>VLOOKUP($Z56,AB$2:$AG$52,8-AB$1/10,FALSE)</f>
        <v>South Florida</v>
      </c>
      <c r="AC56" s="18" t="str">
        <f>VLOOKUP($Z56,AC$2:$AG$52,8-AC$1/10,FALSE)</f>
        <v>Philadelphia</v>
      </c>
      <c r="AD56" s="18" t="str">
        <f>VLOOKUP($Z56,AD$2:$AG$52,8-AD$1/10,FALSE)</f>
        <v>New York</v>
      </c>
      <c r="AE56" s="18" t="str">
        <f>VLOOKUP($Z56,AE$2:$AG$52,8-AE$1/10,FALSE)</f>
        <v>New York</v>
      </c>
      <c r="AF56" s="18" t="str">
        <f>VLOOKUP($Z56,AF$2:$AG$52,8-AF$1/10,FALSE)</f>
        <v>New York</v>
      </c>
      <c r="AG56" t="str">
        <f>Y56</f>
        <v>New York</v>
      </c>
    </row>
    <row r="57" spans="1:33">
      <c r="A57" t="s">
        <v>151</v>
      </c>
      <c r="Y57" s="18" t="str">
        <f>VLOOKUP($Z57,Y$2:$Z$52,2,FALSE)</f>
        <v>Philadelphia</v>
      </c>
      <c r="Z57">
        <v>2</v>
      </c>
      <c r="AA57" s="18" t="str">
        <f>VLOOKUP($Z57,AA$2:$AG$52,8-AA$1/10,FALSE)</f>
        <v>Hartford</v>
      </c>
      <c r="AB57" s="18" t="str">
        <f>VLOOKUP($Z57,AB$2:$AG$52,8-AB$1/10,FALSE)</f>
        <v>Cleveland</v>
      </c>
      <c r="AC57" s="18" t="str">
        <f>VLOOKUP($Z57,AC$2:$AG$52,8-AC$1/10,FALSE)</f>
        <v>New York</v>
      </c>
      <c r="AD57" s="18" t="str">
        <f>VLOOKUP($Z57,AD$2:$AG$52,8-AD$1/10,FALSE)</f>
        <v>Chicago</v>
      </c>
      <c r="AE57" s="18" t="str">
        <f>VLOOKUP($Z57,AE$2:$AG$52,8-AE$1/10,FALSE)</f>
        <v>Los Angeles</v>
      </c>
      <c r="AF57" s="18" t="str">
        <f>VLOOKUP($Z57,AF$2:$AG$52,8-AF$1/10,FALSE)</f>
        <v>Los Angeles</v>
      </c>
      <c r="AG57" s="18" t="str">
        <f t="shared" ref="AG57:AG105" si="28">Y57</f>
        <v>Philadelphia</v>
      </c>
    </row>
    <row r="58" spans="1:33">
      <c r="Y58" s="18" t="str">
        <f>VLOOKUP($Z58,Y$2:$Z$52,2,FALSE)</f>
        <v>Chicago</v>
      </c>
      <c r="Z58">
        <v>3</v>
      </c>
      <c r="AA58" s="18" t="str">
        <f>VLOOKUP($Z58,AA$2:$AG$52,8-AA$1/10,FALSE)</f>
        <v>Rochester</v>
      </c>
      <c r="AB58" s="18" t="str">
        <f>VLOOKUP($Z58,AB$2:$AG$52,8-AB$1/10,FALSE)</f>
        <v>Philadelphia</v>
      </c>
      <c r="AC58" s="18" t="str">
        <f>VLOOKUP($Z58,AC$2:$AG$52,8-AC$1/10,FALSE)</f>
        <v>Boston</v>
      </c>
      <c r="AD58" s="18" t="str">
        <f>VLOOKUP($Z58,AD$2:$AG$52,8-AD$1/10,FALSE)</f>
        <v>Philadelphia</v>
      </c>
      <c r="AE58" s="18" t="str">
        <f>VLOOKUP($Z58,AE$2:$AG$52,8-AE$1/10,FALSE)</f>
        <v>Chicago</v>
      </c>
      <c r="AF58" s="18" t="str">
        <f>VLOOKUP($Z58,AF$2:$AG$52,8-AF$1/10,FALSE)</f>
        <v>Chicago</v>
      </c>
      <c r="AG58" s="18" t="str">
        <f t="shared" si="28"/>
        <v>Chicago</v>
      </c>
    </row>
    <row r="59" spans="1:33">
      <c r="Y59" s="18" t="str">
        <f>VLOOKUP($Z59,Y$2:$Z$52,2,FALSE)</f>
        <v>South Florida</v>
      </c>
      <c r="Z59">
        <f>Z58+1</f>
        <v>4</v>
      </c>
      <c r="AA59" s="18" t="str">
        <f>VLOOKUP($Z59,AA$2:$AG$52,8-AA$1/10,FALSE)</f>
        <v>Buffalo</v>
      </c>
      <c r="AB59" s="18" t="str">
        <f>VLOOKUP($Z59,AB$2:$AG$52,8-AB$1/10,FALSE)</f>
        <v>New York</v>
      </c>
      <c r="AC59" s="18" t="str">
        <f>VLOOKUP($Z59,AC$2:$AG$52,8-AC$1/10,FALSE)</f>
        <v>Chicago</v>
      </c>
      <c r="AD59" s="18" t="str">
        <f>VLOOKUP($Z59,AD$2:$AG$52,8-AD$1/10,FALSE)</f>
        <v>Los Angeles</v>
      </c>
      <c r="AE59" s="18" t="str">
        <f>VLOOKUP($Z59,AE$2:$AG$52,8-AE$1/10,FALSE)</f>
        <v>Philadelphia</v>
      </c>
      <c r="AF59" s="18" t="str">
        <f>VLOOKUP($Z59,AF$2:$AG$52,8-AF$1/10,FALSE)</f>
        <v>Philadelphia</v>
      </c>
      <c r="AG59" s="18" t="str">
        <f t="shared" si="28"/>
        <v>South Florida</v>
      </c>
    </row>
    <row r="60" spans="1:33">
      <c r="Y60" s="18" t="str">
        <f>VLOOKUP($Z60,Y$2:$Z$52,2,FALSE)</f>
        <v>Los Angeles</v>
      </c>
      <c r="Z60" s="18">
        <f t="shared" ref="Z60:Z105" si="29">Z59+1</f>
        <v>5</v>
      </c>
      <c r="AA60" s="18" t="str">
        <f>VLOOKUP($Z60,AA$2:$AG$52,8-AA$1/10,FALSE)</f>
        <v>Honolulu</v>
      </c>
      <c r="AB60" s="18" t="str">
        <f>VLOOKUP($Z60,AB$2:$AG$52,8-AB$1/10,FALSE)</f>
        <v>Boston</v>
      </c>
      <c r="AC60" s="18" t="str">
        <f>VLOOKUP($Z60,AC$2:$AG$52,8-AC$1/10,FALSE)</f>
        <v>South Florida</v>
      </c>
      <c r="AD60" s="18" t="str">
        <f>VLOOKUP($Z60,AD$2:$AG$52,8-AD$1/10,FALSE)</f>
        <v>Washington</v>
      </c>
      <c r="AE60" s="18" t="str">
        <f>VLOOKUP($Z60,AE$2:$AG$52,8-AE$1/10,FALSE)</f>
        <v>Washington</v>
      </c>
      <c r="AF60" s="18" t="str">
        <f>VLOOKUP($Z60,AF$2:$AG$52,8-AF$1/10,FALSE)</f>
        <v>Washington</v>
      </c>
      <c r="AG60" s="18" t="str">
        <f t="shared" si="28"/>
        <v>Los Angeles</v>
      </c>
    </row>
    <row r="61" spans="1:33">
      <c r="Y61" s="18" t="str">
        <f>VLOOKUP($Z61,Y$2:$Z$52,2,FALSE)</f>
        <v>Boston</v>
      </c>
      <c r="Z61" s="18">
        <f t="shared" si="29"/>
        <v>6</v>
      </c>
      <c r="AA61" s="18" t="str">
        <f>VLOOKUP($Z61,AA$2:$AG$52,8-AA$1/10,FALSE)</f>
        <v>Raleigh</v>
      </c>
      <c r="AB61" s="18" t="str">
        <f>VLOOKUP($Z61,AB$2:$AG$52,8-AB$1/10,FALSE)</f>
        <v>Chicago</v>
      </c>
      <c r="AC61" s="18" t="str">
        <f>VLOOKUP($Z61,AC$2:$AG$52,8-AC$1/10,FALSE)</f>
        <v>Los Angeles</v>
      </c>
      <c r="AD61" s="18" t="str">
        <f>VLOOKUP($Z61,AD$2:$AG$52,8-AD$1/10,FALSE)</f>
        <v>Boston</v>
      </c>
      <c r="AE61" s="18" t="str">
        <f>VLOOKUP($Z61,AE$2:$AG$52,8-AE$1/10,FALSE)</f>
        <v>Boston</v>
      </c>
      <c r="AF61" s="18" t="str">
        <f>VLOOKUP($Z61,AF$2:$AG$52,8-AF$1/10,FALSE)</f>
        <v>Boston</v>
      </c>
      <c r="AG61" s="18" t="str">
        <f t="shared" si="28"/>
        <v>Boston</v>
      </c>
    </row>
    <row r="62" spans="1:33">
      <c r="Y62" s="18" t="str">
        <f>VLOOKUP($Z62,Y$2:$Z$52,2,FALSE)</f>
        <v>Cleveland</v>
      </c>
      <c r="Z62" s="18">
        <f t="shared" si="29"/>
        <v>7</v>
      </c>
      <c r="AA62" s="18" t="str">
        <f>VLOOKUP($Z62,AA$2:$AG$52,8-AA$1/10,FALSE)</f>
        <v>Charlotte</v>
      </c>
      <c r="AB62" s="18" t="str">
        <f>VLOOKUP($Z62,AB$2:$AG$52,8-AB$1/10,FALSE)</f>
        <v>Columbus</v>
      </c>
      <c r="AC62" s="18" t="str">
        <f>VLOOKUP($Z62,AC$2:$AG$52,8-AC$1/10,FALSE)</f>
        <v>Detroit</v>
      </c>
      <c r="AD62" s="18" t="str">
        <f>VLOOKUP($Z62,AD$2:$AG$52,8-AD$1/10,FALSE)</f>
        <v>Detroit</v>
      </c>
      <c r="AE62" s="18" t="str">
        <f>VLOOKUP($Z62,AE$2:$AG$52,8-AE$1/10,FALSE)</f>
        <v>Detroit</v>
      </c>
      <c r="AF62" s="18" t="str">
        <f>VLOOKUP($Z62,AF$2:$AG$52,8-AF$1/10,FALSE)</f>
        <v>Detroit</v>
      </c>
      <c r="AG62" s="18" t="str">
        <f t="shared" si="28"/>
        <v>Cleveland</v>
      </c>
    </row>
    <row r="63" spans="1:33">
      <c r="Y63" s="18" t="str">
        <f>VLOOKUP($Z63,Y$2:$Z$52,2,FALSE)</f>
        <v>Detroit</v>
      </c>
      <c r="Z63" s="18">
        <f t="shared" si="29"/>
        <v>8</v>
      </c>
      <c r="AA63" s="18" t="str">
        <f>VLOOKUP($Z63,AA$2:$AG$52,8-AA$1/10,FALSE)</f>
        <v>Cleveland</v>
      </c>
      <c r="AB63" s="18" t="str">
        <f>VLOOKUP($Z63,AB$2:$AG$52,8-AB$1/10,FALSE)</f>
        <v>Denver</v>
      </c>
      <c r="AC63" s="18" t="str">
        <f>VLOOKUP($Z63,AC$2:$AG$52,8-AC$1/10,FALSE)</f>
        <v>Washington</v>
      </c>
      <c r="AD63" s="18" t="str">
        <f>VLOOKUP($Z63,AD$2:$AG$52,8-AD$1/10,FALSE)</f>
        <v>Dallas-Fort Worth</v>
      </c>
      <c r="AE63" s="18" t="str">
        <f>VLOOKUP($Z63,AE$2:$AG$52,8-AE$1/10,FALSE)</f>
        <v>Dallas-Fort Worth</v>
      </c>
      <c r="AF63" s="18" t="str">
        <f>VLOOKUP($Z63,AF$2:$AG$52,8-AF$1/10,FALSE)</f>
        <v>Dallas-Fort Worth</v>
      </c>
      <c r="AG63" s="18" t="str">
        <f t="shared" si="28"/>
        <v>Detroit</v>
      </c>
    </row>
    <row r="64" spans="1:33">
      <c r="Y64" s="18" t="str">
        <f>VLOOKUP($Z64,Y$2:$Z$52,2,FALSE)</f>
        <v>Washington</v>
      </c>
      <c r="Z64" s="18">
        <f t="shared" si="29"/>
        <v>9</v>
      </c>
      <c r="AA64" s="18" t="str">
        <f>VLOOKUP($Z64,AA$2:$AG$52,8-AA$1/10,FALSE)</f>
        <v>Philadelphia</v>
      </c>
      <c r="AB64" s="18" t="str">
        <f>VLOOKUP($Z64,AB$2:$AG$52,8-AB$1/10,FALSE)</f>
        <v>San Jose</v>
      </c>
      <c r="AC64" s="18" t="str">
        <f>VLOOKUP($Z64,AC$2:$AG$52,8-AC$1/10,FALSE)</f>
        <v>Cleveland</v>
      </c>
      <c r="AD64" s="18" t="str">
        <f>VLOOKUP($Z64,AD$2:$AG$52,8-AD$1/10,FALSE)</f>
        <v>San Francisco</v>
      </c>
      <c r="AE64" s="18" t="str">
        <f>VLOOKUP($Z64,AE$2:$AG$52,8-AE$1/10,FALSE)</f>
        <v>San Francisco</v>
      </c>
      <c r="AF64" s="18" t="str">
        <f>VLOOKUP($Z64,AF$2:$AG$52,8-AF$1/10,FALSE)</f>
        <v>San Francisco</v>
      </c>
      <c r="AG64" s="18" t="str">
        <f t="shared" si="28"/>
        <v>Washington</v>
      </c>
    </row>
    <row r="65" spans="25:33">
      <c r="Y65" s="18" t="str">
        <f>VLOOKUP($Z65,Y$2:$Z$52,2,FALSE)</f>
        <v>Dallas-Fort Worth</v>
      </c>
      <c r="Z65" s="18">
        <f t="shared" si="29"/>
        <v>10</v>
      </c>
      <c r="AA65" s="18" t="str">
        <f>VLOOKUP($Z65,AA$2:$AG$52,8-AA$1/10,FALSE)</f>
        <v>New York</v>
      </c>
      <c r="AB65" s="18" t="str">
        <f>VLOOKUP($Z65,AB$2:$AG$52,8-AB$1/10,FALSE)</f>
        <v>Charlotte</v>
      </c>
      <c r="AC65" s="18" t="str">
        <f>VLOOKUP($Z65,AC$2:$AG$52,8-AC$1/10,FALSE)</f>
        <v>Baltimore</v>
      </c>
      <c r="AD65" s="18" t="str">
        <f>VLOOKUP($Z65,AD$2:$AG$52,8-AD$1/10,FALSE)</f>
        <v>Houston</v>
      </c>
      <c r="AE65" s="18" t="str">
        <f>VLOOKUP($Z65,AE$2:$AG$52,8-AE$1/10,FALSE)</f>
        <v>Houston</v>
      </c>
      <c r="AF65" s="18" t="str">
        <f>VLOOKUP($Z65,AF$2:$AG$52,8-AF$1/10,FALSE)</f>
        <v>Houston</v>
      </c>
      <c r="AG65" s="18" t="str">
        <f t="shared" si="28"/>
        <v>Dallas-Fort Worth</v>
      </c>
    </row>
    <row r="66" spans="25:33">
      <c r="Y66" s="18" t="str">
        <f>VLOOKUP($Z66,Y$2:$Z$52,2,FALSE)</f>
        <v>Baltimore</v>
      </c>
      <c r="Z66" s="18">
        <f t="shared" si="29"/>
        <v>11</v>
      </c>
      <c r="AA66" s="18" t="str">
        <f>VLOOKUP($Z66,AA$2:$AG$52,8-AA$1/10,FALSE)</f>
        <v>Columbus</v>
      </c>
      <c r="AB66" s="18" t="str">
        <f>VLOOKUP($Z66,AB$2:$AG$52,8-AB$1/10,FALSE)</f>
        <v>Baltimore</v>
      </c>
      <c r="AC66" s="18" t="str">
        <f>VLOOKUP($Z66,AC$2:$AG$52,8-AC$1/10,FALSE)</f>
        <v>St. Louis</v>
      </c>
      <c r="AD66" s="18" t="str">
        <f>VLOOKUP($Z66,AD$2:$AG$52,8-AD$1/10,FALSE)</f>
        <v>Atlanta</v>
      </c>
      <c r="AE66" s="18" t="str">
        <f>VLOOKUP($Z66,AE$2:$AG$52,8-AE$1/10,FALSE)</f>
        <v>Atlanta</v>
      </c>
      <c r="AF66" s="18" t="str">
        <f>VLOOKUP($Z66,AF$2:$AG$52,8-AF$1/10,FALSE)</f>
        <v>Atlanta</v>
      </c>
      <c r="AG66" s="18" t="str">
        <f t="shared" si="28"/>
        <v>Baltimore</v>
      </c>
    </row>
    <row r="67" spans="25:33">
      <c r="Y67" s="18" t="str">
        <f>VLOOKUP($Z67,Y$2:$Z$52,2,FALSE)</f>
        <v>San Francisco</v>
      </c>
      <c r="Z67" s="18">
        <f t="shared" si="29"/>
        <v>12</v>
      </c>
      <c r="AA67" s="18" t="str">
        <f>VLOOKUP($Z67,AA$2:$AG$52,8-AA$1/10,FALSE)</f>
        <v>Providence</v>
      </c>
      <c r="AB67" s="18" t="str">
        <f>VLOOKUP($Z67,AB$2:$AG$52,8-AB$1/10,FALSE)</f>
        <v>Los Angeles</v>
      </c>
      <c r="AC67" s="18" t="str">
        <f>VLOOKUP($Z67,AC$2:$AG$52,8-AC$1/10,FALSE)</f>
        <v>Dallas-Fort Worth</v>
      </c>
      <c r="AD67" s="18" t="str">
        <f>VLOOKUP($Z67,AD$2:$AG$52,8-AD$1/10,FALSE)</f>
        <v>South Florida</v>
      </c>
      <c r="AE67" s="18" t="str">
        <f>VLOOKUP($Z67,AE$2:$AG$52,8-AE$1/10,FALSE)</f>
        <v>South Florida</v>
      </c>
      <c r="AF67" s="18" t="str">
        <f>VLOOKUP($Z67,AF$2:$AG$52,8-AF$1/10,FALSE)</f>
        <v>South Florida</v>
      </c>
      <c r="AG67" s="18" t="str">
        <f t="shared" si="28"/>
        <v>San Francisco</v>
      </c>
    </row>
    <row r="68" spans="25:33">
      <c r="Y68" s="18" t="str">
        <f>VLOOKUP($Z68,Y$2:$Z$52,2,FALSE)</f>
        <v>Denver</v>
      </c>
      <c r="Z68" s="18">
        <f t="shared" si="29"/>
        <v>13</v>
      </c>
      <c r="AA68" s="18" t="str">
        <f>VLOOKUP($Z68,AA$2:$AG$52,8-AA$1/10,FALSE)</f>
        <v>Boston</v>
      </c>
      <c r="AB68" s="18" t="str">
        <f>VLOOKUP($Z68,AB$2:$AG$52,8-AB$1/10,FALSE)</f>
        <v>Detroit</v>
      </c>
      <c r="AC68" s="18" t="str">
        <f>VLOOKUP($Z68,AC$2:$AG$52,8-AC$1/10,FALSE)</f>
        <v>Seattle</v>
      </c>
      <c r="AD68" s="18" t="str">
        <f>VLOOKUP($Z68,AD$2:$AG$52,8-AD$1/10,FALSE)</f>
        <v>Seattle</v>
      </c>
      <c r="AE68" s="18" t="str">
        <f>VLOOKUP($Z68,AE$2:$AG$52,8-AE$1/10,FALSE)</f>
        <v>Seattle</v>
      </c>
      <c r="AF68" s="18" t="str">
        <f>VLOOKUP($Z68,AF$2:$AG$52,8-AF$1/10,FALSE)</f>
        <v>Seattle</v>
      </c>
      <c r="AG68" s="18" t="str">
        <f t="shared" si="28"/>
        <v>Denver</v>
      </c>
    </row>
    <row r="69" spans="25:33">
      <c r="Y69" s="18" t="str">
        <f>VLOOKUP($Z69,Y$2:$Z$52,2,FALSE)</f>
        <v>Houston</v>
      </c>
      <c r="Z69" s="18">
        <f t="shared" si="29"/>
        <v>14</v>
      </c>
      <c r="AA69" s="18" t="str">
        <f>VLOOKUP($Z69,AA$2:$AG$52,8-AA$1/10,FALSE)</f>
        <v>Chicago</v>
      </c>
      <c r="AB69" s="18" t="str">
        <f>VLOOKUP($Z69,AB$2:$AG$52,8-AB$1/10,FALSE)</f>
        <v>Milwaukee</v>
      </c>
      <c r="AC69" s="18" t="str">
        <f>VLOOKUP($Z69,AC$2:$AG$52,8-AC$1/10,FALSE)</f>
        <v>Houston</v>
      </c>
      <c r="AD69" s="18" t="str">
        <f>VLOOKUP($Z69,AD$2:$AG$52,8-AD$1/10,FALSE)</f>
        <v>Minneapolis-St.Paul</v>
      </c>
      <c r="AE69" s="18" t="str">
        <f>VLOOKUP($Z69,AE$2:$AG$52,8-AE$1/10,FALSE)</f>
        <v>Minneapolis-St.Paul</v>
      </c>
      <c r="AF69" s="18" t="str">
        <f>VLOOKUP($Z69,AF$2:$AG$52,8-AF$1/10,FALSE)</f>
        <v>Minneapolis-St.Paul</v>
      </c>
      <c r="AG69" s="18" t="str">
        <f t="shared" si="28"/>
        <v>Houston</v>
      </c>
    </row>
    <row r="70" spans="25:33">
      <c r="Y70" s="18" t="str">
        <f>VLOOKUP($Z70,Y$2:$Z$52,2,FALSE)</f>
        <v>San Jose</v>
      </c>
      <c r="Z70" s="18">
        <f t="shared" si="29"/>
        <v>15</v>
      </c>
      <c r="AA70" s="18" t="str">
        <f>VLOOKUP($Z70,AA$2:$AG$52,8-AA$1/10,FALSE)</f>
        <v>San Jose</v>
      </c>
      <c r="AB70" s="18" t="str">
        <f>VLOOKUP($Z70,AB$2:$AG$52,8-AB$1/10,FALSE)</f>
        <v>Hartford</v>
      </c>
      <c r="AC70" s="18" t="str">
        <f>VLOOKUP($Z70,AC$2:$AG$52,8-AC$1/10,FALSE)</f>
        <v>San Francisco</v>
      </c>
      <c r="AD70" s="18" t="str">
        <f>VLOOKUP($Z70,AD$2:$AG$52,8-AD$1/10,FALSE)</f>
        <v>Cleveland</v>
      </c>
      <c r="AE70" s="18" t="str">
        <f>VLOOKUP($Z70,AE$2:$AG$52,8-AE$1/10,FALSE)</f>
        <v>Cleveland</v>
      </c>
      <c r="AF70" s="18" t="str">
        <f>VLOOKUP($Z70,AF$2:$AG$52,8-AF$1/10,FALSE)</f>
        <v>Cleveland</v>
      </c>
      <c r="AG70" s="18" t="str">
        <f t="shared" si="28"/>
        <v>San Jose</v>
      </c>
    </row>
    <row r="71" spans="25:33">
      <c r="Y71" s="18" t="str">
        <f>VLOOKUP($Z71,Y$2:$Z$52,2,FALSE)</f>
        <v>Seattle</v>
      </c>
      <c r="Z71" s="18">
        <f t="shared" si="29"/>
        <v>16</v>
      </c>
      <c r="AA71" s="18" t="str">
        <f>VLOOKUP($Z71,AA$2:$AG$52,8-AA$1/10,FALSE)</f>
        <v>Denver</v>
      </c>
      <c r="AB71" s="18" t="str">
        <f>VLOOKUP($Z71,AB$2:$AG$52,8-AB$1/10,FALSE)</f>
        <v>Cincinnati</v>
      </c>
      <c r="AC71" s="18" t="str">
        <f>VLOOKUP($Z71,AC$2:$AG$52,8-AC$1/10,FALSE)</f>
        <v>Denver</v>
      </c>
      <c r="AD71" s="18" t="str">
        <f>VLOOKUP($Z71,AD$2:$AG$52,8-AD$1/10,FALSE)</f>
        <v>San Diego</v>
      </c>
      <c r="AE71" s="18" t="str">
        <f>VLOOKUP($Z71,AE$2:$AG$52,8-AE$1/10,FALSE)</f>
        <v>San Diego</v>
      </c>
      <c r="AF71" s="18" t="str">
        <f>VLOOKUP($Z71,AF$2:$AG$52,8-AF$1/10,FALSE)</f>
        <v>San Diego</v>
      </c>
      <c r="AG71" s="18" t="str">
        <f t="shared" si="28"/>
        <v>Seattle</v>
      </c>
    </row>
    <row r="72" spans="25:33">
      <c r="Y72" s="18" t="str">
        <f>VLOOKUP($Z72,Y$2:$Z$52,2,FALSE)</f>
        <v>St. Louis</v>
      </c>
      <c r="Z72" s="18">
        <f t="shared" si="29"/>
        <v>17</v>
      </c>
      <c r="AA72" s="18" t="str">
        <f>VLOOKUP($Z72,AA$2:$AG$52,8-AA$1/10,FALSE)</f>
        <v>Salt Lake City</v>
      </c>
      <c r="AB72" s="18" t="str">
        <f>VLOOKUP($Z72,AB$2:$AG$52,8-AB$1/10,FALSE)</f>
        <v>Providence</v>
      </c>
      <c r="AC72" s="18" t="str">
        <f>VLOOKUP($Z72,AC$2:$AG$52,8-AC$1/10,FALSE)</f>
        <v>San Diego</v>
      </c>
      <c r="AD72" s="18" t="str">
        <f>VLOOKUP($Z72,AD$2:$AG$52,8-AD$1/10,FALSE)</f>
        <v>Baltimore</v>
      </c>
      <c r="AE72" s="18" t="str">
        <f>VLOOKUP($Z72,AE$2:$AG$52,8-AE$1/10,FALSE)</f>
        <v>Baltimore</v>
      </c>
      <c r="AF72" s="18" t="str">
        <f>VLOOKUP($Z72,AF$2:$AG$52,8-AF$1/10,FALSE)</f>
        <v>Baltimore</v>
      </c>
      <c r="AG72" s="18" t="str">
        <f t="shared" si="28"/>
        <v>St. Louis</v>
      </c>
    </row>
    <row r="73" spans="25:33">
      <c r="Y73" s="18" t="str">
        <f>VLOOKUP($Z73,Y$2:$Z$52,2,FALSE)</f>
        <v>Columbus</v>
      </c>
      <c r="Z73" s="18">
        <f t="shared" si="29"/>
        <v>18</v>
      </c>
      <c r="AA73" s="18" t="str">
        <f>VLOOKUP($Z73,AA$2:$AG$52,8-AA$1/10,FALSE)</f>
        <v>Grand Rapids</v>
      </c>
      <c r="AB73" s="18" t="str">
        <f>VLOOKUP($Z73,AB$2:$AG$52,8-AB$1/10,FALSE)</f>
        <v>Washington</v>
      </c>
      <c r="AC73" s="18" t="str">
        <f>VLOOKUP($Z73,AC$2:$AG$52,8-AC$1/10,FALSE)</f>
        <v>Pittsburgh</v>
      </c>
      <c r="AD73" s="18" t="str">
        <f>VLOOKUP($Z73,AD$2:$AG$52,8-AD$1/10,FALSE)</f>
        <v>St. Louis</v>
      </c>
      <c r="AE73" s="18" t="str">
        <f>VLOOKUP($Z73,AE$2:$AG$52,8-AE$1/10,FALSE)</f>
        <v>St. Louis</v>
      </c>
      <c r="AF73" s="18" t="str">
        <f>VLOOKUP($Z73,AF$2:$AG$52,8-AF$1/10,FALSE)</f>
        <v>St. Louis</v>
      </c>
      <c r="AG73" s="18" t="str">
        <f t="shared" si="28"/>
        <v>Columbus</v>
      </c>
    </row>
    <row r="74" spans="25:33">
      <c r="Y74" s="18" t="str">
        <f>VLOOKUP($Z74,Y$2:$Z$52,2,FALSE)</f>
        <v>Charlotte</v>
      </c>
      <c r="Z74" s="18">
        <f t="shared" si="29"/>
        <v>19</v>
      </c>
      <c r="AA74" s="18" t="str">
        <f>VLOOKUP($Z74,AA$2:$AG$52,8-AA$1/10,FALSE)</f>
        <v>Los Angeles</v>
      </c>
      <c r="AB74" s="18" t="str">
        <f>VLOOKUP($Z74,AB$2:$AG$52,8-AB$1/10,FALSE)</f>
        <v>Buffalo</v>
      </c>
      <c r="AC74" s="18" t="str">
        <f>VLOOKUP($Z74,AC$2:$AG$52,8-AC$1/10,FALSE)</f>
        <v>San Jose</v>
      </c>
      <c r="AD74" s="18" t="str">
        <f>VLOOKUP($Z74,AD$2:$AG$52,8-AD$1/10,FALSE)</f>
        <v>Phoenix</v>
      </c>
      <c r="AE74" s="18" t="str">
        <f>VLOOKUP($Z74,AE$2:$AG$52,8-AE$1/10,FALSE)</f>
        <v>Phoenix</v>
      </c>
      <c r="AF74" s="18" t="str">
        <f>VLOOKUP($Z74,AF$2:$AG$52,8-AF$1/10,FALSE)</f>
        <v>Phoenix</v>
      </c>
      <c r="AG74" s="18" t="str">
        <f t="shared" si="28"/>
        <v>Charlotte</v>
      </c>
    </row>
    <row r="75" spans="25:33">
      <c r="Y75" s="18" t="str">
        <f>VLOOKUP($Z75,Y$2:$Z$52,2,FALSE)</f>
        <v>San Diego</v>
      </c>
      <c r="Z75" s="18">
        <f t="shared" si="29"/>
        <v>20</v>
      </c>
      <c r="AA75" s="18" t="str">
        <f>VLOOKUP($Z75,AA$2:$AG$52,8-AA$1/10,FALSE)</f>
        <v>Baltimore</v>
      </c>
      <c r="AB75" s="18" t="str">
        <f>VLOOKUP($Z75,AB$2:$AG$52,8-AB$1/10,FALSE)</f>
        <v>Inland Empire</v>
      </c>
      <c r="AC75" s="18" t="str">
        <f>VLOOKUP($Z75,AC$2:$AG$52,8-AC$1/10,FALSE)</f>
        <v>Minneapolis-St.Paul</v>
      </c>
      <c r="AD75" s="18" t="str">
        <f>VLOOKUP($Z75,AD$2:$AG$52,8-AD$1/10,FALSE)</f>
        <v>Denver</v>
      </c>
      <c r="AE75" s="18" t="str">
        <f>VLOOKUP($Z75,AE$2:$AG$52,8-AE$1/10,FALSE)</f>
        <v>Denver</v>
      </c>
      <c r="AF75" s="18" t="str">
        <f>VLOOKUP($Z75,AF$2:$AG$52,8-AF$1/10,FALSE)</f>
        <v>Denver</v>
      </c>
      <c r="AG75" s="18" t="str">
        <f t="shared" si="28"/>
        <v>San Diego</v>
      </c>
    </row>
    <row r="76" spans="25:33">
      <c r="Y76" s="18" t="str">
        <f>VLOOKUP($Z76,Y$2:$Z$52,2,FALSE)</f>
        <v>Hartford</v>
      </c>
      <c r="Z76" s="18">
        <f t="shared" si="29"/>
        <v>21</v>
      </c>
      <c r="AA76" s="18" t="str">
        <f>VLOOKUP($Z76,AA$2:$AG$52,8-AA$1/10,FALSE)</f>
        <v>Detroit</v>
      </c>
      <c r="AB76" s="18" t="str">
        <f>VLOOKUP($Z76,AB$2:$AG$52,8-AB$1/10,FALSE)</f>
        <v>New Orleans</v>
      </c>
      <c r="AC76" s="18" t="str">
        <f>VLOOKUP($Z76,AC$2:$AG$52,8-AC$1/10,FALSE)</f>
        <v>Phoenix</v>
      </c>
      <c r="AD76" s="18" t="str">
        <f>VLOOKUP($Z76,AD$2:$AG$52,8-AD$1/10,FALSE)</f>
        <v>Pittsburgh</v>
      </c>
      <c r="AE76" s="18" t="str">
        <f>VLOOKUP($Z76,AE$2:$AG$52,8-AE$1/10,FALSE)</f>
        <v>Pittsburgh</v>
      </c>
      <c r="AF76" s="18" t="str">
        <f>VLOOKUP($Z76,AF$2:$AG$52,8-AF$1/10,FALSE)</f>
        <v>Pittsburgh</v>
      </c>
      <c r="AG76" s="18" t="str">
        <f t="shared" si="28"/>
        <v>Hartford</v>
      </c>
    </row>
    <row r="77" spans="25:33">
      <c r="Y77" s="18" t="str">
        <f>VLOOKUP($Z77,Y$2:$Z$52,2,FALSE)</f>
        <v>Atlanta</v>
      </c>
      <c r="Z77" s="18">
        <f t="shared" si="29"/>
        <v>22</v>
      </c>
      <c r="AA77" s="18" t="str">
        <f>VLOOKUP($Z77,AA$2:$AG$52,8-AA$1/10,FALSE)</f>
        <v>Milwaukee</v>
      </c>
      <c r="AB77" s="18" t="str">
        <f>VLOOKUP($Z77,AB$2:$AG$52,8-AB$1/10,FALSE)</f>
        <v>Indianapolis</v>
      </c>
      <c r="AC77" s="18" t="str">
        <f>VLOOKUP($Z77,AC$2:$AG$52,8-AC$1/10,FALSE)</f>
        <v>Atlanta</v>
      </c>
      <c r="AD77" s="18" t="str">
        <f>VLOOKUP($Z77,AD$2:$AG$52,8-AD$1/10,FALSE)</f>
        <v>San Jose</v>
      </c>
      <c r="AE77" s="18" t="str">
        <f>VLOOKUP($Z77,AE$2:$AG$52,8-AE$1/10,FALSE)</f>
        <v>San Jose</v>
      </c>
      <c r="AF77" s="18" t="str">
        <f>VLOOKUP($Z77,AF$2:$AG$52,8-AF$1/10,FALSE)</f>
        <v>San Jose</v>
      </c>
      <c r="AG77" s="18" t="str">
        <f t="shared" si="28"/>
        <v>Atlanta</v>
      </c>
    </row>
    <row r="78" spans="25:33">
      <c r="Y78" s="18" t="str">
        <f>VLOOKUP($Z78,Y$2:$Z$52,2,FALSE)</f>
        <v>Minneapolis-St.Paul</v>
      </c>
      <c r="Z78" s="18">
        <f t="shared" si="29"/>
        <v>23</v>
      </c>
      <c r="AA78" s="18" t="str">
        <f>VLOOKUP($Z78,AA$2:$AG$52,8-AA$1/10,FALSE)</f>
        <v>New Orleans</v>
      </c>
      <c r="AB78" s="18" t="str">
        <f>VLOOKUP($Z78,AB$2:$AG$52,8-AB$1/10,FALSE)</f>
        <v>Portland</v>
      </c>
      <c r="AC78" s="18" t="str">
        <f>VLOOKUP($Z78,AC$2:$AG$52,8-AC$1/10,FALSE)</f>
        <v>Tampa Bay</v>
      </c>
      <c r="AD78" s="18" t="str">
        <f>VLOOKUP($Z78,AD$2:$AG$52,8-AD$1/10,FALSE)</f>
        <v>Tampa Bay</v>
      </c>
      <c r="AE78" s="18" t="str">
        <f>VLOOKUP($Z78,AE$2:$AG$52,8-AE$1/10,FALSE)</f>
        <v>Tampa Bay</v>
      </c>
      <c r="AF78" s="18" t="str">
        <f>VLOOKUP($Z78,AF$2:$AG$52,8-AF$1/10,FALSE)</f>
        <v>Tampa Bay</v>
      </c>
      <c r="AG78" s="18" t="str">
        <f t="shared" si="28"/>
        <v>Minneapolis-St.Paul</v>
      </c>
    </row>
    <row r="79" spans="25:33">
      <c r="Y79" s="18" t="str">
        <f>VLOOKUP($Z79,Y$2:$Z$52,2,FALSE)</f>
        <v>Milwaukee</v>
      </c>
      <c r="Z79" s="18">
        <f t="shared" si="29"/>
        <v>24</v>
      </c>
      <c r="AA79" s="18" t="str">
        <f>VLOOKUP($Z79,AA$2:$AG$52,8-AA$1/10,FALSE)</f>
        <v>Cincinnati</v>
      </c>
      <c r="AB79" s="18" t="str">
        <f>VLOOKUP($Z79,AB$2:$AG$52,8-AB$1/10,FALSE)</f>
        <v>Sacramento</v>
      </c>
      <c r="AC79" s="18" t="str">
        <f>VLOOKUP($Z79,AC$2:$AG$52,8-AC$1/10,FALSE)</f>
        <v>Cincinnati</v>
      </c>
      <c r="AD79" s="18" t="str">
        <f>VLOOKUP($Z79,AD$2:$AG$52,8-AD$1/10,FALSE)</f>
        <v>Cincinnati</v>
      </c>
      <c r="AE79" s="18" t="str">
        <f>VLOOKUP($Z79,AE$2:$AG$52,8-AE$1/10,FALSE)</f>
        <v>Cincinnati</v>
      </c>
      <c r="AF79" s="18" t="str">
        <f>VLOOKUP($Z79,AF$2:$AG$52,8-AF$1/10,FALSE)</f>
        <v>Cincinnati</v>
      </c>
      <c r="AG79" s="18" t="str">
        <f t="shared" si="28"/>
        <v>Milwaukee</v>
      </c>
    </row>
    <row r="80" spans="25:33">
      <c r="Y80" s="18" t="str">
        <f>VLOOKUP($Z80,Y$2:$Z$52,2,FALSE)</f>
        <v>Cincinnati</v>
      </c>
      <c r="Z80" s="18">
        <f t="shared" si="29"/>
        <v>25</v>
      </c>
      <c r="AA80" s="18" t="str">
        <f>VLOOKUP($Z80,AA$2:$AG$52,8-AA$1/10,FALSE)</f>
        <v>Washington</v>
      </c>
      <c r="AB80" s="18" t="str">
        <f>VLOOKUP($Z80,AB$2:$AG$52,8-AB$1/10,FALSE)</f>
        <v>Rochester</v>
      </c>
      <c r="AC80" s="18" t="str">
        <f>VLOOKUP($Z80,AC$2:$AG$52,8-AC$1/10,FALSE)</f>
        <v>Milwaukee</v>
      </c>
      <c r="AD80" s="18" t="str">
        <f>VLOOKUP($Z80,AD$2:$AG$52,8-AD$1/10,FALSE)</f>
        <v>Milwaukee</v>
      </c>
      <c r="AE80" s="18" t="str">
        <f>VLOOKUP($Z80,AE$2:$AG$52,8-AE$1/10,FALSE)</f>
        <v>Milwaukee</v>
      </c>
      <c r="AF80" s="18" t="str">
        <f>VLOOKUP($Z80,AF$2:$AG$52,8-AF$1/10,FALSE)</f>
        <v>Milwaukee</v>
      </c>
      <c r="AG80" s="18" t="str">
        <f t="shared" si="28"/>
        <v>Cincinnati</v>
      </c>
    </row>
    <row r="81" spans="25:33">
      <c r="Y81" s="18" t="str">
        <f>VLOOKUP($Z81,Y$2:$Z$52,2,FALSE)</f>
        <v>Buffalo</v>
      </c>
      <c r="Z81" s="18">
        <f t="shared" si="29"/>
        <v>26</v>
      </c>
      <c r="AA81" s="18" t="str">
        <f>VLOOKUP($Z81,AA$2:$AG$52,8-AA$1/10,FALSE)</f>
        <v>Inland Empire</v>
      </c>
      <c r="AB81" s="18" t="str">
        <f>VLOOKUP($Z81,AB$2:$AG$52,8-AB$1/10,FALSE)</f>
        <v>Salt Lake City</v>
      </c>
      <c r="AC81" s="18" t="str">
        <f>VLOOKUP($Z81,AC$2:$AG$52,8-AC$1/10,FALSE)</f>
        <v>Inland Empire</v>
      </c>
      <c r="AD81" s="18" t="str">
        <f>VLOOKUP($Z81,AD$2:$AG$52,8-AD$1/10,FALSE)</f>
        <v>Kansas City</v>
      </c>
      <c r="AE81" s="18" t="str">
        <f>VLOOKUP($Z81,AE$2:$AG$52,8-AE$1/10,FALSE)</f>
        <v>Kansas City</v>
      </c>
      <c r="AF81" s="18" t="str">
        <f>VLOOKUP($Z81,AF$2:$AG$52,8-AF$1/10,FALSE)</f>
        <v>Kansas City</v>
      </c>
      <c r="AG81" s="18" t="str">
        <f t="shared" si="28"/>
        <v>Buffalo</v>
      </c>
    </row>
    <row r="82" spans="25:33">
      <c r="Y82" s="18" t="str">
        <f>VLOOKUP($Z82,Y$2:$Z$52,2,FALSE)</f>
        <v>Inland Empire</v>
      </c>
      <c r="Z82" s="18">
        <f t="shared" si="29"/>
        <v>27</v>
      </c>
      <c r="AA82" s="18" t="str">
        <f>VLOOKUP($Z82,AA$2:$AG$52,8-AA$1/10,FALSE)</f>
        <v>Sacramento</v>
      </c>
      <c r="AB82" s="18" t="str">
        <f>VLOOKUP($Z82,AB$2:$AG$52,8-AB$1/10,FALSE)</f>
        <v>St. Louis</v>
      </c>
      <c r="AC82" s="18" t="str">
        <f>VLOOKUP($Z82,AC$2:$AG$52,8-AC$1/10,FALSE)</f>
        <v>Kansas City</v>
      </c>
      <c r="AD82" s="18" t="str">
        <f>VLOOKUP($Z82,AD$2:$AG$52,8-AD$1/10,FALSE)</f>
        <v>Inland Empire</v>
      </c>
      <c r="AE82" s="18" t="str">
        <f>VLOOKUP($Z82,AE$2:$AG$52,8-AE$1/10,FALSE)</f>
        <v>Inland Empire</v>
      </c>
      <c r="AF82" s="18" t="str">
        <f>VLOOKUP($Z82,AF$2:$AG$52,8-AF$1/10,FALSE)</f>
        <v>Inland Empire</v>
      </c>
      <c r="AG82" s="18" t="str">
        <f t="shared" si="28"/>
        <v>Inland Empire</v>
      </c>
    </row>
    <row r="83" spans="25:33">
      <c r="Y83" s="18" t="str">
        <f>VLOOKUP($Z83,Y$2:$Z$52,2,FALSE)</f>
        <v>Phoenix</v>
      </c>
      <c r="Z83" s="18">
        <f t="shared" si="29"/>
        <v>28</v>
      </c>
      <c r="AA83" s="18" t="str">
        <f>VLOOKUP($Z83,AA$2:$AG$52,8-AA$1/10,FALSE)</f>
        <v>Seattle</v>
      </c>
      <c r="AB83" s="18" t="str">
        <f>VLOOKUP($Z83,AB$2:$AG$52,8-AB$1/10,FALSE)</f>
        <v>Seattle</v>
      </c>
      <c r="AC83" s="18" t="str">
        <f>VLOOKUP($Z83,AC$2:$AG$52,8-AC$1/10,FALSE)</f>
        <v>Portland</v>
      </c>
      <c r="AD83" s="18" t="str">
        <f>VLOOKUP($Z83,AD$2:$AG$52,8-AD$1/10,FALSE)</f>
        <v>Portland</v>
      </c>
      <c r="AE83" s="18" t="str">
        <f>VLOOKUP($Z83,AE$2:$AG$52,8-AE$1/10,FALSE)</f>
        <v>Portland</v>
      </c>
      <c r="AF83" s="18" t="str">
        <f>VLOOKUP($Z83,AF$2:$AG$52,8-AF$1/10,FALSE)</f>
        <v>Portland</v>
      </c>
      <c r="AG83" s="18" t="str">
        <f t="shared" si="28"/>
        <v>Phoenix</v>
      </c>
    </row>
    <row r="84" spans="25:33">
      <c r="Y84" s="18" t="str">
        <f>VLOOKUP($Z84,Y$2:$Z$52,2,FALSE)</f>
        <v>Pittsburgh</v>
      </c>
      <c r="Z84" s="18">
        <f t="shared" si="29"/>
        <v>29</v>
      </c>
      <c r="AA84" s="18" t="str">
        <f>VLOOKUP($Z84,AA$2:$AG$52,8-AA$1/10,FALSE)</f>
        <v>Portland</v>
      </c>
      <c r="AB84" s="18" t="str">
        <f>VLOOKUP($Z84,AB$2:$AG$52,8-AB$1/10,FALSE)</f>
        <v>Dallas-Fort Worth</v>
      </c>
      <c r="AC84" s="18" t="str">
        <f>VLOOKUP($Z84,AC$2:$AG$52,8-AC$1/10,FALSE)</f>
        <v>Hampton Roads</v>
      </c>
      <c r="AD84" s="18" t="str">
        <f>VLOOKUP($Z84,AD$2:$AG$52,8-AD$1/10,FALSE)</f>
        <v>Hampton Roads</v>
      </c>
      <c r="AE84" s="18" t="str">
        <f>VLOOKUP($Z84,AE$2:$AG$52,8-AE$1/10,FALSE)</f>
        <v>Hampton Roads</v>
      </c>
      <c r="AF84" s="18" t="str">
        <f>VLOOKUP($Z84,AF$2:$AG$52,8-AF$1/10,FALSE)</f>
        <v>Hampton Roads</v>
      </c>
      <c r="AG84" s="18" t="str">
        <f t="shared" si="28"/>
        <v>Pittsburgh</v>
      </c>
    </row>
    <row r="85" spans="25:33">
      <c r="Y85" s="18" t="str">
        <f>VLOOKUP($Z85,Y$2:$Z$52,2,FALSE)</f>
        <v>Providence</v>
      </c>
      <c r="Z85" s="18">
        <f t="shared" si="29"/>
        <v>30</v>
      </c>
      <c r="AA85" s="18" t="str">
        <f>VLOOKUP($Z85,AA$2:$AG$52,8-AA$1/10,FALSE)</f>
        <v>Indianapolis</v>
      </c>
      <c r="AB85" s="18" t="str">
        <f>VLOOKUP($Z85,AB$2:$AG$52,8-AB$1/10,FALSE)</f>
        <v>San Francisco</v>
      </c>
      <c r="AC85" s="18" t="str">
        <f>VLOOKUP($Z85,AC$2:$AG$52,8-AC$1/10,FALSE)</f>
        <v>Sacramento</v>
      </c>
      <c r="AD85" s="18" t="str">
        <f>VLOOKUP($Z85,AD$2:$AG$52,8-AD$1/10,FALSE)</f>
        <v>Sacramento</v>
      </c>
      <c r="AE85" s="18" t="str">
        <f>VLOOKUP($Z85,AE$2:$AG$52,8-AE$1/10,FALSE)</f>
        <v>Sacramento</v>
      </c>
      <c r="AF85" s="18" t="str">
        <f>VLOOKUP($Z85,AF$2:$AG$52,8-AF$1/10,FALSE)</f>
        <v>Sacramento</v>
      </c>
      <c r="AG85" s="18" t="str">
        <f t="shared" si="28"/>
        <v>Providence</v>
      </c>
    </row>
    <row r="86" spans="25:33">
      <c r="Y86" s="18" t="str">
        <f>VLOOKUP($Z86,Y$2:$Z$52,2,FALSE)</f>
        <v>Rochester</v>
      </c>
      <c r="Z86" s="18">
        <f t="shared" si="29"/>
        <v>31</v>
      </c>
      <c r="AA86" s="18" t="str">
        <f>VLOOKUP($Z86,AA$2:$AG$52,8-AA$1/10,FALSE)</f>
        <v>San Francisco</v>
      </c>
      <c r="AB86" s="18" t="str">
        <f>VLOOKUP($Z86,AB$2:$AG$52,8-AB$1/10,FALSE)</f>
        <v>Louisville</v>
      </c>
      <c r="AC86" s="18" t="str">
        <f>VLOOKUP($Z86,AC$2:$AG$52,8-AC$1/10,FALSE)</f>
        <v>Columbus</v>
      </c>
      <c r="AD86" s="18" t="str">
        <f>VLOOKUP($Z86,AD$2:$AG$52,8-AD$1/10,FALSE)</f>
        <v>Columbus</v>
      </c>
      <c r="AE86" s="18" t="str">
        <f>VLOOKUP($Z86,AE$2:$AG$52,8-AE$1/10,FALSE)</f>
        <v>Columbus</v>
      </c>
      <c r="AF86" s="18" t="str">
        <f>VLOOKUP($Z86,AF$2:$AG$52,8-AF$1/10,FALSE)</f>
        <v>Columbus</v>
      </c>
      <c r="AG86" s="18" t="str">
        <f t="shared" si="28"/>
        <v>Rochester</v>
      </c>
    </row>
    <row r="87" spans="25:33">
      <c r="Y87" s="18" t="str">
        <f>VLOOKUP($Z87,Y$2:$Z$52,2,FALSE)</f>
        <v>Portland</v>
      </c>
      <c r="Z87" s="18">
        <f t="shared" si="29"/>
        <v>32</v>
      </c>
      <c r="AA87" s="18" t="str">
        <f>VLOOKUP($Z87,AA$2:$AG$52,8-AA$1/10,FALSE)</f>
        <v>St. Louis</v>
      </c>
      <c r="AB87" s="18" t="str">
        <f>VLOOKUP($Z87,AB$2:$AG$52,8-AB$1/10,FALSE)</f>
        <v>Honolulu</v>
      </c>
      <c r="AC87" s="18" t="str">
        <f>VLOOKUP($Z87,AC$2:$AG$52,8-AC$1/10,FALSE)</f>
        <v>Indianapolis</v>
      </c>
      <c r="AD87" s="18" t="str">
        <f>VLOOKUP($Z87,AD$2:$AG$52,8-AD$1/10,FALSE)</f>
        <v>Indianapolis</v>
      </c>
      <c r="AE87" s="18" t="str">
        <f>VLOOKUP($Z87,AE$2:$AG$52,8-AE$1/10,FALSE)</f>
        <v>Indianapolis</v>
      </c>
      <c r="AF87" s="18" t="str">
        <f>VLOOKUP($Z87,AF$2:$AG$52,8-AF$1/10,FALSE)</f>
        <v>Indianapolis</v>
      </c>
      <c r="AG87" s="18" t="str">
        <f t="shared" si="28"/>
        <v>Portland</v>
      </c>
    </row>
    <row r="88" spans="25:33">
      <c r="Y88" s="18" t="str">
        <f>VLOOKUP($Z88,Y$2:$Z$52,2,FALSE)</f>
        <v>Sacramento</v>
      </c>
      <c r="Z88" s="18">
        <f t="shared" si="29"/>
        <v>33</v>
      </c>
      <c r="AA88" s="18" t="str">
        <f>VLOOKUP($Z88,AA$2:$AG$52,8-AA$1/10,FALSE)</f>
        <v>Dallas-Fort Worth</v>
      </c>
      <c r="AB88" s="18" t="str">
        <f>VLOOKUP($Z88,AB$2:$AG$52,8-AB$1/10,FALSE)</f>
        <v>Memphis</v>
      </c>
      <c r="AC88" s="18" t="str">
        <f>VLOOKUP($Z88,AC$2:$AG$52,8-AC$1/10,FALSE)</f>
        <v>Charlotte</v>
      </c>
      <c r="AD88" s="18" t="str">
        <f>VLOOKUP($Z88,AD$2:$AG$52,8-AD$1/10,FALSE)</f>
        <v>Charlotte</v>
      </c>
      <c r="AE88" s="18" t="str">
        <f>VLOOKUP($Z88,AE$2:$AG$52,8-AE$1/10,FALSE)</f>
        <v>Charlotte</v>
      </c>
      <c r="AF88" s="18" t="str">
        <f>VLOOKUP($Z88,AF$2:$AG$52,8-AF$1/10,FALSE)</f>
        <v>Charlotte</v>
      </c>
      <c r="AG88" s="18" t="str">
        <f t="shared" si="28"/>
        <v>Sacramento</v>
      </c>
    </row>
    <row r="89" spans="25:33">
      <c r="Y89" s="18" t="str">
        <f>VLOOKUP($Z89,Y$2:$Z$52,2,FALSE)</f>
        <v>Tampa Bay</v>
      </c>
      <c r="Z89" s="18">
        <f t="shared" si="29"/>
        <v>34</v>
      </c>
      <c r="AA89" s="18" t="str">
        <f>VLOOKUP($Z89,AA$2:$AG$52,8-AA$1/10,FALSE)</f>
        <v>Las Vegas</v>
      </c>
      <c r="AB89" s="18" t="str">
        <f>VLOOKUP($Z89,AB$2:$AG$52,8-AB$1/10,FALSE)</f>
        <v>Houston</v>
      </c>
      <c r="AC89" s="18" t="str">
        <f>VLOOKUP($Z89,AC$2:$AG$52,8-AC$1/10,FALSE)</f>
        <v>San Antonio</v>
      </c>
      <c r="AD89" s="18" t="str">
        <f>VLOOKUP($Z89,AD$2:$AG$52,8-AD$1/10,FALSE)</f>
        <v>San Antonio</v>
      </c>
      <c r="AE89" s="18" t="str">
        <f>VLOOKUP($Z89,AE$2:$AG$52,8-AE$1/10,FALSE)</f>
        <v>San Antonio</v>
      </c>
      <c r="AF89" s="18" t="str">
        <f>VLOOKUP($Z89,AF$2:$AG$52,8-AF$1/10,FALSE)</f>
        <v>San Antonio</v>
      </c>
      <c r="AG89" s="18" t="str">
        <f t="shared" si="28"/>
        <v>Tampa Bay</v>
      </c>
    </row>
    <row r="90" spans="25:33">
      <c r="Y90" s="18" t="str">
        <f>VLOOKUP($Z90,Y$2:$Z$52,2,FALSE)</f>
        <v>Indianapolis</v>
      </c>
      <c r="Z90" s="18">
        <f t="shared" si="29"/>
        <v>35</v>
      </c>
      <c r="AA90" s="18" t="str">
        <f>VLOOKUP($Z90,AA$2:$AG$52,8-AA$1/10,FALSE)</f>
        <v>San Diego</v>
      </c>
      <c r="AB90" s="18" t="str">
        <f>VLOOKUP($Z90,AB$2:$AG$52,8-AB$1/10,FALSE)</f>
        <v>San Diego</v>
      </c>
      <c r="AC90" s="18" t="str">
        <f>VLOOKUP($Z90,AC$2:$AG$52,8-AC$1/10,FALSE)</f>
        <v>Hartford</v>
      </c>
      <c r="AD90" s="18" t="str">
        <f>VLOOKUP($Z90,AD$2:$AG$52,8-AD$1/10,FALSE)</f>
        <v>Hartford</v>
      </c>
      <c r="AE90" s="18" t="str">
        <f>VLOOKUP($Z90,AE$2:$AG$52,8-AE$1/10,FALSE)</f>
        <v>Hartford</v>
      </c>
      <c r="AF90" s="18" t="str">
        <f>VLOOKUP($Z90,AF$2:$AG$52,8-AF$1/10,FALSE)</f>
        <v>Hartford</v>
      </c>
      <c r="AG90" s="18" t="str">
        <f t="shared" si="28"/>
        <v>Indianapolis</v>
      </c>
    </row>
    <row r="91" spans="25:33">
      <c r="Y91" s="18" t="str">
        <f>VLOOKUP($Z91,Y$2:$Z$52,2,FALSE)</f>
        <v>Honolulu</v>
      </c>
      <c r="Z91" s="18">
        <f t="shared" si="29"/>
        <v>36</v>
      </c>
      <c r="AA91" s="18" t="str">
        <f>VLOOKUP($Z91,AA$2:$AG$52,8-AA$1/10,FALSE)</f>
        <v>Memphis</v>
      </c>
      <c r="AB91" s="18" t="str">
        <f>VLOOKUP($Z91,AB$2:$AG$52,8-AB$1/10,FALSE)</f>
        <v>Phoenix</v>
      </c>
      <c r="AC91" s="18" t="str">
        <f>VLOOKUP($Z91,AC$2:$AG$52,8-AC$1/10,FALSE)</f>
        <v>Orlando</v>
      </c>
      <c r="AD91" s="18" t="str">
        <f>VLOOKUP($Z91,AD$2:$AG$52,8-AD$1/10,FALSE)</f>
        <v>Orlando</v>
      </c>
      <c r="AE91" s="18" t="str">
        <f>VLOOKUP($Z91,AE$2:$AG$52,8-AE$1/10,FALSE)</f>
        <v>Orlando</v>
      </c>
      <c r="AF91" s="18" t="str">
        <f>VLOOKUP($Z91,AF$2:$AG$52,8-AF$1/10,FALSE)</f>
        <v>Orlando</v>
      </c>
      <c r="AG91" s="18" t="str">
        <f t="shared" si="28"/>
        <v>Honolulu</v>
      </c>
    </row>
    <row r="92" spans="25:33">
      <c r="Y92" s="18" t="str">
        <f>VLOOKUP($Z92,Y$2:$Z$52,2,FALSE)</f>
        <v>New Orleans</v>
      </c>
      <c r="Z92" s="18">
        <f t="shared" si="29"/>
        <v>37</v>
      </c>
      <c r="AA92" s="18" t="str">
        <f>VLOOKUP($Z92,AA$2:$AG$52,8-AA$1/10,FALSE)</f>
        <v>Houston</v>
      </c>
      <c r="AB92" s="18" t="str">
        <f>VLOOKUP($Z92,AB$2:$AG$52,8-AB$1/10,FALSE)</f>
        <v>San Antonio</v>
      </c>
      <c r="AC92" s="18" t="str">
        <f>VLOOKUP($Z92,AC$2:$AG$52,8-AC$1/10,FALSE)</f>
        <v>Providence</v>
      </c>
      <c r="AD92" s="18" t="str">
        <f>VLOOKUP($Z92,AD$2:$AG$52,8-AD$1/10,FALSE)</f>
        <v>Providence</v>
      </c>
      <c r="AE92" s="18" t="str">
        <f>VLOOKUP($Z92,AE$2:$AG$52,8-AE$1/10,FALSE)</f>
        <v>Providence</v>
      </c>
      <c r="AF92" s="18" t="str">
        <f>VLOOKUP($Z92,AF$2:$AG$52,8-AF$1/10,FALSE)</f>
        <v>Providence</v>
      </c>
      <c r="AG92" s="18" t="str">
        <f t="shared" si="28"/>
        <v>New Orleans</v>
      </c>
    </row>
    <row r="93" spans="25:33">
      <c r="Y93" s="18" t="str">
        <f>VLOOKUP($Z93,Y$2:$Z$52,2,FALSE)</f>
        <v>Salt Lake City</v>
      </c>
      <c r="Z93" s="18">
        <f t="shared" si="29"/>
        <v>38</v>
      </c>
      <c r="AA93" s="18" t="str">
        <f>VLOOKUP($Z93,AA$2:$AG$52,8-AA$1/10,FALSE)</f>
        <v>Louisville</v>
      </c>
      <c r="AB93" s="18" t="str">
        <f>VLOOKUP($Z93,AB$2:$AG$52,8-AB$1/10,FALSE)</f>
        <v>Austin</v>
      </c>
      <c r="AC93" s="18" t="str">
        <f>VLOOKUP($Z93,AC$2:$AG$52,8-AC$1/10,FALSE)</f>
        <v>Buffalo</v>
      </c>
      <c r="AD93" s="18" t="str">
        <f>VLOOKUP($Z93,AD$2:$AG$52,8-AD$1/10,FALSE)</f>
        <v>Buffalo</v>
      </c>
      <c r="AE93" s="18" t="str">
        <f>VLOOKUP($Z93,AE$2:$AG$52,8-AE$1/10,FALSE)</f>
        <v>Buffalo</v>
      </c>
      <c r="AF93" s="18" t="str">
        <f>VLOOKUP($Z93,AF$2:$AG$52,8-AF$1/10,FALSE)</f>
        <v>Buffalo</v>
      </c>
      <c r="AG93" s="18" t="str">
        <f t="shared" si="28"/>
        <v>Salt Lake City</v>
      </c>
    </row>
    <row r="94" spans="25:33">
      <c r="Y94" s="18" t="str">
        <f>VLOOKUP($Z94,Y$2:$Z$52,2,FALSE)</f>
        <v>Raleigh</v>
      </c>
      <c r="Z94" s="18">
        <f t="shared" si="29"/>
        <v>39</v>
      </c>
      <c r="AA94" s="18" t="str">
        <f>VLOOKUP($Z94,AA$2:$AG$52,8-AA$1/10,FALSE)</f>
        <v>Austin</v>
      </c>
      <c r="AB94" s="18" t="str">
        <f>VLOOKUP($Z94,AB$2:$AG$52,8-AB$1/10,FALSE)</f>
        <v>Pittsburgh</v>
      </c>
      <c r="AC94" s="18" t="str">
        <f>VLOOKUP($Z94,AC$2:$AG$52,8-AC$1/10,FALSE)</f>
        <v>New Orleans</v>
      </c>
      <c r="AD94" s="18" t="str">
        <f>VLOOKUP($Z94,AD$2:$AG$52,8-AD$1/10,FALSE)</f>
        <v>New Orleans</v>
      </c>
      <c r="AE94" s="18" t="str">
        <f>VLOOKUP($Z94,AE$2:$AG$52,8-AE$1/10,FALSE)</f>
        <v>New Orleans</v>
      </c>
      <c r="AF94" s="18" t="str">
        <f>VLOOKUP($Z94,AF$2:$AG$52,8-AF$1/10,FALSE)</f>
        <v>New Orleans</v>
      </c>
      <c r="AG94" s="18" t="str">
        <f t="shared" si="28"/>
        <v>Raleigh</v>
      </c>
    </row>
    <row r="95" spans="25:33">
      <c r="Y95" s="18" t="str">
        <f>VLOOKUP($Z95,Y$2:$Z$52,2,FALSE)</f>
        <v>Kansas City</v>
      </c>
      <c r="Z95" s="18">
        <f t="shared" si="29"/>
        <v>40</v>
      </c>
      <c r="AA95" s="18" t="str">
        <f>VLOOKUP($Z95,AA$2:$AG$52,8-AA$1/10,FALSE)</f>
        <v>Phoenix</v>
      </c>
      <c r="AB95" s="18" t="str">
        <f>VLOOKUP($Z95,AB$2:$AG$52,8-AB$1/10,FALSE)</f>
        <v>Raleigh</v>
      </c>
      <c r="AC95" s="18" t="str">
        <f>VLOOKUP($Z95,AC$2:$AG$52,8-AC$1/10,FALSE)</f>
        <v>Nashville</v>
      </c>
      <c r="AD95" s="18" t="str">
        <f>VLOOKUP($Z95,AD$2:$AG$52,8-AD$1/10,FALSE)</f>
        <v>Nashville</v>
      </c>
      <c r="AE95" s="18" t="str">
        <f>VLOOKUP($Z95,AE$2:$AG$52,8-AE$1/10,FALSE)</f>
        <v>Nashville</v>
      </c>
      <c r="AF95" s="18" t="str">
        <f>VLOOKUP($Z95,AF$2:$AG$52,8-AF$1/10,FALSE)</f>
        <v>Nashville</v>
      </c>
      <c r="AG95" s="18" t="str">
        <f t="shared" si="28"/>
        <v>Kansas City</v>
      </c>
    </row>
    <row r="96" spans="25:33">
      <c r="Y96" s="18" t="str">
        <f>VLOOKUP($Z96,Y$2:$Z$52,2,FALSE)</f>
        <v>San Antonio</v>
      </c>
      <c r="Z96" s="18">
        <f t="shared" si="29"/>
        <v>41</v>
      </c>
      <c r="AA96" s="18" t="str">
        <f>VLOOKUP($Z96,AA$2:$AG$52,8-AA$1/10,FALSE)</f>
        <v>San Antonio</v>
      </c>
      <c r="AB96" s="18" t="str">
        <f>VLOOKUP($Z96,AB$2:$AG$52,8-AB$1/10,FALSE)</f>
        <v>Minneapolis-St.Paul</v>
      </c>
      <c r="AC96" s="18" t="str">
        <f>VLOOKUP($Z96,AC$2:$AG$52,8-AC$1/10,FALSE)</f>
        <v>Rochester</v>
      </c>
      <c r="AD96" s="18" t="str">
        <f>VLOOKUP($Z96,AD$2:$AG$52,8-AD$1/10,FALSE)</f>
        <v>Rochester</v>
      </c>
      <c r="AE96" s="18" t="str">
        <f>VLOOKUP($Z96,AE$2:$AG$52,8-AE$1/10,FALSE)</f>
        <v>Rochester</v>
      </c>
      <c r="AF96" s="18" t="str">
        <f>VLOOKUP($Z96,AF$2:$AG$52,8-AF$1/10,FALSE)</f>
        <v>Rochester</v>
      </c>
      <c r="AG96" s="18" t="str">
        <f t="shared" si="28"/>
        <v>San Antonio</v>
      </c>
    </row>
    <row r="97" spans="25:33">
      <c r="Y97" s="18" t="str">
        <f>VLOOKUP($Z97,Y$2:$Z$52,2,FALSE)</f>
        <v>Hampton Roads</v>
      </c>
      <c r="Z97" s="18">
        <f t="shared" si="29"/>
        <v>42</v>
      </c>
      <c r="AA97" s="18" t="str">
        <f>VLOOKUP($Z97,AA$2:$AG$52,8-AA$1/10,FALSE)</f>
        <v>Minneapolis-St.Paul</v>
      </c>
      <c r="AB97" s="18" t="str">
        <f>VLOOKUP($Z97,AB$2:$AG$52,8-AB$1/10,FALSE)</f>
        <v>Atlanta</v>
      </c>
      <c r="AC97" s="18" t="str">
        <f>VLOOKUP($Z97,AC$2:$AG$52,8-AC$1/10,FALSE)</f>
        <v>Salt Lake City</v>
      </c>
      <c r="AD97" s="18" t="str">
        <f>VLOOKUP($Z97,AD$2:$AG$52,8-AD$1/10,FALSE)</f>
        <v>Salt Lake City</v>
      </c>
      <c r="AE97" s="18" t="str">
        <f>VLOOKUP($Z97,AE$2:$AG$52,8-AE$1/10,FALSE)</f>
        <v>Salt Lake City</v>
      </c>
      <c r="AF97" s="18" t="str">
        <f>VLOOKUP($Z97,AF$2:$AG$52,8-AF$1/10,FALSE)</f>
        <v>Salt Lake City</v>
      </c>
      <c r="AG97" s="18" t="str">
        <f t="shared" si="28"/>
        <v>Hampton Roads</v>
      </c>
    </row>
    <row r="98" spans="25:33">
      <c r="Y98" s="18" t="str">
        <f>VLOOKUP($Z98,Y$2:$Z$52,2,FALSE)</f>
        <v>Louisville</v>
      </c>
      <c r="Z98" s="18">
        <f t="shared" si="29"/>
        <v>43</v>
      </c>
      <c r="AA98" s="18" t="str">
        <f>VLOOKUP($Z98,AA$2:$AG$52,8-AA$1/10,FALSE)</f>
        <v>Pittsburgh</v>
      </c>
      <c r="AB98" s="18" t="str">
        <f>VLOOKUP($Z98,AB$2:$AG$52,8-AB$1/10,FALSE)</f>
        <v>Las Vegas</v>
      </c>
      <c r="AC98" s="18" t="str">
        <f>VLOOKUP($Z98,AC$2:$AG$52,8-AC$1/10,FALSE)</f>
        <v>Oklahoma City</v>
      </c>
      <c r="AD98" s="18" t="str">
        <f>VLOOKUP($Z98,AD$2:$AG$52,8-AD$1/10,FALSE)</f>
        <v>Oklahoma City</v>
      </c>
      <c r="AE98" s="18" t="str">
        <f>VLOOKUP($Z98,AE$2:$AG$52,8-AE$1/10,FALSE)</f>
        <v>Oklahoma City</v>
      </c>
      <c r="AF98" s="18" t="str">
        <f>VLOOKUP($Z98,AF$2:$AG$52,8-AF$1/10,FALSE)</f>
        <v>Oklahoma City</v>
      </c>
      <c r="AG98" s="18" t="str">
        <f t="shared" si="28"/>
        <v>Louisville</v>
      </c>
    </row>
    <row r="99" spans="25:33">
      <c r="Y99" s="18" t="str">
        <f>VLOOKUP($Z99,Y$2:$Z$52,2,FALSE)</f>
        <v>Memphis</v>
      </c>
      <c r="Z99" s="18">
        <f t="shared" si="29"/>
        <v>44</v>
      </c>
      <c r="AA99" s="18" t="str">
        <f>VLOOKUP($Z99,AA$2:$AG$52,8-AA$1/10,FALSE)</f>
        <v>Atlanta</v>
      </c>
      <c r="AB99" s="18" t="str">
        <f>VLOOKUP($Z99,AB$2:$AG$52,8-AB$1/10,FALSE)</f>
        <v>Tampa Bay</v>
      </c>
      <c r="AC99" s="18" t="str">
        <f>VLOOKUP($Z99,AC$2:$AG$52,8-AC$1/10,FALSE)</f>
        <v>Memphis</v>
      </c>
      <c r="AD99" s="18" t="str">
        <f>VLOOKUP($Z99,AD$2:$AG$52,8-AD$1/10,FALSE)</f>
        <v>Memphis</v>
      </c>
      <c r="AE99" s="18" t="str">
        <f>VLOOKUP($Z99,AE$2:$AG$52,8-AE$1/10,FALSE)</f>
        <v>Memphis</v>
      </c>
      <c r="AF99" s="18" t="str">
        <f>VLOOKUP($Z99,AF$2:$AG$52,8-AF$1/10,FALSE)</f>
        <v>Memphis</v>
      </c>
      <c r="AG99" s="18" t="str">
        <f t="shared" si="28"/>
        <v>Memphis</v>
      </c>
    </row>
    <row r="100" spans="25:33">
      <c r="Y100" s="18" t="str">
        <f>VLOOKUP($Z100,Y$2:$Z$52,2,FALSE)</f>
        <v>Orlando</v>
      </c>
      <c r="Z100" s="18">
        <f t="shared" si="29"/>
        <v>45</v>
      </c>
      <c r="AA100" s="18" t="str">
        <f>VLOOKUP($Z100,AA$2:$AG$52,8-AA$1/10,FALSE)</f>
        <v>Tampa Bay</v>
      </c>
      <c r="AB100" s="18" t="str">
        <f>VLOOKUP($Z100,AB$2:$AG$52,8-AB$1/10,FALSE)</f>
        <v>Orlando</v>
      </c>
      <c r="AC100" s="18" t="str">
        <f>VLOOKUP($Z100,AC$2:$AG$52,8-AC$1/10,FALSE)</f>
        <v>Louisville</v>
      </c>
      <c r="AD100" s="18" t="str">
        <f>VLOOKUP($Z100,AD$2:$AG$52,8-AD$1/10,FALSE)</f>
        <v>Louisville</v>
      </c>
      <c r="AE100" s="18" t="str">
        <f>VLOOKUP($Z100,AE$2:$AG$52,8-AE$1/10,FALSE)</f>
        <v>Louisville</v>
      </c>
      <c r="AF100" s="18" t="str">
        <f>VLOOKUP($Z100,AF$2:$AG$52,8-AF$1/10,FALSE)</f>
        <v>Louisville</v>
      </c>
      <c r="AG100" s="18" t="str">
        <f t="shared" si="28"/>
        <v>Orlando</v>
      </c>
    </row>
    <row r="101" spans="25:33">
      <c r="Y101" s="18" t="str">
        <f>VLOOKUP($Z101,Y$2:$Z$52,2,FALSE)</f>
        <v>Austin</v>
      </c>
      <c r="Z101" s="18">
        <f t="shared" si="29"/>
        <v>46</v>
      </c>
      <c r="AA101" s="18" t="str">
        <f>VLOOKUP($Z101,AA$2:$AG$52,8-AA$1/10,FALSE)</f>
        <v>Orlando</v>
      </c>
      <c r="AB101" s="18" t="str">
        <f>VLOOKUP($Z101,AB$2:$AG$52,8-AB$1/10,FALSE)</f>
        <v>Hampton Roads</v>
      </c>
      <c r="AC101" s="18" t="str">
        <f>VLOOKUP($Z101,AC$2:$AG$52,8-AC$1/10,FALSE)</f>
        <v>Jacksonville</v>
      </c>
      <c r="AD101" s="18" t="str">
        <f>VLOOKUP($Z101,AD$2:$AG$52,8-AD$1/10,FALSE)</f>
        <v>Jacksonville</v>
      </c>
      <c r="AE101" s="18" t="str">
        <f>VLOOKUP($Z101,AE$2:$AG$52,8-AE$1/10,FALSE)</f>
        <v>Jacksonville</v>
      </c>
      <c r="AF101" s="18" t="str">
        <f>VLOOKUP($Z101,AF$2:$AG$52,8-AF$1/10,FALSE)</f>
        <v>Jacksonville</v>
      </c>
      <c r="AG101" s="18" t="str">
        <f t="shared" si="28"/>
        <v>Austin</v>
      </c>
    </row>
    <row r="102" spans="25:33">
      <c r="Y102" s="18" t="str">
        <f>VLOOKUP($Z102,Y$2:$Z$52,2,FALSE)</f>
        <v>Grand Rapids</v>
      </c>
      <c r="Z102" s="18">
        <f t="shared" si="29"/>
        <v>47</v>
      </c>
      <c r="AA102" s="18" t="str">
        <f>VLOOKUP($Z102,AA$2:$AG$52,8-AA$1/10,FALSE)</f>
        <v>Hampton Roads</v>
      </c>
      <c r="AB102" s="18" t="str">
        <f>VLOOKUP($Z102,AB$2:$AG$52,8-AB$1/10,FALSE)</f>
        <v>Grand Rapids</v>
      </c>
      <c r="AC102" s="18" t="str">
        <f>VLOOKUP($Z102,AC$2:$AG$52,8-AC$1/10,FALSE)</f>
        <v>Honolulu</v>
      </c>
      <c r="AD102" s="18" t="str">
        <f>VLOOKUP($Z102,AD$2:$AG$52,8-AD$1/10,FALSE)</f>
        <v>Honolulu</v>
      </c>
      <c r="AE102" s="18" t="str">
        <f>VLOOKUP($Z102,AE$2:$AG$52,8-AE$1/10,FALSE)</f>
        <v>Honolulu</v>
      </c>
      <c r="AF102" s="18" t="str">
        <f>VLOOKUP($Z102,AF$2:$AG$52,8-AF$1/10,FALSE)</f>
        <v>Honolulu</v>
      </c>
      <c r="AG102" s="18" t="str">
        <f t="shared" si="28"/>
        <v>Grand Rapids</v>
      </c>
    </row>
    <row r="103" spans="25:33">
      <c r="Y103" s="18" t="str">
        <f>VLOOKUP($Z103,Y$2:$Z$52,2,FALSE)</f>
        <v>Las Vegas</v>
      </c>
      <c r="Z103" s="18">
        <f t="shared" si="29"/>
        <v>48</v>
      </c>
      <c r="AA103" s="18" t="str">
        <f>VLOOKUP($Z103,AA$2:$AG$52,8-AA$1/10,FALSE)</f>
        <v>Kansas City</v>
      </c>
      <c r="AB103" s="18" t="str">
        <f>VLOOKUP($Z103,AB$2:$AG$52,8-AB$1/10,FALSE)</f>
        <v>Kansas City</v>
      </c>
      <c r="AC103" s="18" t="str">
        <f>VLOOKUP($Z103,AC$2:$AG$52,8-AC$1/10,FALSE)</f>
        <v>Austin</v>
      </c>
      <c r="AD103" s="18" t="str">
        <f>VLOOKUP($Z103,AD$2:$AG$52,8-AD$1/10,FALSE)</f>
        <v>Austin</v>
      </c>
      <c r="AE103" s="18" t="str">
        <f>VLOOKUP($Z103,AE$2:$AG$52,8-AE$1/10,FALSE)</f>
        <v>Austin</v>
      </c>
      <c r="AF103" s="18" t="str">
        <f>VLOOKUP($Z103,AF$2:$AG$52,8-AF$1/10,FALSE)</f>
        <v>Austin</v>
      </c>
      <c r="AG103" s="18" t="str">
        <f t="shared" si="28"/>
        <v>Las Vegas</v>
      </c>
    </row>
    <row r="104" spans="25:33">
      <c r="Y104" s="18" t="str">
        <f>VLOOKUP($Z104,Y$2:$Z$52,2,FALSE)</f>
        <v>Nashville</v>
      </c>
      <c r="Z104" s="18">
        <f t="shared" si="29"/>
        <v>49</v>
      </c>
      <c r="AA104" s="18" t="str">
        <f>VLOOKUP($Z104,AA$2:$AG$52,8-AA$1/10,FALSE)</f>
        <v>Nashville</v>
      </c>
      <c r="AB104" s="18" t="str">
        <f>VLOOKUP($Z104,AB$2:$AG$52,8-AB$1/10,FALSE)</f>
        <v>Nashville</v>
      </c>
      <c r="AC104" s="18" t="str">
        <f>VLOOKUP($Z104,AC$2:$AG$52,8-AC$1/10,FALSE)</f>
        <v>Raleigh</v>
      </c>
      <c r="AD104" s="18" t="str">
        <f>VLOOKUP($Z104,AD$2:$AG$52,8-AD$1/10,FALSE)</f>
        <v>Raleigh</v>
      </c>
      <c r="AE104" s="18" t="str">
        <f>VLOOKUP($Z104,AE$2:$AG$52,8-AE$1/10,FALSE)</f>
        <v>Raleigh</v>
      </c>
      <c r="AF104" s="18" t="str">
        <f>VLOOKUP($Z104,AF$2:$AG$52,8-AF$1/10,FALSE)</f>
        <v>Raleigh</v>
      </c>
      <c r="AG104" s="18" t="str">
        <f t="shared" si="28"/>
        <v>Nashville</v>
      </c>
    </row>
    <row r="105" spans="25:33">
      <c r="Y105" s="18" t="str">
        <f>VLOOKUP($Z105,Y$2:$Z$52,2,FALSE)</f>
        <v>Oklahoma City</v>
      </c>
      <c r="Z105" s="18">
        <f t="shared" si="29"/>
        <v>50</v>
      </c>
      <c r="AA105" s="18" t="str">
        <f>VLOOKUP($Z105,AA$2:$AG$52,8-AA$1/10,FALSE)</f>
        <v>Oklahoma City</v>
      </c>
      <c r="AB105" s="18" t="str">
        <f>VLOOKUP($Z105,AB$2:$AG$52,8-AB$1/10,FALSE)</f>
        <v>Oklahoma City</v>
      </c>
      <c r="AC105" s="18" t="str">
        <f>VLOOKUP($Z105,AC$2:$AG$52,8-AC$1/10,FALSE)</f>
        <v>Las Vegas</v>
      </c>
      <c r="AD105" s="18" t="str">
        <f>VLOOKUP($Z105,AD$2:$AG$52,8-AD$1/10,FALSE)</f>
        <v>Las Vegas</v>
      </c>
      <c r="AE105" s="18" t="str">
        <f>VLOOKUP($Z105,AE$2:$AG$52,8-AE$1/10,FALSE)</f>
        <v>Las Vegas</v>
      </c>
      <c r="AF105" s="18" t="str">
        <f>VLOOKUP($Z105,AF$2:$AG$52,8-AF$1/10,FALSE)</f>
        <v>Las Vegas</v>
      </c>
      <c r="AG105" s="18" t="str">
        <f t="shared" si="28"/>
        <v>Oklahoma City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4"/>
  <sheetViews>
    <sheetView workbookViewId="0">
      <selection activeCell="B1" sqref="B1:S1"/>
    </sheetView>
  </sheetViews>
  <sheetFormatPr baseColWidth="10" defaultColWidth="8.83203125" defaultRowHeight="14" x14ac:dyDescent="0"/>
  <cols>
    <col min="1" max="1" width="19.1640625" bestFit="1" customWidth="1"/>
    <col min="2" max="19" width="5.5" bestFit="1" customWidth="1"/>
    <col min="20" max="20" width="8.33203125" bestFit="1" customWidth="1"/>
    <col min="21" max="21" width="7.5" bestFit="1" customWidth="1"/>
    <col min="22" max="22" width="10.83203125" bestFit="1" customWidth="1"/>
    <col min="23" max="23" width="5.5" bestFit="1" customWidth="1"/>
  </cols>
  <sheetData>
    <row r="1" spans="1:29" ht="15" thickBot="1">
      <c r="A1" s="53"/>
      <c r="B1" s="68" t="s">
        <v>171</v>
      </c>
      <c r="C1" s="69"/>
      <c r="D1" s="69"/>
      <c r="E1" s="69"/>
      <c r="F1" s="69"/>
      <c r="G1" s="69"/>
      <c r="H1" s="69"/>
      <c r="I1" s="69"/>
      <c r="J1" s="70"/>
      <c r="K1" s="71" t="s">
        <v>180</v>
      </c>
      <c r="L1" s="72"/>
      <c r="M1" s="72"/>
      <c r="N1" s="72"/>
      <c r="O1" s="72"/>
      <c r="P1" s="72"/>
      <c r="Q1" s="72"/>
      <c r="R1" s="72"/>
      <c r="S1" s="73"/>
      <c r="T1" s="74" t="s">
        <v>176</v>
      </c>
      <c r="U1" s="75"/>
      <c r="V1" s="75"/>
      <c r="W1" s="75"/>
      <c r="X1" s="74" t="s">
        <v>177</v>
      </c>
      <c r="Y1" s="75"/>
      <c r="Z1" s="75"/>
      <c r="AA1" s="18" t="s">
        <v>178</v>
      </c>
      <c r="AB1" s="18" t="s">
        <v>179</v>
      </c>
      <c r="AC1" s="18"/>
    </row>
    <row r="2" spans="1:29" ht="17" thickBot="1">
      <c r="A2" s="54"/>
      <c r="B2" s="51">
        <v>10</v>
      </c>
      <c r="C2" s="37">
        <v>20</v>
      </c>
      <c r="D2" s="37">
        <v>30</v>
      </c>
      <c r="E2" s="37">
        <v>40</v>
      </c>
      <c r="F2" s="37">
        <v>50</v>
      </c>
      <c r="G2" s="37">
        <v>60</v>
      </c>
      <c r="H2" s="37">
        <v>70</v>
      </c>
      <c r="I2" s="37">
        <v>80</v>
      </c>
      <c r="J2" s="38">
        <v>90</v>
      </c>
      <c r="K2" s="55">
        <f>LN(B2)</f>
        <v>2.3025850929940459</v>
      </c>
      <c r="L2" s="56">
        <f t="shared" ref="L2:S17" si="0">LN(C2)</f>
        <v>2.9957322735539909</v>
      </c>
      <c r="M2" s="56">
        <f t="shared" si="0"/>
        <v>3.4011973816621555</v>
      </c>
      <c r="N2" s="56">
        <f t="shared" si="0"/>
        <v>3.6888794541139363</v>
      </c>
      <c r="O2" s="56">
        <f t="shared" si="0"/>
        <v>3.912023005428146</v>
      </c>
      <c r="P2" s="56">
        <f t="shared" si="0"/>
        <v>4.0943445622221004</v>
      </c>
      <c r="Q2" s="56">
        <f t="shared" si="0"/>
        <v>4.2484952420493594</v>
      </c>
      <c r="R2" s="56">
        <f t="shared" si="0"/>
        <v>4.3820266346738812</v>
      </c>
      <c r="S2" s="57">
        <f t="shared" si="0"/>
        <v>4.499809670330265</v>
      </c>
      <c r="T2" s="62" t="s">
        <v>172</v>
      </c>
      <c r="U2" s="63"/>
      <c r="V2" s="63" t="s">
        <v>173</v>
      </c>
      <c r="W2" s="64" t="s">
        <v>174</v>
      </c>
      <c r="X2" s="62" t="s">
        <v>172</v>
      </c>
      <c r="Y2" s="63" t="s">
        <v>173</v>
      </c>
      <c r="Z2" s="64" t="s">
        <v>174</v>
      </c>
      <c r="AA2" s="64" t="s">
        <v>174</v>
      </c>
      <c r="AB2" s="64" t="s">
        <v>174</v>
      </c>
      <c r="AC2" s="64"/>
    </row>
    <row r="3" spans="1:29">
      <c r="A3" s="52" t="s">
        <v>26</v>
      </c>
      <c r="B3" s="41">
        <f>'[1]1990'!K$24</f>
        <v>1.3522447679465692</v>
      </c>
      <c r="C3" s="42">
        <f>'[1]1990'!L$24</f>
        <v>1.2915585796126512</v>
      </c>
      <c r="D3" s="42">
        <f>'[1]1990'!M$24</f>
        <v>1.2597492146433538</v>
      </c>
      <c r="E3" s="42">
        <f>'[1]1990'!N$24</f>
        <v>1.2408930794674879</v>
      </c>
      <c r="F3" s="42">
        <f>'[1]1990'!O$24</f>
        <v>1.2257265693872379</v>
      </c>
      <c r="G3" s="42">
        <f>'[1]1990'!P$24</f>
        <v>1.212235646666648</v>
      </c>
      <c r="H3" s="42">
        <f>'[1]1990'!Q$24</f>
        <v>1.2025352150152295</v>
      </c>
      <c r="I3" s="42">
        <f>'[1]1990'!R$24</f>
        <v>1.195563923486137</v>
      </c>
      <c r="J3" s="43">
        <f>'[1]1990'!S$24</f>
        <v>1.1893214778643948</v>
      </c>
      <c r="K3" s="41">
        <f>LN(B3)</f>
        <v>0.3017660026153578</v>
      </c>
      <c r="L3" s="42">
        <f t="shared" si="0"/>
        <v>0.25584969033592603</v>
      </c>
      <c r="M3" s="42">
        <f t="shared" si="0"/>
        <v>0.23091266515575554</v>
      </c>
      <c r="N3" s="42">
        <f t="shared" si="0"/>
        <v>0.2158313457561207</v>
      </c>
      <c r="O3" s="42">
        <f t="shared" si="0"/>
        <v>0.20353378603894096</v>
      </c>
      <c r="P3" s="42">
        <f t="shared" si="0"/>
        <v>0.19246629669123866</v>
      </c>
      <c r="Q3" s="42">
        <f t="shared" si="0"/>
        <v>0.18443200740493648</v>
      </c>
      <c r="R3" s="42">
        <f t="shared" si="0"/>
        <v>0.17861797657136647</v>
      </c>
      <c r="S3" s="43">
        <f t="shared" si="0"/>
        <v>0.17338295783662561</v>
      </c>
      <c r="T3" s="65">
        <f t="array" ref="T3:U3">LINEST(K3:S3,$K$2:$S$2)</f>
        <v>-5.8232937514737744E-2</v>
      </c>
      <c r="U3" s="65">
        <v>0.43211748807916728</v>
      </c>
      <c r="V3" s="65">
        <f>EXP(U3)</f>
        <v>1.540516096806466</v>
      </c>
      <c r="W3" s="61">
        <f>RSQ(K3:S3,$K$2:$S$2)</f>
        <v>0.99678932482870153</v>
      </c>
      <c r="X3" s="18">
        <f t="array" ref="X3:Y3">LINEST(B3:J3,$K$2:$S$2)</f>
        <v>-7.3618346716300478E-2</v>
      </c>
      <c r="Y3" s="65">
        <v>1.5153211575109995</v>
      </c>
      <c r="Z3" s="61">
        <f>RSQ(B3:J3,$K$2:$S$2)</f>
        <v>0.99432657553133441</v>
      </c>
      <c r="AA3" s="61">
        <f>RSQ(K3:S3,$B$2:$J$2)</f>
        <v>0.87864853216976979</v>
      </c>
      <c r="AB3" s="61">
        <f>RSQ(B3:J3,$B$2:$J$2)</f>
        <v>0.86617950918866848</v>
      </c>
      <c r="AC3" s="18"/>
    </row>
    <row r="4" spans="1:29">
      <c r="A4" s="39" t="s">
        <v>27</v>
      </c>
      <c r="B4" s="44">
        <f>'[2]1990'!K$24</f>
        <v>1.426150653096147</v>
      </c>
      <c r="C4" s="36">
        <f>'[2]1990'!L$24</f>
        <v>1.4003139436062155</v>
      </c>
      <c r="D4" s="36">
        <f>'[2]1990'!M$24</f>
        <v>1.3586810860714802</v>
      </c>
      <c r="E4" s="36">
        <f>'[2]1990'!N$24</f>
        <v>1.3288131567869899</v>
      </c>
      <c r="F4" s="36">
        <f>'[2]1990'!O$24</f>
        <v>1.3049269079520347</v>
      </c>
      <c r="G4" s="36">
        <f>'[2]1990'!P$24</f>
        <v>1.2888700542866616</v>
      </c>
      <c r="H4" s="36">
        <f>'[2]1990'!Q$24</f>
        <v>1.2773678081599549</v>
      </c>
      <c r="I4" s="36">
        <f>'[2]1990'!R$24</f>
        <v>1.2690969416879858</v>
      </c>
      <c r="J4" s="45">
        <f>'[2]1990'!S$24</f>
        <v>1.2651081597994529</v>
      </c>
      <c r="K4" s="46">
        <f t="shared" ref="K4:S44" si="1">LN(B4)</f>
        <v>0.35497896374431914</v>
      </c>
      <c r="L4" s="35">
        <f t="shared" si="0"/>
        <v>0.33669645691497507</v>
      </c>
      <c r="M4" s="35">
        <f t="shared" si="0"/>
        <v>0.30651443954440366</v>
      </c>
      <c r="N4" s="35">
        <f t="shared" si="0"/>
        <v>0.2842861805224387</v>
      </c>
      <c r="O4" s="35">
        <f t="shared" si="0"/>
        <v>0.26614702997392381</v>
      </c>
      <c r="P4" s="35">
        <f t="shared" si="0"/>
        <v>0.25376590761587564</v>
      </c>
      <c r="Q4" s="35">
        <f t="shared" si="0"/>
        <v>0.24480156076310164</v>
      </c>
      <c r="R4" s="35">
        <f t="shared" si="0"/>
        <v>0.23830557800363003</v>
      </c>
      <c r="S4" s="47">
        <f t="shared" si="0"/>
        <v>0.23515762034216081</v>
      </c>
      <c r="T4" s="65">
        <f t="array" ref="T4:U4">LINEST(K4:S4,$K$2:$S$2)</f>
        <v>-6.030476072440278E-2</v>
      </c>
      <c r="U4" s="65">
        <v>0.50470849646349669</v>
      </c>
      <c r="V4" s="65">
        <f t="shared" ref="V4:V53" si="2">EXP(U4)</f>
        <v>1.6565025737154635</v>
      </c>
      <c r="W4" s="61">
        <f t="shared" ref="W4:W53" si="3">RSQ(K4:S4,$K$2:$S$2)</f>
        <v>0.97569511833595801</v>
      </c>
      <c r="X4" s="18">
        <f t="array" ref="X4:Y4">LINEST(B4:J4,$K$2:$S$2)</f>
        <v>-8.0946682242743637E-2</v>
      </c>
      <c r="Y4" s="65">
        <v>1.6258970874820786</v>
      </c>
      <c r="Z4" s="61">
        <f t="shared" ref="Z4:Z53" si="4">RSQ(B4:J4,$K$2:$S$2)</f>
        <v>0.97764658712491703</v>
      </c>
      <c r="AA4" s="61">
        <f t="shared" ref="AA4:AA53" si="5">RSQ(K4:S4,$B$2:$J$2)</f>
        <v>0.93125688482344582</v>
      </c>
      <c r="AB4" s="61">
        <f t="shared" ref="AB4:AB53" si="6">RSQ(B4:J4,$B$2:$J$2)</f>
        <v>0.92445389990061855</v>
      </c>
      <c r="AC4" s="18"/>
    </row>
    <row r="5" spans="1:29">
      <c r="A5" s="39" t="s">
        <v>28</v>
      </c>
      <c r="B5" s="46">
        <f>'[3]1990'!K$24</f>
        <v>1.3415278293817852</v>
      </c>
      <c r="C5" s="35">
        <f>'[3]1990'!L$24</f>
        <v>1.294272678161559</v>
      </c>
      <c r="D5" s="35">
        <f>'[3]1990'!M$24</f>
        <v>1.2586520691285787</v>
      </c>
      <c r="E5" s="35">
        <f>'[3]1990'!N$24</f>
        <v>1.2365714332480808</v>
      </c>
      <c r="F5" s="35">
        <f>'[3]1990'!O$24</f>
        <v>1.223033434941925</v>
      </c>
      <c r="G5" s="35">
        <f>'[3]1990'!P$24</f>
        <v>1.2143662823884371</v>
      </c>
      <c r="H5" s="35">
        <f>'[3]1990'!Q$24</f>
        <v>1.2079050813012584</v>
      </c>
      <c r="I5" s="35">
        <f>'[3]1990'!R$24</f>
        <v>1.2040907518677497</v>
      </c>
      <c r="J5" s="47">
        <f>'[3]1990'!S$24</f>
        <v>1.2022457558485753</v>
      </c>
      <c r="K5" s="46">
        <f t="shared" si="1"/>
        <v>0.29380913564174471</v>
      </c>
      <c r="L5" s="35">
        <f t="shared" si="0"/>
        <v>0.25794889888824546</v>
      </c>
      <c r="M5" s="35">
        <f t="shared" si="0"/>
        <v>0.23004136192758873</v>
      </c>
      <c r="N5" s="35">
        <f t="shared" si="0"/>
        <v>0.21234257683076316</v>
      </c>
      <c r="O5" s="35">
        <f t="shared" si="0"/>
        <v>0.20133419479571665</v>
      </c>
      <c r="P5" s="35">
        <f t="shared" si="0"/>
        <v>0.19422236244212251</v>
      </c>
      <c r="Q5" s="35">
        <f t="shared" si="0"/>
        <v>0.18888752134370002</v>
      </c>
      <c r="R5" s="35">
        <f t="shared" si="0"/>
        <v>0.18572471935149368</v>
      </c>
      <c r="S5" s="47">
        <f t="shared" si="0"/>
        <v>0.18419127099562579</v>
      </c>
      <c r="T5" s="65">
        <f t="array" ref="T5:U5">LINEST(K5:S5,$K$2:$S$2)</f>
        <v>-5.1997053378008064E-2</v>
      </c>
      <c r="U5" s="65">
        <v>0.41018978988057786</v>
      </c>
      <c r="V5" s="65">
        <f t="shared" si="2"/>
        <v>1.5071037910199978</v>
      </c>
      <c r="W5" s="61">
        <f t="shared" si="3"/>
        <v>0.98371017689910123</v>
      </c>
      <c r="X5" s="18">
        <f t="array" ref="X5:Y5">LINEST(B5:J5,$K$2:$S$2)</f>
        <v>-6.5768924897638248E-2</v>
      </c>
      <c r="Y5" s="65">
        <v>1.4875082956468746</v>
      </c>
      <c r="Z5" s="61">
        <f t="shared" si="4"/>
        <v>0.98116179361158051</v>
      </c>
      <c r="AA5" s="61">
        <f t="shared" si="5"/>
        <v>0.83646120462406204</v>
      </c>
      <c r="AB5" s="61">
        <f t="shared" si="6"/>
        <v>0.82677147983765287</v>
      </c>
      <c r="AC5" s="18"/>
    </row>
    <row r="6" spans="1:29">
      <c r="A6" s="39" t="s">
        <v>29</v>
      </c>
      <c r="B6" s="46">
        <f>'[4]1990'!K$24</f>
        <v>1.3256488796814541</v>
      </c>
      <c r="C6" s="35">
        <f>'[4]1990'!L$24</f>
        <v>1.2559543526404895</v>
      </c>
      <c r="D6" s="35">
        <f>'[4]1990'!M$24</f>
        <v>1.2254345337287071</v>
      </c>
      <c r="E6" s="35">
        <f>'[4]1990'!N$24</f>
        <v>1.2071976050807991</v>
      </c>
      <c r="F6" s="35">
        <f>'[4]1990'!O$24</f>
        <v>1.1972431356119253</v>
      </c>
      <c r="G6" s="35">
        <f>'[4]1990'!P$24</f>
        <v>1.1905977100287723</v>
      </c>
      <c r="H6" s="35">
        <f>'[4]1990'!Q$24</f>
        <v>1.1866052347068958</v>
      </c>
      <c r="I6" s="35">
        <f>'[4]1990'!R$24</f>
        <v>1.1828891685044345</v>
      </c>
      <c r="J6" s="47">
        <f>'[4]1990'!S$24</f>
        <v>1.1798759561696266</v>
      </c>
      <c r="K6" s="46">
        <f t="shared" si="1"/>
        <v>0.2819020600785343</v>
      </c>
      <c r="L6" s="35">
        <f t="shared" si="0"/>
        <v>0.22789572394646743</v>
      </c>
      <c r="M6" s="35">
        <f t="shared" si="0"/>
        <v>0.20329550250911396</v>
      </c>
      <c r="N6" s="35">
        <f t="shared" si="0"/>
        <v>0.18830164460671042</v>
      </c>
      <c r="O6" s="35">
        <f t="shared" si="0"/>
        <v>0.18002152676156466</v>
      </c>
      <c r="P6" s="35">
        <f t="shared" si="0"/>
        <v>0.17445545835950285</v>
      </c>
      <c r="Q6" s="35">
        <f t="shared" si="0"/>
        <v>0.1710964863503692</v>
      </c>
      <c r="R6" s="35">
        <f t="shared" si="0"/>
        <v>0.16795989379792817</v>
      </c>
      <c r="S6" s="47">
        <f t="shared" si="0"/>
        <v>0.16540931106173329</v>
      </c>
      <c r="T6" s="65">
        <f t="array" ref="T6:U6">LINEST(K6:S6,$K$2:$S$2)</f>
        <v>-5.1620213899479295E-2</v>
      </c>
      <c r="U6" s="65">
        <v>0.38787889949965637</v>
      </c>
      <c r="V6" s="65">
        <f t="shared" si="2"/>
        <v>1.473851289351874</v>
      </c>
      <c r="W6" s="61">
        <f t="shared" si="3"/>
        <v>0.95323602395425866</v>
      </c>
      <c r="X6" s="18">
        <f t="array" ref="X6:Y6">LINEST(B6:J6,$K$2:$S$2)</f>
        <v>-6.423820097117322E-2</v>
      </c>
      <c r="Y6" s="65">
        <v>1.4561153620255198</v>
      </c>
      <c r="Z6" s="61">
        <f t="shared" si="4"/>
        <v>0.94660056412872751</v>
      </c>
      <c r="AA6" s="61">
        <f t="shared" si="5"/>
        <v>0.75517870673269949</v>
      </c>
      <c r="AB6" s="61">
        <f t="shared" si="6"/>
        <v>0.74252219395285424</v>
      </c>
      <c r="AC6" s="18"/>
    </row>
    <row r="7" spans="1:29">
      <c r="A7" s="39" t="s">
        <v>30</v>
      </c>
      <c r="B7" s="46">
        <f>'[5]1990'!K$24</f>
        <v>1.2477771132817665</v>
      </c>
      <c r="C7" s="35">
        <f>'[5]1990'!L$24</f>
        <v>1.2113826246289119</v>
      </c>
      <c r="D7" s="35">
        <f>'[5]1990'!M$24</f>
        <v>1.1906802761982174</v>
      </c>
      <c r="E7" s="35">
        <f>'[5]1990'!N$24</f>
        <v>1.1790012375949392</v>
      </c>
      <c r="F7" s="35">
        <f>'[5]1990'!O$24</f>
        <v>1.1713810846497632</v>
      </c>
      <c r="G7" s="35">
        <f>'[5]1990'!P$24</f>
        <v>1.1661290473210653</v>
      </c>
      <c r="H7" s="35">
        <f>'[5]1990'!Q$24</f>
        <v>1.1614956058387502</v>
      </c>
      <c r="I7" s="35">
        <f>'[5]1990'!R$24</f>
        <v>1.158387437968984</v>
      </c>
      <c r="J7" s="47">
        <f>'[5]1990'!S$24</f>
        <v>1.1576149370541791</v>
      </c>
      <c r="K7" s="46">
        <f t="shared" si="1"/>
        <v>0.22136365887043755</v>
      </c>
      <c r="L7" s="35">
        <f t="shared" si="0"/>
        <v>0.19176237224648404</v>
      </c>
      <c r="M7" s="35">
        <f t="shared" si="0"/>
        <v>0.17452480445849311</v>
      </c>
      <c r="N7" s="35">
        <f t="shared" si="0"/>
        <v>0.16466767125352877</v>
      </c>
      <c r="O7" s="35">
        <f t="shared" si="0"/>
        <v>0.15818346689912313</v>
      </c>
      <c r="P7" s="35">
        <f t="shared" si="0"/>
        <v>0.15368975703672344</v>
      </c>
      <c r="Q7" s="35">
        <f t="shared" si="0"/>
        <v>0.14970849004316816</v>
      </c>
      <c r="R7" s="35">
        <f t="shared" si="0"/>
        <v>0.14702889829578444</v>
      </c>
      <c r="S7" s="47">
        <f t="shared" si="0"/>
        <v>0.14636179971956173</v>
      </c>
      <c r="T7" s="65">
        <f t="array" ref="T7:U7">LINEST(K7:S7,$K$2:$S$2)</f>
        <v>-3.4423258889040916E-2</v>
      </c>
      <c r="U7" s="65">
        <v>0.29570376503940116</v>
      </c>
      <c r="V7" s="65">
        <f t="shared" si="2"/>
        <v>1.3440719367543839</v>
      </c>
      <c r="W7" s="61">
        <f t="shared" si="3"/>
        <v>0.9794160832720965</v>
      </c>
      <c r="X7" s="18">
        <f t="array" ref="X7:Y7">LINEST(B7:J7,$K$2:$S$2)</f>
        <v>-4.124051593053283E-2</v>
      </c>
      <c r="Y7" s="65">
        <v>1.336271278838896</v>
      </c>
      <c r="Z7" s="61">
        <f t="shared" si="4"/>
        <v>0.97658845726490795</v>
      </c>
      <c r="AA7" s="61">
        <f t="shared" si="5"/>
        <v>0.81496595541490879</v>
      </c>
      <c r="AB7" s="61">
        <f t="shared" si="6"/>
        <v>0.80730998776669105</v>
      </c>
      <c r="AC7" s="18"/>
    </row>
    <row r="8" spans="1:29">
      <c r="A8" s="39" t="s">
        <v>31</v>
      </c>
      <c r="B8" s="44">
        <f>'[6]1990'!K$24</f>
        <v>1.3646366473808837</v>
      </c>
      <c r="C8" s="36">
        <f>'[6]1990'!L$24</f>
        <v>1.2900410771009638</v>
      </c>
      <c r="D8" s="36">
        <f>'[6]1990'!M$24</f>
        <v>1.2583972025018251</v>
      </c>
      <c r="E8" s="36">
        <f>'[6]1990'!N$24</f>
        <v>1.2387012717627792</v>
      </c>
      <c r="F8" s="36">
        <f>'[6]1990'!O$24</f>
        <v>1.2253877729576721</v>
      </c>
      <c r="G8" s="36">
        <f>'[6]1990'!P$24</f>
        <v>1.2193290088717623</v>
      </c>
      <c r="H8" s="36">
        <f>'[6]1990'!Q$24</f>
        <v>1.2177488971903101</v>
      </c>
      <c r="I8" s="36">
        <f>'[6]1990'!R$24</f>
        <v>1.217383629587133</v>
      </c>
      <c r="J8" s="45">
        <f>'[6]1990'!S$24</f>
        <v>1.2165063980151767</v>
      </c>
      <c r="K8" s="46">
        <f t="shared" si="1"/>
        <v>0.31088820080648194</v>
      </c>
      <c r="L8" s="35">
        <f t="shared" si="0"/>
        <v>0.25467406058053776</v>
      </c>
      <c r="M8" s="35">
        <f t="shared" si="0"/>
        <v>0.22983884969988044</v>
      </c>
      <c r="N8" s="35">
        <f t="shared" si="0"/>
        <v>0.21406346926900482</v>
      </c>
      <c r="O8" s="35">
        <f t="shared" si="0"/>
        <v>0.20325734325871611</v>
      </c>
      <c r="P8" s="35">
        <f t="shared" si="0"/>
        <v>0.19830071471562205</v>
      </c>
      <c r="Q8" s="35">
        <f t="shared" si="0"/>
        <v>0.19700398809154906</v>
      </c>
      <c r="R8" s="35">
        <f t="shared" si="0"/>
        <v>0.19670398995847005</v>
      </c>
      <c r="S8" s="47">
        <f t="shared" si="0"/>
        <v>0.1959831425906815</v>
      </c>
      <c r="T8" s="65">
        <f t="array" ref="T8:U8">LINEST(K8:S8,$K$2:$S$2)</f>
        <v>-5.1861107063606283E-2</v>
      </c>
      <c r="U8" s="65">
        <v>0.41548469031141316</v>
      </c>
      <c r="V8" s="65">
        <f t="shared" si="2"/>
        <v>1.5151049194282364</v>
      </c>
      <c r="W8" s="61">
        <f t="shared" si="3"/>
        <v>0.93174055401913491</v>
      </c>
      <c r="X8" s="18">
        <f t="array" ref="X8:Y8">LINEST(B8:J8,$K$2:$S$2)</f>
        <v>-6.6389873097518842E-2</v>
      </c>
      <c r="Y8" s="65">
        <v>1.4970953995853851</v>
      </c>
      <c r="Z8" s="61">
        <f t="shared" si="4"/>
        <v>0.92528083178221865</v>
      </c>
      <c r="AA8" s="61">
        <f t="shared" si="5"/>
        <v>0.71312061279763905</v>
      </c>
      <c r="AB8" s="61">
        <f t="shared" si="6"/>
        <v>0.70185243004482767</v>
      </c>
      <c r="AC8" s="18"/>
    </row>
    <row r="9" spans="1:29">
      <c r="A9" s="39" t="s">
        <v>32</v>
      </c>
      <c r="B9" s="44">
        <f>'[7]1990'!K$24</f>
        <v>1.3161081482175765</v>
      </c>
      <c r="C9" s="36">
        <f>'[7]1990'!L$24</f>
        <v>1.2599015853713202</v>
      </c>
      <c r="D9" s="36">
        <f>'[7]1990'!M$24</f>
        <v>1.2318699042857018</v>
      </c>
      <c r="E9" s="36">
        <f>'[7]1990'!N$24</f>
        <v>1.2103694059250167</v>
      </c>
      <c r="F9" s="36">
        <f>'[7]1990'!O$24</f>
        <v>1.1982844246373678</v>
      </c>
      <c r="G9" s="36">
        <f>'[7]1990'!P$24</f>
        <v>1.1888054867962321</v>
      </c>
      <c r="H9" s="36">
        <f>'[7]1990'!Q$24</f>
        <v>1.1815739484059185</v>
      </c>
      <c r="I9" s="36">
        <f>'[7]1990'!R$24</f>
        <v>1.1760459405189148</v>
      </c>
      <c r="J9" s="45">
        <f>'[7]1990'!S$24</f>
        <v>1.1721614975084573</v>
      </c>
      <c r="K9" s="46">
        <f t="shared" si="1"/>
        <v>0.27467900902321429</v>
      </c>
      <c r="L9" s="35">
        <f t="shared" si="0"/>
        <v>0.23103361106472939</v>
      </c>
      <c r="M9" s="35">
        <f t="shared" si="0"/>
        <v>0.20853326236485764</v>
      </c>
      <c r="N9" s="35">
        <f t="shared" si="0"/>
        <v>0.19092560716877899</v>
      </c>
      <c r="O9" s="35">
        <f t="shared" si="0"/>
        <v>0.18089088773933362</v>
      </c>
      <c r="P9" s="35">
        <f t="shared" si="0"/>
        <v>0.1729490103780352</v>
      </c>
      <c r="Q9" s="35">
        <f t="shared" si="0"/>
        <v>0.16684740426509817</v>
      </c>
      <c r="R9" s="35">
        <f t="shared" si="0"/>
        <v>0.16215791378051969</v>
      </c>
      <c r="S9" s="47">
        <f t="shared" si="0"/>
        <v>0.15884947817067663</v>
      </c>
      <c r="T9" s="65">
        <f t="array" ref="T9:U9">LINEST(K9:S9,$K$2:$S$2)</f>
        <v>-5.2905081114732598E-2</v>
      </c>
      <c r="U9" s="65">
        <v>0.39116821836350923</v>
      </c>
      <c r="V9" s="65">
        <f t="shared" si="2"/>
        <v>1.4787072382042419</v>
      </c>
      <c r="W9" s="61">
        <f t="shared" si="3"/>
        <v>0.98984038034532928</v>
      </c>
      <c r="X9" s="18">
        <f t="array" ref="X9:Y9">LINEST(B9:J9,$K$2:$S$2)</f>
        <v>-6.5465729603470663E-2</v>
      </c>
      <c r="Y9" s="65">
        <v>1.458873892854464</v>
      </c>
      <c r="Z9" s="61">
        <f t="shared" si="4"/>
        <v>0.98648696655906132</v>
      </c>
      <c r="AA9" s="61">
        <f t="shared" si="5"/>
        <v>0.84721627479120543</v>
      </c>
      <c r="AB9" s="61">
        <f t="shared" si="6"/>
        <v>0.83569220773305453</v>
      </c>
      <c r="AC9" s="18"/>
    </row>
    <row r="10" spans="1:29">
      <c r="A10" s="39" t="s">
        <v>33</v>
      </c>
      <c r="B10" s="44">
        <f>'[8]1990'!K$24</f>
        <v>1.3893578112622955</v>
      </c>
      <c r="C10" s="36">
        <f>'[8]1990'!L$24</f>
        <v>1.3333596227484068</v>
      </c>
      <c r="D10" s="36">
        <f>'[8]1990'!M$24</f>
        <v>1.3042447050757657</v>
      </c>
      <c r="E10" s="36">
        <f>'[8]1990'!N$24</f>
        <v>1.2903500317173222</v>
      </c>
      <c r="F10" s="36">
        <f>'[8]1990'!O$24</f>
        <v>1.2812488239067774</v>
      </c>
      <c r="G10" s="36">
        <f>'[8]1990'!P$24</f>
        <v>1.2773637699667473</v>
      </c>
      <c r="H10" s="36">
        <f>'[8]1990'!Q$24</f>
        <v>1.2731009316004391</v>
      </c>
      <c r="I10" s="36">
        <f>'[8]1990'!R$24</f>
        <v>1.2694061423644654</v>
      </c>
      <c r="J10" s="45">
        <f>'[8]1990'!S$24</f>
        <v>1.2651549601619831</v>
      </c>
      <c r="K10" s="46">
        <f t="shared" si="1"/>
        <v>0.32884163409869471</v>
      </c>
      <c r="L10" s="35">
        <f t="shared" si="0"/>
        <v>0.28770178931870732</v>
      </c>
      <c r="M10" s="35">
        <f t="shared" si="0"/>
        <v>0.26562410316573032</v>
      </c>
      <c r="N10" s="35">
        <f t="shared" si="0"/>
        <v>0.2549135239834141</v>
      </c>
      <c r="O10" s="35">
        <f t="shared" si="0"/>
        <v>0.24783524597774234</v>
      </c>
      <c r="P10" s="35">
        <f t="shared" si="0"/>
        <v>0.24479839941868317</v>
      </c>
      <c r="Q10" s="35">
        <f t="shared" si="0"/>
        <v>0.24145560284266812</v>
      </c>
      <c r="R10" s="35">
        <f t="shared" si="0"/>
        <v>0.23854918667202296</v>
      </c>
      <c r="S10" s="47">
        <f t="shared" si="0"/>
        <v>0.23519461282896298</v>
      </c>
      <c r="T10" s="65">
        <f t="array" ref="T10:U10">LINEST(K10:S10,$K$2:$S$2)</f>
        <v>-4.1237956383283952E-2</v>
      </c>
      <c r="U10" s="65">
        <v>0.41415782602886075</v>
      </c>
      <c r="V10" s="65">
        <f t="shared" si="2"/>
        <v>1.5130959139598767</v>
      </c>
      <c r="W10" s="61">
        <f t="shared" si="3"/>
        <v>0.95629782037620581</v>
      </c>
      <c r="X10" s="18">
        <f t="array" ref="X10:Y10">LINEST(B10:J10,$K$2:$S$2)</f>
        <v>-5.4487110116819934E-2</v>
      </c>
      <c r="Y10" s="65">
        <v>1.5011413611161961</v>
      </c>
      <c r="Z10" s="61">
        <f t="shared" si="4"/>
        <v>0.95126831545828527</v>
      </c>
      <c r="AA10" s="61">
        <f t="shared" si="5"/>
        <v>0.76310604964742335</v>
      </c>
      <c r="AB10" s="61">
        <f t="shared" si="6"/>
        <v>0.7530519368219496</v>
      </c>
      <c r="AC10" s="18"/>
    </row>
    <row r="11" spans="1:29">
      <c r="A11" s="39" t="s">
        <v>34</v>
      </c>
      <c r="B11" s="44">
        <f>'[9]1990'!K$24</f>
        <v>1.2715517925951088</v>
      </c>
      <c r="C11" s="36">
        <f>'[9]1990'!L$24</f>
        <v>1.2159000774329085</v>
      </c>
      <c r="D11" s="36">
        <f>'[9]1990'!M$24</f>
        <v>1.18896059886234</v>
      </c>
      <c r="E11" s="36">
        <f>'[9]1990'!N$24</f>
        <v>1.173938239626513</v>
      </c>
      <c r="F11" s="36">
        <f>'[9]1990'!O$24</f>
        <v>1.1648731509913355</v>
      </c>
      <c r="G11" s="36">
        <f>'[9]1990'!P$24</f>
        <v>1.1600264575735515</v>
      </c>
      <c r="H11" s="36">
        <f>'[9]1990'!Q$24</f>
        <v>1.1559276711164435</v>
      </c>
      <c r="I11" s="36">
        <f>'[9]1990'!R$24</f>
        <v>1.153029011882468</v>
      </c>
      <c r="J11" s="45">
        <f>'[9]1990'!S$24</f>
        <v>1.1515515188480558</v>
      </c>
      <c r="K11" s="46">
        <f t="shared" si="1"/>
        <v>0.24023803851101769</v>
      </c>
      <c r="L11" s="35">
        <f t="shared" si="0"/>
        <v>0.19548460700384931</v>
      </c>
      <c r="M11" s="35">
        <f t="shared" si="0"/>
        <v>0.17307947911275509</v>
      </c>
      <c r="N11" s="35">
        <f t="shared" si="0"/>
        <v>0.16036411323039235</v>
      </c>
      <c r="O11" s="35">
        <f t="shared" si="0"/>
        <v>0.15261219782021046</v>
      </c>
      <c r="P11" s="35">
        <f t="shared" si="0"/>
        <v>0.14844281311123067</v>
      </c>
      <c r="Q11" s="35">
        <f t="shared" si="0"/>
        <v>0.14490320005434112</v>
      </c>
      <c r="R11" s="35">
        <f t="shared" si="0"/>
        <v>0.142392403054029</v>
      </c>
      <c r="S11" s="47">
        <f t="shared" si="0"/>
        <v>0.14111017991872188</v>
      </c>
      <c r="T11" s="65">
        <f t="array" ref="T11:U11">LINEST(K11:S11,$K$2:$S$2)</f>
        <v>-4.4462372466209037E-2</v>
      </c>
      <c r="U11" s="65">
        <v>0.33213691309362853</v>
      </c>
      <c r="V11" s="65">
        <f t="shared" si="2"/>
        <v>1.3939436845904409</v>
      </c>
      <c r="W11" s="61">
        <f t="shared" si="3"/>
        <v>0.95475770264550808</v>
      </c>
      <c r="X11" s="18">
        <f t="array" ref="X11:Y11">LINEST(B11:J11,$K$2:$S$2)</f>
        <v>-5.3557562803568472E-2</v>
      </c>
      <c r="Y11" s="65">
        <v>1.3812534233056599</v>
      </c>
      <c r="Z11" s="61">
        <f t="shared" si="4"/>
        <v>0.94941805554911451</v>
      </c>
      <c r="AA11" s="61">
        <f t="shared" si="5"/>
        <v>0.75743918271413624</v>
      </c>
      <c r="AB11" s="61">
        <f t="shared" si="6"/>
        <v>0.74694852475868845</v>
      </c>
      <c r="AC11" s="18"/>
    </row>
    <row r="12" spans="1:29">
      <c r="A12" s="39" t="s">
        <v>35</v>
      </c>
      <c r="B12" s="44">
        <f>'[10]1990'!K$24</f>
        <v>1.3154052160541856</v>
      </c>
      <c r="C12" s="36">
        <f>'[10]1990'!L$24</f>
        <v>1.2574617832246402</v>
      </c>
      <c r="D12" s="36">
        <f>'[10]1990'!M$24</f>
        <v>1.2256372712216081</v>
      </c>
      <c r="E12" s="36">
        <f>'[10]1990'!N$24</f>
        <v>1.2064902089048501</v>
      </c>
      <c r="F12" s="36">
        <f>'[10]1990'!O$24</f>
        <v>1.1931736027090176</v>
      </c>
      <c r="G12" s="36">
        <f>'[10]1990'!P$24</f>
        <v>1.1841867800130694</v>
      </c>
      <c r="H12" s="36">
        <f>'[10]1990'!Q$24</f>
        <v>1.1786599793271293</v>
      </c>
      <c r="I12" s="36">
        <f>'[10]1990'!R$24</f>
        <v>1.1744125033260115</v>
      </c>
      <c r="J12" s="45">
        <f>'[10]1990'!S$24</f>
        <v>1.1706400753910029</v>
      </c>
      <c r="K12" s="46">
        <f t="shared" si="1"/>
        <v>0.27414476725218356</v>
      </c>
      <c r="L12" s="35">
        <f t="shared" si="0"/>
        <v>0.22909523145609439</v>
      </c>
      <c r="M12" s="35">
        <f t="shared" si="0"/>
        <v>0.20346093013384031</v>
      </c>
      <c r="N12" s="35">
        <f t="shared" si="0"/>
        <v>0.18771549076187283</v>
      </c>
      <c r="O12" s="35">
        <f t="shared" si="0"/>
        <v>0.17661665030697993</v>
      </c>
      <c r="P12" s="35">
        <f t="shared" si="0"/>
        <v>0.16905627740947321</v>
      </c>
      <c r="Q12" s="35">
        <f t="shared" si="0"/>
        <v>0.16437818244339455</v>
      </c>
      <c r="R12" s="35">
        <f t="shared" si="0"/>
        <v>0.16076802538650414</v>
      </c>
      <c r="S12" s="47">
        <f t="shared" si="0"/>
        <v>0.15755067220355837</v>
      </c>
      <c r="T12" s="65">
        <f t="array" ref="T12:U12">LINEST(K12:S12,$K$2:$S$2)</f>
        <v>-5.3271655170247435E-2</v>
      </c>
      <c r="U12" s="65">
        <v>0.38985815978766414</v>
      </c>
      <c r="V12" s="65">
        <f t="shared" si="2"/>
        <v>1.4767713134699465</v>
      </c>
      <c r="W12" s="61">
        <f t="shared" si="3"/>
        <v>0.98213601957707286</v>
      </c>
      <c r="X12" s="18">
        <f t="array" ref="X12:Y12">LINEST(B12:J12,$K$2:$S$2)</f>
        <v>-6.5828528254664911E-2</v>
      </c>
      <c r="Y12" s="65">
        <v>1.4569972192035294</v>
      </c>
      <c r="Z12" s="61">
        <f t="shared" si="4"/>
        <v>0.97798467648014353</v>
      </c>
      <c r="AA12" s="61">
        <f t="shared" si="5"/>
        <v>0.82241841835777962</v>
      </c>
      <c r="AB12" s="61">
        <f t="shared" si="6"/>
        <v>0.81070213150483939</v>
      </c>
      <c r="AC12" s="18"/>
    </row>
    <row r="13" spans="1:29">
      <c r="A13" s="39" t="s">
        <v>62</v>
      </c>
      <c r="B13" s="44">
        <f>'[11]1990'!K$24</f>
        <v>1.3709373164482086</v>
      </c>
      <c r="C13" s="36">
        <f>'[11]1990'!L$24</f>
        <v>1.3167418120985259</v>
      </c>
      <c r="D13" s="36">
        <f>'[11]1990'!M$24</f>
        <v>1.2795054806790753</v>
      </c>
      <c r="E13" s="36">
        <f>'[11]1990'!N$24</f>
        <v>1.2511891343902113</v>
      </c>
      <c r="F13" s="36">
        <f>'[11]1990'!O$24</f>
        <v>1.2332624692753114</v>
      </c>
      <c r="G13" s="36">
        <f>'[11]1990'!P$24</f>
        <v>1.2187551799905612</v>
      </c>
      <c r="H13" s="36">
        <f>'[11]1990'!Q$24</f>
        <v>1.2086201083246289</v>
      </c>
      <c r="I13" s="36">
        <f>'[11]1990'!R$24</f>
        <v>1.20062304078927</v>
      </c>
      <c r="J13" s="45">
        <f>'[11]1990'!S$24</f>
        <v>1.1935432741418819</v>
      </c>
      <c r="K13" s="46">
        <f t="shared" si="1"/>
        <v>0.31549467849059759</v>
      </c>
      <c r="L13" s="35">
        <f t="shared" si="0"/>
        <v>0.27516036109624192</v>
      </c>
      <c r="M13" s="35">
        <f t="shared" si="0"/>
        <v>0.24647366006228422</v>
      </c>
      <c r="N13" s="35">
        <f t="shared" si="0"/>
        <v>0.22409440662015617</v>
      </c>
      <c r="O13" s="35">
        <f t="shared" si="0"/>
        <v>0.2096630719869905</v>
      </c>
      <c r="P13" s="35">
        <f t="shared" si="0"/>
        <v>0.19782999356955316</v>
      </c>
      <c r="Q13" s="35">
        <f t="shared" si="0"/>
        <v>0.18947930250725437</v>
      </c>
      <c r="R13" s="35">
        <f t="shared" si="0"/>
        <v>0.18284062271365345</v>
      </c>
      <c r="S13" s="47">
        <f t="shared" si="0"/>
        <v>0.17692642432283065</v>
      </c>
      <c r="T13" s="65">
        <f t="array" ref="T13:U13">LINEST(K13:S13,$K$2:$S$2)</f>
        <v>-6.4915952712526745E-2</v>
      </c>
      <c r="U13" s="65">
        <v>0.46603065486897671</v>
      </c>
      <c r="V13" s="65">
        <f t="shared" si="2"/>
        <v>1.5936558519110309</v>
      </c>
      <c r="W13" s="61">
        <f t="shared" si="3"/>
        <v>0.99744998150927877</v>
      </c>
      <c r="X13" s="18">
        <f t="array" ref="X13:Y13">LINEST(B13:J13,$K$2:$S$2)</f>
        <v>-8.2830451430332366E-2</v>
      </c>
      <c r="Y13" s="65">
        <v>1.5611196033145678</v>
      </c>
      <c r="Z13" s="61">
        <f t="shared" si="4"/>
        <v>0.99678557303851867</v>
      </c>
      <c r="AA13" s="61">
        <f t="shared" si="5"/>
        <v>0.89959139871654736</v>
      </c>
      <c r="AB13" s="61">
        <f t="shared" si="6"/>
        <v>0.88822773845388792</v>
      </c>
      <c r="AC13" s="18"/>
    </row>
    <row r="14" spans="1:29">
      <c r="A14" s="39" t="s">
        <v>36</v>
      </c>
      <c r="B14" s="44">
        <f>'[12]1990'!K$24</f>
        <v>1.3838943275761848</v>
      </c>
      <c r="C14" s="36">
        <f>'[12]1990'!L$24</f>
        <v>1.3695766278756532</v>
      </c>
      <c r="D14" s="36">
        <f>'[12]1990'!M$24</f>
        <v>1.3549453384351537</v>
      </c>
      <c r="E14" s="36">
        <f>'[12]1990'!N$24</f>
        <v>1.3407119414349367</v>
      </c>
      <c r="F14" s="36">
        <f>'[12]1990'!O$24</f>
        <v>1.3310249643517464</v>
      </c>
      <c r="G14" s="36">
        <f>'[12]1990'!P$24</f>
        <v>1.3233890487857078</v>
      </c>
      <c r="H14" s="36">
        <f>'[12]1990'!Q$24</f>
        <v>1.3199025271396674</v>
      </c>
      <c r="I14" s="36">
        <f>'[12]1990'!R$24</f>
        <v>1.3213862630598945</v>
      </c>
      <c r="J14" s="45">
        <f>'[12]1990'!S$24</f>
        <v>1.3240785487461841</v>
      </c>
      <c r="K14" s="46">
        <f t="shared" si="1"/>
        <v>0.32490150137306528</v>
      </c>
      <c r="L14" s="35">
        <f t="shared" si="0"/>
        <v>0.31450166133249385</v>
      </c>
      <c r="M14" s="35">
        <f t="shared" si="0"/>
        <v>0.30376111287969587</v>
      </c>
      <c r="N14" s="35">
        <f t="shared" si="0"/>
        <v>0.29320077245148168</v>
      </c>
      <c r="O14" s="35">
        <f t="shared" si="0"/>
        <v>0.2859492953240434</v>
      </c>
      <c r="P14" s="35">
        <f t="shared" si="0"/>
        <v>0.28019590750166806</v>
      </c>
      <c r="Q14" s="35">
        <f t="shared" si="0"/>
        <v>0.27755789079573578</v>
      </c>
      <c r="R14" s="35">
        <f t="shared" si="0"/>
        <v>0.27868138481259719</v>
      </c>
      <c r="S14" s="47">
        <f t="shared" si="0"/>
        <v>0.28071678260261973</v>
      </c>
      <c r="T14" s="65">
        <f t="array" ref="T14:U14">LINEST(K14:S14,$K$2:$S$2)</f>
        <v>-2.3583693583643248E-2</v>
      </c>
      <c r="U14" s="65">
        <v>0.38112353746947025</v>
      </c>
      <c r="V14" s="65">
        <f t="shared" si="2"/>
        <v>1.4639284442548006</v>
      </c>
      <c r="W14" s="61">
        <f t="shared" si="3"/>
        <v>0.9578472824236699</v>
      </c>
      <c r="X14" s="18">
        <f t="array" ref="X14:Y14">LINEST(B14:J14,$K$2:$S$2)</f>
        <v>-3.1838678038078397E-2</v>
      </c>
      <c r="Y14" s="65">
        <v>1.4595893599691681</v>
      </c>
      <c r="Z14" s="61">
        <f t="shared" si="4"/>
        <v>0.95853737009531603</v>
      </c>
      <c r="AA14" s="61">
        <f t="shared" si="5"/>
        <v>0.84767105417332533</v>
      </c>
      <c r="AB14" s="61">
        <f t="shared" si="6"/>
        <v>0.84561529502101507</v>
      </c>
      <c r="AC14" s="18"/>
    </row>
    <row r="15" spans="1:29">
      <c r="A15" s="39" t="s">
        <v>37</v>
      </c>
      <c r="B15" s="44">
        <f>'[13]1990'!K$24</f>
        <v>1.2961889465742875</v>
      </c>
      <c r="C15" s="36">
        <f>'[13]1990'!L$24</f>
        <v>1.244115595775388</v>
      </c>
      <c r="D15" s="36">
        <f>'[13]1990'!M$24</f>
        <v>1.2210672341555926</v>
      </c>
      <c r="E15" s="36">
        <f>'[13]1990'!N$24</f>
        <v>1.2045476702347175</v>
      </c>
      <c r="F15" s="36">
        <f>'[13]1990'!O$24</f>
        <v>1.1948625976389575</v>
      </c>
      <c r="G15" s="36">
        <f>'[13]1990'!P$24</f>
        <v>1.1890981300925036</v>
      </c>
      <c r="H15" s="36">
        <f>'[13]1990'!Q$24</f>
        <v>1.1857996728322051</v>
      </c>
      <c r="I15" s="36">
        <f>'[13]1990'!R$24</f>
        <v>1.1834504180945258</v>
      </c>
      <c r="J15" s="45">
        <f>'[13]1990'!S$24</f>
        <v>1.1815111634315267</v>
      </c>
      <c r="K15" s="46">
        <f t="shared" si="1"/>
        <v>0.25942837941323588</v>
      </c>
      <c r="L15" s="35">
        <f t="shared" si="0"/>
        <v>0.21842491264897151</v>
      </c>
      <c r="M15" s="35">
        <f t="shared" si="0"/>
        <v>0.19972525844105077</v>
      </c>
      <c r="N15" s="35">
        <f t="shared" si="0"/>
        <v>0.18610411907231175</v>
      </c>
      <c r="O15" s="35">
        <f t="shared" si="0"/>
        <v>0.17803119771738005</v>
      </c>
      <c r="P15" s="35">
        <f t="shared" si="0"/>
        <v>0.17319514592000629</v>
      </c>
      <c r="Q15" s="35">
        <f t="shared" si="0"/>
        <v>0.17041737638639085</v>
      </c>
      <c r="R15" s="35">
        <f t="shared" si="0"/>
        <v>0.16843425479310742</v>
      </c>
      <c r="S15" s="47">
        <f t="shared" si="0"/>
        <v>0.16679426612454457</v>
      </c>
      <c r="T15" s="65">
        <f t="array" ref="T15:U15">LINEST(K15:S15,$K$2:$S$2)</f>
        <v>-4.1882620369021177E-2</v>
      </c>
      <c r="U15" s="65">
        <v>0.34718596297223181</v>
      </c>
      <c r="V15" s="65">
        <f t="shared" si="2"/>
        <v>1.4150798533591149</v>
      </c>
      <c r="W15" s="61">
        <f t="shared" si="3"/>
        <v>0.96306153559940733</v>
      </c>
      <c r="X15" s="18">
        <f t="array" ref="X15:Y15">LINEST(B15:J15,$K$2:$S$2)</f>
        <v>-5.161028172428371E-2</v>
      </c>
      <c r="Y15" s="65">
        <v>1.4034312155282682</v>
      </c>
      <c r="Z15" s="61">
        <f t="shared" si="4"/>
        <v>0.95858507768893109</v>
      </c>
      <c r="AA15" s="61">
        <f t="shared" si="5"/>
        <v>0.774930822778507</v>
      </c>
      <c r="AB15" s="61">
        <f t="shared" si="6"/>
        <v>0.76531932137395775</v>
      </c>
      <c r="AC15" s="18"/>
    </row>
    <row r="16" spans="1:29">
      <c r="A16" s="39" t="s">
        <v>80</v>
      </c>
      <c r="B16" s="44">
        <f>'[14]1990'!K$24</f>
        <v>1.3348754820096862</v>
      </c>
      <c r="C16" s="36">
        <f>'[14]1990'!L$24</f>
        <v>1.2817605615059422</v>
      </c>
      <c r="D16" s="36">
        <f>'[14]1990'!M$24</f>
        <v>1.2544780223802419</v>
      </c>
      <c r="E16" s="36">
        <f>'[14]1990'!N$24</f>
        <v>1.2419710808941744</v>
      </c>
      <c r="F16" s="36">
        <f>'[14]1990'!O$24</f>
        <v>1.233456986217629</v>
      </c>
      <c r="G16" s="36">
        <f>'[14]1990'!P$24</f>
        <v>1.2279984552443621</v>
      </c>
      <c r="H16" s="36">
        <f>'[14]1990'!Q$24</f>
        <v>1.224997316832088</v>
      </c>
      <c r="I16" s="36">
        <f>'[14]1990'!R$24</f>
        <v>1.2239079252730434</v>
      </c>
      <c r="J16" s="45">
        <f>'[14]1990'!S$24</f>
        <v>1.2232412513078061</v>
      </c>
      <c r="K16" s="46">
        <f t="shared" si="1"/>
        <v>0.28883801559926164</v>
      </c>
      <c r="L16" s="35">
        <f t="shared" si="0"/>
        <v>0.24823457155873904</v>
      </c>
      <c r="M16" s="35">
        <f t="shared" si="0"/>
        <v>0.22671956764357176</v>
      </c>
      <c r="N16" s="35">
        <f t="shared" si="0"/>
        <v>0.216699698935996</v>
      </c>
      <c r="O16" s="35">
        <f t="shared" si="0"/>
        <v>0.20982078505183674</v>
      </c>
      <c r="P16" s="35">
        <f t="shared" si="0"/>
        <v>0.205385571779829</v>
      </c>
      <c r="Q16" s="35">
        <f t="shared" si="0"/>
        <v>0.20293865365313887</v>
      </c>
      <c r="R16" s="35">
        <f t="shared" si="0"/>
        <v>0.20204895681050553</v>
      </c>
      <c r="S16" s="47">
        <f t="shared" si="0"/>
        <v>0.20150409915482173</v>
      </c>
      <c r="T16" s="65">
        <f t="array" ref="T16:U16">LINEST(K16:S16,$K$2:$S$2)</f>
        <v>-3.9365420638550135E-2</v>
      </c>
      <c r="U16" s="65">
        <v>0.36910214672879432</v>
      </c>
      <c r="V16" s="65">
        <f t="shared" si="2"/>
        <v>1.4464353447678571</v>
      </c>
      <c r="W16" s="61">
        <f t="shared" si="3"/>
        <v>0.94179888113797117</v>
      </c>
      <c r="X16" s="18">
        <f t="array" ref="X16:Y16">LINEST(B16:J16,$K$2:$S$2)</f>
        <v>-5.0072463693017703E-2</v>
      </c>
      <c r="Y16" s="65">
        <v>1.4361523443985424</v>
      </c>
      <c r="Z16" s="61">
        <f t="shared" si="4"/>
        <v>0.93690543255824288</v>
      </c>
      <c r="AA16" s="61">
        <f t="shared" si="5"/>
        <v>0.73167768895648566</v>
      </c>
      <c r="AB16" s="61">
        <f t="shared" si="6"/>
        <v>0.72274484937648931</v>
      </c>
      <c r="AC16" s="18"/>
    </row>
    <row r="17" spans="1:29">
      <c r="A17" s="39" t="s">
        <v>58</v>
      </c>
      <c r="B17" s="44">
        <f>'[15]1990'!K$24</f>
        <v>1.3770423338795401</v>
      </c>
      <c r="C17" s="36">
        <f>'[15]1990'!L$24</f>
        <v>1.3279800701748417</v>
      </c>
      <c r="D17" s="36">
        <f>'[15]1990'!M$24</f>
        <v>1.312046755370444</v>
      </c>
      <c r="E17" s="36">
        <f>'[15]1990'!N$24</f>
        <v>1.3127863353875946</v>
      </c>
      <c r="F17" s="36">
        <f>'[15]1990'!O$24</f>
        <v>1.3266315300264815</v>
      </c>
      <c r="G17" s="36">
        <f>'[15]1990'!P$24</f>
        <v>1.346740351144762</v>
      </c>
      <c r="H17" s="36">
        <f>'[15]1990'!Q$24</f>
        <v>1.3587189631498593</v>
      </c>
      <c r="I17" s="36">
        <f>'[15]1990'!R$24</f>
        <v>1.366151779003018</v>
      </c>
      <c r="J17" s="45">
        <f>'[15]1990'!S$24</f>
        <v>1.3692372738659986</v>
      </c>
      <c r="K17" s="46">
        <f t="shared" si="1"/>
        <v>0.31993796283207077</v>
      </c>
      <c r="L17" s="35">
        <f t="shared" si="0"/>
        <v>0.28365904354316734</v>
      </c>
      <c r="M17" s="35">
        <f t="shared" si="0"/>
        <v>0.27158832660220211</v>
      </c>
      <c r="N17" s="35">
        <f t="shared" si="0"/>
        <v>0.27215185198545516</v>
      </c>
      <c r="O17" s="35">
        <f t="shared" si="0"/>
        <v>0.28264304537284318</v>
      </c>
      <c r="P17" s="35">
        <f t="shared" si="0"/>
        <v>0.29768711800467795</v>
      </c>
      <c r="Q17" s="35">
        <f t="shared" si="0"/>
        <v>0.30654231698437973</v>
      </c>
      <c r="R17" s="35">
        <f t="shared" si="0"/>
        <v>0.31199786698418225</v>
      </c>
      <c r="S17" s="47">
        <f t="shared" si="0"/>
        <v>0.31425385040150988</v>
      </c>
      <c r="T17" s="65">
        <f t="array" ref="T17:U17">LINEST(K17:S17,$K$2:$S$2)</f>
        <v>2.9029294563269175E-3</v>
      </c>
      <c r="U17" s="65">
        <v>0.28479337797715321</v>
      </c>
      <c r="V17" s="65">
        <f t="shared" si="2"/>
        <v>1.3294872983849029</v>
      </c>
      <c r="W17" s="61">
        <f t="shared" si="3"/>
        <v>1.2590338158446596E-2</v>
      </c>
      <c r="X17" s="18">
        <f t="array" ref="X17:Y17">LINEST(B17:J17,$K$2:$S$2)</f>
        <v>3.8017769855945857E-3</v>
      </c>
      <c r="Y17" s="65">
        <v>1.3299867181988838</v>
      </c>
      <c r="Z17" s="61">
        <f t="shared" si="4"/>
        <v>1.1970982860141623E-2</v>
      </c>
      <c r="AA17" s="61">
        <f t="shared" si="5"/>
        <v>0.14967197125124534</v>
      </c>
      <c r="AB17" s="61">
        <f t="shared" si="6"/>
        <v>0.14792113321059772</v>
      </c>
      <c r="AC17" s="18"/>
    </row>
    <row r="18" spans="1:29">
      <c r="A18" s="39" t="s">
        <v>38</v>
      </c>
      <c r="B18" s="44">
        <f>'[16]1990'!K$24</f>
        <v>1.3002946151384891</v>
      </c>
      <c r="C18" s="36">
        <f>'[16]1990'!L$24</f>
        <v>1.2505150819135913</v>
      </c>
      <c r="D18" s="36">
        <f>'[16]1990'!M$24</f>
        <v>1.2290898816431728</v>
      </c>
      <c r="E18" s="36">
        <f>'[16]1990'!N$24</f>
        <v>1.2188864904956345</v>
      </c>
      <c r="F18" s="36">
        <f>'[16]1990'!O$24</f>
        <v>1.2145010966126184</v>
      </c>
      <c r="G18" s="36">
        <f>'[16]1990'!P$24</f>
        <v>1.2117954649668699</v>
      </c>
      <c r="H18" s="36">
        <f>'[16]1990'!Q$24</f>
        <v>1.2104758123426149</v>
      </c>
      <c r="I18" s="36">
        <f>'[16]1990'!R$24</f>
        <v>1.2093125584058166</v>
      </c>
      <c r="J18" s="45">
        <f>'[16]1990'!S$24</f>
        <v>1.209107216071498</v>
      </c>
      <c r="K18" s="46">
        <f t="shared" si="1"/>
        <v>0.26259086582107194</v>
      </c>
      <c r="L18" s="35">
        <f t="shared" si="1"/>
        <v>0.22355553196939734</v>
      </c>
      <c r="M18" s="35">
        <f t="shared" si="1"/>
        <v>0.20627396187489253</v>
      </c>
      <c r="N18" s="35">
        <f t="shared" si="1"/>
        <v>0.19793772926080769</v>
      </c>
      <c r="O18" s="35">
        <f t="shared" si="1"/>
        <v>0.19433337239308587</v>
      </c>
      <c r="P18" s="35">
        <f t="shared" si="1"/>
        <v>0.19210311512768205</v>
      </c>
      <c r="Q18" s="35">
        <f t="shared" si="1"/>
        <v>0.19101351565368646</v>
      </c>
      <c r="R18" s="35">
        <f t="shared" si="1"/>
        <v>0.19005206461072052</v>
      </c>
      <c r="S18" s="47">
        <f t="shared" si="1"/>
        <v>0.18988224931481598</v>
      </c>
      <c r="T18" s="65">
        <f t="array" ref="T18:U18">LINEST(K18:S18,$K$2:$S$2)</f>
        <v>-3.170612662946961E-2</v>
      </c>
      <c r="U18" s="65">
        <v>0.32341036222229236</v>
      </c>
      <c r="V18" s="65">
        <f t="shared" si="2"/>
        <v>1.3818322863410899</v>
      </c>
      <c r="W18" s="61">
        <f t="shared" si="3"/>
        <v>0.89678708952960573</v>
      </c>
      <c r="X18" s="18">
        <f t="array" ref="X18:Y18">LINEST(B18:J18,$K$2:$S$2)</f>
        <v>-3.9596019337260625E-2</v>
      </c>
      <c r="Y18" s="65">
        <v>1.375715384539423</v>
      </c>
      <c r="Z18" s="61">
        <f t="shared" si="4"/>
        <v>0.89189901979306296</v>
      </c>
      <c r="AA18" s="61">
        <f t="shared" si="5"/>
        <v>0.65715338124743028</v>
      </c>
      <c r="AB18" s="61">
        <f t="shared" si="6"/>
        <v>0.65001585239324278</v>
      </c>
      <c r="AC18" s="18"/>
    </row>
    <row r="19" spans="1:29">
      <c r="A19" s="39" t="s">
        <v>81</v>
      </c>
      <c r="B19" s="44">
        <f>'[17]1990'!K$24</f>
        <v>1.3987003867957324</v>
      </c>
      <c r="C19" s="36">
        <f>'[17]1990'!L$24</f>
        <v>1.391616228451807</v>
      </c>
      <c r="D19" s="36">
        <f>'[17]1990'!M$24</f>
        <v>1.4544181586782163</v>
      </c>
      <c r="E19" s="36">
        <f>'[17]1990'!N$24</f>
        <v>1.4538117652110458</v>
      </c>
      <c r="F19" s="36">
        <f>'[17]1990'!O$24</f>
        <v>1.4574002955043319</v>
      </c>
      <c r="G19" s="36">
        <f>'[17]1990'!P$24</f>
        <v>1.4692986717859429</v>
      </c>
      <c r="H19" s="36">
        <f>'[17]1990'!Q$24</f>
        <v>1.4767113172087425</v>
      </c>
      <c r="I19" s="36">
        <f>'[17]1990'!R$24</f>
        <v>1.4777791774280755</v>
      </c>
      <c r="J19" s="45">
        <f>'[17]1990'!S$24</f>
        <v>1.4777153986356404</v>
      </c>
      <c r="K19" s="46">
        <f t="shared" si="1"/>
        <v>0.3355435103425356</v>
      </c>
      <c r="L19" s="35">
        <f t="shared" si="1"/>
        <v>0.33046582594927298</v>
      </c>
      <c r="M19" s="35">
        <f t="shared" si="1"/>
        <v>0.37460592970294382</v>
      </c>
      <c r="N19" s="35">
        <f t="shared" si="1"/>
        <v>0.37418891076577021</v>
      </c>
      <c r="O19" s="35">
        <f t="shared" si="1"/>
        <v>0.37665422901533335</v>
      </c>
      <c r="P19" s="35">
        <f t="shared" si="1"/>
        <v>0.38478519292191188</v>
      </c>
      <c r="Q19" s="35">
        <f t="shared" si="1"/>
        <v>0.38981753231920424</v>
      </c>
      <c r="R19" s="35">
        <f t="shared" si="1"/>
        <v>0.39054040502282061</v>
      </c>
      <c r="S19" s="47">
        <f t="shared" si="1"/>
        <v>0.39049724555099374</v>
      </c>
      <c r="T19" s="65">
        <f t="array" ref="T19:U19">LINEST(K19:S19,$K$2:$S$2)</f>
        <v>2.9636410418130938E-2</v>
      </c>
      <c r="U19" s="65">
        <v>0.26150392852680099</v>
      </c>
      <c r="V19" s="65">
        <f t="shared" si="2"/>
        <v>1.2988820442548139</v>
      </c>
      <c r="W19" s="61">
        <f t="shared" si="3"/>
        <v>0.854483974225419</v>
      </c>
      <c r="X19" s="18">
        <f t="array" ref="X19:Y19">LINEST(B19:J19,$K$2:$S$2)</f>
        <v>4.2573561364403913E-2</v>
      </c>
      <c r="Y19" s="65">
        <v>1.2922409757910756</v>
      </c>
      <c r="Z19" s="61">
        <f t="shared" si="4"/>
        <v>0.85743206711524811</v>
      </c>
      <c r="AA19" s="61">
        <f t="shared" si="5"/>
        <v>0.76212985058330684</v>
      </c>
      <c r="AB19" s="61">
        <f t="shared" si="6"/>
        <v>0.76724609177623371</v>
      </c>
      <c r="AC19" s="18"/>
    </row>
    <row r="20" spans="1:29">
      <c r="A20" s="39" t="s">
        <v>39</v>
      </c>
      <c r="B20" s="44">
        <f>'[18]1990'!K$24</f>
        <v>1.3897486026643189</v>
      </c>
      <c r="C20" s="36">
        <f>'[18]1990'!L$24</f>
        <v>1.3387498825041777</v>
      </c>
      <c r="D20" s="36">
        <f>'[18]1990'!M$24</f>
        <v>1.3069331450221904</v>
      </c>
      <c r="E20" s="36">
        <f>'[18]1990'!N$24</f>
        <v>1.2856652497453485</v>
      </c>
      <c r="F20" s="36">
        <f>'[18]1990'!O$24</f>
        <v>1.2722002879394259</v>
      </c>
      <c r="G20" s="36">
        <f>'[18]1990'!P$24</f>
        <v>1.2594130920664293</v>
      </c>
      <c r="H20" s="36">
        <f>'[18]1990'!Q$24</f>
        <v>1.2522801836640733</v>
      </c>
      <c r="I20" s="36">
        <f>'[18]1990'!R$24</f>
        <v>1.2449949020243729</v>
      </c>
      <c r="J20" s="45">
        <f>'[18]1990'!S$24</f>
        <v>1.2388417245899803</v>
      </c>
      <c r="K20" s="46">
        <f t="shared" si="1"/>
        <v>0.32912286939263008</v>
      </c>
      <c r="L20" s="35">
        <f t="shared" si="1"/>
        <v>0.29173625501449751</v>
      </c>
      <c r="M20" s="35">
        <f t="shared" si="1"/>
        <v>0.26768328185881535</v>
      </c>
      <c r="N20" s="35">
        <f t="shared" si="1"/>
        <v>0.25127628846664141</v>
      </c>
      <c r="O20" s="35">
        <f t="shared" si="1"/>
        <v>0.24074791159442757</v>
      </c>
      <c r="P20" s="35">
        <f t="shared" si="1"/>
        <v>0.2306458124976129</v>
      </c>
      <c r="Q20" s="35">
        <f t="shared" si="1"/>
        <v>0.22496603650998126</v>
      </c>
      <c r="R20" s="35">
        <f t="shared" si="1"/>
        <v>0.21913143514874756</v>
      </c>
      <c r="S20" s="47">
        <f t="shared" si="1"/>
        <v>0.21417685000754969</v>
      </c>
      <c r="T20" s="65">
        <f t="array" ref="T20:U20">LINEST(K20:S20,$K$2:$S$2)</f>
        <v>-5.2861037234447926E-2</v>
      </c>
      <c r="U20" s="65">
        <v>0.44907310517896171</v>
      </c>
      <c r="V20" s="65">
        <f t="shared" si="2"/>
        <v>1.5668591985347347</v>
      </c>
      <c r="W20" s="61">
        <f t="shared" si="3"/>
        <v>0.99717205927628971</v>
      </c>
      <c r="X20" s="18">
        <f t="array" ref="X20:Y20">LINEST(B20:J20,$K$2:$S$2)</f>
        <v>-6.9186293719472922E-2</v>
      </c>
      <c r="Y20" s="65">
        <v>1.5453671137138831</v>
      </c>
      <c r="Z20" s="61">
        <f t="shared" si="4"/>
        <v>0.99553062464184172</v>
      </c>
      <c r="AA20" s="61">
        <f t="shared" si="5"/>
        <v>0.88255646526640452</v>
      </c>
      <c r="AB20" s="61">
        <f t="shared" si="6"/>
        <v>0.87213341051460525</v>
      </c>
      <c r="AC20" s="18"/>
    </row>
    <row r="21" spans="1:29">
      <c r="A21" s="39" t="s">
        <v>40</v>
      </c>
      <c r="B21" s="44">
        <f>'[19]1990'!K$24</f>
        <v>1.3132675347089213</v>
      </c>
      <c r="C21" s="36">
        <f>'[19]1990'!L$24</f>
        <v>1.2503690377090788</v>
      </c>
      <c r="D21" s="36">
        <f>'[19]1990'!M$24</f>
        <v>1.2187474904953295</v>
      </c>
      <c r="E21" s="36">
        <f>'[19]1990'!N$24</f>
        <v>1.200222268133452</v>
      </c>
      <c r="F21" s="36">
        <f>'[19]1990'!O$24</f>
        <v>1.1891581230137593</v>
      </c>
      <c r="G21" s="36">
        <f>'[19]1990'!P$24</f>
        <v>1.1812621353923214</v>
      </c>
      <c r="H21" s="36">
        <f>'[19]1990'!Q$24</f>
        <v>1.1756537398215856</v>
      </c>
      <c r="I21" s="36">
        <f>'[19]1990'!R$24</f>
        <v>1.171319986899658</v>
      </c>
      <c r="J21" s="45">
        <f>'[19]1990'!S$24</f>
        <v>1.1680289166643287</v>
      </c>
      <c r="K21" s="46">
        <f t="shared" si="1"/>
        <v>0.27251833291122141</v>
      </c>
      <c r="L21" s="35">
        <f t="shared" si="1"/>
        <v>0.22343873790962257</v>
      </c>
      <c r="M21" s="35">
        <f t="shared" si="1"/>
        <v>0.19782368424704469</v>
      </c>
      <c r="N21" s="35">
        <f t="shared" si="1"/>
        <v>0.18250676308675368</v>
      </c>
      <c r="O21" s="35">
        <f t="shared" si="1"/>
        <v>0.17324559710346482</v>
      </c>
      <c r="P21" s="35">
        <f t="shared" si="1"/>
        <v>0.16658347312104191</v>
      </c>
      <c r="Q21" s="35">
        <f t="shared" si="1"/>
        <v>0.16182436719356053</v>
      </c>
      <c r="R21" s="35">
        <f t="shared" si="1"/>
        <v>0.15813130680848156</v>
      </c>
      <c r="S21" s="47">
        <f t="shared" si="1"/>
        <v>0.15531764151766517</v>
      </c>
      <c r="T21" s="65">
        <f t="array" ref="T21:U21">LINEST(K21:S21,$K$2:$S$2)</f>
        <v>-5.2762044833318714E-2</v>
      </c>
      <c r="U21" s="65">
        <v>0.38447137561478606</v>
      </c>
      <c r="V21" s="65">
        <f t="shared" si="2"/>
        <v>1.4688376527750553</v>
      </c>
      <c r="W21" s="61">
        <f t="shared" si="3"/>
        <v>0.97246448855466783</v>
      </c>
      <c r="X21" s="18">
        <f t="array" ref="X21:Y21">LINEST(B21:J21,$K$2:$S$2)</f>
        <v>-6.5052693923639493E-2</v>
      </c>
      <c r="Y21" s="65">
        <v>1.4498807630169444</v>
      </c>
      <c r="Z21" s="61">
        <f t="shared" si="4"/>
        <v>0.9671131969326916</v>
      </c>
      <c r="AA21" s="61">
        <f t="shared" si="5"/>
        <v>0.79688872418403689</v>
      </c>
      <c r="AB21" s="61">
        <f t="shared" si="6"/>
        <v>0.78445708609623999</v>
      </c>
      <c r="AC21" s="18"/>
    </row>
    <row r="22" spans="1:29">
      <c r="A22" s="39" t="s">
        <v>85</v>
      </c>
      <c r="B22" s="46">
        <f>'[20]1990'!K$24</f>
        <v>1.3841718613966598</v>
      </c>
      <c r="C22" s="35">
        <f>'[20]1990'!L$24</f>
        <v>1.3517235884128587</v>
      </c>
      <c r="D22" s="35">
        <f>'[20]1990'!M$24</f>
        <v>1.3338612779719421</v>
      </c>
      <c r="E22" s="35">
        <f>'[20]1990'!N$24</f>
        <v>1.3212182810798512</v>
      </c>
      <c r="F22" s="35">
        <f>'[20]1990'!O$24</f>
        <v>1.3158819753742408</v>
      </c>
      <c r="G22" s="35">
        <f>'[20]1990'!P$24</f>
        <v>1.312627353699904</v>
      </c>
      <c r="H22" s="35">
        <f>'[20]1990'!Q$24</f>
        <v>1.306991829104972</v>
      </c>
      <c r="I22" s="35">
        <f>'[20]1990'!R$24</f>
        <v>1.3018012430142005</v>
      </c>
      <c r="J22" s="47">
        <f>'[20]1990'!S$24</f>
        <v>1.295915004423644</v>
      </c>
      <c r="K22" s="46">
        <f t="shared" si="1"/>
        <v>0.32510202679583922</v>
      </c>
      <c r="L22" s="35">
        <f t="shared" si="1"/>
        <v>0.30138051027855667</v>
      </c>
      <c r="M22" s="35">
        <f t="shared" si="1"/>
        <v>0.28807795255986601</v>
      </c>
      <c r="N22" s="35">
        <f t="shared" si="1"/>
        <v>0.27855425116284843</v>
      </c>
      <c r="O22" s="35">
        <f t="shared" si="1"/>
        <v>0.27450714451516378</v>
      </c>
      <c r="P22" s="35">
        <f t="shared" si="1"/>
        <v>0.27203074216680395</v>
      </c>
      <c r="Q22" s="35">
        <f t="shared" si="1"/>
        <v>0.26772818298135892</v>
      </c>
      <c r="R22" s="35">
        <f t="shared" si="1"/>
        <v>0.26374887699837379</v>
      </c>
      <c r="S22" s="47">
        <f t="shared" si="1"/>
        <v>0.25921701277297604</v>
      </c>
      <c r="T22" s="65">
        <f t="array" ref="T22:U22">LINEST(K22:S22,$K$2:$S$2)</f>
        <v>-2.8870077935156415E-2</v>
      </c>
      <c r="U22" s="65">
        <v>0.38869097300864147</v>
      </c>
      <c r="V22" s="65">
        <f t="shared" si="2"/>
        <v>1.4750486510471956</v>
      </c>
      <c r="W22" s="61">
        <f t="shared" si="3"/>
        <v>0.98923296440956487</v>
      </c>
      <c r="X22" s="18">
        <f t="array" ref="X22:Y22">LINEST(B22:J22,$K$2:$S$2)</f>
        <v>-3.8627578980076176E-2</v>
      </c>
      <c r="Y22" s="65">
        <v>1.4687984004884655</v>
      </c>
      <c r="Z22" s="61">
        <f t="shared" si="4"/>
        <v>0.9876010910548958</v>
      </c>
      <c r="AA22" s="61">
        <f t="shared" si="5"/>
        <v>0.85786315780812583</v>
      </c>
      <c r="AB22" s="61">
        <f t="shared" si="6"/>
        <v>0.85125376918832063</v>
      </c>
      <c r="AC22" s="18"/>
    </row>
    <row r="23" spans="1:29">
      <c r="A23" s="39" t="s">
        <v>41</v>
      </c>
      <c r="B23" s="44">
        <f>'[21]1990'!K$24</f>
        <v>1.3815643022128219</v>
      </c>
      <c r="C23" s="36">
        <f>'[21]1990'!L$24</f>
        <v>1.361335749578314</v>
      </c>
      <c r="D23" s="36">
        <f>'[21]1990'!M$24</f>
        <v>1.3294690524529627</v>
      </c>
      <c r="E23" s="36">
        <f>'[21]1990'!N$24</f>
        <v>1.3155753641323731</v>
      </c>
      <c r="F23" s="36">
        <f>'[21]1990'!O$24</f>
        <v>1.308047643913695</v>
      </c>
      <c r="G23" s="36">
        <f>'[21]1990'!P$24</f>
        <v>1.3090196313866675</v>
      </c>
      <c r="H23" s="36">
        <f>'[21]1990'!Q$24</f>
        <v>1.3113691978150683</v>
      </c>
      <c r="I23" s="36">
        <f>'[21]1990'!R$24</f>
        <v>1.3143309967769681</v>
      </c>
      <c r="J23" s="45">
        <f>'[21]1990'!S$24</f>
        <v>1.3179998880697821</v>
      </c>
      <c r="K23" s="46">
        <f t="shared" si="1"/>
        <v>0.32321640951190833</v>
      </c>
      <c r="L23" s="35">
        <f t="shared" si="1"/>
        <v>0.30846638654334696</v>
      </c>
      <c r="M23" s="35">
        <f t="shared" si="1"/>
        <v>0.28477965384668019</v>
      </c>
      <c r="N23" s="35">
        <f t="shared" si="1"/>
        <v>0.27427410920149786</v>
      </c>
      <c r="O23" s="35">
        <f t="shared" si="1"/>
        <v>0.26853567738210254</v>
      </c>
      <c r="P23" s="35">
        <f t="shared" si="1"/>
        <v>0.26927848405492921</v>
      </c>
      <c r="Q23" s="35">
        <f t="shared" si="1"/>
        <v>0.27107178055496284</v>
      </c>
      <c r="R23" s="35">
        <f t="shared" si="1"/>
        <v>0.27332778847558575</v>
      </c>
      <c r="S23" s="47">
        <f t="shared" si="1"/>
        <v>0.27611535115601904</v>
      </c>
      <c r="T23" s="65">
        <f t="array" ref="T23:U23">LINEST(K23:S23,$K$2:$S$2)</f>
        <v>-2.4583552591021119E-2</v>
      </c>
      <c r="U23" s="65">
        <v>0.37480350393389761</v>
      </c>
      <c r="V23" s="65">
        <f t="shared" si="2"/>
        <v>1.4547055426162978</v>
      </c>
      <c r="W23" s="61">
        <f t="shared" si="3"/>
        <v>0.82672702227773254</v>
      </c>
      <c r="X23" s="18">
        <f t="array" ref="X23:Y23">LINEST(B23:J23,$K$2:$S$2)</f>
        <v>-3.3030950982529228E-2</v>
      </c>
      <c r="Y23" s="65">
        <v>1.4506752822642355</v>
      </c>
      <c r="Z23" s="61">
        <f t="shared" si="4"/>
        <v>0.82739249386085423</v>
      </c>
      <c r="AA23" s="61">
        <f t="shared" si="5"/>
        <v>0.58628513373183788</v>
      </c>
      <c r="AB23" s="61">
        <f t="shared" si="6"/>
        <v>0.58594440233517597</v>
      </c>
      <c r="AC23" s="18"/>
    </row>
    <row r="24" spans="1:29">
      <c r="A24" s="39" t="s">
        <v>75</v>
      </c>
      <c r="B24" s="46">
        <f>'[22]1990'!K$24</f>
        <v>1.3497363834314509</v>
      </c>
      <c r="C24" s="35">
        <f>'[22]1990'!L$24</f>
        <v>1.2910908276182511</v>
      </c>
      <c r="D24" s="35">
        <f>'[22]1990'!M$24</f>
        <v>1.2763607033146633</v>
      </c>
      <c r="E24" s="35">
        <f>'[22]1990'!N$24</f>
        <v>1.2688501335417108</v>
      </c>
      <c r="F24" s="35">
        <f>'[22]1990'!O$24</f>
        <v>1.2596090368446629</v>
      </c>
      <c r="G24" s="35">
        <f>'[22]1990'!P$24</f>
        <v>1.2489552286252659</v>
      </c>
      <c r="H24" s="35">
        <f>'[22]1990'!Q$24</f>
        <v>1.2409325101454991</v>
      </c>
      <c r="I24" s="35">
        <f>'[22]1990'!R$24</f>
        <v>1.2355926103504966</v>
      </c>
      <c r="J24" s="47">
        <f>'[22]1990'!S$24</f>
        <v>1.2317795249177137</v>
      </c>
      <c r="K24" s="46">
        <f t="shared" si="1"/>
        <v>0.2999093018501115</v>
      </c>
      <c r="L24" s="35">
        <f t="shared" si="1"/>
        <v>0.25548746385779481</v>
      </c>
      <c r="M24" s="35">
        <f t="shared" si="1"/>
        <v>0.24401282782381206</v>
      </c>
      <c r="N24" s="35">
        <f t="shared" si="1"/>
        <v>0.23811108368224576</v>
      </c>
      <c r="O24" s="35">
        <f t="shared" si="1"/>
        <v>0.23080138459551544</v>
      </c>
      <c r="P24" s="35">
        <f t="shared" si="1"/>
        <v>0.22230738472455699</v>
      </c>
      <c r="Q24" s="35">
        <f t="shared" si="1"/>
        <v>0.21586312129923663</v>
      </c>
      <c r="R24" s="35">
        <f t="shared" si="1"/>
        <v>0.21155070142810312</v>
      </c>
      <c r="S24" s="47">
        <f t="shared" si="1"/>
        <v>0.20845989204929466</v>
      </c>
      <c r="T24" s="65">
        <f t="array" ref="T24:U24">LINEST(K24:S24,$K$2:$S$2)</f>
        <v>-3.9085018540676648E-2</v>
      </c>
      <c r="U24" s="65">
        <v>0.38187022835384676</v>
      </c>
      <c r="V24" s="65">
        <f t="shared" si="2"/>
        <v>1.465021954485759</v>
      </c>
      <c r="W24" s="61">
        <f t="shared" si="3"/>
        <v>0.97143418021274963</v>
      </c>
      <c r="X24" s="18">
        <f t="array" ref="X24:Y24">LINEST(B24:J24,$K$2:$S$2)</f>
        <v>-5.0250010953582266E-2</v>
      </c>
      <c r="Y24" s="65">
        <v>1.454171473910026</v>
      </c>
      <c r="Z24" s="61">
        <f t="shared" si="4"/>
        <v>0.9673348159416203</v>
      </c>
      <c r="AA24" s="61">
        <f t="shared" si="5"/>
        <v>0.83116361195412036</v>
      </c>
      <c r="AB24" s="61">
        <f t="shared" si="6"/>
        <v>0.82003331150425407</v>
      </c>
      <c r="AC24" s="18"/>
    </row>
    <row r="25" spans="1:29">
      <c r="A25" s="39" t="s">
        <v>63</v>
      </c>
      <c r="B25" s="44">
        <f>'[23]1990'!K$24</f>
        <v>1.3162005811729707</v>
      </c>
      <c r="C25" s="36">
        <f>'[23]1990'!L$24</f>
        <v>1.3366132908202915</v>
      </c>
      <c r="D25" s="36">
        <f>'[23]1990'!M$24</f>
        <v>1.3479985729231181</v>
      </c>
      <c r="E25" s="36">
        <f>'[23]1990'!N$24</f>
        <v>1.3314821860068244</v>
      </c>
      <c r="F25" s="36">
        <f>'[23]1990'!O$24</f>
        <v>1.329484525894616</v>
      </c>
      <c r="G25" s="36">
        <f>'[23]1990'!P$24</f>
        <v>1.3281005575067044</v>
      </c>
      <c r="H25" s="36">
        <f>'[23]1990'!Q$24</f>
        <v>1.3273180275304128</v>
      </c>
      <c r="I25" s="36">
        <f>'[23]1990'!R$24</f>
        <v>1.3260391661883868</v>
      </c>
      <c r="J25" s="45">
        <f>'[23]1990'!S$24</f>
        <v>1.3262462737318623</v>
      </c>
      <c r="K25" s="46">
        <f t="shared" si="1"/>
        <v>0.27474923859347716</v>
      </c>
      <c r="L25" s="35">
        <f t="shared" si="1"/>
        <v>0.29013901979841761</v>
      </c>
      <c r="M25" s="35">
        <f t="shared" si="1"/>
        <v>0.29862095382717962</v>
      </c>
      <c r="N25" s="35">
        <f t="shared" si="1"/>
        <v>0.28629274729149512</v>
      </c>
      <c r="O25" s="35">
        <f t="shared" si="1"/>
        <v>0.2847912925919216</v>
      </c>
      <c r="P25" s="35">
        <f t="shared" si="1"/>
        <v>0.28374976920163547</v>
      </c>
      <c r="Q25" s="35">
        <f t="shared" si="1"/>
        <v>0.28316038566462665</v>
      </c>
      <c r="R25" s="35">
        <f t="shared" si="1"/>
        <v>0.2821964284227737</v>
      </c>
      <c r="S25" s="47">
        <f t="shared" si="1"/>
        <v>0.28235260131486084</v>
      </c>
      <c r="T25" s="65">
        <f t="array" ref="T25:U25">LINEST(K25:S25,$K$2:$S$2)</f>
        <v>2.4617102709377042E-4</v>
      </c>
      <c r="U25" s="65">
        <v>0.28419994778345786</v>
      </c>
      <c r="V25" s="65">
        <f t="shared" si="2"/>
        <v>1.3286985745293283</v>
      </c>
      <c r="W25" s="61">
        <f t="shared" si="3"/>
        <v>7.4109652991038316E-4</v>
      </c>
      <c r="X25" s="18">
        <f t="array" ref="X25:Y25">LINEST(B25:J25,$K$2:$S$2)</f>
        <v>2.9269355649868813E-4</v>
      </c>
      <c r="Y25" s="65">
        <v>1.3288522892200307</v>
      </c>
      <c r="Z25" s="61">
        <f t="shared" si="4"/>
        <v>5.8983279712059087E-4</v>
      </c>
      <c r="AA25" s="61">
        <f t="shared" si="5"/>
        <v>3.5578977634753532E-2</v>
      </c>
      <c r="AB25" s="61">
        <f t="shared" si="6"/>
        <v>3.6498690302754551E-2</v>
      </c>
      <c r="AC25" s="18"/>
    </row>
    <row r="26" spans="1:29">
      <c r="A26" s="39" t="s">
        <v>64</v>
      </c>
      <c r="B26" s="46">
        <f>'[24]1990'!K$24</f>
        <v>1.2967211649778432</v>
      </c>
      <c r="C26" s="35">
        <f>'[24]1990'!L$24</f>
        <v>1.2814901265331109</v>
      </c>
      <c r="D26" s="35">
        <f>'[24]1990'!M$24</f>
        <v>1.2574820774863131</v>
      </c>
      <c r="E26" s="35">
        <f>'[24]1990'!N$24</f>
        <v>1.2433543124840745</v>
      </c>
      <c r="F26" s="35">
        <f>'[24]1990'!O$24</f>
        <v>1.2360933047718667</v>
      </c>
      <c r="G26" s="35">
        <f>'[24]1990'!P$24</f>
        <v>1.2376914918106077</v>
      </c>
      <c r="H26" s="35">
        <f>'[24]1990'!Q$24</f>
        <v>1.2408507300315808</v>
      </c>
      <c r="I26" s="35">
        <f>'[24]1990'!R$24</f>
        <v>1.2450143270582681</v>
      </c>
      <c r="J26" s="47">
        <f>'[24]1990'!S$24</f>
        <v>1.2490194092718765</v>
      </c>
      <c r="K26" s="46">
        <f t="shared" si="1"/>
        <v>0.25983889762492307</v>
      </c>
      <c r="L26" s="35">
        <f t="shared" si="1"/>
        <v>0.24802356217514915</v>
      </c>
      <c r="M26" s="35">
        <f t="shared" si="1"/>
        <v>0.22911137039421578</v>
      </c>
      <c r="N26" s="35">
        <f t="shared" si="1"/>
        <v>0.2178128181568498</v>
      </c>
      <c r="O26" s="35">
        <f t="shared" si="1"/>
        <v>0.21195584548395219</v>
      </c>
      <c r="P26" s="35">
        <f t="shared" si="1"/>
        <v>0.21324794434663352</v>
      </c>
      <c r="Q26" s="35">
        <f t="shared" si="1"/>
        <v>0.21579721698283702</v>
      </c>
      <c r="R26" s="35">
        <f t="shared" si="1"/>
        <v>0.21914703752778189</v>
      </c>
      <c r="S26" s="47">
        <f t="shared" si="1"/>
        <v>0.22235877087207911</v>
      </c>
      <c r="T26" s="65">
        <f t="array" ref="T26:U26">LINEST(K26:S26,$K$2:$S$2)</f>
        <v>-2.0515422125101612E-2</v>
      </c>
      <c r="U26" s="65">
        <v>0.30278610052740795</v>
      </c>
      <c r="V26" s="65">
        <f t="shared" si="2"/>
        <v>1.3536248938230149</v>
      </c>
      <c r="W26" s="61">
        <f t="shared" si="3"/>
        <v>0.78119976656975376</v>
      </c>
      <c r="X26" s="18">
        <f t="array" ref="X26:Y26">LINEST(B26:J26,$K$2:$S$2)</f>
        <v>-2.599285967089526E-2</v>
      </c>
      <c r="Y26" s="65">
        <v>1.3510144433854128</v>
      </c>
      <c r="Z26" s="61">
        <f t="shared" si="4"/>
        <v>0.7830369508283892</v>
      </c>
      <c r="AA26" s="61">
        <f t="shared" si="5"/>
        <v>0.53582479528925053</v>
      </c>
      <c r="AB26" s="61">
        <f t="shared" si="6"/>
        <v>0.53686827520451097</v>
      </c>
      <c r="AC26" s="18"/>
    </row>
    <row r="27" spans="1:29">
      <c r="A27" s="39" t="s">
        <v>42</v>
      </c>
      <c r="B27" s="44">
        <f>'[25]1990'!K$24</f>
        <v>1.4461618303699983</v>
      </c>
      <c r="C27" s="36">
        <f>'[25]1990'!L$24</f>
        <v>1.3775195874982225</v>
      </c>
      <c r="D27" s="36">
        <f>'[25]1990'!M$24</f>
        <v>1.3369233725771599</v>
      </c>
      <c r="E27" s="36">
        <f>'[25]1990'!N$24</f>
        <v>1.3141602486187556</v>
      </c>
      <c r="F27" s="36">
        <f>'[25]1990'!O$24</f>
        <v>1.3025339347915854</v>
      </c>
      <c r="G27" s="36">
        <f>'[25]1990'!P$24</f>
        <v>1.2936603925299017</v>
      </c>
      <c r="H27" s="36">
        <f>'[25]1990'!Q$24</f>
        <v>1.2909809753440558</v>
      </c>
      <c r="I27" s="36">
        <f>'[25]1990'!R$24</f>
        <v>1.2926419494509371</v>
      </c>
      <c r="J27" s="45">
        <f>'[25]1990'!S$24</f>
        <v>1.2981553223941871</v>
      </c>
      <c r="K27" s="46">
        <f t="shared" si="1"/>
        <v>0.36891303335965692</v>
      </c>
      <c r="L27" s="35">
        <f t="shared" si="1"/>
        <v>0.32028448154327049</v>
      </c>
      <c r="M27" s="35">
        <f t="shared" si="1"/>
        <v>0.29037098352085616</v>
      </c>
      <c r="N27" s="35">
        <f t="shared" si="1"/>
        <v>0.27319786743532981</v>
      </c>
      <c r="O27" s="35">
        <f t="shared" si="1"/>
        <v>0.26431154788878736</v>
      </c>
      <c r="P27" s="35">
        <f t="shared" si="1"/>
        <v>0.25747571382019568</v>
      </c>
      <c r="Q27" s="35">
        <f t="shared" si="1"/>
        <v>0.25540237538416244</v>
      </c>
      <c r="R27" s="35">
        <f t="shared" si="1"/>
        <v>0.25668814686402436</v>
      </c>
      <c r="S27" s="47">
        <f t="shared" si="1"/>
        <v>0.26094427398433839</v>
      </c>
      <c r="T27" s="65">
        <f t="array" ref="T27:U27">LINEST(K27:S27,$K$2:$S$2)</f>
        <v>-5.1507268017141339E-2</v>
      </c>
      <c r="U27" s="65">
        <v>0.47493048784227232</v>
      </c>
      <c r="V27" s="65">
        <f t="shared" si="2"/>
        <v>1.607902424834083</v>
      </c>
      <c r="W27" s="61">
        <f t="shared" si="3"/>
        <v>0.92558787610989923</v>
      </c>
      <c r="X27" s="18">
        <f t="array" ref="X27:Y27">LINEST(B27:J27,$K$2:$S$2)</f>
        <v>-7.0011794015623185E-2</v>
      </c>
      <c r="Y27" s="65">
        <v>1.588876615693456</v>
      </c>
      <c r="Z27" s="61">
        <f t="shared" si="4"/>
        <v>0.9210849208716182</v>
      </c>
      <c r="AA27" s="61">
        <f t="shared" si="5"/>
        <v>0.70490134160059847</v>
      </c>
      <c r="AB27" s="61">
        <f t="shared" si="6"/>
        <v>0.69601480448439368</v>
      </c>
      <c r="AC27" s="18"/>
    </row>
    <row r="28" spans="1:29">
      <c r="A28" s="39" t="s">
        <v>43</v>
      </c>
      <c r="B28" s="44">
        <f>'[26]1990'!K$24</f>
        <v>1.3673423853224496</v>
      </c>
      <c r="C28" s="36">
        <f>'[26]1990'!L$24</f>
        <v>1.323930461422739</v>
      </c>
      <c r="D28" s="36">
        <f>'[26]1990'!M$24</f>
        <v>1.2908476784745491</v>
      </c>
      <c r="E28" s="36">
        <f>'[26]1990'!N$24</f>
        <v>1.2725419334652774</v>
      </c>
      <c r="F28" s="36">
        <f>'[26]1990'!O$24</f>
        <v>1.2608373515002151</v>
      </c>
      <c r="G28" s="36">
        <f>'[26]1990'!P$24</f>
        <v>1.2544777350597911</v>
      </c>
      <c r="H28" s="36">
        <f>'[26]1990'!Q$24</f>
        <v>1.249699683468217</v>
      </c>
      <c r="I28" s="36">
        <f>'[26]1990'!R$24</f>
        <v>1.2476866201392505</v>
      </c>
      <c r="J28" s="45">
        <f>'[26]1990'!S$24</f>
        <v>1.2462450438919415</v>
      </c>
      <c r="K28" s="46">
        <f t="shared" si="1"/>
        <v>0.31286899113748151</v>
      </c>
      <c r="L28" s="35">
        <f t="shared" si="1"/>
        <v>0.28060493455147578</v>
      </c>
      <c r="M28" s="35">
        <f t="shared" si="1"/>
        <v>0.25529911766453961</v>
      </c>
      <c r="N28" s="35">
        <f t="shared" si="1"/>
        <v>0.2410164225068733</v>
      </c>
      <c r="O28" s="35">
        <f t="shared" si="1"/>
        <v>0.23177606492077374</v>
      </c>
      <c r="P28" s="35">
        <f t="shared" si="1"/>
        <v>0.22671933860768709</v>
      </c>
      <c r="Q28" s="35">
        <f t="shared" si="1"/>
        <v>0.22290326922335377</v>
      </c>
      <c r="R28" s="35">
        <f t="shared" si="1"/>
        <v>0.22129113275727966</v>
      </c>
      <c r="S28" s="47">
        <f t="shared" si="1"/>
        <v>0.22013506546910597</v>
      </c>
      <c r="T28" s="65">
        <f t="array" ref="T28:U28">LINEST(K28:S28,$K$2:$S$2)</f>
        <v>-4.3813243772890212E-2</v>
      </c>
      <c r="U28" s="65">
        <v>0.40905082476071175</v>
      </c>
      <c r="V28" s="65">
        <f t="shared" si="2"/>
        <v>1.5053882295378107</v>
      </c>
      <c r="W28" s="61">
        <f t="shared" si="3"/>
        <v>0.97276258779523639</v>
      </c>
      <c r="X28" s="18">
        <f t="array" ref="X28:Y28">LINEST(B28:J28,$K$2:$S$2)</f>
        <v>-5.6968113168805568E-2</v>
      </c>
      <c r="Y28" s="65">
        <v>1.4914966892026267</v>
      </c>
      <c r="Z28" s="61">
        <f t="shared" si="4"/>
        <v>0.969959876320446</v>
      </c>
      <c r="AA28" s="61">
        <f t="shared" si="5"/>
        <v>0.80473458810829246</v>
      </c>
      <c r="AB28" s="61">
        <f t="shared" si="6"/>
        <v>0.79647019218441206</v>
      </c>
      <c r="AC28" s="18"/>
    </row>
    <row r="29" spans="1:29">
      <c r="A29" s="39" t="s">
        <v>44</v>
      </c>
      <c r="B29" s="44">
        <f>'[27]1990'!K$24</f>
        <v>1.2642401733175872</v>
      </c>
      <c r="C29" s="36">
        <f>'[27]1990'!L$24</f>
        <v>1.2186336349093323</v>
      </c>
      <c r="D29" s="36">
        <f>'[27]1990'!M$24</f>
        <v>1.195432722588013</v>
      </c>
      <c r="E29" s="36">
        <f>'[27]1990'!N$24</f>
        <v>1.1840651584317397</v>
      </c>
      <c r="F29" s="36">
        <f>'[27]1990'!O$24</f>
        <v>1.1771971316163268</v>
      </c>
      <c r="G29" s="36">
        <f>'[27]1990'!P$24</f>
        <v>1.171858273061906</v>
      </c>
      <c r="H29" s="36">
        <f>'[27]1990'!Q$24</f>
        <v>1.1688546907246202</v>
      </c>
      <c r="I29" s="36">
        <f>'[27]1990'!R$24</f>
        <v>1.1684578197240036</v>
      </c>
      <c r="J29" s="45">
        <f>'[27]1990'!S$24</f>
        <v>1.1687494009015562</v>
      </c>
      <c r="K29" s="46">
        <f t="shared" si="1"/>
        <v>0.23447128821101598</v>
      </c>
      <c r="L29" s="35">
        <f t="shared" si="1"/>
        <v>0.19773025972275235</v>
      </c>
      <c r="M29" s="35">
        <f t="shared" si="1"/>
        <v>0.17850823078943814</v>
      </c>
      <c r="N29" s="35">
        <f t="shared" si="1"/>
        <v>0.16895356740682327</v>
      </c>
      <c r="O29" s="35">
        <f t="shared" si="1"/>
        <v>0.16313630075879143</v>
      </c>
      <c r="P29" s="35">
        <f t="shared" si="1"/>
        <v>0.15859075642092885</v>
      </c>
      <c r="Q29" s="35">
        <f t="shared" si="1"/>
        <v>0.15602437256071</v>
      </c>
      <c r="R29" s="35">
        <f t="shared" si="1"/>
        <v>0.15568477654806168</v>
      </c>
      <c r="S29" s="47">
        <f t="shared" si="1"/>
        <v>0.15593428902302936</v>
      </c>
      <c r="T29" s="65">
        <f t="array" ref="T29:U29">LINEST(K29:S29,$K$2:$S$2)</f>
        <v>-3.5702689377732882E-2</v>
      </c>
      <c r="U29" s="65">
        <v>0.30732998161098957</v>
      </c>
      <c r="V29" s="65">
        <f t="shared" si="2"/>
        <v>1.3597895996105172</v>
      </c>
      <c r="W29" s="61">
        <f t="shared" si="3"/>
        <v>0.94120593642235784</v>
      </c>
      <c r="X29" s="18">
        <f t="array" ref="X29:Y29">LINEST(B29:J29,$K$2:$S$2)</f>
        <v>-4.3204397339544946E-2</v>
      </c>
      <c r="Y29" s="65">
        <v>1.3517689397543644</v>
      </c>
      <c r="Z29" s="61">
        <f t="shared" si="4"/>
        <v>0.93688649714244354</v>
      </c>
      <c r="AA29" s="61">
        <f t="shared" si="5"/>
        <v>0.73039223992719293</v>
      </c>
      <c r="AB29" s="61">
        <f t="shared" si="6"/>
        <v>0.72244555556873036</v>
      </c>
      <c r="AC29" s="18"/>
    </row>
    <row r="30" spans="1:29">
      <c r="A30" s="39" t="s">
        <v>45</v>
      </c>
      <c r="B30" s="44">
        <f>'[28]1990'!K$24</f>
        <v>1.3432337036137816</v>
      </c>
      <c r="C30" s="36">
        <f>'[28]1990'!L$24</f>
        <v>1.294778761107952</v>
      </c>
      <c r="D30" s="36">
        <f>'[28]1990'!M$24</f>
        <v>1.264148984854071</v>
      </c>
      <c r="E30" s="36">
        <f>'[28]1990'!N$24</f>
        <v>1.2474610396413324</v>
      </c>
      <c r="F30" s="36">
        <f>'[28]1990'!O$24</f>
        <v>1.2354179281430617</v>
      </c>
      <c r="G30" s="36">
        <f>'[28]1990'!P$24</f>
        <v>1.2276619490486302</v>
      </c>
      <c r="H30" s="36">
        <f>'[28]1990'!Q$24</f>
        <v>1.221194278923895</v>
      </c>
      <c r="I30" s="36">
        <f>'[28]1990'!R$24</f>
        <v>1.2155297767685767</v>
      </c>
      <c r="J30" s="45">
        <f>'[28]1990'!S$24</f>
        <v>1.2111779645088356</v>
      </c>
      <c r="K30" s="46">
        <f t="shared" si="1"/>
        <v>0.29507991849571352</v>
      </c>
      <c r="L30" s="35">
        <f t="shared" si="1"/>
        <v>0.25833983971326158</v>
      </c>
      <c r="M30" s="35">
        <f t="shared" si="1"/>
        <v>0.23439915654310323</v>
      </c>
      <c r="N30" s="35">
        <f t="shared" si="1"/>
        <v>0.22111031740741574</v>
      </c>
      <c r="O30" s="35">
        <f t="shared" si="1"/>
        <v>0.21140931618914549</v>
      </c>
      <c r="P30" s="35">
        <f t="shared" si="1"/>
        <v>0.20511150603584427</v>
      </c>
      <c r="Q30" s="35">
        <f t="shared" si="1"/>
        <v>0.19982929706896724</v>
      </c>
      <c r="R30" s="35">
        <f t="shared" si="1"/>
        <v>0.19518001202114402</v>
      </c>
      <c r="S30" s="47">
        <f t="shared" si="1"/>
        <v>0.1915934104285788</v>
      </c>
      <c r="T30" s="65">
        <f t="array" ref="T30:U30">LINEST(K30:S30,$K$2:$S$2)</f>
        <v>-4.7222460499730147E-2</v>
      </c>
      <c r="U30" s="65">
        <v>0.39946557431292112</v>
      </c>
      <c r="V30" s="65">
        <f t="shared" si="2"/>
        <v>1.4910276412049197</v>
      </c>
      <c r="W30" s="61">
        <f t="shared" si="3"/>
        <v>0.98954625054893353</v>
      </c>
      <c r="X30" s="18">
        <f t="array" ref="X30:Y30">LINEST(B30:J30,$K$2:$S$2)</f>
        <v>-6.0054426150110259E-2</v>
      </c>
      <c r="Y30" s="65">
        <v>1.4748816252659047</v>
      </c>
      <c r="Z30" s="61">
        <f t="shared" si="4"/>
        <v>0.986636165504441</v>
      </c>
      <c r="AA30" s="61">
        <f t="shared" si="5"/>
        <v>0.84725096959319723</v>
      </c>
      <c r="AB30" s="61">
        <f t="shared" si="6"/>
        <v>0.83707444975156864</v>
      </c>
      <c r="AC30" s="18"/>
    </row>
    <row r="31" spans="1:29">
      <c r="A31" s="39" t="s">
        <v>46</v>
      </c>
      <c r="B31" s="44">
        <f>'[29]1990'!K$24</f>
        <v>1.3962975386380219</v>
      </c>
      <c r="C31" s="36">
        <f>'[29]1990'!L$24</f>
        <v>1.3556471646875112</v>
      </c>
      <c r="D31" s="36">
        <f>'[29]1990'!M$24</f>
        <v>1.3216572823903541</v>
      </c>
      <c r="E31" s="36">
        <f>'[29]1990'!N$24</f>
        <v>1.3115095367813425</v>
      </c>
      <c r="F31" s="36">
        <f>'[29]1990'!O$24</f>
        <v>1.2975109840164123</v>
      </c>
      <c r="G31" s="36">
        <f>'[29]1990'!P$24</f>
        <v>1.2812771919082664</v>
      </c>
      <c r="H31" s="36">
        <f>'[29]1990'!Q$24</f>
        <v>1.268359624737877</v>
      </c>
      <c r="I31" s="36">
        <f>'[29]1990'!R$24</f>
        <v>1.2583035105280034</v>
      </c>
      <c r="J31" s="45">
        <f>'[29]1990'!S$24</f>
        <v>1.2500066845621041</v>
      </c>
      <c r="K31" s="46">
        <f t="shared" si="1"/>
        <v>0.33382411818999858</v>
      </c>
      <c r="L31" s="35">
        <f t="shared" si="1"/>
        <v>0.30427895262671228</v>
      </c>
      <c r="M31" s="35">
        <f t="shared" si="1"/>
        <v>0.27888646605832695</v>
      </c>
      <c r="N31" s="35">
        <f t="shared" si="1"/>
        <v>0.27117879195778299</v>
      </c>
      <c r="O31" s="35">
        <f t="shared" si="1"/>
        <v>0.26044780154532077</v>
      </c>
      <c r="P31" s="35">
        <f t="shared" si="1"/>
        <v>0.24785738663217086</v>
      </c>
      <c r="Q31" s="35">
        <f t="shared" si="1"/>
        <v>0.23772443152757539</v>
      </c>
      <c r="R31" s="35">
        <f t="shared" si="1"/>
        <v>0.22976439350937683</v>
      </c>
      <c r="S31" s="47">
        <f t="shared" si="1"/>
        <v>0.22314889894959439</v>
      </c>
      <c r="T31" s="65">
        <f t="array" ref="T31:U31">LINEST(K31:S31,$K$2:$S$2)</f>
        <v>-5.0329756137084618E-2</v>
      </c>
      <c r="U31" s="65">
        <v>0.45271344579065309</v>
      </c>
      <c r="V31" s="65">
        <f t="shared" si="2"/>
        <v>1.5725734943890717</v>
      </c>
      <c r="W31" s="61">
        <f t="shared" si="3"/>
        <v>0.99261111172914596</v>
      </c>
      <c r="X31" s="18">
        <f t="array" ref="X31:Y31">LINEST(B31:J31,$K$2:$S$2)</f>
        <v>-6.6460641343541266E-2</v>
      </c>
      <c r="Y31" s="65">
        <v>1.5520743023557373</v>
      </c>
      <c r="Z31" s="61">
        <f t="shared" si="4"/>
        <v>0.99436934458309212</v>
      </c>
      <c r="AA31" s="61">
        <f t="shared" si="5"/>
        <v>0.94020998578898241</v>
      </c>
      <c r="AB31" s="61">
        <f t="shared" si="6"/>
        <v>0.93217612832588959</v>
      </c>
      <c r="AC31" s="18"/>
    </row>
    <row r="32" spans="1:29">
      <c r="A32" s="39" t="s">
        <v>47</v>
      </c>
      <c r="B32" s="46">
        <f>'[30]1990'!K$24</f>
        <v>1.3868608857534024</v>
      </c>
      <c r="C32" s="35">
        <f>'[30]1990'!L$24</f>
        <v>1.3639553136628404</v>
      </c>
      <c r="D32" s="35">
        <f>'[30]1990'!M$24</f>
        <v>1.334391541452087</v>
      </c>
      <c r="E32" s="35">
        <f>'[30]1990'!N$24</f>
        <v>1.3054174227361475</v>
      </c>
      <c r="F32" s="35">
        <f>'[30]1990'!O$24</f>
        <v>1.2846690927988274</v>
      </c>
      <c r="G32" s="35">
        <f>'[30]1990'!P$24</f>
        <v>1.2748337749432137</v>
      </c>
      <c r="H32" s="35">
        <f>'[30]1990'!Q$24</f>
        <v>1.2788048514694768</v>
      </c>
      <c r="I32" s="35">
        <f>'[30]1990'!R$24</f>
        <v>1.2934036196515124</v>
      </c>
      <c r="J32" s="47">
        <f>'[30]1990'!S$24</f>
        <v>1.3135288044033089</v>
      </c>
      <c r="K32" s="46">
        <f t="shared" si="1"/>
        <v>0.32704283763871422</v>
      </c>
      <c r="L32" s="35">
        <f t="shared" si="1"/>
        <v>0.31038879764035715</v>
      </c>
      <c r="M32" s="35">
        <f t="shared" si="1"/>
        <v>0.28847541376239189</v>
      </c>
      <c r="N32" s="35">
        <f t="shared" si="1"/>
        <v>0.2665228537946509</v>
      </c>
      <c r="O32" s="35">
        <f t="shared" si="1"/>
        <v>0.25050116985276483</v>
      </c>
      <c r="P32" s="35">
        <f t="shared" si="1"/>
        <v>0.24281579751758631</v>
      </c>
      <c r="Q32" s="35">
        <f t="shared" si="1"/>
        <v>0.24592593196353846</v>
      </c>
      <c r="R32" s="35">
        <f t="shared" si="1"/>
        <v>0.25727720858180697</v>
      </c>
      <c r="S32" s="47">
        <f t="shared" si="1"/>
        <v>0.27271725940686092</v>
      </c>
      <c r="T32" s="65">
        <f t="array" ref="T32:U32">LINEST(K32:S32,$K$2:$S$2)</f>
        <v>-3.6000056046308682E-2</v>
      </c>
      <c r="U32" s="65">
        <v>0.40761916761437833</v>
      </c>
      <c r="V32" s="65">
        <f t="shared" si="2"/>
        <v>1.5032345717386284</v>
      </c>
      <c r="W32" s="61">
        <f t="shared" si="3"/>
        <v>0.7667852684858194</v>
      </c>
      <c r="X32" s="18">
        <f t="array" ref="X32:Y32">LINEST(B32:J32,$K$2:$S$2)</f>
        <v>-4.7994622461436619E-2</v>
      </c>
      <c r="Y32" s="65">
        <v>1.4938766115117779</v>
      </c>
      <c r="Z32" s="61">
        <f t="shared" si="4"/>
        <v>0.77254288988688735</v>
      </c>
      <c r="AA32" s="61">
        <f t="shared" si="5"/>
        <v>0.56147262833696099</v>
      </c>
      <c r="AB32" s="61">
        <f t="shared" si="6"/>
        <v>0.56491354378085412</v>
      </c>
      <c r="AC32" s="18"/>
    </row>
    <row r="33" spans="1:29">
      <c r="A33" s="39" t="s">
        <v>65</v>
      </c>
      <c r="B33" s="46">
        <f>'[31]1990'!K$24</f>
        <v>1.3285519856984629</v>
      </c>
      <c r="C33" s="35">
        <f>'[31]1990'!L$24</f>
        <v>1.2842535380482079</v>
      </c>
      <c r="D33" s="35">
        <f>'[31]1990'!M$24</f>
        <v>1.2633101259911681</v>
      </c>
      <c r="E33" s="35">
        <f>'[31]1990'!N$24</f>
        <v>1.2530601802762187</v>
      </c>
      <c r="F33" s="35">
        <f>'[31]1990'!O$24</f>
        <v>1.2410959429298725</v>
      </c>
      <c r="G33" s="35">
        <f>'[31]1990'!P$24</f>
        <v>1.2333672126313162</v>
      </c>
      <c r="H33" s="35">
        <f>'[31]1990'!Q$24</f>
        <v>1.2294730247522823</v>
      </c>
      <c r="I33" s="35">
        <f>'[31]1990'!R$24</f>
        <v>1.226367172907711</v>
      </c>
      <c r="J33" s="47">
        <f>'[31]1990'!S$24</f>
        <v>1.2250064344151086</v>
      </c>
      <c r="K33" s="46">
        <f t="shared" si="1"/>
        <v>0.28408961657630094</v>
      </c>
      <c r="L33" s="35">
        <f t="shared" si="1"/>
        <v>0.25017764531430331</v>
      </c>
      <c r="M33" s="35">
        <f t="shared" si="1"/>
        <v>0.23373536032966083</v>
      </c>
      <c r="N33" s="35">
        <f t="shared" si="1"/>
        <v>0.22558870371206946</v>
      </c>
      <c r="O33" s="35">
        <f t="shared" si="1"/>
        <v>0.21599481421710554</v>
      </c>
      <c r="P33" s="35">
        <f t="shared" si="1"/>
        <v>0.20974800030585095</v>
      </c>
      <c r="Q33" s="35">
        <f t="shared" si="1"/>
        <v>0.20658564241901403</v>
      </c>
      <c r="R33" s="35">
        <f t="shared" si="1"/>
        <v>0.20405628118176314</v>
      </c>
      <c r="S33" s="47">
        <f t="shared" si="1"/>
        <v>0.20294609656665766</v>
      </c>
      <c r="T33" s="65">
        <f t="array" ref="T33:U33">LINEST(K33:S33,$K$2:$S$2)</f>
        <v>-3.6984169318235165E-2</v>
      </c>
      <c r="U33" s="65">
        <v>0.36364665425214659</v>
      </c>
      <c r="V33" s="65">
        <f t="shared" si="2"/>
        <v>1.4385658132295709</v>
      </c>
      <c r="W33" s="61">
        <f t="shared" si="3"/>
        <v>0.98060641943031324</v>
      </c>
      <c r="X33" s="18">
        <f t="array" ref="X33:Y33">LINEST(B33:J33,$K$2:$S$2)</f>
        <v>-4.7015017829640286E-2</v>
      </c>
      <c r="Y33" s="65">
        <v>1.4289631641878633</v>
      </c>
      <c r="Z33" s="61">
        <f t="shared" si="4"/>
        <v>0.97752400918645976</v>
      </c>
      <c r="AA33" s="61">
        <f t="shared" si="5"/>
        <v>0.82040734400408299</v>
      </c>
      <c r="AB33" s="61">
        <f t="shared" si="6"/>
        <v>0.81192236461338119</v>
      </c>
      <c r="AC33" s="18"/>
    </row>
    <row r="34" spans="1:29">
      <c r="A34" s="39" t="s">
        <v>66</v>
      </c>
      <c r="B34" s="46">
        <f>'[32]1990'!K$24</f>
        <v>1.3110975612258597</v>
      </c>
      <c r="C34" s="35">
        <f>'[32]1990'!L$24</f>
        <v>1.2897910723541097</v>
      </c>
      <c r="D34" s="35">
        <f>'[32]1990'!M$24</f>
        <v>1.2750009602571852</v>
      </c>
      <c r="E34" s="35">
        <f>'[32]1990'!N$24</f>
        <v>1.2672988581834221</v>
      </c>
      <c r="F34" s="35">
        <f>'[32]1990'!O$24</f>
        <v>1.2638638232191739</v>
      </c>
      <c r="G34" s="35">
        <f>'[32]1990'!P$24</f>
        <v>1.2574334899680917</v>
      </c>
      <c r="H34" s="35">
        <f>'[32]1990'!Q$24</f>
        <v>1.2501762036613628</v>
      </c>
      <c r="I34" s="35">
        <f>'[32]1990'!R$24</f>
        <v>1.2453602734229849</v>
      </c>
      <c r="J34" s="47">
        <f>'[32]1990'!S$24</f>
        <v>1.242139526018162</v>
      </c>
      <c r="K34" s="46">
        <f t="shared" si="1"/>
        <v>0.27086461942375417</v>
      </c>
      <c r="L34" s="35">
        <f t="shared" si="1"/>
        <v>0.25448024584131951</v>
      </c>
      <c r="M34" s="35">
        <f t="shared" si="1"/>
        <v>0.24294693175299623</v>
      </c>
      <c r="N34" s="35">
        <f t="shared" si="1"/>
        <v>0.23688775212182697</v>
      </c>
      <c r="O34" s="35">
        <f t="shared" si="1"/>
        <v>0.23417355512589844</v>
      </c>
      <c r="P34" s="35">
        <f t="shared" si="1"/>
        <v>0.22907273091155778</v>
      </c>
      <c r="Q34" s="35">
        <f t="shared" si="1"/>
        <v>0.22328450430895991</v>
      </c>
      <c r="R34" s="35">
        <f t="shared" si="1"/>
        <v>0.21942486429880279</v>
      </c>
      <c r="S34" s="47">
        <f t="shared" si="1"/>
        <v>0.21683531699082581</v>
      </c>
      <c r="T34" s="65">
        <f t="array" ref="T34:U34">LINEST(K34:S34,$K$2:$S$2)</f>
        <v>-2.4318361418595558E-2</v>
      </c>
      <c r="U34" s="65">
        <v>0.32702731740572977</v>
      </c>
      <c r="V34" s="65">
        <f t="shared" si="2"/>
        <v>1.3868393615163694</v>
      </c>
      <c r="W34" s="61">
        <f t="shared" si="3"/>
        <v>0.99519096748617342</v>
      </c>
      <c r="X34" s="18">
        <f t="array" ref="X34:Y34">LINEST(B34:J34,$K$2:$S$2)</f>
        <v>-3.1013197680925204E-2</v>
      </c>
      <c r="Y34" s="65">
        <v>1.3824313460692004</v>
      </c>
      <c r="Z34" s="61">
        <f t="shared" si="4"/>
        <v>0.99547642780278878</v>
      </c>
      <c r="AA34" s="61">
        <f t="shared" si="5"/>
        <v>0.91984857208083504</v>
      </c>
      <c r="AB34" s="61">
        <f t="shared" si="6"/>
        <v>0.91537708300939125</v>
      </c>
      <c r="AC34" s="18"/>
    </row>
    <row r="35" spans="1:29">
      <c r="A35" s="39" t="s">
        <v>48</v>
      </c>
      <c r="B35" s="44">
        <f>'[33]1990'!K$24</f>
        <v>1.3848661716333772</v>
      </c>
      <c r="C35" s="36">
        <f>'[33]1990'!L$24</f>
        <v>1.3541020206663816</v>
      </c>
      <c r="D35" s="36">
        <f>'[33]1990'!M$24</f>
        <v>1.3376145866573186</v>
      </c>
      <c r="E35" s="36">
        <f>'[33]1990'!N$24</f>
        <v>1.3255911469497201</v>
      </c>
      <c r="F35" s="36">
        <f>'[33]1990'!O$24</f>
        <v>1.315316264996125</v>
      </c>
      <c r="G35" s="36">
        <f>'[33]1990'!P$24</f>
        <v>1.3074104676721685</v>
      </c>
      <c r="H35" s="36">
        <f>'[33]1990'!Q$24</f>
        <v>1.2996850135029854</v>
      </c>
      <c r="I35" s="36">
        <f>'[33]1990'!R$24</f>
        <v>1.2929926440222419</v>
      </c>
      <c r="J35" s="45">
        <f>'[33]1990'!S$24</f>
        <v>1.2853519714869961</v>
      </c>
      <c r="K35" s="46">
        <f t="shared" si="1"/>
        <v>0.32560350799110344</v>
      </c>
      <c r="L35" s="35">
        <f t="shared" si="1"/>
        <v>0.3031385192633978</v>
      </c>
      <c r="M35" s="35">
        <f t="shared" si="1"/>
        <v>0.29088786838551955</v>
      </c>
      <c r="N35" s="35">
        <f t="shared" si="1"/>
        <v>0.28185850858477052</v>
      </c>
      <c r="O35" s="35">
        <f t="shared" si="1"/>
        <v>0.27407714241334352</v>
      </c>
      <c r="P35" s="35">
        <f t="shared" si="1"/>
        <v>0.26804843864460604</v>
      </c>
      <c r="Q35" s="35">
        <f t="shared" si="1"/>
        <v>0.26212193780336063</v>
      </c>
      <c r="R35" s="35">
        <f t="shared" si="1"/>
        <v>0.25695941069561173</v>
      </c>
      <c r="S35" s="47">
        <f t="shared" si="1"/>
        <v>0.25103258861327937</v>
      </c>
      <c r="T35" s="65">
        <f t="array" ref="T35:U35">LINEST(K35:S35,$K$2:$S$2)</f>
        <v>-3.3294833339554103E-2</v>
      </c>
      <c r="U35" s="65">
        <v>0.40332670189760389</v>
      </c>
      <c r="V35" s="65">
        <f t="shared" si="2"/>
        <v>1.4967958178266907</v>
      </c>
      <c r="W35" s="61">
        <f t="shared" si="3"/>
        <v>0.99733000874123012</v>
      </c>
      <c r="X35" s="18">
        <f t="array" ref="X35:Y35">LINEST(B35:J35,$K$2:$S$2)</f>
        <v>-4.4408305585494134E-2</v>
      </c>
      <c r="Y35" s="65">
        <v>1.4879692084880107</v>
      </c>
      <c r="Z35" s="61">
        <f t="shared" si="4"/>
        <v>0.99819359421699727</v>
      </c>
      <c r="AA35" s="61">
        <f t="shared" si="5"/>
        <v>0.93556869632487627</v>
      </c>
      <c r="AB35" s="61">
        <f t="shared" si="6"/>
        <v>0.92987557384199182</v>
      </c>
      <c r="AC35" s="18"/>
    </row>
    <row r="36" spans="1:29">
      <c r="A36" s="39" t="s">
        <v>67</v>
      </c>
      <c r="B36" s="44">
        <f>'[34]1990'!K$24</f>
        <v>1.2841177547554121</v>
      </c>
      <c r="C36" s="36">
        <f>'[34]1990'!L$24</f>
        <v>1.2265252494853012</v>
      </c>
      <c r="D36" s="36">
        <f>'[34]1990'!M$24</f>
        <v>1.2022800918654142</v>
      </c>
      <c r="E36" s="36">
        <f>'[34]1990'!N$24</f>
        <v>1.1865529546953812</v>
      </c>
      <c r="F36" s="36">
        <f>'[34]1990'!O$24</f>
        <v>1.1750407221381178</v>
      </c>
      <c r="G36" s="36">
        <f>'[34]1990'!P$24</f>
        <v>1.1669146309492935</v>
      </c>
      <c r="H36" s="36">
        <f>'[34]1990'!Q$24</f>
        <v>1.1601779981390801</v>
      </c>
      <c r="I36" s="36">
        <f>'[34]1990'!R$24</f>
        <v>1.1537358360102858</v>
      </c>
      <c r="J36" s="45">
        <f>'[34]1990'!S$24</f>
        <v>1.1487822147683098</v>
      </c>
      <c r="K36" s="46">
        <f t="shared" si="1"/>
        <v>0.25007191037379628</v>
      </c>
      <c r="L36" s="35">
        <f t="shared" si="1"/>
        <v>0.2041851711211391</v>
      </c>
      <c r="M36" s="35">
        <f t="shared" si="1"/>
        <v>0.18421983048636603</v>
      </c>
      <c r="N36" s="35">
        <f t="shared" si="1"/>
        <v>0.17105242690944655</v>
      </c>
      <c r="O36" s="35">
        <f t="shared" si="1"/>
        <v>0.16130280413440121</v>
      </c>
      <c r="P36" s="35">
        <f t="shared" si="1"/>
        <v>0.15436319805733958</v>
      </c>
      <c r="Q36" s="35">
        <f t="shared" si="1"/>
        <v>0.14857344001815773</v>
      </c>
      <c r="R36" s="35">
        <f t="shared" si="1"/>
        <v>0.14300523027877593</v>
      </c>
      <c r="S36" s="47">
        <f t="shared" si="1"/>
        <v>0.13870243761843537</v>
      </c>
      <c r="T36" s="65">
        <f t="array" ref="T36:U36">LINEST(K36:S36,$K$2:$S$2)</f>
        <v>-4.9308422011180672E-2</v>
      </c>
      <c r="U36" s="65">
        <v>0.35650509980423128</v>
      </c>
      <c r="V36" s="65">
        <f t="shared" si="2"/>
        <v>1.4283288146974249</v>
      </c>
      <c r="W36" s="61">
        <f t="shared" si="3"/>
        <v>0.98663357872105739</v>
      </c>
      <c r="X36" s="18">
        <f t="array" ref="X36:Y36">LINEST(B36:J36,$K$2:$S$2)</f>
        <v>-5.9695338559906358E-2</v>
      </c>
      <c r="Y36" s="65">
        <v>1.4117132498465588</v>
      </c>
      <c r="Z36" s="61">
        <f t="shared" si="4"/>
        <v>0.98249619158585055</v>
      </c>
      <c r="AA36" s="61">
        <f t="shared" si="5"/>
        <v>0.84011004448642568</v>
      </c>
      <c r="AB36" s="61">
        <f t="shared" si="6"/>
        <v>0.82796591703516487</v>
      </c>
      <c r="AC36" s="18"/>
    </row>
    <row r="37" spans="1:29">
      <c r="A37" s="39" t="s">
        <v>49</v>
      </c>
      <c r="B37" s="44">
        <f>'[35]1990'!K$24</f>
        <v>1.3377242090881898</v>
      </c>
      <c r="C37" s="36">
        <f>'[35]1990'!L$24</f>
        <v>1.3059498158416865</v>
      </c>
      <c r="D37" s="36">
        <f>'[35]1990'!M$24</f>
        <v>1.2936940628378486</v>
      </c>
      <c r="E37" s="36">
        <f>'[35]1990'!N$24</f>
        <v>1.2808248740156463</v>
      </c>
      <c r="F37" s="36">
        <f>'[35]1990'!O$24</f>
        <v>1.2687811766218124</v>
      </c>
      <c r="G37" s="36">
        <f>'[35]1990'!P$24</f>
        <v>1.2594367890944496</v>
      </c>
      <c r="H37" s="36">
        <f>'[35]1990'!Q$24</f>
        <v>1.2543540749183388</v>
      </c>
      <c r="I37" s="36">
        <f>'[35]1990'!R$24</f>
        <v>1.2498088103824545</v>
      </c>
      <c r="J37" s="45">
        <f>'[35]1990'!S$24</f>
        <v>1.2441574943956268</v>
      </c>
      <c r="K37" s="46">
        <f t="shared" si="1"/>
        <v>0.29096981870232197</v>
      </c>
      <c r="L37" s="35">
        <f t="shared" si="1"/>
        <v>0.26693060426731535</v>
      </c>
      <c r="M37" s="35">
        <f t="shared" si="1"/>
        <v>0.25750174064298292</v>
      </c>
      <c r="N37" s="35">
        <f t="shared" si="1"/>
        <v>0.24750430319858319</v>
      </c>
      <c r="O37" s="35">
        <f t="shared" si="1"/>
        <v>0.23805673621290363</v>
      </c>
      <c r="P37" s="35">
        <f t="shared" si="1"/>
        <v>0.23066462825014999</v>
      </c>
      <c r="Q37" s="35">
        <f t="shared" si="1"/>
        <v>0.22662075874987392</v>
      </c>
      <c r="R37" s="35">
        <f t="shared" si="1"/>
        <v>0.22299058792187015</v>
      </c>
      <c r="S37" s="47">
        <f t="shared" si="1"/>
        <v>0.2184585895153961</v>
      </c>
      <c r="T37" s="65">
        <f t="array" ref="T37:U37">LINEST(K37:S37,$K$2:$S$2)</f>
        <v>-3.3044154980521434E-2</v>
      </c>
      <c r="U37" s="65">
        <v>0.36750068297396776</v>
      </c>
      <c r="V37" s="65">
        <f t="shared" si="2"/>
        <v>1.4441207848261155</v>
      </c>
      <c r="W37" s="61">
        <f t="shared" si="3"/>
        <v>0.9967204376415415</v>
      </c>
      <c r="X37" s="18">
        <f t="array" ref="X37:Y37">LINEST(B37:J37,$K$2:$S$2)</f>
        <v>-4.2579040035359297E-2</v>
      </c>
      <c r="Y37" s="65">
        <v>1.4357997330812156</v>
      </c>
      <c r="Z37" s="61">
        <f t="shared" si="4"/>
        <v>0.99707774930772208</v>
      </c>
      <c r="AA37" s="61">
        <f t="shared" si="5"/>
        <v>0.92070136309827733</v>
      </c>
      <c r="AB37" s="61">
        <f t="shared" si="6"/>
        <v>0.91499075390863016</v>
      </c>
      <c r="AC37" s="18"/>
    </row>
    <row r="38" spans="1:29">
      <c r="A38" s="39" t="s">
        <v>50</v>
      </c>
      <c r="B38" s="44">
        <f>'[36]1990'!K$24</f>
        <v>1.3964819567172002</v>
      </c>
      <c r="C38" s="36">
        <f>'[36]1990'!L$24</f>
        <v>1.330058039366363</v>
      </c>
      <c r="D38" s="36">
        <f>'[36]1990'!M$24</f>
        <v>1.2978145775706831</v>
      </c>
      <c r="E38" s="36">
        <f>'[36]1990'!N$24</f>
        <v>1.2770429807896806</v>
      </c>
      <c r="F38" s="36">
        <f>'[36]1990'!O$24</f>
        <v>1.2611477808444327</v>
      </c>
      <c r="G38" s="36">
        <f>'[36]1990'!P$24</f>
        <v>1.249961861513895</v>
      </c>
      <c r="H38" s="36">
        <f>'[36]1990'!Q$24</f>
        <v>1.242272774487758</v>
      </c>
      <c r="I38" s="36">
        <f>'[36]1990'!R$24</f>
        <v>1.2360973278953262</v>
      </c>
      <c r="J38" s="45">
        <f>'[36]1990'!S$24</f>
        <v>1.230645564176768</v>
      </c>
      <c r="K38" s="46">
        <f t="shared" si="1"/>
        <v>0.33395618595958304</v>
      </c>
      <c r="L38" s="35">
        <f t="shared" si="1"/>
        <v>0.28522257990285105</v>
      </c>
      <c r="M38" s="35">
        <f t="shared" si="1"/>
        <v>0.26068175566664487</v>
      </c>
      <c r="N38" s="35">
        <f t="shared" si="1"/>
        <v>0.24454723411099827</v>
      </c>
      <c r="O38" s="35">
        <f t="shared" si="1"/>
        <v>0.23202224349003175</v>
      </c>
      <c r="P38" s="35">
        <f t="shared" si="1"/>
        <v>0.22311304005986216</v>
      </c>
      <c r="Q38" s="35">
        <f t="shared" si="1"/>
        <v>0.21694258458863686</v>
      </c>
      <c r="R38" s="35">
        <f t="shared" si="1"/>
        <v>0.21195910018721523</v>
      </c>
      <c r="S38" s="47">
        <f t="shared" si="1"/>
        <v>0.2075388806235049</v>
      </c>
      <c r="T38" s="65">
        <f t="array" ref="T38:U38">LINEST(K38:S38,$K$2:$S$2)</f>
        <v>-5.7230510339396863E-2</v>
      </c>
      <c r="U38" s="65">
        <v>0.45940464492208194</v>
      </c>
      <c r="V38" s="65">
        <f t="shared" si="2"/>
        <v>1.5831311791836788</v>
      </c>
      <c r="W38" s="61">
        <f t="shared" si="3"/>
        <v>0.98993166500802787</v>
      </c>
      <c r="X38" s="18">
        <f t="array" ref="X38:Y38">LINEST(B38:J38,$K$2:$S$2)</f>
        <v>-7.4735679958855772E-2</v>
      </c>
      <c r="Y38" s="65">
        <v>1.558560389788253</v>
      </c>
      <c r="Z38" s="61">
        <f t="shared" si="4"/>
        <v>0.98602447491052658</v>
      </c>
      <c r="AA38" s="61">
        <f t="shared" si="5"/>
        <v>0.84733304641783824</v>
      </c>
      <c r="AB38" s="61">
        <f t="shared" si="6"/>
        <v>0.83442599595768319</v>
      </c>
      <c r="AC38" s="18"/>
    </row>
    <row r="39" spans="1:29">
      <c r="A39" s="39" t="s">
        <v>51</v>
      </c>
      <c r="B39" s="44">
        <f>'[37]1990'!K$24</f>
        <v>1.5132631454535335</v>
      </c>
      <c r="C39" s="36">
        <f>'[37]1990'!L$24</f>
        <v>1.4581242721044561</v>
      </c>
      <c r="D39" s="36">
        <f>'[37]1990'!M$24</f>
        <v>1.429386472105842</v>
      </c>
      <c r="E39" s="36">
        <f>'[37]1990'!N$24</f>
        <v>1.4103524391976028</v>
      </c>
      <c r="F39" s="36">
        <f>'[37]1990'!O$24</f>
        <v>1.404257765675055</v>
      </c>
      <c r="G39" s="36">
        <f>'[37]1990'!P$24</f>
        <v>1.4058560685168755</v>
      </c>
      <c r="H39" s="36">
        <f>'[37]1990'!Q$24</f>
        <v>1.4076966144275667</v>
      </c>
      <c r="I39" s="36">
        <f>'[37]1990'!R$24</f>
        <v>1.4067225747834864</v>
      </c>
      <c r="J39" s="45">
        <f>'[37]1990'!S$24</f>
        <v>1.4090100947005904</v>
      </c>
      <c r="K39" s="46">
        <f t="shared" si="1"/>
        <v>0.41426834265332202</v>
      </c>
      <c r="L39" s="35">
        <f t="shared" si="1"/>
        <v>0.37715086459374553</v>
      </c>
      <c r="M39" s="35">
        <f t="shared" si="1"/>
        <v>0.35724531172218787</v>
      </c>
      <c r="N39" s="35">
        <f t="shared" si="1"/>
        <v>0.3438396300337937</v>
      </c>
      <c r="O39" s="35">
        <f t="shared" si="1"/>
        <v>0.33950888253799449</v>
      </c>
      <c r="P39" s="35">
        <f t="shared" si="1"/>
        <v>0.34064641867245427</v>
      </c>
      <c r="Q39" s="35">
        <f t="shared" si="1"/>
        <v>0.34195476181057743</v>
      </c>
      <c r="R39" s="35">
        <f t="shared" si="1"/>
        <v>0.34126258369673879</v>
      </c>
      <c r="S39" s="47">
        <f t="shared" si="1"/>
        <v>0.34288739733416496</v>
      </c>
      <c r="T39" s="65">
        <f t="array" ref="T39:U39">LINEST(K39:S39,$K$2:$S$2)</f>
        <v>-3.2430593579394068E-2</v>
      </c>
      <c r="U39" s="65">
        <v>0.4762225410145301</v>
      </c>
      <c r="V39" s="65">
        <f t="shared" si="2"/>
        <v>1.6099812629582659</v>
      </c>
      <c r="W39" s="61">
        <f t="shared" si="3"/>
        <v>0.85635040947854457</v>
      </c>
      <c r="X39" s="18">
        <f t="array" ref="X39:Y39">LINEST(B39:J39,$K$2:$S$2)</f>
        <v>-4.7116422099929577E-2</v>
      </c>
      <c r="Y39" s="65">
        <v>1.602694654958847</v>
      </c>
      <c r="Z39" s="61">
        <f t="shared" si="4"/>
        <v>0.85353964511800873</v>
      </c>
      <c r="AA39" s="61">
        <f t="shared" si="5"/>
        <v>0.59773210461594517</v>
      </c>
      <c r="AB39" s="61">
        <f t="shared" si="6"/>
        <v>0.59343878877161849</v>
      </c>
      <c r="AC39" s="18"/>
    </row>
    <row r="40" spans="1:29">
      <c r="A40" s="39" t="s">
        <v>52</v>
      </c>
      <c r="B40" s="44">
        <f>'[38]1990'!K$24</f>
        <v>1.3175246716287143</v>
      </c>
      <c r="C40" s="36">
        <f>'[38]1990'!L$24</f>
        <v>1.2713656590722755</v>
      </c>
      <c r="D40" s="36">
        <f>'[38]1990'!M$24</f>
        <v>1.2504642611124295</v>
      </c>
      <c r="E40" s="36">
        <f>'[38]1990'!N$24</f>
        <v>1.2344075390802982</v>
      </c>
      <c r="F40" s="36">
        <f>'[38]1990'!O$24</f>
        <v>1.2254999619708764</v>
      </c>
      <c r="G40" s="36">
        <f>'[38]1990'!P$24</f>
        <v>1.2326892306619415</v>
      </c>
      <c r="H40" s="36">
        <f>'[38]1990'!Q$24</f>
        <v>1.2516865842920009</v>
      </c>
      <c r="I40" s="36">
        <f>'[38]1990'!R$24</f>
        <v>1.2777037231788928</v>
      </c>
      <c r="J40" s="45">
        <f>'[38]1990'!S$24</f>
        <v>1.3034961857915537</v>
      </c>
      <c r="K40" s="46">
        <f t="shared" si="1"/>
        <v>0.27575472735195006</v>
      </c>
      <c r="L40" s="35">
        <f t="shared" si="1"/>
        <v>0.24009164482997733</v>
      </c>
      <c r="M40" s="35">
        <f t="shared" si="1"/>
        <v>0.22351489124894477</v>
      </c>
      <c r="N40" s="35">
        <f t="shared" si="1"/>
        <v>0.21059112953382303</v>
      </c>
      <c r="O40" s="35">
        <f t="shared" si="1"/>
        <v>0.20334889295451314</v>
      </c>
      <c r="P40" s="35">
        <f t="shared" si="1"/>
        <v>0.20919814915520096</v>
      </c>
      <c r="Q40" s="35">
        <f t="shared" si="1"/>
        <v>0.22449190930446969</v>
      </c>
      <c r="R40" s="35">
        <f t="shared" si="1"/>
        <v>0.24506450058044388</v>
      </c>
      <c r="S40" s="47">
        <f t="shared" si="1"/>
        <v>0.26505002825867924</v>
      </c>
      <c r="T40" s="65">
        <f t="array" ref="T40:U40">LINEST(K40:S40,$K$2:$S$2)</f>
        <v>-1.1630950141422545E-2</v>
      </c>
      <c r="U40" s="65">
        <v>0.27633717356387683</v>
      </c>
      <c r="V40" s="65">
        <f t="shared" si="2"/>
        <v>1.318292282407119</v>
      </c>
      <c r="W40" s="61">
        <f t="shared" si="3"/>
        <v>0.10847768220935355</v>
      </c>
      <c r="X40" s="18">
        <f t="array" ref="X40:Y40">LINEST(B40:J40,$K$2:$S$2)</f>
        <v>-1.4898156539738914E-2</v>
      </c>
      <c r="Y40" s="65">
        <v>1.3182555450039357</v>
      </c>
      <c r="Z40" s="61">
        <f t="shared" si="4"/>
        <v>0.11032706335887209</v>
      </c>
      <c r="AA40" s="61">
        <f t="shared" si="5"/>
        <v>2.4135999353656259E-3</v>
      </c>
      <c r="AB40" s="61">
        <f t="shared" si="6"/>
        <v>2.6483148716137913E-3</v>
      </c>
      <c r="AC40" s="18"/>
    </row>
    <row r="41" spans="1:29">
      <c r="A41" s="39" t="s">
        <v>53</v>
      </c>
      <c r="B41" s="44">
        <f>'[39]1990'!K$24</f>
        <v>1.3311216464630611</v>
      </c>
      <c r="C41" s="36">
        <f>'[39]1990'!L$24</f>
        <v>1.2718152957128177</v>
      </c>
      <c r="D41" s="36">
        <f>'[39]1990'!M$24</f>
        <v>1.2414407144506381</v>
      </c>
      <c r="E41" s="36">
        <f>'[39]1990'!N$24</f>
        <v>1.2184570449621424</v>
      </c>
      <c r="F41" s="36">
        <f>'[39]1990'!O$24</f>
        <v>1.2020114783975173</v>
      </c>
      <c r="G41" s="36">
        <f>'[39]1990'!P$24</f>
        <v>1.1916664069564715</v>
      </c>
      <c r="H41" s="36">
        <f>'[39]1990'!Q$24</f>
        <v>1.1856403500794577</v>
      </c>
      <c r="I41" s="36">
        <f>'[39]1990'!R$24</f>
        <v>1.1824888896863308</v>
      </c>
      <c r="J41" s="45">
        <f>'[39]1990'!S$24</f>
        <v>1.1804905890715129</v>
      </c>
      <c r="K41" s="46">
        <f t="shared" si="1"/>
        <v>0.28602193002490051</v>
      </c>
      <c r="L41" s="35">
        <f t="shared" si="1"/>
        <v>0.240445246601319</v>
      </c>
      <c r="M41" s="35">
        <f t="shared" si="1"/>
        <v>0.21627257166488154</v>
      </c>
      <c r="N41" s="35">
        <f t="shared" si="1"/>
        <v>0.19758534107121634</v>
      </c>
      <c r="O41" s="35">
        <f t="shared" si="1"/>
        <v>0.18399638548299227</v>
      </c>
      <c r="P41" s="35">
        <f t="shared" si="1"/>
        <v>0.17535266953921225</v>
      </c>
      <c r="Q41" s="35">
        <f t="shared" si="1"/>
        <v>0.17028300844838873</v>
      </c>
      <c r="R41" s="35">
        <f t="shared" si="1"/>
        <v>0.16762144572571536</v>
      </c>
      <c r="S41" s="47">
        <f t="shared" si="1"/>
        <v>0.16593010552648929</v>
      </c>
      <c r="T41" s="65">
        <f t="array" ref="T41:U41">LINEST(K41:S41,$K$2:$S$2)</f>
        <v>-5.6143334034386566E-2</v>
      </c>
      <c r="U41" s="65">
        <v>0.4095243574129992</v>
      </c>
      <c r="V41" s="65">
        <f t="shared" si="2"/>
        <v>1.5061012488244994</v>
      </c>
      <c r="W41" s="61">
        <f t="shared" si="3"/>
        <v>0.98377253425051903</v>
      </c>
      <c r="X41" s="18">
        <f t="array" ref="X41:Y41">LINEST(B41:J41,$K$2:$S$2)</f>
        <v>-7.0024287390467121E-2</v>
      </c>
      <c r="Y41" s="65">
        <v>1.4836336872226377</v>
      </c>
      <c r="Z41" s="61">
        <f t="shared" si="4"/>
        <v>0.98038281157187579</v>
      </c>
      <c r="AA41" s="61">
        <f t="shared" si="5"/>
        <v>0.83084087276109542</v>
      </c>
      <c r="AB41" s="61">
        <f t="shared" si="6"/>
        <v>0.81954836825607147</v>
      </c>
      <c r="AC41" s="18"/>
    </row>
    <row r="42" spans="1:29">
      <c r="A42" s="39" t="s">
        <v>162</v>
      </c>
      <c r="B42" s="46">
        <f>'[40]1990'!K$24</f>
        <v>1.2967935188849744</v>
      </c>
      <c r="C42" s="35">
        <f>'[40]1990'!L$24</f>
        <v>1.2523603170809248</v>
      </c>
      <c r="D42" s="35">
        <f>'[40]1990'!M$24</f>
        <v>1.2300018773129411</v>
      </c>
      <c r="E42" s="35">
        <f>'[40]1990'!N$24</f>
        <v>1.2155184607907008</v>
      </c>
      <c r="F42" s="35">
        <f>'[40]1990'!O$24</f>
        <v>1.2051187826060623</v>
      </c>
      <c r="G42" s="35">
        <f>'[40]1990'!P$24</f>
        <v>1.1981230153781832</v>
      </c>
      <c r="H42" s="35">
        <f>'[40]1990'!Q$24</f>
        <v>1.1939909654114582</v>
      </c>
      <c r="I42" s="35">
        <f>'[40]1990'!R$24</f>
        <v>1.1915082714674636</v>
      </c>
      <c r="J42" s="47">
        <f>'[40]1990'!S$24</f>
        <v>1.1903924626591105</v>
      </c>
      <c r="K42" s="46">
        <f t="shared" si="1"/>
        <v>0.25989469365152762</v>
      </c>
      <c r="L42" s="35">
        <f t="shared" si="1"/>
        <v>0.22503002446901563</v>
      </c>
      <c r="M42" s="35">
        <f t="shared" si="1"/>
        <v>0.20701569565384517</v>
      </c>
      <c r="N42" s="35">
        <f t="shared" si="1"/>
        <v>0.19517070247499754</v>
      </c>
      <c r="O42" s="35">
        <f t="shared" si="1"/>
        <v>0.18657813686125946</v>
      </c>
      <c r="P42" s="35">
        <f t="shared" si="1"/>
        <v>0.18075617837669897</v>
      </c>
      <c r="Q42" s="35">
        <f t="shared" si="1"/>
        <v>0.17730144828471289</v>
      </c>
      <c r="R42" s="35">
        <f t="shared" si="1"/>
        <v>0.17521995959505945</v>
      </c>
      <c r="S42" s="47">
        <f t="shared" si="1"/>
        <v>0.17428305330506402</v>
      </c>
      <c r="T42" s="65">
        <f t="array" ref="T42:U42">LINEST(K42:S42,$K$2:$S$2)</f>
        <v>-3.9445459635474044E-2</v>
      </c>
      <c r="U42" s="65">
        <v>0.34485140087605609</v>
      </c>
      <c r="V42" s="65">
        <f t="shared" si="2"/>
        <v>1.4117801147913753</v>
      </c>
      <c r="W42" s="61">
        <f t="shared" si="3"/>
        <v>0.97740416059038393</v>
      </c>
      <c r="X42" s="18">
        <f t="array" ref="X42:Y42">LINEST(B42:J42,$K$2:$S$2)</f>
        <v>-4.8818965969355144E-2</v>
      </c>
      <c r="Y42" s="65">
        <v>1.4011631179283621</v>
      </c>
      <c r="Z42" s="61">
        <f t="shared" si="4"/>
        <v>0.97417642649139513</v>
      </c>
      <c r="AA42" s="61">
        <f t="shared" si="5"/>
        <v>0.8095941822967464</v>
      </c>
      <c r="AB42" s="61">
        <f t="shared" si="6"/>
        <v>0.80099549292268957</v>
      </c>
      <c r="AC42" s="18"/>
    </row>
    <row r="43" spans="1:29">
      <c r="A43" s="39" t="s">
        <v>54</v>
      </c>
      <c r="B43" s="44">
        <f>'[41]1990'!K$24</f>
        <v>1.4561519355494399</v>
      </c>
      <c r="C43" s="36">
        <f>'[41]1990'!L$24</f>
        <v>1.4530437206861992</v>
      </c>
      <c r="D43" s="36">
        <f>'[41]1990'!M$24</f>
        <v>1.4421055990573115</v>
      </c>
      <c r="E43" s="36">
        <f>'[41]1990'!N$24</f>
        <v>1.4350462564567303</v>
      </c>
      <c r="F43" s="36">
        <f>'[41]1990'!O$24</f>
        <v>1.4385781100971682</v>
      </c>
      <c r="G43" s="36">
        <f>'[41]1990'!P$24</f>
        <v>1.4347685339495491</v>
      </c>
      <c r="H43" s="36">
        <f>'[41]1990'!Q$24</f>
        <v>1.4288784987189356</v>
      </c>
      <c r="I43" s="36">
        <f>'[41]1990'!R$24</f>
        <v>1.4240532472781748</v>
      </c>
      <c r="J43" s="45">
        <f>'[41]1990'!S$24</f>
        <v>1.4191489046882568</v>
      </c>
      <c r="K43" s="46">
        <f t="shared" si="1"/>
        <v>0.37579729566917303</v>
      </c>
      <c r="L43" s="35">
        <f t="shared" si="1"/>
        <v>0.3736604740777783</v>
      </c>
      <c r="M43" s="35">
        <f t="shared" si="1"/>
        <v>0.3661042671505102</v>
      </c>
      <c r="N43" s="35">
        <f t="shared" si="1"/>
        <v>0.36119708315668569</v>
      </c>
      <c r="O43" s="35">
        <f t="shared" si="1"/>
        <v>0.36365520222049658</v>
      </c>
      <c r="P43" s="35">
        <f t="shared" si="1"/>
        <v>0.36100353581768901</v>
      </c>
      <c r="Q43" s="35">
        <f t="shared" si="1"/>
        <v>0.35688986994373867</v>
      </c>
      <c r="R43" s="35">
        <f t="shared" si="1"/>
        <v>0.35350720504221977</v>
      </c>
      <c r="S43" s="47">
        <f t="shared" si="1"/>
        <v>0.3500573290278321</v>
      </c>
      <c r="T43" s="65">
        <f t="array" ref="T43:U43">LINEST(K43:S43,$K$2:$S$2)</f>
        <v>-1.1355247391170392E-2</v>
      </c>
      <c r="U43" s="65">
        <v>0.4047286656147831</v>
      </c>
      <c r="V43" s="65">
        <f t="shared" si="2"/>
        <v>1.4988957429207541</v>
      </c>
      <c r="W43" s="61">
        <f t="shared" si="3"/>
        <v>0.90949305790792978</v>
      </c>
      <c r="X43" s="18">
        <f t="array" ref="X43:Y43">LINEST(B43:J43,$K$2:$S$2)</f>
        <v>-1.6343999851724945E-2</v>
      </c>
      <c r="Y43" s="65">
        <v>1.4977454362982594</v>
      </c>
      <c r="Z43" s="61">
        <f t="shared" si="4"/>
        <v>0.91095488256169665</v>
      </c>
      <c r="AA43" s="61">
        <f t="shared" si="5"/>
        <v>0.94131282389630544</v>
      </c>
      <c r="AB43" s="61">
        <f t="shared" si="6"/>
        <v>0.94064004758682618</v>
      </c>
      <c r="AC43" s="18"/>
    </row>
    <row r="44" spans="1:29">
      <c r="A44" s="39" t="s">
        <v>55</v>
      </c>
      <c r="B44" s="44">
        <f>'[42]1990'!K$24</f>
        <v>1.3613500876534124</v>
      </c>
      <c r="C44" s="36">
        <f>'[42]1990'!L$24</f>
        <v>1.3430648675798638</v>
      </c>
      <c r="D44" s="36">
        <f>'[42]1990'!M$24</f>
        <v>1.3440889544483587</v>
      </c>
      <c r="E44" s="36">
        <f>'[42]1990'!N$24</f>
        <v>1.35647149571574</v>
      </c>
      <c r="F44" s="36">
        <f>'[42]1990'!O$24</f>
        <v>1.3560394623383627</v>
      </c>
      <c r="G44" s="36">
        <f>'[42]1990'!P$24</f>
        <v>1.3538234278475918</v>
      </c>
      <c r="H44" s="36">
        <f>'[42]1990'!Q$24</f>
        <v>1.3584765487124808</v>
      </c>
      <c r="I44" s="36">
        <f>'[42]1990'!R$24</f>
        <v>1.3585092754758687</v>
      </c>
      <c r="J44" s="45">
        <f>'[42]1990'!S$24</f>
        <v>1.3567658510298659</v>
      </c>
      <c r="K44" s="46">
        <f t="shared" si="1"/>
        <v>0.30847691884560702</v>
      </c>
      <c r="L44" s="35">
        <f t="shared" si="1"/>
        <v>0.29495421688089629</v>
      </c>
      <c r="M44" s="35">
        <f t="shared" si="1"/>
        <v>0.29571642625624328</v>
      </c>
      <c r="N44" s="35">
        <f t="shared" si="1"/>
        <v>0.30488683978566911</v>
      </c>
      <c r="O44" s="35">
        <f t="shared" si="1"/>
        <v>0.30456829111418982</v>
      </c>
      <c r="P44" s="35">
        <f t="shared" si="1"/>
        <v>0.30293275819274085</v>
      </c>
      <c r="Q44" s="35">
        <f t="shared" si="1"/>
        <v>0.30636388710183105</v>
      </c>
      <c r="R44" s="35">
        <f t="shared" ref="R44:S53" si="7">LN(I44)</f>
        <v>0.30638797759438952</v>
      </c>
      <c r="S44" s="47">
        <f t="shared" si="7"/>
        <v>0.30510381698129396</v>
      </c>
      <c r="T44" s="65">
        <f t="array" ref="T44:U44">LINEST(K44:S44,$K$2:$S$2)</f>
        <v>1.5108212472923256E-3</v>
      </c>
      <c r="U44" s="65">
        <v>0.2976378566057819</v>
      </c>
      <c r="V44" s="65">
        <f t="shared" si="2"/>
        <v>1.3466740104651456</v>
      </c>
      <c r="W44" s="61">
        <f t="shared" si="3"/>
        <v>5.2369200298221764E-2</v>
      </c>
      <c r="X44" s="18">
        <f t="array" ref="X44:Y44">LINEST(B44:J44,$K$2:$S$2)</f>
        <v>2.0308473307293576E-3</v>
      </c>
      <c r="Y44" s="65">
        <v>1.3467228471695787</v>
      </c>
      <c r="Z44" s="61">
        <f t="shared" si="4"/>
        <v>5.1818749425827038E-2</v>
      </c>
      <c r="AA44" s="61">
        <f t="shared" si="5"/>
        <v>0.14893584058131656</v>
      </c>
      <c r="AB44" s="61">
        <f t="shared" si="6"/>
        <v>0.1482132394823184</v>
      </c>
      <c r="AC44" s="18"/>
    </row>
    <row r="45" spans="1:29">
      <c r="A45" s="39" t="s">
        <v>68</v>
      </c>
      <c r="B45" s="44">
        <f>'[43]1990'!K$24</f>
        <v>1.4519665174020164</v>
      </c>
      <c r="C45" s="36">
        <f>'[43]1990'!L$24</f>
        <v>1.4119484182327386</v>
      </c>
      <c r="D45" s="36">
        <f>'[43]1990'!M$24</f>
        <v>1.380428163161324</v>
      </c>
      <c r="E45" s="36">
        <f>'[43]1990'!N$24</f>
        <v>1.3474505651680562</v>
      </c>
      <c r="F45" s="36">
        <f>'[43]1990'!O$24</f>
        <v>1.3179414742979467</v>
      </c>
      <c r="G45" s="36">
        <f>'[43]1990'!P$24</f>
        <v>1.2984360342390284</v>
      </c>
      <c r="H45" s="36">
        <f>'[43]1990'!Q$24</f>
        <v>1.2805605904241975</v>
      </c>
      <c r="I45" s="36">
        <f>'[43]1990'!R$24</f>
        <v>1.2672119287543748</v>
      </c>
      <c r="J45" s="45">
        <f>'[43]1990'!S$24</f>
        <v>1.2568984728722048</v>
      </c>
      <c r="K45" s="46">
        <f t="shared" ref="K45:Q53" si="8">LN(B45)</f>
        <v>0.37291885649624218</v>
      </c>
      <c r="L45" s="35">
        <f t="shared" si="8"/>
        <v>0.3449706074071332</v>
      </c>
      <c r="M45" s="35">
        <f t="shared" si="8"/>
        <v>0.32239371420783203</v>
      </c>
      <c r="N45" s="35">
        <f t="shared" si="8"/>
        <v>0.29821433679637149</v>
      </c>
      <c r="O45" s="35">
        <f t="shared" si="8"/>
        <v>0.27607103016111467</v>
      </c>
      <c r="P45" s="35">
        <f t="shared" si="8"/>
        <v>0.26116048963584459</v>
      </c>
      <c r="Q45" s="35">
        <f t="shared" si="8"/>
        <v>0.24729794332338612</v>
      </c>
      <c r="R45" s="35">
        <f t="shared" si="7"/>
        <v>0.23681915550781418</v>
      </c>
      <c r="S45" s="47">
        <f t="shared" si="7"/>
        <v>0.22864715695245541</v>
      </c>
      <c r="T45" s="65">
        <f t="array" ref="T45:U45">LINEST(K45:S45,$K$2:$S$2)</f>
        <v>-6.9323182885395282E-2</v>
      </c>
      <c r="U45" s="65">
        <v>0.54583994063938457</v>
      </c>
      <c r="V45" s="65">
        <f t="shared" si="2"/>
        <v>1.7260575595700265</v>
      </c>
      <c r="W45" s="61">
        <f t="shared" si="3"/>
        <v>0.97476351092723346</v>
      </c>
      <c r="X45" s="18">
        <f t="array" ref="X45:Y45">LINEST(B45:J45,$K$2:$S$2)</f>
        <v>-9.3724192587898117E-2</v>
      </c>
      <c r="Y45" s="65">
        <v>1.6838838296804739</v>
      </c>
      <c r="Z45" s="61">
        <f t="shared" si="4"/>
        <v>0.97974006665103508</v>
      </c>
      <c r="AA45" s="61">
        <f t="shared" si="5"/>
        <v>0.96830523734553264</v>
      </c>
      <c r="AB45" s="61">
        <f t="shared" si="6"/>
        <v>0.96165202357772461</v>
      </c>
      <c r="AC45" s="18"/>
    </row>
    <row r="46" spans="1:29">
      <c r="A46" s="39" t="s">
        <v>69</v>
      </c>
      <c r="B46" s="44">
        <f>'[44]1990'!K$24</f>
        <v>1.4199820518025561</v>
      </c>
      <c r="C46" s="36">
        <f>'[44]1990'!L$24</f>
        <v>1.4037101783008972</v>
      </c>
      <c r="D46" s="36">
        <f>'[44]1990'!M$24</f>
        <v>1.4053465163955201</v>
      </c>
      <c r="E46" s="36">
        <f>'[44]1990'!N$24</f>
        <v>1.4089076970134489</v>
      </c>
      <c r="F46" s="36">
        <f>'[44]1990'!O$24</f>
        <v>1.4089799491217252</v>
      </c>
      <c r="G46" s="36">
        <f>'[44]1990'!P$24</f>
        <v>1.4127898925574056</v>
      </c>
      <c r="H46" s="36">
        <f>'[44]1990'!Q$24</f>
        <v>1.4155996434834515</v>
      </c>
      <c r="I46" s="36">
        <f>'[44]1990'!R$24</f>
        <v>1.4158730357637557</v>
      </c>
      <c r="J46" s="45">
        <f>'[44]1990'!S$24</f>
        <v>1.4158043711614672</v>
      </c>
      <c r="K46" s="46">
        <f t="shared" si="8"/>
        <v>0.35064423195762451</v>
      </c>
      <c r="L46" s="35">
        <f t="shared" si="8"/>
        <v>0.339118858583288</v>
      </c>
      <c r="M46" s="35">
        <f t="shared" si="8"/>
        <v>0.34028390326380287</v>
      </c>
      <c r="N46" s="35">
        <f t="shared" si="8"/>
        <v>0.3428147211989791</v>
      </c>
      <c r="O46" s="35">
        <f t="shared" si="8"/>
        <v>0.34286600224163621</v>
      </c>
      <c r="P46" s="35">
        <f t="shared" si="8"/>
        <v>0.34556639664987032</v>
      </c>
      <c r="Q46" s="35">
        <f t="shared" si="8"/>
        <v>0.3475532176407724</v>
      </c>
      <c r="R46" s="35">
        <f t="shared" si="7"/>
        <v>0.34774632724282334</v>
      </c>
      <c r="S46" s="47">
        <f t="shared" si="7"/>
        <v>0.34769782976769853</v>
      </c>
      <c r="T46" s="65">
        <f t="array" ref="T46:U46">LINEST(K46:S46,$K$2:$S$2)</f>
        <v>7.0261463790470655E-4</v>
      </c>
      <c r="U46" s="65">
        <v>0.34230402969387008</v>
      </c>
      <c r="V46" s="65">
        <f t="shared" si="2"/>
        <v>1.4081883635154886</v>
      </c>
      <c r="W46" s="61">
        <f t="shared" si="3"/>
        <v>1.7080175722578615E-2</v>
      </c>
      <c r="X46" s="18">
        <f t="array" ref="X46:Y46">LINEST(B46:J46,$K$2:$S$2)</f>
        <v>9.8134674958112603E-4</v>
      </c>
      <c r="Y46" s="65">
        <v>1.4082326215826841</v>
      </c>
      <c r="Z46" s="61">
        <f t="shared" si="4"/>
        <v>1.6723726386585855E-2</v>
      </c>
      <c r="AA46" s="61">
        <f t="shared" si="5"/>
        <v>0.13726028198644608</v>
      </c>
      <c r="AB46" s="61">
        <f t="shared" si="6"/>
        <v>0.1364126424267349</v>
      </c>
      <c r="AC46" s="18"/>
    </row>
    <row r="47" spans="1:29">
      <c r="A47" s="39" t="s">
        <v>70</v>
      </c>
      <c r="B47" s="44">
        <f>'[45]1990'!K$24</f>
        <v>1.4123371408549048</v>
      </c>
      <c r="C47" s="36">
        <f>'[45]1990'!L$24</f>
        <v>1.416567988314142</v>
      </c>
      <c r="D47" s="36">
        <f>'[45]1990'!M$24</f>
        <v>1.4029569815109362</v>
      </c>
      <c r="E47" s="36">
        <f>'[45]1990'!N$24</f>
        <v>1.4015576532477296</v>
      </c>
      <c r="F47" s="36">
        <f>'[45]1990'!O$24</f>
        <v>1.3861138822910202</v>
      </c>
      <c r="G47" s="36">
        <f>'[45]1990'!P$24</f>
        <v>1.3778557245951841</v>
      </c>
      <c r="H47" s="36">
        <f>'[45]1990'!Q$24</f>
        <v>1.3696843867703823</v>
      </c>
      <c r="I47" s="36">
        <f>'[45]1990'!R$24</f>
        <v>1.3613612725155106</v>
      </c>
      <c r="J47" s="45">
        <f>'[45]1990'!S$24</f>
        <v>1.3561774377034035</v>
      </c>
      <c r="K47" s="46">
        <f t="shared" si="8"/>
        <v>0.34524587888127289</v>
      </c>
      <c r="L47" s="35">
        <f t="shared" si="8"/>
        <v>0.34823703653450772</v>
      </c>
      <c r="M47" s="35">
        <f t="shared" si="8"/>
        <v>0.33858213886188537</v>
      </c>
      <c r="N47" s="35">
        <f t="shared" si="8"/>
        <v>0.33758422759268569</v>
      </c>
      <c r="O47" s="35">
        <f t="shared" si="8"/>
        <v>0.32650406354739508</v>
      </c>
      <c r="P47" s="35">
        <f t="shared" si="8"/>
        <v>0.32052846797746248</v>
      </c>
      <c r="Q47" s="35">
        <f t="shared" si="8"/>
        <v>0.31458033867956559</v>
      </c>
      <c r="R47" s="35">
        <f t="shared" si="7"/>
        <v>0.30848513481903844</v>
      </c>
      <c r="S47" s="47">
        <f t="shared" si="7"/>
        <v>0.30467003472116877</v>
      </c>
      <c r="T47" s="65">
        <f t="array" ref="T47:U47">LINEST(K47:S47,$K$2:$S$2)</f>
        <v>-2.0302059315235314E-2</v>
      </c>
      <c r="U47" s="65">
        <v>0.40278286163178678</v>
      </c>
      <c r="V47" s="65">
        <f t="shared" si="2"/>
        <v>1.4959820212989674</v>
      </c>
      <c r="W47" s="61">
        <f t="shared" si="3"/>
        <v>0.82501568810864589</v>
      </c>
      <c r="X47" s="18">
        <f t="array" ref="X47:Y47">LINEST(B47:J47,$K$2:$S$2)</f>
        <v>-2.8180416443757458E-2</v>
      </c>
      <c r="Y47" s="65">
        <v>1.4921515065325432</v>
      </c>
      <c r="Z47" s="61">
        <f t="shared" si="4"/>
        <v>0.82702674544835231</v>
      </c>
      <c r="AA47" s="61">
        <f t="shared" si="5"/>
        <v>0.9684336493365987</v>
      </c>
      <c r="AB47" s="61">
        <f t="shared" si="6"/>
        <v>0.96829352998505269</v>
      </c>
      <c r="AC47" s="18"/>
    </row>
    <row r="48" spans="1:29">
      <c r="A48" s="39" t="s">
        <v>86</v>
      </c>
      <c r="B48" s="44">
        <f>'[46]1990'!K$24</f>
        <v>1.4096310284707418</v>
      </c>
      <c r="C48" s="36">
        <f>'[46]1990'!L$24</f>
        <v>1.4096273423355778</v>
      </c>
      <c r="D48" s="36">
        <f>'[46]1990'!M$24</f>
        <v>1.4092016414676893</v>
      </c>
      <c r="E48" s="36">
        <f>'[46]1990'!N$24</f>
        <v>1.4066804044667163</v>
      </c>
      <c r="F48" s="36">
        <f>'[46]1990'!O$24</f>
        <v>1.3969600624982641</v>
      </c>
      <c r="G48" s="36">
        <f>'[46]1990'!P$24</f>
        <v>1.3956926271635566</v>
      </c>
      <c r="H48" s="36">
        <f>'[46]1990'!Q$24</f>
        <v>1.3933547176001639</v>
      </c>
      <c r="I48" s="36">
        <f>'[46]1990'!R$24</f>
        <v>1.3870483808267393</v>
      </c>
      <c r="J48" s="45">
        <f>'[46]1990'!S$24</f>
        <v>1.3737245874828627</v>
      </c>
      <c r="K48" s="46">
        <f t="shared" si="8"/>
        <v>0.34332798820974081</v>
      </c>
      <c r="L48" s="35">
        <f t="shared" si="8"/>
        <v>0.34332537324177465</v>
      </c>
      <c r="M48" s="35">
        <f t="shared" si="8"/>
        <v>0.34302333230664106</v>
      </c>
      <c r="N48" s="35">
        <f t="shared" si="8"/>
        <v>0.34123260554068774</v>
      </c>
      <c r="O48" s="35">
        <f t="shared" si="8"/>
        <v>0.33429849181912369</v>
      </c>
      <c r="P48" s="35">
        <f t="shared" si="8"/>
        <v>0.33339079898182955</v>
      </c>
      <c r="Q48" s="35">
        <f t="shared" si="8"/>
        <v>0.33171430531070895</v>
      </c>
      <c r="R48" s="35">
        <f t="shared" si="7"/>
        <v>0.32717802235861942</v>
      </c>
      <c r="S48" s="47">
        <f t="shared" si="7"/>
        <v>0.31752572791699435</v>
      </c>
      <c r="T48" s="65">
        <f t="array" ref="T48:U48">LINEST(K48:S48,$K$2:$S$2)</f>
        <v>-1.0115357577522164E-2</v>
      </c>
      <c r="U48" s="65">
        <v>0.3726816613786284</v>
      </c>
      <c r="V48" s="65">
        <f t="shared" si="2"/>
        <v>1.4516221588748452</v>
      </c>
      <c r="W48" s="61">
        <f t="shared" si="3"/>
        <v>0.68050095484269901</v>
      </c>
      <c r="X48" s="18">
        <f t="array" ref="X48:Y48">LINEST(B48:J48,$K$2:$S$2)</f>
        <v>-1.4122076339147955E-2</v>
      </c>
      <c r="Y48" s="65">
        <v>1.4505960799347157</v>
      </c>
      <c r="Z48" s="61">
        <f t="shared" si="4"/>
        <v>0.6829797362116764</v>
      </c>
      <c r="AA48" s="61">
        <f t="shared" si="5"/>
        <v>0.88822484701860493</v>
      </c>
      <c r="AB48" s="61">
        <f t="shared" si="6"/>
        <v>0.8900492654117379</v>
      </c>
      <c r="AC48" s="18"/>
    </row>
    <row r="49" spans="1:29">
      <c r="A49" s="39" t="s">
        <v>56</v>
      </c>
      <c r="B49" s="44">
        <f>'[47]1990'!K$24</f>
        <v>1.4456563048025668</v>
      </c>
      <c r="C49" s="36">
        <f>'[47]1990'!L$24</f>
        <v>1.4556418481376483</v>
      </c>
      <c r="D49" s="36">
        <f>'[47]1990'!M$24</f>
        <v>1.4286042358546414</v>
      </c>
      <c r="E49" s="36">
        <f>'[47]1990'!N$24</f>
        <v>1.4179556733460521</v>
      </c>
      <c r="F49" s="36">
        <f>'[47]1990'!O$24</f>
        <v>1.4147237318570247</v>
      </c>
      <c r="G49" s="36">
        <f>'[47]1990'!P$24</f>
        <v>1.4076416923663035</v>
      </c>
      <c r="H49" s="36">
        <f>'[47]1990'!Q$24</f>
        <v>1.4064663638668218</v>
      </c>
      <c r="I49" s="36">
        <f>'[47]1990'!R$24</f>
        <v>1.4027150253194258</v>
      </c>
      <c r="J49" s="45">
        <f>'[47]1990'!S$24</f>
        <v>1.4000644916749054</v>
      </c>
      <c r="K49" s="46">
        <f t="shared" si="8"/>
        <v>0.36856340862604553</v>
      </c>
      <c r="L49" s="35">
        <f t="shared" si="8"/>
        <v>0.3754469360936652</v>
      </c>
      <c r="M49" s="35">
        <f t="shared" si="8"/>
        <v>0.3566979087732875</v>
      </c>
      <c r="N49" s="35">
        <f t="shared" si="8"/>
        <v>0.34921616763970476</v>
      </c>
      <c r="O49" s="35">
        <f t="shared" si="8"/>
        <v>0.34693426952903261</v>
      </c>
      <c r="P49" s="35">
        <f t="shared" si="8"/>
        <v>0.34191574549688075</v>
      </c>
      <c r="Q49" s="35">
        <f t="shared" si="8"/>
        <v>0.34108043388528964</v>
      </c>
      <c r="R49" s="35">
        <f t="shared" si="7"/>
        <v>0.33840966239883402</v>
      </c>
      <c r="S49" s="47">
        <f t="shared" si="7"/>
        <v>0.33651830104230651</v>
      </c>
      <c r="T49" s="65">
        <f t="array" ref="T49:U49">LINEST(K49:S49,$K$2:$S$2)</f>
        <v>-1.7733222264951221E-2</v>
      </c>
      <c r="U49" s="65">
        <v>0.41658786274768145</v>
      </c>
      <c r="V49" s="65">
        <f t="shared" si="2"/>
        <v>1.5167772636858465</v>
      </c>
      <c r="W49" s="61">
        <f t="shared" si="3"/>
        <v>0.86449566746191708</v>
      </c>
      <c r="X49" s="18">
        <f t="array" ref="X49:Y49">LINEST(B49:J49,$K$2:$S$2)</f>
        <v>-2.5282693227836234E-2</v>
      </c>
      <c r="Y49" s="65">
        <v>1.5141193352215987</v>
      </c>
      <c r="Z49" s="61">
        <f t="shared" si="4"/>
        <v>0.8626629636155716</v>
      </c>
      <c r="AA49" s="61">
        <f t="shared" si="5"/>
        <v>0.85452125833092929</v>
      </c>
      <c r="AB49" s="61">
        <f t="shared" si="6"/>
        <v>0.85112489474962894</v>
      </c>
      <c r="AC49" s="18"/>
    </row>
    <row r="50" spans="1:29">
      <c r="A50" s="39" t="s">
        <v>76</v>
      </c>
      <c r="B50" s="44">
        <f>'[48]1990'!K$24</f>
        <v>1.32034652628619</v>
      </c>
      <c r="C50" s="36">
        <f>'[48]1990'!L$24</f>
        <v>1.2768819195755856</v>
      </c>
      <c r="D50" s="36">
        <f>'[48]1990'!M$24</f>
        <v>1.2577436829189439</v>
      </c>
      <c r="E50" s="36">
        <f>'[48]1990'!N$24</f>
        <v>1.2430345851340074</v>
      </c>
      <c r="F50" s="36">
        <f>'[48]1990'!O$24</f>
        <v>1.2297619139807563</v>
      </c>
      <c r="G50" s="36">
        <f>'[48]1990'!P$24</f>
        <v>1.2199936384657204</v>
      </c>
      <c r="H50" s="36">
        <f>'[48]1990'!Q$24</f>
        <v>1.2142757939961839</v>
      </c>
      <c r="I50" s="36">
        <f>'[48]1990'!R$24</f>
        <v>1.214361845814369</v>
      </c>
      <c r="J50" s="45">
        <f>'[48]1990'!S$24</f>
        <v>1.2164204597714086</v>
      </c>
      <c r="K50" s="46">
        <f t="shared" si="8"/>
        <v>0.27789422205973668</v>
      </c>
      <c r="L50" s="35">
        <f t="shared" si="8"/>
        <v>0.24442110572383585</v>
      </c>
      <c r="M50" s="35">
        <f t="shared" si="8"/>
        <v>0.22931938785148923</v>
      </c>
      <c r="N50" s="35">
        <f t="shared" si="8"/>
        <v>0.21755563606266043</v>
      </c>
      <c r="O50" s="35">
        <f t="shared" si="8"/>
        <v>0.20682058477873158</v>
      </c>
      <c r="P50" s="35">
        <f t="shared" si="8"/>
        <v>0.19884564435920998</v>
      </c>
      <c r="Q50" s="35">
        <f t="shared" si="8"/>
        <v>0.1941478447573842</v>
      </c>
      <c r="R50" s="35">
        <f t="shared" si="7"/>
        <v>0.19421870902862051</v>
      </c>
      <c r="S50" s="47">
        <f t="shared" si="7"/>
        <v>0.1959124966166533</v>
      </c>
      <c r="T50" s="65">
        <f t="array" ref="T50:U50">LINEST(K50:S50,$K$2:$S$2)</f>
        <v>-3.9264010906735786E-2</v>
      </c>
      <c r="U50" s="65">
        <v>0.36394058454304878</v>
      </c>
      <c r="V50" s="65">
        <f t="shared" si="2"/>
        <v>1.4389887134460824</v>
      </c>
      <c r="W50" s="61">
        <f t="shared" si="3"/>
        <v>0.97755087549065467</v>
      </c>
      <c r="X50" s="18">
        <f t="array" ref="X50:Y50">LINEST(B50:J50,$K$2:$S$2)</f>
        <v>-4.9513920292662196E-2</v>
      </c>
      <c r="Y50" s="65">
        <v>1.4280865738051718</v>
      </c>
      <c r="Z50" s="61">
        <f t="shared" si="4"/>
        <v>0.97560097433458959</v>
      </c>
      <c r="AA50" s="61">
        <f t="shared" si="5"/>
        <v>0.82262083070674119</v>
      </c>
      <c r="AB50" s="61">
        <f t="shared" si="6"/>
        <v>0.81522028019595161</v>
      </c>
      <c r="AC50" s="18"/>
    </row>
    <row r="51" spans="1:29">
      <c r="A51" s="39" t="s">
        <v>57</v>
      </c>
      <c r="B51" s="44">
        <f>'[49]1990'!K$24</f>
        <v>1.4333416134240047</v>
      </c>
      <c r="C51" s="36">
        <f>'[49]1990'!L$24</f>
        <v>1.3693210998382908</v>
      </c>
      <c r="D51" s="36">
        <f>'[49]1990'!M$24</f>
        <v>1.3390167731884297</v>
      </c>
      <c r="E51" s="36">
        <f>'[49]1990'!N$24</f>
        <v>1.3276352104199123</v>
      </c>
      <c r="F51" s="36">
        <f>'[49]1990'!O$24</f>
        <v>1.3217159774076757</v>
      </c>
      <c r="G51" s="36">
        <f>'[49]1990'!P$24</f>
        <v>1.3156220711743434</v>
      </c>
      <c r="H51" s="36">
        <f>'[49]1990'!Q$24</f>
        <v>1.3128623771549222</v>
      </c>
      <c r="I51" s="36">
        <f>'[49]1990'!R$24</f>
        <v>1.3101513878193871</v>
      </c>
      <c r="J51" s="45">
        <f>'[49]1990'!S$24</f>
        <v>1.3053275799381137</v>
      </c>
      <c r="K51" s="46">
        <f t="shared" si="8"/>
        <v>0.36000851082216651</v>
      </c>
      <c r="L51" s="35">
        <f t="shared" si="8"/>
        <v>0.31431506945246984</v>
      </c>
      <c r="M51" s="35">
        <f t="shared" si="8"/>
        <v>0.29193559328362445</v>
      </c>
      <c r="N51" s="35">
        <f t="shared" si="8"/>
        <v>0.28339932237091181</v>
      </c>
      <c r="O51" s="35">
        <f t="shared" si="8"/>
        <v>0.27893087523672327</v>
      </c>
      <c r="P51" s="35">
        <f t="shared" si="8"/>
        <v>0.274309611700359</v>
      </c>
      <c r="Q51" s="35">
        <f t="shared" si="8"/>
        <v>0.27220977425585302</v>
      </c>
      <c r="R51" s="35">
        <f t="shared" si="7"/>
        <v>0.27014269375705174</v>
      </c>
      <c r="S51" s="47">
        <f t="shared" si="7"/>
        <v>0.26645402838429694</v>
      </c>
      <c r="T51" s="65">
        <f t="array" ref="T51:U51">LINEST(K51:S51,$K$2:$S$2)</f>
        <v>-4.0150397053345714E-2</v>
      </c>
      <c r="U51" s="65">
        <v>0.4397501430213992</v>
      </c>
      <c r="V51" s="65">
        <f t="shared" si="2"/>
        <v>1.5523193122396297</v>
      </c>
      <c r="W51" s="61">
        <f t="shared" si="3"/>
        <v>0.93008499505841213</v>
      </c>
      <c r="X51" s="18">
        <f t="array" ref="X51:Y51">LINEST(B51:J51,$K$2:$S$2)</f>
        <v>-5.4725806716195868E-2</v>
      </c>
      <c r="Y51" s="65">
        <v>1.541075763041686</v>
      </c>
      <c r="Z51" s="61">
        <f t="shared" si="4"/>
        <v>0.92397577830686972</v>
      </c>
      <c r="AA51" s="61">
        <f t="shared" si="5"/>
        <v>0.71638404848247816</v>
      </c>
      <c r="AB51" s="61">
        <f t="shared" si="6"/>
        <v>0.70611185080010941</v>
      </c>
      <c r="AC51" s="18"/>
    </row>
    <row r="52" spans="1:29">
      <c r="A52" s="39" t="s">
        <v>71</v>
      </c>
      <c r="B52" s="44">
        <f>'[50]1990'!K$24</f>
        <v>1.3536513388843285</v>
      </c>
      <c r="C52" s="36">
        <f>'[50]1990'!L$24</f>
        <v>1.3170869233225599</v>
      </c>
      <c r="D52" s="36">
        <f>'[50]1990'!M$24</f>
        <v>1.2955984531690132</v>
      </c>
      <c r="E52" s="36">
        <f>'[50]1990'!N$24</f>
        <v>1.2778048064694179</v>
      </c>
      <c r="F52" s="36">
        <f>'[50]1990'!O$24</f>
        <v>1.2628029081136267</v>
      </c>
      <c r="G52" s="36">
        <f>'[50]1990'!P$24</f>
        <v>1.2531993864468807</v>
      </c>
      <c r="H52" s="36">
        <f>'[50]1990'!Q$24</f>
        <v>1.24866206361036</v>
      </c>
      <c r="I52" s="36">
        <f>'[50]1990'!R$24</f>
        <v>1.2457713004690596</v>
      </c>
      <c r="J52" s="45">
        <f>'[50]1990'!S$24</f>
        <v>1.242165398130372</v>
      </c>
      <c r="K52" s="46">
        <f t="shared" si="8"/>
        <v>0.30280563681335843</v>
      </c>
      <c r="L52" s="35">
        <f t="shared" si="8"/>
        <v>0.27542242158739522</v>
      </c>
      <c r="M52" s="35">
        <f t="shared" si="8"/>
        <v>0.25897271440340536</v>
      </c>
      <c r="N52" s="35">
        <f t="shared" si="8"/>
        <v>0.24514361069837542</v>
      </c>
      <c r="O52" s="35">
        <f t="shared" si="8"/>
        <v>0.2333337806081599</v>
      </c>
      <c r="P52" s="35">
        <f t="shared" si="8"/>
        <v>0.22569979050663252</v>
      </c>
      <c r="Q52" s="35">
        <f t="shared" si="8"/>
        <v>0.22207262896981139</v>
      </c>
      <c r="R52" s="35">
        <f t="shared" si="7"/>
        <v>0.21975485654338134</v>
      </c>
      <c r="S52" s="47">
        <f t="shared" si="7"/>
        <v>0.21685614544224449</v>
      </c>
      <c r="T52" s="65">
        <f t="array" ref="T52:U52">LINEST(K52:S52,$K$2:$S$2)</f>
        <v>-4.0748212600027152E-2</v>
      </c>
      <c r="U52" s="65">
        <v>0.39623880172119619</v>
      </c>
      <c r="V52" s="65">
        <f t="shared" si="2"/>
        <v>1.4862241880720528</v>
      </c>
      <c r="W52" s="61">
        <f t="shared" si="3"/>
        <v>0.99259762625866488</v>
      </c>
      <c r="X52" s="18">
        <f t="array" ref="X52:Y52">LINEST(B52:J52,$K$2:$S$2)</f>
        <v>-5.2698711838771201E-2</v>
      </c>
      <c r="Y52" s="65">
        <v>1.4737190900775092</v>
      </c>
      <c r="Z52" s="61">
        <f t="shared" si="4"/>
        <v>0.99194678027649152</v>
      </c>
      <c r="AA52" s="61">
        <f t="shared" si="5"/>
        <v>0.87837245825745547</v>
      </c>
      <c r="AB52" s="61">
        <f t="shared" si="6"/>
        <v>0.87145258771643341</v>
      </c>
      <c r="AC52" s="18"/>
    </row>
    <row r="53" spans="1:29" ht="15" thickBot="1">
      <c r="A53" s="40" t="s">
        <v>59</v>
      </c>
      <c r="B53" s="48">
        <f>'[51]1990'!K$24</f>
        <v>1.4355478863247719</v>
      </c>
      <c r="C53" s="49">
        <f>'[51]1990'!L$24</f>
        <v>1.3872254320851991</v>
      </c>
      <c r="D53" s="49">
        <f>'[51]1990'!M$24</f>
        <v>1.3445230318825292</v>
      </c>
      <c r="E53" s="49">
        <f>'[51]1990'!N$24</f>
        <v>1.3212312579926235</v>
      </c>
      <c r="F53" s="49">
        <f>'[51]1990'!O$24</f>
        <v>1.3027244174175014</v>
      </c>
      <c r="G53" s="49">
        <f>'[51]1990'!P$24</f>
        <v>1.2922576304997151</v>
      </c>
      <c r="H53" s="49">
        <f>'[51]1990'!Q$24</f>
        <v>1.2823778856158738</v>
      </c>
      <c r="I53" s="49">
        <f>'[51]1990'!R$24</f>
        <v>1.2766240742806114</v>
      </c>
      <c r="J53" s="50">
        <f>'[51]1990'!S$24</f>
        <v>1.2722219503645329</v>
      </c>
      <c r="K53" s="58">
        <f t="shared" si="8"/>
        <v>0.36154657866054091</v>
      </c>
      <c r="L53" s="59">
        <f t="shared" si="8"/>
        <v>0.32730566027083707</v>
      </c>
      <c r="M53" s="59">
        <f t="shared" si="8"/>
        <v>0.29603932702448277</v>
      </c>
      <c r="N53" s="59">
        <f t="shared" si="8"/>
        <v>0.27856407304408443</v>
      </c>
      <c r="O53" s="59">
        <f t="shared" si="8"/>
        <v>0.26445777724534536</v>
      </c>
      <c r="P53" s="59">
        <f t="shared" si="8"/>
        <v>0.25639078989353714</v>
      </c>
      <c r="Q53" s="59">
        <f t="shared" si="8"/>
        <v>0.24871607763541106</v>
      </c>
      <c r="R53" s="59">
        <f t="shared" si="7"/>
        <v>0.24421915178562625</v>
      </c>
      <c r="S53" s="60">
        <f t="shared" si="7"/>
        <v>0.24076493897673973</v>
      </c>
      <c r="T53" s="65">
        <f t="array" ref="T53:U53">LINEST(K53:S53,$K$2:$S$2)</f>
        <v>-5.7396148442499066E-2</v>
      </c>
      <c r="U53" s="65">
        <v>0.49357951190104121</v>
      </c>
      <c r="V53" s="65">
        <f t="shared" si="2"/>
        <v>1.6381695851362517</v>
      </c>
      <c r="W53" s="61">
        <f t="shared" si="3"/>
        <v>0.9920222105080766</v>
      </c>
      <c r="X53" s="18">
        <f t="array" ref="X53:Y53">LINEST(B53:J53,$K$2:$S$2)</f>
        <v>-7.7332997253298078E-2</v>
      </c>
      <c r="Y53" s="65">
        <v>1.6119255017628489</v>
      </c>
      <c r="Z53" s="61">
        <f t="shared" si="4"/>
        <v>0.99055210724163678</v>
      </c>
      <c r="AA53" s="61">
        <f t="shared" si="5"/>
        <v>0.87451323013174431</v>
      </c>
      <c r="AB53" s="61">
        <f t="shared" si="6"/>
        <v>0.86437135873409565</v>
      </c>
      <c r="AC53" s="18"/>
    </row>
    <row r="54" spans="1:29">
      <c r="T54" s="18"/>
      <c r="U54" s="18"/>
      <c r="V54" s="66" t="s">
        <v>175</v>
      </c>
      <c r="W54" s="67">
        <f>AVERAGE(W3:W53)</f>
        <v>0.85379413180198827</v>
      </c>
      <c r="X54" s="18"/>
      <c r="Y54" s="18"/>
      <c r="Z54" s="67">
        <f>AVERAGE(Z3:Z53)</f>
        <v>0.85212074413758676</v>
      </c>
      <c r="AA54" s="67">
        <f>AVERAGE(AA3:AA53)</f>
        <v>0.74080774394312354</v>
      </c>
      <c r="AB54" s="67">
        <f>AVERAGE(AB3:AB53)</f>
        <v>0.73418801129827116</v>
      </c>
      <c r="AC54" s="67"/>
    </row>
  </sheetData>
  <mergeCells count="4">
    <mergeCell ref="B1:J1"/>
    <mergeCell ref="K1:S1"/>
    <mergeCell ref="T1:W1"/>
    <mergeCell ref="X1:Z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1990</vt:lpstr>
      <vt:lpstr>1995</vt:lpstr>
      <vt:lpstr>2001</vt:lpstr>
      <vt:lpstr>1990-10</vt:lpstr>
      <vt:lpstr>1990-20</vt:lpstr>
      <vt:lpstr>1990-30</vt:lpstr>
      <vt:lpstr>1990-40</vt:lpstr>
      <vt:lpstr>1990-50</vt:lpstr>
      <vt:lpstr>1990-60</vt:lpstr>
      <vt:lpstr>1990-70</vt:lpstr>
      <vt:lpstr>1990-80</vt:lpstr>
      <vt:lpstr>1990-90</vt:lpstr>
      <vt:lpstr>Summary-1990</vt:lpstr>
      <vt:lpstr>Interval Circuities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2013-02-22T20:00:19Z</dcterms:modified>
</cp:coreProperties>
</file>