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206"/>
  <workbookPr showInkAnnotation="0" autoCompressPictures="0"/>
  <bookViews>
    <workbookView xWindow="0" yWindow="0" windowWidth="25600" windowHeight="16480" tabRatio="500" activeTab="3"/>
  </bookViews>
  <sheets>
    <sheet name="Sheet1" sheetId="1" r:id="rId1"/>
    <sheet name="Chart1" sheetId="3" r:id="rId2"/>
    <sheet name="zetatrend" sheetId="2" r:id="rId3"/>
    <sheet name="Chart2" sheetId="5" r:id="rId4"/>
    <sheet name="Minneapolis Distance Circuity" sheetId="4" r:id="rId5"/>
  </sheets>
  <externalReferences>
    <externalReference r:id="rId6"/>
  </externalReferences>
  <definedNames>
    <definedName name="beta1990">zetatrend!$I$1</definedName>
    <definedName name="beta2000">zetatrend!$I$3</definedName>
    <definedName name="beta2010">zetatrend!$I$5</definedName>
    <definedName name="betaMPLS2010">zetatrend!$I$7</definedName>
    <definedName name="MPLSDistanceCircuity" localSheetId="4">'Minneapolis Distance Circuity'!$A$2:$L$13</definedName>
    <definedName name="zeta1990">zetatrend!$I$2</definedName>
    <definedName name="zeta2000">zetatrend!$I$4</definedName>
    <definedName name="zeta2010">zetatrend!$I$6</definedName>
    <definedName name="zetaMPLS2010">zetatrend!$I$8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22" i="4" l="1"/>
  <c r="A23" i="4"/>
  <c r="A24" i="4"/>
  <c r="A25" i="4"/>
  <c r="A26" i="4"/>
  <c r="A27" i="4"/>
  <c r="A28" i="4"/>
  <c r="A29" i="4"/>
  <c r="A30" i="4"/>
  <c r="A31" i="4"/>
  <c r="A21" i="4"/>
  <c r="E3" i="2"/>
  <c r="E4" i="2"/>
  <c r="E5" i="2"/>
  <c r="E6" i="2"/>
  <c r="E7" i="2"/>
  <c r="E2" i="2"/>
  <c r="C3" i="2"/>
  <c r="D3" i="2"/>
  <c r="C4" i="2"/>
  <c r="D4" i="2"/>
  <c r="C5" i="2"/>
  <c r="D5" i="2"/>
  <c r="C6" i="2"/>
  <c r="D6" i="2"/>
  <c r="C7" i="2"/>
  <c r="D7" i="2"/>
  <c r="D2" i="2"/>
  <c r="C2" i="2"/>
  <c r="B3" i="2"/>
  <c r="B4" i="2"/>
  <c r="B5" i="2"/>
  <c r="B6" i="2"/>
  <c r="B7" i="2"/>
  <c r="A4" i="2"/>
  <c r="A5" i="2"/>
  <c r="A6" i="2"/>
  <c r="A7" i="2"/>
  <c r="A3" i="2"/>
  <c r="B2" i="2"/>
  <c r="K64" i="1"/>
  <c r="K63" i="1"/>
  <c r="K62" i="1"/>
  <c r="J64" i="1"/>
  <c r="J63" i="1"/>
  <c r="J62" i="1"/>
  <c r="I64" i="1"/>
  <c r="I63" i="1"/>
  <c r="I62" i="1"/>
  <c r="L64" i="1"/>
  <c r="L63" i="1"/>
  <c r="L62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AC53" i="1"/>
  <c r="AB53" i="1"/>
  <c r="AA53" i="1"/>
  <c r="AC52" i="1"/>
  <c r="AB52" i="1"/>
  <c r="AA52" i="1"/>
  <c r="AC51" i="1"/>
  <c r="AB51" i="1"/>
  <c r="AA51" i="1"/>
  <c r="AC50" i="1"/>
  <c r="AB50" i="1"/>
  <c r="AA50" i="1"/>
  <c r="AC49" i="1"/>
  <c r="AB49" i="1"/>
  <c r="AA49" i="1"/>
  <c r="AC48" i="1"/>
  <c r="AB48" i="1"/>
  <c r="AA48" i="1"/>
  <c r="AC47" i="1"/>
  <c r="AB47" i="1"/>
  <c r="AA47" i="1"/>
  <c r="AC46" i="1"/>
  <c r="AB46" i="1"/>
  <c r="AA46" i="1"/>
  <c r="AC45" i="1"/>
  <c r="AB45" i="1"/>
  <c r="AA45" i="1"/>
  <c r="AC44" i="1"/>
  <c r="AB44" i="1"/>
  <c r="AA44" i="1"/>
  <c r="AC43" i="1"/>
  <c r="AB43" i="1"/>
  <c r="AA43" i="1"/>
  <c r="AC42" i="1"/>
  <c r="AB42" i="1"/>
  <c r="AA42" i="1"/>
  <c r="AC41" i="1"/>
  <c r="AB41" i="1"/>
  <c r="AA41" i="1"/>
  <c r="AC40" i="1"/>
  <c r="AB40" i="1"/>
  <c r="AA40" i="1"/>
  <c r="AC39" i="1"/>
  <c r="AB39" i="1"/>
  <c r="AA39" i="1"/>
  <c r="AC38" i="1"/>
  <c r="AB38" i="1"/>
  <c r="AA38" i="1"/>
  <c r="AC37" i="1"/>
  <c r="AB37" i="1"/>
  <c r="AA37" i="1"/>
  <c r="AC36" i="1"/>
  <c r="AB36" i="1"/>
  <c r="AA36" i="1"/>
  <c r="AC35" i="1"/>
  <c r="AB35" i="1"/>
  <c r="AA35" i="1"/>
  <c r="AC34" i="1"/>
  <c r="AB34" i="1"/>
  <c r="AA34" i="1"/>
  <c r="AC33" i="1"/>
  <c r="AB33" i="1"/>
  <c r="AA33" i="1"/>
  <c r="AC32" i="1"/>
  <c r="AB32" i="1"/>
  <c r="AA32" i="1"/>
  <c r="AC31" i="1"/>
  <c r="AB31" i="1"/>
  <c r="AA31" i="1"/>
  <c r="AC30" i="1"/>
  <c r="AB30" i="1"/>
  <c r="AA30" i="1"/>
  <c r="AC29" i="1"/>
  <c r="AB29" i="1"/>
  <c r="AA29" i="1"/>
  <c r="AC28" i="1"/>
  <c r="AB28" i="1"/>
  <c r="AA28" i="1"/>
  <c r="AC27" i="1"/>
  <c r="AB27" i="1"/>
  <c r="AA27" i="1"/>
  <c r="AC26" i="1"/>
  <c r="AB26" i="1"/>
  <c r="AA26" i="1"/>
  <c r="AC25" i="1"/>
  <c r="AB25" i="1"/>
  <c r="AA25" i="1"/>
  <c r="AC24" i="1"/>
  <c r="AB24" i="1"/>
  <c r="AA24" i="1"/>
  <c r="AC23" i="1"/>
  <c r="AB23" i="1"/>
  <c r="AA23" i="1"/>
  <c r="AC22" i="1"/>
  <c r="AB22" i="1"/>
  <c r="AA22" i="1"/>
  <c r="AC21" i="1"/>
  <c r="AB21" i="1"/>
  <c r="AA21" i="1"/>
  <c r="AC20" i="1"/>
  <c r="AB20" i="1"/>
  <c r="AA20" i="1"/>
  <c r="AC19" i="1"/>
  <c r="AB19" i="1"/>
  <c r="AA19" i="1"/>
  <c r="AC18" i="1"/>
  <c r="AB18" i="1"/>
  <c r="AA18" i="1"/>
  <c r="AC17" i="1"/>
  <c r="AB17" i="1"/>
  <c r="AA17" i="1"/>
  <c r="AC16" i="1"/>
  <c r="AB16" i="1"/>
  <c r="AA16" i="1"/>
  <c r="AC15" i="1"/>
  <c r="AB15" i="1"/>
  <c r="AA15" i="1"/>
  <c r="AC14" i="1"/>
  <c r="AB14" i="1"/>
  <c r="AA14" i="1"/>
  <c r="AC13" i="1"/>
  <c r="AB13" i="1"/>
  <c r="AA13" i="1"/>
  <c r="AC12" i="1"/>
  <c r="AB12" i="1"/>
  <c r="AA12" i="1"/>
  <c r="AC11" i="1"/>
  <c r="AB11" i="1"/>
  <c r="AA11" i="1"/>
  <c r="AC10" i="1"/>
  <c r="AB10" i="1"/>
  <c r="AA10" i="1"/>
  <c r="AC9" i="1"/>
  <c r="AB9" i="1"/>
  <c r="AA9" i="1"/>
  <c r="AC8" i="1"/>
  <c r="AB8" i="1"/>
  <c r="AA8" i="1"/>
  <c r="AC7" i="1"/>
  <c r="AB7" i="1"/>
  <c r="AA7" i="1"/>
  <c r="AC6" i="1"/>
  <c r="AB6" i="1"/>
  <c r="AA6" i="1"/>
  <c r="AC5" i="1"/>
  <c r="AB5" i="1"/>
  <c r="AA5" i="1"/>
  <c r="AC4" i="1"/>
  <c r="AB4" i="1"/>
  <c r="AA4" i="1"/>
  <c r="AC3" i="1"/>
  <c r="AB3" i="1"/>
  <c r="AA3" i="1"/>
  <c r="U3" i="1"/>
  <c r="U4" i="1"/>
  <c r="U5" i="1"/>
  <c r="U6" i="1"/>
  <c r="U7" i="1"/>
  <c r="U8" i="1"/>
  <c r="R9" i="1"/>
  <c r="U9" i="1"/>
  <c r="R10" i="1"/>
  <c r="U10" i="1"/>
  <c r="U11" i="1"/>
  <c r="U12" i="1"/>
  <c r="R13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R26" i="1"/>
  <c r="U26" i="1"/>
  <c r="U27" i="1"/>
  <c r="U28" i="1"/>
  <c r="U29" i="1"/>
  <c r="U30" i="1"/>
  <c r="U31" i="1"/>
  <c r="U32" i="1"/>
  <c r="R33" i="1"/>
  <c r="U33" i="1"/>
  <c r="U34" i="1"/>
  <c r="U35" i="1"/>
  <c r="R36" i="1"/>
  <c r="U36" i="1"/>
  <c r="U37" i="1"/>
  <c r="U38" i="1"/>
  <c r="U39" i="1"/>
  <c r="U40" i="1"/>
  <c r="U41" i="1"/>
  <c r="U42" i="1"/>
  <c r="U43" i="1"/>
  <c r="U44" i="1"/>
  <c r="U45" i="1"/>
  <c r="U46" i="1"/>
  <c r="R47" i="1"/>
  <c r="U47" i="1"/>
  <c r="U48" i="1"/>
  <c r="U49" i="1"/>
  <c r="R50" i="1"/>
  <c r="U50" i="1"/>
  <c r="U51" i="1"/>
  <c r="U52" i="1"/>
  <c r="U53" i="1"/>
  <c r="U55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Q16" i="1"/>
  <c r="T16" i="1"/>
  <c r="T17" i="1"/>
  <c r="T18" i="1"/>
  <c r="T19" i="1"/>
  <c r="T20" i="1"/>
  <c r="T21" i="1"/>
  <c r="T22" i="1"/>
  <c r="T23" i="1"/>
  <c r="T24" i="1"/>
  <c r="T25" i="1"/>
  <c r="Q26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Q47" i="1"/>
  <c r="T47" i="1"/>
  <c r="T48" i="1"/>
  <c r="T49" i="1"/>
  <c r="T50" i="1"/>
  <c r="T51" i="1"/>
  <c r="T52" i="1"/>
  <c r="T53" i="1"/>
  <c r="T55" i="1"/>
  <c r="S55" i="1"/>
  <c r="R55" i="1"/>
  <c r="Q55" i="1"/>
  <c r="K3" i="1"/>
  <c r="M3" i="1"/>
  <c r="K4" i="1"/>
  <c r="M4" i="1"/>
  <c r="K5" i="1"/>
  <c r="M5" i="1"/>
  <c r="K6" i="1"/>
  <c r="M6" i="1"/>
  <c r="K7" i="1"/>
  <c r="M7" i="1"/>
  <c r="K8" i="1"/>
  <c r="M8" i="1"/>
  <c r="K9" i="1"/>
  <c r="M9" i="1"/>
  <c r="K10" i="1"/>
  <c r="M10" i="1"/>
  <c r="K11" i="1"/>
  <c r="M11" i="1"/>
  <c r="K12" i="1"/>
  <c r="M12" i="1"/>
  <c r="K13" i="1"/>
  <c r="M13" i="1"/>
  <c r="K14" i="1"/>
  <c r="M14" i="1"/>
  <c r="K15" i="1"/>
  <c r="M15" i="1"/>
  <c r="K16" i="1"/>
  <c r="M16" i="1"/>
  <c r="K17" i="1"/>
  <c r="M17" i="1"/>
  <c r="K18" i="1"/>
  <c r="M18" i="1"/>
  <c r="K19" i="1"/>
  <c r="M19" i="1"/>
  <c r="K20" i="1"/>
  <c r="M20" i="1"/>
  <c r="K21" i="1"/>
  <c r="M21" i="1"/>
  <c r="K22" i="1"/>
  <c r="M22" i="1"/>
  <c r="K23" i="1"/>
  <c r="M23" i="1"/>
  <c r="K24" i="1"/>
  <c r="M24" i="1"/>
  <c r="K25" i="1"/>
  <c r="M25" i="1"/>
  <c r="K26" i="1"/>
  <c r="M26" i="1"/>
  <c r="K27" i="1"/>
  <c r="M27" i="1"/>
  <c r="K28" i="1"/>
  <c r="M28" i="1"/>
  <c r="K29" i="1"/>
  <c r="M29" i="1"/>
  <c r="K30" i="1"/>
  <c r="M30" i="1"/>
  <c r="K31" i="1"/>
  <c r="M31" i="1"/>
  <c r="K32" i="1"/>
  <c r="M32" i="1"/>
  <c r="K33" i="1"/>
  <c r="M33" i="1"/>
  <c r="K34" i="1"/>
  <c r="M34" i="1"/>
  <c r="K35" i="1"/>
  <c r="M35" i="1"/>
  <c r="K36" i="1"/>
  <c r="M36" i="1"/>
  <c r="K37" i="1"/>
  <c r="M37" i="1"/>
  <c r="K38" i="1"/>
  <c r="M38" i="1"/>
  <c r="K39" i="1"/>
  <c r="M39" i="1"/>
  <c r="K40" i="1"/>
  <c r="M40" i="1"/>
  <c r="K41" i="1"/>
  <c r="M41" i="1"/>
  <c r="K42" i="1"/>
  <c r="M42" i="1"/>
  <c r="K43" i="1"/>
  <c r="M43" i="1"/>
  <c r="K44" i="1"/>
  <c r="M44" i="1"/>
  <c r="K45" i="1"/>
  <c r="M45" i="1"/>
  <c r="K46" i="1"/>
  <c r="M46" i="1"/>
  <c r="K47" i="1"/>
  <c r="M47" i="1"/>
  <c r="K48" i="1"/>
  <c r="M48" i="1"/>
  <c r="K49" i="1"/>
  <c r="M49" i="1"/>
  <c r="K50" i="1"/>
  <c r="M50" i="1"/>
  <c r="K51" i="1"/>
  <c r="M51" i="1"/>
  <c r="K52" i="1"/>
  <c r="M52" i="1"/>
  <c r="K53" i="1"/>
  <c r="M53" i="1"/>
  <c r="M55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5" i="1"/>
  <c r="K55" i="1"/>
  <c r="J55" i="1"/>
  <c r="I55" i="1"/>
  <c r="D3" i="1"/>
  <c r="F3" i="1"/>
  <c r="D4" i="1"/>
  <c r="F4" i="1"/>
  <c r="D5" i="1"/>
  <c r="F5" i="1"/>
  <c r="D6" i="1"/>
  <c r="F6" i="1"/>
  <c r="D7" i="1"/>
  <c r="F7" i="1"/>
  <c r="D8" i="1"/>
  <c r="F8" i="1"/>
  <c r="D9" i="1"/>
  <c r="F9" i="1"/>
  <c r="D10" i="1"/>
  <c r="F10" i="1"/>
  <c r="D11" i="1"/>
  <c r="F11" i="1"/>
  <c r="D12" i="1"/>
  <c r="F12" i="1"/>
  <c r="D13" i="1"/>
  <c r="F13" i="1"/>
  <c r="D14" i="1"/>
  <c r="F14" i="1"/>
  <c r="D15" i="1"/>
  <c r="F15" i="1"/>
  <c r="D16" i="1"/>
  <c r="F16" i="1"/>
  <c r="D17" i="1"/>
  <c r="F17" i="1"/>
  <c r="D18" i="1"/>
  <c r="F18" i="1"/>
  <c r="D19" i="1"/>
  <c r="F19" i="1"/>
  <c r="D20" i="1"/>
  <c r="F20" i="1"/>
  <c r="D21" i="1"/>
  <c r="F21" i="1"/>
  <c r="D22" i="1"/>
  <c r="F22" i="1"/>
  <c r="D23" i="1"/>
  <c r="F23" i="1"/>
  <c r="D24" i="1"/>
  <c r="F24" i="1"/>
  <c r="D25" i="1"/>
  <c r="F25" i="1"/>
  <c r="D26" i="1"/>
  <c r="F26" i="1"/>
  <c r="D27" i="1"/>
  <c r="F27" i="1"/>
  <c r="D28" i="1"/>
  <c r="F28" i="1"/>
  <c r="D29" i="1"/>
  <c r="F29" i="1"/>
  <c r="D30" i="1"/>
  <c r="F30" i="1"/>
  <c r="D31" i="1"/>
  <c r="F31" i="1"/>
  <c r="D32" i="1"/>
  <c r="F32" i="1"/>
  <c r="D33" i="1"/>
  <c r="F33" i="1"/>
  <c r="D34" i="1"/>
  <c r="F34" i="1"/>
  <c r="D35" i="1"/>
  <c r="F35" i="1"/>
  <c r="D36" i="1"/>
  <c r="F36" i="1"/>
  <c r="D37" i="1"/>
  <c r="F37" i="1"/>
  <c r="D38" i="1"/>
  <c r="F38" i="1"/>
  <c r="D39" i="1"/>
  <c r="F39" i="1"/>
  <c r="D40" i="1"/>
  <c r="F40" i="1"/>
  <c r="D41" i="1"/>
  <c r="F41" i="1"/>
  <c r="D42" i="1"/>
  <c r="F42" i="1"/>
  <c r="D43" i="1"/>
  <c r="F43" i="1"/>
  <c r="D44" i="1"/>
  <c r="F44" i="1"/>
  <c r="D45" i="1"/>
  <c r="F45" i="1"/>
  <c r="D46" i="1"/>
  <c r="F46" i="1"/>
  <c r="D47" i="1"/>
  <c r="F47" i="1"/>
  <c r="D48" i="1"/>
  <c r="F48" i="1"/>
  <c r="D49" i="1"/>
  <c r="F49" i="1"/>
  <c r="D50" i="1"/>
  <c r="F50" i="1"/>
  <c r="D51" i="1"/>
  <c r="F51" i="1"/>
  <c r="D52" i="1"/>
  <c r="F52" i="1"/>
  <c r="D53" i="1"/>
  <c r="F53" i="1"/>
  <c r="F5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5" i="1"/>
  <c r="D55" i="1"/>
  <c r="C55" i="1"/>
  <c r="B55" i="1"/>
</calcChain>
</file>

<file path=xl/connections.xml><?xml version="1.0" encoding="utf-8"?>
<connections xmlns="http://schemas.openxmlformats.org/spreadsheetml/2006/main">
  <connection id="1" name="MPLSDistanceCircuity.txt" type="6" refreshedVersion="0" background="1" saveData="1">
    <textPr fileType="mac" sourceFile="Macintosh HD:Users:davidlevinson:Desktop:MPLSDistanceCircuity.txt" delimiter="&amp;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<sst xmlns="http://schemas.openxmlformats.org/spreadsheetml/2006/main" count="262" uniqueCount="119">
  <si>
    <t>Area</t>
  </si>
  <si>
    <t>Atlanta</t>
  </si>
  <si>
    <t>Austin</t>
  </si>
  <si>
    <t>Baltimore</t>
  </si>
  <si>
    <t>Boston</t>
  </si>
  <si>
    <t>Buffalo</t>
  </si>
  <si>
    <t>Charlotte</t>
  </si>
  <si>
    <t>Chicago</t>
  </si>
  <si>
    <t>Cincinnati</t>
  </si>
  <si>
    <t>Cleveland</t>
  </si>
  <si>
    <t>Columbus</t>
  </si>
  <si>
    <t>Dallas</t>
  </si>
  <si>
    <t>Denver</t>
  </si>
  <si>
    <t>Detroit</t>
  </si>
  <si>
    <t>Grand Rapids</t>
  </si>
  <si>
    <t>Virginia Beach</t>
  </si>
  <si>
    <t>Hartford</t>
  </si>
  <si>
    <t>Honolulu</t>
  </si>
  <si>
    <t>Houston</t>
  </si>
  <si>
    <t>Indianapolis</t>
  </si>
  <si>
    <t>Riverside</t>
  </si>
  <si>
    <t>Jacksonville</t>
  </si>
  <si>
    <t>Kansas City</t>
  </si>
  <si>
    <t>Las Vegas</t>
  </si>
  <si>
    <t>Los Angeles</t>
  </si>
  <si>
    <t>Louisville</t>
  </si>
  <si>
    <t>Memphis</t>
  </si>
  <si>
    <t>Milwaukee</t>
  </si>
  <si>
    <t>Minneapolis</t>
  </si>
  <si>
    <t>Nashville</t>
  </si>
  <si>
    <t>New Orleans</t>
  </si>
  <si>
    <t>New York</t>
  </si>
  <si>
    <t>Oklahoma City</t>
  </si>
  <si>
    <t>Orlando</t>
  </si>
  <si>
    <t>Philadelphia</t>
  </si>
  <si>
    <t>Phoenix</t>
  </si>
  <si>
    <t>Pittsburgh</t>
  </si>
  <si>
    <t>Portland</t>
  </si>
  <si>
    <t>Providence</t>
  </si>
  <si>
    <t>Raleigh</t>
  </si>
  <si>
    <t>Rochester</t>
  </si>
  <si>
    <t>Sacramento</t>
  </si>
  <si>
    <t>Salt Lake City</t>
  </si>
  <si>
    <t>San Antonio</t>
  </si>
  <si>
    <t>San Diego</t>
  </si>
  <si>
    <t>San Francisco</t>
  </si>
  <si>
    <t>San Jose</t>
  </si>
  <si>
    <t>Seattle</t>
  </si>
  <si>
    <t>Miami</t>
  </si>
  <si>
    <t>St. Louis</t>
  </si>
  <si>
    <t>Tampa Bay</t>
  </si>
  <si>
    <t>Washington</t>
  </si>
  <si>
    <t>Average</t>
  </si>
  <si>
    <t>S1990</t>
  </si>
  <si>
    <t>S2000</t>
  </si>
  <si>
    <t>S2010</t>
  </si>
  <si>
    <t>DS20101990</t>
  </si>
  <si>
    <t>DS20102000</t>
  </si>
  <si>
    <t>C1990</t>
  </si>
  <si>
    <t>C2000</t>
  </si>
  <si>
    <t>C2010</t>
  </si>
  <si>
    <t>DC20101990</t>
  </si>
  <si>
    <t>DC20102000</t>
  </si>
  <si>
    <t>E1990</t>
  </si>
  <si>
    <t>E2000</t>
  </si>
  <si>
    <t>E2010</t>
  </si>
  <si>
    <t>DE20102000</t>
  </si>
  <si>
    <t>DE20101990</t>
  </si>
  <si>
    <t>Rho1990_UA</t>
  </si>
  <si>
    <t>Rho2000_UA</t>
  </si>
  <si>
    <t>Rho2010_UA</t>
  </si>
  <si>
    <t>DRho20101990</t>
  </si>
  <si>
    <t>DRho20102000</t>
  </si>
  <si>
    <t>DRho20001990</t>
  </si>
  <si>
    <t>DC20001990</t>
  </si>
  <si>
    <t>REGRESSION RESULTS - OFFICE 2011</t>
  </si>
  <si>
    <t>INTERCEPT</t>
  </si>
  <si>
    <t>=INTERCEPT(Y,X)</t>
  </si>
  <si>
    <t>b</t>
  </si>
  <si>
    <t>=SLOPE(Y,X)</t>
  </si>
  <si>
    <t>RSQ</t>
  </si>
  <si>
    <t>=RSQ(Y,X)</t>
  </si>
  <si>
    <t>t</t>
  </si>
  <si>
    <t>beta1990</t>
  </si>
  <si>
    <t>zeta1990</t>
  </si>
  <si>
    <t>beta2000</t>
  </si>
  <si>
    <t>zeta2000</t>
  </si>
  <si>
    <t>beta2010</t>
  </si>
  <si>
    <t>zeta2010</t>
  </si>
  <si>
    <t>betaMPLS2010</t>
  </si>
  <si>
    <t>zetaMPLS2010</t>
  </si>
  <si>
    <t>Minneapolis observed 2010</t>
  </si>
  <si>
    <t>Minneapolis estimated 2010</t>
  </si>
  <si>
    <t>US Average Circuity 1990</t>
  </si>
  <si>
    <t>US Aveage Circuity 2000</t>
  </si>
  <si>
    <t>US Average Circuity 2010</t>
  </si>
  <si>
    <t xml:space="preserve">0-5   </t>
  </si>
  <si>
    <t xml:space="preserve"> </t>
  </si>
  <si>
    <t xml:space="preserve">15-20 </t>
  </si>
  <si>
    <t xml:space="preserve">20-25 </t>
  </si>
  <si>
    <t xml:space="preserve">25-30 </t>
  </si>
  <si>
    <t xml:space="preserve">30-35 </t>
  </si>
  <si>
    <t xml:space="preserve">35-40 </t>
  </si>
  <si>
    <t xml:space="preserve">40-45 </t>
  </si>
  <si>
    <t xml:space="preserve">45-50 </t>
  </si>
  <si>
    <t xml:space="preserve">50-55 </t>
  </si>
  <si>
    <t xml:space="preserve">55-60 </t>
  </si>
  <si>
    <t>10-15</t>
  </si>
  <si>
    <t>5-10</t>
  </si>
  <si>
    <t>KM</t>
  </si>
  <si>
    <t>1990 C_i</t>
  </si>
  <si>
    <t>1990 C_w</t>
  </si>
  <si>
    <t>1990 sigma mu</t>
  </si>
  <si>
    <t>2000 C_i</t>
  </si>
  <si>
    <t>2000 C_w</t>
  </si>
  <si>
    <t>2000 sigma mu</t>
  </si>
  <si>
    <t>2010 C_i</t>
  </si>
  <si>
    <t>2010 C_w</t>
  </si>
  <si>
    <t>2010 sigma 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</si>
</sst>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"/>
    <numFmt numFmtId="165" formatCode="0.000"/>
    <numFmt numFmtId="166" formatCode="_(* #,##0.000_);_(* \(#,##0.000\);_(* &quot;-&quot;??_);_(@_)"/>
    <numFmt numFmtId="167" formatCode="_(* #,##0_);_(* \(#,##0\);_(* &quot;-&quot;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9"/>
      <name val="Geneva"/>
    </font>
  </fonts>
  <fills count="3">
    <fill>
      <patternFill patternType="none"/>
    </fill>
    <fill>
      <patternFill patternType="gray125"/>
    </fill>
    <fill>
      <patternFill patternType="solid">
        <fgColor rgb="FF8DB4E2"/>
        <bgColor rgb="FF000000"/>
      </patternFill>
    </fill>
  </fills>
  <borders count="1">
    <border>
      <left/>
      <right/>
      <top/>
      <bottom/>
      <diagonal/>
    </border>
  </borders>
  <cellStyleXfs count="52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2" fontId="0" fillId="0" borderId="0" xfId="0" applyNumberFormat="1"/>
    <xf numFmtId="164" fontId="0" fillId="0" borderId="0" xfId="0" applyNumberFormat="1"/>
    <xf numFmtId="43" fontId="0" fillId="0" borderId="0" xfId="1" applyFont="1"/>
    <xf numFmtId="2" fontId="0" fillId="0" borderId="0" xfId="0" quotePrefix="1" applyNumberFormat="1" applyAlignment="1">
      <alignment horizontal="right"/>
    </xf>
    <xf numFmtId="2" fontId="0" fillId="0" borderId="0" xfId="0" applyNumberFormat="1" applyFill="1"/>
    <xf numFmtId="2" fontId="0" fillId="0" borderId="0" xfId="0" applyNumberFormat="1" applyAlignment="1">
      <alignment horizontal="right"/>
    </xf>
    <xf numFmtId="165" fontId="0" fillId="0" borderId="0" xfId="0" applyNumberFormat="1"/>
    <xf numFmtId="166" fontId="0" fillId="0" borderId="0" xfId="1" applyNumberFormat="1" applyFont="1"/>
    <xf numFmtId="0" fontId="3" fillId="2" borderId="0" xfId="0" applyFont="1" applyFill="1"/>
    <xf numFmtId="167" fontId="0" fillId="0" borderId="0" xfId="1" applyNumberFormat="1" applyFont="1"/>
    <xf numFmtId="167" fontId="3" fillId="2" borderId="0" xfId="1" applyNumberFormat="1" applyFont="1" applyFill="1"/>
    <xf numFmtId="167" fontId="2" fillId="0" borderId="0" xfId="1" applyNumberFormat="1" applyFont="1"/>
    <xf numFmtId="1" fontId="0" fillId="0" borderId="0" xfId="0" applyNumberFormat="1"/>
    <xf numFmtId="0" fontId="6" fillId="0" borderId="0" xfId="0" applyFont="1"/>
    <xf numFmtId="0" fontId="0" fillId="0" borderId="0" xfId="0" quotePrefix="1"/>
    <xf numFmtId="16" fontId="0" fillId="0" borderId="0" xfId="0" quotePrefix="1" applyNumberFormat="1"/>
    <xf numFmtId="0" fontId="0" fillId="0" borderId="0" xfId="0" applyNumberFormat="1"/>
    <xf numFmtId="0" fontId="0" fillId="0" borderId="0" xfId="0" quotePrefix="1" applyNumberFormat="1"/>
  </cellXfs>
  <cellStyles count="52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4" Type="http://schemas.openxmlformats.org/officeDocument/2006/relationships/chartsheet" Target="chartsheets/sheet2.xml"/><Relationship Id="rId5" Type="http://schemas.openxmlformats.org/officeDocument/2006/relationships/worksheet" Target="worksheets/sheet3.xml"/><Relationship Id="rId6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8" Type="http://schemas.openxmlformats.org/officeDocument/2006/relationships/connections" Target="connections.xml"/><Relationship Id="rId9" Type="http://schemas.openxmlformats.org/officeDocument/2006/relationships/styles" Target="styles.xml"/><Relationship Id="rId10" Type="http://schemas.openxmlformats.org/officeDocument/2006/relationships/sharedStrings" Target="sharedStrings.xml"/><Relationship Id="rId11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</a:t>
            </a:r>
            <a:r>
              <a:rPr lang="en-US" sz="1200"/>
              <a:t>t</a:t>
            </a:r>
            <a:r>
              <a:rPr lang="en-US"/>
              <a:t>  US Average Circuity Decay with Travel Time, Minneapolis values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zetatrend!$B$1</c:f>
              <c:strCache>
                <c:ptCount val="1"/>
                <c:pt idx="0">
                  <c:v>US Average Circuity 1990</c:v>
                </c:pt>
              </c:strCache>
            </c:strRef>
          </c:tx>
          <c:xVal>
            <c:numRef>
              <c:f>zetatrend!$A$2:$A$13</c:f>
              <c:numCache>
                <c:formatCode>General</c:formatCode>
                <c:ptCount val="12"/>
                <c:pt idx="0">
                  <c:v>10.0</c:v>
                </c:pt>
                <c:pt idx="1">
                  <c:v>20.0</c:v>
                </c:pt>
                <c:pt idx="2">
                  <c:v>30.0</c:v>
                </c:pt>
                <c:pt idx="3">
                  <c:v>40.0</c:v>
                </c:pt>
                <c:pt idx="4">
                  <c:v>50.0</c:v>
                </c:pt>
                <c:pt idx="5">
                  <c:v>60.0</c:v>
                </c:pt>
              </c:numCache>
            </c:numRef>
          </c:xVal>
          <c:yVal>
            <c:numRef>
              <c:f>zetatrend!$B$2:$B$13</c:f>
              <c:numCache>
                <c:formatCode>General</c:formatCode>
                <c:ptCount val="12"/>
                <c:pt idx="0">
                  <c:v>1.354402260733394</c:v>
                </c:pt>
                <c:pt idx="1">
                  <c:v>1.3211243689711</c:v>
                </c:pt>
                <c:pt idx="2">
                  <c:v>1.302038386371724</c:v>
                </c:pt>
                <c:pt idx="3">
                  <c:v>1.288664120616713</c:v>
                </c:pt>
                <c:pt idx="4">
                  <c:v>1.278384912802537</c:v>
                </c:pt>
                <c:pt idx="5">
                  <c:v>1.270047083825782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zetatrend!$C$1</c:f>
              <c:strCache>
                <c:ptCount val="1"/>
                <c:pt idx="0">
                  <c:v>US Aveage Circuity 2000</c:v>
                </c:pt>
              </c:strCache>
            </c:strRef>
          </c:tx>
          <c:xVal>
            <c:numRef>
              <c:f>zetatrend!$A$2:$A$13</c:f>
              <c:numCache>
                <c:formatCode>General</c:formatCode>
                <c:ptCount val="12"/>
                <c:pt idx="0">
                  <c:v>10.0</c:v>
                </c:pt>
                <c:pt idx="1">
                  <c:v>20.0</c:v>
                </c:pt>
                <c:pt idx="2">
                  <c:v>30.0</c:v>
                </c:pt>
                <c:pt idx="3">
                  <c:v>40.0</c:v>
                </c:pt>
                <c:pt idx="4">
                  <c:v>50.0</c:v>
                </c:pt>
                <c:pt idx="5">
                  <c:v>60.0</c:v>
                </c:pt>
              </c:numCache>
            </c:numRef>
          </c:xVal>
          <c:yVal>
            <c:numRef>
              <c:f>zetatrend!$C$2:$C$13</c:f>
              <c:numCache>
                <c:formatCode>General</c:formatCode>
                <c:ptCount val="12"/>
                <c:pt idx="0">
                  <c:v>1.369300253259031</c:v>
                </c:pt>
                <c:pt idx="1">
                  <c:v>1.332660068284829</c:v>
                </c:pt>
                <c:pt idx="2">
                  <c:v>1.311683132455244</c:v>
                </c:pt>
                <c:pt idx="3">
                  <c:v>1.297000313389238</c:v>
                </c:pt>
                <c:pt idx="4">
                  <c:v>1.285724714849472</c:v>
                </c:pt>
                <c:pt idx="5">
                  <c:v>1.276584685283914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zetatrend!$D$1</c:f>
              <c:strCache>
                <c:ptCount val="1"/>
                <c:pt idx="0">
                  <c:v>US Average Circuity 2010</c:v>
                </c:pt>
              </c:strCache>
            </c:strRef>
          </c:tx>
          <c:xVal>
            <c:numRef>
              <c:f>zetatrend!$A$2:$A$13</c:f>
              <c:numCache>
                <c:formatCode>General</c:formatCode>
                <c:ptCount val="12"/>
                <c:pt idx="0">
                  <c:v>10.0</c:v>
                </c:pt>
                <c:pt idx="1">
                  <c:v>20.0</c:v>
                </c:pt>
                <c:pt idx="2">
                  <c:v>30.0</c:v>
                </c:pt>
                <c:pt idx="3">
                  <c:v>40.0</c:v>
                </c:pt>
                <c:pt idx="4">
                  <c:v>50.0</c:v>
                </c:pt>
                <c:pt idx="5">
                  <c:v>60.0</c:v>
                </c:pt>
              </c:numCache>
            </c:numRef>
          </c:xVal>
          <c:yVal>
            <c:numRef>
              <c:f>zetatrend!$D$2:$D$13</c:f>
              <c:numCache>
                <c:formatCode>General</c:formatCode>
                <c:ptCount val="12"/>
                <c:pt idx="0">
                  <c:v>1.363922868627219</c:v>
                </c:pt>
                <c:pt idx="1">
                  <c:v>1.326773461785418</c:v>
                </c:pt>
                <c:pt idx="2">
                  <c:v>1.305513299401901</c:v>
                </c:pt>
                <c:pt idx="3">
                  <c:v>1.290635899865673</c:v>
                </c:pt>
                <c:pt idx="4">
                  <c:v>1.279212946754229</c:v>
                </c:pt>
                <c:pt idx="5">
                  <c:v>1.26995480426084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zetatrend!$E$1</c:f>
              <c:strCache>
                <c:ptCount val="1"/>
                <c:pt idx="0">
                  <c:v>Minneapolis estimated 2010</c:v>
                </c:pt>
              </c:strCache>
            </c:strRef>
          </c:tx>
          <c:xVal>
            <c:numRef>
              <c:f>zetatrend!$A$2:$A$13</c:f>
              <c:numCache>
                <c:formatCode>General</c:formatCode>
                <c:ptCount val="12"/>
                <c:pt idx="0">
                  <c:v>10.0</c:v>
                </c:pt>
                <c:pt idx="1">
                  <c:v>20.0</c:v>
                </c:pt>
                <c:pt idx="2">
                  <c:v>30.0</c:v>
                </c:pt>
                <c:pt idx="3">
                  <c:v>40.0</c:v>
                </c:pt>
                <c:pt idx="4">
                  <c:v>50.0</c:v>
                </c:pt>
                <c:pt idx="5">
                  <c:v>60.0</c:v>
                </c:pt>
              </c:numCache>
            </c:numRef>
          </c:xVal>
          <c:yVal>
            <c:numRef>
              <c:f>zetatrend!$E$2:$E$13</c:f>
              <c:numCache>
                <c:formatCode>General</c:formatCode>
                <c:ptCount val="12"/>
                <c:pt idx="0">
                  <c:v>1.359176491295578</c:v>
                </c:pt>
                <c:pt idx="1">
                  <c:v>1.305943792142506</c:v>
                </c:pt>
                <c:pt idx="2">
                  <c:v>1.275776461828692</c:v>
                </c:pt>
                <c:pt idx="3">
                  <c:v>1.254795973266036</c:v>
                </c:pt>
                <c:pt idx="4">
                  <c:v>1.238760142065662</c:v>
                </c:pt>
                <c:pt idx="5">
                  <c:v>1.225810158692915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zetatrend!$F$1</c:f>
              <c:strCache>
                <c:ptCount val="1"/>
                <c:pt idx="0">
                  <c:v>Minneapolis observed 2010</c:v>
                </c:pt>
              </c:strCache>
            </c:strRef>
          </c:tx>
          <c:xVal>
            <c:numRef>
              <c:f>zetatrend!$A$2:$A$13</c:f>
              <c:numCache>
                <c:formatCode>General</c:formatCode>
                <c:ptCount val="12"/>
                <c:pt idx="0">
                  <c:v>10.0</c:v>
                </c:pt>
                <c:pt idx="1">
                  <c:v>20.0</c:v>
                </c:pt>
                <c:pt idx="2">
                  <c:v>30.0</c:v>
                </c:pt>
                <c:pt idx="3">
                  <c:v>40.0</c:v>
                </c:pt>
                <c:pt idx="4">
                  <c:v>50.0</c:v>
                </c:pt>
                <c:pt idx="5">
                  <c:v>60.0</c:v>
                </c:pt>
              </c:numCache>
            </c:numRef>
          </c:xVal>
          <c:yVal>
            <c:numRef>
              <c:f>zetatrend!$F$2:$F$13</c:f>
              <c:numCache>
                <c:formatCode>General</c:formatCode>
                <c:ptCount val="12"/>
                <c:pt idx="0">
                  <c:v>1.368</c:v>
                </c:pt>
                <c:pt idx="1">
                  <c:v>1.303</c:v>
                </c:pt>
                <c:pt idx="2">
                  <c:v>1.27</c:v>
                </c:pt>
                <c:pt idx="3">
                  <c:v>1.249</c:v>
                </c:pt>
                <c:pt idx="4">
                  <c:v>1.234</c:v>
                </c:pt>
                <c:pt idx="5">
                  <c:v>1.224</c:v>
                </c:pt>
                <c:pt idx="6">
                  <c:v>1.215</c:v>
                </c:pt>
                <c:pt idx="7">
                  <c:v>1.21</c:v>
                </c:pt>
                <c:pt idx="8">
                  <c:v>1.205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2947000"/>
        <c:axId val="2134872680"/>
      </c:scatterChart>
      <c:valAx>
        <c:axId val="2132947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band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134872680"/>
        <c:crosses val="autoZero"/>
        <c:crossBetween val="midCat"/>
      </c:valAx>
      <c:valAx>
        <c:axId val="2134872680"/>
        <c:scaling>
          <c:orientation val="minMax"/>
          <c:max val="1.5"/>
          <c:min val="1.2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Circuity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13294700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>
                <a:effectLst/>
              </a:rPr>
              <a:t>C</a:t>
            </a:r>
            <a:r>
              <a:rPr lang="en-US" sz="1100" b="1" i="0" u="none" strike="noStrike" baseline="0">
                <a:effectLst/>
              </a:rPr>
              <a:t>w</a:t>
            </a:r>
            <a:r>
              <a:rPr lang="en-US" sz="1800" b="1" i="0" u="none" strike="noStrike" baseline="0"/>
              <a:t> , </a:t>
            </a:r>
            <a:r>
              <a:rPr lang="en-US" sz="1800" b="1" i="0" u="none" strike="noStrike" baseline="0">
                <a:effectLst/>
              </a:rPr>
              <a:t>C</a:t>
            </a:r>
            <a:r>
              <a:rPr lang="en-US" sz="1100" b="1" i="0" u="none" strike="noStrike" baseline="0">
                <a:effectLst/>
              </a:rPr>
              <a:t>i</a:t>
            </a:r>
            <a:r>
              <a:rPr lang="en-US" sz="1800" b="1" i="0" u="none" strike="noStrike" baseline="0"/>
              <a:t> </a:t>
            </a:r>
            <a:r>
              <a:rPr lang="en-US"/>
              <a:t>Minneapolis Circuity: Weighted and Unweighted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5"/>
          <c:order val="5"/>
          <c:tx>
            <c:strRef>
              <c:f>'Minneapolis Distance Circuity'!$G$19</c:f>
              <c:strCache>
                <c:ptCount val="1"/>
                <c:pt idx="0">
                  <c:v>2010 C_w</c:v>
                </c:pt>
              </c:strCache>
            </c:strRef>
          </c:tx>
          <c:spPr>
            <a:ln>
              <a:prstDash val="sysDot"/>
            </a:ln>
          </c:spPr>
          <c:marker>
            <c:spPr>
              <a:ln>
                <a:prstDash val="sysDot"/>
              </a:ln>
            </c:spPr>
          </c:marker>
          <c:xVal>
            <c:numRef>
              <c:f>'Minneapolis Distance Circuity'!$A$20:$A$31</c:f>
              <c:numCache>
                <c:formatCode>General</c:formatCode>
                <c:ptCount val="12"/>
                <c:pt idx="0">
                  <c:v>5.0</c:v>
                </c:pt>
                <c:pt idx="1">
                  <c:v>10.0</c:v>
                </c:pt>
                <c:pt idx="2">
                  <c:v>15.0</c:v>
                </c:pt>
                <c:pt idx="3">
                  <c:v>20.0</c:v>
                </c:pt>
                <c:pt idx="4">
                  <c:v>25.0</c:v>
                </c:pt>
                <c:pt idx="5">
                  <c:v>30.0</c:v>
                </c:pt>
                <c:pt idx="6">
                  <c:v>35.0</c:v>
                </c:pt>
                <c:pt idx="7">
                  <c:v>40.0</c:v>
                </c:pt>
                <c:pt idx="8">
                  <c:v>45.0</c:v>
                </c:pt>
                <c:pt idx="9">
                  <c:v>50.0</c:v>
                </c:pt>
                <c:pt idx="10">
                  <c:v>55.0</c:v>
                </c:pt>
                <c:pt idx="11">
                  <c:v>60.0</c:v>
                </c:pt>
              </c:numCache>
            </c:numRef>
          </c:xVal>
          <c:yVal>
            <c:numRef>
              <c:f>'Minneapolis Distance Circuity'!$G$20:$G$31</c:f>
              <c:numCache>
                <c:formatCode>General</c:formatCode>
                <c:ptCount val="12"/>
                <c:pt idx="0">
                  <c:v>1.46</c:v>
                </c:pt>
                <c:pt idx="1">
                  <c:v>1.464</c:v>
                </c:pt>
                <c:pt idx="2">
                  <c:v>1.346</c:v>
                </c:pt>
                <c:pt idx="3">
                  <c:v>1.317</c:v>
                </c:pt>
                <c:pt idx="4">
                  <c:v>1.288</c:v>
                </c:pt>
                <c:pt idx="5">
                  <c:v>1.277</c:v>
                </c:pt>
                <c:pt idx="6">
                  <c:v>1.255</c:v>
                </c:pt>
                <c:pt idx="7">
                  <c:v>1.245</c:v>
                </c:pt>
                <c:pt idx="8">
                  <c:v>1.236</c:v>
                </c:pt>
                <c:pt idx="9">
                  <c:v>1.23</c:v>
                </c:pt>
                <c:pt idx="10">
                  <c:v>1.221</c:v>
                </c:pt>
                <c:pt idx="11">
                  <c:v>1.216</c:v>
                </c:pt>
              </c:numCache>
            </c:numRef>
          </c:yVal>
          <c:smooth val="0"/>
        </c:ser>
        <c:ser>
          <c:idx val="0"/>
          <c:order val="0"/>
          <c:tx>
            <c:strRef>
              <c:f>'Minneapolis Distance Circuity'!$B$19</c:f>
              <c:strCache>
                <c:ptCount val="1"/>
                <c:pt idx="0">
                  <c:v>1990 C_i</c:v>
                </c:pt>
              </c:strCache>
            </c:strRef>
          </c:tx>
          <c:xVal>
            <c:numRef>
              <c:f>'Minneapolis Distance Circuity'!$A$20:$A$31</c:f>
              <c:numCache>
                <c:formatCode>General</c:formatCode>
                <c:ptCount val="12"/>
                <c:pt idx="0">
                  <c:v>5.0</c:v>
                </c:pt>
                <c:pt idx="1">
                  <c:v>10.0</c:v>
                </c:pt>
                <c:pt idx="2">
                  <c:v>15.0</c:v>
                </c:pt>
                <c:pt idx="3">
                  <c:v>20.0</c:v>
                </c:pt>
                <c:pt idx="4">
                  <c:v>25.0</c:v>
                </c:pt>
                <c:pt idx="5">
                  <c:v>30.0</c:v>
                </c:pt>
                <c:pt idx="6">
                  <c:v>35.0</c:v>
                </c:pt>
                <c:pt idx="7">
                  <c:v>40.0</c:v>
                </c:pt>
                <c:pt idx="8">
                  <c:v>45.0</c:v>
                </c:pt>
                <c:pt idx="9">
                  <c:v>50.0</c:v>
                </c:pt>
                <c:pt idx="10">
                  <c:v>55.0</c:v>
                </c:pt>
                <c:pt idx="11">
                  <c:v>60.0</c:v>
                </c:pt>
              </c:numCache>
            </c:numRef>
          </c:xVal>
          <c:yVal>
            <c:numRef>
              <c:f>'Minneapolis Distance Circuity'!$B$20:$B$31</c:f>
              <c:numCache>
                <c:formatCode>General</c:formatCode>
                <c:ptCount val="12"/>
                <c:pt idx="0">
                  <c:v>1.365</c:v>
                </c:pt>
                <c:pt idx="1">
                  <c:v>1.35</c:v>
                </c:pt>
                <c:pt idx="2">
                  <c:v>1.313</c:v>
                </c:pt>
                <c:pt idx="3">
                  <c:v>1.281</c:v>
                </c:pt>
                <c:pt idx="4">
                  <c:v>1.268</c:v>
                </c:pt>
                <c:pt idx="5">
                  <c:v>1.243</c:v>
                </c:pt>
                <c:pt idx="6">
                  <c:v>1.246</c:v>
                </c:pt>
                <c:pt idx="7">
                  <c:v>1.236</c:v>
                </c:pt>
                <c:pt idx="8">
                  <c:v>1.225</c:v>
                </c:pt>
                <c:pt idx="9">
                  <c:v>1.223</c:v>
                </c:pt>
                <c:pt idx="10">
                  <c:v>1.218</c:v>
                </c:pt>
                <c:pt idx="11">
                  <c:v>1.216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'Minneapolis Distance Circuity'!$C$19</c:f>
              <c:strCache>
                <c:ptCount val="1"/>
                <c:pt idx="0">
                  <c:v>1990 C_w</c:v>
                </c:pt>
              </c:strCache>
            </c:strRef>
          </c:tx>
          <c:spPr>
            <a:ln>
              <a:prstDash val="sysDot"/>
            </a:ln>
          </c:spPr>
          <c:xVal>
            <c:numRef>
              <c:f>'Minneapolis Distance Circuity'!$A$20:$A$31</c:f>
              <c:numCache>
                <c:formatCode>General</c:formatCode>
                <c:ptCount val="12"/>
                <c:pt idx="0">
                  <c:v>5.0</c:v>
                </c:pt>
                <c:pt idx="1">
                  <c:v>10.0</c:v>
                </c:pt>
                <c:pt idx="2">
                  <c:v>15.0</c:v>
                </c:pt>
                <c:pt idx="3">
                  <c:v>20.0</c:v>
                </c:pt>
                <c:pt idx="4">
                  <c:v>25.0</c:v>
                </c:pt>
                <c:pt idx="5">
                  <c:v>30.0</c:v>
                </c:pt>
                <c:pt idx="6">
                  <c:v>35.0</c:v>
                </c:pt>
                <c:pt idx="7">
                  <c:v>40.0</c:v>
                </c:pt>
                <c:pt idx="8">
                  <c:v>45.0</c:v>
                </c:pt>
                <c:pt idx="9">
                  <c:v>50.0</c:v>
                </c:pt>
                <c:pt idx="10">
                  <c:v>55.0</c:v>
                </c:pt>
                <c:pt idx="11">
                  <c:v>60.0</c:v>
                </c:pt>
              </c:numCache>
            </c:numRef>
          </c:xVal>
          <c:yVal>
            <c:numRef>
              <c:f>'Minneapolis Distance Circuity'!$C$20:$C$31</c:f>
              <c:numCache>
                <c:formatCode>General</c:formatCode>
                <c:ptCount val="12"/>
                <c:pt idx="0">
                  <c:v>1.443</c:v>
                </c:pt>
                <c:pt idx="1">
                  <c:v>1.401</c:v>
                </c:pt>
                <c:pt idx="2">
                  <c:v>1.349</c:v>
                </c:pt>
                <c:pt idx="3">
                  <c:v>1.301</c:v>
                </c:pt>
                <c:pt idx="4">
                  <c:v>1.286</c:v>
                </c:pt>
                <c:pt idx="5">
                  <c:v>1.256</c:v>
                </c:pt>
                <c:pt idx="6">
                  <c:v>1.263</c:v>
                </c:pt>
                <c:pt idx="7">
                  <c:v>1.249</c:v>
                </c:pt>
                <c:pt idx="8">
                  <c:v>1.234</c:v>
                </c:pt>
                <c:pt idx="9">
                  <c:v>1.237</c:v>
                </c:pt>
                <c:pt idx="10">
                  <c:v>1.229</c:v>
                </c:pt>
                <c:pt idx="11">
                  <c:v>1.229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'Minneapolis Distance Circuity'!$D$19</c:f>
              <c:strCache>
                <c:ptCount val="1"/>
                <c:pt idx="0">
                  <c:v>2000 C_i</c:v>
                </c:pt>
              </c:strCache>
            </c:strRef>
          </c:tx>
          <c:xVal>
            <c:numRef>
              <c:f>'Minneapolis Distance Circuity'!$A$20:$A$31</c:f>
              <c:numCache>
                <c:formatCode>General</c:formatCode>
                <c:ptCount val="12"/>
                <c:pt idx="0">
                  <c:v>5.0</c:v>
                </c:pt>
                <c:pt idx="1">
                  <c:v>10.0</c:v>
                </c:pt>
                <c:pt idx="2">
                  <c:v>15.0</c:v>
                </c:pt>
                <c:pt idx="3">
                  <c:v>20.0</c:v>
                </c:pt>
                <c:pt idx="4">
                  <c:v>25.0</c:v>
                </c:pt>
                <c:pt idx="5">
                  <c:v>30.0</c:v>
                </c:pt>
                <c:pt idx="6">
                  <c:v>35.0</c:v>
                </c:pt>
                <c:pt idx="7">
                  <c:v>40.0</c:v>
                </c:pt>
                <c:pt idx="8">
                  <c:v>45.0</c:v>
                </c:pt>
                <c:pt idx="9">
                  <c:v>50.0</c:v>
                </c:pt>
                <c:pt idx="10">
                  <c:v>55.0</c:v>
                </c:pt>
                <c:pt idx="11">
                  <c:v>60.0</c:v>
                </c:pt>
              </c:numCache>
            </c:numRef>
          </c:xVal>
          <c:yVal>
            <c:numRef>
              <c:f>'Minneapolis Distance Circuity'!$D$20:$D$31</c:f>
              <c:numCache>
                <c:formatCode>General</c:formatCode>
                <c:ptCount val="12"/>
                <c:pt idx="0">
                  <c:v>1.363</c:v>
                </c:pt>
                <c:pt idx="1">
                  <c:v>1.353</c:v>
                </c:pt>
                <c:pt idx="2">
                  <c:v>1.3</c:v>
                </c:pt>
                <c:pt idx="3">
                  <c:v>1.273</c:v>
                </c:pt>
                <c:pt idx="4">
                  <c:v>1.257</c:v>
                </c:pt>
                <c:pt idx="5">
                  <c:v>1.244</c:v>
                </c:pt>
                <c:pt idx="6">
                  <c:v>1.236</c:v>
                </c:pt>
                <c:pt idx="7">
                  <c:v>1.231</c:v>
                </c:pt>
                <c:pt idx="8">
                  <c:v>1.217</c:v>
                </c:pt>
                <c:pt idx="9">
                  <c:v>1.217</c:v>
                </c:pt>
                <c:pt idx="10">
                  <c:v>1.214</c:v>
                </c:pt>
                <c:pt idx="11">
                  <c:v>1.205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'Minneapolis Distance Circuity'!$E$19</c:f>
              <c:strCache>
                <c:ptCount val="1"/>
                <c:pt idx="0">
                  <c:v>2000 C_w</c:v>
                </c:pt>
              </c:strCache>
            </c:strRef>
          </c:tx>
          <c:spPr>
            <a:ln>
              <a:prstDash val="sysDot"/>
            </a:ln>
          </c:spPr>
          <c:xVal>
            <c:numRef>
              <c:f>'Minneapolis Distance Circuity'!$A$20:$A$31</c:f>
              <c:numCache>
                <c:formatCode>General</c:formatCode>
                <c:ptCount val="12"/>
                <c:pt idx="0">
                  <c:v>5.0</c:v>
                </c:pt>
                <c:pt idx="1">
                  <c:v>10.0</c:v>
                </c:pt>
                <c:pt idx="2">
                  <c:v>15.0</c:v>
                </c:pt>
                <c:pt idx="3">
                  <c:v>20.0</c:v>
                </c:pt>
                <c:pt idx="4">
                  <c:v>25.0</c:v>
                </c:pt>
                <c:pt idx="5">
                  <c:v>30.0</c:v>
                </c:pt>
                <c:pt idx="6">
                  <c:v>35.0</c:v>
                </c:pt>
                <c:pt idx="7">
                  <c:v>40.0</c:v>
                </c:pt>
                <c:pt idx="8">
                  <c:v>45.0</c:v>
                </c:pt>
                <c:pt idx="9">
                  <c:v>50.0</c:v>
                </c:pt>
                <c:pt idx="10">
                  <c:v>55.0</c:v>
                </c:pt>
                <c:pt idx="11">
                  <c:v>60.0</c:v>
                </c:pt>
              </c:numCache>
            </c:numRef>
          </c:xVal>
          <c:yVal>
            <c:numRef>
              <c:f>'Minneapolis Distance Circuity'!$E$20:$E$31</c:f>
              <c:numCache>
                <c:formatCode>General</c:formatCode>
                <c:ptCount val="12"/>
                <c:pt idx="0">
                  <c:v>1.434</c:v>
                </c:pt>
                <c:pt idx="1">
                  <c:v>1.403</c:v>
                </c:pt>
                <c:pt idx="2">
                  <c:v>1.328</c:v>
                </c:pt>
                <c:pt idx="3">
                  <c:v>1.294</c:v>
                </c:pt>
                <c:pt idx="4">
                  <c:v>1.276</c:v>
                </c:pt>
                <c:pt idx="5">
                  <c:v>1.26</c:v>
                </c:pt>
                <c:pt idx="6">
                  <c:v>1.249</c:v>
                </c:pt>
                <c:pt idx="7">
                  <c:v>1.245</c:v>
                </c:pt>
                <c:pt idx="8">
                  <c:v>1.23</c:v>
                </c:pt>
                <c:pt idx="9">
                  <c:v>1.229</c:v>
                </c:pt>
                <c:pt idx="10">
                  <c:v>1.228</c:v>
                </c:pt>
                <c:pt idx="11">
                  <c:v>1.216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'Minneapolis Distance Circuity'!$F$19</c:f>
              <c:strCache>
                <c:ptCount val="1"/>
                <c:pt idx="0">
                  <c:v>2010 C_i</c:v>
                </c:pt>
              </c:strCache>
            </c:strRef>
          </c:tx>
          <c:xVal>
            <c:numRef>
              <c:f>'Minneapolis Distance Circuity'!$A$20:$A$31</c:f>
              <c:numCache>
                <c:formatCode>General</c:formatCode>
                <c:ptCount val="12"/>
                <c:pt idx="0">
                  <c:v>5.0</c:v>
                </c:pt>
                <c:pt idx="1">
                  <c:v>10.0</c:v>
                </c:pt>
                <c:pt idx="2">
                  <c:v>15.0</c:v>
                </c:pt>
                <c:pt idx="3">
                  <c:v>20.0</c:v>
                </c:pt>
                <c:pt idx="4">
                  <c:v>25.0</c:v>
                </c:pt>
                <c:pt idx="5">
                  <c:v>30.0</c:v>
                </c:pt>
                <c:pt idx="6">
                  <c:v>35.0</c:v>
                </c:pt>
                <c:pt idx="7">
                  <c:v>40.0</c:v>
                </c:pt>
                <c:pt idx="8">
                  <c:v>45.0</c:v>
                </c:pt>
                <c:pt idx="9">
                  <c:v>50.0</c:v>
                </c:pt>
                <c:pt idx="10">
                  <c:v>55.0</c:v>
                </c:pt>
                <c:pt idx="11">
                  <c:v>60.0</c:v>
                </c:pt>
              </c:numCache>
            </c:numRef>
          </c:xVal>
          <c:yVal>
            <c:numRef>
              <c:f>'Minneapolis Distance Circuity'!$F$20:$F$31</c:f>
              <c:numCache>
                <c:formatCode>General</c:formatCode>
                <c:ptCount val="12"/>
                <c:pt idx="0">
                  <c:v>1.377</c:v>
                </c:pt>
                <c:pt idx="1">
                  <c:v>1.378</c:v>
                </c:pt>
                <c:pt idx="2">
                  <c:v>1.32</c:v>
                </c:pt>
                <c:pt idx="3">
                  <c:v>1.295</c:v>
                </c:pt>
                <c:pt idx="4">
                  <c:v>1.272</c:v>
                </c:pt>
                <c:pt idx="5">
                  <c:v>1.262</c:v>
                </c:pt>
                <c:pt idx="6">
                  <c:v>1.242</c:v>
                </c:pt>
                <c:pt idx="7">
                  <c:v>1.235</c:v>
                </c:pt>
                <c:pt idx="8">
                  <c:v>1.226</c:v>
                </c:pt>
                <c:pt idx="9">
                  <c:v>1.222</c:v>
                </c:pt>
                <c:pt idx="10">
                  <c:v>1.212</c:v>
                </c:pt>
                <c:pt idx="11">
                  <c:v>1.209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7463736"/>
        <c:axId val="2087027000"/>
      </c:scatterChart>
      <c:valAx>
        <c:axId val="2087463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Distance interval (km)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087027000"/>
        <c:crosses val="autoZero"/>
        <c:crossBetween val="midCat"/>
      </c:valAx>
      <c:valAx>
        <c:axId val="2087027000"/>
        <c:scaling>
          <c:orientation val="minMax"/>
          <c:min val="1.2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Circuity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08746373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1" workbookViewId="0" zoomToFit="1"/>
  </sheetViews>
  <pageMargins left="0.75" right="0.75" top="1" bottom="1" header="0.5" footer="0.5"/>
  <pageSetup orientation="landscape" horizontalDpi="4294967292" verticalDpi="4294967292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tabSelected="1" zoomScale="121" workbookViewId="0" zoomToFit="1"/>
  </sheetViews>
  <pageMargins left="0.75" right="0.75" top="1" bottom="1" header="0.5" footer="0.5"/>
  <pageSetup orientation="landscape" horizontalDpi="4294967292" verticalDpi="429496729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64628" cy="582520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64628" cy="582520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SA%20Circuity%20April%202013/Accessibility-3Decades/Spreadsheets/Accessibility_Constrained-2012postInrix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990"/>
      <sheetName val="1995"/>
      <sheetName val="2001"/>
      <sheetName val="HPMS"/>
      <sheetName val="Speeds"/>
      <sheetName val="oldspeed"/>
      <sheetName val="2010-10"/>
      <sheetName val="2010-20"/>
      <sheetName val="2010-30"/>
      <sheetName val="2010-40"/>
      <sheetName val="2010-50"/>
      <sheetName val="2010-60"/>
      <sheetName val="2010-70"/>
      <sheetName val="2010-80"/>
      <sheetName val="2010-90"/>
      <sheetName val="Interval Circuities"/>
      <sheetName val="Complete2011"/>
      <sheetName val="Summary-2010"/>
      <sheetName val="Summary-2000"/>
      <sheetName val="Summary-1990"/>
      <sheetName val="Trends2010-1990"/>
      <sheetName val="Trends2010-2000"/>
      <sheetName val="Trends2000-1990"/>
      <sheetName val="ChangeInRank2010-1990"/>
      <sheetName val="ChangeInRank2010-2000"/>
      <sheetName val="ChangeInRank2000-1990"/>
      <sheetName val="For Report"/>
      <sheetName val="Total Employment"/>
      <sheetName val="CongestedSpeeds kmh"/>
      <sheetName val="CircuityTrends"/>
      <sheetName val="US Average Accessibility"/>
      <sheetName val="US AVERAGE TRENDS"/>
    </sheetNames>
    <sheetDataSet>
      <sheetData sheetId="0"/>
      <sheetData sheetId="1"/>
      <sheetData sheetId="2"/>
      <sheetData sheetId="3"/>
      <sheetData sheetId="4">
        <row r="2">
          <cell r="U2">
            <v>66.682397163757059</v>
          </cell>
        </row>
        <row r="3">
          <cell r="U3">
            <v>67.132189228567199</v>
          </cell>
        </row>
        <row r="4">
          <cell r="U4">
            <v>64.331330728262358</v>
          </cell>
        </row>
        <row r="5">
          <cell r="U5">
            <v>59.083844176305647</v>
          </cell>
        </row>
        <row r="6">
          <cell r="U6">
            <v>61.52546201403905</v>
          </cell>
        </row>
        <row r="7">
          <cell r="U7">
            <v>64.052681514079197</v>
          </cell>
        </row>
        <row r="8">
          <cell r="U8">
            <v>62.255871883980589</v>
          </cell>
        </row>
        <row r="9">
          <cell r="U9">
            <v>63.816269796049951</v>
          </cell>
        </row>
        <row r="10">
          <cell r="U10">
            <v>60.599390167439914</v>
          </cell>
        </row>
        <row r="11">
          <cell r="U11">
            <v>64.046411741712433</v>
          </cell>
        </row>
        <row r="12">
          <cell r="U12">
            <v>65.991437704144019</v>
          </cell>
        </row>
        <row r="13">
          <cell r="U13">
            <v>60.705617754852213</v>
          </cell>
        </row>
        <row r="14">
          <cell r="U14">
            <v>62.147901133486052</v>
          </cell>
        </row>
        <row r="15">
          <cell r="U15">
            <v>67.784674216887879</v>
          </cell>
        </row>
        <row r="16">
          <cell r="U16">
            <v>64.715366633523445</v>
          </cell>
        </row>
        <row r="17">
          <cell r="U17">
            <v>63.831016736397409</v>
          </cell>
        </row>
        <row r="18">
          <cell r="U18">
            <v>54.710932805374171</v>
          </cell>
        </row>
        <row r="19">
          <cell r="U19">
            <v>66.693022833822994</v>
          </cell>
        </row>
        <row r="20">
          <cell r="U20">
            <v>62.662263546111326</v>
          </cell>
        </row>
        <row r="21">
          <cell r="U21">
            <v>72.107428140171564</v>
          </cell>
        </row>
        <row r="22">
          <cell r="U22">
            <v>69.127068300037649</v>
          </cell>
        </row>
        <row r="23">
          <cell r="U23">
            <v>67.812288769795572</v>
          </cell>
        </row>
        <row r="24">
          <cell r="U24">
            <v>62.454008275887581</v>
          </cell>
        </row>
        <row r="25">
          <cell r="U25">
            <v>67.712654237264687</v>
          </cell>
        </row>
        <row r="26">
          <cell r="U26">
            <v>69.762390899595417</v>
          </cell>
        </row>
        <row r="27">
          <cell r="U27">
            <v>66.011797525453602</v>
          </cell>
        </row>
        <row r="28">
          <cell r="U28">
            <v>66.575024815111192</v>
          </cell>
        </row>
        <row r="29">
          <cell r="U29">
            <v>72.35417413894163</v>
          </cell>
        </row>
        <row r="30">
          <cell r="U30">
            <v>66.509434242873198</v>
          </cell>
        </row>
        <row r="31">
          <cell r="U31">
            <v>70.113916315490926</v>
          </cell>
        </row>
        <row r="32">
          <cell r="U32">
            <v>60.636060061572778</v>
          </cell>
        </row>
        <row r="33">
          <cell r="U33">
            <v>62.746727907823015</v>
          </cell>
        </row>
        <row r="34">
          <cell r="U34">
            <v>63.67703994300269</v>
          </cell>
        </row>
        <row r="35">
          <cell r="U35">
            <v>57.583198277252201</v>
          </cell>
        </row>
        <row r="36">
          <cell r="U36">
            <v>65.523113774601583</v>
          </cell>
        </row>
        <row r="37">
          <cell r="U37">
            <v>59.807444822625882</v>
          </cell>
        </row>
        <row r="38">
          <cell r="U38">
            <v>58.331030650507813</v>
          </cell>
        </row>
        <row r="39">
          <cell r="U39">
            <v>61.333480923569354</v>
          </cell>
        </row>
        <row r="40">
          <cell r="U40">
            <v>70.888143113567551</v>
          </cell>
        </row>
        <row r="41">
          <cell r="U41">
            <v>64.044695759894694</v>
          </cell>
        </row>
        <row r="42">
          <cell r="U42">
            <v>69.851259887217722</v>
          </cell>
        </row>
        <row r="43">
          <cell r="U43">
            <v>64.533357950473999</v>
          </cell>
        </row>
        <row r="44">
          <cell r="U44">
            <v>70.329269785649885</v>
          </cell>
        </row>
        <row r="45">
          <cell r="U45">
            <v>74.208902356796543</v>
          </cell>
        </row>
        <row r="46">
          <cell r="U46">
            <v>72.542200404561456</v>
          </cell>
        </row>
        <row r="47">
          <cell r="U47">
            <v>67.913980035971221</v>
          </cell>
        </row>
        <row r="48">
          <cell r="U48">
            <v>59.237163329958236</v>
          </cell>
        </row>
        <row r="49">
          <cell r="U49">
            <v>59.396208684850201</v>
          </cell>
        </row>
        <row r="50">
          <cell r="U50">
            <v>55.946693712217225</v>
          </cell>
        </row>
        <row r="51">
          <cell r="U51">
            <v>65.037009428922346</v>
          </cell>
        </row>
        <row r="52">
          <cell r="U52">
            <v>60.647730141730513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3">
          <cell r="I3">
            <v>1.1933849385737794</v>
          </cell>
        </row>
        <row r="4">
          <cell r="I4">
            <v>1.2630063192455665</v>
          </cell>
        </row>
        <row r="5">
          <cell r="I5">
            <v>1.2268115098360695</v>
          </cell>
        </row>
        <row r="6">
          <cell r="I6">
            <v>1.1822577092208564</v>
          </cell>
        </row>
        <row r="7">
          <cell r="I7">
            <v>1.1659230811658463</v>
          </cell>
        </row>
        <row r="8">
          <cell r="I8">
            <v>1.2188102793904707</v>
          </cell>
        </row>
        <row r="9">
          <cell r="I9">
            <v>1.1765397413486474</v>
          </cell>
        </row>
        <row r="10">
          <cell r="I10">
            <v>1.2721393245922437</v>
          </cell>
        </row>
        <row r="11">
          <cell r="I11">
            <v>1.1513174285753958</v>
          </cell>
        </row>
        <row r="12">
          <cell r="I12">
            <v>1.1687761854315619</v>
          </cell>
        </row>
        <row r="13">
          <cell r="I13">
            <v>1.2096246171132026</v>
          </cell>
        </row>
        <row r="14">
          <cell r="I14">
            <v>1.3292653370679421</v>
          </cell>
        </row>
        <row r="15">
          <cell r="I15">
            <v>1.1812733520638485</v>
          </cell>
        </row>
        <row r="16">
          <cell r="I16">
            <v>1.2343026815133216</v>
          </cell>
        </row>
        <row r="17">
          <cell r="I17">
            <v>1.3331220930334835</v>
          </cell>
        </row>
        <row r="18">
          <cell r="I18">
            <v>1.2209157982173557</v>
          </cell>
        </row>
        <row r="19">
          <cell r="I19">
            <v>1.4620608998697906</v>
          </cell>
        </row>
        <row r="20">
          <cell r="I20">
            <v>1.2376203077049825</v>
          </cell>
        </row>
        <row r="21">
          <cell r="I21">
            <v>1.1835544609982929</v>
          </cell>
        </row>
        <row r="22">
          <cell r="I22">
            <v>1.3360729352383633</v>
          </cell>
        </row>
        <row r="23">
          <cell r="I23">
            <v>1.2841484821523987</v>
          </cell>
        </row>
        <row r="24">
          <cell r="I24">
            <v>1.2277932150007076</v>
          </cell>
        </row>
        <row r="25">
          <cell r="I25">
            <v>1.3133868922800092</v>
          </cell>
        </row>
        <row r="26">
          <cell r="I26">
            <v>1.2425894448042694</v>
          </cell>
        </row>
        <row r="27">
          <cell r="I27">
            <v>1.3108224413438658</v>
          </cell>
        </row>
        <row r="28">
          <cell r="I28">
            <v>1.2370359335006367</v>
          </cell>
        </row>
        <row r="29">
          <cell r="I29">
            <v>1.1639337982848545</v>
          </cell>
        </row>
        <row r="30">
          <cell r="I30">
            <v>1.2097168280185802</v>
          </cell>
        </row>
        <row r="31">
          <cell r="I31">
            <v>1.2471312517026993</v>
          </cell>
        </row>
        <row r="32">
          <cell r="I32">
            <v>1.3695515239576628</v>
          </cell>
        </row>
        <row r="33">
          <cell r="I33">
            <v>1.2046254703094295</v>
          </cell>
        </row>
        <row r="34">
          <cell r="I34">
            <v>1.2226100071300814</v>
          </cell>
        </row>
        <row r="35">
          <cell r="I35">
            <v>1.2938955646318264</v>
          </cell>
        </row>
        <row r="36">
          <cell r="I36">
            <v>1.153822612145486</v>
          </cell>
        </row>
        <row r="37">
          <cell r="I37">
            <v>1.2585556789471462</v>
          </cell>
        </row>
        <row r="38">
          <cell r="I38">
            <v>1.238920592591702</v>
          </cell>
        </row>
        <row r="39">
          <cell r="I39">
            <v>1.4293416108501145</v>
          </cell>
        </row>
        <row r="40">
          <cell r="I40">
            <v>1.2391867314568445</v>
          </cell>
        </row>
        <row r="41">
          <cell r="I41">
            <v>1.188697239807107</v>
          </cell>
        </row>
        <row r="42">
          <cell r="I42">
            <v>1.1972716138765835</v>
          </cell>
        </row>
        <row r="43">
          <cell r="I43">
            <v>1.3968817478060891</v>
          </cell>
        </row>
        <row r="44">
          <cell r="I44">
            <v>1.3909277673330938</v>
          </cell>
        </row>
        <row r="45">
          <cell r="I45">
            <v>1.2555532060267511</v>
          </cell>
        </row>
        <row r="46">
          <cell r="I46">
            <v>1.3873822171543784</v>
          </cell>
        </row>
        <row r="47">
          <cell r="I47">
            <v>1.3779719461955984</v>
          </cell>
        </row>
        <row r="48">
          <cell r="I48">
            <v>1.3695757394795991</v>
          </cell>
        </row>
        <row r="49">
          <cell r="I49">
            <v>1.3911691748531416</v>
          </cell>
        </row>
        <row r="50">
          <cell r="I50">
            <v>1.2273165367301029</v>
          </cell>
        </row>
        <row r="51">
          <cell r="I51">
            <v>1.2932002637774029</v>
          </cell>
        </row>
        <row r="52">
          <cell r="I52">
            <v>1.261409388199902</v>
          </cell>
        </row>
        <row r="53">
          <cell r="I53">
            <v>1.2644910226602037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</sheetDataSet>
  </externalBook>
</externalLink>
</file>

<file path=xl/queryTables/queryTable1.xml><?xml version="1.0" encoding="utf-8"?>
<queryTable xmlns="http://schemas.openxmlformats.org/spreadsheetml/2006/main" name="MPLSDistanceCircuity" connectionId="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64"/>
  <sheetViews>
    <sheetView workbookViewId="0">
      <selection activeCell="J66" sqref="J66"/>
    </sheetView>
  </sheetViews>
  <sheetFormatPr baseColWidth="10" defaultRowHeight="15" x14ac:dyDescent="0"/>
  <cols>
    <col min="6" max="6" width="12.1640625" bestFit="1" customWidth="1"/>
    <col min="19" max="19" width="15.5" customWidth="1"/>
  </cols>
  <sheetData>
    <row r="2" spans="1:29">
      <c r="A2" s="1" t="s">
        <v>0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H2" s="1" t="s">
        <v>0</v>
      </c>
      <c r="I2" t="s">
        <v>58</v>
      </c>
      <c r="J2" t="s">
        <v>59</v>
      </c>
      <c r="K2" t="s">
        <v>60</v>
      </c>
      <c r="L2" s="1" t="s">
        <v>61</v>
      </c>
      <c r="M2" s="1" t="s">
        <v>62</v>
      </c>
      <c r="N2" t="s">
        <v>74</v>
      </c>
      <c r="P2" s="1" t="s">
        <v>0</v>
      </c>
      <c r="Q2" t="s">
        <v>63</v>
      </c>
      <c r="R2" t="s">
        <v>64</v>
      </c>
      <c r="S2" s="10" t="s">
        <v>65</v>
      </c>
      <c r="T2" t="s">
        <v>67</v>
      </c>
      <c r="U2" t="s">
        <v>66</v>
      </c>
      <c r="X2" t="s">
        <v>68</v>
      </c>
      <c r="Y2" t="s">
        <v>69</v>
      </c>
      <c r="Z2" t="s">
        <v>70</v>
      </c>
      <c r="AA2" t="s">
        <v>71</v>
      </c>
      <c r="AB2" t="s">
        <v>72</v>
      </c>
      <c r="AC2" t="s">
        <v>73</v>
      </c>
    </row>
    <row r="3" spans="1:29">
      <c r="A3" t="s">
        <v>1</v>
      </c>
      <c r="B3" s="2">
        <v>60.37546801014345</v>
      </c>
      <c r="C3" s="2">
        <v>52.316789999999997</v>
      </c>
      <c r="D3" s="3">
        <f>[1]Speeds!U2</f>
        <v>66.682397163757059</v>
      </c>
      <c r="E3" s="4">
        <f>D3-B3</f>
        <v>6.3069291536136092</v>
      </c>
      <c r="F3" s="4">
        <f>D3-C3</f>
        <v>14.365607163757062</v>
      </c>
      <c r="H3" t="s">
        <v>1</v>
      </c>
      <c r="I3" s="8">
        <v>1.3522447679465692</v>
      </c>
      <c r="J3" s="8">
        <v>1.3794149811619634</v>
      </c>
      <c r="K3" s="8">
        <f>'[1]Interval Circuities'!I3</f>
        <v>1.1933849385737794</v>
      </c>
      <c r="L3" s="9">
        <f>K3-I3</f>
        <v>-0.15885982937278986</v>
      </c>
      <c r="M3" s="9">
        <f>K3-J3</f>
        <v>-0.18603004258818401</v>
      </c>
      <c r="N3" s="8">
        <f>J3-I3</f>
        <v>2.7170213215394146E-2</v>
      </c>
      <c r="P3" t="s">
        <v>1</v>
      </c>
      <c r="Q3" s="11">
        <v>1481781</v>
      </c>
      <c r="R3" s="11">
        <v>2129188</v>
      </c>
      <c r="S3" s="12">
        <v>2003047</v>
      </c>
      <c r="T3" s="11">
        <f>S3-Q3</f>
        <v>521266</v>
      </c>
      <c r="U3" s="11">
        <f>S3-R3</f>
        <v>-126141</v>
      </c>
      <c r="X3" s="14">
        <v>964.67391304347825</v>
      </c>
      <c r="Y3" s="14">
        <v>540.54300000000001</v>
      </c>
      <c r="Z3" s="14">
        <v>659.04777089359266</v>
      </c>
      <c r="AA3" s="14">
        <f>Z3-X3</f>
        <v>-305.6261421498856</v>
      </c>
      <c r="AB3" s="14">
        <f>Z3-Y3</f>
        <v>118.50477089359265</v>
      </c>
      <c r="AC3" s="14">
        <f>Y3-X3</f>
        <v>-424.13091304347824</v>
      </c>
    </row>
    <row r="4" spans="1:29">
      <c r="A4" t="s">
        <v>2</v>
      </c>
      <c r="B4" s="2">
        <v>63.478689145973746</v>
      </c>
      <c r="C4" s="2">
        <v>53.198880000000003</v>
      </c>
      <c r="D4" s="3">
        <f>[1]Speeds!U3</f>
        <v>67.132189228567199</v>
      </c>
      <c r="E4" s="4">
        <f t="shared" ref="E4:E53" si="0">D4-B4</f>
        <v>3.6535000825934532</v>
      </c>
      <c r="F4" s="4">
        <f t="shared" ref="F4:F53" si="1">D4-C4</f>
        <v>13.933309228567197</v>
      </c>
      <c r="H4" t="s">
        <v>2</v>
      </c>
      <c r="I4" s="8">
        <v>1.426150653096147</v>
      </c>
      <c r="J4" s="8">
        <v>1.3965836559136842</v>
      </c>
      <c r="K4" s="8">
        <f>'[1]Interval Circuities'!I4</f>
        <v>1.2630063192455665</v>
      </c>
      <c r="L4" s="9">
        <f t="shared" ref="L4:L53" si="2">K4-I4</f>
        <v>-0.16314433385058047</v>
      </c>
      <c r="M4" s="9">
        <f t="shared" ref="M4:M53" si="3">K4-J4</f>
        <v>-0.13357733666811766</v>
      </c>
      <c r="N4" s="8">
        <f>J4-I4</f>
        <v>-2.9566997182462806E-2</v>
      </c>
      <c r="P4" t="s">
        <v>2</v>
      </c>
      <c r="Q4" s="11">
        <v>404016</v>
      </c>
      <c r="R4" s="11">
        <v>580485</v>
      </c>
      <c r="S4" s="12">
        <v>640563</v>
      </c>
      <c r="T4" s="11">
        <f t="shared" ref="T4:T53" si="4">S4-Q4</f>
        <v>236547</v>
      </c>
      <c r="U4" s="11">
        <f t="shared" ref="U4:U53" si="5">S4-R4</f>
        <v>60078</v>
      </c>
      <c r="X4" s="14">
        <v>932.86219081272088</v>
      </c>
      <c r="Y4" s="14">
        <v>741.31619999999998</v>
      </c>
      <c r="Z4" s="14">
        <v>1005.7320851324054</v>
      </c>
      <c r="AA4" s="14">
        <f t="shared" ref="AA4:AA53" si="6">Z4-X4</f>
        <v>72.869894319684477</v>
      </c>
      <c r="AB4" s="14">
        <f t="shared" ref="AB4:AB53" si="7">Z4-Y4</f>
        <v>264.41588513240538</v>
      </c>
      <c r="AC4" s="14">
        <f t="shared" ref="AC4:AC53" si="8">Y4-X4</f>
        <v>-191.5459908127209</v>
      </c>
    </row>
    <row r="5" spans="1:29">
      <c r="A5" t="s">
        <v>3</v>
      </c>
      <c r="B5" s="2">
        <v>60.37745029626894</v>
      </c>
      <c r="C5" s="2">
        <v>57.562600000000003</v>
      </c>
      <c r="D5" s="3">
        <f>[1]Speeds!U4</f>
        <v>64.331330728262358</v>
      </c>
      <c r="E5" s="4">
        <f t="shared" si="0"/>
        <v>3.9538804319934187</v>
      </c>
      <c r="F5" s="4">
        <f t="shared" si="1"/>
        <v>6.768730728262355</v>
      </c>
      <c r="H5" t="s">
        <v>3</v>
      </c>
      <c r="I5" s="8">
        <v>1.3415278293817852</v>
      </c>
      <c r="J5" s="8">
        <v>1.3553895308629194</v>
      </c>
      <c r="K5" s="8">
        <f>'[1]Interval Circuities'!I5</f>
        <v>1.2268115098360695</v>
      </c>
      <c r="L5" s="9">
        <f t="shared" si="2"/>
        <v>-0.11471631954571571</v>
      </c>
      <c r="M5" s="9">
        <f t="shared" si="3"/>
        <v>-0.1285780210268499</v>
      </c>
      <c r="N5" s="8">
        <f t="shared" ref="N5:N53" si="9">J5-I5</f>
        <v>1.3861701481134192E-2</v>
      </c>
      <c r="P5" t="s">
        <v>3</v>
      </c>
      <c r="Q5" s="11">
        <v>1191813</v>
      </c>
      <c r="R5" s="11">
        <v>1063684</v>
      </c>
      <c r="S5" s="12">
        <v>1059610</v>
      </c>
      <c r="T5" s="11">
        <f t="shared" si="4"/>
        <v>-132203</v>
      </c>
      <c r="U5" s="11">
        <f t="shared" si="5"/>
        <v>-4074</v>
      </c>
      <c r="X5" s="14">
        <v>1296.8393613554904</v>
      </c>
      <c r="Y5" s="14">
        <v>1130.18</v>
      </c>
      <c r="Z5" s="14">
        <v>1186.6066340855928</v>
      </c>
      <c r="AA5" s="14">
        <f t="shared" si="6"/>
        <v>-110.23272726989762</v>
      </c>
      <c r="AB5" s="14">
        <f t="shared" si="7"/>
        <v>56.426634085592696</v>
      </c>
      <c r="AC5" s="14">
        <f t="shared" si="8"/>
        <v>-166.65936135549032</v>
      </c>
    </row>
    <row r="6" spans="1:29">
      <c r="A6" t="s">
        <v>4</v>
      </c>
      <c r="B6" s="2">
        <v>61.541690600746875</v>
      </c>
      <c r="C6" s="2">
        <v>60.288020000000003</v>
      </c>
      <c r="D6" s="3">
        <f>[1]Speeds!U5</f>
        <v>59.083844176305647</v>
      </c>
      <c r="E6" s="4">
        <f t="shared" si="0"/>
        <v>-2.4578464244412288</v>
      </c>
      <c r="F6" s="4">
        <f t="shared" si="1"/>
        <v>-1.2041758236943565</v>
      </c>
      <c r="H6" t="s">
        <v>4</v>
      </c>
      <c r="I6" s="8">
        <v>1.3256488796814541</v>
      </c>
      <c r="J6" s="8">
        <v>1.3218966779948818</v>
      </c>
      <c r="K6" s="8">
        <f>'[1]Interval Circuities'!I6</f>
        <v>1.1822577092208564</v>
      </c>
      <c r="L6" s="9">
        <f t="shared" si="2"/>
        <v>-0.14339117046059768</v>
      </c>
      <c r="M6" s="9">
        <f t="shared" si="3"/>
        <v>-0.13963896877402537</v>
      </c>
      <c r="N6" s="8">
        <f t="shared" si="9"/>
        <v>-3.7522016865723096E-3</v>
      </c>
      <c r="P6" t="s">
        <v>4</v>
      </c>
      <c r="Q6" s="11">
        <v>2141717</v>
      </c>
      <c r="R6" s="11">
        <v>3075331</v>
      </c>
      <c r="S6" s="12">
        <v>2902747</v>
      </c>
      <c r="T6" s="11">
        <f t="shared" si="4"/>
        <v>761030</v>
      </c>
      <c r="U6" s="11">
        <f t="shared" si="5"/>
        <v>-172584</v>
      </c>
      <c r="X6" s="14">
        <v>1563.9892556970801</v>
      </c>
      <c r="Y6" s="14">
        <v>780.12429999999995</v>
      </c>
      <c r="Z6" s="14">
        <v>861.67001828332229</v>
      </c>
      <c r="AA6" s="14">
        <f t="shared" si="6"/>
        <v>-702.31923741375783</v>
      </c>
      <c r="AB6" s="14">
        <f t="shared" si="7"/>
        <v>81.545718283322344</v>
      </c>
      <c r="AC6" s="14">
        <f t="shared" si="8"/>
        <v>-783.86495569708018</v>
      </c>
    </row>
    <row r="7" spans="1:29">
      <c r="A7" t="s">
        <v>5</v>
      </c>
      <c r="B7" s="2">
        <v>73.27659816495958</v>
      </c>
      <c r="C7" s="2">
        <v>60.075479999999999</v>
      </c>
      <c r="D7" s="3">
        <f>[1]Speeds!U6</f>
        <v>61.52546201403905</v>
      </c>
      <c r="E7" s="4">
        <f t="shared" si="0"/>
        <v>-11.75113615092053</v>
      </c>
      <c r="F7" s="4">
        <f t="shared" si="1"/>
        <v>1.4499820140390511</v>
      </c>
      <c r="H7" t="s">
        <v>5</v>
      </c>
      <c r="I7" s="8">
        <v>1.2477771132817665</v>
      </c>
      <c r="J7" s="8">
        <v>1.2781328461764727</v>
      </c>
      <c r="K7" s="8">
        <f>'[1]Interval Circuities'!I7</f>
        <v>1.1659230811658463</v>
      </c>
      <c r="L7" s="9">
        <f t="shared" si="2"/>
        <v>-8.1854032115920239E-2</v>
      </c>
      <c r="M7" s="9">
        <f t="shared" si="3"/>
        <v>-0.11220976501062641</v>
      </c>
      <c r="N7" s="8">
        <f t="shared" si="9"/>
        <v>3.0355732894706167E-2</v>
      </c>
      <c r="P7" t="s">
        <v>5</v>
      </c>
      <c r="Q7" s="11">
        <v>531122</v>
      </c>
      <c r="R7" s="11">
        <v>475627</v>
      </c>
      <c r="S7" s="12">
        <v>455704</v>
      </c>
      <c r="T7" s="11">
        <f t="shared" si="4"/>
        <v>-75418</v>
      </c>
      <c r="U7" s="11">
        <f t="shared" si="5"/>
        <v>-19923</v>
      </c>
      <c r="X7" s="14">
        <v>1440.1622718052738</v>
      </c>
      <c r="Y7" s="14">
        <v>742.24810000000002</v>
      </c>
      <c r="Z7" s="14">
        <v>951.10925507842603</v>
      </c>
      <c r="AA7" s="14">
        <f t="shared" si="6"/>
        <v>-489.05301672684777</v>
      </c>
      <c r="AB7" s="14">
        <f t="shared" si="7"/>
        <v>208.86115507842601</v>
      </c>
      <c r="AC7" s="14">
        <f t="shared" si="8"/>
        <v>-697.91417180527378</v>
      </c>
    </row>
    <row r="8" spans="1:29">
      <c r="A8" t="s">
        <v>6</v>
      </c>
      <c r="B8" s="2">
        <v>66.908176577055386</v>
      </c>
      <c r="C8" s="2">
        <v>54.739370000000001</v>
      </c>
      <c r="D8" s="3">
        <f>[1]Speeds!U7</f>
        <v>64.052681514079197</v>
      </c>
      <c r="E8" s="4">
        <f t="shared" si="0"/>
        <v>-2.855495062976189</v>
      </c>
      <c r="F8" s="4">
        <f t="shared" si="1"/>
        <v>9.3133115140791958</v>
      </c>
      <c r="H8" t="s">
        <v>6</v>
      </c>
      <c r="I8" s="8">
        <v>1.3646366473808837</v>
      </c>
      <c r="J8" s="8">
        <v>1.3850358656052615</v>
      </c>
      <c r="K8" s="8">
        <f>'[1]Interval Circuities'!I8</f>
        <v>1.2188102793904707</v>
      </c>
      <c r="L8" s="9">
        <f t="shared" si="2"/>
        <v>-0.14582636799041304</v>
      </c>
      <c r="M8" s="9">
        <f t="shared" si="3"/>
        <v>-0.16622558621479078</v>
      </c>
      <c r="N8" s="8">
        <f t="shared" si="9"/>
        <v>2.0399218224377735E-2</v>
      </c>
      <c r="P8" t="s">
        <v>6</v>
      </c>
      <c r="Q8" s="11">
        <v>604856</v>
      </c>
      <c r="R8" s="11">
        <v>811507</v>
      </c>
      <c r="S8" s="12">
        <v>727384</v>
      </c>
      <c r="T8" s="11">
        <f t="shared" si="4"/>
        <v>122528</v>
      </c>
      <c r="U8" s="11">
        <f t="shared" si="5"/>
        <v>-84123</v>
      </c>
      <c r="X8" s="14">
        <v>862.48203162434118</v>
      </c>
      <c r="Y8" s="14">
        <v>612.80430000000001</v>
      </c>
      <c r="Z8" s="14">
        <v>650.59688341284709</v>
      </c>
      <c r="AA8" s="14">
        <f t="shared" si="6"/>
        <v>-211.88514821149408</v>
      </c>
      <c r="AB8" s="14">
        <f t="shared" si="7"/>
        <v>37.79258341284708</v>
      </c>
      <c r="AC8" s="14">
        <f t="shared" si="8"/>
        <v>-249.67773162434116</v>
      </c>
    </row>
    <row r="9" spans="1:29">
      <c r="A9" t="s">
        <v>7</v>
      </c>
      <c r="B9" s="2">
        <v>59.830534500000006</v>
      </c>
      <c r="C9" s="2">
        <v>47.502769999999998</v>
      </c>
      <c r="D9" s="3">
        <f>[1]Speeds!U8</f>
        <v>62.255871883980589</v>
      </c>
      <c r="E9" s="4">
        <f t="shared" si="0"/>
        <v>2.4253373839805832</v>
      </c>
      <c r="F9" s="4">
        <f t="shared" si="1"/>
        <v>14.753101883980591</v>
      </c>
      <c r="H9" t="s">
        <v>7</v>
      </c>
      <c r="I9" s="8">
        <v>1.3161081482175765</v>
      </c>
      <c r="J9" s="8">
        <v>1.3268247325815479</v>
      </c>
      <c r="K9" s="8">
        <f>'[1]Interval Circuities'!I9</f>
        <v>1.1765397413486474</v>
      </c>
      <c r="L9" s="9">
        <f t="shared" si="2"/>
        <v>-0.13956840686892913</v>
      </c>
      <c r="M9" s="9">
        <f t="shared" si="3"/>
        <v>-0.15028499123290051</v>
      </c>
      <c r="N9" s="8">
        <f t="shared" si="9"/>
        <v>1.0716584363971382E-2</v>
      </c>
      <c r="P9" t="s">
        <v>7</v>
      </c>
      <c r="Q9" s="11">
        <v>3841337</v>
      </c>
      <c r="R9" s="11">
        <f>3915405+225650+48734</f>
        <v>4189789</v>
      </c>
      <c r="S9" s="12">
        <v>3797772</v>
      </c>
      <c r="T9" s="11">
        <f t="shared" si="4"/>
        <v>-43565</v>
      </c>
      <c r="U9" s="11">
        <f t="shared" si="5"/>
        <v>-392017</v>
      </c>
      <c r="X9" s="14">
        <v>1830.0112091232515</v>
      </c>
      <c r="Y9" s="14">
        <v>1111.92</v>
      </c>
      <c r="Z9" s="14">
        <v>1360.6187423043561</v>
      </c>
      <c r="AA9" s="14">
        <f t="shared" si="6"/>
        <v>-469.3924668188954</v>
      </c>
      <c r="AB9" s="14">
        <f t="shared" si="7"/>
        <v>248.69874230435607</v>
      </c>
      <c r="AC9" s="14">
        <f t="shared" si="8"/>
        <v>-718.09120912325147</v>
      </c>
    </row>
    <row r="10" spans="1:29">
      <c r="A10" t="s">
        <v>8</v>
      </c>
      <c r="B10" s="2">
        <v>67.518821168909824</v>
      </c>
      <c r="C10" s="2">
        <v>59.701340000000002</v>
      </c>
      <c r="D10" s="3">
        <f>[1]Speeds!U9</f>
        <v>63.816269796049951</v>
      </c>
      <c r="E10" s="4">
        <f t="shared" si="0"/>
        <v>-3.7025513728598725</v>
      </c>
      <c r="F10" s="4">
        <f t="shared" si="1"/>
        <v>4.1149297960499496</v>
      </c>
      <c r="H10" t="s">
        <v>8</v>
      </c>
      <c r="I10" s="8">
        <v>1.3893578112622955</v>
      </c>
      <c r="J10" s="8">
        <v>1.4218194575187977</v>
      </c>
      <c r="K10" s="8">
        <f>'[1]Interval Circuities'!I10</f>
        <v>1.2721393245922437</v>
      </c>
      <c r="L10" s="9">
        <f t="shared" si="2"/>
        <v>-0.11721848667005186</v>
      </c>
      <c r="M10" s="9">
        <f t="shared" si="3"/>
        <v>-0.14968013292655402</v>
      </c>
      <c r="N10" s="8">
        <f t="shared" si="9"/>
        <v>3.2461646256502164E-2</v>
      </c>
      <c r="P10" t="s">
        <v>8</v>
      </c>
      <c r="Q10" s="11">
        <v>812766</v>
      </c>
      <c r="R10" s="11">
        <f>820201+114752</f>
        <v>934953</v>
      </c>
      <c r="S10" s="12">
        <v>874547</v>
      </c>
      <c r="T10" s="11">
        <f t="shared" si="4"/>
        <v>61781</v>
      </c>
      <c r="U10" s="11">
        <f t="shared" si="5"/>
        <v>-60406</v>
      </c>
      <c r="X10" s="14">
        <v>860.24750980984004</v>
      </c>
      <c r="Y10" s="14">
        <v>725.11869999999999</v>
      </c>
      <c r="Z10" s="14">
        <v>796.39106388024629</v>
      </c>
      <c r="AA10" s="14">
        <f t="shared" si="6"/>
        <v>-63.856445929593747</v>
      </c>
      <c r="AB10" s="14">
        <f t="shared" si="7"/>
        <v>71.272363880246303</v>
      </c>
      <c r="AC10" s="14">
        <f t="shared" si="8"/>
        <v>-135.12880980984005</v>
      </c>
    </row>
    <row r="11" spans="1:29">
      <c r="A11" t="s">
        <v>9</v>
      </c>
      <c r="B11" s="2">
        <v>70.270147843682068</v>
      </c>
      <c r="C11" s="2">
        <v>62.775539999999999</v>
      </c>
      <c r="D11" s="3">
        <f>[1]Speeds!U10</f>
        <v>60.599390167439914</v>
      </c>
      <c r="E11" s="4">
        <f t="shared" si="0"/>
        <v>-9.6707576762421539</v>
      </c>
      <c r="F11" s="4">
        <f t="shared" si="1"/>
        <v>-2.1761498325600854</v>
      </c>
      <c r="H11" t="s">
        <v>9</v>
      </c>
      <c r="I11" s="8">
        <v>1.2715517925951088</v>
      </c>
      <c r="J11" s="8">
        <v>1.2874615484699874</v>
      </c>
      <c r="K11" s="8">
        <f>'[1]Interval Circuities'!I11</f>
        <v>1.1513174285753958</v>
      </c>
      <c r="L11" s="9">
        <f t="shared" si="2"/>
        <v>-0.12023436401971299</v>
      </c>
      <c r="M11" s="9">
        <f t="shared" si="3"/>
        <v>-0.13614411989459163</v>
      </c>
      <c r="N11" s="8">
        <f t="shared" si="9"/>
        <v>1.5909755874878639E-2</v>
      </c>
      <c r="P11" t="s">
        <v>9</v>
      </c>
      <c r="Q11" s="11">
        <v>1242099</v>
      </c>
      <c r="R11" s="11">
        <v>1077676</v>
      </c>
      <c r="S11" s="12">
        <v>870158</v>
      </c>
      <c r="T11" s="11">
        <f t="shared" si="4"/>
        <v>-371941</v>
      </c>
      <c r="U11" s="11">
        <f t="shared" si="5"/>
        <v>-207518</v>
      </c>
      <c r="X11" s="14">
        <v>1068.6095931997572</v>
      </c>
      <c r="Y11" s="14">
        <v>820.46699999999998</v>
      </c>
      <c r="Z11" s="14">
        <v>890.6045978114746</v>
      </c>
      <c r="AA11" s="14">
        <f t="shared" si="6"/>
        <v>-178.00499538828262</v>
      </c>
      <c r="AB11" s="14">
        <f t="shared" si="7"/>
        <v>70.13759781147462</v>
      </c>
      <c r="AC11" s="14">
        <f t="shared" si="8"/>
        <v>-248.14259319975724</v>
      </c>
    </row>
    <row r="12" spans="1:29">
      <c r="A12" t="s">
        <v>10</v>
      </c>
      <c r="B12" s="2">
        <v>67.725932932724078</v>
      </c>
      <c r="C12" s="2">
        <v>60.796750000000003</v>
      </c>
      <c r="D12" s="3">
        <f>[1]Speeds!U11</f>
        <v>64.046411741712433</v>
      </c>
      <c r="E12" s="4">
        <f t="shared" si="0"/>
        <v>-3.679521191011645</v>
      </c>
      <c r="F12" s="4">
        <f t="shared" si="1"/>
        <v>3.2496617417124298</v>
      </c>
      <c r="H12" t="s">
        <v>10</v>
      </c>
      <c r="I12" s="8">
        <v>1.3154052160541856</v>
      </c>
      <c r="J12" s="8">
        <v>1.3211732291308345</v>
      </c>
      <c r="K12" s="8">
        <f>'[1]Interval Circuities'!I12</f>
        <v>1.1687761854315619</v>
      </c>
      <c r="L12" s="9">
        <f t="shared" si="2"/>
        <v>-0.14662903062262367</v>
      </c>
      <c r="M12" s="9">
        <f t="shared" si="3"/>
        <v>-0.15239704369927254</v>
      </c>
      <c r="N12" s="8">
        <f t="shared" si="9"/>
        <v>5.7680130766488702E-3</v>
      </c>
      <c r="P12" t="s">
        <v>10</v>
      </c>
      <c r="Q12" s="11">
        <v>677859</v>
      </c>
      <c r="R12" s="11">
        <v>773508</v>
      </c>
      <c r="S12" s="12">
        <v>750329</v>
      </c>
      <c r="T12" s="11">
        <f t="shared" si="4"/>
        <v>72470</v>
      </c>
      <c r="U12" s="11">
        <f t="shared" si="5"/>
        <v>-23179</v>
      </c>
      <c r="X12" s="14">
        <v>973.91693719914929</v>
      </c>
      <c r="Y12" s="14">
        <v>793.07470000000001</v>
      </c>
      <c r="Z12" s="14">
        <v>1034.7499169004755</v>
      </c>
      <c r="AA12" s="14">
        <f t="shared" si="6"/>
        <v>60.832979701326167</v>
      </c>
      <c r="AB12" s="14">
        <f t="shared" si="7"/>
        <v>241.67521690047545</v>
      </c>
      <c r="AC12" s="14">
        <f t="shared" si="8"/>
        <v>-180.84223719914928</v>
      </c>
    </row>
    <row r="13" spans="1:29">
      <c r="A13" t="s">
        <v>11</v>
      </c>
      <c r="B13" s="2">
        <v>66.03146949483623</v>
      </c>
      <c r="C13" s="2">
        <v>56.964039999999997</v>
      </c>
      <c r="D13" s="3">
        <f>[1]Speeds!U12</f>
        <v>65.991437704144019</v>
      </c>
      <c r="E13" s="4">
        <f t="shared" si="0"/>
        <v>-4.0031790692211189E-2</v>
      </c>
      <c r="F13" s="4">
        <f t="shared" si="1"/>
        <v>9.0273977041440219</v>
      </c>
      <c r="H13" t="s">
        <v>11</v>
      </c>
      <c r="I13" s="8">
        <v>1.3709373164482086</v>
      </c>
      <c r="J13" s="8">
        <v>1.3489383096006093</v>
      </c>
      <c r="K13" s="8">
        <f>'[1]Interval Circuities'!I13</f>
        <v>1.2096246171132026</v>
      </c>
      <c r="L13" s="9">
        <f t="shared" si="2"/>
        <v>-0.16131269933500603</v>
      </c>
      <c r="M13" s="9">
        <f t="shared" si="3"/>
        <v>-0.13931369248740677</v>
      </c>
      <c r="N13" s="8">
        <f t="shared" si="9"/>
        <v>-2.1999006847599256E-2</v>
      </c>
      <c r="P13" t="s">
        <v>11</v>
      </c>
      <c r="Q13" s="11">
        <v>1976606</v>
      </c>
      <c r="R13" s="11">
        <f>1915132+685951</f>
        <v>2601083</v>
      </c>
      <c r="S13" s="12">
        <v>2510280</v>
      </c>
      <c r="T13" s="11">
        <f t="shared" si="4"/>
        <v>533674</v>
      </c>
      <c r="U13" s="11">
        <f t="shared" si="5"/>
        <v>-90803</v>
      </c>
      <c r="X13" s="14">
        <v>869.56521739130437</v>
      </c>
      <c r="Y13" s="14">
        <v>831.13570000000004</v>
      </c>
      <c r="Z13" s="14">
        <v>1111.5370303722236</v>
      </c>
      <c r="AA13" s="14">
        <f t="shared" si="6"/>
        <v>241.97181298091925</v>
      </c>
      <c r="AB13" s="14">
        <f t="shared" si="7"/>
        <v>280.40133037222358</v>
      </c>
      <c r="AC13" s="14">
        <f t="shared" si="8"/>
        <v>-38.42951739130433</v>
      </c>
    </row>
    <row r="14" spans="1:29">
      <c r="A14" t="s">
        <v>12</v>
      </c>
      <c r="B14" s="2">
        <v>65.002140793217592</v>
      </c>
      <c r="C14" s="2">
        <v>50.872790000000002</v>
      </c>
      <c r="D14" s="3">
        <f>[1]Speeds!U13</f>
        <v>60.705617754852213</v>
      </c>
      <c r="E14" s="4">
        <f t="shared" si="0"/>
        <v>-4.296523038365379</v>
      </c>
      <c r="F14" s="4">
        <f t="shared" si="1"/>
        <v>9.8328277548522109</v>
      </c>
      <c r="H14" t="s">
        <v>12</v>
      </c>
      <c r="I14" s="8">
        <v>1.3838943275761848</v>
      </c>
      <c r="J14" s="8">
        <v>1.359087374496782</v>
      </c>
      <c r="K14" s="8">
        <f>'[1]Interval Circuities'!I14</f>
        <v>1.3292653370679421</v>
      </c>
      <c r="L14" s="9">
        <f t="shared" si="2"/>
        <v>-5.4628990508242659E-2</v>
      </c>
      <c r="M14" s="9">
        <f t="shared" si="3"/>
        <v>-2.982203742883982E-2</v>
      </c>
      <c r="N14" s="8">
        <f t="shared" si="9"/>
        <v>-2.4806953079402838E-2</v>
      </c>
      <c r="P14" t="s">
        <v>12</v>
      </c>
      <c r="Q14" s="11">
        <v>964912</v>
      </c>
      <c r="R14" s="11">
        <v>1080509</v>
      </c>
      <c r="S14" s="12">
        <v>1038146</v>
      </c>
      <c r="T14" s="11">
        <f t="shared" si="4"/>
        <v>73234</v>
      </c>
      <c r="U14" s="11">
        <f t="shared" si="5"/>
        <v>-42363</v>
      </c>
      <c r="X14" s="14">
        <v>1329.5186805789297</v>
      </c>
      <c r="Y14" s="14">
        <v>919.83150000000001</v>
      </c>
      <c r="Z14" s="14">
        <v>1372.3806261261409</v>
      </c>
      <c r="AA14" s="14">
        <f t="shared" si="6"/>
        <v>42.861945547211235</v>
      </c>
      <c r="AB14" s="14">
        <f t="shared" si="7"/>
        <v>452.54912612614089</v>
      </c>
      <c r="AC14" s="14">
        <f t="shared" si="8"/>
        <v>-409.68718057892966</v>
      </c>
    </row>
    <row r="15" spans="1:29">
      <c r="A15" t="s">
        <v>13</v>
      </c>
      <c r="B15" s="2">
        <v>59.740126684000487</v>
      </c>
      <c r="C15" s="2">
        <v>50.514110000000002</v>
      </c>
      <c r="D15" s="3">
        <f>[1]Speeds!U14</f>
        <v>62.147901133486052</v>
      </c>
      <c r="E15" s="4">
        <f t="shared" si="0"/>
        <v>2.4077744494855651</v>
      </c>
      <c r="F15" s="4">
        <f t="shared" si="1"/>
        <v>11.633791133486049</v>
      </c>
      <c r="H15" t="s">
        <v>13</v>
      </c>
      <c r="I15" s="8">
        <v>1.2961889465742875</v>
      </c>
      <c r="J15" s="8">
        <v>1.3076805956202735</v>
      </c>
      <c r="K15" s="8">
        <f>'[1]Interval Circuities'!I15</f>
        <v>1.1812733520638485</v>
      </c>
      <c r="L15" s="9">
        <f t="shared" si="2"/>
        <v>-0.11491559451043898</v>
      </c>
      <c r="M15" s="9">
        <f t="shared" si="3"/>
        <v>-0.12640724355642496</v>
      </c>
      <c r="N15" s="8">
        <f t="shared" si="9"/>
        <v>1.1491649045985985E-2</v>
      </c>
      <c r="P15" t="s">
        <v>13</v>
      </c>
      <c r="Q15" s="11">
        <v>2079880</v>
      </c>
      <c r="R15" s="11">
        <v>1953268</v>
      </c>
      <c r="S15" s="12">
        <v>1500978</v>
      </c>
      <c r="T15" s="11">
        <f t="shared" si="4"/>
        <v>-578902</v>
      </c>
      <c r="U15" s="11">
        <f t="shared" si="5"/>
        <v>-452290</v>
      </c>
      <c r="X15" s="14">
        <v>1369.2488100986411</v>
      </c>
      <c r="Y15" s="14">
        <v>1127.53</v>
      </c>
      <c r="Z15" s="14">
        <v>1078.2087468947925</v>
      </c>
      <c r="AA15" s="14">
        <f t="shared" si="6"/>
        <v>-291.0400632038486</v>
      </c>
      <c r="AB15" s="14">
        <f t="shared" si="7"/>
        <v>-49.321253105207461</v>
      </c>
      <c r="AC15" s="14">
        <f t="shared" si="8"/>
        <v>-241.71881009864114</v>
      </c>
    </row>
    <row r="16" spans="1:29">
      <c r="A16" t="s">
        <v>14</v>
      </c>
      <c r="B16" s="5">
        <v>70.939381203745498</v>
      </c>
      <c r="C16" s="6">
        <v>56.839145642340362</v>
      </c>
      <c r="D16" s="3">
        <f>[1]Speeds!U15</f>
        <v>67.784674216887879</v>
      </c>
      <c r="E16" s="4">
        <f t="shared" si="0"/>
        <v>-3.1547069868576187</v>
      </c>
      <c r="F16" s="4">
        <f t="shared" si="1"/>
        <v>10.945528574547517</v>
      </c>
      <c r="H16" t="s">
        <v>14</v>
      </c>
      <c r="I16" s="8">
        <v>1.3348754820096862</v>
      </c>
      <c r="J16" s="8">
        <v>1.333044375428845</v>
      </c>
      <c r="K16" s="8">
        <f>'[1]Interval Circuities'!I16</f>
        <v>1.2343026815133216</v>
      </c>
      <c r="L16" s="9">
        <f t="shared" si="2"/>
        <v>-0.10057280049636463</v>
      </c>
      <c r="M16" s="9">
        <f t="shared" si="3"/>
        <v>-9.8741693915523454E-2</v>
      </c>
      <c r="N16" s="8">
        <f t="shared" si="9"/>
        <v>-1.8311065808411797E-3</v>
      </c>
      <c r="P16" t="s">
        <v>14</v>
      </c>
      <c r="Q16" s="11">
        <f>337335</f>
        <v>337335</v>
      </c>
      <c r="R16" s="11">
        <v>530965</v>
      </c>
      <c r="S16" s="12">
        <v>318367</v>
      </c>
      <c r="T16" s="11">
        <f t="shared" si="4"/>
        <v>-18968</v>
      </c>
      <c r="U16" s="11">
        <f t="shared" si="5"/>
        <v>-212598</v>
      </c>
      <c r="X16" s="14">
        <v>1190.58976132826</v>
      </c>
      <c r="Y16" s="14">
        <v>1048.9459499999998</v>
      </c>
      <c r="Z16" s="14">
        <v>784.29737505885555</v>
      </c>
      <c r="AA16" s="14">
        <f t="shared" si="6"/>
        <v>-406.29238626940446</v>
      </c>
      <c r="AB16" s="14">
        <f t="shared" si="7"/>
        <v>-264.64857494114426</v>
      </c>
      <c r="AC16" s="14">
        <f t="shared" si="8"/>
        <v>-141.6438113282602</v>
      </c>
    </row>
    <row r="17" spans="1:29">
      <c r="A17" t="s">
        <v>15</v>
      </c>
      <c r="B17" s="2">
        <v>64.898649256812377</v>
      </c>
      <c r="C17" s="2">
        <v>54.516030000000001</v>
      </c>
      <c r="D17" s="3">
        <f>[1]Speeds!U16</f>
        <v>64.715366633523445</v>
      </c>
      <c r="E17" s="4">
        <f t="shared" si="0"/>
        <v>-0.18328262328893175</v>
      </c>
      <c r="F17" s="4">
        <f t="shared" si="1"/>
        <v>10.199336633523444</v>
      </c>
      <c r="H17" t="s">
        <v>15</v>
      </c>
      <c r="I17" s="8">
        <v>1.3770423338795401</v>
      </c>
      <c r="J17" s="8">
        <v>1.4488158168802765</v>
      </c>
      <c r="K17" s="8">
        <f>'[1]Interval Circuities'!I17</f>
        <v>1.3331220930334835</v>
      </c>
      <c r="L17" s="9">
        <f t="shared" si="2"/>
        <v>-4.3920240846056613E-2</v>
      </c>
      <c r="M17" s="9">
        <f t="shared" si="3"/>
        <v>-0.115693723846793</v>
      </c>
      <c r="N17" s="8">
        <f t="shared" si="9"/>
        <v>7.1773483000736382E-2</v>
      </c>
      <c r="P17" t="s">
        <v>15</v>
      </c>
      <c r="Q17" s="11">
        <v>698999</v>
      </c>
      <c r="R17" s="11">
        <v>573634</v>
      </c>
      <c r="S17" s="12">
        <v>593797</v>
      </c>
      <c r="T17" s="11">
        <f t="shared" si="4"/>
        <v>-105202</v>
      </c>
      <c r="U17" s="11">
        <f t="shared" si="5"/>
        <v>20163</v>
      </c>
      <c r="X17" s="14">
        <v>770.84181744138687</v>
      </c>
      <c r="Y17" s="14">
        <v>595.8125</v>
      </c>
      <c r="Z17" s="14">
        <v>1078.4020248075806</v>
      </c>
      <c r="AA17" s="14">
        <f t="shared" si="6"/>
        <v>307.56020736619371</v>
      </c>
      <c r="AB17" s="14">
        <f t="shared" si="7"/>
        <v>482.58952480758057</v>
      </c>
      <c r="AC17" s="14">
        <f t="shared" si="8"/>
        <v>-175.02931744138687</v>
      </c>
    </row>
    <row r="18" spans="1:29">
      <c r="A18" t="s">
        <v>16</v>
      </c>
      <c r="B18" s="2">
        <v>70.550117521710789</v>
      </c>
      <c r="C18" s="2">
        <v>68.568569999999994</v>
      </c>
      <c r="D18" s="3">
        <f>[1]Speeds!U17</f>
        <v>63.831016736397409</v>
      </c>
      <c r="E18" s="4">
        <f t="shared" si="0"/>
        <v>-6.7191007853133797</v>
      </c>
      <c r="F18" s="4">
        <f t="shared" si="1"/>
        <v>-4.7375532636025852</v>
      </c>
      <c r="H18" t="s">
        <v>16</v>
      </c>
      <c r="I18" s="8">
        <v>1.3002946151384891</v>
      </c>
      <c r="J18" s="8">
        <v>1.3193656310596753</v>
      </c>
      <c r="K18" s="8">
        <f>'[1]Interval Circuities'!I18</f>
        <v>1.2209157982173557</v>
      </c>
      <c r="L18" s="9">
        <f t="shared" si="2"/>
        <v>-7.9378816921133355E-2</v>
      </c>
      <c r="M18" s="9">
        <f t="shared" si="3"/>
        <v>-9.8449832842319562E-2</v>
      </c>
      <c r="N18" s="8">
        <f t="shared" si="9"/>
        <v>1.9071015921186207E-2</v>
      </c>
      <c r="P18" t="s">
        <v>16</v>
      </c>
      <c r="Q18" s="11">
        <v>561969</v>
      </c>
      <c r="R18" s="11">
        <v>567921</v>
      </c>
      <c r="S18" s="12">
        <v>529323</v>
      </c>
      <c r="T18" s="11">
        <f t="shared" si="4"/>
        <v>-32646</v>
      </c>
      <c r="U18" s="11">
        <f t="shared" si="5"/>
        <v>-38598</v>
      </c>
      <c r="X18" s="14">
        <v>1320.2112337974077</v>
      </c>
      <c r="Y18" s="14">
        <v>616.34659999999997</v>
      </c>
      <c r="Z18" s="14">
        <v>691.70595675577363</v>
      </c>
      <c r="AA18" s="14">
        <f t="shared" si="6"/>
        <v>-628.50527704163403</v>
      </c>
      <c r="AB18" s="14">
        <f t="shared" si="7"/>
        <v>75.359356755773661</v>
      </c>
      <c r="AC18" s="14">
        <f t="shared" si="8"/>
        <v>-703.86463379740769</v>
      </c>
    </row>
    <row r="19" spans="1:29">
      <c r="A19" t="s">
        <v>17</v>
      </c>
      <c r="B19" s="5">
        <v>61.851770964117151</v>
      </c>
      <c r="C19" s="2">
        <v>58.403202946946948</v>
      </c>
      <c r="D19" s="3">
        <f>[1]Speeds!U18</f>
        <v>54.710932805374171</v>
      </c>
      <c r="E19" s="4">
        <f t="shared" si="0"/>
        <v>-7.1408381587429801</v>
      </c>
      <c r="F19" s="4">
        <f t="shared" si="1"/>
        <v>-3.6922701415727772</v>
      </c>
      <c r="H19" t="s">
        <v>17</v>
      </c>
      <c r="I19" s="8">
        <v>1.3987003867957324</v>
      </c>
      <c r="J19" s="8">
        <v>1.3897112960764897</v>
      </c>
      <c r="K19" s="8">
        <f>'[1]Interval Circuities'!I19</f>
        <v>1.4620608998697906</v>
      </c>
      <c r="L19" s="9">
        <f t="shared" si="2"/>
        <v>6.3360513074058211E-2</v>
      </c>
      <c r="M19" s="9">
        <f t="shared" si="3"/>
        <v>7.234960379330091E-2</v>
      </c>
      <c r="N19" s="8">
        <f t="shared" si="9"/>
        <v>-8.9890907192426983E-3</v>
      </c>
      <c r="P19" t="s">
        <v>17</v>
      </c>
      <c r="Q19" s="11">
        <v>437518</v>
      </c>
      <c r="R19" s="11">
        <v>320461</v>
      </c>
      <c r="S19" s="12">
        <v>335934</v>
      </c>
      <c r="T19" s="11">
        <f t="shared" si="4"/>
        <v>-101584</v>
      </c>
      <c r="U19" s="11">
        <f t="shared" si="5"/>
        <v>15473</v>
      </c>
      <c r="X19" s="14">
        <v>2328.0373051224947</v>
      </c>
      <c r="Y19" s="14">
        <v>1930.5093842061167</v>
      </c>
      <c r="Z19" s="14">
        <v>1820.7093992818395</v>
      </c>
      <c r="AA19" s="14">
        <f t="shared" si="6"/>
        <v>-507.32790584065515</v>
      </c>
      <c r="AB19" s="14">
        <f t="shared" si="7"/>
        <v>-109.79998492427717</v>
      </c>
      <c r="AC19" s="14">
        <f t="shared" si="8"/>
        <v>-397.52792091637798</v>
      </c>
    </row>
    <row r="20" spans="1:29">
      <c r="A20" t="s">
        <v>18</v>
      </c>
      <c r="B20" s="7">
        <v>61.865929871835121</v>
      </c>
      <c r="C20" s="2">
        <v>53.767299999999999</v>
      </c>
      <c r="D20" s="3">
        <f>[1]Speeds!U19</f>
        <v>66.693022833822994</v>
      </c>
      <c r="E20" s="4">
        <f t="shared" si="0"/>
        <v>4.8270929619878729</v>
      </c>
      <c r="F20" s="4">
        <f t="shared" si="1"/>
        <v>12.925722833822995</v>
      </c>
      <c r="H20" t="s">
        <v>18</v>
      </c>
      <c r="I20" s="8">
        <v>1.3897486026643189</v>
      </c>
      <c r="J20" s="8">
        <v>1.3702791459157309</v>
      </c>
      <c r="K20" s="8">
        <f>'[1]Interval Circuities'!I20</f>
        <v>1.2376203077049825</v>
      </c>
      <c r="L20" s="9">
        <f t="shared" si="2"/>
        <v>-0.15212829495933633</v>
      </c>
      <c r="M20" s="9">
        <f t="shared" si="3"/>
        <v>-0.13265883821074831</v>
      </c>
      <c r="N20" s="8">
        <f t="shared" si="9"/>
        <v>-1.9469456748588021E-2</v>
      </c>
      <c r="P20" t="s">
        <v>18</v>
      </c>
      <c r="Q20" s="11">
        <v>1759796</v>
      </c>
      <c r="R20" s="11">
        <v>1870780</v>
      </c>
      <c r="S20" s="12">
        <v>2176567</v>
      </c>
      <c r="T20" s="11">
        <f t="shared" si="4"/>
        <v>416771</v>
      </c>
      <c r="U20" s="11">
        <f t="shared" si="5"/>
        <v>305787</v>
      </c>
      <c r="X20" s="14">
        <v>951.03794313448986</v>
      </c>
      <c r="Y20" s="14">
        <v>778.63930000000005</v>
      </c>
      <c r="Z20" s="14">
        <v>1149.9995031423985</v>
      </c>
      <c r="AA20" s="14">
        <f t="shared" si="6"/>
        <v>198.96156000790859</v>
      </c>
      <c r="AB20" s="14">
        <f t="shared" si="7"/>
        <v>371.3602031423984</v>
      </c>
      <c r="AC20" s="14">
        <f t="shared" si="8"/>
        <v>-172.39864313448982</v>
      </c>
    </row>
    <row r="21" spans="1:29">
      <c r="A21" t="s">
        <v>19</v>
      </c>
      <c r="B21" s="7">
        <v>66.181816591922129</v>
      </c>
      <c r="C21" s="2">
        <v>53.336190000000002</v>
      </c>
      <c r="D21" s="3">
        <f>[1]Speeds!U20</f>
        <v>62.662263546111326</v>
      </c>
      <c r="E21" s="4">
        <f t="shared" si="0"/>
        <v>-3.5195530458108024</v>
      </c>
      <c r="F21" s="4">
        <f t="shared" si="1"/>
        <v>9.3260735461113242</v>
      </c>
      <c r="H21" t="s">
        <v>19</v>
      </c>
      <c r="I21" s="8">
        <v>1.3132675347089213</v>
      </c>
      <c r="J21" s="8">
        <v>1.3488678199601605</v>
      </c>
      <c r="K21" s="8">
        <f>'[1]Interval Circuities'!I21</f>
        <v>1.1835544609982929</v>
      </c>
      <c r="L21" s="9">
        <f t="shared" si="2"/>
        <v>-0.12971307371062846</v>
      </c>
      <c r="M21" s="9">
        <f t="shared" si="3"/>
        <v>-0.16531335896186761</v>
      </c>
      <c r="N21" s="8">
        <f t="shared" si="9"/>
        <v>3.560028525123915E-2</v>
      </c>
      <c r="P21" t="s">
        <v>19</v>
      </c>
      <c r="Q21" s="11">
        <v>624971</v>
      </c>
      <c r="R21" s="11">
        <v>813465</v>
      </c>
      <c r="S21" s="12">
        <v>742919</v>
      </c>
      <c r="T21" s="11">
        <f t="shared" si="4"/>
        <v>117948</v>
      </c>
      <c r="U21" s="11">
        <f t="shared" si="5"/>
        <v>-70546</v>
      </c>
      <c r="X21" s="14">
        <v>778.16205533596838</v>
      </c>
      <c r="Y21" s="14">
        <v>795.37049999999999</v>
      </c>
      <c r="Z21" s="14">
        <v>813.78264340099747</v>
      </c>
      <c r="AA21" s="14">
        <f t="shared" si="6"/>
        <v>35.620588065029096</v>
      </c>
      <c r="AB21" s="14">
        <f t="shared" si="7"/>
        <v>18.412143400997479</v>
      </c>
      <c r="AC21" s="14">
        <f t="shared" si="8"/>
        <v>17.208444664031617</v>
      </c>
    </row>
    <row r="22" spans="1:29">
      <c r="A22" t="s">
        <v>20</v>
      </c>
      <c r="B22" s="7">
        <v>65.10221093956217</v>
      </c>
      <c r="C22" s="2">
        <v>57.819749999999999</v>
      </c>
      <c r="D22" s="3">
        <f>[1]Speeds!U21</f>
        <v>72.107428140171564</v>
      </c>
      <c r="E22" s="4">
        <f t="shared" si="0"/>
        <v>7.005217200609394</v>
      </c>
      <c r="F22" s="4">
        <f t="shared" si="1"/>
        <v>14.287678140171565</v>
      </c>
      <c r="H22" t="s">
        <v>20</v>
      </c>
      <c r="I22" s="8">
        <v>1.3841718613966598</v>
      </c>
      <c r="J22" s="8">
        <v>1.3681548557259369</v>
      </c>
      <c r="K22" s="8">
        <f>'[1]Interval Circuities'!I22</f>
        <v>1.3360729352383633</v>
      </c>
      <c r="L22" s="9">
        <f t="shared" si="2"/>
        <v>-4.8098926158296473E-2</v>
      </c>
      <c r="M22" s="9">
        <f t="shared" si="3"/>
        <v>-3.2081920487573523E-2</v>
      </c>
      <c r="N22" s="8">
        <f t="shared" si="9"/>
        <v>-1.601700567072295E-2</v>
      </c>
      <c r="P22" t="s">
        <v>20</v>
      </c>
      <c r="Q22" s="11">
        <v>766953</v>
      </c>
      <c r="R22" s="11">
        <v>877495</v>
      </c>
      <c r="S22" s="12">
        <v>957326</v>
      </c>
      <c r="T22" s="11">
        <f t="shared" si="4"/>
        <v>190373</v>
      </c>
      <c r="U22" s="11">
        <f t="shared" si="5"/>
        <v>79831</v>
      </c>
      <c r="X22" s="14">
        <v>1078.3820073850286</v>
      </c>
      <c r="Y22" s="14">
        <v>1048.9110000000001</v>
      </c>
      <c r="Z22" s="14">
        <v>1369.2709398652264</v>
      </c>
      <c r="AA22" s="14">
        <f t="shared" si="6"/>
        <v>290.88893248019781</v>
      </c>
      <c r="AB22" s="14">
        <f t="shared" si="7"/>
        <v>320.35993986522635</v>
      </c>
      <c r="AC22" s="14">
        <f t="shared" si="8"/>
        <v>-29.471007385028543</v>
      </c>
    </row>
    <row r="23" spans="1:29">
      <c r="A23" t="s">
        <v>21</v>
      </c>
      <c r="B23" s="5">
        <v>55.540281389808555</v>
      </c>
      <c r="C23" s="2">
        <v>54.3979</v>
      </c>
      <c r="D23" s="3">
        <f>[1]Speeds!U22</f>
        <v>69.127068300037649</v>
      </c>
      <c r="E23" s="4">
        <f t="shared" si="0"/>
        <v>13.586786910229094</v>
      </c>
      <c r="F23" s="4">
        <f t="shared" si="1"/>
        <v>14.729168300037649</v>
      </c>
      <c r="H23" t="s">
        <v>21</v>
      </c>
      <c r="I23" s="8">
        <v>1.3815643022128219</v>
      </c>
      <c r="J23" s="8">
        <v>1.4208874155489499</v>
      </c>
      <c r="K23" s="8">
        <f>'[1]Interval Circuities'!I23</f>
        <v>1.2841484821523987</v>
      </c>
      <c r="L23" s="9">
        <f t="shared" si="2"/>
        <v>-9.7415820060423153E-2</v>
      </c>
      <c r="M23" s="9">
        <f t="shared" si="3"/>
        <v>-0.13673893339655119</v>
      </c>
      <c r="N23" s="8">
        <f t="shared" si="9"/>
        <v>3.9323113336128035E-2</v>
      </c>
      <c r="P23" t="s">
        <v>21</v>
      </c>
      <c r="Q23" s="11">
        <v>443882</v>
      </c>
      <c r="R23" s="11">
        <v>497222</v>
      </c>
      <c r="S23" s="12">
        <v>860640</v>
      </c>
      <c r="T23" s="11">
        <f t="shared" si="4"/>
        <v>416758</v>
      </c>
      <c r="U23" s="11">
        <f t="shared" si="5"/>
        <v>363418</v>
      </c>
      <c r="X23" s="14">
        <v>547.57015742642022</v>
      </c>
      <c r="Y23" s="14">
        <v>464.36610000000002</v>
      </c>
      <c r="Z23" s="14">
        <v>775.48585132918799</v>
      </c>
      <c r="AA23" s="14">
        <f t="shared" si="6"/>
        <v>227.91569390276777</v>
      </c>
      <c r="AB23" s="14">
        <f t="shared" si="7"/>
        <v>311.11975132918798</v>
      </c>
      <c r="AC23" s="14">
        <f t="shared" si="8"/>
        <v>-83.204057426420206</v>
      </c>
    </row>
    <row r="24" spans="1:29">
      <c r="A24" t="s">
        <v>22</v>
      </c>
      <c r="B24" s="7">
        <v>63.219918440805898</v>
      </c>
      <c r="C24" s="2">
        <v>63.341059999999999</v>
      </c>
      <c r="D24" s="3">
        <f>[1]Speeds!U23</f>
        <v>67.812288769795572</v>
      </c>
      <c r="E24" s="4">
        <f t="shared" si="0"/>
        <v>4.5923703289896736</v>
      </c>
      <c r="F24" s="4">
        <f t="shared" si="1"/>
        <v>4.471228769795573</v>
      </c>
      <c r="H24" t="s">
        <v>22</v>
      </c>
      <c r="I24" s="8">
        <v>1.3497363834314509</v>
      </c>
      <c r="J24" s="8">
        <v>1.3468144074036565</v>
      </c>
      <c r="K24" s="8">
        <f>'[1]Interval Circuities'!I24</f>
        <v>1.2277932150007076</v>
      </c>
      <c r="L24" s="9">
        <f t="shared" si="2"/>
        <v>-0.12194316843074327</v>
      </c>
      <c r="M24" s="9">
        <f t="shared" si="3"/>
        <v>-0.11902119240294895</v>
      </c>
      <c r="N24" s="8">
        <f t="shared" si="9"/>
        <v>-2.9219760277943152E-3</v>
      </c>
      <c r="P24" t="s">
        <v>22</v>
      </c>
      <c r="Q24" s="11">
        <v>771309</v>
      </c>
      <c r="R24" s="11">
        <v>891412</v>
      </c>
      <c r="S24" s="12">
        <v>928617</v>
      </c>
      <c r="T24" s="11">
        <f t="shared" si="4"/>
        <v>157308</v>
      </c>
      <c r="U24" s="11">
        <f t="shared" si="5"/>
        <v>37205</v>
      </c>
      <c r="X24" s="14">
        <v>587.90735391009071</v>
      </c>
      <c r="Y24" s="14">
        <v>534.17049999999995</v>
      </c>
      <c r="Z24" s="14">
        <v>865.47479649931279</v>
      </c>
      <c r="AA24" s="14">
        <f t="shared" si="6"/>
        <v>277.56744258922208</v>
      </c>
      <c r="AB24" s="14">
        <f t="shared" si="7"/>
        <v>331.30429649931284</v>
      </c>
      <c r="AC24" s="14">
        <f t="shared" si="8"/>
        <v>-53.736853910090758</v>
      </c>
    </row>
    <row r="25" spans="1:29">
      <c r="A25" t="s">
        <v>23</v>
      </c>
      <c r="B25" s="5">
        <v>58.291697709553844</v>
      </c>
      <c r="C25" s="2">
        <v>50.764740000000003</v>
      </c>
      <c r="D25" s="3">
        <f>[1]Speeds!U24</f>
        <v>62.454008275887581</v>
      </c>
      <c r="E25" s="4">
        <f t="shared" si="0"/>
        <v>4.162310566333737</v>
      </c>
      <c r="F25" s="4">
        <f t="shared" si="1"/>
        <v>11.689268275887578</v>
      </c>
      <c r="H25" t="s">
        <v>23</v>
      </c>
      <c r="I25" s="8">
        <v>1.3162005811729707</v>
      </c>
      <c r="J25" s="8">
        <v>1.3370217985664918</v>
      </c>
      <c r="K25" s="8">
        <f>'[1]Interval Circuities'!I25</f>
        <v>1.3133868922800092</v>
      </c>
      <c r="L25" s="9">
        <f t="shared" si="2"/>
        <v>-2.8136888929615189E-3</v>
      </c>
      <c r="M25" s="9">
        <f t="shared" si="3"/>
        <v>-2.3634906286482682E-2</v>
      </c>
      <c r="N25" s="8">
        <f t="shared" si="9"/>
        <v>2.0821217393521163E-2</v>
      </c>
      <c r="P25" t="s">
        <v>23</v>
      </c>
      <c r="Q25" s="11">
        <v>371128</v>
      </c>
      <c r="R25" s="11">
        <v>691875</v>
      </c>
      <c r="S25" s="12">
        <v>731876</v>
      </c>
      <c r="T25" s="11">
        <f t="shared" si="4"/>
        <v>360748</v>
      </c>
      <c r="U25" s="11">
        <f t="shared" si="5"/>
        <v>40001</v>
      </c>
      <c r="X25" s="14">
        <v>1175.4827875734677</v>
      </c>
      <c r="Y25" s="14">
        <v>1701.4670000000001</v>
      </c>
      <c r="Z25" s="14">
        <v>1746.9193703498715</v>
      </c>
      <c r="AA25" s="14">
        <f t="shared" si="6"/>
        <v>571.43658277640384</v>
      </c>
      <c r="AB25" s="14">
        <f t="shared" si="7"/>
        <v>45.452370349871444</v>
      </c>
      <c r="AC25" s="14">
        <f t="shared" si="8"/>
        <v>525.98421242653239</v>
      </c>
    </row>
    <row r="26" spans="1:29">
      <c r="A26" t="s">
        <v>24</v>
      </c>
      <c r="B26" s="7">
        <v>48.116227796764051</v>
      </c>
      <c r="C26" s="2">
        <v>47.966560000000001</v>
      </c>
      <c r="D26" s="3">
        <f>[1]Speeds!U25</f>
        <v>67.712654237264687</v>
      </c>
      <c r="E26" s="4">
        <f t="shared" si="0"/>
        <v>19.596426440500636</v>
      </c>
      <c r="F26" s="4">
        <f t="shared" si="1"/>
        <v>19.746094237264685</v>
      </c>
      <c r="H26" t="s">
        <v>24</v>
      </c>
      <c r="I26" s="8">
        <v>1.2967211649778432</v>
      </c>
      <c r="J26" s="8">
        <v>1.3204750649321098</v>
      </c>
      <c r="K26" s="8">
        <f>'[1]Interval Circuities'!I26</f>
        <v>1.2425894448042694</v>
      </c>
      <c r="L26" s="9">
        <f t="shared" si="2"/>
        <v>-5.4131720173573816E-2</v>
      </c>
      <c r="M26" s="9">
        <f t="shared" si="3"/>
        <v>-7.7885620127840394E-2</v>
      </c>
      <c r="N26" s="8">
        <f t="shared" si="9"/>
        <v>2.3753899954266577E-2</v>
      </c>
      <c r="P26" t="s">
        <v>24</v>
      </c>
      <c r="Q26" s="13">
        <f>6809043-Q22</f>
        <v>6042090</v>
      </c>
      <c r="R26" s="11">
        <f>3889686+1409151</f>
        <v>5298837</v>
      </c>
      <c r="S26" s="12">
        <v>4852354</v>
      </c>
      <c r="T26" s="11">
        <f t="shared" si="4"/>
        <v>-1189736</v>
      </c>
      <c r="U26" s="11">
        <f t="shared" si="5"/>
        <v>-446483</v>
      </c>
      <c r="X26" s="14">
        <v>2243.0420521281399</v>
      </c>
      <c r="Y26" s="14">
        <v>2155.5929999999998</v>
      </c>
      <c r="Z26" s="14">
        <v>2702.4637693066888</v>
      </c>
      <c r="AA26" s="14">
        <f t="shared" si="6"/>
        <v>459.42171717854899</v>
      </c>
      <c r="AB26" s="14">
        <f t="shared" si="7"/>
        <v>546.870769306689</v>
      </c>
      <c r="AC26" s="14">
        <f t="shared" si="8"/>
        <v>-87.449052128140011</v>
      </c>
    </row>
    <row r="27" spans="1:29">
      <c r="A27" t="s">
        <v>25</v>
      </c>
      <c r="B27" s="5">
        <v>62.487212851553508</v>
      </c>
      <c r="C27" s="2">
        <v>57.963749999999997</v>
      </c>
      <c r="D27" s="3">
        <f>[1]Speeds!U26</f>
        <v>69.762390899595417</v>
      </c>
      <c r="E27" s="4">
        <f t="shared" si="0"/>
        <v>7.2751780480419086</v>
      </c>
      <c r="F27" s="4">
        <f t="shared" si="1"/>
        <v>11.798640899595419</v>
      </c>
      <c r="H27" t="s">
        <v>25</v>
      </c>
      <c r="I27" s="8">
        <v>1.4461618303699983</v>
      </c>
      <c r="J27" s="8">
        <v>1.4104777673151672</v>
      </c>
      <c r="K27" s="8">
        <f>'[1]Interval Circuities'!I27</f>
        <v>1.3108224413438658</v>
      </c>
      <c r="L27" s="9">
        <f t="shared" si="2"/>
        <v>-0.13533938902613252</v>
      </c>
      <c r="M27" s="9">
        <f t="shared" si="3"/>
        <v>-9.9655325971301334E-2</v>
      </c>
      <c r="N27" s="8">
        <f t="shared" si="9"/>
        <v>-3.5684063054831183E-2</v>
      </c>
      <c r="P27" t="s">
        <v>25</v>
      </c>
      <c r="Q27" s="11">
        <v>446876</v>
      </c>
      <c r="R27" s="11">
        <v>516026</v>
      </c>
      <c r="S27" s="12">
        <v>515000</v>
      </c>
      <c r="T27" s="11">
        <f t="shared" si="4"/>
        <v>68124</v>
      </c>
      <c r="U27" s="11">
        <f t="shared" si="5"/>
        <v>-1026</v>
      </c>
      <c r="X27" s="14">
        <v>1106.8597977589507</v>
      </c>
      <c r="Y27" s="14">
        <v>763.32839999999999</v>
      </c>
      <c r="Z27" s="14">
        <v>787.6776339629688</v>
      </c>
      <c r="AA27" s="14">
        <f t="shared" si="6"/>
        <v>-319.18216379598186</v>
      </c>
      <c r="AB27" s="14">
        <f t="shared" si="7"/>
        <v>24.34923396296881</v>
      </c>
      <c r="AC27" s="14">
        <f t="shared" si="8"/>
        <v>-343.53139775895067</v>
      </c>
    </row>
    <row r="28" spans="1:29">
      <c r="A28" t="s">
        <v>26</v>
      </c>
      <c r="B28" s="5">
        <v>65.308032205055966</v>
      </c>
      <c r="C28" s="2">
        <v>57.321390000000001</v>
      </c>
      <c r="D28" s="3">
        <f>[1]Speeds!U27</f>
        <v>66.011797525453602</v>
      </c>
      <c r="E28" s="4">
        <f t="shared" si="0"/>
        <v>0.70376532039763617</v>
      </c>
      <c r="F28" s="4">
        <f t="shared" si="1"/>
        <v>8.6904075254536011</v>
      </c>
      <c r="H28" t="s">
        <v>26</v>
      </c>
      <c r="I28" s="8">
        <v>1.3673423853224496</v>
      </c>
      <c r="J28" s="8">
        <v>1.3956795616705349</v>
      </c>
      <c r="K28" s="8">
        <f>'[1]Interval Circuities'!I28</f>
        <v>1.2370359335006367</v>
      </c>
      <c r="L28" s="9">
        <f t="shared" si="2"/>
        <v>-0.13030645182181289</v>
      </c>
      <c r="M28" s="9">
        <f t="shared" si="3"/>
        <v>-0.15864362816989819</v>
      </c>
      <c r="N28" s="8">
        <f t="shared" si="9"/>
        <v>2.8337176348085302E-2</v>
      </c>
      <c r="P28" t="s">
        <v>26</v>
      </c>
      <c r="Q28" s="11">
        <v>448237</v>
      </c>
      <c r="R28" s="11">
        <v>537466</v>
      </c>
      <c r="S28" s="12">
        <v>509166</v>
      </c>
      <c r="T28" s="11">
        <f t="shared" si="4"/>
        <v>60929</v>
      </c>
      <c r="U28" s="11">
        <f t="shared" si="5"/>
        <v>-28300</v>
      </c>
      <c r="X28" s="14">
        <v>973.62164609985291</v>
      </c>
      <c r="Y28" s="14">
        <v>772.20429999999999</v>
      </c>
      <c r="Z28" s="14">
        <v>823.01437699234145</v>
      </c>
      <c r="AA28" s="14">
        <f t="shared" si="6"/>
        <v>-150.60726910751146</v>
      </c>
      <c r="AB28" s="14">
        <f t="shared" si="7"/>
        <v>50.810076992341465</v>
      </c>
      <c r="AC28" s="14">
        <f t="shared" si="8"/>
        <v>-201.41734609985292</v>
      </c>
    </row>
    <row r="29" spans="1:29">
      <c r="A29" t="s">
        <v>27</v>
      </c>
      <c r="B29" s="7">
        <v>64.485521071986952</v>
      </c>
      <c r="C29" s="2">
        <v>57.256279999999997</v>
      </c>
      <c r="D29" s="3">
        <f>[1]Speeds!U28</f>
        <v>66.575024815111192</v>
      </c>
      <c r="E29" s="4">
        <f t="shared" si="0"/>
        <v>2.08950374312424</v>
      </c>
      <c r="F29" s="4">
        <f t="shared" si="1"/>
        <v>9.3187448151111951</v>
      </c>
      <c r="H29" t="s">
        <v>27</v>
      </c>
      <c r="I29" s="8">
        <v>1.2642401733175872</v>
      </c>
      <c r="J29" s="8">
        <v>1.2891527648949177</v>
      </c>
      <c r="K29" s="8">
        <f>'[1]Interval Circuities'!I29</f>
        <v>1.1639337982848545</v>
      </c>
      <c r="L29" s="9">
        <f t="shared" si="2"/>
        <v>-0.10030637503273265</v>
      </c>
      <c r="M29" s="9">
        <f t="shared" si="3"/>
        <v>-0.12521896661006315</v>
      </c>
      <c r="N29" s="8">
        <f t="shared" si="9"/>
        <v>2.4912591577330501E-2</v>
      </c>
      <c r="P29" t="s">
        <v>27</v>
      </c>
      <c r="Q29" s="11">
        <v>772752</v>
      </c>
      <c r="R29" s="11">
        <v>781664</v>
      </c>
      <c r="S29" s="12">
        <v>737279</v>
      </c>
      <c r="T29" s="11">
        <f t="shared" si="4"/>
        <v>-35473</v>
      </c>
      <c r="U29" s="11">
        <f t="shared" si="5"/>
        <v>-44385</v>
      </c>
      <c r="X29" s="14">
        <v>927.60180995475116</v>
      </c>
      <c r="Y29" s="14">
        <v>931.97069999999997</v>
      </c>
      <c r="Z29" s="14">
        <v>974.04787636700348</v>
      </c>
      <c r="AA29" s="14">
        <f t="shared" si="6"/>
        <v>46.446066412252321</v>
      </c>
      <c r="AB29" s="14">
        <f t="shared" si="7"/>
        <v>42.077176367003517</v>
      </c>
      <c r="AC29" s="14">
        <f t="shared" si="8"/>
        <v>4.3688900452488042</v>
      </c>
    </row>
    <row r="30" spans="1:29">
      <c r="A30" t="s">
        <v>28</v>
      </c>
      <c r="B30" s="7">
        <v>63.564185114523426</v>
      </c>
      <c r="C30" s="2">
        <v>55.30265</v>
      </c>
      <c r="D30" s="3">
        <f>[1]Speeds!U29</f>
        <v>72.35417413894163</v>
      </c>
      <c r="E30" s="4">
        <f t="shared" si="0"/>
        <v>8.7899890244182046</v>
      </c>
      <c r="F30" s="4">
        <f t="shared" si="1"/>
        <v>17.05152413894163</v>
      </c>
      <c r="H30" t="s">
        <v>28</v>
      </c>
      <c r="I30" s="8">
        <v>1.3432337036137816</v>
      </c>
      <c r="J30" s="8">
        <v>1.3631972364714742</v>
      </c>
      <c r="K30" s="8">
        <f>'[1]Interval Circuities'!I30</f>
        <v>1.2097168280185802</v>
      </c>
      <c r="L30" s="9">
        <f t="shared" si="2"/>
        <v>-0.13351687559520142</v>
      </c>
      <c r="M30" s="9">
        <f t="shared" si="3"/>
        <v>-0.15348040845289401</v>
      </c>
      <c r="N30" s="8">
        <f t="shared" si="9"/>
        <v>1.996353285769259E-2</v>
      </c>
      <c r="P30" t="s">
        <v>28</v>
      </c>
      <c r="Q30" s="11">
        <v>1307624</v>
      </c>
      <c r="R30" s="11">
        <v>1642398</v>
      </c>
      <c r="S30" s="12">
        <v>1572381</v>
      </c>
      <c r="T30" s="11">
        <f t="shared" si="4"/>
        <v>264757</v>
      </c>
      <c r="U30" s="11">
        <f t="shared" si="5"/>
        <v>-70017</v>
      </c>
      <c r="X30" s="14">
        <v>730.08608477716029</v>
      </c>
      <c r="Y30" s="14">
        <v>756.63570000000004</v>
      </c>
      <c r="Z30" s="14">
        <v>1001.6752173390063</v>
      </c>
      <c r="AA30" s="14">
        <f t="shared" si="6"/>
        <v>271.58913256184599</v>
      </c>
      <c r="AB30" s="14">
        <f t="shared" si="7"/>
        <v>245.03951733900624</v>
      </c>
      <c r="AC30" s="14">
        <f t="shared" si="8"/>
        <v>26.549615222839748</v>
      </c>
    </row>
    <row r="31" spans="1:29">
      <c r="A31" t="s">
        <v>29</v>
      </c>
      <c r="B31" s="5">
        <v>63.734436519319452</v>
      </c>
      <c r="C31" s="2">
        <v>60.804580000000001</v>
      </c>
      <c r="D31" s="3">
        <f>[1]Speeds!U30</f>
        <v>66.509434242873198</v>
      </c>
      <c r="E31" s="4">
        <f t="shared" si="0"/>
        <v>2.7749977235537457</v>
      </c>
      <c r="F31" s="4">
        <f t="shared" si="1"/>
        <v>5.7048542428731963</v>
      </c>
      <c r="H31" t="s">
        <v>29</v>
      </c>
      <c r="I31" s="8">
        <v>1.3962975386380219</v>
      </c>
      <c r="J31" s="8">
        <v>1.4676806157574025</v>
      </c>
      <c r="K31" s="8">
        <f>'[1]Interval Circuities'!I31</f>
        <v>1.2471312517026993</v>
      </c>
      <c r="L31" s="9">
        <f t="shared" si="2"/>
        <v>-0.14916628693532252</v>
      </c>
      <c r="M31" s="9">
        <f t="shared" si="3"/>
        <v>-0.22054936405470316</v>
      </c>
      <c r="N31" s="8">
        <f t="shared" si="9"/>
        <v>7.1383077119380633E-2</v>
      </c>
      <c r="P31" t="s">
        <v>29</v>
      </c>
      <c r="Q31" s="11">
        <v>495717</v>
      </c>
      <c r="R31" s="11">
        <v>634772</v>
      </c>
      <c r="S31" s="12">
        <v>652935</v>
      </c>
      <c r="T31" s="11">
        <f t="shared" si="4"/>
        <v>157218</v>
      </c>
      <c r="U31" s="11">
        <f t="shared" si="5"/>
        <v>18163</v>
      </c>
      <c r="X31" s="14">
        <v>451.20587765532662</v>
      </c>
      <c r="Y31" s="14">
        <v>455.81509999999997</v>
      </c>
      <c r="Z31" s="14">
        <v>664.38482730522799</v>
      </c>
      <c r="AA31" s="14">
        <f t="shared" si="6"/>
        <v>213.17894964990137</v>
      </c>
      <c r="AB31" s="14">
        <f t="shared" si="7"/>
        <v>208.56972730522801</v>
      </c>
      <c r="AC31" s="14">
        <f t="shared" si="8"/>
        <v>4.6092223446733556</v>
      </c>
    </row>
    <row r="32" spans="1:29">
      <c r="A32" t="s">
        <v>30</v>
      </c>
      <c r="B32" s="7">
        <v>62.636693012318808</v>
      </c>
      <c r="C32" s="2">
        <v>56.712069999999997</v>
      </c>
      <c r="D32" s="3">
        <f>[1]Speeds!U31</f>
        <v>70.113916315490926</v>
      </c>
      <c r="E32" s="4">
        <f t="shared" si="0"/>
        <v>7.4772233031721171</v>
      </c>
      <c r="F32" s="4">
        <f t="shared" si="1"/>
        <v>13.401846315490928</v>
      </c>
      <c r="H32" t="s">
        <v>30</v>
      </c>
      <c r="I32" s="8">
        <v>1.3868608857534024</v>
      </c>
      <c r="J32" s="8">
        <v>1.3950623483411841</v>
      </c>
      <c r="K32" s="8">
        <f>'[1]Interval Circuities'!I32</f>
        <v>1.3695515239576628</v>
      </c>
      <c r="L32" s="9">
        <f t="shared" si="2"/>
        <v>-1.7309361795739608E-2</v>
      </c>
      <c r="M32" s="9">
        <f t="shared" si="3"/>
        <v>-2.5510824383521369E-2</v>
      </c>
      <c r="N32" s="8">
        <f t="shared" si="9"/>
        <v>8.2014625877817604E-3</v>
      </c>
      <c r="P32" t="s">
        <v>30</v>
      </c>
      <c r="Q32" s="11">
        <v>514726</v>
      </c>
      <c r="R32" s="11">
        <v>541312</v>
      </c>
      <c r="S32" s="12">
        <v>446087</v>
      </c>
      <c r="T32" s="11">
        <f t="shared" si="4"/>
        <v>-68639</v>
      </c>
      <c r="U32" s="11">
        <f t="shared" si="5"/>
        <v>-95225</v>
      </c>
      <c r="X32" s="14">
        <v>1501.072194424589</v>
      </c>
      <c r="Y32" s="14">
        <v>1342.165</v>
      </c>
      <c r="Z32" s="14">
        <v>1381.8089483990395</v>
      </c>
      <c r="AA32" s="14">
        <f t="shared" si="6"/>
        <v>-119.26324602554951</v>
      </c>
      <c r="AB32" s="14">
        <f t="shared" si="7"/>
        <v>39.643948399039573</v>
      </c>
      <c r="AC32" s="14">
        <f t="shared" si="8"/>
        <v>-158.90719442458908</v>
      </c>
    </row>
    <row r="33" spans="1:29">
      <c r="A33" t="s">
        <v>31</v>
      </c>
      <c r="B33" s="7">
        <v>59.42988867805861</v>
      </c>
      <c r="C33" s="2">
        <v>51.868699999999997</v>
      </c>
      <c r="D33" s="3">
        <f>[1]Speeds!U32</f>
        <v>60.636060061572778</v>
      </c>
      <c r="E33" s="4">
        <f t="shared" si="0"/>
        <v>1.2061713835141674</v>
      </c>
      <c r="F33" s="4">
        <f t="shared" si="1"/>
        <v>8.7673600615727807</v>
      </c>
      <c r="H33" t="s">
        <v>31</v>
      </c>
      <c r="I33" s="8">
        <v>1.3285519856984629</v>
      </c>
      <c r="J33" s="8">
        <v>1.3553383712449574</v>
      </c>
      <c r="K33" s="8">
        <f>'[1]Interval Circuities'!I33</f>
        <v>1.2046254703094295</v>
      </c>
      <c r="L33" s="9">
        <f t="shared" si="2"/>
        <v>-0.12392651538903343</v>
      </c>
      <c r="M33" s="9">
        <f t="shared" si="3"/>
        <v>-0.15071290093552792</v>
      </c>
      <c r="N33" s="8">
        <f t="shared" si="9"/>
        <v>2.6786385546494484E-2</v>
      </c>
      <c r="P33" t="s">
        <v>31</v>
      </c>
      <c r="Q33" s="11">
        <v>8550473</v>
      </c>
      <c r="R33" s="11">
        <f>3845734+647143+223496+331771+1100827+943220+792359</f>
        <v>7884550</v>
      </c>
      <c r="S33" s="12">
        <v>7273295</v>
      </c>
      <c r="T33" s="11">
        <f t="shared" si="4"/>
        <v>-1277178</v>
      </c>
      <c r="U33" s="11">
        <f t="shared" si="5"/>
        <v>-611255</v>
      </c>
      <c r="X33" s="14">
        <v>2072.7310590777161</v>
      </c>
      <c r="Y33" s="14">
        <v>1475.768</v>
      </c>
      <c r="Z33" s="14">
        <v>2053.6406982836411</v>
      </c>
      <c r="AA33" s="14">
        <f t="shared" si="6"/>
        <v>-19.090360794074968</v>
      </c>
      <c r="AB33" s="14">
        <f t="shared" si="7"/>
        <v>577.87269828364106</v>
      </c>
      <c r="AC33" s="14">
        <f t="shared" si="8"/>
        <v>-596.96305907771603</v>
      </c>
    </row>
    <row r="34" spans="1:29">
      <c r="A34" t="s">
        <v>32</v>
      </c>
      <c r="B34" s="5">
        <v>69.714425398287744</v>
      </c>
      <c r="C34" s="2">
        <v>59.517719999999997</v>
      </c>
      <c r="D34" s="3">
        <f>[1]Speeds!U33</f>
        <v>62.746727907823015</v>
      </c>
      <c r="E34" s="4">
        <f t="shared" si="0"/>
        <v>-6.9676974904647295</v>
      </c>
      <c r="F34" s="4">
        <f t="shared" si="1"/>
        <v>3.2290079078230178</v>
      </c>
      <c r="H34" t="s">
        <v>32</v>
      </c>
      <c r="I34" s="8">
        <v>1.3110975612258597</v>
      </c>
      <c r="J34" s="8">
        <v>1.3557576382913992</v>
      </c>
      <c r="K34" s="8">
        <f>'[1]Interval Circuities'!I34</f>
        <v>1.2226100071300814</v>
      </c>
      <c r="L34" s="9">
        <f t="shared" si="2"/>
        <v>-8.8487554095778354E-2</v>
      </c>
      <c r="M34" s="9">
        <f t="shared" si="3"/>
        <v>-0.13314763116131778</v>
      </c>
      <c r="N34" s="8">
        <f t="shared" si="9"/>
        <v>4.4660077065539427E-2</v>
      </c>
      <c r="P34" t="s">
        <v>32</v>
      </c>
      <c r="Q34" s="11">
        <v>450122</v>
      </c>
      <c r="R34" s="11">
        <v>441416</v>
      </c>
      <c r="S34" s="12">
        <v>452754</v>
      </c>
      <c r="T34" s="11">
        <f t="shared" si="4"/>
        <v>2632</v>
      </c>
      <c r="U34" s="11">
        <f t="shared" si="5"/>
        <v>11338</v>
      </c>
      <c r="X34" s="14">
        <v>411.8665313675163</v>
      </c>
      <c r="Y34" s="14">
        <v>584.56590000000006</v>
      </c>
      <c r="Z34" s="14">
        <v>810.03967977262835</v>
      </c>
      <c r="AA34" s="14">
        <f t="shared" si="6"/>
        <v>398.17314840511204</v>
      </c>
      <c r="AB34" s="14">
        <f t="shared" si="7"/>
        <v>225.47377977262829</v>
      </c>
      <c r="AC34" s="14">
        <f t="shared" si="8"/>
        <v>172.69936863248375</v>
      </c>
    </row>
    <row r="35" spans="1:29">
      <c r="A35" t="s">
        <v>33</v>
      </c>
      <c r="B35" s="7">
        <v>58.78311324728174</v>
      </c>
      <c r="C35" s="2">
        <v>45.740690000000001</v>
      </c>
      <c r="D35" s="3">
        <f>[1]Speeds!U34</f>
        <v>63.67703994300269</v>
      </c>
      <c r="E35" s="4">
        <f t="shared" si="0"/>
        <v>4.8939266957209497</v>
      </c>
      <c r="F35" s="4">
        <f t="shared" si="1"/>
        <v>17.936349943002689</v>
      </c>
      <c r="H35" t="s">
        <v>33</v>
      </c>
      <c r="I35" s="8">
        <v>1.3848661716333772</v>
      </c>
      <c r="J35" s="8">
        <v>1.3729301491749999</v>
      </c>
      <c r="K35" s="8">
        <f>'[1]Interval Circuities'!I35</f>
        <v>1.2938955646318264</v>
      </c>
      <c r="L35" s="9">
        <f t="shared" si="2"/>
        <v>-9.0970607001550796E-2</v>
      </c>
      <c r="M35" s="9">
        <f t="shared" si="3"/>
        <v>-7.9034584543173469E-2</v>
      </c>
      <c r="N35" s="8">
        <f t="shared" si="9"/>
        <v>-1.1936022458377327E-2</v>
      </c>
      <c r="P35" t="s">
        <v>33</v>
      </c>
      <c r="Q35" s="11">
        <v>557448</v>
      </c>
      <c r="R35" s="11">
        <v>818126</v>
      </c>
      <c r="S35" s="12">
        <v>855864</v>
      </c>
      <c r="T35" s="11">
        <f t="shared" si="4"/>
        <v>298416</v>
      </c>
      <c r="U35" s="11">
        <f t="shared" si="5"/>
        <v>37738</v>
      </c>
      <c r="X35" s="14">
        <v>841.40495059191858</v>
      </c>
      <c r="Y35" s="14">
        <v>708.81449999999995</v>
      </c>
      <c r="Z35" s="14">
        <v>975.7775860793671</v>
      </c>
      <c r="AA35" s="14">
        <f t="shared" si="6"/>
        <v>134.37263548744852</v>
      </c>
      <c r="AB35" s="14">
        <f t="shared" si="7"/>
        <v>266.96308607936714</v>
      </c>
      <c r="AC35" s="14">
        <f t="shared" si="8"/>
        <v>-132.59045059191862</v>
      </c>
    </row>
    <row r="36" spans="1:29">
      <c r="A36" t="s">
        <v>34</v>
      </c>
      <c r="B36" s="7">
        <v>63.176257053555211</v>
      </c>
      <c r="C36" s="2">
        <v>52.865879999999997</v>
      </c>
      <c r="D36" s="3">
        <f>[1]Speeds!U35</f>
        <v>57.583198277252201</v>
      </c>
      <c r="E36" s="4">
        <f t="shared" si="0"/>
        <v>-5.5930587763030104</v>
      </c>
      <c r="F36" s="4">
        <f t="shared" si="1"/>
        <v>4.717318277252204</v>
      </c>
      <c r="H36" t="s">
        <v>34</v>
      </c>
      <c r="I36" s="8">
        <v>1.2841177547554121</v>
      </c>
      <c r="J36" s="8">
        <v>1.3170343911047411</v>
      </c>
      <c r="K36" s="8">
        <f>'[1]Interval Circuities'!I36</f>
        <v>1.153822612145486</v>
      </c>
      <c r="L36" s="9">
        <f t="shared" si="2"/>
        <v>-0.13029514260992614</v>
      </c>
      <c r="M36" s="9">
        <f t="shared" si="3"/>
        <v>-0.16321177895925509</v>
      </c>
      <c r="N36" s="8">
        <f t="shared" si="9"/>
        <v>3.2916636349328954E-2</v>
      </c>
      <c r="P36" t="s">
        <v>34</v>
      </c>
      <c r="Q36" s="11">
        <v>2794917</v>
      </c>
      <c r="R36" s="11">
        <f>2237898+312776</f>
        <v>2550674</v>
      </c>
      <c r="S36" s="12">
        <v>2421591</v>
      </c>
      <c r="T36" s="11">
        <f t="shared" si="4"/>
        <v>-373326</v>
      </c>
      <c r="U36" s="11">
        <f t="shared" si="5"/>
        <v>-129083</v>
      </c>
      <c r="X36" s="14">
        <v>1518.9201737803867</v>
      </c>
      <c r="Y36" s="14">
        <v>942.2731</v>
      </c>
      <c r="Z36" s="14">
        <v>1060.3784681288619</v>
      </c>
      <c r="AA36" s="14">
        <f t="shared" si="6"/>
        <v>-458.54170565152481</v>
      </c>
      <c r="AB36" s="14">
        <f t="shared" si="7"/>
        <v>118.10536812886187</v>
      </c>
      <c r="AC36" s="14">
        <f t="shared" si="8"/>
        <v>-576.64707378038668</v>
      </c>
    </row>
    <row r="37" spans="1:29">
      <c r="A37" t="s">
        <v>35</v>
      </c>
      <c r="B37" s="7">
        <v>62.02920484038443</v>
      </c>
      <c r="C37" s="2">
        <v>52.44265</v>
      </c>
      <c r="D37" s="3">
        <f>[1]Speeds!U36</f>
        <v>65.523113774601583</v>
      </c>
      <c r="E37" s="4">
        <f t="shared" si="0"/>
        <v>3.4939089342171528</v>
      </c>
      <c r="F37" s="4">
        <f t="shared" si="1"/>
        <v>13.080463774601583</v>
      </c>
      <c r="H37" t="s">
        <v>35</v>
      </c>
      <c r="I37" s="8">
        <v>1.3377242090881898</v>
      </c>
      <c r="J37" s="8">
        <v>1.3654756153734526</v>
      </c>
      <c r="K37" s="8">
        <f>'[1]Interval Circuities'!I37</f>
        <v>1.2585556789471462</v>
      </c>
      <c r="L37" s="9">
        <f t="shared" si="2"/>
        <v>-7.9168530141043636E-2</v>
      </c>
      <c r="M37" s="9">
        <f t="shared" si="3"/>
        <v>-0.10691993642630648</v>
      </c>
      <c r="N37" s="8">
        <f t="shared" si="9"/>
        <v>2.7751406285262847E-2</v>
      </c>
      <c r="P37" t="s">
        <v>35</v>
      </c>
      <c r="Q37" s="11">
        <v>996495</v>
      </c>
      <c r="R37" s="11">
        <v>1402830</v>
      </c>
      <c r="S37" s="12">
        <v>1453359</v>
      </c>
      <c r="T37" s="11">
        <f t="shared" si="4"/>
        <v>456864</v>
      </c>
      <c r="U37" s="11">
        <f t="shared" si="5"/>
        <v>50529</v>
      </c>
      <c r="X37" s="14">
        <v>987.28769407106381</v>
      </c>
      <c r="Y37" s="14">
        <v>990.88170000000002</v>
      </c>
      <c r="Z37" s="14">
        <v>1222.0875996258867</v>
      </c>
      <c r="AA37" s="14">
        <f t="shared" si="6"/>
        <v>234.79990555482289</v>
      </c>
      <c r="AB37" s="14">
        <f t="shared" si="7"/>
        <v>231.20589962588667</v>
      </c>
      <c r="AC37" s="14">
        <f t="shared" si="8"/>
        <v>3.5940059289362125</v>
      </c>
    </row>
    <row r="38" spans="1:29">
      <c r="A38" t="s">
        <v>36</v>
      </c>
      <c r="B38" s="7">
        <v>65.42916793409438</v>
      </c>
      <c r="C38" s="2">
        <v>58.551130000000001</v>
      </c>
      <c r="D38" s="3">
        <f>[1]Speeds!U37</f>
        <v>59.807444822625882</v>
      </c>
      <c r="E38" s="4">
        <f t="shared" si="0"/>
        <v>-5.6217231114684978</v>
      </c>
      <c r="F38" s="4">
        <f t="shared" si="1"/>
        <v>1.2563148226258818</v>
      </c>
      <c r="H38" t="s">
        <v>36</v>
      </c>
      <c r="I38" s="8">
        <v>1.3964819567172002</v>
      </c>
      <c r="J38" s="8">
        <v>1.4225893665687803</v>
      </c>
      <c r="K38" s="8">
        <f>'[1]Interval Circuities'!I38</f>
        <v>1.238920592591702</v>
      </c>
      <c r="L38" s="9">
        <f t="shared" si="2"/>
        <v>-0.15756136412549826</v>
      </c>
      <c r="M38" s="9">
        <f t="shared" si="3"/>
        <v>-0.18366877397707837</v>
      </c>
      <c r="N38" s="8">
        <f t="shared" si="9"/>
        <v>2.610740985158011E-2</v>
      </c>
      <c r="P38" t="s">
        <v>36</v>
      </c>
      <c r="Q38" s="11">
        <v>956154</v>
      </c>
      <c r="R38" s="11">
        <v>1038641</v>
      </c>
      <c r="S38" s="12">
        <v>1030938</v>
      </c>
      <c r="T38" s="11">
        <f t="shared" si="4"/>
        <v>74784</v>
      </c>
      <c r="U38" s="11">
        <f t="shared" si="5"/>
        <v>-7703</v>
      </c>
      <c r="X38" s="14">
        <v>883.28701865819767</v>
      </c>
      <c r="Y38" s="14">
        <v>603.0711</v>
      </c>
      <c r="Z38" s="14">
        <v>739.57535155262258</v>
      </c>
      <c r="AA38" s="14">
        <f t="shared" si="6"/>
        <v>-143.71166710557509</v>
      </c>
      <c r="AB38" s="14">
        <f t="shared" si="7"/>
        <v>136.50425155262258</v>
      </c>
      <c r="AC38" s="14">
        <f t="shared" si="8"/>
        <v>-280.21591865819767</v>
      </c>
    </row>
    <row r="39" spans="1:29">
      <c r="A39" t="s">
        <v>37</v>
      </c>
      <c r="B39" s="7">
        <v>65.140770915733583</v>
      </c>
      <c r="C39" s="2">
        <v>53.087949999999999</v>
      </c>
      <c r="D39" s="3">
        <f>[1]Speeds!U38</f>
        <v>58.331030650507813</v>
      </c>
      <c r="E39" s="4">
        <f t="shared" si="0"/>
        <v>-6.8097402652257699</v>
      </c>
      <c r="F39" s="4">
        <f t="shared" si="1"/>
        <v>5.2430806505078138</v>
      </c>
      <c r="H39" t="s">
        <v>37</v>
      </c>
      <c r="I39" s="8">
        <v>1.5132631454535335</v>
      </c>
      <c r="J39" s="8">
        <v>1.497231860923961</v>
      </c>
      <c r="K39" s="8">
        <f>'[1]Interval Circuities'!I39</f>
        <v>1.4293416108501145</v>
      </c>
      <c r="L39" s="9">
        <f t="shared" si="2"/>
        <v>-8.3921534603419001E-2</v>
      </c>
      <c r="M39" s="9">
        <f t="shared" si="3"/>
        <v>-6.7890250073846525E-2</v>
      </c>
      <c r="N39" s="8">
        <f t="shared" si="9"/>
        <v>-1.6031284529572476E-2</v>
      </c>
      <c r="P39" t="s">
        <v>37</v>
      </c>
      <c r="Q39" s="11">
        <v>724532</v>
      </c>
      <c r="R39" s="11">
        <v>877359</v>
      </c>
      <c r="S39" s="12">
        <v>870794</v>
      </c>
      <c r="T39" s="11">
        <f t="shared" si="4"/>
        <v>146262</v>
      </c>
      <c r="U39" s="11">
        <f t="shared" si="5"/>
        <v>-6565</v>
      </c>
      <c r="X39" s="14">
        <v>1184.1974325803562</v>
      </c>
      <c r="Y39" s="14">
        <v>1192.0440000000001</v>
      </c>
      <c r="Z39" s="14">
        <v>1362.0759506608479</v>
      </c>
      <c r="AA39" s="14">
        <f t="shared" si="6"/>
        <v>177.87851808049163</v>
      </c>
      <c r="AB39" s="14">
        <f t="shared" si="7"/>
        <v>170.03195066084777</v>
      </c>
      <c r="AC39" s="14">
        <f t="shared" si="8"/>
        <v>7.8465674196438613</v>
      </c>
    </row>
    <row r="40" spans="1:29">
      <c r="A40" t="s">
        <v>38</v>
      </c>
      <c r="B40" s="7">
        <v>70.338872065042395</v>
      </c>
      <c r="C40" s="2">
        <v>62.482399999999998</v>
      </c>
      <c r="D40" s="3">
        <f>[1]Speeds!U39</f>
        <v>61.333480923569354</v>
      </c>
      <c r="E40" s="4">
        <f t="shared" si="0"/>
        <v>-9.0053911414730408</v>
      </c>
      <c r="F40" s="4">
        <f t="shared" si="1"/>
        <v>-1.1489190764306443</v>
      </c>
      <c r="H40" t="s">
        <v>38</v>
      </c>
      <c r="I40" s="8">
        <v>1.3175246716287143</v>
      </c>
      <c r="J40" s="8">
        <v>1.3248231024651607</v>
      </c>
      <c r="K40" s="8">
        <f>'[1]Interval Circuities'!I40</f>
        <v>1.2391867314568445</v>
      </c>
      <c r="L40" s="9">
        <f t="shared" si="2"/>
        <v>-7.8337940171869791E-2</v>
      </c>
      <c r="M40" s="9">
        <f t="shared" si="3"/>
        <v>-8.5636371008316114E-2</v>
      </c>
      <c r="N40" s="8">
        <f t="shared" si="9"/>
        <v>7.2984308364463235E-3</v>
      </c>
      <c r="P40" t="s">
        <v>38</v>
      </c>
      <c r="Q40" s="11">
        <v>544668</v>
      </c>
      <c r="R40" s="11">
        <v>629305</v>
      </c>
      <c r="S40" s="12">
        <v>590501</v>
      </c>
      <c r="T40" s="11">
        <f t="shared" si="4"/>
        <v>45833</v>
      </c>
      <c r="U40" s="11">
        <f t="shared" si="5"/>
        <v>-38804</v>
      </c>
      <c r="X40" s="14">
        <v>1415.4601861427093</v>
      </c>
      <c r="Y40" s="14">
        <v>595.13840000000005</v>
      </c>
      <c r="Z40" s="14">
        <v>843.65595688883184</v>
      </c>
      <c r="AA40" s="14">
        <f t="shared" si="6"/>
        <v>-571.80422925387745</v>
      </c>
      <c r="AB40" s="14">
        <f t="shared" si="7"/>
        <v>248.51755688883179</v>
      </c>
      <c r="AC40" s="14">
        <f t="shared" si="8"/>
        <v>-820.32178614270924</v>
      </c>
    </row>
    <row r="41" spans="1:29">
      <c r="A41" t="s">
        <v>39</v>
      </c>
      <c r="B41" s="5">
        <v>68.778714095226661</v>
      </c>
      <c r="C41" s="2">
        <v>61.628950000000003</v>
      </c>
      <c r="D41" s="3">
        <f>[1]Speeds!U40</f>
        <v>70.888143113567551</v>
      </c>
      <c r="E41" s="4">
        <f t="shared" si="0"/>
        <v>2.1094290183408901</v>
      </c>
      <c r="F41" s="4">
        <f t="shared" si="1"/>
        <v>9.259193113567548</v>
      </c>
      <c r="H41" t="s">
        <v>39</v>
      </c>
      <c r="I41" s="8">
        <v>1.3311216464630611</v>
      </c>
      <c r="J41" s="8">
        <v>1.3721700809670998</v>
      </c>
      <c r="K41" s="8">
        <f>'[1]Interval Circuities'!I41</f>
        <v>1.188697239807107</v>
      </c>
      <c r="L41" s="9">
        <f t="shared" si="2"/>
        <v>-0.14242440665595413</v>
      </c>
      <c r="M41" s="9">
        <f t="shared" si="3"/>
        <v>-0.18347284115999285</v>
      </c>
      <c r="N41" s="8">
        <f t="shared" si="9"/>
        <v>4.1048434504038722E-2</v>
      </c>
      <c r="P41" t="s">
        <v>39</v>
      </c>
      <c r="Q41" s="11">
        <v>399701</v>
      </c>
      <c r="R41" s="11">
        <v>614595</v>
      </c>
      <c r="S41" s="12">
        <v>410617</v>
      </c>
      <c r="T41" s="11">
        <f t="shared" si="4"/>
        <v>10916</v>
      </c>
      <c r="U41" s="11">
        <f t="shared" si="5"/>
        <v>-203978</v>
      </c>
      <c r="X41" s="14">
        <v>1097.213078779899</v>
      </c>
      <c r="Y41" s="14">
        <v>484.15989999999999</v>
      </c>
      <c r="Z41" s="14">
        <v>659.39427440794395</v>
      </c>
      <c r="AA41" s="14">
        <f t="shared" si="6"/>
        <v>-437.81880437195503</v>
      </c>
      <c r="AB41" s="14">
        <f t="shared" si="7"/>
        <v>175.23437440794396</v>
      </c>
      <c r="AC41" s="14">
        <f t="shared" si="8"/>
        <v>-613.05317877989899</v>
      </c>
    </row>
    <row r="42" spans="1:29">
      <c r="A42" t="s">
        <v>40</v>
      </c>
      <c r="B42" s="7">
        <v>70.514936537683639</v>
      </c>
      <c r="C42" s="2">
        <v>62.089397559255026</v>
      </c>
      <c r="D42" s="3">
        <f>[1]Speeds!U41</f>
        <v>64.044695759894694</v>
      </c>
      <c r="E42" s="4">
        <f t="shared" si="0"/>
        <v>-6.4702407777889448</v>
      </c>
      <c r="F42" s="4">
        <f t="shared" si="1"/>
        <v>1.9552982006396675</v>
      </c>
      <c r="H42" t="s">
        <v>40</v>
      </c>
      <c r="I42" s="8">
        <v>1.2967935188849744</v>
      </c>
      <c r="J42" s="8">
        <v>1.2868299509717198</v>
      </c>
      <c r="K42" s="8">
        <f>'[1]Interval Circuities'!I42</f>
        <v>1.1972716138765835</v>
      </c>
      <c r="L42" s="9">
        <f t="shared" si="2"/>
        <v>-9.9521905008390865E-2</v>
      </c>
      <c r="M42" s="9">
        <f t="shared" si="3"/>
        <v>-8.9558337095136276E-2</v>
      </c>
      <c r="N42" s="8">
        <f t="shared" si="9"/>
        <v>-9.9635679132545896E-3</v>
      </c>
      <c r="P42" t="s">
        <v>40</v>
      </c>
      <c r="Q42" s="11">
        <v>481467</v>
      </c>
      <c r="R42" s="11">
        <v>455184</v>
      </c>
      <c r="S42" s="12">
        <v>415085</v>
      </c>
      <c r="T42" s="11">
        <f t="shared" si="4"/>
        <v>-66382</v>
      </c>
      <c r="U42" s="11">
        <f t="shared" si="5"/>
        <v>-40099</v>
      </c>
      <c r="X42" s="14">
        <v>1079.1366906474821</v>
      </c>
      <c r="Y42" s="14">
        <v>723.26126225186908</v>
      </c>
      <c r="Z42" s="14">
        <v>857.44540355569529</v>
      </c>
      <c r="AA42" s="14">
        <f t="shared" si="6"/>
        <v>-221.69128709178676</v>
      </c>
      <c r="AB42" s="14">
        <f t="shared" si="7"/>
        <v>134.18414130382621</v>
      </c>
      <c r="AC42" s="14">
        <f t="shared" si="8"/>
        <v>-355.87542839561297</v>
      </c>
    </row>
    <row r="43" spans="1:29">
      <c r="A43" t="s">
        <v>41</v>
      </c>
      <c r="B43" s="7">
        <v>61.557786724693997</v>
      </c>
      <c r="C43" s="2">
        <v>53.297409999999999</v>
      </c>
      <c r="D43" s="3">
        <f>[1]Speeds!U42</f>
        <v>69.851259887217722</v>
      </c>
      <c r="E43" s="4">
        <f t="shared" si="0"/>
        <v>8.2934731625237248</v>
      </c>
      <c r="F43" s="4">
        <f t="shared" si="1"/>
        <v>16.553849887217723</v>
      </c>
      <c r="H43" t="s">
        <v>41</v>
      </c>
      <c r="I43" s="8">
        <v>1.4561519355494399</v>
      </c>
      <c r="J43" s="8">
        <v>1.4784314673911618</v>
      </c>
      <c r="K43" s="8">
        <f>'[1]Interval Circuities'!I43</f>
        <v>1.3968817478060891</v>
      </c>
      <c r="L43" s="9">
        <f t="shared" si="2"/>
        <v>-5.92701877433508E-2</v>
      </c>
      <c r="M43" s="9">
        <f t="shared" si="3"/>
        <v>-8.1549719585072733E-2</v>
      </c>
      <c r="N43" s="8">
        <f t="shared" si="9"/>
        <v>2.2279531841721933E-2</v>
      </c>
      <c r="P43" t="s">
        <v>41</v>
      </c>
      <c r="Q43" s="11">
        <v>685945</v>
      </c>
      <c r="R43" s="11">
        <v>585187</v>
      </c>
      <c r="S43" s="12">
        <v>621068</v>
      </c>
      <c r="T43" s="11">
        <f t="shared" si="4"/>
        <v>-64877</v>
      </c>
      <c r="U43" s="11">
        <f t="shared" si="5"/>
        <v>35881</v>
      </c>
      <c r="X43" s="14">
        <v>1272.1174973979414</v>
      </c>
      <c r="Y43" s="14">
        <v>1367.6389999999999</v>
      </c>
      <c r="Z43" s="14">
        <v>1413.0147860308737</v>
      </c>
      <c r="AA43" s="14">
        <f t="shared" si="6"/>
        <v>140.89728863293226</v>
      </c>
      <c r="AB43" s="14">
        <f t="shared" si="7"/>
        <v>45.375786030873769</v>
      </c>
      <c r="AC43" s="14">
        <f t="shared" si="8"/>
        <v>95.52150260205849</v>
      </c>
    </row>
    <row r="44" spans="1:29">
      <c r="A44" t="s">
        <v>42</v>
      </c>
      <c r="B44" s="2">
        <v>65.143959367039756</v>
      </c>
      <c r="C44" s="2">
        <v>52.234180000000002</v>
      </c>
      <c r="D44" s="3">
        <f>[1]Speeds!U43</f>
        <v>64.533357950473999</v>
      </c>
      <c r="E44" s="4">
        <f t="shared" si="0"/>
        <v>-0.61060141656575695</v>
      </c>
      <c r="F44" s="4">
        <f t="shared" si="1"/>
        <v>12.299177950473997</v>
      </c>
      <c r="H44" t="s">
        <v>42</v>
      </c>
      <c r="I44" s="8">
        <v>1.3613500876534124</v>
      </c>
      <c r="J44" s="8">
        <v>1.4171473677066153</v>
      </c>
      <c r="K44" s="8">
        <f>'[1]Interval Circuities'!I44</f>
        <v>1.3909277673330938</v>
      </c>
      <c r="L44" s="9">
        <f t="shared" si="2"/>
        <v>2.957767967968139E-2</v>
      </c>
      <c r="M44" s="9">
        <f t="shared" si="3"/>
        <v>-2.6219600373521557E-2</v>
      </c>
      <c r="N44" s="8">
        <f t="shared" si="9"/>
        <v>5.5797280053202947E-2</v>
      </c>
      <c r="P44" t="s">
        <v>42</v>
      </c>
      <c r="Q44" s="11">
        <v>479338</v>
      </c>
      <c r="R44" s="11">
        <v>611285</v>
      </c>
      <c r="S44" s="12">
        <v>526157</v>
      </c>
      <c r="T44" s="11">
        <f t="shared" si="4"/>
        <v>46819</v>
      </c>
      <c r="U44" s="11">
        <f t="shared" si="5"/>
        <v>-85128</v>
      </c>
      <c r="X44" s="14">
        <v>1215.620726333384</v>
      </c>
      <c r="Y44" s="14">
        <v>899.27589999999998</v>
      </c>
      <c r="Z44" s="14">
        <v>1418.9468389746553</v>
      </c>
      <c r="AA44" s="14">
        <f t="shared" si="6"/>
        <v>203.32611264127127</v>
      </c>
      <c r="AB44" s="14">
        <f t="shared" si="7"/>
        <v>519.67093897465531</v>
      </c>
      <c r="AC44" s="14">
        <f t="shared" si="8"/>
        <v>-316.34482633338405</v>
      </c>
    </row>
    <row r="45" spans="1:29">
      <c r="A45" t="s">
        <v>43</v>
      </c>
      <c r="B45" s="2">
        <v>68.131157212250471</v>
      </c>
      <c r="C45" s="2">
        <v>59.60624</v>
      </c>
      <c r="D45" s="3">
        <f>[1]Speeds!U44</f>
        <v>70.329269785649885</v>
      </c>
      <c r="E45" s="4">
        <f t="shared" si="0"/>
        <v>2.1981125733994133</v>
      </c>
      <c r="F45" s="4">
        <f t="shared" si="1"/>
        <v>10.723029785649885</v>
      </c>
      <c r="H45" t="s">
        <v>43</v>
      </c>
      <c r="I45" s="8">
        <v>1.4519665174020164</v>
      </c>
      <c r="J45" s="8">
        <v>1.4440798318595534</v>
      </c>
      <c r="K45" s="8">
        <f>'[1]Interval Circuities'!I45</f>
        <v>1.2555532060267511</v>
      </c>
      <c r="L45" s="9">
        <f t="shared" si="2"/>
        <v>-0.1964133113752653</v>
      </c>
      <c r="M45" s="9">
        <f t="shared" si="3"/>
        <v>-0.18852662583280222</v>
      </c>
      <c r="N45" s="8">
        <f t="shared" si="9"/>
        <v>-7.8866855424630788E-3</v>
      </c>
      <c r="P45" t="s">
        <v>43</v>
      </c>
      <c r="Q45" s="11">
        <v>569149</v>
      </c>
      <c r="R45" s="11">
        <v>635453</v>
      </c>
      <c r="S45" s="12">
        <v>718175</v>
      </c>
      <c r="T45" s="11">
        <f t="shared" si="4"/>
        <v>149026</v>
      </c>
      <c r="U45" s="11">
        <f t="shared" si="5"/>
        <v>82722</v>
      </c>
      <c r="X45" s="14">
        <v>1031.2913177611283</v>
      </c>
      <c r="Y45" s="14">
        <v>935.55520000000001</v>
      </c>
      <c r="Z45" s="14">
        <v>1136.9073371227814</v>
      </c>
      <c r="AA45" s="14">
        <f t="shared" si="6"/>
        <v>105.61601936165312</v>
      </c>
      <c r="AB45" s="14">
        <f t="shared" si="7"/>
        <v>201.35213712278141</v>
      </c>
      <c r="AC45" s="14">
        <f t="shared" si="8"/>
        <v>-95.736117761128298</v>
      </c>
    </row>
    <row r="46" spans="1:29">
      <c r="A46" t="s">
        <v>44</v>
      </c>
      <c r="B46" s="2">
        <v>59.330043396898148</v>
      </c>
      <c r="C46" s="2">
        <v>53.169829999999997</v>
      </c>
      <c r="D46" s="3">
        <f>[1]Speeds!U45</f>
        <v>74.208902356796543</v>
      </c>
      <c r="E46" s="4">
        <f t="shared" si="0"/>
        <v>14.878858959898395</v>
      </c>
      <c r="F46" s="4">
        <f t="shared" si="1"/>
        <v>21.039072356796545</v>
      </c>
      <c r="H46" t="s">
        <v>44</v>
      </c>
      <c r="I46" s="8">
        <v>1.4199820518025561</v>
      </c>
      <c r="J46" s="8">
        <v>1.4163798747179295</v>
      </c>
      <c r="K46" s="8">
        <f>'[1]Interval Circuities'!I46</f>
        <v>1.3873822171543784</v>
      </c>
      <c r="L46" s="9">
        <f t="shared" si="2"/>
        <v>-3.2599834648177728E-2</v>
      </c>
      <c r="M46" s="9">
        <f t="shared" si="3"/>
        <v>-2.8997657563551105E-2</v>
      </c>
      <c r="N46" s="8">
        <f t="shared" si="9"/>
        <v>-3.6021770846266232E-3</v>
      </c>
      <c r="P46" t="s">
        <v>44</v>
      </c>
      <c r="Q46" s="11">
        <v>1230446</v>
      </c>
      <c r="R46" s="11">
        <v>1081762</v>
      </c>
      <c r="S46" s="12">
        <v>1101324</v>
      </c>
      <c r="T46" s="11">
        <f t="shared" si="4"/>
        <v>-129122</v>
      </c>
      <c r="U46" s="11">
        <f t="shared" si="5"/>
        <v>19562</v>
      </c>
      <c r="X46" s="14">
        <v>1283.9160839160838</v>
      </c>
      <c r="Y46" s="14">
        <v>1412.3209999999999</v>
      </c>
      <c r="Z46" s="14">
        <v>1558.6954968295993</v>
      </c>
      <c r="AA46" s="14">
        <f t="shared" si="6"/>
        <v>274.77941291351544</v>
      </c>
      <c r="AB46" s="14">
        <f t="shared" si="7"/>
        <v>146.37449682959937</v>
      </c>
      <c r="AC46" s="14">
        <f t="shared" si="8"/>
        <v>128.40491608391608</v>
      </c>
    </row>
    <row r="47" spans="1:29">
      <c r="A47" t="s">
        <v>45</v>
      </c>
      <c r="B47" s="2">
        <v>53.936325276944842</v>
      </c>
      <c r="C47" s="2">
        <v>53.325209999999998</v>
      </c>
      <c r="D47" s="3">
        <f>[1]Speeds!U46</f>
        <v>72.542200404561456</v>
      </c>
      <c r="E47" s="4">
        <f t="shared" si="0"/>
        <v>18.605875127616613</v>
      </c>
      <c r="F47" s="4">
        <f t="shared" si="1"/>
        <v>19.216990404561457</v>
      </c>
      <c r="H47" t="s">
        <v>45</v>
      </c>
      <c r="I47" s="8">
        <v>1.4123371408549048</v>
      </c>
      <c r="J47" s="8">
        <v>1.4261474874002367</v>
      </c>
      <c r="K47" s="8">
        <f>'[1]Interval Circuities'!I47</f>
        <v>1.3779719461955984</v>
      </c>
      <c r="L47" s="9">
        <f t="shared" si="2"/>
        <v>-3.4365194659306431E-2</v>
      </c>
      <c r="M47" s="9">
        <f t="shared" si="3"/>
        <v>-4.8175541204638295E-2</v>
      </c>
      <c r="N47" s="8">
        <f t="shared" si="9"/>
        <v>1.3810346545331864E-2</v>
      </c>
      <c r="P47" t="s">
        <v>45</v>
      </c>
      <c r="Q47" s="13">
        <f>3200833-Q46</f>
        <v>1970387</v>
      </c>
      <c r="R47" s="11">
        <f>1048438+1000061</f>
        <v>2048499</v>
      </c>
      <c r="S47" s="12">
        <v>1767793</v>
      </c>
      <c r="T47" s="11">
        <f t="shared" si="4"/>
        <v>-202594</v>
      </c>
      <c r="U47" s="11">
        <f t="shared" si="5"/>
        <v>-280706</v>
      </c>
      <c r="X47" s="14">
        <v>1623.3049162948894</v>
      </c>
      <c r="Y47" s="14">
        <v>1233.7170000000001</v>
      </c>
      <c r="Z47" s="14">
        <v>2419.4675820015173</v>
      </c>
      <c r="AA47" s="14">
        <f t="shared" si="6"/>
        <v>796.16266570662788</v>
      </c>
      <c r="AB47" s="14">
        <f t="shared" si="7"/>
        <v>1185.7505820015172</v>
      </c>
      <c r="AC47" s="14">
        <f t="shared" si="8"/>
        <v>-389.58791629488928</v>
      </c>
    </row>
    <row r="48" spans="1:29">
      <c r="A48" t="s">
        <v>46</v>
      </c>
      <c r="B48" s="2">
        <v>57.58663731743308</v>
      </c>
      <c r="C48" s="2">
        <v>50.663890000000002</v>
      </c>
      <c r="D48" s="3">
        <f>[1]Speeds!U47</f>
        <v>67.913980035971221</v>
      </c>
      <c r="E48" s="4">
        <f t="shared" si="0"/>
        <v>10.327342718538141</v>
      </c>
      <c r="F48" s="4">
        <f t="shared" si="1"/>
        <v>17.250090035971219</v>
      </c>
      <c r="H48" t="s">
        <v>46</v>
      </c>
      <c r="I48" s="8">
        <v>1.4096310284707418</v>
      </c>
      <c r="J48" s="8">
        <v>1.4495576335346807</v>
      </c>
      <c r="K48" s="8">
        <f>'[1]Interval Circuities'!I48</f>
        <v>1.3695757394795991</v>
      </c>
      <c r="L48" s="9">
        <f t="shared" si="2"/>
        <v>-4.0055288991142746E-2</v>
      </c>
      <c r="M48" s="9">
        <f t="shared" si="3"/>
        <v>-7.9981894055081604E-2</v>
      </c>
      <c r="N48" s="8">
        <f t="shared" si="9"/>
        <v>3.9926605063938858E-2</v>
      </c>
      <c r="P48" t="s">
        <v>46</v>
      </c>
      <c r="Q48" s="11">
        <v>946363</v>
      </c>
      <c r="R48" s="11">
        <v>1042998</v>
      </c>
      <c r="S48" s="12">
        <v>857032</v>
      </c>
      <c r="T48" s="11">
        <f t="shared" si="4"/>
        <v>-89331</v>
      </c>
      <c r="U48" s="11">
        <f t="shared" si="5"/>
        <v>-185966</v>
      </c>
      <c r="X48" s="14">
        <v>1608.4873374401095</v>
      </c>
      <c r="Y48" s="14">
        <v>1658.259</v>
      </c>
      <c r="Z48" s="14">
        <v>2247.211920874815</v>
      </c>
      <c r="AA48" s="14">
        <f t="shared" si="6"/>
        <v>638.72458343470544</v>
      </c>
      <c r="AB48" s="14">
        <f t="shared" si="7"/>
        <v>588.95292087481494</v>
      </c>
      <c r="AC48" s="14">
        <f t="shared" si="8"/>
        <v>49.771662559890501</v>
      </c>
    </row>
    <row r="49" spans="1:29">
      <c r="A49" t="s">
        <v>47</v>
      </c>
      <c r="B49" s="2">
        <v>57.751551670614234</v>
      </c>
      <c r="C49" s="2">
        <v>58.18665</v>
      </c>
      <c r="D49" s="3">
        <f>[1]Speeds!U48</f>
        <v>59.237163329958236</v>
      </c>
      <c r="E49" s="4">
        <f t="shared" si="0"/>
        <v>1.4856116593440021</v>
      </c>
      <c r="F49" s="4">
        <f t="shared" si="1"/>
        <v>1.0505133299582354</v>
      </c>
      <c r="H49" t="s">
        <v>47</v>
      </c>
      <c r="I49" s="8">
        <v>1.4456563048025668</v>
      </c>
      <c r="J49" s="8">
        <v>1.4004286301414794</v>
      </c>
      <c r="K49" s="8">
        <f>'[1]Interval Circuities'!I49</f>
        <v>1.3911691748531416</v>
      </c>
      <c r="L49" s="9">
        <f t="shared" si="2"/>
        <v>-5.4487129949425173E-2</v>
      </c>
      <c r="M49" s="9">
        <f t="shared" si="3"/>
        <v>-9.2594552883378256E-3</v>
      </c>
      <c r="N49" s="8">
        <f t="shared" si="9"/>
        <v>-4.5227674661087347E-2</v>
      </c>
      <c r="P49" t="s">
        <v>47</v>
      </c>
      <c r="Q49" s="11">
        <v>1308338</v>
      </c>
      <c r="R49" s="11">
        <v>1481715</v>
      </c>
      <c r="S49" s="12">
        <v>1435764</v>
      </c>
      <c r="T49" s="11">
        <f t="shared" si="4"/>
        <v>127426</v>
      </c>
      <c r="U49" s="11">
        <f t="shared" si="5"/>
        <v>-45951</v>
      </c>
      <c r="X49" s="14">
        <v>1477.6384054639784</v>
      </c>
      <c r="Y49" s="14">
        <v>856.61540000000002</v>
      </c>
      <c r="Z49" s="14">
        <v>1169.1810890127867</v>
      </c>
      <c r="AA49" s="14">
        <f t="shared" si="6"/>
        <v>-308.45731645119167</v>
      </c>
      <c r="AB49" s="14">
        <f t="shared" si="7"/>
        <v>312.56568901278672</v>
      </c>
      <c r="AC49" s="14">
        <f t="shared" si="8"/>
        <v>-621.02300546397839</v>
      </c>
    </row>
    <row r="50" spans="1:29">
      <c r="A50" t="s">
        <v>48</v>
      </c>
      <c r="B50" s="2">
        <v>57.267086544288581</v>
      </c>
      <c r="C50" s="2">
        <v>59.829090000000001</v>
      </c>
      <c r="D50" s="3">
        <f>[1]Speeds!U49</f>
        <v>59.396208684850201</v>
      </c>
      <c r="E50" s="4">
        <f t="shared" si="0"/>
        <v>2.1291221405616199</v>
      </c>
      <c r="F50" s="4">
        <f t="shared" si="1"/>
        <v>-0.43288131514979966</v>
      </c>
      <c r="H50" t="s">
        <v>48</v>
      </c>
      <c r="I50" s="8">
        <v>1.32034652628619</v>
      </c>
      <c r="J50" s="8">
        <v>1.3347515525831062</v>
      </c>
      <c r="K50" s="8">
        <f>'[1]Interval Circuities'!I50</f>
        <v>1.2273165367301029</v>
      </c>
      <c r="L50" s="9">
        <f t="shared" si="2"/>
        <v>-9.30299895560871E-2</v>
      </c>
      <c r="M50" s="9">
        <f t="shared" si="3"/>
        <v>-0.1074350158530033</v>
      </c>
      <c r="N50" s="8">
        <f t="shared" si="9"/>
        <v>1.4405026296916201E-2</v>
      </c>
      <c r="P50" t="s">
        <v>48</v>
      </c>
      <c r="Q50" s="11">
        <v>1476085</v>
      </c>
      <c r="R50" s="11">
        <f>845720+640214</f>
        <v>1485934</v>
      </c>
      <c r="S50" s="12">
        <v>1820909</v>
      </c>
      <c r="T50" s="11">
        <f t="shared" si="4"/>
        <v>344824</v>
      </c>
      <c r="U50" s="11">
        <f t="shared" si="5"/>
        <v>334975</v>
      </c>
      <c r="X50" s="14">
        <v>4280.7094372673528</v>
      </c>
      <c r="Y50" s="14">
        <v>1147.902</v>
      </c>
      <c r="Z50" s="14">
        <v>1715.2084870415904</v>
      </c>
      <c r="AA50" s="14">
        <f t="shared" si="6"/>
        <v>-2565.5009502257626</v>
      </c>
      <c r="AB50" s="14">
        <f t="shared" si="7"/>
        <v>567.30648704159034</v>
      </c>
      <c r="AC50" s="14">
        <f t="shared" si="8"/>
        <v>-3132.8074372673527</v>
      </c>
    </row>
    <row r="51" spans="1:29">
      <c r="A51" t="s">
        <v>49</v>
      </c>
      <c r="B51" s="2">
        <v>65.029165523454452</v>
      </c>
      <c r="C51" s="2">
        <v>56.502479999999998</v>
      </c>
      <c r="D51" s="3">
        <f>[1]Speeds!U50</f>
        <v>55.946693712217225</v>
      </c>
      <c r="E51" s="4">
        <f t="shared" si="0"/>
        <v>-9.0824718112372267</v>
      </c>
      <c r="F51" s="4">
        <f t="shared" si="1"/>
        <v>-0.55578628778277306</v>
      </c>
      <c r="H51" t="s">
        <v>49</v>
      </c>
      <c r="I51" s="8">
        <v>1.4333416134240047</v>
      </c>
      <c r="J51" s="8">
        <v>1.4418817166593685</v>
      </c>
      <c r="K51" s="8">
        <f>'[1]Interval Circuities'!I51</f>
        <v>1.2932002637774029</v>
      </c>
      <c r="L51" s="9">
        <f t="shared" si="2"/>
        <v>-0.14014134964660174</v>
      </c>
      <c r="M51" s="9">
        <f t="shared" si="3"/>
        <v>-0.14868145288196555</v>
      </c>
      <c r="N51" s="8">
        <f t="shared" si="9"/>
        <v>8.5401032353638051E-3</v>
      </c>
      <c r="P51" t="s">
        <v>49</v>
      </c>
      <c r="Q51" s="11">
        <v>1144336</v>
      </c>
      <c r="R51" s="11">
        <v>1220621</v>
      </c>
      <c r="S51" s="12">
        <v>1169641</v>
      </c>
      <c r="T51" s="11">
        <f t="shared" si="4"/>
        <v>25305</v>
      </c>
      <c r="U51" s="11">
        <f t="shared" si="5"/>
        <v>-50980</v>
      </c>
      <c r="X51" s="14">
        <v>1039.2364793213148</v>
      </c>
      <c r="Y51" s="14">
        <v>699.06600000000003</v>
      </c>
      <c r="Z51" s="14">
        <v>899.04720299169355</v>
      </c>
      <c r="AA51" s="14">
        <f t="shared" si="6"/>
        <v>-140.18927632962129</v>
      </c>
      <c r="AB51" s="14">
        <f t="shared" si="7"/>
        <v>199.98120299169352</v>
      </c>
      <c r="AC51" s="14">
        <f t="shared" si="8"/>
        <v>-340.17047932131482</v>
      </c>
    </row>
    <row r="52" spans="1:29">
      <c r="A52" t="s">
        <v>50</v>
      </c>
      <c r="B52" s="2">
        <v>57.772652523705723</v>
      </c>
      <c r="C52" s="2">
        <v>47.580840000000002</v>
      </c>
      <c r="D52" s="3">
        <f>[1]Speeds!U51</f>
        <v>65.037009428922346</v>
      </c>
      <c r="E52" s="4">
        <f t="shared" si="0"/>
        <v>7.2643569052166228</v>
      </c>
      <c r="F52" s="4">
        <f t="shared" si="1"/>
        <v>17.456169428922344</v>
      </c>
      <c r="H52" t="s">
        <v>50</v>
      </c>
      <c r="I52" s="8">
        <v>1.3536513388843285</v>
      </c>
      <c r="J52" s="8">
        <v>1.367675641952371</v>
      </c>
      <c r="K52" s="8">
        <f>'[1]Interval Circuities'!I52</f>
        <v>1.261409388199902</v>
      </c>
      <c r="L52" s="9">
        <f t="shared" si="2"/>
        <v>-9.2241950684426532E-2</v>
      </c>
      <c r="M52" s="9">
        <f t="shared" si="3"/>
        <v>-0.10626625375246901</v>
      </c>
      <c r="N52" s="8">
        <f t="shared" si="9"/>
        <v>1.4024303068042476E-2</v>
      </c>
      <c r="P52" t="s">
        <v>50</v>
      </c>
      <c r="Q52" s="11">
        <v>914711</v>
      </c>
      <c r="R52" s="11">
        <v>1042912</v>
      </c>
      <c r="S52" s="12">
        <v>932231</v>
      </c>
      <c r="T52" s="11">
        <f t="shared" si="4"/>
        <v>17520</v>
      </c>
      <c r="U52" s="11">
        <f t="shared" si="5"/>
        <v>-110681</v>
      </c>
      <c r="X52" s="14">
        <v>1022.1667558091162</v>
      </c>
      <c r="Y52" s="14">
        <v>576.27189999999996</v>
      </c>
      <c r="Z52" s="14">
        <v>985.14575645956916</v>
      </c>
      <c r="AA52" s="14">
        <f t="shared" si="6"/>
        <v>-37.020999349547083</v>
      </c>
      <c r="AB52" s="14">
        <f t="shared" si="7"/>
        <v>408.8738564595692</v>
      </c>
      <c r="AC52" s="14">
        <f t="shared" si="8"/>
        <v>-445.89485580911628</v>
      </c>
    </row>
    <row r="53" spans="1:29">
      <c r="A53" t="s">
        <v>51</v>
      </c>
      <c r="B53" s="2">
        <v>57.166397237881569</v>
      </c>
      <c r="C53" s="2">
        <v>49.556579999999997</v>
      </c>
      <c r="D53" s="3">
        <f>[1]Speeds!U52</f>
        <v>60.647730141730513</v>
      </c>
      <c r="E53" s="4">
        <f t="shared" si="0"/>
        <v>3.4813329038489442</v>
      </c>
      <c r="F53" s="4">
        <f t="shared" si="1"/>
        <v>11.091150141730516</v>
      </c>
      <c r="H53" t="s">
        <v>51</v>
      </c>
      <c r="I53" s="8">
        <v>1.4355478863247719</v>
      </c>
      <c r="J53" s="8">
        <v>1.4414267455336287</v>
      </c>
      <c r="K53" s="8">
        <f>'[1]Interval Circuities'!I53</f>
        <v>1.2644910226602037</v>
      </c>
      <c r="L53" s="9">
        <f t="shared" si="2"/>
        <v>-0.17105686366456818</v>
      </c>
      <c r="M53" s="9">
        <f t="shared" si="3"/>
        <v>-0.17693572287342496</v>
      </c>
      <c r="N53" s="8">
        <f t="shared" si="9"/>
        <v>5.8788592088567793E-3</v>
      </c>
      <c r="P53" t="s">
        <v>51</v>
      </c>
      <c r="Q53" s="11">
        <v>2214350</v>
      </c>
      <c r="R53" s="11">
        <v>2278636</v>
      </c>
      <c r="S53" s="12">
        <v>2370531</v>
      </c>
      <c r="T53" s="11">
        <f t="shared" si="4"/>
        <v>156181</v>
      </c>
      <c r="U53" s="11">
        <f t="shared" si="5"/>
        <v>91895</v>
      </c>
      <c r="X53" s="14">
        <v>1267.0644976702363</v>
      </c>
      <c r="Y53" s="14">
        <v>1265.0340000000001</v>
      </c>
      <c r="Z53" s="14">
        <v>1339.8831695910785</v>
      </c>
      <c r="AA53" s="14">
        <f t="shared" si="6"/>
        <v>72.818671920842235</v>
      </c>
      <c r="AB53" s="14">
        <f t="shared" si="7"/>
        <v>74.849169591078407</v>
      </c>
      <c r="AC53" s="14">
        <f t="shared" si="8"/>
        <v>-2.0304976702361728</v>
      </c>
    </row>
    <row r="54" spans="1:29">
      <c r="Q54" s="11"/>
      <c r="R54" s="11"/>
      <c r="S54" s="11"/>
      <c r="T54" s="11"/>
      <c r="U54" s="11"/>
    </row>
    <row r="55" spans="1:29">
      <c r="A55" t="s">
        <v>52</v>
      </c>
      <c r="B55" s="2">
        <f>AVERAGE(B3:B53)</f>
        <v>63.232538083028771</v>
      </c>
      <c r="C55" s="2">
        <f t="shared" ref="C55:F55" si="10">AVERAGE(C3:C53)</f>
        <v>55.816029728402789</v>
      </c>
      <c r="D55" s="2">
        <f t="shared" si="10"/>
        <v>64.657313301807491</v>
      </c>
      <c r="E55" s="2">
        <f t="shared" si="10"/>
        <v>1.4247752187787375</v>
      </c>
      <c r="F55" s="2">
        <f t="shared" si="10"/>
        <v>8.8412835734047164</v>
      </c>
      <c r="H55" t="s">
        <v>52</v>
      </c>
      <c r="I55" s="2">
        <f>AVERAGE(I3:I53)</f>
        <v>1.3617528287824285</v>
      </c>
      <c r="J55" s="2">
        <f t="shared" ref="J55:M55" si="11">AVERAGE(J3:J53)</f>
        <v>1.3745532392872435</v>
      </c>
      <c r="K55" s="2">
        <f t="shared" si="11"/>
        <v>1.2626606851609663</v>
      </c>
      <c r="L55" s="2">
        <f t="shared" si="11"/>
        <v>-9.9092143621461931E-2</v>
      </c>
      <c r="M55" s="2">
        <f t="shared" si="11"/>
        <v>-0.11189255412627712</v>
      </c>
      <c r="P55" t="s">
        <v>52</v>
      </c>
      <c r="Q55" s="11">
        <f>AVERAGE(Q3:Q53)</f>
        <v>1257805.3137254901</v>
      </c>
      <c r="R55" s="11">
        <f t="shared" ref="R55:U55" si="12">AVERAGE(R3:R53)</f>
        <v>1344352.8431372549</v>
      </c>
      <c r="S55" s="11">
        <f t="shared" si="12"/>
        <v>1287985.4117647058</v>
      </c>
      <c r="T55" s="11">
        <f t="shared" si="12"/>
        <v>30180.098039215685</v>
      </c>
      <c r="U55" s="11">
        <f t="shared" si="12"/>
        <v>-56367.431372549021</v>
      </c>
    </row>
    <row r="61" spans="1:29">
      <c r="H61" s="15" t="s">
        <v>75</v>
      </c>
      <c r="K61" s="15" t="s">
        <v>75</v>
      </c>
    </row>
    <row r="62" spans="1:29">
      <c r="G62" s="16" t="s">
        <v>77</v>
      </c>
      <c r="H62" t="s">
        <v>76</v>
      </c>
      <c r="I62">
        <f>INTERCEPT(I3:I53,X3:X53)</f>
        <v>1.376547782981552</v>
      </c>
      <c r="J62">
        <f>INTERCEPT(J3:J53,Y3:Y53)</f>
        <v>1.3694473958050046</v>
      </c>
      <c r="K62">
        <f>INTERCEPT(K3:K53,Z3:Z53)</f>
        <v>1.172980768707728</v>
      </c>
      <c r="L62">
        <f>INTERCEPT(L3:L53,AA3:AA53)</f>
        <v>-9.8072940853318372E-2</v>
      </c>
    </row>
    <row r="63" spans="1:29">
      <c r="G63" s="16" t="s">
        <v>79</v>
      </c>
      <c r="H63" t="s">
        <v>78</v>
      </c>
      <c r="I63">
        <f>SLOPE(I3:I53,X3:X53)</f>
        <v>-1.2046296969349332E-5</v>
      </c>
      <c r="J63">
        <f>SLOPE(J3:J53,Y3:Y53)</f>
        <v>5.433995117176641E-6</v>
      </c>
      <c r="K63">
        <f>SLOPE(K3:K53,Z3:Z53)</f>
        <v>7.7157477891183054E-5</v>
      </c>
      <c r="L63">
        <f>SLOPE(L3:L53,AA3:AA53)</f>
        <v>1.5471227130239494E-5</v>
      </c>
    </row>
    <row r="64" spans="1:29">
      <c r="G64" s="16" t="s">
        <v>81</v>
      </c>
      <c r="H64" t="s">
        <v>80</v>
      </c>
      <c r="I64">
        <f>RSQ(I3:I53,X3:X53)</f>
        <v>1.6053377282376602E-2</v>
      </c>
      <c r="J64">
        <f>RSQ(J3:J53,Y3:Y53)</f>
        <v>1.5033292640379981E-3</v>
      </c>
      <c r="K64">
        <f>RSQ(K3:K53,Z3:Z53)</f>
        <v>0.20583787045071925</v>
      </c>
      <c r="L64">
        <f>RSQ(L3:L53,AA3:AA53)</f>
        <v>2.0419035639975144E-2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workbookViewId="0">
      <selection activeCell="B2" sqref="B2"/>
    </sheetView>
  </sheetViews>
  <sheetFormatPr baseColWidth="10" defaultRowHeight="15" x14ac:dyDescent="0"/>
  <sheetData>
    <row r="1" spans="1:17">
      <c r="A1" t="s">
        <v>82</v>
      </c>
      <c r="B1" t="s">
        <v>93</v>
      </c>
      <c r="C1" t="s">
        <v>94</v>
      </c>
      <c r="D1" t="s">
        <v>95</v>
      </c>
      <c r="E1" t="s">
        <v>92</v>
      </c>
      <c r="F1" t="s">
        <v>91</v>
      </c>
      <c r="H1" t="s">
        <v>83</v>
      </c>
      <c r="I1">
        <v>0.38600000000000001</v>
      </c>
      <c r="J1">
        <v>0.38600000000000001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  <c r="Q1" t="s">
        <v>88</v>
      </c>
    </row>
    <row r="2" spans="1:17">
      <c r="A2">
        <v>10</v>
      </c>
      <c r="B2">
        <f t="shared" ref="B2:B7" si="0">EXP(beta1990)*A2^zeta1990</f>
        <v>1.3544022607333941</v>
      </c>
      <c r="C2">
        <f t="shared" ref="C2:C7" si="1">EXP(beta2000)*A2^zeta2000</f>
        <v>1.3693002532590308</v>
      </c>
      <c r="D2">
        <f t="shared" ref="D2:D7" si="2">EXP(beta2010)*A2^zeta2010</f>
        <v>1.3639228686272187</v>
      </c>
      <c r="E2">
        <f t="shared" ref="E2:E7" si="3">EXP(betaMPLS2010)*A2^zetaMPLS2010</f>
        <v>1.3591764912955777</v>
      </c>
      <c r="F2">
        <v>1.3680000000000001</v>
      </c>
      <c r="H2" t="s">
        <v>84</v>
      </c>
      <c r="I2">
        <v>-3.5889999999999998E-2</v>
      </c>
      <c r="J2">
        <v>-3.5889999999999998E-2</v>
      </c>
      <c r="L2">
        <v>0.38600000000000001</v>
      </c>
      <c r="M2">
        <v>-3.5889999999999998E-2</v>
      </c>
      <c r="N2">
        <v>0.40439999999999998</v>
      </c>
      <c r="O2">
        <v>-0.39129999999999998</v>
      </c>
      <c r="P2">
        <v>0.40210000000000001</v>
      </c>
      <c r="Q2">
        <v>-0.39839999999999998</v>
      </c>
    </row>
    <row r="3" spans="1:17">
      <c r="A3">
        <f>A2+10</f>
        <v>20</v>
      </c>
      <c r="B3">
        <f t="shared" si="0"/>
        <v>1.3211243689711001</v>
      </c>
      <c r="C3">
        <f t="shared" si="1"/>
        <v>1.3326600682848295</v>
      </c>
      <c r="D3">
        <f t="shared" si="2"/>
        <v>1.3267734617854179</v>
      </c>
      <c r="E3">
        <f t="shared" si="3"/>
        <v>1.3059437921425063</v>
      </c>
      <c r="F3">
        <v>1.3029999999999999</v>
      </c>
      <c r="H3" t="s">
        <v>85</v>
      </c>
      <c r="I3">
        <v>0.40439999999999998</v>
      </c>
      <c r="J3">
        <v>0.40439999999999998</v>
      </c>
    </row>
    <row r="4" spans="1:17">
      <c r="A4">
        <f t="shared" ref="A4:A7" si="4">A3+10</f>
        <v>30</v>
      </c>
      <c r="B4">
        <f t="shared" si="0"/>
        <v>1.3020383863717238</v>
      </c>
      <c r="C4">
        <f t="shared" si="1"/>
        <v>1.3116831324552436</v>
      </c>
      <c r="D4">
        <f t="shared" si="2"/>
        <v>1.305513299401901</v>
      </c>
      <c r="E4">
        <f t="shared" si="3"/>
        <v>1.2757764618286915</v>
      </c>
      <c r="F4">
        <v>1.27</v>
      </c>
      <c r="H4" t="s">
        <v>86</v>
      </c>
      <c r="I4">
        <v>-3.9129999999999998E-2</v>
      </c>
      <c r="J4">
        <v>-3.9129999999999998E-2</v>
      </c>
    </row>
    <row r="5" spans="1:17">
      <c r="A5">
        <f t="shared" si="4"/>
        <v>40</v>
      </c>
      <c r="B5">
        <f t="shared" si="0"/>
        <v>1.2886641206167129</v>
      </c>
      <c r="C5">
        <f t="shared" si="1"/>
        <v>1.2970003133892385</v>
      </c>
      <c r="D5">
        <f t="shared" si="2"/>
        <v>1.2906358998656735</v>
      </c>
      <c r="E5">
        <f t="shared" si="3"/>
        <v>1.2547959732660356</v>
      </c>
      <c r="F5">
        <v>1.2490000000000001</v>
      </c>
      <c r="H5" t="s">
        <v>87</v>
      </c>
      <c r="I5">
        <v>0.40210000000000001</v>
      </c>
      <c r="J5">
        <v>0.40210000000000001</v>
      </c>
    </row>
    <row r="6" spans="1:17">
      <c r="A6">
        <f t="shared" si="4"/>
        <v>50</v>
      </c>
      <c r="B6">
        <f t="shared" si="0"/>
        <v>1.2783849128025366</v>
      </c>
      <c r="C6">
        <f t="shared" si="1"/>
        <v>1.2857247148494717</v>
      </c>
      <c r="D6">
        <f t="shared" si="2"/>
        <v>1.2792129467542286</v>
      </c>
      <c r="E6">
        <f t="shared" si="3"/>
        <v>1.2387601420656624</v>
      </c>
      <c r="F6">
        <v>1.234</v>
      </c>
      <c r="H6" t="s">
        <v>88</v>
      </c>
      <c r="I6">
        <v>-3.984E-2</v>
      </c>
      <c r="J6">
        <v>-3.984E-2</v>
      </c>
    </row>
    <row r="7" spans="1:17">
      <c r="A7">
        <f t="shared" si="4"/>
        <v>60</v>
      </c>
      <c r="B7">
        <f t="shared" si="0"/>
        <v>1.2700470838257816</v>
      </c>
      <c r="C7">
        <f t="shared" si="1"/>
        <v>1.2765846852839142</v>
      </c>
      <c r="D7">
        <f t="shared" si="2"/>
        <v>1.26995480426084</v>
      </c>
      <c r="E7">
        <f t="shared" si="3"/>
        <v>1.2258101586929147</v>
      </c>
      <c r="F7">
        <v>1.224</v>
      </c>
      <c r="H7" t="s">
        <v>89</v>
      </c>
      <c r="I7">
        <v>0.43959999999999999</v>
      </c>
    </row>
    <row r="8" spans="1:17">
      <c r="F8">
        <v>1.2150000000000001</v>
      </c>
      <c r="H8" t="s">
        <v>90</v>
      </c>
      <c r="I8">
        <v>-5.7639999999999997E-2</v>
      </c>
    </row>
    <row r="9" spans="1:17">
      <c r="F9">
        <v>1.21</v>
      </c>
    </row>
    <row r="10" spans="1:17">
      <c r="F10">
        <v>1.2050000000000001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G21" sqref="G21"/>
    </sheetView>
  </sheetViews>
  <sheetFormatPr baseColWidth="10" defaultRowHeight="15" x14ac:dyDescent="0"/>
  <sheetData>
    <row r="1" spans="1:12">
      <c r="A1" t="s">
        <v>109</v>
      </c>
      <c r="B1" t="s">
        <v>110</v>
      </c>
      <c r="C1" t="s">
        <v>111</v>
      </c>
      <c r="D1" t="s">
        <v>112</v>
      </c>
      <c r="F1" t="s">
        <v>113</v>
      </c>
      <c r="G1" t="s">
        <v>114</v>
      </c>
      <c r="H1" t="s">
        <v>115</v>
      </c>
      <c r="J1" t="s">
        <v>116</v>
      </c>
      <c r="K1" t="s">
        <v>117</v>
      </c>
      <c r="L1" t="s">
        <v>118</v>
      </c>
    </row>
    <row r="2" spans="1:12">
      <c r="A2" t="s">
        <v>96</v>
      </c>
      <c r="B2">
        <v>1.365</v>
      </c>
      <c r="C2">
        <v>1.4430000000000001</v>
      </c>
      <c r="D2">
        <v>0.60899999999999999</v>
      </c>
      <c r="E2" t="s">
        <v>97</v>
      </c>
      <c r="F2">
        <v>1.363</v>
      </c>
      <c r="G2">
        <v>1.4339999999999999</v>
      </c>
      <c r="H2">
        <v>0.45600000000000002</v>
      </c>
      <c r="I2" t="s">
        <v>97</v>
      </c>
      <c r="J2">
        <v>1.377</v>
      </c>
      <c r="K2">
        <v>1.46</v>
      </c>
      <c r="L2">
        <v>0.499</v>
      </c>
    </row>
    <row r="3" spans="1:12">
      <c r="A3" s="17" t="s">
        <v>108</v>
      </c>
      <c r="B3">
        <v>1.35</v>
      </c>
      <c r="C3">
        <v>1.401</v>
      </c>
      <c r="D3">
        <v>0.34200000000000003</v>
      </c>
      <c r="E3" t="s">
        <v>97</v>
      </c>
      <c r="F3">
        <v>1.353</v>
      </c>
      <c r="G3">
        <v>1.403</v>
      </c>
      <c r="H3">
        <v>0.307</v>
      </c>
      <c r="I3" t="s">
        <v>97</v>
      </c>
      <c r="J3">
        <v>1.3779999999999999</v>
      </c>
      <c r="K3">
        <v>1.464</v>
      </c>
      <c r="L3">
        <v>0.69599999999999995</v>
      </c>
    </row>
    <row r="4" spans="1:12">
      <c r="A4" s="17" t="s">
        <v>107</v>
      </c>
      <c r="B4">
        <v>1.3129999999999999</v>
      </c>
      <c r="C4">
        <v>1.349</v>
      </c>
      <c r="D4">
        <v>0.318</v>
      </c>
      <c r="E4" t="s">
        <v>97</v>
      </c>
      <c r="F4">
        <v>1.3</v>
      </c>
      <c r="G4">
        <v>1.3280000000000001</v>
      </c>
      <c r="H4">
        <v>0.218</v>
      </c>
      <c r="I4" t="s">
        <v>97</v>
      </c>
      <c r="J4">
        <v>1.32</v>
      </c>
      <c r="K4">
        <v>1.3460000000000001</v>
      </c>
      <c r="L4">
        <v>0.23</v>
      </c>
    </row>
    <row r="5" spans="1:12">
      <c r="A5" t="s">
        <v>98</v>
      </c>
      <c r="B5">
        <v>1.2809999999999999</v>
      </c>
      <c r="C5">
        <v>1.3009999999999999</v>
      </c>
      <c r="D5">
        <v>0.17899999999999999</v>
      </c>
      <c r="E5" t="s">
        <v>97</v>
      </c>
      <c r="F5">
        <v>1.2729999999999999</v>
      </c>
      <c r="G5">
        <v>1.294</v>
      </c>
      <c r="H5">
        <v>0.182</v>
      </c>
      <c r="I5" t="s">
        <v>97</v>
      </c>
      <c r="J5">
        <v>1.2949999999999999</v>
      </c>
      <c r="K5">
        <v>1.3169999999999999</v>
      </c>
      <c r="L5">
        <v>0.18099999999999999</v>
      </c>
    </row>
    <row r="6" spans="1:12">
      <c r="A6" t="s">
        <v>99</v>
      </c>
      <c r="B6">
        <v>1.268</v>
      </c>
      <c r="C6">
        <v>1.286</v>
      </c>
      <c r="D6">
        <v>0.17499999999999999</v>
      </c>
      <c r="E6" t="s">
        <v>97</v>
      </c>
      <c r="F6">
        <v>1.2569999999999999</v>
      </c>
      <c r="G6">
        <v>1.276</v>
      </c>
      <c r="H6">
        <v>0.19900000000000001</v>
      </c>
      <c r="I6" t="s">
        <v>97</v>
      </c>
      <c r="J6">
        <v>1.272</v>
      </c>
      <c r="K6">
        <v>1.288</v>
      </c>
      <c r="L6">
        <v>0.17199999999999999</v>
      </c>
    </row>
    <row r="7" spans="1:12">
      <c r="A7" t="s">
        <v>100</v>
      </c>
      <c r="B7">
        <v>1.2430000000000001</v>
      </c>
      <c r="C7">
        <v>1.256</v>
      </c>
      <c r="D7">
        <v>0.13900000000000001</v>
      </c>
      <c r="E7" t="s">
        <v>97</v>
      </c>
      <c r="F7">
        <v>1.244</v>
      </c>
      <c r="G7">
        <v>1.26</v>
      </c>
      <c r="H7">
        <v>0.18</v>
      </c>
      <c r="I7" t="s">
        <v>97</v>
      </c>
      <c r="J7">
        <v>1.262</v>
      </c>
      <c r="K7">
        <v>1.2769999999999999</v>
      </c>
      <c r="L7">
        <v>0.156</v>
      </c>
    </row>
    <row r="8" spans="1:12">
      <c r="A8" t="s">
        <v>101</v>
      </c>
      <c r="B8">
        <v>1.246</v>
      </c>
      <c r="C8">
        <v>1.2629999999999999</v>
      </c>
      <c r="D8">
        <v>0.191</v>
      </c>
      <c r="E8" t="s">
        <v>97</v>
      </c>
      <c r="F8">
        <v>1.236</v>
      </c>
      <c r="G8">
        <v>1.2490000000000001</v>
      </c>
      <c r="H8">
        <v>0.14299999999999999</v>
      </c>
      <c r="I8" t="s">
        <v>97</v>
      </c>
      <c r="J8">
        <v>1.242</v>
      </c>
      <c r="K8">
        <v>1.2549999999999999</v>
      </c>
      <c r="L8">
        <v>0.14399999999999999</v>
      </c>
    </row>
    <row r="9" spans="1:12">
      <c r="A9" t="s">
        <v>102</v>
      </c>
      <c r="B9">
        <v>1.236</v>
      </c>
      <c r="C9">
        <v>1.2490000000000001</v>
      </c>
      <c r="D9">
        <v>0.17599999999999999</v>
      </c>
      <c r="E9" t="s">
        <v>97</v>
      </c>
      <c r="F9">
        <v>1.2310000000000001</v>
      </c>
      <c r="G9">
        <v>1.2450000000000001</v>
      </c>
      <c r="H9">
        <v>0.16800000000000001</v>
      </c>
      <c r="I9" t="s">
        <v>97</v>
      </c>
      <c r="J9">
        <v>1.2350000000000001</v>
      </c>
      <c r="K9">
        <v>1.2450000000000001</v>
      </c>
      <c r="L9">
        <v>0.11700000000000001</v>
      </c>
    </row>
    <row r="10" spans="1:12">
      <c r="A10" t="s">
        <v>103</v>
      </c>
      <c r="B10">
        <v>1.2250000000000001</v>
      </c>
      <c r="C10">
        <v>1.234</v>
      </c>
      <c r="D10">
        <v>0.112</v>
      </c>
      <c r="E10" t="s">
        <v>97</v>
      </c>
      <c r="F10">
        <v>1.2170000000000001</v>
      </c>
      <c r="G10">
        <v>1.23</v>
      </c>
      <c r="H10">
        <v>0.158</v>
      </c>
      <c r="I10" t="s">
        <v>97</v>
      </c>
      <c r="J10">
        <v>1.226</v>
      </c>
      <c r="K10">
        <v>1.236</v>
      </c>
      <c r="L10">
        <v>0.128</v>
      </c>
    </row>
    <row r="11" spans="1:12">
      <c r="A11" t="s">
        <v>104</v>
      </c>
      <c r="B11">
        <v>1.2230000000000001</v>
      </c>
      <c r="C11">
        <v>1.2370000000000001</v>
      </c>
      <c r="D11">
        <v>0.16700000000000001</v>
      </c>
      <c r="E11" t="s">
        <v>97</v>
      </c>
      <c r="F11">
        <v>1.2170000000000001</v>
      </c>
      <c r="G11">
        <v>1.2290000000000001</v>
      </c>
      <c r="H11">
        <v>0.14299999999999999</v>
      </c>
      <c r="I11" t="s">
        <v>97</v>
      </c>
      <c r="J11">
        <v>1.222</v>
      </c>
      <c r="K11">
        <v>1.23</v>
      </c>
      <c r="L11">
        <v>0.115</v>
      </c>
    </row>
    <row r="12" spans="1:12">
      <c r="A12" t="s">
        <v>105</v>
      </c>
      <c r="B12">
        <v>1.218</v>
      </c>
      <c r="C12">
        <v>1.2290000000000001</v>
      </c>
      <c r="D12">
        <v>0.127</v>
      </c>
      <c r="E12" t="s">
        <v>97</v>
      </c>
      <c r="F12">
        <v>1.214</v>
      </c>
      <c r="G12">
        <v>1.228</v>
      </c>
      <c r="H12">
        <v>0.16400000000000001</v>
      </c>
      <c r="I12" t="s">
        <v>97</v>
      </c>
      <c r="J12">
        <v>1.212</v>
      </c>
      <c r="K12">
        <v>1.2210000000000001</v>
      </c>
      <c r="L12">
        <v>0.12</v>
      </c>
    </row>
    <row r="13" spans="1:12">
      <c r="A13" t="s">
        <v>106</v>
      </c>
      <c r="B13">
        <v>1.216</v>
      </c>
      <c r="C13">
        <v>1.2290000000000001</v>
      </c>
      <c r="D13">
        <v>0.14599999999999999</v>
      </c>
      <c r="E13" t="s">
        <v>97</v>
      </c>
      <c r="F13">
        <v>1.2050000000000001</v>
      </c>
      <c r="G13">
        <v>1.216</v>
      </c>
      <c r="H13">
        <v>0.13500000000000001</v>
      </c>
      <c r="I13" t="s">
        <v>97</v>
      </c>
      <c r="J13">
        <v>1.2090000000000001</v>
      </c>
      <c r="K13">
        <v>1.216</v>
      </c>
      <c r="L13">
        <v>0.104</v>
      </c>
    </row>
    <row r="19" spans="1:7">
      <c r="A19" t="s">
        <v>109</v>
      </c>
      <c r="B19" t="s">
        <v>110</v>
      </c>
      <c r="C19" t="s">
        <v>111</v>
      </c>
      <c r="D19" t="s">
        <v>113</v>
      </c>
      <c r="E19" t="s">
        <v>114</v>
      </c>
      <c r="F19" t="s">
        <v>116</v>
      </c>
      <c r="G19" t="s">
        <v>117</v>
      </c>
    </row>
    <row r="20" spans="1:7">
      <c r="A20" s="18">
        <v>5</v>
      </c>
      <c r="B20">
        <v>1.365</v>
      </c>
      <c r="C20">
        <v>1.4430000000000001</v>
      </c>
      <c r="D20">
        <v>1.363</v>
      </c>
      <c r="E20">
        <v>1.4339999999999999</v>
      </c>
      <c r="F20">
        <v>1.377</v>
      </c>
      <c r="G20">
        <v>1.46</v>
      </c>
    </row>
    <row r="21" spans="1:7">
      <c r="A21" s="19">
        <f>A20+5</f>
        <v>10</v>
      </c>
      <c r="B21">
        <v>1.35</v>
      </c>
      <c r="C21">
        <v>1.401</v>
      </c>
      <c r="D21">
        <v>1.353</v>
      </c>
      <c r="E21">
        <v>1.403</v>
      </c>
      <c r="F21">
        <v>1.3779999999999999</v>
      </c>
      <c r="G21">
        <v>1.464</v>
      </c>
    </row>
    <row r="22" spans="1:7">
      <c r="A22" s="19">
        <f t="shared" ref="A22:A31" si="0">A21+5</f>
        <v>15</v>
      </c>
      <c r="B22">
        <v>1.3129999999999999</v>
      </c>
      <c r="C22">
        <v>1.349</v>
      </c>
      <c r="D22">
        <v>1.3</v>
      </c>
      <c r="E22">
        <v>1.3280000000000001</v>
      </c>
      <c r="F22">
        <v>1.32</v>
      </c>
      <c r="G22">
        <v>1.3460000000000001</v>
      </c>
    </row>
    <row r="23" spans="1:7">
      <c r="A23" s="19">
        <f t="shared" si="0"/>
        <v>20</v>
      </c>
      <c r="B23">
        <v>1.2809999999999999</v>
      </c>
      <c r="C23">
        <v>1.3009999999999999</v>
      </c>
      <c r="D23">
        <v>1.2729999999999999</v>
      </c>
      <c r="E23">
        <v>1.294</v>
      </c>
      <c r="F23">
        <v>1.2949999999999999</v>
      </c>
      <c r="G23">
        <v>1.3169999999999999</v>
      </c>
    </row>
    <row r="24" spans="1:7">
      <c r="A24" s="19">
        <f t="shared" si="0"/>
        <v>25</v>
      </c>
      <c r="B24">
        <v>1.268</v>
      </c>
      <c r="C24">
        <v>1.286</v>
      </c>
      <c r="D24">
        <v>1.2569999999999999</v>
      </c>
      <c r="E24">
        <v>1.276</v>
      </c>
      <c r="F24">
        <v>1.272</v>
      </c>
      <c r="G24">
        <v>1.288</v>
      </c>
    </row>
    <row r="25" spans="1:7">
      <c r="A25" s="19">
        <f t="shared" si="0"/>
        <v>30</v>
      </c>
      <c r="B25">
        <v>1.2430000000000001</v>
      </c>
      <c r="C25">
        <v>1.256</v>
      </c>
      <c r="D25">
        <v>1.244</v>
      </c>
      <c r="E25">
        <v>1.26</v>
      </c>
      <c r="F25">
        <v>1.262</v>
      </c>
      <c r="G25">
        <v>1.2769999999999999</v>
      </c>
    </row>
    <row r="26" spans="1:7">
      <c r="A26" s="19">
        <f t="shared" si="0"/>
        <v>35</v>
      </c>
      <c r="B26">
        <v>1.246</v>
      </c>
      <c r="C26">
        <v>1.2629999999999999</v>
      </c>
      <c r="D26">
        <v>1.236</v>
      </c>
      <c r="E26">
        <v>1.2490000000000001</v>
      </c>
      <c r="F26">
        <v>1.242</v>
      </c>
      <c r="G26">
        <v>1.2549999999999999</v>
      </c>
    </row>
    <row r="27" spans="1:7">
      <c r="A27" s="19">
        <f t="shared" si="0"/>
        <v>40</v>
      </c>
      <c r="B27">
        <v>1.236</v>
      </c>
      <c r="C27">
        <v>1.2490000000000001</v>
      </c>
      <c r="D27">
        <v>1.2310000000000001</v>
      </c>
      <c r="E27">
        <v>1.2450000000000001</v>
      </c>
      <c r="F27">
        <v>1.2350000000000001</v>
      </c>
      <c r="G27">
        <v>1.2450000000000001</v>
      </c>
    </row>
    <row r="28" spans="1:7">
      <c r="A28" s="19">
        <f t="shared" si="0"/>
        <v>45</v>
      </c>
      <c r="B28">
        <v>1.2250000000000001</v>
      </c>
      <c r="C28">
        <v>1.234</v>
      </c>
      <c r="D28">
        <v>1.2170000000000001</v>
      </c>
      <c r="E28">
        <v>1.23</v>
      </c>
      <c r="F28">
        <v>1.226</v>
      </c>
      <c r="G28">
        <v>1.236</v>
      </c>
    </row>
    <row r="29" spans="1:7">
      <c r="A29" s="19">
        <f t="shared" si="0"/>
        <v>50</v>
      </c>
      <c r="B29">
        <v>1.2230000000000001</v>
      </c>
      <c r="C29">
        <v>1.2370000000000001</v>
      </c>
      <c r="D29">
        <v>1.2170000000000001</v>
      </c>
      <c r="E29">
        <v>1.2290000000000001</v>
      </c>
      <c r="F29">
        <v>1.222</v>
      </c>
      <c r="G29">
        <v>1.23</v>
      </c>
    </row>
    <row r="30" spans="1:7">
      <c r="A30" s="19">
        <f t="shared" si="0"/>
        <v>55</v>
      </c>
      <c r="B30">
        <v>1.218</v>
      </c>
      <c r="C30">
        <v>1.2290000000000001</v>
      </c>
      <c r="D30">
        <v>1.214</v>
      </c>
      <c r="E30">
        <v>1.228</v>
      </c>
      <c r="F30">
        <v>1.212</v>
      </c>
      <c r="G30">
        <v>1.2210000000000001</v>
      </c>
    </row>
    <row r="31" spans="1:7">
      <c r="A31" s="19">
        <f t="shared" si="0"/>
        <v>60</v>
      </c>
      <c r="B31">
        <v>1.216</v>
      </c>
      <c r="C31">
        <v>1.2290000000000001</v>
      </c>
      <c r="D31">
        <v>1.2050000000000001</v>
      </c>
      <c r="E31">
        <v>1.216</v>
      </c>
      <c r="F31">
        <v>1.2090000000000001</v>
      </c>
      <c r="G31">
        <v>1.216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</vt:vector>
  </HeadingPairs>
  <TitlesOfParts>
    <vt:vector size="5" baseType="lpstr">
      <vt:lpstr>Sheet1</vt:lpstr>
      <vt:lpstr>zetatrend</vt:lpstr>
      <vt:lpstr>Minneapolis Distance Circuity</vt:lpstr>
      <vt:lpstr>Chart1</vt:lpstr>
      <vt:lpstr>Chart2</vt:lpstr>
    </vt:vector>
  </TitlesOfParts>
  <Company>University of Minnesota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Levinson</dc:creator>
  <cp:lastModifiedBy>David Levinson</cp:lastModifiedBy>
  <cp:lastPrinted>2013-04-12T19:07:35Z</cp:lastPrinted>
  <dcterms:created xsi:type="dcterms:W3CDTF">2013-04-11T20:56:21Z</dcterms:created>
  <dcterms:modified xsi:type="dcterms:W3CDTF">2013-05-21T18:45:38Z</dcterms:modified>
</cp:coreProperties>
</file>