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filterPrivacy="1" autoCompressPictures="0"/>
  <bookViews>
    <workbookView xWindow="2880" yWindow="0" windowWidth="29200" windowHeight="27800" tabRatio="692" firstSheet="25" activeTab="30"/>
  </bookViews>
  <sheets>
    <sheet name="1990" sheetId="4" r:id="rId1"/>
    <sheet name="1995" sheetId="2" r:id="rId2"/>
    <sheet name="2001" sheetId="1" r:id="rId3"/>
    <sheet name="HPMS" sheetId="29" r:id="rId4"/>
    <sheet name="Speeds" sheetId="18" r:id="rId5"/>
    <sheet name="oldspeed" sheetId="19" r:id="rId6"/>
    <sheet name="2010-10" sheetId="7" r:id="rId7"/>
    <sheet name="2010-20" sheetId="9" r:id="rId8"/>
    <sheet name="2010-30" sheetId="10" r:id="rId9"/>
    <sheet name="2010-40" sheetId="11" r:id="rId10"/>
    <sheet name="2010-50" sheetId="12" r:id="rId11"/>
    <sheet name="2010-60" sheetId="13" r:id="rId12"/>
    <sheet name="2010-70" sheetId="14" r:id="rId13"/>
    <sheet name="2010-80" sheetId="15" r:id="rId14"/>
    <sheet name="2010-90" sheetId="16" r:id="rId15"/>
    <sheet name="Interval Circuities" sheetId="17" r:id="rId16"/>
    <sheet name="Complete2011" sheetId="20" r:id="rId17"/>
    <sheet name="Summary-2010" sheetId="8" r:id="rId18"/>
    <sheet name="Summary-2000" sheetId="22" r:id="rId19"/>
    <sheet name="Summary-1990" sheetId="21" r:id="rId20"/>
    <sheet name="Trends2010-1990" sheetId="23" r:id="rId21"/>
    <sheet name="Trends2010-2000" sheetId="24" r:id="rId22"/>
    <sheet name="Trends2000-1990" sheetId="25" r:id="rId23"/>
    <sheet name="ChangeInRank2010-1990" sheetId="26" r:id="rId24"/>
    <sheet name="ChangeInRank2010-2000" sheetId="27" r:id="rId25"/>
    <sheet name="ChangeInRank2000-1990" sheetId="28" r:id="rId26"/>
    <sheet name="For Report" sheetId="30" r:id="rId27"/>
    <sheet name="Total Employment" sheetId="31" r:id="rId28"/>
    <sheet name="CongestedSpeeds kmh" sheetId="32" r:id="rId29"/>
    <sheet name="CircuityTrends" sheetId="33" r:id="rId30"/>
    <sheet name="US Average Accessibility" sheetId="36" r:id="rId31"/>
    <sheet name="US AVERAGE TRENDS" sheetId="34" r:id="rId32"/>
  </sheets>
  <definedNames>
    <definedName name="Beta">'Summary-2010'!$B$55</definedName>
    <definedName name="Beta1990">'Summary-1990'!$B$55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" i="34" l="1"/>
  <c r="I4" i="34"/>
  <c r="H4" i="34"/>
  <c r="G4" i="34"/>
  <c r="F4" i="34"/>
  <c r="E4" i="34"/>
  <c r="D4" i="34"/>
  <c r="C4" i="34"/>
  <c r="J3" i="34"/>
  <c r="I3" i="34"/>
  <c r="H3" i="34"/>
  <c r="G3" i="34"/>
  <c r="F3" i="34"/>
  <c r="E3" i="34"/>
  <c r="D3" i="34"/>
  <c r="C3" i="34"/>
  <c r="J2" i="34"/>
  <c r="I2" i="34"/>
  <c r="H2" i="34"/>
  <c r="G2" i="34"/>
  <c r="F2" i="34"/>
  <c r="E2" i="34"/>
  <c r="D2" i="34"/>
  <c r="C2" i="34"/>
  <c r="B4" i="34"/>
  <c r="B3" i="34"/>
  <c r="B2" i="34"/>
  <c r="J54" i="21"/>
  <c r="I54" i="21"/>
  <c r="H54" i="21"/>
  <c r="G54" i="21"/>
  <c r="F54" i="21"/>
  <c r="E54" i="21"/>
  <c r="D54" i="21"/>
  <c r="C54" i="21"/>
  <c r="B54" i="21"/>
  <c r="J54" i="22"/>
  <c r="I54" i="22"/>
  <c r="H54" i="22"/>
  <c r="G54" i="22"/>
  <c r="F54" i="22"/>
  <c r="E54" i="22"/>
  <c r="D54" i="22"/>
  <c r="C54" i="22"/>
  <c r="B54" i="22"/>
  <c r="J54" i="8"/>
  <c r="I54" i="8"/>
  <c r="H54" i="8"/>
  <c r="G54" i="8"/>
  <c r="F54" i="8"/>
  <c r="E54" i="8"/>
  <c r="D54" i="8"/>
  <c r="C54" i="8"/>
  <c r="B54" i="8"/>
  <c r="W53" i="16"/>
  <c r="W52" i="16"/>
  <c r="W51" i="16"/>
  <c r="W50" i="16"/>
  <c r="W49" i="16"/>
  <c r="W48" i="16"/>
  <c r="W47" i="16"/>
  <c r="W46" i="16"/>
  <c r="W45" i="16"/>
  <c r="W44" i="16"/>
  <c r="W43" i="16"/>
  <c r="W42" i="16"/>
  <c r="W41" i="16"/>
  <c r="W40" i="16"/>
  <c r="W39" i="16"/>
  <c r="W38" i="16"/>
  <c r="W37" i="16"/>
  <c r="W36" i="16"/>
  <c r="W35" i="16"/>
  <c r="W34" i="16"/>
  <c r="W33" i="16"/>
  <c r="W32" i="16"/>
  <c r="W31" i="16"/>
  <c r="W30" i="16"/>
  <c r="W29" i="16"/>
  <c r="W28" i="16"/>
  <c r="W27" i="16"/>
  <c r="W26" i="16"/>
  <c r="W25" i="16"/>
  <c r="W24" i="16"/>
  <c r="W23" i="16"/>
  <c r="W22" i="16"/>
  <c r="W21" i="16"/>
  <c r="W20" i="16"/>
  <c r="W19" i="16"/>
  <c r="W18" i="16"/>
  <c r="W17" i="16"/>
  <c r="W16" i="16"/>
  <c r="W15" i="16"/>
  <c r="W14" i="16"/>
  <c r="W13" i="16"/>
  <c r="W12" i="16"/>
  <c r="W11" i="16"/>
  <c r="W10" i="16"/>
  <c r="W9" i="16"/>
  <c r="W8" i="16"/>
  <c r="W7" i="16"/>
  <c r="W6" i="16"/>
  <c r="W5" i="16"/>
  <c r="W4" i="16"/>
  <c r="W3" i="16"/>
  <c r="W53" i="15"/>
  <c r="W52" i="15"/>
  <c r="W51" i="15"/>
  <c r="W50" i="15"/>
  <c r="W49" i="15"/>
  <c r="W48" i="15"/>
  <c r="W47" i="15"/>
  <c r="W46" i="15"/>
  <c r="W45" i="15"/>
  <c r="W44" i="15"/>
  <c r="W43" i="15"/>
  <c r="W42" i="15"/>
  <c r="W41" i="15"/>
  <c r="W40" i="15"/>
  <c r="W39" i="15"/>
  <c r="W38" i="15"/>
  <c r="W37" i="15"/>
  <c r="W36" i="15"/>
  <c r="W35" i="15"/>
  <c r="W34" i="15"/>
  <c r="W33" i="15"/>
  <c r="W32" i="15"/>
  <c r="W31" i="15"/>
  <c r="W30" i="15"/>
  <c r="W29" i="15"/>
  <c r="W28" i="15"/>
  <c r="W27" i="15"/>
  <c r="W26" i="15"/>
  <c r="W25" i="15"/>
  <c r="W24" i="15"/>
  <c r="W23" i="15"/>
  <c r="W22" i="15"/>
  <c r="W21" i="15"/>
  <c r="W20" i="15"/>
  <c r="W19" i="15"/>
  <c r="W18" i="15"/>
  <c r="W17" i="15"/>
  <c r="W16" i="15"/>
  <c r="W15" i="15"/>
  <c r="W14" i="15"/>
  <c r="W13" i="15"/>
  <c r="W12" i="15"/>
  <c r="W11" i="15"/>
  <c r="W10" i="15"/>
  <c r="W9" i="15"/>
  <c r="W8" i="15"/>
  <c r="W7" i="15"/>
  <c r="W6" i="15"/>
  <c r="W5" i="15"/>
  <c r="W4" i="15"/>
  <c r="W3" i="15"/>
  <c r="W53" i="14"/>
  <c r="W52" i="14"/>
  <c r="W51" i="14"/>
  <c r="W50" i="14"/>
  <c r="W49" i="14"/>
  <c r="W48" i="14"/>
  <c r="W47" i="14"/>
  <c r="W46" i="14"/>
  <c r="W45" i="14"/>
  <c r="W44" i="14"/>
  <c r="W43" i="14"/>
  <c r="W42" i="14"/>
  <c r="W41" i="14"/>
  <c r="W40" i="14"/>
  <c r="W39" i="14"/>
  <c r="W38" i="14"/>
  <c r="W37" i="14"/>
  <c r="W36" i="14"/>
  <c r="W35" i="14"/>
  <c r="W34" i="14"/>
  <c r="W33" i="14"/>
  <c r="W32" i="14"/>
  <c r="W31" i="14"/>
  <c r="W30" i="14"/>
  <c r="W29" i="14"/>
  <c r="W28" i="14"/>
  <c r="W27" i="14"/>
  <c r="W26" i="14"/>
  <c r="W25" i="14"/>
  <c r="W24" i="14"/>
  <c r="W23" i="14"/>
  <c r="W22" i="14"/>
  <c r="W21" i="14"/>
  <c r="W20" i="14"/>
  <c r="W19" i="14"/>
  <c r="W18" i="14"/>
  <c r="W17" i="14"/>
  <c r="W16" i="14"/>
  <c r="W15" i="14"/>
  <c r="W14" i="14"/>
  <c r="W13" i="14"/>
  <c r="W12" i="14"/>
  <c r="W11" i="14"/>
  <c r="W10" i="14"/>
  <c r="W9" i="14"/>
  <c r="W8" i="14"/>
  <c r="W7" i="14"/>
  <c r="W6" i="14"/>
  <c r="W5" i="14"/>
  <c r="W4" i="14"/>
  <c r="W3" i="14"/>
  <c r="W53" i="13"/>
  <c r="W52" i="13"/>
  <c r="W51" i="13"/>
  <c r="W50" i="13"/>
  <c r="W49" i="13"/>
  <c r="W48" i="13"/>
  <c r="W47" i="13"/>
  <c r="W46" i="13"/>
  <c r="W45" i="13"/>
  <c r="W44" i="13"/>
  <c r="W43" i="13"/>
  <c r="W42" i="13"/>
  <c r="W41" i="13"/>
  <c r="W40" i="13"/>
  <c r="W39" i="13"/>
  <c r="W38" i="13"/>
  <c r="W37" i="13"/>
  <c r="W36" i="13"/>
  <c r="W35" i="13"/>
  <c r="W34" i="13"/>
  <c r="W33" i="13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6" i="13"/>
  <c r="W15" i="13"/>
  <c r="W14" i="13"/>
  <c r="W13" i="13"/>
  <c r="W12" i="13"/>
  <c r="W11" i="13"/>
  <c r="W10" i="13"/>
  <c r="W9" i="13"/>
  <c r="W8" i="13"/>
  <c r="W7" i="13"/>
  <c r="W6" i="13"/>
  <c r="W5" i="13"/>
  <c r="W4" i="13"/>
  <c r="W3" i="13"/>
  <c r="W53" i="12"/>
  <c r="W52" i="12"/>
  <c r="W51" i="12"/>
  <c r="W50" i="12"/>
  <c r="W49" i="12"/>
  <c r="W48" i="12"/>
  <c r="W47" i="12"/>
  <c r="W46" i="12"/>
  <c r="W45" i="12"/>
  <c r="W44" i="12"/>
  <c r="W43" i="12"/>
  <c r="W42" i="12"/>
  <c r="W41" i="12"/>
  <c r="W40" i="12"/>
  <c r="W39" i="12"/>
  <c r="W38" i="12"/>
  <c r="W37" i="12"/>
  <c r="W36" i="12"/>
  <c r="W35" i="12"/>
  <c r="W34" i="12"/>
  <c r="W33" i="12"/>
  <c r="W32" i="12"/>
  <c r="W31" i="12"/>
  <c r="W30" i="12"/>
  <c r="W29" i="12"/>
  <c r="W28" i="12"/>
  <c r="W27" i="12"/>
  <c r="W26" i="12"/>
  <c r="W25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W9" i="12"/>
  <c r="W8" i="12"/>
  <c r="W7" i="12"/>
  <c r="W6" i="12"/>
  <c r="W5" i="12"/>
  <c r="W4" i="12"/>
  <c r="W3" i="12"/>
  <c r="W53" i="11"/>
  <c r="W52" i="11"/>
  <c r="W51" i="11"/>
  <c r="W50" i="11"/>
  <c r="W49" i="11"/>
  <c r="W48" i="11"/>
  <c r="W47" i="11"/>
  <c r="W46" i="11"/>
  <c r="W45" i="11"/>
  <c r="W44" i="11"/>
  <c r="W43" i="11"/>
  <c r="W42" i="11"/>
  <c r="W41" i="11"/>
  <c r="W40" i="11"/>
  <c r="W39" i="11"/>
  <c r="W38" i="11"/>
  <c r="W37" i="11"/>
  <c r="W36" i="11"/>
  <c r="W35" i="11"/>
  <c r="W34" i="11"/>
  <c r="W33" i="11"/>
  <c r="W32" i="11"/>
  <c r="W31" i="11"/>
  <c r="W30" i="11"/>
  <c r="W29" i="11"/>
  <c r="W28" i="11"/>
  <c r="W27" i="11"/>
  <c r="W26" i="11"/>
  <c r="W25" i="11"/>
  <c r="W24" i="11"/>
  <c r="W23" i="11"/>
  <c r="W22" i="11"/>
  <c r="W21" i="11"/>
  <c r="W20" i="11"/>
  <c r="W19" i="11"/>
  <c r="W18" i="11"/>
  <c r="W17" i="11"/>
  <c r="W16" i="11"/>
  <c r="W15" i="11"/>
  <c r="W14" i="11"/>
  <c r="W13" i="11"/>
  <c r="W12" i="11"/>
  <c r="W11" i="11"/>
  <c r="W10" i="11"/>
  <c r="W9" i="11"/>
  <c r="W8" i="11"/>
  <c r="W7" i="11"/>
  <c r="W6" i="11"/>
  <c r="W5" i="11"/>
  <c r="W4" i="11"/>
  <c r="W3" i="11"/>
  <c r="W53" i="10"/>
  <c r="W52" i="10"/>
  <c r="W51" i="10"/>
  <c r="W50" i="10"/>
  <c r="W49" i="10"/>
  <c r="W48" i="10"/>
  <c r="W47" i="10"/>
  <c r="W46" i="10"/>
  <c r="W45" i="10"/>
  <c r="W44" i="10"/>
  <c r="W43" i="10"/>
  <c r="W42" i="10"/>
  <c r="W41" i="10"/>
  <c r="W40" i="10"/>
  <c r="W39" i="10"/>
  <c r="W38" i="10"/>
  <c r="W37" i="10"/>
  <c r="W36" i="10"/>
  <c r="W35" i="10"/>
  <c r="W34" i="10"/>
  <c r="W33" i="10"/>
  <c r="W32" i="10"/>
  <c r="W31" i="10"/>
  <c r="W30" i="10"/>
  <c r="W29" i="10"/>
  <c r="W28" i="10"/>
  <c r="W27" i="10"/>
  <c r="W26" i="10"/>
  <c r="W25" i="10"/>
  <c r="W24" i="10"/>
  <c r="W23" i="10"/>
  <c r="W22" i="10"/>
  <c r="W21" i="10"/>
  <c r="W20" i="10"/>
  <c r="W19" i="10"/>
  <c r="W18" i="10"/>
  <c r="W17" i="10"/>
  <c r="W16" i="10"/>
  <c r="W15" i="10"/>
  <c r="W14" i="10"/>
  <c r="W13" i="10"/>
  <c r="W12" i="10"/>
  <c r="W11" i="10"/>
  <c r="W10" i="10"/>
  <c r="W9" i="10"/>
  <c r="W8" i="10"/>
  <c r="W7" i="10"/>
  <c r="W6" i="10"/>
  <c r="W5" i="10"/>
  <c r="W4" i="10"/>
  <c r="W3" i="10"/>
  <c r="W53" i="9"/>
  <c r="W52" i="9"/>
  <c r="W51" i="9"/>
  <c r="W50" i="9"/>
  <c r="W49" i="9"/>
  <c r="W48" i="9"/>
  <c r="W47" i="9"/>
  <c r="W46" i="9"/>
  <c r="W45" i="9"/>
  <c r="W44" i="9"/>
  <c r="W43" i="9"/>
  <c r="W42" i="9"/>
  <c r="W41" i="9"/>
  <c r="W40" i="9"/>
  <c r="W39" i="9"/>
  <c r="W38" i="9"/>
  <c r="W37" i="9"/>
  <c r="W36" i="9"/>
  <c r="W35" i="9"/>
  <c r="W34" i="9"/>
  <c r="W33" i="9"/>
  <c r="W32" i="9"/>
  <c r="W31" i="9"/>
  <c r="W30" i="9"/>
  <c r="W29" i="9"/>
  <c r="W28" i="9"/>
  <c r="W27" i="9"/>
  <c r="W26" i="9"/>
  <c r="W25" i="9"/>
  <c r="W24" i="9"/>
  <c r="W23" i="9"/>
  <c r="W22" i="9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5" i="9"/>
  <c r="W4" i="9"/>
  <c r="W3" i="9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4" i="7"/>
  <c r="W3" i="7"/>
  <c r="M106" i="24"/>
  <c r="M105" i="24"/>
  <c r="M104" i="24"/>
  <c r="M103" i="24"/>
  <c r="M102" i="24"/>
  <c r="M101" i="24"/>
  <c r="M100" i="24"/>
  <c r="M99" i="24"/>
  <c r="M98" i="24"/>
  <c r="M97" i="24"/>
  <c r="M96" i="24"/>
  <c r="M95" i="24"/>
  <c r="M94" i="24"/>
  <c r="M93" i="24"/>
  <c r="M92" i="24"/>
  <c r="M91" i="24"/>
  <c r="M90" i="24"/>
  <c r="M89" i="24"/>
  <c r="M88" i="24"/>
  <c r="M87" i="24"/>
  <c r="M86" i="24"/>
  <c r="M85" i="24"/>
  <c r="M84" i="24"/>
  <c r="M83" i="24"/>
  <c r="M82" i="24"/>
  <c r="M81" i="24"/>
  <c r="M80" i="24"/>
  <c r="M79" i="24"/>
  <c r="M78" i="24"/>
  <c r="M77" i="24"/>
  <c r="M76" i="24"/>
  <c r="M75" i="24"/>
  <c r="M74" i="24"/>
  <c r="M73" i="24"/>
  <c r="M72" i="24"/>
  <c r="M71" i="24"/>
  <c r="M70" i="24"/>
  <c r="M69" i="24"/>
  <c r="M68" i="24"/>
  <c r="M67" i="24"/>
  <c r="M66" i="24"/>
  <c r="M65" i="24"/>
  <c r="M64" i="24"/>
  <c r="M63" i="24"/>
  <c r="M62" i="24"/>
  <c r="M61" i="24"/>
  <c r="M60" i="24"/>
  <c r="M59" i="24"/>
  <c r="M58" i="24"/>
  <c r="M57" i="24"/>
  <c r="M56" i="24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56" i="23"/>
  <c r="L52" i="22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3" i="16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50" i="15"/>
  <c r="P51" i="15"/>
  <c r="P52" i="15"/>
  <c r="P53" i="15"/>
  <c r="P3" i="15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3" i="14"/>
  <c r="L51" i="22"/>
  <c r="L50" i="22"/>
  <c r="L49" i="22"/>
  <c r="L48" i="22"/>
  <c r="L47" i="22"/>
  <c r="L46" i="22"/>
  <c r="L45" i="22"/>
  <c r="L44" i="22"/>
  <c r="L43" i="22"/>
  <c r="L42" i="22"/>
  <c r="L41" i="22"/>
  <c r="L40" i="22"/>
  <c r="L39" i="22"/>
  <c r="L38" i="22"/>
  <c r="L37" i="22"/>
  <c r="L36" i="22"/>
  <c r="L35" i="22"/>
  <c r="L34" i="22"/>
  <c r="L33" i="22"/>
  <c r="L32" i="22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" i="22"/>
  <c r="O53" i="15"/>
  <c r="Q53" i="15"/>
  <c r="R53" i="15"/>
  <c r="I52" i="8"/>
  <c r="O53" i="16"/>
  <c r="Q53" i="16"/>
  <c r="R53" i="16"/>
  <c r="J52" i="8"/>
  <c r="U52" i="8"/>
  <c r="V52" i="24"/>
  <c r="V106" i="24"/>
  <c r="O53" i="14"/>
  <c r="Q53" i="14"/>
  <c r="R53" i="14"/>
  <c r="H52" i="8"/>
  <c r="T52" i="8"/>
  <c r="U52" i="24"/>
  <c r="U106" i="24"/>
  <c r="S52" i="8"/>
  <c r="T52" i="24"/>
  <c r="T106" i="24"/>
  <c r="S52" i="24"/>
  <c r="S106" i="24"/>
  <c r="R52" i="24"/>
  <c r="R106" i="24"/>
  <c r="Q52" i="24"/>
  <c r="Q106" i="24"/>
  <c r="P52" i="24"/>
  <c r="P106" i="24"/>
  <c r="O52" i="24"/>
  <c r="O106" i="24"/>
  <c r="N52" i="24"/>
  <c r="N106" i="24"/>
  <c r="O52" i="15"/>
  <c r="Q52" i="15"/>
  <c r="R52" i="15"/>
  <c r="I51" i="8"/>
  <c r="O52" i="16"/>
  <c r="Q52" i="16"/>
  <c r="R52" i="16"/>
  <c r="J51" i="8"/>
  <c r="U51" i="8"/>
  <c r="V51" i="24"/>
  <c r="V105" i="24"/>
  <c r="O52" i="14"/>
  <c r="Q52" i="14"/>
  <c r="R52" i="14"/>
  <c r="H51" i="8"/>
  <c r="T51" i="8"/>
  <c r="U51" i="24"/>
  <c r="U105" i="24"/>
  <c r="S51" i="8"/>
  <c r="T51" i="24"/>
  <c r="T105" i="24"/>
  <c r="S51" i="24"/>
  <c r="S105" i="24"/>
  <c r="R51" i="24"/>
  <c r="R105" i="24"/>
  <c r="Q51" i="24"/>
  <c r="Q105" i="24"/>
  <c r="P51" i="24"/>
  <c r="P105" i="24"/>
  <c r="O51" i="24"/>
  <c r="O105" i="24"/>
  <c r="N51" i="24"/>
  <c r="N105" i="24"/>
  <c r="O51" i="15"/>
  <c r="Q51" i="15"/>
  <c r="R51" i="15"/>
  <c r="I50" i="8"/>
  <c r="O51" i="16"/>
  <c r="Q51" i="16"/>
  <c r="R51" i="16"/>
  <c r="J50" i="8"/>
  <c r="U50" i="8"/>
  <c r="V50" i="24"/>
  <c r="V104" i="24"/>
  <c r="O51" i="14"/>
  <c r="Q51" i="14"/>
  <c r="R51" i="14"/>
  <c r="H50" i="8"/>
  <c r="T50" i="8"/>
  <c r="U50" i="24"/>
  <c r="U104" i="24"/>
  <c r="S50" i="8"/>
  <c r="T50" i="24"/>
  <c r="T104" i="24"/>
  <c r="S50" i="24"/>
  <c r="S104" i="24"/>
  <c r="R50" i="24"/>
  <c r="R104" i="24"/>
  <c r="Q50" i="24"/>
  <c r="Q104" i="24"/>
  <c r="P50" i="24"/>
  <c r="P104" i="24"/>
  <c r="O50" i="24"/>
  <c r="O104" i="24"/>
  <c r="N50" i="24"/>
  <c r="N104" i="24"/>
  <c r="O50" i="15"/>
  <c r="Q50" i="15"/>
  <c r="R50" i="15"/>
  <c r="I49" i="8"/>
  <c r="O50" i="16"/>
  <c r="Q50" i="16"/>
  <c r="R50" i="16"/>
  <c r="J49" i="8"/>
  <c r="U49" i="8"/>
  <c r="V49" i="24"/>
  <c r="V103" i="24"/>
  <c r="O50" i="14"/>
  <c r="Q50" i="14"/>
  <c r="R50" i="14"/>
  <c r="H49" i="8"/>
  <c r="T49" i="8"/>
  <c r="U49" i="24"/>
  <c r="U103" i="24"/>
  <c r="S49" i="8"/>
  <c r="T49" i="24"/>
  <c r="T103" i="24"/>
  <c r="S49" i="24"/>
  <c r="S103" i="24"/>
  <c r="R49" i="24"/>
  <c r="R103" i="24"/>
  <c r="Q49" i="24"/>
  <c r="Q103" i="24"/>
  <c r="P49" i="24"/>
  <c r="P103" i="24"/>
  <c r="O49" i="24"/>
  <c r="O103" i="24"/>
  <c r="N49" i="24"/>
  <c r="N103" i="24"/>
  <c r="O49" i="15"/>
  <c r="Q49" i="15"/>
  <c r="R49" i="15"/>
  <c r="I48" i="8"/>
  <c r="O49" i="16"/>
  <c r="Q49" i="16"/>
  <c r="R49" i="16"/>
  <c r="J48" i="8"/>
  <c r="U48" i="8"/>
  <c r="V48" i="24"/>
  <c r="V102" i="24"/>
  <c r="O49" i="14"/>
  <c r="Q49" i="14"/>
  <c r="R49" i="14"/>
  <c r="H48" i="8"/>
  <c r="T48" i="8"/>
  <c r="U48" i="24"/>
  <c r="U102" i="24"/>
  <c r="S48" i="8"/>
  <c r="T48" i="24"/>
  <c r="T102" i="24"/>
  <c r="S48" i="24"/>
  <c r="S102" i="24"/>
  <c r="R48" i="24"/>
  <c r="R102" i="24"/>
  <c r="Q48" i="24"/>
  <c r="Q102" i="24"/>
  <c r="P48" i="24"/>
  <c r="P102" i="24"/>
  <c r="O48" i="24"/>
  <c r="O102" i="24"/>
  <c r="N48" i="24"/>
  <c r="N102" i="24"/>
  <c r="O48" i="15"/>
  <c r="Q48" i="15"/>
  <c r="R48" i="15"/>
  <c r="I47" i="8"/>
  <c r="O48" i="16"/>
  <c r="Q48" i="16"/>
  <c r="R48" i="16"/>
  <c r="J47" i="8"/>
  <c r="U47" i="8"/>
  <c r="V47" i="24"/>
  <c r="V101" i="24"/>
  <c r="O48" i="14"/>
  <c r="Q48" i="14"/>
  <c r="R48" i="14"/>
  <c r="H47" i="8"/>
  <c r="T47" i="8"/>
  <c r="U47" i="24"/>
  <c r="U101" i="24"/>
  <c r="S47" i="8"/>
  <c r="T47" i="24"/>
  <c r="T101" i="24"/>
  <c r="S47" i="24"/>
  <c r="S101" i="24"/>
  <c r="R47" i="24"/>
  <c r="R101" i="24"/>
  <c r="Q47" i="24"/>
  <c r="Q101" i="24"/>
  <c r="P47" i="24"/>
  <c r="P101" i="24"/>
  <c r="O47" i="24"/>
  <c r="O101" i="24"/>
  <c r="N47" i="24"/>
  <c r="N101" i="24"/>
  <c r="O47" i="15"/>
  <c r="Q47" i="15"/>
  <c r="R47" i="15"/>
  <c r="I46" i="8"/>
  <c r="O47" i="16"/>
  <c r="Q47" i="16"/>
  <c r="R47" i="16"/>
  <c r="J46" i="8"/>
  <c r="U46" i="8"/>
  <c r="V46" i="24"/>
  <c r="V100" i="24"/>
  <c r="O47" i="14"/>
  <c r="Q47" i="14"/>
  <c r="R47" i="14"/>
  <c r="H46" i="8"/>
  <c r="T46" i="8"/>
  <c r="U46" i="24"/>
  <c r="U100" i="24"/>
  <c r="S46" i="8"/>
  <c r="T46" i="24"/>
  <c r="T100" i="24"/>
  <c r="S46" i="24"/>
  <c r="S100" i="24"/>
  <c r="R46" i="24"/>
  <c r="R100" i="24"/>
  <c r="Q46" i="24"/>
  <c r="Q100" i="24"/>
  <c r="P46" i="24"/>
  <c r="P100" i="24"/>
  <c r="O46" i="24"/>
  <c r="O100" i="24"/>
  <c r="N46" i="24"/>
  <c r="N100" i="24"/>
  <c r="O46" i="15"/>
  <c r="Q46" i="15"/>
  <c r="R46" i="15"/>
  <c r="I45" i="8"/>
  <c r="O46" i="16"/>
  <c r="Q46" i="16"/>
  <c r="R46" i="16"/>
  <c r="J45" i="8"/>
  <c r="U45" i="8"/>
  <c r="V45" i="24"/>
  <c r="V99" i="24"/>
  <c r="O46" i="14"/>
  <c r="Q46" i="14"/>
  <c r="R46" i="14"/>
  <c r="H45" i="8"/>
  <c r="T45" i="8"/>
  <c r="U45" i="24"/>
  <c r="U99" i="24"/>
  <c r="S45" i="8"/>
  <c r="T45" i="24"/>
  <c r="T99" i="24"/>
  <c r="S45" i="24"/>
  <c r="S99" i="24"/>
  <c r="R45" i="24"/>
  <c r="R99" i="24"/>
  <c r="Q45" i="24"/>
  <c r="Q99" i="24"/>
  <c r="P45" i="24"/>
  <c r="P99" i="24"/>
  <c r="O45" i="24"/>
  <c r="O99" i="24"/>
  <c r="N45" i="24"/>
  <c r="N99" i="24"/>
  <c r="O45" i="15"/>
  <c r="Q45" i="15"/>
  <c r="R45" i="15"/>
  <c r="I44" i="8"/>
  <c r="O45" i="16"/>
  <c r="Q45" i="16"/>
  <c r="R45" i="16"/>
  <c r="J44" i="8"/>
  <c r="U44" i="8"/>
  <c r="V44" i="24"/>
  <c r="V98" i="24"/>
  <c r="O45" i="14"/>
  <c r="Q45" i="14"/>
  <c r="R45" i="14"/>
  <c r="H44" i="8"/>
  <c r="T44" i="8"/>
  <c r="U44" i="24"/>
  <c r="U98" i="24"/>
  <c r="S44" i="8"/>
  <c r="T44" i="24"/>
  <c r="T98" i="24"/>
  <c r="S44" i="24"/>
  <c r="S98" i="24"/>
  <c r="R44" i="24"/>
  <c r="R98" i="24"/>
  <c r="Q44" i="24"/>
  <c r="Q98" i="24"/>
  <c r="P44" i="24"/>
  <c r="P98" i="24"/>
  <c r="O44" i="24"/>
  <c r="O98" i="24"/>
  <c r="N44" i="24"/>
  <c r="N98" i="24"/>
  <c r="O44" i="15"/>
  <c r="Q44" i="15"/>
  <c r="R44" i="15"/>
  <c r="I43" i="8"/>
  <c r="O44" i="16"/>
  <c r="Q44" i="16"/>
  <c r="R44" i="16"/>
  <c r="J43" i="8"/>
  <c r="U43" i="8"/>
  <c r="V43" i="24"/>
  <c r="V97" i="24"/>
  <c r="O44" i="14"/>
  <c r="Q44" i="14"/>
  <c r="R44" i="14"/>
  <c r="H43" i="8"/>
  <c r="T43" i="8"/>
  <c r="U43" i="24"/>
  <c r="U97" i="24"/>
  <c r="S43" i="8"/>
  <c r="T43" i="24"/>
  <c r="T97" i="24"/>
  <c r="S43" i="24"/>
  <c r="S97" i="24"/>
  <c r="R43" i="24"/>
  <c r="R97" i="24"/>
  <c r="Q43" i="24"/>
  <c r="Q97" i="24"/>
  <c r="P43" i="24"/>
  <c r="P97" i="24"/>
  <c r="O43" i="24"/>
  <c r="O97" i="24"/>
  <c r="N43" i="24"/>
  <c r="N97" i="24"/>
  <c r="O43" i="15"/>
  <c r="Q43" i="15"/>
  <c r="R43" i="15"/>
  <c r="I42" i="8"/>
  <c r="O43" i="16"/>
  <c r="Q43" i="16"/>
  <c r="R43" i="16"/>
  <c r="J42" i="8"/>
  <c r="U42" i="8"/>
  <c r="V42" i="24"/>
  <c r="V96" i="24"/>
  <c r="O43" i="14"/>
  <c r="Q43" i="14"/>
  <c r="R43" i="14"/>
  <c r="H42" i="8"/>
  <c r="T42" i="8"/>
  <c r="U42" i="24"/>
  <c r="U96" i="24"/>
  <c r="S42" i="8"/>
  <c r="T42" i="24"/>
  <c r="T96" i="24"/>
  <c r="S42" i="24"/>
  <c r="S96" i="24"/>
  <c r="R42" i="24"/>
  <c r="R96" i="24"/>
  <c r="Q42" i="24"/>
  <c r="Q96" i="24"/>
  <c r="P42" i="24"/>
  <c r="P96" i="24"/>
  <c r="O42" i="24"/>
  <c r="O96" i="24"/>
  <c r="N42" i="24"/>
  <c r="N96" i="24"/>
  <c r="O42" i="15"/>
  <c r="Q42" i="15"/>
  <c r="R42" i="15"/>
  <c r="I41" i="8"/>
  <c r="O42" i="16"/>
  <c r="Q42" i="16"/>
  <c r="R42" i="16"/>
  <c r="J41" i="8"/>
  <c r="U41" i="8"/>
  <c r="V41" i="24"/>
  <c r="V95" i="24"/>
  <c r="O42" i="14"/>
  <c r="Q42" i="14"/>
  <c r="R42" i="14"/>
  <c r="H41" i="8"/>
  <c r="T41" i="8"/>
  <c r="U41" i="24"/>
  <c r="U95" i="24"/>
  <c r="S41" i="8"/>
  <c r="T41" i="24"/>
  <c r="T95" i="24"/>
  <c r="S41" i="24"/>
  <c r="S95" i="24"/>
  <c r="R41" i="24"/>
  <c r="R95" i="24"/>
  <c r="Q41" i="24"/>
  <c r="Q95" i="24"/>
  <c r="P41" i="24"/>
  <c r="P95" i="24"/>
  <c r="O41" i="24"/>
  <c r="O95" i="24"/>
  <c r="N41" i="24"/>
  <c r="N95" i="24"/>
  <c r="O41" i="15"/>
  <c r="Q41" i="15"/>
  <c r="R41" i="15"/>
  <c r="I40" i="8"/>
  <c r="O41" i="16"/>
  <c r="Q41" i="16"/>
  <c r="R41" i="16"/>
  <c r="J40" i="8"/>
  <c r="U40" i="8"/>
  <c r="V40" i="24"/>
  <c r="V94" i="24"/>
  <c r="O41" i="14"/>
  <c r="Q41" i="14"/>
  <c r="R41" i="14"/>
  <c r="H40" i="8"/>
  <c r="T40" i="8"/>
  <c r="U40" i="24"/>
  <c r="U94" i="24"/>
  <c r="S40" i="8"/>
  <c r="T40" i="24"/>
  <c r="T94" i="24"/>
  <c r="S40" i="24"/>
  <c r="S94" i="24"/>
  <c r="R40" i="24"/>
  <c r="R94" i="24"/>
  <c r="Q40" i="24"/>
  <c r="Q94" i="24"/>
  <c r="P40" i="24"/>
  <c r="P94" i="24"/>
  <c r="O40" i="24"/>
  <c r="O94" i="24"/>
  <c r="N40" i="24"/>
  <c r="N94" i="24"/>
  <c r="O40" i="15"/>
  <c r="Q40" i="15"/>
  <c r="R40" i="15"/>
  <c r="I39" i="8"/>
  <c r="O40" i="16"/>
  <c r="Q40" i="16"/>
  <c r="R40" i="16"/>
  <c r="J39" i="8"/>
  <c r="U39" i="8"/>
  <c r="V39" i="24"/>
  <c r="V93" i="24"/>
  <c r="O40" i="14"/>
  <c r="Q40" i="14"/>
  <c r="R40" i="14"/>
  <c r="H39" i="8"/>
  <c r="T39" i="8"/>
  <c r="U39" i="24"/>
  <c r="U93" i="24"/>
  <c r="S39" i="8"/>
  <c r="T39" i="24"/>
  <c r="T93" i="24"/>
  <c r="S39" i="24"/>
  <c r="S93" i="24"/>
  <c r="R39" i="24"/>
  <c r="R93" i="24"/>
  <c r="Q39" i="24"/>
  <c r="Q93" i="24"/>
  <c r="P39" i="24"/>
  <c r="P93" i="24"/>
  <c r="O39" i="24"/>
  <c r="O93" i="24"/>
  <c r="N39" i="24"/>
  <c r="N93" i="24"/>
  <c r="O39" i="15"/>
  <c r="Q39" i="15"/>
  <c r="R39" i="15"/>
  <c r="I38" i="8"/>
  <c r="O39" i="16"/>
  <c r="Q39" i="16"/>
  <c r="R39" i="16"/>
  <c r="J38" i="8"/>
  <c r="U38" i="8"/>
  <c r="V38" i="24"/>
  <c r="V92" i="24"/>
  <c r="O39" i="14"/>
  <c r="Q39" i="14"/>
  <c r="R39" i="14"/>
  <c r="H38" i="8"/>
  <c r="T38" i="8"/>
  <c r="U38" i="24"/>
  <c r="U92" i="24"/>
  <c r="S38" i="8"/>
  <c r="T38" i="24"/>
  <c r="T92" i="24"/>
  <c r="S38" i="24"/>
  <c r="S92" i="24"/>
  <c r="R38" i="24"/>
  <c r="R92" i="24"/>
  <c r="Q38" i="24"/>
  <c r="Q92" i="24"/>
  <c r="P38" i="24"/>
  <c r="P92" i="24"/>
  <c r="O38" i="24"/>
  <c r="O92" i="24"/>
  <c r="N38" i="24"/>
  <c r="N92" i="24"/>
  <c r="O38" i="15"/>
  <c r="Q38" i="15"/>
  <c r="R38" i="15"/>
  <c r="I37" i="8"/>
  <c r="O38" i="16"/>
  <c r="Q38" i="16"/>
  <c r="R38" i="16"/>
  <c r="J37" i="8"/>
  <c r="U37" i="8"/>
  <c r="V37" i="24"/>
  <c r="V91" i="24"/>
  <c r="O38" i="14"/>
  <c r="Q38" i="14"/>
  <c r="R38" i="14"/>
  <c r="H37" i="8"/>
  <c r="T37" i="8"/>
  <c r="U37" i="24"/>
  <c r="U91" i="24"/>
  <c r="S37" i="8"/>
  <c r="T37" i="24"/>
  <c r="T91" i="24"/>
  <c r="S37" i="24"/>
  <c r="S91" i="24"/>
  <c r="R37" i="24"/>
  <c r="R91" i="24"/>
  <c r="Q37" i="24"/>
  <c r="Q91" i="24"/>
  <c r="P37" i="24"/>
  <c r="P91" i="24"/>
  <c r="O37" i="24"/>
  <c r="O91" i="24"/>
  <c r="N37" i="24"/>
  <c r="N91" i="24"/>
  <c r="O37" i="15"/>
  <c r="Q37" i="15"/>
  <c r="R37" i="15"/>
  <c r="I36" i="8"/>
  <c r="O37" i="16"/>
  <c r="Q37" i="16"/>
  <c r="R37" i="16"/>
  <c r="J36" i="8"/>
  <c r="U36" i="8"/>
  <c r="V36" i="24"/>
  <c r="V90" i="24"/>
  <c r="O37" i="14"/>
  <c r="Q37" i="14"/>
  <c r="R37" i="14"/>
  <c r="H36" i="8"/>
  <c r="T36" i="8"/>
  <c r="U36" i="24"/>
  <c r="U90" i="24"/>
  <c r="S36" i="8"/>
  <c r="T36" i="24"/>
  <c r="T90" i="24"/>
  <c r="S36" i="24"/>
  <c r="S90" i="24"/>
  <c r="R36" i="24"/>
  <c r="R90" i="24"/>
  <c r="Q36" i="24"/>
  <c r="Q90" i="24"/>
  <c r="P36" i="24"/>
  <c r="P90" i="24"/>
  <c r="O36" i="24"/>
  <c r="O90" i="24"/>
  <c r="N36" i="24"/>
  <c r="N90" i="24"/>
  <c r="O36" i="15"/>
  <c r="Q36" i="15"/>
  <c r="R36" i="15"/>
  <c r="I35" i="8"/>
  <c r="O36" i="16"/>
  <c r="Q36" i="16"/>
  <c r="R36" i="16"/>
  <c r="J35" i="8"/>
  <c r="U35" i="8"/>
  <c r="V35" i="24"/>
  <c r="V89" i="24"/>
  <c r="O36" i="14"/>
  <c r="Q36" i="14"/>
  <c r="R36" i="14"/>
  <c r="H35" i="8"/>
  <c r="T35" i="8"/>
  <c r="U35" i="24"/>
  <c r="U89" i="24"/>
  <c r="S35" i="8"/>
  <c r="T35" i="24"/>
  <c r="T89" i="24"/>
  <c r="S35" i="24"/>
  <c r="S89" i="24"/>
  <c r="R35" i="24"/>
  <c r="R89" i="24"/>
  <c r="Q35" i="24"/>
  <c r="Q89" i="24"/>
  <c r="P35" i="24"/>
  <c r="P89" i="24"/>
  <c r="O35" i="24"/>
  <c r="O89" i="24"/>
  <c r="N35" i="24"/>
  <c r="N89" i="24"/>
  <c r="O35" i="15"/>
  <c r="Q35" i="15"/>
  <c r="R35" i="15"/>
  <c r="I34" i="8"/>
  <c r="O35" i="16"/>
  <c r="Q35" i="16"/>
  <c r="R35" i="16"/>
  <c r="J34" i="8"/>
  <c r="U34" i="8"/>
  <c r="V34" i="24"/>
  <c r="V88" i="24"/>
  <c r="O35" i="14"/>
  <c r="Q35" i="14"/>
  <c r="R35" i="14"/>
  <c r="H34" i="8"/>
  <c r="T34" i="8"/>
  <c r="U34" i="24"/>
  <c r="U88" i="24"/>
  <c r="S34" i="8"/>
  <c r="T34" i="24"/>
  <c r="T88" i="24"/>
  <c r="S34" i="24"/>
  <c r="S88" i="24"/>
  <c r="R34" i="24"/>
  <c r="R88" i="24"/>
  <c r="Q34" i="24"/>
  <c r="Q88" i="24"/>
  <c r="P34" i="24"/>
  <c r="P88" i="24"/>
  <c r="O34" i="24"/>
  <c r="O88" i="24"/>
  <c r="N34" i="24"/>
  <c r="N88" i="24"/>
  <c r="O34" i="15"/>
  <c r="Q34" i="15"/>
  <c r="R34" i="15"/>
  <c r="I33" i="8"/>
  <c r="O34" i="16"/>
  <c r="Q34" i="16"/>
  <c r="R34" i="16"/>
  <c r="J33" i="8"/>
  <c r="U33" i="8"/>
  <c r="V33" i="24"/>
  <c r="V87" i="24"/>
  <c r="O34" i="14"/>
  <c r="Q34" i="14"/>
  <c r="R34" i="14"/>
  <c r="H33" i="8"/>
  <c r="T33" i="8"/>
  <c r="U33" i="24"/>
  <c r="U87" i="24"/>
  <c r="S33" i="8"/>
  <c r="T33" i="24"/>
  <c r="T87" i="24"/>
  <c r="S33" i="24"/>
  <c r="S87" i="24"/>
  <c r="R33" i="24"/>
  <c r="R87" i="24"/>
  <c r="Q33" i="24"/>
  <c r="Q87" i="24"/>
  <c r="P33" i="24"/>
  <c r="P87" i="24"/>
  <c r="O33" i="24"/>
  <c r="O87" i="24"/>
  <c r="N33" i="24"/>
  <c r="N87" i="24"/>
  <c r="O33" i="15"/>
  <c r="Q33" i="15"/>
  <c r="R33" i="15"/>
  <c r="I32" i="8"/>
  <c r="O33" i="16"/>
  <c r="Q33" i="16"/>
  <c r="R33" i="16"/>
  <c r="J32" i="8"/>
  <c r="U32" i="8"/>
  <c r="V32" i="24"/>
  <c r="V86" i="24"/>
  <c r="O33" i="14"/>
  <c r="Q33" i="14"/>
  <c r="R33" i="14"/>
  <c r="H32" i="8"/>
  <c r="T32" i="8"/>
  <c r="U32" i="24"/>
  <c r="U86" i="24"/>
  <c r="S32" i="8"/>
  <c r="T32" i="24"/>
  <c r="T86" i="24"/>
  <c r="S32" i="24"/>
  <c r="S86" i="24"/>
  <c r="R32" i="24"/>
  <c r="R86" i="24"/>
  <c r="Q32" i="24"/>
  <c r="Q86" i="24"/>
  <c r="P32" i="24"/>
  <c r="P86" i="24"/>
  <c r="O32" i="24"/>
  <c r="O86" i="24"/>
  <c r="N32" i="24"/>
  <c r="N86" i="24"/>
  <c r="O32" i="15"/>
  <c r="Q32" i="15"/>
  <c r="R32" i="15"/>
  <c r="I31" i="8"/>
  <c r="O32" i="16"/>
  <c r="Q32" i="16"/>
  <c r="R32" i="16"/>
  <c r="J31" i="8"/>
  <c r="U31" i="8"/>
  <c r="V31" i="24"/>
  <c r="V85" i="24"/>
  <c r="O32" i="14"/>
  <c r="Q32" i="14"/>
  <c r="R32" i="14"/>
  <c r="H31" i="8"/>
  <c r="T31" i="8"/>
  <c r="U31" i="24"/>
  <c r="U85" i="24"/>
  <c r="S31" i="8"/>
  <c r="T31" i="24"/>
  <c r="T85" i="24"/>
  <c r="S31" i="24"/>
  <c r="S85" i="24"/>
  <c r="R31" i="24"/>
  <c r="R85" i="24"/>
  <c r="Q31" i="24"/>
  <c r="Q85" i="24"/>
  <c r="P31" i="24"/>
  <c r="P85" i="24"/>
  <c r="O31" i="24"/>
  <c r="O85" i="24"/>
  <c r="N31" i="24"/>
  <c r="N85" i="24"/>
  <c r="O31" i="15"/>
  <c r="Q31" i="15"/>
  <c r="R31" i="15"/>
  <c r="I30" i="8"/>
  <c r="O31" i="16"/>
  <c r="Q31" i="16"/>
  <c r="R31" i="16"/>
  <c r="J30" i="8"/>
  <c r="U30" i="8"/>
  <c r="V30" i="24"/>
  <c r="V84" i="24"/>
  <c r="O31" i="14"/>
  <c r="Q31" i="14"/>
  <c r="R31" i="14"/>
  <c r="H30" i="8"/>
  <c r="T30" i="8"/>
  <c r="U30" i="24"/>
  <c r="U84" i="24"/>
  <c r="S30" i="8"/>
  <c r="T30" i="24"/>
  <c r="T84" i="24"/>
  <c r="S30" i="24"/>
  <c r="S84" i="24"/>
  <c r="R30" i="24"/>
  <c r="R84" i="24"/>
  <c r="Q30" i="24"/>
  <c r="Q84" i="24"/>
  <c r="P30" i="24"/>
  <c r="P84" i="24"/>
  <c r="O30" i="24"/>
  <c r="O84" i="24"/>
  <c r="N30" i="24"/>
  <c r="N84" i="24"/>
  <c r="O30" i="15"/>
  <c r="Q30" i="15"/>
  <c r="R30" i="15"/>
  <c r="I29" i="8"/>
  <c r="O30" i="16"/>
  <c r="Q30" i="16"/>
  <c r="R30" i="16"/>
  <c r="J29" i="8"/>
  <c r="U29" i="8"/>
  <c r="V29" i="24"/>
  <c r="V83" i="24"/>
  <c r="O30" i="14"/>
  <c r="Q30" i="14"/>
  <c r="R30" i="14"/>
  <c r="H29" i="8"/>
  <c r="T29" i="8"/>
  <c r="U29" i="24"/>
  <c r="U83" i="24"/>
  <c r="S29" i="8"/>
  <c r="T29" i="24"/>
  <c r="T83" i="24"/>
  <c r="S29" i="24"/>
  <c r="S83" i="24"/>
  <c r="R29" i="24"/>
  <c r="R83" i="24"/>
  <c r="Q29" i="24"/>
  <c r="Q83" i="24"/>
  <c r="P29" i="24"/>
  <c r="P83" i="24"/>
  <c r="O29" i="24"/>
  <c r="O83" i="24"/>
  <c r="N29" i="24"/>
  <c r="N83" i="24"/>
  <c r="O29" i="15"/>
  <c r="Q29" i="15"/>
  <c r="R29" i="15"/>
  <c r="I28" i="8"/>
  <c r="O29" i="16"/>
  <c r="Q29" i="16"/>
  <c r="R29" i="16"/>
  <c r="J28" i="8"/>
  <c r="U28" i="8"/>
  <c r="V28" i="24"/>
  <c r="V82" i="24"/>
  <c r="O29" i="14"/>
  <c r="Q29" i="14"/>
  <c r="R29" i="14"/>
  <c r="H28" i="8"/>
  <c r="T28" i="8"/>
  <c r="U28" i="24"/>
  <c r="U82" i="24"/>
  <c r="S28" i="8"/>
  <c r="T28" i="24"/>
  <c r="T82" i="24"/>
  <c r="S28" i="24"/>
  <c r="S82" i="24"/>
  <c r="R28" i="24"/>
  <c r="R82" i="24"/>
  <c r="Q28" i="24"/>
  <c r="Q82" i="24"/>
  <c r="P28" i="24"/>
  <c r="P82" i="24"/>
  <c r="O28" i="24"/>
  <c r="O82" i="24"/>
  <c r="N28" i="24"/>
  <c r="N82" i="24"/>
  <c r="O28" i="15"/>
  <c r="Q28" i="15"/>
  <c r="R28" i="15"/>
  <c r="I27" i="8"/>
  <c r="O28" i="16"/>
  <c r="Q28" i="16"/>
  <c r="R28" i="16"/>
  <c r="J27" i="8"/>
  <c r="U27" i="8"/>
  <c r="V27" i="24"/>
  <c r="V81" i="24"/>
  <c r="O28" i="14"/>
  <c r="Q28" i="14"/>
  <c r="R28" i="14"/>
  <c r="H27" i="8"/>
  <c r="T27" i="8"/>
  <c r="U27" i="24"/>
  <c r="U81" i="24"/>
  <c r="S27" i="8"/>
  <c r="T27" i="24"/>
  <c r="T81" i="24"/>
  <c r="S27" i="24"/>
  <c r="S81" i="24"/>
  <c r="R27" i="24"/>
  <c r="R81" i="24"/>
  <c r="Q27" i="24"/>
  <c r="Q81" i="24"/>
  <c r="P27" i="24"/>
  <c r="P81" i="24"/>
  <c r="O27" i="24"/>
  <c r="O81" i="24"/>
  <c r="N27" i="24"/>
  <c r="N81" i="24"/>
  <c r="O27" i="15"/>
  <c r="Q27" i="15"/>
  <c r="R27" i="15"/>
  <c r="I26" i="8"/>
  <c r="O27" i="16"/>
  <c r="Q27" i="16"/>
  <c r="R27" i="16"/>
  <c r="J26" i="8"/>
  <c r="U26" i="8"/>
  <c r="V26" i="24"/>
  <c r="V80" i="24"/>
  <c r="O27" i="14"/>
  <c r="Q27" i="14"/>
  <c r="R27" i="14"/>
  <c r="H26" i="8"/>
  <c r="T26" i="8"/>
  <c r="U26" i="24"/>
  <c r="U80" i="24"/>
  <c r="S26" i="8"/>
  <c r="T26" i="24"/>
  <c r="T80" i="24"/>
  <c r="S26" i="24"/>
  <c r="S80" i="24"/>
  <c r="R26" i="24"/>
  <c r="R80" i="24"/>
  <c r="Q26" i="24"/>
  <c r="Q80" i="24"/>
  <c r="P26" i="24"/>
  <c r="P80" i="24"/>
  <c r="O26" i="24"/>
  <c r="O80" i="24"/>
  <c r="N26" i="24"/>
  <c r="N80" i="24"/>
  <c r="O26" i="15"/>
  <c r="Q26" i="15"/>
  <c r="R26" i="15"/>
  <c r="I25" i="8"/>
  <c r="O26" i="16"/>
  <c r="Q26" i="16"/>
  <c r="R26" i="16"/>
  <c r="J25" i="8"/>
  <c r="U25" i="8"/>
  <c r="V25" i="24"/>
  <c r="V79" i="24"/>
  <c r="O26" i="14"/>
  <c r="Q26" i="14"/>
  <c r="R26" i="14"/>
  <c r="H25" i="8"/>
  <c r="T25" i="8"/>
  <c r="U25" i="24"/>
  <c r="U79" i="24"/>
  <c r="S25" i="8"/>
  <c r="T25" i="24"/>
  <c r="T79" i="24"/>
  <c r="S25" i="24"/>
  <c r="S79" i="24"/>
  <c r="R25" i="24"/>
  <c r="R79" i="24"/>
  <c r="Q25" i="24"/>
  <c r="Q79" i="24"/>
  <c r="P25" i="24"/>
  <c r="P79" i="24"/>
  <c r="O25" i="24"/>
  <c r="O79" i="24"/>
  <c r="N25" i="24"/>
  <c r="N79" i="24"/>
  <c r="O25" i="15"/>
  <c r="Q25" i="15"/>
  <c r="R25" i="15"/>
  <c r="I24" i="8"/>
  <c r="O25" i="16"/>
  <c r="Q25" i="16"/>
  <c r="R25" i="16"/>
  <c r="J24" i="8"/>
  <c r="U24" i="8"/>
  <c r="V24" i="24"/>
  <c r="V78" i="24"/>
  <c r="O25" i="14"/>
  <c r="Q25" i="14"/>
  <c r="R25" i="14"/>
  <c r="H24" i="8"/>
  <c r="T24" i="8"/>
  <c r="U24" i="24"/>
  <c r="U78" i="24"/>
  <c r="S24" i="8"/>
  <c r="T24" i="24"/>
  <c r="T78" i="24"/>
  <c r="S24" i="24"/>
  <c r="S78" i="24"/>
  <c r="R24" i="24"/>
  <c r="R78" i="24"/>
  <c r="Q24" i="24"/>
  <c r="Q78" i="24"/>
  <c r="P24" i="24"/>
  <c r="P78" i="24"/>
  <c r="O24" i="24"/>
  <c r="O78" i="24"/>
  <c r="N24" i="24"/>
  <c r="N78" i="24"/>
  <c r="O24" i="15"/>
  <c r="Q24" i="15"/>
  <c r="R24" i="15"/>
  <c r="I23" i="8"/>
  <c r="O24" i="16"/>
  <c r="Q24" i="16"/>
  <c r="R24" i="16"/>
  <c r="J23" i="8"/>
  <c r="U23" i="8"/>
  <c r="V23" i="24"/>
  <c r="V77" i="24"/>
  <c r="O24" i="14"/>
  <c r="Q24" i="14"/>
  <c r="R24" i="14"/>
  <c r="H23" i="8"/>
  <c r="T23" i="8"/>
  <c r="U23" i="24"/>
  <c r="U77" i="24"/>
  <c r="S23" i="8"/>
  <c r="T23" i="24"/>
  <c r="T77" i="24"/>
  <c r="S23" i="24"/>
  <c r="S77" i="24"/>
  <c r="R23" i="24"/>
  <c r="R77" i="24"/>
  <c r="Q23" i="24"/>
  <c r="Q77" i="24"/>
  <c r="P23" i="24"/>
  <c r="P77" i="24"/>
  <c r="O23" i="24"/>
  <c r="O77" i="24"/>
  <c r="N23" i="24"/>
  <c r="N77" i="24"/>
  <c r="O23" i="15"/>
  <c r="Q23" i="15"/>
  <c r="R23" i="15"/>
  <c r="I22" i="8"/>
  <c r="O23" i="16"/>
  <c r="Q23" i="16"/>
  <c r="R23" i="16"/>
  <c r="J22" i="8"/>
  <c r="U22" i="8"/>
  <c r="V22" i="24"/>
  <c r="V76" i="24"/>
  <c r="O23" i="14"/>
  <c r="Q23" i="14"/>
  <c r="R23" i="14"/>
  <c r="H22" i="8"/>
  <c r="T22" i="8"/>
  <c r="U22" i="24"/>
  <c r="U76" i="24"/>
  <c r="S22" i="8"/>
  <c r="T22" i="24"/>
  <c r="T76" i="24"/>
  <c r="S22" i="24"/>
  <c r="S76" i="24"/>
  <c r="R22" i="24"/>
  <c r="R76" i="24"/>
  <c r="Q22" i="24"/>
  <c r="Q76" i="24"/>
  <c r="P22" i="24"/>
  <c r="P76" i="24"/>
  <c r="O22" i="24"/>
  <c r="O76" i="24"/>
  <c r="N22" i="24"/>
  <c r="N76" i="24"/>
  <c r="O22" i="15"/>
  <c r="Q22" i="15"/>
  <c r="R22" i="15"/>
  <c r="I21" i="8"/>
  <c r="O22" i="16"/>
  <c r="Q22" i="16"/>
  <c r="R22" i="16"/>
  <c r="J21" i="8"/>
  <c r="U21" i="8"/>
  <c r="V21" i="24"/>
  <c r="V75" i="24"/>
  <c r="O22" i="14"/>
  <c r="Q22" i="14"/>
  <c r="R22" i="14"/>
  <c r="H21" i="8"/>
  <c r="T21" i="8"/>
  <c r="U21" i="24"/>
  <c r="U75" i="24"/>
  <c r="S21" i="8"/>
  <c r="T21" i="24"/>
  <c r="T75" i="24"/>
  <c r="S21" i="24"/>
  <c r="S75" i="24"/>
  <c r="R21" i="24"/>
  <c r="R75" i="24"/>
  <c r="Q21" i="24"/>
  <c r="Q75" i="24"/>
  <c r="P21" i="24"/>
  <c r="P75" i="24"/>
  <c r="O21" i="24"/>
  <c r="O75" i="24"/>
  <c r="N21" i="24"/>
  <c r="N75" i="24"/>
  <c r="O21" i="15"/>
  <c r="Q21" i="15"/>
  <c r="R21" i="15"/>
  <c r="I20" i="8"/>
  <c r="O21" i="16"/>
  <c r="Q21" i="16"/>
  <c r="R21" i="16"/>
  <c r="J20" i="8"/>
  <c r="U20" i="8"/>
  <c r="V20" i="24"/>
  <c r="V74" i="24"/>
  <c r="O21" i="14"/>
  <c r="Q21" i="14"/>
  <c r="R21" i="14"/>
  <c r="H20" i="8"/>
  <c r="T20" i="8"/>
  <c r="U20" i="24"/>
  <c r="U74" i="24"/>
  <c r="S20" i="8"/>
  <c r="T20" i="24"/>
  <c r="T74" i="24"/>
  <c r="S20" i="24"/>
  <c r="S74" i="24"/>
  <c r="R20" i="24"/>
  <c r="R74" i="24"/>
  <c r="Q20" i="24"/>
  <c r="Q74" i="24"/>
  <c r="P20" i="24"/>
  <c r="P74" i="24"/>
  <c r="O20" i="24"/>
  <c r="O74" i="24"/>
  <c r="N20" i="24"/>
  <c r="N74" i="24"/>
  <c r="O20" i="15"/>
  <c r="Q20" i="15"/>
  <c r="R20" i="15"/>
  <c r="I19" i="8"/>
  <c r="O20" i="16"/>
  <c r="Q20" i="16"/>
  <c r="R20" i="16"/>
  <c r="J19" i="8"/>
  <c r="U19" i="8"/>
  <c r="V19" i="24"/>
  <c r="V73" i="24"/>
  <c r="O20" i="14"/>
  <c r="Q20" i="14"/>
  <c r="R20" i="14"/>
  <c r="H19" i="8"/>
  <c r="T19" i="8"/>
  <c r="U19" i="24"/>
  <c r="U73" i="24"/>
  <c r="S19" i="8"/>
  <c r="T19" i="24"/>
  <c r="T73" i="24"/>
  <c r="S19" i="24"/>
  <c r="S73" i="24"/>
  <c r="R19" i="24"/>
  <c r="R73" i="24"/>
  <c r="Q19" i="24"/>
  <c r="Q73" i="24"/>
  <c r="P19" i="24"/>
  <c r="P73" i="24"/>
  <c r="O19" i="24"/>
  <c r="O73" i="24"/>
  <c r="N19" i="24"/>
  <c r="N73" i="24"/>
  <c r="O19" i="15"/>
  <c r="Q19" i="15"/>
  <c r="R19" i="15"/>
  <c r="I18" i="8"/>
  <c r="O19" i="16"/>
  <c r="Q19" i="16"/>
  <c r="R19" i="16"/>
  <c r="J18" i="8"/>
  <c r="U18" i="8"/>
  <c r="V18" i="24"/>
  <c r="V72" i="24"/>
  <c r="O19" i="14"/>
  <c r="Q19" i="14"/>
  <c r="R19" i="14"/>
  <c r="H18" i="8"/>
  <c r="T18" i="8"/>
  <c r="U18" i="24"/>
  <c r="U72" i="24"/>
  <c r="S18" i="8"/>
  <c r="T18" i="24"/>
  <c r="T72" i="24"/>
  <c r="S18" i="24"/>
  <c r="S72" i="24"/>
  <c r="R18" i="24"/>
  <c r="R72" i="24"/>
  <c r="Q18" i="24"/>
  <c r="Q72" i="24"/>
  <c r="P18" i="24"/>
  <c r="P72" i="24"/>
  <c r="O18" i="24"/>
  <c r="O72" i="24"/>
  <c r="N18" i="24"/>
  <c r="N72" i="24"/>
  <c r="O18" i="15"/>
  <c r="Q18" i="15"/>
  <c r="R18" i="15"/>
  <c r="I17" i="8"/>
  <c r="O18" i="16"/>
  <c r="Q18" i="16"/>
  <c r="R18" i="16"/>
  <c r="J17" i="8"/>
  <c r="U17" i="8"/>
  <c r="V17" i="24"/>
  <c r="V71" i="24"/>
  <c r="O18" i="14"/>
  <c r="Q18" i="14"/>
  <c r="R18" i="14"/>
  <c r="H17" i="8"/>
  <c r="T17" i="8"/>
  <c r="U17" i="24"/>
  <c r="U71" i="24"/>
  <c r="S17" i="8"/>
  <c r="T17" i="24"/>
  <c r="T71" i="24"/>
  <c r="S17" i="24"/>
  <c r="S71" i="24"/>
  <c r="R17" i="24"/>
  <c r="R71" i="24"/>
  <c r="Q17" i="24"/>
  <c r="Q71" i="24"/>
  <c r="P17" i="24"/>
  <c r="P71" i="24"/>
  <c r="O17" i="24"/>
  <c r="O71" i="24"/>
  <c r="N17" i="24"/>
  <c r="N71" i="24"/>
  <c r="O17" i="15"/>
  <c r="Q17" i="15"/>
  <c r="R17" i="15"/>
  <c r="I16" i="8"/>
  <c r="O17" i="16"/>
  <c r="Q17" i="16"/>
  <c r="R17" i="16"/>
  <c r="J16" i="8"/>
  <c r="U16" i="8"/>
  <c r="V16" i="24"/>
  <c r="V70" i="24"/>
  <c r="O17" i="14"/>
  <c r="Q17" i="14"/>
  <c r="R17" i="14"/>
  <c r="H16" i="8"/>
  <c r="T16" i="8"/>
  <c r="U16" i="24"/>
  <c r="U70" i="24"/>
  <c r="S16" i="8"/>
  <c r="T16" i="24"/>
  <c r="T70" i="24"/>
  <c r="S16" i="24"/>
  <c r="S70" i="24"/>
  <c r="R16" i="24"/>
  <c r="R70" i="24"/>
  <c r="Q16" i="24"/>
  <c r="Q70" i="24"/>
  <c r="P16" i="24"/>
  <c r="P70" i="24"/>
  <c r="O16" i="24"/>
  <c r="O70" i="24"/>
  <c r="N16" i="24"/>
  <c r="N70" i="24"/>
  <c r="O16" i="15"/>
  <c r="Q16" i="15"/>
  <c r="R16" i="15"/>
  <c r="I15" i="8"/>
  <c r="O16" i="16"/>
  <c r="Q16" i="16"/>
  <c r="R16" i="16"/>
  <c r="J15" i="8"/>
  <c r="U15" i="8"/>
  <c r="V15" i="24"/>
  <c r="V69" i="24"/>
  <c r="O16" i="14"/>
  <c r="Q16" i="14"/>
  <c r="R16" i="14"/>
  <c r="H15" i="8"/>
  <c r="T15" i="8"/>
  <c r="U15" i="24"/>
  <c r="U69" i="24"/>
  <c r="S15" i="8"/>
  <c r="T15" i="24"/>
  <c r="T69" i="24"/>
  <c r="S15" i="24"/>
  <c r="S69" i="24"/>
  <c r="R15" i="24"/>
  <c r="R69" i="24"/>
  <c r="Q15" i="24"/>
  <c r="Q69" i="24"/>
  <c r="P15" i="24"/>
  <c r="P69" i="24"/>
  <c r="O15" i="24"/>
  <c r="O69" i="24"/>
  <c r="N15" i="24"/>
  <c r="N69" i="24"/>
  <c r="O15" i="15"/>
  <c r="Q15" i="15"/>
  <c r="R15" i="15"/>
  <c r="I14" i="8"/>
  <c r="O15" i="16"/>
  <c r="Q15" i="16"/>
  <c r="R15" i="16"/>
  <c r="J14" i="8"/>
  <c r="U14" i="8"/>
  <c r="V14" i="24"/>
  <c r="V68" i="24"/>
  <c r="O15" i="14"/>
  <c r="Q15" i="14"/>
  <c r="R15" i="14"/>
  <c r="H14" i="8"/>
  <c r="T14" i="8"/>
  <c r="U14" i="24"/>
  <c r="U68" i="24"/>
  <c r="S14" i="8"/>
  <c r="T14" i="24"/>
  <c r="T68" i="24"/>
  <c r="S14" i="24"/>
  <c r="S68" i="24"/>
  <c r="R14" i="24"/>
  <c r="R68" i="24"/>
  <c r="Q14" i="24"/>
  <c r="Q68" i="24"/>
  <c r="P14" i="24"/>
  <c r="P68" i="24"/>
  <c r="O14" i="24"/>
  <c r="O68" i="24"/>
  <c r="N14" i="24"/>
  <c r="N68" i="24"/>
  <c r="O14" i="15"/>
  <c r="Q14" i="15"/>
  <c r="R14" i="15"/>
  <c r="I13" i="8"/>
  <c r="O14" i="16"/>
  <c r="Q14" i="16"/>
  <c r="R14" i="16"/>
  <c r="J13" i="8"/>
  <c r="U13" i="8"/>
  <c r="V13" i="24"/>
  <c r="V67" i="24"/>
  <c r="O14" i="14"/>
  <c r="Q14" i="14"/>
  <c r="R14" i="14"/>
  <c r="H13" i="8"/>
  <c r="T13" i="8"/>
  <c r="U13" i="24"/>
  <c r="U67" i="24"/>
  <c r="S13" i="8"/>
  <c r="T13" i="24"/>
  <c r="T67" i="24"/>
  <c r="S13" i="24"/>
  <c r="S67" i="24"/>
  <c r="R13" i="24"/>
  <c r="R67" i="24"/>
  <c r="Q13" i="24"/>
  <c r="Q67" i="24"/>
  <c r="P13" i="24"/>
  <c r="P67" i="24"/>
  <c r="O13" i="24"/>
  <c r="O67" i="24"/>
  <c r="N13" i="24"/>
  <c r="N67" i="24"/>
  <c r="O13" i="15"/>
  <c r="Q13" i="15"/>
  <c r="R13" i="15"/>
  <c r="I12" i="8"/>
  <c r="O13" i="16"/>
  <c r="Q13" i="16"/>
  <c r="R13" i="16"/>
  <c r="J12" i="8"/>
  <c r="U12" i="8"/>
  <c r="V12" i="24"/>
  <c r="V66" i="24"/>
  <c r="O13" i="14"/>
  <c r="Q13" i="14"/>
  <c r="R13" i="14"/>
  <c r="H12" i="8"/>
  <c r="T12" i="8"/>
  <c r="U12" i="24"/>
  <c r="U66" i="24"/>
  <c r="S12" i="8"/>
  <c r="T12" i="24"/>
  <c r="T66" i="24"/>
  <c r="S12" i="24"/>
  <c r="S66" i="24"/>
  <c r="R12" i="24"/>
  <c r="R66" i="24"/>
  <c r="Q12" i="24"/>
  <c r="Q66" i="24"/>
  <c r="P12" i="24"/>
  <c r="P66" i="24"/>
  <c r="O12" i="24"/>
  <c r="O66" i="24"/>
  <c r="N12" i="24"/>
  <c r="N66" i="24"/>
  <c r="O12" i="15"/>
  <c r="Q12" i="15"/>
  <c r="R12" i="15"/>
  <c r="I11" i="8"/>
  <c r="O12" i="16"/>
  <c r="Q12" i="16"/>
  <c r="R12" i="16"/>
  <c r="J11" i="8"/>
  <c r="U11" i="8"/>
  <c r="V11" i="24"/>
  <c r="V65" i="24"/>
  <c r="O12" i="14"/>
  <c r="Q12" i="14"/>
  <c r="R12" i="14"/>
  <c r="H11" i="8"/>
  <c r="T11" i="8"/>
  <c r="U11" i="24"/>
  <c r="U65" i="24"/>
  <c r="S11" i="8"/>
  <c r="T11" i="24"/>
  <c r="T65" i="24"/>
  <c r="S11" i="24"/>
  <c r="S65" i="24"/>
  <c r="R11" i="24"/>
  <c r="R65" i="24"/>
  <c r="Q11" i="24"/>
  <c r="Q65" i="24"/>
  <c r="P11" i="24"/>
  <c r="P65" i="24"/>
  <c r="O11" i="24"/>
  <c r="O65" i="24"/>
  <c r="N11" i="24"/>
  <c r="N65" i="24"/>
  <c r="O11" i="15"/>
  <c r="Q11" i="15"/>
  <c r="R11" i="15"/>
  <c r="I10" i="8"/>
  <c r="O11" i="16"/>
  <c r="Q11" i="16"/>
  <c r="R11" i="16"/>
  <c r="J10" i="8"/>
  <c r="U10" i="8"/>
  <c r="V10" i="24"/>
  <c r="V64" i="24"/>
  <c r="O11" i="14"/>
  <c r="Q11" i="14"/>
  <c r="R11" i="14"/>
  <c r="H10" i="8"/>
  <c r="T10" i="8"/>
  <c r="U10" i="24"/>
  <c r="U64" i="24"/>
  <c r="S10" i="8"/>
  <c r="T10" i="24"/>
  <c r="T64" i="24"/>
  <c r="S10" i="24"/>
  <c r="S64" i="24"/>
  <c r="R10" i="24"/>
  <c r="R64" i="24"/>
  <c r="Q10" i="24"/>
  <c r="Q64" i="24"/>
  <c r="P10" i="24"/>
  <c r="P64" i="24"/>
  <c r="O10" i="24"/>
  <c r="O64" i="24"/>
  <c r="N10" i="24"/>
  <c r="N64" i="24"/>
  <c r="O10" i="15"/>
  <c r="Q10" i="15"/>
  <c r="R10" i="15"/>
  <c r="I9" i="8"/>
  <c r="O10" i="16"/>
  <c r="Q10" i="16"/>
  <c r="R10" i="16"/>
  <c r="J9" i="8"/>
  <c r="U9" i="8"/>
  <c r="V9" i="24"/>
  <c r="V63" i="24"/>
  <c r="O10" i="14"/>
  <c r="Q10" i="14"/>
  <c r="R10" i="14"/>
  <c r="H9" i="8"/>
  <c r="T9" i="8"/>
  <c r="U9" i="24"/>
  <c r="U63" i="24"/>
  <c r="S9" i="8"/>
  <c r="T9" i="24"/>
  <c r="T63" i="24"/>
  <c r="S9" i="24"/>
  <c r="S63" i="24"/>
  <c r="R9" i="24"/>
  <c r="R63" i="24"/>
  <c r="Q9" i="24"/>
  <c r="Q63" i="24"/>
  <c r="P9" i="24"/>
  <c r="P63" i="24"/>
  <c r="O9" i="24"/>
  <c r="O63" i="24"/>
  <c r="N9" i="24"/>
  <c r="N63" i="24"/>
  <c r="O9" i="15"/>
  <c r="Q9" i="15"/>
  <c r="R9" i="15"/>
  <c r="I8" i="8"/>
  <c r="O9" i="16"/>
  <c r="Q9" i="16"/>
  <c r="R9" i="16"/>
  <c r="J8" i="8"/>
  <c r="U8" i="8"/>
  <c r="V8" i="24"/>
  <c r="V62" i="24"/>
  <c r="O9" i="14"/>
  <c r="Q9" i="14"/>
  <c r="R9" i="14"/>
  <c r="H8" i="8"/>
  <c r="T8" i="8"/>
  <c r="U8" i="24"/>
  <c r="U62" i="24"/>
  <c r="S8" i="8"/>
  <c r="T8" i="24"/>
  <c r="T62" i="24"/>
  <c r="S8" i="24"/>
  <c r="S62" i="24"/>
  <c r="R8" i="24"/>
  <c r="R62" i="24"/>
  <c r="Q8" i="24"/>
  <c r="Q62" i="24"/>
  <c r="P8" i="24"/>
  <c r="P62" i="24"/>
  <c r="O8" i="24"/>
  <c r="O62" i="24"/>
  <c r="N8" i="24"/>
  <c r="N62" i="24"/>
  <c r="O8" i="15"/>
  <c r="Q8" i="15"/>
  <c r="R8" i="15"/>
  <c r="I7" i="8"/>
  <c r="O8" i="16"/>
  <c r="Q8" i="16"/>
  <c r="R8" i="16"/>
  <c r="J7" i="8"/>
  <c r="U7" i="8"/>
  <c r="V7" i="24"/>
  <c r="V61" i="24"/>
  <c r="O8" i="14"/>
  <c r="Q8" i="14"/>
  <c r="R8" i="14"/>
  <c r="H7" i="8"/>
  <c r="T7" i="8"/>
  <c r="U7" i="24"/>
  <c r="U61" i="24"/>
  <c r="S7" i="8"/>
  <c r="T7" i="24"/>
  <c r="T61" i="24"/>
  <c r="S7" i="24"/>
  <c r="S61" i="24"/>
  <c r="R7" i="24"/>
  <c r="R61" i="24"/>
  <c r="Q7" i="24"/>
  <c r="Q61" i="24"/>
  <c r="P7" i="24"/>
  <c r="P61" i="24"/>
  <c r="O7" i="24"/>
  <c r="O61" i="24"/>
  <c r="N7" i="24"/>
  <c r="N61" i="24"/>
  <c r="O7" i="15"/>
  <c r="Q7" i="15"/>
  <c r="R7" i="15"/>
  <c r="I6" i="8"/>
  <c r="O7" i="16"/>
  <c r="Q7" i="16"/>
  <c r="R7" i="16"/>
  <c r="J6" i="8"/>
  <c r="U6" i="8"/>
  <c r="V6" i="24"/>
  <c r="V60" i="24"/>
  <c r="O7" i="14"/>
  <c r="Q7" i="14"/>
  <c r="R7" i="14"/>
  <c r="H6" i="8"/>
  <c r="T6" i="8"/>
  <c r="U6" i="24"/>
  <c r="U60" i="24"/>
  <c r="S6" i="8"/>
  <c r="T6" i="24"/>
  <c r="T60" i="24"/>
  <c r="S6" i="24"/>
  <c r="S60" i="24"/>
  <c r="R6" i="24"/>
  <c r="R60" i="24"/>
  <c r="Q6" i="24"/>
  <c r="Q60" i="24"/>
  <c r="P6" i="24"/>
  <c r="P60" i="24"/>
  <c r="O6" i="24"/>
  <c r="O60" i="24"/>
  <c r="N6" i="24"/>
  <c r="N60" i="24"/>
  <c r="O6" i="15"/>
  <c r="Q6" i="15"/>
  <c r="R6" i="15"/>
  <c r="I5" i="8"/>
  <c r="O6" i="16"/>
  <c r="Q6" i="16"/>
  <c r="R6" i="16"/>
  <c r="J5" i="8"/>
  <c r="U5" i="8"/>
  <c r="V5" i="24"/>
  <c r="V59" i="24"/>
  <c r="O6" i="14"/>
  <c r="Q6" i="14"/>
  <c r="R6" i="14"/>
  <c r="H5" i="8"/>
  <c r="T5" i="8"/>
  <c r="U5" i="24"/>
  <c r="U59" i="24"/>
  <c r="S5" i="8"/>
  <c r="T5" i="24"/>
  <c r="T59" i="24"/>
  <c r="S5" i="24"/>
  <c r="S59" i="24"/>
  <c r="R5" i="24"/>
  <c r="R59" i="24"/>
  <c r="Q5" i="24"/>
  <c r="Q59" i="24"/>
  <c r="P5" i="24"/>
  <c r="P59" i="24"/>
  <c r="O5" i="24"/>
  <c r="O59" i="24"/>
  <c r="N5" i="24"/>
  <c r="N59" i="24"/>
  <c r="O5" i="15"/>
  <c r="Q5" i="15"/>
  <c r="R5" i="15"/>
  <c r="I4" i="8"/>
  <c r="O5" i="16"/>
  <c r="Q5" i="16"/>
  <c r="R5" i="16"/>
  <c r="J4" i="8"/>
  <c r="U4" i="8"/>
  <c r="V4" i="24"/>
  <c r="V58" i="24"/>
  <c r="O5" i="14"/>
  <c r="Q5" i="14"/>
  <c r="R5" i="14"/>
  <c r="H4" i="8"/>
  <c r="T4" i="8"/>
  <c r="U4" i="24"/>
  <c r="U58" i="24"/>
  <c r="S4" i="8"/>
  <c r="T4" i="24"/>
  <c r="T58" i="24"/>
  <c r="S4" i="24"/>
  <c r="S58" i="24"/>
  <c r="R4" i="24"/>
  <c r="R58" i="24"/>
  <c r="Q4" i="24"/>
  <c r="Q58" i="24"/>
  <c r="P4" i="24"/>
  <c r="P58" i="24"/>
  <c r="O4" i="24"/>
  <c r="O58" i="24"/>
  <c r="N4" i="24"/>
  <c r="N58" i="24"/>
  <c r="O4" i="15"/>
  <c r="Q4" i="15"/>
  <c r="R4" i="15"/>
  <c r="I3" i="8"/>
  <c r="O4" i="16"/>
  <c r="Q4" i="16"/>
  <c r="R4" i="16"/>
  <c r="J3" i="8"/>
  <c r="U3" i="8"/>
  <c r="V3" i="24"/>
  <c r="V57" i="24"/>
  <c r="O4" i="14"/>
  <c r="Q4" i="14"/>
  <c r="R4" i="14"/>
  <c r="H3" i="8"/>
  <c r="T3" i="8"/>
  <c r="U3" i="24"/>
  <c r="U57" i="24"/>
  <c r="S3" i="8"/>
  <c r="T3" i="24"/>
  <c r="T57" i="24"/>
  <c r="S3" i="24"/>
  <c r="S57" i="24"/>
  <c r="R3" i="24"/>
  <c r="R57" i="24"/>
  <c r="Q3" i="24"/>
  <c r="Q57" i="24"/>
  <c r="P3" i="24"/>
  <c r="P57" i="24"/>
  <c r="O3" i="24"/>
  <c r="O57" i="24"/>
  <c r="N3" i="24"/>
  <c r="N57" i="24"/>
  <c r="O3" i="15"/>
  <c r="Q3" i="15"/>
  <c r="R3" i="15"/>
  <c r="I2" i="8"/>
  <c r="O3" i="16"/>
  <c r="Q3" i="16"/>
  <c r="R3" i="16"/>
  <c r="J2" i="8"/>
  <c r="U2" i="8"/>
  <c r="V2" i="24"/>
  <c r="V56" i="24"/>
  <c r="O3" i="14"/>
  <c r="Q3" i="14"/>
  <c r="R3" i="14"/>
  <c r="H2" i="8"/>
  <c r="T2" i="8"/>
  <c r="U2" i="24"/>
  <c r="U56" i="24"/>
  <c r="S2" i="8"/>
  <c r="T2" i="24"/>
  <c r="T56" i="24"/>
  <c r="S2" i="24"/>
  <c r="S56" i="24"/>
  <c r="R2" i="24"/>
  <c r="R56" i="24"/>
  <c r="Q2" i="24"/>
  <c r="Q56" i="24"/>
  <c r="P2" i="24"/>
  <c r="P56" i="24"/>
  <c r="O2" i="24"/>
  <c r="O56" i="24"/>
  <c r="N2" i="24"/>
  <c r="N56" i="24"/>
  <c r="L3" i="24"/>
  <c r="L57" i="24"/>
  <c r="L4" i="24"/>
  <c r="L58" i="24"/>
  <c r="L5" i="24"/>
  <c r="L59" i="24"/>
  <c r="L6" i="24"/>
  <c r="L60" i="24"/>
  <c r="L7" i="24"/>
  <c r="L61" i="24"/>
  <c r="L8" i="24"/>
  <c r="L62" i="24"/>
  <c r="L9" i="24"/>
  <c r="L63" i="24"/>
  <c r="L10" i="24"/>
  <c r="L64" i="24"/>
  <c r="L11" i="24"/>
  <c r="L65" i="24"/>
  <c r="L12" i="24"/>
  <c r="L66" i="24"/>
  <c r="L13" i="24"/>
  <c r="L67" i="24"/>
  <c r="L14" i="24"/>
  <c r="L68" i="24"/>
  <c r="L15" i="24"/>
  <c r="L69" i="24"/>
  <c r="L16" i="24"/>
  <c r="L70" i="24"/>
  <c r="L17" i="24"/>
  <c r="L71" i="24"/>
  <c r="L18" i="24"/>
  <c r="L72" i="24"/>
  <c r="L19" i="24"/>
  <c r="L73" i="24"/>
  <c r="L20" i="24"/>
  <c r="L74" i="24"/>
  <c r="L21" i="24"/>
  <c r="L75" i="24"/>
  <c r="L22" i="24"/>
  <c r="L76" i="24"/>
  <c r="L23" i="24"/>
  <c r="L77" i="24"/>
  <c r="L24" i="24"/>
  <c r="L78" i="24"/>
  <c r="L25" i="24"/>
  <c r="L79" i="24"/>
  <c r="L26" i="24"/>
  <c r="L80" i="24"/>
  <c r="L27" i="24"/>
  <c r="L81" i="24"/>
  <c r="L28" i="24"/>
  <c r="L82" i="24"/>
  <c r="L29" i="24"/>
  <c r="L83" i="24"/>
  <c r="L30" i="24"/>
  <c r="L84" i="24"/>
  <c r="L31" i="24"/>
  <c r="L85" i="24"/>
  <c r="L32" i="24"/>
  <c r="L86" i="24"/>
  <c r="L33" i="24"/>
  <c r="L87" i="24"/>
  <c r="L34" i="24"/>
  <c r="L88" i="24"/>
  <c r="L35" i="24"/>
  <c r="L89" i="24"/>
  <c r="L36" i="24"/>
  <c r="L90" i="24"/>
  <c r="L37" i="24"/>
  <c r="L91" i="24"/>
  <c r="L38" i="24"/>
  <c r="L92" i="24"/>
  <c r="L39" i="24"/>
  <c r="L93" i="24"/>
  <c r="L40" i="24"/>
  <c r="L94" i="24"/>
  <c r="L41" i="24"/>
  <c r="L95" i="24"/>
  <c r="L42" i="24"/>
  <c r="L96" i="24"/>
  <c r="L43" i="24"/>
  <c r="L97" i="24"/>
  <c r="L44" i="24"/>
  <c r="L98" i="24"/>
  <c r="L45" i="24"/>
  <c r="L99" i="24"/>
  <c r="L46" i="24"/>
  <c r="L100" i="24"/>
  <c r="L47" i="24"/>
  <c r="L101" i="24"/>
  <c r="L48" i="24"/>
  <c r="L102" i="24"/>
  <c r="L49" i="24"/>
  <c r="L103" i="24"/>
  <c r="L50" i="24"/>
  <c r="L104" i="24"/>
  <c r="L51" i="24"/>
  <c r="L105" i="24"/>
  <c r="L52" i="24"/>
  <c r="L106" i="24"/>
  <c r="L2" i="24"/>
  <c r="L56" i="24"/>
  <c r="K106" i="24"/>
  <c r="K105" i="24"/>
  <c r="K104" i="24"/>
  <c r="K103" i="24"/>
  <c r="K102" i="24"/>
  <c r="K101" i="24"/>
  <c r="K100" i="24"/>
  <c r="K99" i="24"/>
  <c r="K98" i="24"/>
  <c r="K97" i="24"/>
  <c r="K96" i="24"/>
  <c r="K95" i="24"/>
  <c r="K94" i="24"/>
  <c r="K93" i="24"/>
  <c r="K92" i="24"/>
  <c r="K91" i="24"/>
  <c r="K90" i="24"/>
  <c r="K89" i="24"/>
  <c r="K88" i="24"/>
  <c r="K87" i="24"/>
  <c r="K86" i="24"/>
  <c r="K85" i="24"/>
  <c r="K84" i="24"/>
  <c r="K83" i="24"/>
  <c r="K82" i="24"/>
  <c r="K81" i="24"/>
  <c r="K80" i="24"/>
  <c r="K79" i="24"/>
  <c r="K78" i="24"/>
  <c r="K77" i="24"/>
  <c r="K76" i="24"/>
  <c r="K75" i="24"/>
  <c r="K74" i="24"/>
  <c r="K73" i="24"/>
  <c r="K72" i="24"/>
  <c r="K71" i="24"/>
  <c r="K70" i="24"/>
  <c r="K69" i="24"/>
  <c r="K68" i="24"/>
  <c r="K67" i="24"/>
  <c r="K66" i="24"/>
  <c r="K65" i="24"/>
  <c r="K64" i="24"/>
  <c r="K63" i="24"/>
  <c r="K62" i="24"/>
  <c r="K61" i="24"/>
  <c r="K60" i="24"/>
  <c r="K59" i="24"/>
  <c r="K58" i="24"/>
  <c r="K57" i="24"/>
  <c r="K56" i="24"/>
  <c r="V52" i="23"/>
  <c r="V106" i="23"/>
  <c r="U52" i="23"/>
  <c r="U106" i="23"/>
  <c r="T52" i="23"/>
  <c r="T106" i="23"/>
  <c r="S52" i="23"/>
  <c r="S106" i="23"/>
  <c r="R52" i="23"/>
  <c r="R106" i="23"/>
  <c r="Q52" i="23"/>
  <c r="Q106" i="23"/>
  <c r="P52" i="23"/>
  <c r="P106" i="23"/>
  <c r="O52" i="23"/>
  <c r="O106" i="23"/>
  <c r="N52" i="23"/>
  <c r="N106" i="23"/>
  <c r="L52" i="23"/>
  <c r="L106" i="23"/>
  <c r="V51" i="23"/>
  <c r="V105" i="23"/>
  <c r="U51" i="23"/>
  <c r="U105" i="23"/>
  <c r="T51" i="23"/>
  <c r="T105" i="23"/>
  <c r="S51" i="23"/>
  <c r="S105" i="23"/>
  <c r="R51" i="23"/>
  <c r="R105" i="23"/>
  <c r="Q51" i="23"/>
  <c r="Q105" i="23"/>
  <c r="P51" i="23"/>
  <c r="P105" i="23"/>
  <c r="O51" i="23"/>
  <c r="O105" i="23"/>
  <c r="N51" i="23"/>
  <c r="N105" i="23"/>
  <c r="L51" i="23"/>
  <c r="L105" i="23"/>
  <c r="V50" i="23"/>
  <c r="V104" i="23"/>
  <c r="U50" i="23"/>
  <c r="U104" i="23"/>
  <c r="T50" i="23"/>
  <c r="T104" i="23"/>
  <c r="S50" i="23"/>
  <c r="S104" i="23"/>
  <c r="R50" i="23"/>
  <c r="R104" i="23"/>
  <c r="Q50" i="23"/>
  <c r="Q104" i="23"/>
  <c r="P50" i="23"/>
  <c r="P104" i="23"/>
  <c r="O50" i="23"/>
  <c r="O104" i="23"/>
  <c r="N50" i="23"/>
  <c r="N104" i="23"/>
  <c r="L50" i="23"/>
  <c r="L104" i="23"/>
  <c r="V49" i="23"/>
  <c r="V103" i="23"/>
  <c r="U49" i="23"/>
  <c r="U103" i="23"/>
  <c r="T49" i="23"/>
  <c r="T103" i="23"/>
  <c r="S49" i="23"/>
  <c r="S103" i="23"/>
  <c r="R49" i="23"/>
  <c r="R103" i="23"/>
  <c r="Q49" i="23"/>
  <c r="Q103" i="23"/>
  <c r="P49" i="23"/>
  <c r="P103" i="23"/>
  <c r="O49" i="23"/>
  <c r="O103" i="23"/>
  <c r="N49" i="23"/>
  <c r="N103" i="23"/>
  <c r="L49" i="23"/>
  <c r="L103" i="23"/>
  <c r="V48" i="23"/>
  <c r="V102" i="23"/>
  <c r="U48" i="23"/>
  <c r="U102" i="23"/>
  <c r="T48" i="23"/>
  <c r="T102" i="23"/>
  <c r="S48" i="23"/>
  <c r="S102" i="23"/>
  <c r="R48" i="23"/>
  <c r="R102" i="23"/>
  <c r="Q48" i="23"/>
  <c r="Q102" i="23"/>
  <c r="P48" i="23"/>
  <c r="P102" i="23"/>
  <c r="O48" i="23"/>
  <c r="O102" i="23"/>
  <c r="N48" i="23"/>
  <c r="N102" i="23"/>
  <c r="L48" i="23"/>
  <c r="L102" i="23"/>
  <c r="V47" i="23"/>
  <c r="V101" i="23"/>
  <c r="U47" i="23"/>
  <c r="U101" i="23"/>
  <c r="T47" i="23"/>
  <c r="T101" i="23"/>
  <c r="S47" i="23"/>
  <c r="S101" i="23"/>
  <c r="R47" i="23"/>
  <c r="R101" i="23"/>
  <c r="Q47" i="23"/>
  <c r="Q101" i="23"/>
  <c r="P47" i="23"/>
  <c r="P101" i="23"/>
  <c r="O47" i="23"/>
  <c r="O101" i="23"/>
  <c r="N47" i="23"/>
  <c r="N101" i="23"/>
  <c r="L47" i="23"/>
  <c r="L101" i="23"/>
  <c r="V46" i="23"/>
  <c r="V100" i="23"/>
  <c r="U46" i="23"/>
  <c r="U100" i="23"/>
  <c r="T46" i="23"/>
  <c r="T100" i="23"/>
  <c r="S46" i="23"/>
  <c r="S100" i="23"/>
  <c r="R46" i="23"/>
  <c r="R100" i="23"/>
  <c r="Q46" i="23"/>
  <c r="Q100" i="23"/>
  <c r="P46" i="23"/>
  <c r="P100" i="23"/>
  <c r="O46" i="23"/>
  <c r="O100" i="23"/>
  <c r="N46" i="23"/>
  <c r="N100" i="23"/>
  <c r="L46" i="23"/>
  <c r="L100" i="23"/>
  <c r="V45" i="23"/>
  <c r="V99" i="23"/>
  <c r="U45" i="23"/>
  <c r="U99" i="23"/>
  <c r="T45" i="23"/>
  <c r="T99" i="23"/>
  <c r="S45" i="23"/>
  <c r="S99" i="23"/>
  <c r="R45" i="23"/>
  <c r="R99" i="23"/>
  <c r="Q45" i="23"/>
  <c r="Q99" i="23"/>
  <c r="P45" i="23"/>
  <c r="P99" i="23"/>
  <c r="O45" i="23"/>
  <c r="O99" i="23"/>
  <c r="N45" i="23"/>
  <c r="N99" i="23"/>
  <c r="L45" i="23"/>
  <c r="L99" i="23"/>
  <c r="V44" i="23"/>
  <c r="V98" i="23"/>
  <c r="U44" i="23"/>
  <c r="U98" i="23"/>
  <c r="T44" i="23"/>
  <c r="T98" i="23"/>
  <c r="S44" i="23"/>
  <c r="S98" i="23"/>
  <c r="R44" i="23"/>
  <c r="R98" i="23"/>
  <c r="Q44" i="23"/>
  <c r="Q98" i="23"/>
  <c r="P44" i="23"/>
  <c r="P98" i="23"/>
  <c r="O44" i="23"/>
  <c r="O98" i="23"/>
  <c r="N44" i="23"/>
  <c r="N98" i="23"/>
  <c r="L44" i="23"/>
  <c r="L98" i="23"/>
  <c r="V43" i="23"/>
  <c r="V97" i="23"/>
  <c r="U43" i="23"/>
  <c r="U97" i="23"/>
  <c r="T43" i="23"/>
  <c r="T97" i="23"/>
  <c r="S43" i="23"/>
  <c r="S97" i="23"/>
  <c r="R43" i="23"/>
  <c r="R97" i="23"/>
  <c r="Q43" i="23"/>
  <c r="Q97" i="23"/>
  <c r="P43" i="23"/>
  <c r="P97" i="23"/>
  <c r="O43" i="23"/>
  <c r="O97" i="23"/>
  <c r="N43" i="23"/>
  <c r="N97" i="23"/>
  <c r="L43" i="23"/>
  <c r="L97" i="23"/>
  <c r="V42" i="23"/>
  <c r="V96" i="23"/>
  <c r="U42" i="23"/>
  <c r="U96" i="23"/>
  <c r="T42" i="23"/>
  <c r="T96" i="23"/>
  <c r="S42" i="23"/>
  <c r="S96" i="23"/>
  <c r="R42" i="23"/>
  <c r="R96" i="23"/>
  <c r="Q42" i="23"/>
  <c r="Q96" i="23"/>
  <c r="P42" i="23"/>
  <c r="P96" i="23"/>
  <c r="O42" i="23"/>
  <c r="O96" i="23"/>
  <c r="N42" i="23"/>
  <c r="N96" i="23"/>
  <c r="L42" i="23"/>
  <c r="L96" i="23"/>
  <c r="V41" i="23"/>
  <c r="V95" i="23"/>
  <c r="U41" i="23"/>
  <c r="U95" i="23"/>
  <c r="T41" i="23"/>
  <c r="T95" i="23"/>
  <c r="S41" i="23"/>
  <c r="S95" i="23"/>
  <c r="R41" i="23"/>
  <c r="R95" i="23"/>
  <c r="Q41" i="23"/>
  <c r="Q95" i="23"/>
  <c r="P41" i="23"/>
  <c r="P95" i="23"/>
  <c r="O41" i="23"/>
  <c r="O95" i="23"/>
  <c r="N41" i="23"/>
  <c r="N95" i="23"/>
  <c r="L41" i="23"/>
  <c r="L95" i="23"/>
  <c r="V40" i="23"/>
  <c r="V94" i="23"/>
  <c r="U40" i="23"/>
  <c r="U94" i="23"/>
  <c r="T40" i="23"/>
  <c r="T94" i="23"/>
  <c r="S40" i="23"/>
  <c r="S94" i="23"/>
  <c r="R40" i="23"/>
  <c r="R94" i="23"/>
  <c r="Q40" i="23"/>
  <c r="Q94" i="23"/>
  <c r="P40" i="23"/>
  <c r="P94" i="23"/>
  <c r="O40" i="23"/>
  <c r="O94" i="23"/>
  <c r="N40" i="23"/>
  <c r="N94" i="23"/>
  <c r="L40" i="23"/>
  <c r="L94" i="23"/>
  <c r="V39" i="23"/>
  <c r="V93" i="23"/>
  <c r="U39" i="23"/>
  <c r="U93" i="23"/>
  <c r="T39" i="23"/>
  <c r="T93" i="23"/>
  <c r="S39" i="23"/>
  <c r="S93" i="23"/>
  <c r="R39" i="23"/>
  <c r="R93" i="23"/>
  <c r="Q39" i="23"/>
  <c r="Q93" i="23"/>
  <c r="P39" i="23"/>
  <c r="P93" i="23"/>
  <c r="O39" i="23"/>
  <c r="O93" i="23"/>
  <c r="N39" i="23"/>
  <c r="N93" i="23"/>
  <c r="L39" i="23"/>
  <c r="L93" i="23"/>
  <c r="V38" i="23"/>
  <c r="V92" i="23"/>
  <c r="U38" i="23"/>
  <c r="U92" i="23"/>
  <c r="T38" i="23"/>
  <c r="T92" i="23"/>
  <c r="S38" i="23"/>
  <c r="S92" i="23"/>
  <c r="R38" i="23"/>
  <c r="R92" i="23"/>
  <c r="Q38" i="23"/>
  <c r="Q92" i="23"/>
  <c r="P38" i="23"/>
  <c r="P92" i="23"/>
  <c r="O38" i="23"/>
  <c r="O92" i="23"/>
  <c r="N38" i="23"/>
  <c r="N92" i="23"/>
  <c r="L38" i="23"/>
  <c r="L92" i="23"/>
  <c r="V37" i="23"/>
  <c r="V91" i="23"/>
  <c r="U37" i="23"/>
  <c r="U91" i="23"/>
  <c r="T37" i="23"/>
  <c r="T91" i="23"/>
  <c r="S37" i="23"/>
  <c r="S91" i="23"/>
  <c r="R37" i="23"/>
  <c r="R91" i="23"/>
  <c r="Q37" i="23"/>
  <c r="Q91" i="23"/>
  <c r="P37" i="23"/>
  <c r="P91" i="23"/>
  <c r="O37" i="23"/>
  <c r="O91" i="23"/>
  <c r="N37" i="23"/>
  <c r="N91" i="23"/>
  <c r="L37" i="23"/>
  <c r="L91" i="23"/>
  <c r="V36" i="23"/>
  <c r="V90" i="23"/>
  <c r="U36" i="23"/>
  <c r="U90" i="23"/>
  <c r="T36" i="23"/>
  <c r="T90" i="23"/>
  <c r="S36" i="23"/>
  <c r="S90" i="23"/>
  <c r="R36" i="23"/>
  <c r="R90" i="23"/>
  <c r="Q36" i="23"/>
  <c r="Q90" i="23"/>
  <c r="P36" i="23"/>
  <c r="P90" i="23"/>
  <c r="O36" i="23"/>
  <c r="O90" i="23"/>
  <c r="N36" i="23"/>
  <c r="N90" i="23"/>
  <c r="L36" i="23"/>
  <c r="L90" i="23"/>
  <c r="V35" i="23"/>
  <c r="V89" i="23"/>
  <c r="U35" i="23"/>
  <c r="U89" i="23"/>
  <c r="T35" i="23"/>
  <c r="T89" i="23"/>
  <c r="S35" i="23"/>
  <c r="S89" i="23"/>
  <c r="R35" i="23"/>
  <c r="R89" i="23"/>
  <c r="Q35" i="23"/>
  <c r="Q89" i="23"/>
  <c r="P35" i="23"/>
  <c r="P89" i="23"/>
  <c r="O35" i="23"/>
  <c r="O89" i="23"/>
  <c r="N35" i="23"/>
  <c r="N89" i="23"/>
  <c r="L35" i="23"/>
  <c r="L89" i="23"/>
  <c r="V34" i="23"/>
  <c r="V88" i="23"/>
  <c r="U34" i="23"/>
  <c r="U88" i="23"/>
  <c r="T34" i="23"/>
  <c r="T88" i="23"/>
  <c r="S34" i="23"/>
  <c r="S88" i="23"/>
  <c r="R34" i="23"/>
  <c r="R88" i="23"/>
  <c r="Q34" i="23"/>
  <c r="Q88" i="23"/>
  <c r="P34" i="23"/>
  <c r="P88" i="23"/>
  <c r="O34" i="23"/>
  <c r="O88" i="23"/>
  <c r="N34" i="23"/>
  <c r="N88" i="23"/>
  <c r="L34" i="23"/>
  <c r="L88" i="23"/>
  <c r="V33" i="23"/>
  <c r="V87" i="23"/>
  <c r="U33" i="23"/>
  <c r="U87" i="23"/>
  <c r="T33" i="23"/>
  <c r="T87" i="23"/>
  <c r="S33" i="23"/>
  <c r="S87" i="23"/>
  <c r="R33" i="23"/>
  <c r="R87" i="23"/>
  <c r="Q33" i="23"/>
  <c r="Q87" i="23"/>
  <c r="P33" i="23"/>
  <c r="P87" i="23"/>
  <c r="O33" i="23"/>
  <c r="O87" i="23"/>
  <c r="N33" i="23"/>
  <c r="N87" i="23"/>
  <c r="L33" i="23"/>
  <c r="L87" i="23"/>
  <c r="V32" i="23"/>
  <c r="V86" i="23"/>
  <c r="U32" i="23"/>
  <c r="U86" i="23"/>
  <c r="T32" i="23"/>
  <c r="T86" i="23"/>
  <c r="S32" i="23"/>
  <c r="S86" i="23"/>
  <c r="R32" i="23"/>
  <c r="R86" i="23"/>
  <c r="Q32" i="23"/>
  <c r="Q86" i="23"/>
  <c r="P32" i="23"/>
  <c r="P86" i="23"/>
  <c r="O32" i="23"/>
  <c r="O86" i="23"/>
  <c r="N32" i="23"/>
  <c r="N86" i="23"/>
  <c r="L32" i="23"/>
  <c r="L86" i="23"/>
  <c r="V31" i="23"/>
  <c r="V85" i="23"/>
  <c r="U31" i="23"/>
  <c r="U85" i="23"/>
  <c r="T31" i="23"/>
  <c r="T85" i="23"/>
  <c r="S31" i="23"/>
  <c r="S85" i="23"/>
  <c r="R31" i="23"/>
  <c r="R85" i="23"/>
  <c r="Q31" i="23"/>
  <c r="Q85" i="23"/>
  <c r="P31" i="23"/>
  <c r="P85" i="23"/>
  <c r="O31" i="23"/>
  <c r="O85" i="23"/>
  <c r="N31" i="23"/>
  <c r="N85" i="23"/>
  <c r="L31" i="23"/>
  <c r="L85" i="23"/>
  <c r="V30" i="23"/>
  <c r="V84" i="23"/>
  <c r="U30" i="23"/>
  <c r="U84" i="23"/>
  <c r="T30" i="23"/>
  <c r="T84" i="23"/>
  <c r="S30" i="23"/>
  <c r="S84" i="23"/>
  <c r="R30" i="23"/>
  <c r="R84" i="23"/>
  <c r="Q30" i="23"/>
  <c r="Q84" i="23"/>
  <c r="P30" i="23"/>
  <c r="P84" i="23"/>
  <c r="O30" i="23"/>
  <c r="O84" i="23"/>
  <c r="N30" i="23"/>
  <c r="N84" i="23"/>
  <c r="L30" i="23"/>
  <c r="L84" i="23"/>
  <c r="V29" i="23"/>
  <c r="V83" i="23"/>
  <c r="U29" i="23"/>
  <c r="U83" i="23"/>
  <c r="T29" i="23"/>
  <c r="T83" i="23"/>
  <c r="S29" i="23"/>
  <c r="S83" i="23"/>
  <c r="R29" i="23"/>
  <c r="R83" i="23"/>
  <c r="Q29" i="23"/>
  <c r="Q83" i="23"/>
  <c r="P29" i="23"/>
  <c r="P83" i="23"/>
  <c r="O29" i="23"/>
  <c r="O83" i="23"/>
  <c r="N29" i="23"/>
  <c r="N83" i="23"/>
  <c r="L29" i="23"/>
  <c r="L83" i="23"/>
  <c r="V28" i="23"/>
  <c r="V82" i="23"/>
  <c r="U28" i="23"/>
  <c r="U82" i="23"/>
  <c r="T28" i="23"/>
  <c r="T82" i="23"/>
  <c r="S28" i="23"/>
  <c r="S82" i="23"/>
  <c r="R28" i="23"/>
  <c r="R82" i="23"/>
  <c r="Q28" i="23"/>
  <c r="Q82" i="23"/>
  <c r="P28" i="23"/>
  <c r="P82" i="23"/>
  <c r="O28" i="23"/>
  <c r="O82" i="23"/>
  <c r="N28" i="23"/>
  <c r="N82" i="23"/>
  <c r="L28" i="23"/>
  <c r="L82" i="23"/>
  <c r="V27" i="23"/>
  <c r="V81" i="23"/>
  <c r="U27" i="23"/>
  <c r="U81" i="23"/>
  <c r="T27" i="23"/>
  <c r="T81" i="23"/>
  <c r="S27" i="23"/>
  <c r="S81" i="23"/>
  <c r="R27" i="23"/>
  <c r="R81" i="23"/>
  <c r="Q27" i="23"/>
  <c r="Q81" i="23"/>
  <c r="P27" i="23"/>
  <c r="P81" i="23"/>
  <c r="O27" i="23"/>
  <c r="O81" i="23"/>
  <c r="N27" i="23"/>
  <c r="N81" i="23"/>
  <c r="L27" i="23"/>
  <c r="L81" i="23"/>
  <c r="V26" i="23"/>
  <c r="V80" i="23"/>
  <c r="U26" i="23"/>
  <c r="U80" i="23"/>
  <c r="T26" i="23"/>
  <c r="T80" i="23"/>
  <c r="S26" i="23"/>
  <c r="S80" i="23"/>
  <c r="R26" i="23"/>
  <c r="R80" i="23"/>
  <c r="Q26" i="23"/>
  <c r="Q80" i="23"/>
  <c r="P26" i="23"/>
  <c r="P80" i="23"/>
  <c r="O26" i="23"/>
  <c r="O80" i="23"/>
  <c r="N26" i="23"/>
  <c r="N80" i="23"/>
  <c r="L26" i="23"/>
  <c r="L80" i="23"/>
  <c r="V25" i="23"/>
  <c r="V79" i="23"/>
  <c r="U25" i="23"/>
  <c r="U79" i="23"/>
  <c r="T25" i="23"/>
  <c r="T79" i="23"/>
  <c r="S25" i="23"/>
  <c r="S79" i="23"/>
  <c r="R25" i="23"/>
  <c r="R79" i="23"/>
  <c r="Q25" i="23"/>
  <c r="Q79" i="23"/>
  <c r="P25" i="23"/>
  <c r="P79" i="23"/>
  <c r="O25" i="23"/>
  <c r="O79" i="23"/>
  <c r="N25" i="23"/>
  <c r="N79" i="23"/>
  <c r="L25" i="23"/>
  <c r="L79" i="23"/>
  <c r="V24" i="23"/>
  <c r="V78" i="23"/>
  <c r="U24" i="23"/>
  <c r="U78" i="23"/>
  <c r="T24" i="23"/>
  <c r="T78" i="23"/>
  <c r="S24" i="23"/>
  <c r="S78" i="23"/>
  <c r="R24" i="23"/>
  <c r="R78" i="23"/>
  <c r="Q24" i="23"/>
  <c r="Q78" i="23"/>
  <c r="P24" i="23"/>
  <c r="P78" i="23"/>
  <c r="O24" i="23"/>
  <c r="O78" i="23"/>
  <c r="N24" i="23"/>
  <c r="N78" i="23"/>
  <c r="L24" i="23"/>
  <c r="L78" i="23"/>
  <c r="V23" i="23"/>
  <c r="V77" i="23"/>
  <c r="U23" i="23"/>
  <c r="U77" i="23"/>
  <c r="T23" i="23"/>
  <c r="T77" i="23"/>
  <c r="S23" i="23"/>
  <c r="S77" i="23"/>
  <c r="R23" i="23"/>
  <c r="R77" i="23"/>
  <c r="Q23" i="23"/>
  <c r="Q77" i="23"/>
  <c r="P23" i="23"/>
  <c r="P77" i="23"/>
  <c r="O23" i="23"/>
  <c r="O77" i="23"/>
  <c r="N23" i="23"/>
  <c r="N77" i="23"/>
  <c r="L23" i="23"/>
  <c r="L77" i="23"/>
  <c r="V22" i="23"/>
  <c r="V76" i="23"/>
  <c r="U22" i="23"/>
  <c r="U76" i="23"/>
  <c r="T22" i="23"/>
  <c r="T76" i="23"/>
  <c r="S22" i="23"/>
  <c r="S76" i="23"/>
  <c r="R22" i="23"/>
  <c r="R76" i="23"/>
  <c r="Q22" i="23"/>
  <c r="Q76" i="23"/>
  <c r="P22" i="23"/>
  <c r="P76" i="23"/>
  <c r="O22" i="23"/>
  <c r="O76" i="23"/>
  <c r="N22" i="23"/>
  <c r="N76" i="23"/>
  <c r="L22" i="23"/>
  <c r="L76" i="23"/>
  <c r="V21" i="23"/>
  <c r="V75" i="23"/>
  <c r="U21" i="23"/>
  <c r="U75" i="23"/>
  <c r="T21" i="23"/>
  <c r="T75" i="23"/>
  <c r="S21" i="23"/>
  <c r="S75" i="23"/>
  <c r="R21" i="23"/>
  <c r="R75" i="23"/>
  <c r="Q21" i="23"/>
  <c r="Q75" i="23"/>
  <c r="P21" i="23"/>
  <c r="P75" i="23"/>
  <c r="O21" i="23"/>
  <c r="O75" i="23"/>
  <c r="N21" i="23"/>
  <c r="N75" i="23"/>
  <c r="L21" i="23"/>
  <c r="L75" i="23"/>
  <c r="V20" i="23"/>
  <c r="V74" i="23"/>
  <c r="U20" i="23"/>
  <c r="U74" i="23"/>
  <c r="T20" i="23"/>
  <c r="T74" i="23"/>
  <c r="S20" i="23"/>
  <c r="S74" i="23"/>
  <c r="R20" i="23"/>
  <c r="R74" i="23"/>
  <c r="Q20" i="23"/>
  <c r="Q74" i="23"/>
  <c r="P20" i="23"/>
  <c r="P74" i="23"/>
  <c r="O20" i="23"/>
  <c r="O74" i="23"/>
  <c r="N20" i="23"/>
  <c r="N74" i="23"/>
  <c r="L20" i="23"/>
  <c r="L74" i="23"/>
  <c r="V19" i="23"/>
  <c r="V73" i="23"/>
  <c r="U19" i="23"/>
  <c r="U73" i="23"/>
  <c r="T19" i="23"/>
  <c r="T73" i="23"/>
  <c r="S19" i="23"/>
  <c r="S73" i="23"/>
  <c r="R19" i="23"/>
  <c r="R73" i="23"/>
  <c r="Q19" i="23"/>
  <c r="Q73" i="23"/>
  <c r="P19" i="23"/>
  <c r="P73" i="23"/>
  <c r="O19" i="23"/>
  <c r="O73" i="23"/>
  <c r="N19" i="23"/>
  <c r="N73" i="23"/>
  <c r="L19" i="23"/>
  <c r="L73" i="23"/>
  <c r="V18" i="23"/>
  <c r="V72" i="23"/>
  <c r="U18" i="23"/>
  <c r="U72" i="23"/>
  <c r="T18" i="23"/>
  <c r="T72" i="23"/>
  <c r="S18" i="23"/>
  <c r="S72" i="23"/>
  <c r="R18" i="23"/>
  <c r="R72" i="23"/>
  <c r="Q18" i="23"/>
  <c r="Q72" i="23"/>
  <c r="P18" i="23"/>
  <c r="P72" i="23"/>
  <c r="O18" i="23"/>
  <c r="O72" i="23"/>
  <c r="N18" i="23"/>
  <c r="N72" i="23"/>
  <c r="L18" i="23"/>
  <c r="L72" i="23"/>
  <c r="V17" i="23"/>
  <c r="V71" i="23"/>
  <c r="U17" i="23"/>
  <c r="U71" i="23"/>
  <c r="T17" i="23"/>
  <c r="T71" i="23"/>
  <c r="S17" i="23"/>
  <c r="S71" i="23"/>
  <c r="R17" i="23"/>
  <c r="R71" i="23"/>
  <c r="Q17" i="23"/>
  <c r="Q71" i="23"/>
  <c r="P17" i="23"/>
  <c r="P71" i="23"/>
  <c r="O17" i="23"/>
  <c r="O71" i="23"/>
  <c r="N17" i="23"/>
  <c r="N71" i="23"/>
  <c r="L17" i="23"/>
  <c r="L71" i="23"/>
  <c r="V16" i="23"/>
  <c r="V70" i="23"/>
  <c r="U16" i="23"/>
  <c r="U70" i="23"/>
  <c r="T16" i="23"/>
  <c r="T70" i="23"/>
  <c r="S16" i="23"/>
  <c r="S70" i="23"/>
  <c r="R16" i="23"/>
  <c r="R70" i="23"/>
  <c r="Q16" i="23"/>
  <c r="Q70" i="23"/>
  <c r="P16" i="23"/>
  <c r="P70" i="23"/>
  <c r="O16" i="23"/>
  <c r="O70" i="23"/>
  <c r="N16" i="23"/>
  <c r="N70" i="23"/>
  <c r="L16" i="23"/>
  <c r="L70" i="23"/>
  <c r="V15" i="23"/>
  <c r="V69" i="23"/>
  <c r="U15" i="23"/>
  <c r="U69" i="23"/>
  <c r="T15" i="23"/>
  <c r="T69" i="23"/>
  <c r="S15" i="23"/>
  <c r="S69" i="23"/>
  <c r="R15" i="23"/>
  <c r="R69" i="23"/>
  <c r="Q15" i="23"/>
  <c r="Q69" i="23"/>
  <c r="P15" i="23"/>
  <c r="P69" i="23"/>
  <c r="O15" i="23"/>
  <c r="O69" i="23"/>
  <c r="N15" i="23"/>
  <c r="N69" i="23"/>
  <c r="L15" i="23"/>
  <c r="L69" i="23"/>
  <c r="V14" i="23"/>
  <c r="V68" i="23"/>
  <c r="U14" i="23"/>
  <c r="U68" i="23"/>
  <c r="T14" i="23"/>
  <c r="T68" i="23"/>
  <c r="S14" i="23"/>
  <c r="S68" i="23"/>
  <c r="R14" i="23"/>
  <c r="R68" i="23"/>
  <c r="Q14" i="23"/>
  <c r="Q68" i="23"/>
  <c r="P14" i="23"/>
  <c r="P68" i="23"/>
  <c r="O14" i="23"/>
  <c r="O68" i="23"/>
  <c r="N14" i="23"/>
  <c r="N68" i="23"/>
  <c r="L14" i="23"/>
  <c r="L68" i="23"/>
  <c r="V13" i="23"/>
  <c r="V67" i="23"/>
  <c r="U13" i="23"/>
  <c r="U67" i="23"/>
  <c r="T13" i="23"/>
  <c r="T67" i="23"/>
  <c r="S13" i="23"/>
  <c r="S67" i="23"/>
  <c r="R13" i="23"/>
  <c r="R67" i="23"/>
  <c r="Q13" i="23"/>
  <c r="Q67" i="23"/>
  <c r="P13" i="23"/>
  <c r="P67" i="23"/>
  <c r="O13" i="23"/>
  <c r="O67" i="23"/>
  <c r="N13" i="23"/>
  <c r="N67" i="23"/>
  <c r="L13" i="23"/>
  <c r="L67" i="23"/>
  <c r="V12" i="23"/>
  <c r="V66" i="23"/>
  <c r="U12" i="23"/>
  <c r="U66" i="23"/>
  <c r="T12" i="23"/>
  <c r="T66" i="23"/>
  <c r="S12" i="23"/>
  <c r="S66" i="23"/>
  <c r="R12" i="23"/>
  <c r="R66" i="23"/>
  <c r="Q12" i="23"/>
  <c r="Q66" i="23"/>
  <c r="P12" i="23"/>
  <c r="P66" i="23"/>
  <c r="O12" i="23"/>
  <c r="O66" i="23"/>
  <c r="N12" i="23"/>
  <c r="N66" i="23"/>
  <c r="L12" i="23"/>
  <c r="L66" i="23"/>
  <c r="V11" i="23"/>
  <c r="V65" i="23"/>
  <c r="U11" i="23"/>
  <c r="U65" i="23"/>
  <c r="T11" i="23"/>
  <c r="T65" i="23"/>
  <c r="S11" i="23"/>
  <c r="S65" i="23"/>
  <c r="R11" i="23"/>
  <c r="R65" i="23"/>
  <c r="Q11" i="23"/>
  <c r="Q65" i="23"/>
  <c r="P11" i="23"/>
  <c r="P65" i="23"/>
  <c r="O11" i="23"/>
  <c r="O65" i="23"/>
  <c r="N11" i="23"/>
  <c r="N65" i="23"/>
  <c r="L11" i="23"/>
  <c r="L65" i="23"/>
  <c r="V10" i="23"/>
  <c r="V64" i="23"/>
  <c r="U10" i="23"/>
  <c r="U64" i="23"/>
  <c r="T10" i="23"/>
  <c r="T64" i="23"/>
  <c r="S10" i="23"/>
  <c r="S64" i="23"/>
  <c r="R10" i="23"/>
  <c r="R64" i="23"/>
  <c r="Q10" i="23"/>
  <c r="Q64" i="23"/>
  <c r="P10" i="23"/>
  <c r="P64" i="23"/>
  <c r="O10" i="23"/>
  <c r="O64" i="23"/>
  <c r="N10" i="23"/>
  <c r="N64" i="23"/>
  <c r="L10" i="23"/>
  <c r="L64" i="23"/>
  <c r="V9" i="23"/>
  <c r="V63" i="23"/>
  <c r="U9" i="23"/>
  <c r="U63" i="23"/>
  <c r="T9" i="23"/>
  <c r="T63" i="23"/>
  <c r="S9" i="23"/>
  <c r="S63" i="23"/>
  <c r="R9" i="23"/>
  <c r="R63" i="23"/>
  <c r="Q9" i="23"/>
  <c r="Q63" i="23"/>
  <c r="P9" i="23"/>
  <c r="P63" i="23"/>
  <c r="O9" i="23"/>
  <c r="O63" i="23"/>
  <c r="N9" i="23"/>
  <c r="N63" i="23"/>
  <c r="L9" i="23"/>
  <c r="L63" i="23"/>
  <c r="V8" i="23"/>
  <c r="V62" i="23"/>
  <c r="U8" i="23"/>
  <c r="U62" i="23"/>
  <c r="T8" i="23"/>
  <c r="T62" i="23"/>
  <c r="S8" i="23"/>
  <c r="S62" i="23"/>
  <c r="R8" i="23"/>
  <c r="R62" i="23"/>
  <c r="Q8" i="23"/>
  <c r="Q62" i="23"/>
  <c r="P8" i="23"/>
  <c r="P62" i="23"/>
  <c r="O8" i="23"/>
  <c r="O62" i="23"/>
  <c r="N8" i="23"/>
  <c r="N62" i="23"/>
  <c r="L8" i="23"/>
  <c r="L62" i="23"/>
  <c r="V7" i="23"/>
  <c r="V61" i="23"/>
  <c r="U7" i="23"/>
  <c r="U61" i="23"/>
  <c r="T7" i="23"/>
  <c r="T61" i="23"/>
  <c r="S7" i="23"/>
  <c r="S61" i="23"/>
  <c r="R7" i="23"/>
  <c r="R61" i="23"/>
  <c r="Q7" i="23"/>
  <c r="Q61" i="23"/>
  <c r="P7" i="23"/>
  <c r="P61" i="23"/>
  <c r="O7" i="23"/>
  <c r="O61" i="23"/>
  <c r="N7" i="23"/>
  <c r="N61" i="23"/>
  <c r="L7" i="23"/>
  <c r="L61" i="23"/>
  <c r="V6" i="23"/>
  <c r="V60" i="23"/>
  <c r="U6" i="23"/>
  <c r="U60" i="23"/>
  <c r="T6" i="23"/>
  <c r="T60" i="23"/>
  <c r="S6" i="23"/>
  <c r="S60" i="23"/>
  <c r="R6" i="23"/>
  <c r="R60" i="23"/>
  <c r="Q6" i="23"/>
  <c r="Q60" i="23"/>
  <c r="P6" i="23"/>
  <c r="P60" i="23"/>
  <c r="O6" i="23"/>
  <c r="O60" i="23"/>
  <c r="N6" i="23"/>
  <c r="N60" i="23"/>
  <c r="L6" i="23"/>
  <c r="L60" i="23"/>
  <c r="V5" i="23"/>
  <c r="V59" i="23"/>
  <c r="U5" i="23"/>
  <c r="U59" i="23"/>
  <c r="T5" i="23"/>
  <c r="T59" i="23"/>
  <c r="S5" i="23"/>
  <c r="S59" i="23"/>
  <c r="R5" i="23"/>
  <c r="R59" i="23"/>
  <c r="Q5" i="23"/>
  <c r="Q59" i="23"/>
  <c r="P5" i="23"/>
  <c r="P59" i="23"/>
  <c r="O5" i="23"/>
  <c r="O59" i="23"/>
  <c r="N5" i="23"/>
  <c r="N59" i="23"/>
  <c r="L5" i="23"/>
  <c r="L59" i="23"/>
  <c r="V4" i="23"/>
  <c r="V58" i="23"/>
  <c r="U4" i="23"/>
  <c r="U58" i="23"/>
  <c r="T4" i="23"/>
  <c r="T58" i="23"/>
  <c r="S4" i="23"/>
  <c r="S58" i="23"/>
  <c r="R4" i="23"/>
  <c r="R58" i="23"/>
  <c r="Q4" i="23"/>
  <c r="Q58" i="23"/>
  <c r="P4" i="23"/>
  <c r="P58" i="23"/>
  <c r="O4" i="23"/>
  <c r="O58" i="23"/>
  <c r="N4" i="23"/>
  <c r="N58" i="23"/>
  <c r="L4" i="23"/>
  <c r="L58" i="23"/>
  <c r="V3" i="23"/>
  <c r="V57" i="23"/>
  <c r="U3" i="23"/>
  <c r="U57" i="23"/>
  <c r="T3" i="23"/>
  <c r="T57" i="23"/>
  <c r="S3" i="23"/>
  <c r="S57" i="23"/>
  <c r="R3" i="23"/>
  <c r="R57" i="23"/>
  <c r="Q3" i="23"/>
  <c r="Q57" i="23"/>
  <c r="P3" i="23"/>
  <c r="P57" i="23"/>
  <c r="O3" i="23"/>
  <c r="O57" i="23"/>
  <c r="N3" i="23"/>
  <c r="N57" i="23"/>
  <c r="L3" i="23"/>
  <c r="L57" i="23"/>
  <c r="V2" i="23"/>
  <c r="V56" i="23"/>
  <c r="U2" i="23"/>
  <c r="U56" i="23"/>
  <c r="T2" i="23"/>
  <c r="T56" i="23"/>
  <c r="S2" i="23"/>
  <c r="S56" i="23"/>
  <c r="R2" i="23"/>
  <c r="R56" i="23"/>
  <c r="Q2" i="23"/>
  <c r="Q56" i="23"/>
  <c r="P2" i="23"/>
  <c r="P56" i="23"/>
  <c r="O2" i="23"/>
  <c r="O56" i="23"/>
  <c r="N2" i="23"/>
  <c r="N56" i="23"/>
  <c r="L2" i="23"/>
  <c r="L56" i="23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2" i="21"/>
  <c r="K57" i="23"/>
  <c r="K58" i="23"/>
  <c r="K59" i="23"/>
  <c r="K60" i="23"/>
  <c r="K61" i="23"/>
  <c r="K62" i="23"/>
  <c r="K63" i="23"/>
  <c r="K64" i="23"/>
  <c r="K65" i="23"/>
  <c r="K66" i="23"/>
  <c r="K67" i="23"/>
  <c r="K68" i="23"/>
  <c r="K69" i="23"/>
  <c r="K70" i="23"/>
  <c r="K71" i="23"/>
  <c r="K72" i="23"/>
  <c r="K73" i="23"/>
  <c r="K74" i="23"/>
  <c r="K75" i="23"/>
  <c r="K76" i="23"/>
  <c r="K77" i="23"/>
  <c r="K78" i="23"/>
  <c r="K79" i="23"/>
  <c r="K80" i="23"/>
  <c r="K81" i="23"/>
  <c r="K82" i="23"/>
  <c r="K83" i="23"/>
  <c r="K84" i="23"/>
  <c r="K85" i="23"/>
  <c r="K86" i="23"/>
  <c r="K87" i="23"/>
  <c r="K88" i="23"/>
  <c r="K89" i="23"/>
  <c r="K90" i="23"/>
  <c r="K91" i="23"/>
  <c r="K92" i="23"/>
  <c r="K93" i="23"/>
  <c r="K94" i="23"/>
  <c r="K95" i="23"/>
  <c r="K96" i="23"/>
  <c r="K97" i="23"/>
  <c r="K98" i="23"/>
  <c r="K99" i="23"/>
  <c r="K100" i="23"/>
  <c r="K101" i="23"/>
  <c r="K102" i="23"/>
  <c r="K103" i="23"/>
  <c r="K104" i="23"/>
  <c r="K105" i="23"/>
  <c r="K106" i="23"/>
  <c r="K56" i="23"/>
  <c r="K53" i="16"/>
  <c r="J53" i="16"/>
  <c r="K52" i="16"/>
  <c r="J52" i="16"/>
  <c r="K51" i="16"/>
  <c r="J51" i="16"/>
  <c r="K50" i="16"/>
  <c r="J50" i="16"/>
  <c r="K49" i="16"/>
  <c r="J49" i="16"/>
  <c r="K48" i="16"/>
  <c r="J48" i="16"/>
  <c r="K47" i="16"/>
  <c r="J47" i="16"/>
  <c r="K46" i="16"/>
  <c r="J46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5" i="16"/>
  <c r="J5" i="16"/>
  <c r="K4" i="16"/>
  <c r="J4" i="16"/>
  <c r="K3" i="16"/>
  <c r="J3" i="16"/>
  <c r="K53" i="15"/>
  <c r="J53" i="15"/>
  <c r="K52" i="15"/>
  <c r="J52" i="15"/>
  <c r="K51" i="15"/>
  <c r="J51" i="15"/>
  <c r="K50" i="15"/>
  <c r="J50" i="15"/>
  <c r="K49" i="15"/>
  <c r="J49" i="15"/>
  <c r="K48" i="15"/>
  <c r="J48" i="15"/>
  <c r="K47" i="15"/>
  <c r="J47" i="15"/>
  <c r="K46" i="15"/>
  <c r="J46" i="15"/>
  <c r="K45" i="15"/>
  <c r="J45" i="15"/>
  <c r="K44" i="15"/>
  <c r="J44" i="15"/>
  <c r="K43" i="15"/>
  <c r="J43" i="15"/>
  <c r="K42" i="15"/>
  <c r="J42" i="15"/>
  <c r="K41" i="15"/>
  <c r="J41" i="15"/>
  <c r="K40" i="15"/>
  <c r="J40" i="15"/>
  <c r="K39" i="15"/>
  <c r="J39" i="15"/>
  <c r="K38" i="15"/>
  <c r="J38" i="15"/>
  <c r="K37" i="15"/>
  <c r="J37" i="15"/>
  <c r="K36" i="15"/>
  <c r="J36" i="15"/>
  <c r="K35" i="15"/>
  <c r="J35" i="15"/>
  <c r="K34" i="15"/>
  <c r="J34" i="15"/>
  <c r="K33" i="15"/>
  <c r="J33" i="15"/>
  <c r="K32" i="15"/>
  <c r="J32" i="15"/>
  <c r="K31" i="15"/>
  <c r="J31" i="15"/>
  <c r="K30" i="15"/>
  <c r="J30" i="15"/>
  <c r="K29" i="15"/>
  <c r="J29" i="15"/>
  <c r="K28" i="15"/>
  <c r="J28" i="15"/>
  <c r="K27" i="15"/>
  <c r="J27" i="15"/>
  <c r="K26" i="15"/>
  <c r="J26" i="15"/>
  <c r="K25" i="15"/>
  <c r="J25" i="15"/>
  <c r="K24" i="15"/>
  <c r="J24" i="15"/>
  <c r="K23" i="15"/>
  <c r="J23" i="15"/>
  <c r="K22" i="15"/>
  <c r="J22" i="15"/>
  <c r="K21" i="15"/>
  <c r="J21" i="15"/>
  <c r="K20" i="15"/>
  <c r="J20" i="15"/>
  <c r="K19" i="15"/>
  <c r="J19" i="15"/>
  <c r="K18" i="15"/>
  <c r="J18" i="15"/>
  <c r="K17" i="15"/>
  <c r="J17" i="15"/>
  <c r="K16" i="15"/>
  <c r="J16" i="15"/>
  <c r="K15" i="15"/>
  <c r="J15" i="15"/>
  <c r="K14" i="15"/>
  <c r="J14" i="15"/>
  <c r="K13" i="15"/>
  <c r="J13" i="15"/>
  <c r="K12" i="15"/>
  <c r="J12" i="15"/>
  <c r="K11" i="15"/>
  <c r="J11" i="15"/>
  <c r="K10" i="15"/>
  <c r="J10" i="15"/>
  <c r="K9" i="15"/>
  <c r="J9" i="15"/>
  <c r="K8" i="15"/>
  <c r="J8" i="15"/>
  <c r="K7" i="15"/>
  <c r="J7" i="15"/>
  <c r="K6" i="15"/>
  <c r="J6" i="15"/>
  <c r="K5" i="15"/>
  <c r="J5" i="15"/>
  <c r="K4" i="15"/>
  <c r="J4" i="15"/>
  <c r="K3" i="15"/>
  <c r="J3" i="15"/>
  <c r="K53" i="14"/>
  <c r="J53" i="14"/>
  <c r="K52" i="14"/>
  <c r="J52" i="14"/>
  <c r="K51" i="14"/>
  <c r="J51" i="14"/>
  <c r="K50" i="14"/>
  <c r="J50" i="14"/>
  <c r="K49" i="14"/>
  <c r="J49" i="14"/>
  <c r="K48" i="14"/>
  <c r="J48" i="14"/>
  <c r="K47" i="14"/>
  <c r="J47" i="14"/>
  <c r="K46" i="14"/>
  <c r="J46" i="14"/>
  <c r="K45" i="14"/>
  <c r="J45" i="14"/>
  <c r="K44" i="14"/>
  <c r="J44" i="14"/>
  <c r="K43" i="14"/>
  <c r="J43" i="14"/>
  <c r="K42" i="14"/>
  <c r="J42" i="14"/>
  <c r="K41" i="14"/>
  <c r="J41" i="14"/>
  <c r="K40" i="14"/>
  <c r="J40" i="14"/>
  <c r="K39" i="14"/>
  <c r="J39" i="14"/>
  <c r="K38" i="14"/>
  <c r="J38" i="14"/>
  <c r="K37" i="14"/>
  <c r="J37" i="14"/>
  <c r="K36" i="14"/>
  <c r="J36" i="14"/>
  <c r="K35" i="14"/>
  <c r="J35" i="14"/>
  <c r="K34" i="14"/>
  <c r="J34" i="14"/>
  <c r="K33" i="14"/>
  <c r="J33" i="14"/>
  <c r="K32" i="14"/>
  <c r="J32" i="14"/>
  <c r="K31" i="14"/>
  <c r="J31" i="14"/>
  <c r="K30" i="14"/>
  <c r="J30" i="14"/>
  <c r="K29" i="14"/>
  <c r="J29" i="14"/>
  <c r="K28" i="14"/>
  <c r="J28" i="14"/>
  <c r="K27" i="14"/>
  <c r="J27" i="14"/>
  <c r="K26" i="14"/>
  <c r="J26" i="14"/>
  <c r="K25" i="14"/>
  <c r="J25" i="14"/>
  <c r="K24" i="14"/>
  <c r="J24" i="14"/>
  <c r="K23" i="14"/>
  <c r="J23" i="14"/>
  <c r="K22" i="14"/>
  <c r="J22" i="14"/>
  <c r="K21" i="14"/>
  <c r="J21" i="14"/>
  <c r="K20" i="14"/>
  <c r="J20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K5" i="14"/>
  <c r="J5" i="14"/>
  <c r="K4" i="14"/>
  <c r="J4" i="14"/>
  <c r="K3" i="14"/>
  <c r="J3" i="14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J10" i="13"/>
  <c r="K9" i="13"/>
  <c r="J9" i="13"/>
  <c r="K8" i="13"/>
  <c r="J8" i="13"/>
  <c r="K7" i="13"/>
  <c r="J7" i="13"/>
  <c r="K6" i="13"/>
  <c r="J6" i="13"/>
  <c r="K5" i="13"/>
  <c r="J5" i="13"/>
  <c r="K4" i="13"/>
  <c r="J4" i="13"/>
  <c r="K3" i="13"/>
  <c r="J3" i="13"/>
  <c r="K53" i="12"/>
  <c r="J53" i="12"/>
  <c r="K52" i="12"/>
  <c r="J52" i="12"/>
  <c r="K51" i="12"/>
  <c r="J51" i="12"/>
  <c r="K50" i="12"/>
  <c r="J50" i="12"/>
  <c r="K49" i="12"/>
  <c r="J49" i="12"/>
  <c r="K48" i="12"/>
  <c r="J48" i="12"/>
  <c r="K47" i="12"/>
  <c r="J47" i="12"/>
  <c r="K46" i="12"/>
  <c r="J46" i="12"/>
  <c r="K45" i="12"/>
  <c r="J45" i="12"/>
  <c r="K44" i="12"/>
  <c r="J44" i="12"/>
  <c r="K43" i="12"/>
  <c r="J43" i="12"/>
  <c r="K42" i="12"/>
  <c r="J42" i="12"/>
  <c r="K41" i="12"/>
  <c r="J41" i="12"/>
  <c r="K40" i="12"/>
  <c r="J40" i="12"/>
  <c r="K39" i="12"/>
  <c r="J39" i="12"/>
  <c r="K38" i="12"/>
  <c r="J38" i="12"/>
  <c r="K37" i="12"/>
  <c r="J37" i="12"/>
  <c r="K36" i="12"/>
  <c r="J36" i="12"/>
  <c r="K35" i="12"/>
  <c r="J35" i="12"/>
  <c r="K34" i="12"/>
  <c r="J34" i="12"/>
  <c r="K33" i="12"/>
  <c r="J33" i="12"/>
  <c r="K32" i="12"/>
  <c r="J32" i="12"/>
  <c r="K31" i="12"/>
  <c r="J31" i="12"/>
  <c r="K30" i="12"/>
  <c r="J30" i="12"/>
  <c r="K29" i="12"/>
  <c r="J29" i="12"/>
  <c r="K28" i="12"/>
  <c r="J28" i="12"/>
  <c r="K27" i="12"/>
  <c r="J27" i="12"/>
  <c r="K26" i="12"/>
  <c r="J26" i="12"/>
  <c r="K25" i="12"/>
  <c r="J25" i="12"/>
  <c r="K24" i="12"/>
  <c r="J24" i="12"/>
  <c r="K23" i="12"/>
  <c r="J23" i="12"/>
  <c r="K22" i="12"/>
  <c r="J22" i="12"/>
  <c r="K21" i="12"/>
  <c r="J21" i="12"/>
  <c r="K20" i="12"/>
  <c r="J20" i="12"/>
  <c r="K19" i="12"/>
  <c r="J19" i="12"/>
  <c r="K18" i="12"/>
  <c r="J18" i="12"/>
  <c r="K17" i="12"/>
  <c r="J17" i="12"/>
  <c r="K16" i="12"/>
  <c r="J16" i="12"/>
  <c r="K15" i="12"/>
  <c r="J15" i="12"/>
  <c r="K14" i="12"/>
  <c r="J14" i="12"/>
  <c r="K13" i="12"/>
  <c r="J13" i="12"/>
  <c r="K12" i="12"/>
  <c r="J12" i="12"/>
  <c r="K11" i="12"/>
  <c r="J11" i="12"/>
  <c r="K10" i="12"/>
  <c r="J10" i="12"/>
  <c r="K9" i="12"/>
  <c r="J9" i="12"/>
  <c r="K8" i="12"/>
  <c r="J8" i="12"/>
  <c r="K7" i="12"/>
  <c r="J7" i="12"/>
  <c r="K6" i="12"/>
  <c r="J6" i="12"/>
  <c r="K5" i="12"/>
  <c r="J5" i="12"/>
  <c r="K4" i="12"/>
  <c r="J4" i="12"/>
  <c r="K3" i="12"/>
  <c r="J3" i="12"/>
  <c r="K53" i="11"/>
  <c r="J53" i="11"/>
  <c r="K52" i="11"/>
  <c r="J52" i="11"/>
  <c r="K51" i="11"/>
  <c r="J51" i="11"/>
  <c r="K50" i="11"/>
  <c r="J50" i="11"/>
  <c r="K49" i="11"/>
  <c r="J49" i="11"/>
  <c r="K48" i="11"/>
  <c r="J48" i="11"/>
  <c r="K47" i="11"/>
  <c r="J47" i="11"/>
  <c r="K46" i="11"/>
  <c r="J46" i="11"/>
  <c r="K45" i="11"/>
  <c r="J45" i="11"/>
  <c r="K44" i="11"/>
  <c r="J44" i="11"/>
  <c r="K43" i="11"/>
  <c r="J43" i="11"/>
  <c r="K42" i="11"/>
  <c r="J42" i="11"/>
  <c r="K41" i="11"/>
  <c r="J41" i="11"/>
  <c r="K40" i="11"/>
  <c r="J40" i="11"/>
  <c r="K39" i="11"/>
  <c r="J39" i="11"/>
  <c r="K38" i="11"/>
  <c r="J38" i="11"/>
  <c r="K37" i="11"/>
  <c r="J37" i="11"/>
  <c r="K36" i="11"/>
  <c r="J36" i="11"/>
  <c r="K35" i="11"/>
  <c r="J35" i="11"/>
  <c r="K34" i="11"/>
  <c r="J34" i="11"/>
  <c r="K33" i="11"/>
  <c r="J33" i="11"/>
  <c r="K32" i="11"/>
  <c r="J32" i="11"/>
  <c r="K31" i="11"/>
  <c r="J31" i="11"/>
  <c r="K30" i="11"/>
  <c r="J30" i="11"/>
  <c r="K29" i="11"/>
  <c r="J29" i="11"/>
  <c r="K28" i="11"/>
  <c r="J28" i="11"/>
  <c r="K27" i="11"/>
  <c r="J27" i="11"/>
  <c r="K26" i="11"/>
  <c r="J26" i="11"/>
  <c r="K25" i="11"/>
  <c r="J25" i="11"/>
  <c r="K24" i="11"/>
  <c r="J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K13" i="11"/>
  <c r="J13" i="11"/>
  <c r="K12" i="11"/>
  <c r="J12" i="11"/>
  <c r="K11" i="11"/>
  <c r="J11" i="11"/>
  <c r="K10" i="11"/>
  <c r="J10" i="11"/>
  <c r="K9" i="11"/>
  <c r="J9" i="11"/>
  <c r="K8" i="11"/>
  <c r="J8" i="11"/>
  <c r="K7" i="11"/>
  <c r="J7" i="11"/>
  <c r="K6" i="11"/>
  <c r="J6" i="11"/>
  <c r="K5" i="11"/>
  <c r="J5" i="11"/>
  <c r="K4" i="11"/>
  <c r="J4" i="11"/>
  <c r="K3" i="11"/>
  <c r="J3" i="11"/>
  <c r="K53" i="10"/>
  <c r="J53" i="10"/>
  <c r="K52" i="10"/>
  <c r="J52" i="10"/>
  <c r="K51" i="10"/>
  <c r="J51" i="10"/>
  <c r="K50" i="10"/>
  <c r="J50" i="10"/>
  <c r="K49" i="10"/>
  <c r="J49" i="10"/>
  <c r="K48" i="10"/>
  <c r="J48" i="10"/>
  <c r="K47" i="10"/>
  <c r="J47" i="10"/>
  <c r="K46" i="10"/>
  <c r="J46" i="10"/>
  <c r="K45" i="10"/>
  <c r="J45" i="10"/>
  <c r="K44" i="10"/>
  <c r="J44" i="10"/>
  <c r="K43" i="10"/>
  <c r="J43" i="10"/>
  <c r="K42" i="10"/>
  <c r="J42" i="10"/>
  <c r="K41" i="10"/>
  <c r="J41" i="10"/>
  <c r="K40" i="10"/>
  <c r="J40" i="10"/>
  <c r="K39" i="10"/>
  <c r="J39" i="10"/>
  <c r="K38" i="10"/>
  <c r="J38" i="10"/>
  <c r="K37" i="10"/>
  <c r="J37" i="10"/>
  <c r="K36" i="10"/>
  <c r="J36" i="10"/>
  <c r="K35" i="10"/>
  <c r="J35" i="10"/>
  <c r="K34" i="10"/>
  <c r="J34" i="10"/>
  <c r="K33" i="10"/>
  <c r="J33" i="10"/>
  <c r="K32" i="10"/>
  <c r="J32" i="10"/>
  <c r="K31" i="10"/>
  <c r="J31" i="10"/>
  <c r="K30" i="10"/>
  <c r="J30" i="10"/>
  <c r="K29" i="10"/>
  <c r="J29" i="10"/>
  <c r="K28" i="10"/>
  <c r="J28" i="10"/>
  <c r="K27" i="10"/>
  <c r="J27" i="10"/>
  <c r="K26" i="10"/>
  <c r="J26" i="10"/>
  <c r="K25" i="10"/>
  <c r="J25" i="10"/>
  <c r="K24" i="10"/>
  <c r="J24" i="10"/>
  <c r="K23" i="10"/>
  <c r="J23" i="10"/>
  <c r="K22" i="10"/>
  <c r="J22" i="10"/>
  <c r="K21" i="10"/>
  <c r="J21" i="10"/>
  <c r="K20" i="10"/>
  <c r="J20" i="10"/>
  <c r="K19" i="10"/>
  <c r="J19" i="10"/>
  <c r="K18" i="10"/>
  <c r="J18" i="10"/>
  <c r="K17" i="10"/>
  <c r="J17" i="10"/>
  <c r="K16" i="10"/>
  <c r="J16" i="10"/>
  <c r="K15" i="10"/>
  <c r="J15" i="10"/>
  <c r="K14" i="10"/>
  <c r="J14" i="10"/>
  <c r="K13" i="10"/>
  <c r="J13" i="10"/>
  <c r="K12" i="10"/>
  <c r="J12" i="10"/>
  <c r="K11" i="10"/>
  <c r="J11" i="10"/>
  <c r="K10" i="10"/>
  <c r="J10" i="10"/>
  <c r="K9" i="10"/>
  <c r="J9" i="10"/>
  <c r="K8" i="10"/>
  <c r="J8" i="10"/>
  <c r="K7" i="10"/>
  <c r="J7" i="10"/>
  <c r="K6" i="10"/>
  <c r="J6" i="10"/>
  <c r="K5" i="10"/>
  <c r="J5" i="10"/>
  <c r="K4" i="10"/>
  <c r="J4" i="10"/>
  <c r="K3" i="10"/>
  <c r="J3" i="10"/>
  <c r="J4" i="9"/>
  <c r="K4" i="9"/>
  <c r="J5" i="9"/>
  <c r="K5" i="9"/>
  <c r="J6" i="9"/>
  <c r="K6" i="9"/>
  <c r="J7" i="9"/>
  <c r="K7" i="9"/>
  <c r="J8" i="9"/>
  <c r="K8" i="9"/>
  <c r="J9" i="9"/>
  <c r="K9" i="9"/>
  <c r="J10" i="9"/>
  <c r="K10" i="9"/>
  <c r="J11" i="9"/>
  <c r="K11" i="9"/>
  <c r="J12" i="9"/>
  <c r="K12" i="9"/>
  <c r="J13" i="9"/>
  <c r="K13" i="9"/>
  <c r="J14" i="9"/>
  <c r="K14" i="9"/>
  <c r="J15" i="9"/>
  <c r="K15" i="9"/>
  <c r="J16" i="9"/>
  <c r="K16" i="9"/>
  <c r="J17" i="9"/>
  <c r="K17" i="9"/>
  <c r="J18" i="9"/>
  <c r="K18" i="9"/>
  <c r="J19" i="9"/>
  <c r="K19" i="9"/>
  <c r="J20" i="9"/>
  <c r="K20" i="9"/>
  <c r="J21" i="9"/>
  <c r="K21" i="9"/>
  <c r="J22" i="9"/>
  <c r="K22" i="9"/>
  <c r="J23" i="9"/>
  <c r="K23" i="9"/>
  <c r="J24" i="9"/>
  <c r="K24" i="9"/>
  <c r="J25" i="9"/>
  <c r="K25" i="9"/>
  <c r="J26" i="9"/>
  <c r="K26" i="9"/>
  <c r="J27" i="9"/>
  <c r="K27" i="9"/>
  <c r="J28" i="9"/>
  <c r="K28" i="9"/>
  <c r="J29" i="9"/>
  <c r="K29" i="9"/>
  <c r="J30" i="9"/>
  <c r="K30" i="9"/>
  <c r="J31" i="9"/>
  <c r="K31" i="9"/>
  <c r="J32" i="9"/>
  <c r="K32" i="9"/>
  <c r="J33" i="9"/>
  <c r="K33" i="9"/>
  <c r="J34" i="9"/>
  <c r="K34" i="9"/>
  <c r="J35" i="9"/>
  <c r="K35" i="9"/>
  <c r="J36" i="9"/>
  <c r="K36" i="9"/>
  <c r="J37" i="9"/>
  <c r="K37" i="9"/>
  <c r="J38" i="9"/>
  <c r="K38" i="9"/>
  <c r="J39" i="9"/>
  <c r="K39" i="9"/>
  <c r="J40" i="9"/>
  <c r="K40" i="9"/>
  <c r="J41" i="9"/>
  <c r="K41" i="9"/>
  <c r="J42" i="9"/>
  <c r="K42" i="9"/>
  <c r="J43" i="9"/>
  <c r="K43" i="9"/>
  <c r="J44" i="9"/>
  <c r="K44" i="9"/>
  <c r="J45" i="9"/>
  <c r="K45" i="9"/>
  <c r="J46" i="9"/>
  <c r="K46" i="9"/>
  <c r="J47" i="9"/>
  <c r="K47" i="9"/>
  <c r="J48" i="9"/>
  <c r="K48" i="9"/>
  <c r="J49" i="9"/>
  <c r="K49" i="9"/>
  <c r="J50" i="9"/>
  <c r="K50" i="9"/>
  <c r="J51" i="9"/>
  <c r="K51" i="9"/>
  <c r="J52" i="9"/>
  <c r="K52" i="9"/>
  <c r="J53" i="9"/>
  <c r="K53" i="9"/>
  <c r="K3" i="9"/>
  <c r="J3" i="9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O6" i="7"/>
  <c r="D3" i="31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2" i="31"/>
  <c r="P6" i="7"/>
  <c r="T6" i="7"/>
  <c r="F2" i="3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4" i="31"/>
  <c r="E2" i="3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4" i="31"/>
  <c r="D54" i="31"/>
  <c r="C54" i="31"/>
  <c r="B54" i="31"/>
  <c r="F54" i="33"/>
  <c r="E54" i="33"/>
  <c r="D54" i="33"/>
  <c r="C54" i="33"/>
  <c r="B54" i="33"/>
  <c r="D52" i="33"/>
  <c r="F52" i="33"/>
  <c r="E52" i="33"/>
  <c r="D51" i="33"/>
  <c r="F51" i="33"/>
  <c r="E51" i="33"/>
  <c r="D50" i="33"/>
  <c r="F50" i="33"/>
  <c r="E50" i="33"/>
  <c r="D49" i="33"/>
  <c r="F49" i="33"/>
  <c r="E49" i="33"/>
  <c r="D48" i="33"/>
  <c r="F48" i="33"/>
  <c r="E48" i="33"/>
  <c r="D47" i="33"/>
  <c r="F47" i="33"/>
  <c r="E47" i="33"/>
  <c r="D46" i="33"/>
  <c r="F46" i="33"/>
  <c r="E46" i="33"/>
  <c r="D45" i="33"/>
  <c r="F45" i="33"/>
  <c r="E45" i="33"/>
  <c r="D44" i="33"/>
  <c r="F44" i="33"/>
  <c r="E44" i="33"/>
  <c r="D43" i="33"/>
  <c r="F43" i="33"/>
  <c r="E43" i="33"/>
  <c r="D42" i="33"/>
  <c r="F42" i="33"/>
  <c r="E42" i="33"/>
  <c r="D41" i="33"/>
  <c r="F41" i="33"/>
  <c r="E41" i="33"/>
  <c r="D40" i="33"/>
  <c r="F40" i="33"/>
  <c r="E40" i="33"/>
  <c r="D39" i="33"/>
  <c r="F39" i="33"/>
  <c r="E39" i="33"/>
  <c r="D38" i="33"/>
  <c r="F38" i="33"/>
  <c r="E38" i="33"/>
  <c r="D37" i="33"/>
  <c r="F37" i="33"/>
  <c r="E37" i="33"/>
  <c r="D36" i="33"/>
  <c r="F36" i="33"/>
  <c r="E36" i="33"/>
  <c r="D35" i="33"/>
  <c r="F35" i="33"/>
  <c r="E35" i="33"/>
  <c r="D34" i="33"/>
  <c r="F34" i="33"/>
  <c r="E34" i="33"/>
  <c r="D33" i="33"/>
  <c r="F33" i="33"/>
  <c r="E33" i="33"/>
  <c r="D32" i="33"/>
  <c r="F32" i="33"/>
  <c r="E32" i="33"/>
  <c r="D31" i="33"/>
  <c r="F31" i="33"/>
  <c r="E31" i="33"/>
  <c r="D30" i="33"/>
  <c r="F30" i="33"/>
  <c r="E30" i="33"/>
  <c r="D29" i="33"/>
  <c r="F29" i="33"/>
  <c r="E29" i="33"/>
  <c r="D28" i="33"/>
  <c r="F28" i="33"/>
  <c r="E28" i="33"/>
  <c r="D27" i="33"/>
  <c r="F27" i="33"/>
  <c r="E27" i="33"/>
  <c r="D26" i="33"/>
  <c r="F26" i="33"/>
  <c r="E26" i="33"/>
  <c r="D25" i="33"/>
  <c r="F25" i="33"/>
  <c r="E25" i="33"/>
  <c r="D24" i="33"/>
  <c r="F24" i="33"/>
  <c r="E24" i="33"/>
  <c r="D23" i="33"/>
  <c r="F23" i="33"/>
  <c r="E23" i="33"/>
  <c r="D22" i="33"/>
  <c r="F22" i="33"/>
  <c r="E22" i="33"/>
  <c r="D21" i="33"/>
  <c r="F21" i="33"/>
  <c r="E21" i="33"/>
  <c r="D20" i="33"/>
  <c r="F20" i="33"/>
  <c r="E20" i="33"/>
  <c r="D19" i="33"/>
  <c r="F19" i="33"/>
  <c r="E19" i="33"/>
  <c r="D18" i="33"/>
  <c r="F18" i="33"/>
  <c r="E18" i="33"/>
  <c r="D17" i="33"/>
  <c r="F17" i="33"/>
  <c r="E17" i="33"/>
  <c r="D16" i="33"/>
  <c r="F16" i="33"/>
  <c r="E16" i="33"/>
  <c r="D15" i="33"/>
  <c r="F15" i="33"/>
  <c r="E15" i="33"/>
  <c r="D14" i="33"/>
  <c r="F14" i="33"/>
  <c r="E14" i="33"/>
  <c r="D13" i="33"/>
  <c r="F13" i="33"/>
  <c r="E13" i="33"/>
  <c r="D12" i="33"/>
  <c r="F12" i="33"/>
  <c r="E12" i="33"/>
  <c r="D11" i="33"/>
  <c r="F11" i="33"/>
  <c r="E11" i="33"/>
  <c r="D10" i="33"/>
  <c r="F10" i="33"/>
  <c r="E10" i="33"/>
  <c r="D9" i="33"/>
  <c r="F9" i="33"/>
  <c r="E9" i="33"/>
  <c r="D8" i="33"/>
  <c r="F8" i="33"/>
  <c r="E8" i="33"/>
  <c r="D7" i="33"/>
  <c r="F7" i="33"/>
  <c r="E7" i="33"/>
  <c r="D6" i="33"/>
  <c r="F6" i="33"/>
  <c r="E6" i="33"/>
  <c r="D5" i="33"/>
  <c r="F5" i="33"/>
  <c r="E5" i="33"/>
  <c r="D4" i="33"/>
  <c r="F4" i="33"/>
  <c r="E4" i="33"/>
  <c r="D3" i="33"/>
  <c r="F3" i="33"/>
  <c r="E3" i="33"/>
  <c r="F2" i="33"/>
  <c r="E2" i="33"/>
  <c r="D2" i="33"/>
  <c r="F54" i="32"/>
  <c r="E54" i="32"/>
  <c r="D54" i="32"/>
  <c r="C54" i="32"/>
  <c r="B54" i="32"/>
  <c r="E3" i="32"/>
  <c r="F3" i="32"/>
  <c r="E4" i="32"/>
  <c r="F4" i="32"/>
  <c r="E5" i="32"/>
  <c r="F5" i="32"/>
  <c r="E6" i="32"/>
  <c r="F6" i="32"/>
  <c r="E7" i="32"/>
  <c r="F7" i="32"/>
  <c r="E8" i="32"/>
  <c r="F8" i="32"/>
  <c r="E9" i="32"/>
  <c r="F9" i="32"/>
  <c r="E10" i="32"/>
  <c r="F10" i="32"/>
  <c r="E11" i="32"/>
  <c r="F11" i="32"/>
  <c r="E12" i="32"/>
  <c r="F12" i="32"/>
  <c r="E13" i="32"/>
  <c r="F13" i="32"/>
  <c r="E14" i="32"/>
  <c r="F14" i="32"/>
  <c r="E15" i="32"/>
  <c r="F15" i="32"/>
  <c r="E16" i="32"/>
  <c r="F16" i="32"/>
  <c r="E17" i="32"/>
  <c r="F17" i="32"/>
  <c r="E18" i="32"/>
  <c r="F18" i="32"/>
  <c r="E19" i="32"/>
  <c r="F19" i="32"/>
  <c r="E20" i="32"/>
  <c r="F20" i="32"/>
  <c r="E21" i="32"/>
  <c r="F21" i="32"/>
  <c r="E22" i="32"/>
  <c r="F22" i="32"/>
  <c r="E23" i="32"/>
  <c r="F23" i="32"/>
  <c r="E24" i="32"/>
  <c r="F24" i="32"/>
  <c r="E25" i="32"/>
  <c r="F25" i="32"/>
  <c r="E26" i="32"/>
  <c r="F26" i="32"/>
  <c r="E27" i="32"/>
  <c r="F27" i="32"/>
  <c r="E28" i="32"/>
  <c r="F28" i="32"/>
  <c r="E29" i="32"/>
  <c r="F29" i="32"/>
  <c r="E30" i="32"/>
  <c r="F30" i="32"/>
  <c r="E31" i="32"/>
  <c r="F31" i="32"/>
  <c r="E32" i="32"/>
  <c r="F32" i="32"/>
  <c r="E33" i="32"/>
  <c r="F33" i="32"/>
  <c r="E34" i="32"/>
  <c r="F34" i="32"/>
  <c r="E35" i="32"/>
  <c r="F35" i="32"/>
  <c r="E36" i="32"/>
  <c r="F36" i="32"/>
  <c r="E37" i="32"/>
  <c r="F37" i="32"/>
  <c r="E38" i="32"/>
  <c r="F38" i="32"/>
  <c r="E39" i="32"/>
  <c r="F39" i="32"/>
  <c r="E40" i="32"/>
  <c r="F40" i="32"/>
  <c r="E41" i="32"/>
  <c r="F41" i="32"/>
  <c r="E42" i="32"/>
  <c r="F42" i="32"/>
  <c r="E43" i="32"/>
  <c r="F43" i="32"/>
  <c r="E44" i="32"/>
  <c r="F44" i="32"/>
  <c r="E45" i="32"/>
  <c r="F45" i="32"/>
  <c r="E46" i="32"/>
  <c r="F46" i="32"/>
  <c r="E47" i="32"/>
  <c r="F47" i="32"/>
  <c r="E48" i="32"/>
  <c r="F48" i="32"/>
  <c r="E49" i="32"/>
  <c r="F49" i="32"/>
  <c r="E50" i="32"/>
  <c r="F50" i="32"/>
  <c r="E51" i="32"/>
  <c r="F51" i="32"/>
  <c r="E52" i="32"/>
  <c r="F52" i="32"/>
  <c r="F2" i="32"/>
  <c r="E2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D3" i="32"/>
  <c r="D2" i="32"/>
  <c r="B3" i="7"/>
  <c r="C49" i="31"/>
  <c r="C46" i="31"/>
  <c r="C35" i="31"/>
  <c r="C32" i="31"/>
  <c r="C25" i="31"/>
  <c r="C12" i="31"/>
  <c r="C9" i="31"/>
  <c r="C8" i="31"/>
  <c r="B46" i="31"/>
  <c r="B25" i="31"/>
  <c r="B15" i="31"/>
  <c r="U52" i="21"/>
  <c r="U52" i="25"/>
  <c r="T52" i="21"/>
  <c r="T52" i="25"/>
  <c r="S52" i="21"/>
  <c r="S52" i="25"/>
  <c r="R52" i="21"/>
  <c r="R52" i="25"/>
  <c r="Q52" i="21"/>
  <c r="Q52" i="25"/>
  <c r="P52" i="21"/>
  <c r="P52" i="25"/>
  <c r="O52" i="21"/>
  <c r="O52" i="25"/>
  <c r="U51" i="21"/>
  <c r="U51" i="25"/>
  <c r="T51" i="21"/>
  <c r="T51" i="25"/>
  <c r="S51" i="21"/>
  <c r="S51" i="25"/>
  <c r="R51" i="21"/>
  <c r="R51" i="25"/>
  <c r="Q51" i="21"/>
  <c r="Q51" i="25"/>
  <c r="P51" i="21"/>
  <c r="P51" i="25"/>
  <c r="O51" i="21"/>
  <c r="O51" i="25"/>
  <c r="U50" i="21"/>
  <c r="U50" i="25"/>
  <c r="T50" i="21"/>
  <c r="T50" i="25"/>
  <c r="S50" i="21"/>
  <c r="S50" i="25"/>
  <c r="R50" i="21"/>
  <c r="R50" i="25"/>
  <c r="Q50" i="21"/>
  <c r="Q50" i="25"/>
  <c r="P50" i="21"/>
  <c r="P50" i="25"/>
  <c r="O50" i="21"/>
  <c r="O50" i="25"/>
  <c r="U49" i="21"/>
  <c r="U49" i="25"/>
  <c r="T49" i="21"/>
  <c r="T49" i="25"/>
  <c r="S49" i="21"/>
  <c r="S49" i="25"/>
  <c r="R49" i="21"/>
  <c r="R49" i="25"/>
  <c r="Q49" i="21"/>
  <c r="Q49" i="25"/>
  <c r="P49" i="21"/>
  <c r="P49" i="25"/>
  <c r="O49" i="21"/>
  <c r="O49" i="25"/>
  <c r="U48" i="21"/>
  <c r="U48" i="25"/>
  <c r="T48" i="21"/>
  <c r="T48" i="25"/>
  <c r="S48" i="21"/>
  <c r="S48" i="25"/>
  <c r="R48" i="21"/>
  <c r="R48" i="25"/>
  <c r="Q48" i="21"/>
  <c r="Q48" i="25"/>
  <c r="P48" i="21"/>
  <c r="P48" i="25"/>
  <c r="O48" i="21"/>
  <c r="O48" i="25"/>
  <c r="U47" i="21"/>
  <c r="U47" i="25"/>
  <c r="T47" i="21"/>
  <c r="T47" i="25"/>
  <c r="S47" i="21"/>
  <c r="S47" i="25"/>
  <c r="R47" i="21"/>
  <c r="R47" i="25"/>
  <c r="Q47" i="21"/>
  <c r="Q47" i="25"/>
  <c r="P47" i="21"/>
  <c r="P47" i="25"/>
  <c r="O47" i="21"/>
  <c r="O47" i="25"/>
  <c r="U46" i="21"/>
  <c r="U46" i="25"/>
  <c r="T46" i="21"/>
  <c r="T46" i="25"/>
  <c r="S46" i="21"/>
  <c r="S46" i="25"/>
  <c r="R46" i="21"/>
  <c r="R46" i="25"/>
  <c r="Q46" i="21"/>
  <c r="Q46" i="25"/>
  <c r="P46" i="21"/>
  <c r="P46" i="25"/>
  <c r="O46" i="21"/>
  <c r="O46" i="25"/>
  <c r="U45" i="21"/>
  <c r="U45" i="25"/>
  <c r="T45" i="21"/>
  <c r="T45" i="25"/>
  <c r="S45" i="21"/>
  <c r="S45" i="25"/>
  <c r="R45" i="21"/>
  <c r="R45" i="25"/>
  <c r="Q45" i="21"/>
  <c r="Q45" i="25"/>
  <c r="P45" i="21"/>
  <c r="P45" i="25"/>
  <c r="O45" i="21"/>
  <c r="O45" i="25"/>
  <c r="U44" i="21"/>
  <c r="U44" i="25"/>
  <c r="T44" i="21"/>
  <c r="T44" i="25"/>
  <c r="S44" i="21"/>
  <c r="S44" i="25"/>
  <c r="R44" i="21"/>
  <c r="R44" i="25"/>
  <c r="Q44" i="21"/>
  <c r="Q44" i="25"/>
  <c r="P44" i="21"/>
  <c r="P44" i="25"/>
  <c r="O44" i="21"/>
  <c r="O44" i="25"/>
  <c r="U43" i="21"/>
  <c r="U43" i="25"/>
  <c r="T43" i="21"/>
  <c r="T43" i="25"/>
  <c r="S43" i="21"/>
  <c r="S43" i="25"/>
  <c r="R43" i="21"/>
  <c r="R43" i="25"/>
  <c r="Q43" i="21"/>
  <c r="Q43" i="25"/>
  <c r="P43" i="21"/>
  <c r="P43" i="25"/>
  <c r="O43" i="21"/>
  <c r="O43" i="25"/>
  <c r="U42" i="21"/>
  <c r="U42" i="25"/>
  <c r="T42" i="21"/>
  <c r="T42" i="25"/>
  <c r="S42" i="21"/>
  <c r="S42" i="25"/>
  <c r="R42" i="21"/>
  <c r="R42" i="25"/>
  <c r="Q42" i="21"/>
  <c r="Q42" i="25"/>
  <c r="P42" i="21"/>
  <c r="P42" i="25"/>
  <c r="O42" i="21"/>
  <c r="O42" i="25"/>
  <c r="U41" i="21"/>
  <c r="U41" i="25"/>
  <c r="T41" i="21"/>
  <c r="T41" i="25"/>
  <c r="S41" i="21"/>
  <c r="S41" i="25"/>
  <c r="R41" i="21"/>
  <c r="R41" i="25"/>
  <c r="Q41" i="21"/>
  <c r="Q41" i="25"/>
  <c r="P41" i="21"/>
  <c r="P41" i="25"/>
  <c r="O41" i="21"/>
  <c r="O41" i="25"/>
  <c r="U40" i="21"/>
  <c r="U40" i="25"/>
  <c r="T40" i="21"/>
  <c r="T40" i="25"/>
  <c r="S40" i="21"/>
  <c r="S40" i="25"/>
  <c r="R40" i="21"/>
  <c r="R40" i="25"/>
  <c r="Q40" i="21"/>
  <c r="Q40" i="25"/>
  <c r="P40" i="21"/>
  <c r="P40" i="25"/>
  <c r="O40" i="21"/>
  <c r="O40" i="25"/>
  <c r="U39" i="21"/>
  <c r="U39" i="25"/>
  <c r="T39" i="21"/>
  <c r="T39" i="25"/>
  <c r="S39" i="21"/>
  <c r="S39" i="25"/>
  <c r="R39" i="21"/>
  <c r="R39" i="25"/>
  <c r="Q39" i="21"/>
  <c r="Q39" i="25"/>
  <c r="P39" i="21"/>
  <c r="P39" i="25"/>
  <c r="O39" i="21"/>
  <c r="O39" i="25"/>
  <c r="U38" i="21"/>
  <c r="U38" i="25"/>
  <c r="T38" i="21"/>
  <c r="T38" i="25"/>
  <c r="S38" i="21"/>
  <c r="S38" i="25"/>
  <c r="R38" i="21"/>
  <c r="R38" i="25"/>
  <c r="Q38" i="21"/>
  <c r="Q38" i="25"/>
  <c r="P38" i="21"/>
  <c r="P38" i="25"/>
  <c r="O38" i="21"/>
  <c r="O38" i="25"/>
  <c r="U37" i="21"/>
  <c r="U37" i="25"/>
  <c r="T37" i="21"/>
  <c r="T37" i="25"/>
  <c r="S37" i="21"/>
  <c r="S37" i="25"/>
  <c r="R37" i="21"/>
  <c r="R37" i="25"/>
  <c r="Q37" i="21"/>
  <c r="Q37" i="25"/>
  <c r="P37" i="21"/>
  <c r="P37" i="25"/>
  <c r="O37" i="21"/>
  <c r="O37" i="25"/>
  <c r="U36" i="21"/>
  <c r="U36" i="25"/>
  <c r="T36" i="21"/>
  <c r="T36" i="25"/>
  <c r="S36" i="21"/>
  <c r="S36" i="25"/>
  <c r="R36" i="21"/>
  <c r="R36" i="25"/>
  <c r="Q36" i="21"/>
  <c r="Q36" i="25"/>
  <c r="P36" i="21"/>
  <c r="P36" i="25"/>
  <c r="O36" i="21"/>
  <c r="O36" i="25"/>
  <c r="U35" i="21"/>
  <c r="U35" i="25"/>
  <c r="T35" i="21"/>
  <c r="T35" i="25"/>
  <c r="S35" i="21"/>
  <c r="S35" i="25"/>
  <c r="R35" i="21"/>
  <c r="R35" i="25"/>
  <c r="Q35" i="21"/>
  <c r="Q35" i="25"/>
  <c r="P35" i="21"/>
  <c r="P35" i="25"/>
  <c r="O35" i="21"/>
  <c r="O35" i="25"/>
  <c r="U34" i="21"/>
  <c r="U34" i="25"/>
  <c r="T34" i="21"/>
  <c r="T34" i="25"/>
  <c r="S34" i="21"/>
  <c r="S34" i="25"/>
  <c r="R34" i="21"/>
  <c r="R34" i="25"/>
  <c r="Q34" i="21"/>
  <c r="Q34" i="25"/>
  <c r="P34" i="21"/>
  <c r="P34" i="25"/>
  <c r="O34" i="21"/>
  <c r="O34" i="25"/>
  <c r="U33" i="21"/>
  <c r="U33" i="25"/>
  <c r="T33" i="21"/>
  <c r="T33" i="25"/>
  <c r="S33" i="21"/>
  <c r="S33" i="25"/>
  <c r="R33" i="21"/>
  <c r="R33" i="25"/>
  <c r="Q33" i="21"/>
  <c r="Q33" i="25"/>
  <c r="P33" i="21"/>
  <c r="P33" i="25"/>
  <c r="O33" i="21"/>
  <c r="O33" i="25"/>
  <c r="U32" i="21"/>
  <c r="U32" i="25"/>
  <c r="T32" i="21"/>
  <c r="T32" i="25"/>
  <c r="S32" i="21"/>
  <c r="S32" i="25"/>
  <c r="R32" i="21"/>
  <c r="R32" i="25"/>
  <c r="Q32" i="21"/>
  <c r="Q32" i="25"/>
  <c r="P32" i="21"/>
  <c r="P32" i="25"/>
  <c r="O32" i="21"/>
  <c r="O32" i="25"/>
  <c r="U31" i="21"/>
  <c r="U31" i="25"/>
  <c r="T31" i="21"/>
  <c r="T31" i="25"/>
  <c r="S31" i="21"/>
  <c r="S31" i="25"/>
  <c r="R31" i="21"/>
  <c r="R31" i="25"/>
  <c r="Q31" i="21"/>
  <c r="Q31" i="25"/>
  <c r="P31" i="21"/>
  <c r="P31" i="25"/>
  <c r="O31" i="21"/>
  <c r="O31" i="25"/>
  <c r="U30" i="21"/>
  <c r="U30" i="25"/>
  <c r="T30" i="21"/>
  <c r="T30" i="25"/>
  <c r="S30" i="21"/>
  <c r="S30" i="25"/>
  <c r="R30" i="21"/>
  <c r="R30" i="25"/>
  <c r="Q30" i="21"/>
  <c r="Q30" i="25"/>
  <c r="P30" i="21"/>
  <c r="P30" i="25"/>
  <c r="O30" i="21"/>
  <c r="O30" i="25"/>
  <c r="U29" i="21"/>
  <c r="U29" i="25"/>
  <c r="T29" i="21"/>
  <c r="T29" i="25"/>
  <c r="S29" i="21"/>
  <c r="S29" i="25"/>
  <c r="R29" i="21"/>
  <c r="R29" i="25"/>
  <c r="Q29" i="21"/>
  <c r="Q29" i="25"/>
  <c r="P29" i="21"/>
  <c r="P29" i="25"/>
  <c r="O29" i="21"/>
  <c r="O29" i="25"/>
  <c r="U28" i="21"/>
  <c r="U28" i="25"/>
  <c r="T28" i="21"/>
  <c r="T28" i="25"/>
  <c r="S28" i="21"/>
  <c r="S28" i="25"/>
  <c r="R28" i="21"/>
  <c r="R28" i="25"/>
  <c r="Q28" i="21"/>
  <c r="Q28" i="25"/>
  <c r="P28" i="21"/>
  <c r="P28" i="25"/>
  <c r="O28" i="21"/>
  <c r="O28" i="25"/>
  <c r="U27" i="21"/>
  <c r="U27" i="25"/>
  <c r="T27" i="21"/>
  <c r="T27" i="25"/>
  <c r="S27" i="21"/>
  <c r="S27" i="25"/>
  <c r="R27" i="21"/>
  <c r="R27" i="25"/>
  <c r="Q27" i="21"/>
  <c r="Q27" i="25"/>
  <c r="P27" i="21"/>
  <c r="P27" i="25"/>
  <c r="O27" i="21"/>
  <c r="O27" i="25"/>
  <c r="U26" i="21"/>
  <c r="U26" i="25"/>
  <c r="T26" i="21"/>
  <c r="T26" i="25"/>
  <c r="S26" i="21"/>
  <c r="S26" i="25"/>
  <c r="R26" i="21"/>
  <c r="R26" i="25"/>
  <c r="Q26" i="21"/>
  <c r="Q26" i="25"/>
  <c r="P26" i="21"/>
  <c r="P26" i="25"/>
  <c r="O26" i="21"/>
  <c r="O26" i="25"/>
  <c r="U25" i="21"/>
  <c r="U25" i="25"/>
  <c r="T25" i="21"/>
  <c r="T25" i="25"/>
  <c r="S25" i="21"/>
  <c r="S25" i="25"/>
  <c r="R25" i="21"/>
  <c r="R25" i="25"/>
  <c r="Q25" i="21"/>
  <c r="Q25" i="25"/>
  <c r="P25" i="21"/>
  <c r="P25" i="25"/>
  <c r="O25" i="21"/>
  <c r="O25" i="25"/>
  <c r="U24" i="21"/>
  <c r="U24" i="25"/>
  <c r="T24" i="21"/>
  <c r="T24" i="25"/>
  <c r="S24" i="21"/>
  <c r="S24" i="25"/>
  <c r="R24" i="21"/>
  <c r="R24" i="25"/>
  <c r="Q24" i="21"/>
  <c r="Q24" i="25"/>
  <c r="P24" i="21"/>
  <c r="P24" i="25"/>
  <c r="O24" i="21"/>
  <c r="O24" i="25"/>
  <c r="U23" i="21"/>
  <c r="U23" i="25"/>
  <c r="T23" i="21"/>
  <c r="T23" i="25"/>
  <c r="S23" i="21"/>
  <c r="S23" i="25"/>
  <c r="R23" i="21"/>
  <c r="R23" i="25"/>
  <c r="Q23" i="21"/>
  <c r="Q23" i="25"/>
  <c r="P23" i="21"/>
  <c r="P23" i="25"/>
  <c r="O23" i="21"/>
  <c r="O23" i="25"/>
  <c r="U22" i="21"/>
  <c r="U22" i="25"/>
  <c r="T22" i="21"/>
  <c r="T22" i="25"/>
  <c r="S22" i="21"/>
  <c r="S22" i="25"/>
  <c r="R22" i="21"/>
  <c r="R22" i="25"/>
  <c r="Q22" i="21"/>
  <c r="Q22" i="25"/>
  <c r="P22" i="21"/>
  <c r="P22" i="25"/>
  <c r="O22" i="21"/>
  <c r="O22" i="25"/>
  <c r="U21" i="21"/>
  <c r="U21" i="25"/>
  <c r="T21" i="21"/>
  <c r="T21" i="25"/>
  <c r="S21" i="21"/>
  <c r="S21" i="25"/>
  <c r="R21" i="21"/>
  <c r="R21" i="25"/>
  <c r="Q21" i="21"/>
  <c r="Q21" i="25"/>
  <c r="P21" i="21"/>
  <c r="P21" i="25"/>
  <c r="O21" i="21"/>
  <c r="O21" i="25"/>
  <c r="U20" i="21"/>
  <c r="U20" i="25"/>
  <c r="T20" i="21"/>
  <c r="T20" i="25"/>
  <c r="S20" i="21"/>
  <c r="S20" i="25"/>
  <c r="R20" i="21"/>
  <c r="R20" i="25"/>
  <c r="Q20" i="21"/>
  <c r="Q20" i="25"/>
  <c r="P20" i="21"/>
  <c r="P20" i="25"/>
  <c r="O20" i="21"/>
  <c r="O20" i="25"/>
  <c r="U19" i="21"/>
  <c r="U19" i="25"/>
  <c r="T19" i="21"/>
  <c r="T19" i="25"/>
  <c r="S19" i="21"/>
  <c r="S19" i="25"/>
  <c r="R19" i="21"/>
  <c r="R19" i="25"/>
  <c r="Q19" i="21"/>
  <c r="Q19" i="25"/>
  <c r="P19" i="21"/>
  <c r="P19" i="25"/>
  <c r="O19" i="21"/>
  <c r="O19" i="25"/>
  <c r="U18" i="21"/>
  <c r="U18" i="25"/>
  <c r="T18" i="21"/>
  <c r="T18" i="25"/>
  <c r="S18" i="21"/>
  <c r="S18" i="25"/>
  <c r="R18" i="21"/>
  <c r="R18" i="25"/>
  <c r="Q18" i="21"/>
  <c r="Q18" i="25"/>
  <c r="P18" i="21"/>
  <c r="P18" i="25"/>
  <c r="O18" i="21"/>
  <c r="O18" i="25"/>
  <c r="U17" i="21"/>
  <c r="U17" i="25"/>
  <c r="T17" i="21"/>
  <c r="T17" i="25"/>
  <c r="S17" i="21"/>
  <c r="S17" i="25"/>
  <c r="R17" i="21"/>
  <c r="R17" i="25"/>
  <c r="Q17" i="21"/>
  <c r="Q17" i="25"/>
  <c r="P17" i="21"/>
  <c r="P17" i="25"/>
  <c r="O17" i="21"/>
  <c r="O17" i="25"/>
  <c r="U16" i="21"/>
  <c r="U16" i="25"/>
  <c r="T16" i="21"/>
  <c r="T16" i="25"/>
  <c r="S16" i="21"/>
  <c r="S16" i="25"/>
  <c r="R16" i="21"/>
  <c r="R16" i="25"/>
  <c r="Q16" i="21"/>
  <c r="Q16" i="25"/>
  <c r="P16" i="21"/>
  <c r="P16" i="25"/>
  <c r="O16" i="21"/>
  <c r="O16" i="25"/>
  <c r="U15" i="21"/>
  <c r="U15" i="25"/>
  <c r="T15" i="21"/>
  <c r="T15" i="25"/>
  <c r="S15" i="21"/>
  <c r="S15" i="25"/>
  <c r="R15" i="21"/>
  <c r="R15" i="25"/>
  <c r="Q15" i="21"/>
  <c r="Q15" i="25"/>
  <c r="P15" i="21"/>
  <c r="P15" i="25"/>
  <c r="O15" i="21"/>
  <c r="O15" i="25"/>
  <c r="U14" i="21"/>
  <c r="U14" i="25"/>
  <c r="T14" i="21"/>
  <c r="T14" i="25"/>
  <c r="S14" i="21"/>
  <c r="S14" i="25"/>
  <c r="R14" i="21"/>
  <c r="R14" i="25"/>
  <c r="Q14" i="21"/>
  <c r="Q14" i="25"/>
  <c r="P14" i="21"/>
  <c r="P14" i="25"/>
  <c r="O14" i="21"/>
  <c r="O14" i="25"/>
  <c r="U13" i="21"/>
  <c r="U13" i="25"/>
  <c r="T13" i="21"/>
  <c r="T13" i="25"/>
  <c r="S13" i="21"/>
  <c r="S13" i="25"/>
  <c r="R13" i="21"/>
  <c r="R13" i="25"/>
  <c r="Q13" i="21"/>
  <c r="Q13" i="25"/>
  <c r="P13" i="21"/>
  <c r="P13" i="25"/>
  <c r="O13" i="21"/>
  <c r="O13" i="25"/>
  <c r="U12" i="21"/>
  <c r="U12" i="25"/>
  <c r="T12" i="21"/>
  <c r="T12" i="25"/>
  <c r="S12" i="21"/>
  <c r="S12" i="25"/>
  <c r="R12" i="21"/>
  <c r="R12" i="25"/>
  <c r="Q12" i="21"/>
  <c r="Q12" i="25"/>
  <c r="P12" i="21"/>
  <c r="P12" i="25"/>
  <c r="O12" i="21"/>
  <c r="O12" i="25"/>
  <c r="U11" i="21"/>
  <c r="U11" i="25"/>
  <c r="T11" i="21"/>
  <c r="T11" i="25"/>
  <c r="S11" i="21"/>
  <c r="S11" i="25"/>
  <c r="R11" i="21"/>
  <c r="R11" i="25"/>
  <c r="Q11" i="21"/>
  <c r="Q11" i="25"/>
  <c r="P11" i="21"/>
  <c r="P11" i="25"/>
  <c r="O11" i="21"/>
  <c r="O11" i="25"/>
  <c r="U10" i="21"/>
  <c r="U10" i="25"/>
  <c r="T10" i="21"/>
  <c r="T10" i="25"/>
  <c r="S10" i="21"/>
  <c r="S10" i="25"/>
  <c r="R10" i="21"/>
  <c r="R10" i="25"/>
  <c r="Q10" i="21"/>
  <c r="Q10" i="25"/>
  <c r="P10" i="21"/>
  <c r="P10" i="25"/>
  <c r="O10" i="21"/>
  <c r="O10" i="25"/>
  <c r="U9" i="21"/>
  <c r="U9" i="25"/>
  <c r="T9" i="21"/>
  <c r="T9" i="25"/>
  <c r="S9" i="21"/>
  <c r="S9" i="25"/>
  <c r="R9" i="21"/>
  <c r="R9" i="25"/>
  <c r="Q9" i="21"/>
  <c r="Q9" i="25"/>
  <c r="P9" i="21"/>
  <c r="P9" i="25"/>
  <c r="O9" i="21"/>
  <c r="O9" i="25"/>
  <c r="U8" i="21"/>
  <c r="U8" i="25"/>
  <c r="T8" i="21"/>
  <c r="T8" i="25"/>
  <c r="S8" i="21"/>
  <c r="S8" i="25"/>
  <c r="R8" i="21"/>
  <c r="R8" i="25"/>
  <c r="Q8" i="21"/>
  <c r="Q8" i="25"/>
  <c r="P8" i="21"/>
  <c r="P8" i="25"/>
  <c r="O8" i="21"/>
  <c r="O8" i="25"/>
  <c r="U7" i="21"/>
  <c r="U7" i="25"/>
  <c r="T7" i="21"/>
  <c r="T7" i="25"/>
  <c r="S7" i="21"/>
  <c r="S7" i="25"/>
  <c r="R7" i="21"/>
  <c r="R7" i="25"/>
  <c r="Q7" i="21"/>
  <c r="Q7" i="25"/>
  <c r="P7" i="21"/>
  <c r="P7" i="25"/>
  <c r="O7" i="21"/>
  <c r="O7" i="25"/>
  <c r="U6" i="21"/>
  <c r="U6" i="25"/>
  <c r="T6" i="21"/>
  <c r="T6" i="25"/>
  <c r="S6" i="21"/>
  <c r="S6" i="25"/>
  <c r="R6" i="21"/>
  <c r="R6" i="25"/>
  <c r="Q6" i="21"/>
  <c r="Q6" i="25"/>
  <c r="P6" i="21"/>
  <c r="P6" i="25"/>
  <c r="O6" i="21"/>
  <c r="O6" i="25"/>
  <c r="U5" i="21"/>
  <c r="U5" i="25"/>
  <c r="T5" i="21"/>
  <c r="T5" i="25"/>
  <c r="S5" i="21"/>
  <c r="S5" i="25"/>
  <c r="R5" i="21"/>
  <c r="R5" i="25"/>
  <c r="Q5" i="21"/>
  <c r="Q5" i="25"/>
  <c r="P5" i="21"/>
  <c r="P5" i="25"/>
  <c r="O5" i="21"/>
  <c r="O5" i="25"/>
  <c r="U4" i="21"/>
  <c r="U4" i="25"/>
  <c r="T4" i="21"/>
  <c r="T4" i="25"/>
  <c r="S4" i="21"/>
  <c r="S4" i="25"/>
  <c r="R4" i="21"/>
  <c r="R4" i="25"/>
  <c r="Q4" i="21"/>
  <c r="Q4" i="25"/>
  <c r="P4" i="21"/>
  <c r="P4" i="25"/>
  <c r="O4" i="21"/>
  <c r="O4" i="25"/>
  <c r="U3" i="21"/>
  <c r="U3" i="25"/>
  <c r="T3" i="21"/>
  <c r="T3" i="25"/>
  <c r="S3" i="21"/>
  <c r="S3" i="25"/>
  <c r="R3" i="21"/>
  <c r="R3" i="25"/>
  <c r="Q3" i="21"/>
  <c r="Q3" i="25"/>
  <c r="P3" i="21"/>
  <c r="P3" i="25"/>
  <c r="O3" i="21"/>
  <c r="O3" i="25"/>
  <c r="U2" i="21"/>
  <c r="U2" i="25"/>
  <c r="T2" i="21"/>
  <c r="T2" i="25"/>
  <c r="S2" i="21"/>
  <c r="S2" i="25"/>
  <c r="R2" i="21"/>
  <c r="R2" i="25"/>
  <c r="Q2" i="21"/>
  <c r="Q2" i="25"/>
  <c r="P2" i="21"/>
  <c r="P2" i="25"/>
  <c r="O2" i="21"/>
  <c r="O2" i="25"/>
  <c r="N52" i="21"/>
  <c r="N52" i="25"/>
  <c r="N51" i="21"/>
  <c r="N51" i="25"/>
  <c r="N50" i="21"/>
  <c r="N50" i="25"/>
  <c r="N49" i="21"/>
  <c r="N49" i="25"/>
  <c r="N48" i="21"/>
  <c r="N48" i="25"/>
  <c r="N47" i="21"/>
  <c r="N47" i="25"/>
  <c r="N46" i="21"/>
  <c r="N46" i="25"/>
  <c r="N45" i="21"/>
  <c r="N45" i="25"/>
  <c r="N44" i="21"/>
  <c r="N44" i="25"/>
  <c r="N43" i="21"/>
  <c r="N43" i="25"/>
  <c r="N42" i="21"/>
  <c r="N42" i="25"/>
  <c r="N41" i="21"/>
  <c r="N41" i="25"/>
  <c r="N40" i="21"/>
  <c r="N40" i="25"/>
  <c r="N39" i="21"/>
  <c r="N39" i="25"/>
  <c r="N38" i="21"/>
  <c r="N38" i="25"/>
  <c r="N37" i="21"/>
  <c r="N37" i="25"/>
  <c r="N36" i="21"/>
  <c r="N36" i="25"/>
  <c r="N35" i="21"/>
  <c r="N35" i="25"/>
  <c r="N34" i="21"/>
  <c r="N34" i="25"/>
  <c r="N33" i="21"/>
  <c r="N33" i="25"/>
  <c r="N32" i="21"/>
  <c r="N32" i="25"/>
  <c r="N31" i="21"/>
  <c r="N31" i="25"/>
  <c r="N30" i="21"/>
  <c r="N30" i="25"/>
  <c r="N29" i="21"/>
  <c r="N29" i="25"/>
  <c r="N28" i="21"/>
  <c r="N28" i="25"/>
  <c r="N27" i="21"/>
  <c r="N27" i="25"/>
  <c r="N26" i="21"/>
  <c r="N26" i="25"/>
  <c r="N25" i="21"/>
  <c r="N25" i="25"/>
  <c r="N24" i="21"/>
  <c r="N24" i="25"/>
  <c r="N23" i="21"/>
  <c r="N23" i="25"/>
  <c r="N22" i="21"/>
  <c r="N22" i="25"/>
  <c r="N21" i="21"/>
  <c r="N21" i="25"/>
  <c r="N20" i="21"/>
  <c r="N20" i="25"/>
  <c r="N19" i="21"/>
  <c r="N19" i="25"/>
  <c r="N18" i="21"/>
  <c r="N18" i="25"/>
  <c r="N17" i="21"/>
  <c r="N17" i="25"/>
  <c r="N16" i="21"/>
  <c r="N16" i="25"/>
  <c r="N15" i="21"/>
  <c r="N15" i="25"/>
  <c r="N14" i="21"/>
  <c r="N14" i="25"/>
  <c r="N13" i="21"/>
  <c r="N13" i="25"/>
  <c r="N12" i="21"/>
  <c r="N12" i="25"/>
  <c r="N11" i="21"/>
  <c r="N11" i="25"/>
  <c r="N10" i="21"/>
  <c r="N10" i="25"/>
  <c r="N9" i="21"/>
  <c r="N9" i="25"/>
  <c r="N8" i="21"/>
  <c r="N8" i="25"/>
  <c r="N7" i="21"/>
  <c r="N7" i="25"/>
  <c r="N6" i="21"/>
  <c r="N6" i="25"/>
  <c r="N5" i="21"/>
  <c r="N5" i="25"/>
  <c r="N4" i="21"/>
  <c r="N4" i="25"/>
  <c r="N3" i="21"/>
  <c r="N3" i="25"/>
  <c r="N2" i="21"/>
  <c r="N2" i="25"/>
  <c r="M3" i="21"/>
  <c r="M3" i="25"/>
  <c r="M4" i="21"/>
  <c r="M4" i="25"/>
  <c r="M5" i="21"/>
  <c r="M5" i="25"/>
  <c r="M6" i="21"/>
  <c r="M6" i="25"/>
  <c r="M7" i="21"/>
  <c r="M7" i="25"/>
  <c r="M8" i="21"/>
  <c r="M8" i="25"/>
  <c r="M9" i="21"/>
  <c r="M9" i="25"/>
  <c r="M10" i="21"/>
  <c r="M10" i="25"/>
  <c r="M11" i="21"/>
  <c r="M11" i="25"/>
  <c r="M12" i="21"/>
  <c r="M12" i="25"/>
  <c r="M13" i="21"/>
  <c r="M13" i="25"/>
  <c r="M14" i="21"/>
  <c r="M14" i="25"/>
  <c r="M15" i="21"/>
  <c r="M15" i="25"/>
  <c r="M16" i="21"/>
  <c r="M16" i="25"/>
  <c r="M17" i="21"/>
  <c r="M17" i="25"/>
  <c r="M18" i="21"/>
  <c r="M18" i="25"/>
  <c r="M19" i="21"/>
  <c r="M19" i="25"/>
  <c r="M20" i="21"/>
  <c r="M20" i="25"/>
  <c r="M21" i="21"/>
  <c r="M21" i="25"/>
  <c r="M22" i="21"/>
  <c r="M22" i="25"/>
  <c r="M23" i="21"/>
  <c r="M23" i="25"/>
  <c r="M24" i="21"/>
  <c r="M24" i="25"/>
  <c r="M25" i="21"/>
  <c r="M25" i="25"/>
  <c r="M26" i="21"/>
  <c r="M26" i="25"/>
  <c r="M27" i="21"/>
  <c r="M27" i="25"/>
  <c r="M28" i="21"/>
  <c r="M28" i="25"/>
  <c r="M29" i="21"/>
  <c r="M29" i="25"/>
  <c r="M30" i="21"/>
  <c r="M30" i="25"/>
  <c r="M31" i="21"/>
  <c r="M31" i="25"/>
  <c r="M32" i="21"/>
  <c r="M32" i="25"/>
  <c r="M33" i="21"/>
  <c r="M33" i="25"/>
  <c r="M34" i="21"/>
  <c r="M34" i="25"/>
  <c r="M35" i="21"/>
  <c r="M35" i="25"/>
  <c r="M36" i="21"/>
  <c r="M36" i="25"/>
  <c r="M37" i="21"/>
  <c r="M37" i="25"/>
  <c r="M38" i="21"/>
  <c r="M38" i="25"/>
  <c r="M39" i="21"/>
  <c r="M39" i="25"/>
  <c r="M40" i="21"/>
  <c r="M40" i="25"/>
  <c r="M41" i="21"/>
  <c r="M41" i="25"/>
  <c r="M42" i="21"/>
  <c r="M42" i="25"/>
  <c r="M43" i="21"/>
  <c r="M43" i="25"/>
  <c r="M44" i="21"/>
  <c r="M44" i="25"/>
  <c r="M45" i="21"/>
  <c r="M45" i="25"/>
  <c r="M46" i="21"/>
  <c r="M46" i="25"/>
  <c r="M47" i="21"/>
  <c r="M47" i="25"/>
  <c r="M48" i="21"/>
  <c r="M48" i="25"/>
  <c r="M49" i="21"/>
  <c r="M49" i="25"/>
  <c r="M50" i="21"/>
  <c r="M50" i="25"/>
  <c r="M51" i="21"/>
  <c r="M51" i="25"/>
  <c r="M52" i="21"/>
  <c r="M52" i="25"/>
  <c r="M2" i="21"/>
  <c r="M2" i="25"/>
  <c r="O4" i="9"/>
  <c r="Q4" i="9"/>
  <c r="R4" i="9"/>
  <c r="C3" i="8"/>
  <c r="N3" i="8"/>
  <c r="O4" i="10"/>
  <c r="Q4" i="10"/>
  <c r="R4" i="10"/>
  <c r="D3" i="8"/>
  <c r="O3" i="8"/>
  <c r="O4" i="11"/>
  <c r="Q4" i="11"/>
  <c r="R4" i="11"/>
  <c r="E3" i="8"/>
  <c r="P3" i="8"/>
  <c r="O4" i="12"/>
  <c r="Q4" i="12"/>
  <c r="R4" i="12"/>
  <c r="F3" i="8"/>
  <c r="Q3" i="8"/>
  <c r="O4" i="13"/>
  <c r="Q4" i="13"/>
  <c r="R4" i="13"/>
  <c r="G3" i="8"/>
  <c r="R3" i="8"/>
  <c r="O5" i="9"/>
  <c r="Q5" i="9"/>
  <c r="R5" i="9"/>
  <c r="C4" i="8"/>
  <c r="N4" i="8"/>
  <c r="O5" i="10"/>
  <c r="Q5" i="10"/>
  <c r="R5" i="10"/>
  <c r="D4" i="8"/>
  <c r="O4" i="8"/>
  <c r="O5" i="11"/>
  <c r="Q5" i="11"/>
  <c r="R5" i="11"/>
  <c r="E4" i="8"/>
  <c r="P4" i="8"/>
  <c r="O5" i="12"/>
  <c r="Q5" i="12"/>
  <c r="R5" i="12"/>
  <c r="F4" i="8"/>
  <c r="Q4" i="8"/>
  <c r="O5" i="13"/>
  <c r="Q5" i="13"/>
  <c r="R5" i="13"/>
  <c r="G4" i="8"/>
  <c r="R4" i="8"/>
  <c r="Q6" i="7"/>
  <c r="R6" i="7"/>
  <c r="B5" i="8"/>
  <c r="M5" i="8"/>
  <c r="P6" i="9"/>
  <c r="O6" i="9"/>
  <c r="Q6" i="9"/>
  <c r="R6" i="9"/>
  <c r="C5" i="8"/>
  <c r="N5" i="8"/>
  <c r="P6" i="10"/>
  <c r="O6" i="10"/>
  <c r="Q6" i="10"/>
  <c r="R6" i="10"/>
  <c r="D5" i="8"/>
  <c r="O5" i="8"/>
  <c r="P6" i="11"/>
  <c r="O6" i="11"/>
  <c r="Q6" i="11"/>
  <c r="R6" i="11"/>
  <c r="E5" i="8"/>
  <c r="P5" i="8"/>
  <c r="P6" i="12"/>
  <c r="O6" i="12"/>
  <c r="Q6" i="12"/>
  <c r="R6" i="12"/>
  <c r="F5" i="8"/>
  <c r="Q5" i="8"/>
  <c r="P6" i="13"/>
  <c r="O6" i="13"/>
  <c r="Q6" i="13"/>
  <c r="R6" i="13"/>
  <c r="G5" i="8"/>
  <c r="R5" i="8"/>
  <c r="O7" i="9"/>
  <c r="Q7" i="9"/>
  <c r="R7" i="9"/>
  <c r="C6" i="8"/>
  <c r="N6" i="8"/>
  <c r="O7" i="10"/>
  <c r="Q7" i="10"/>
  <c r="R7" i="10"/>
  <c r="D6" i="8"/>
  <c r="O6" i="8"/>
  <c r="O7" i="11"/>
  <c r="Q7" i="11"/>
  <c r="R7" i="11"/>
  <c r="E6" i="8"/>
  <c r="P6" i="8"/>
  <c r="O7" i="12"/>
  <c r="Q7" i="12"/>
  <c r="R7" i="12"/>
  <c r="F6" i="8"/>
  <c r="Q6" i="8"/>
  <c r="O7" i="13"/>
  <c r="Q7" i="13"/>
  <c r="R7" i="13"/>
  <c r="G6" i="8"/>
  <c r="R6" i="8"/>
  <c r="O8" i="9"/>
  <c r="Q8" i="9"/>
  <c r="R8" i="9"/>
  <c r="C7" i="8"/>
  <c r="N7" i="8"/>
  <c r="O8" i="10"/>
  <c r="Q8" i="10"/>
  <c r="R8" i="10"/>
  <c r="D7" i="8"/>
  <c r="O7" i="8"/>
  <c r="O8" i="11"/>
  <c r="Q8" i="11"/>
  <c r="R8" i="11"/>
  <c r="E7" i="8"/>
  <c r="P7" i="8"/>
  <c r="O8" i="12"/>
  <c r="Q8" i="12"/>
  <c r="R8" i="12"/>
  <c r="F7" i="8"/>
  <c r="Q7" i="8"/>
  <c r="O8" i="13"/>
  <c r="Q8" i="13"/>
  <c r="R8" i="13"/>
  <c r="G7" i="8"/>
  <c r="R7" i="8"/>
  <c r="O9" i="9"/>
  <c r="Q9" i="9"/>
  <c r="R9" i="9"/>
  <c r="C8" i="8"/>
  <c r="N8" i="8"/>
  <c r="O9" i="10"/>
  <c r="Q9" i="10"/>
  <c r="R9" i="10"/>
  <c r="D8" i="8"/>
  <c r="O8" i="8"/>
  <c r="O9" i="11"/>
  <c r="Q9" i="11"/>
  <c r="R9" i="11"/>
  <c r="E8" i="8"/>
  <c r="P8" i="8"/>
  <c r="O9" i="12"/>
  <c r="Q9" i="12"/>
  <c r="R9" i="12"/>
  <c r="F8" i="8"/>
  <c r="Q8" i="8"/>
  <c r="O9" i="13"/>
  <c r="Q9" i="13"/>
  <c r="R9" i="13"/>
  <c r="G8" i="8"/>
  <c r="R8" i="8"/>
  <c r="O10" i="9"/>
  <c r="Q10" i="9"/>
  <c r="R10" i="9"/>
  <c r="C9" i="8"/>
  <c r="N9" i="8"/>
  <c r="O10" i="10"/>
  <c r="Q10" i="10"/>
  <c r="R10" i="10"/>
  <c r="D9" i="8"/>
  <c r="O9" i="8"/>
  <c r="O10" i="11"/>
  <c r="Q10" i="11"/>
  <c r="R10" i="11"/>
  <c r="E9" i="8"/>
  <c r="P9" i="8"/>
  <c r="O10" i="12"/>
  <c r="Q10" i="12"/>
  <c r="R10" i="12"/>
  <c r="F9" i="8"/>
  <c r="Q9" i="8"/>
  <c r="O10" i="13"/>
  <c r="Q10" i="13"/>
  <c r="R10" i="13"/>
  <c r="G9" i="8"/>
  <c r="R9" i="8"/>
  <c r="O11" i="9"/>
  <c r="Q11" i="9"/>
  <c r="R11" i="9"/>
  <c r="C10" i="8"/>
  <c r="N10" i="8"/>
  <c r="O11" i="10"/>
  <c r="Q11" i="10"/>
  <c r="R11" i="10"/>
  <c r="D10" i="8"/>
  <c r="O10" i="8"/>
  <c r="O11" i="11"/>
  <c r="Q11" i="11"/>
  <c r="R11" i="11"/>
  <c r="E10" i="8"/>
  <c r="P10" i="8"/>
  <c r="O11" i="12"/>
  <c r="Q11" i="12"/>
  <c r="R11" i="12"/>
  <c r="F10" i="8"/>
  <c r="Q10" i="8"/>
  <c r="O11" i="13"/>
  <c r="Q11" i="13"/>
  <c r="R11" i="13"/>
  <c r="G10" i="8"/>
  <c r="R10" i="8"/>
  <c r="O12" i="9"/>
  <c r="Q12" i="9"/>
  <c r="R12" i="9"/>
  <c r="C11" i="8"/>
  <c r="N11" i="8"/>
  <c r="O12" i="10"/>
  <c r="Q12" i="10"/>
  <c r="R12" i="10"/>
  <c r="D11" i="8"/>
  <c r="O11" i="8"/>
  <c r="O12" i="11"/>
  <c r="Q12" i="11"/>
  <c r="R12" i="11"/>
  <c r="E11" i="8"/>
  <c r="P11" i="8"/>
  <c r="O12" i="12"/>
  <c r="Q12" i="12"/>
  <c r="R12" i="12"/>
  <c r="F11" i="8"/>
  <c r="Q11" i="8"/>
  <c r="O12" i="13"/>
  <c r="Q12" i="13"/>
  <c r="R12" i="13"/>
  <c r="G11" i="8"/>
  <c r="R11" i="8"/>
  <c r="O13" i="9"/>
  <c r="Q13" i="9"/>
  <c r="R13" i="9"/>
  <c r="C12" i="8"/>
  <c r="N12" i="8"/>
  <c r="O13" i="10"/>
  <c r="Q13" i="10"/>
  <c r="R13" i="10"/>
  <c r="D12" i="8"/>
  <c r="O12" i="8"/>
  <c r="O13" i="11"/>
  <c r="Q13" i="11"/>
  <c r="R13" i="11"/>
  <c r="E12" i="8"/>
  <c r="P12" i="8"/>
  <c r="O13" i="12"/>
  <c r="Q13" i="12"/>
  <c r="R13" i="12"/>
  <c r="F12" i="8"/>
  <c r="Q12" i="8"/>
  <c r="O13" i="13"/>
  <c r="Q13" i="13"/>
  <c r="R13" i="13"/>
  <c r="G12" i="8"/>
  <c r="R12" i="8"/>
  <c r="O14" i="9"/>
  <c r="Q14" i="9"/>
  <c r="R14" i="9"/>
  <c r="C13" i="8"/>
  <c r="N13" i="8"/>
  <c r="O14" i="10"/>
  <c r="Q14" i="10"/>
  <c r="R14" i="10"/>
  <c r="D13" i="8"/>
  <c r="O13" i="8"/>
  <c r="O14" i="11"/>
  <c r="Q14" i="11"/>
  <c r="R14" i="11"/>
  <c r="E13" i="8"/>
  <c r="P13" i="8"/>
  <c r="O14" i="12"/>
  <c r="Q14" i="12"/>
  <c r="R14" i="12"/>
  <c r="F13" i="8"/>
  <c r="Q13" i="8"/>
  <c r="O14" i="13"/>
  <c r="Q14" i="13"/>
  <c r="R14" i="13"/>
  <c r="G13" i="8"/>
  <c r="R13" i="8"/>
  <c r="O15" i="9"/>
  <c r="Q15" i="9"/>
  <c r="R15" i="9"/>
  <c r="C14" i="8"/>
  <c r="N14" i="8"/>
  <c r="O15" i="10"/>
  <c r="Q15" i="10"/>
  <c r="R15" i="10"/>
  <c r="D14" i="8"/>
  <c r="O14" i="8"/>
  <c r="O15" i="11"/>
  <c r="Q15" i="11"/>
  <c r="R15" i="11"/>
  <c r="E14" i="8"/>
  <c r="P14" i="8"/>
  <c r="O15" i="12"/>
  <c r="Q15" i="12"/>
  <c r="R15" i="12"/>
  <c r="F14" i="8"/>
  <c r="Q14" i="8"/>
  <c r="O15" i="13"/>
  <c r="Q15" i="13"/>
  <c r="R15" i="13"/>
  <c r="G14" i="8"/>
  <c r="R14" i="8"/>
  <c r="O16" i="9"/>
  <c r="Q16" i="9"/>
  <c r="R16" i="9"/>
  <c r="C15" i="8"/>
  <c r="N15" i="8"/>
  <c r="O16" i="10"/>
  <c r="Q16" i="10"/>
  <c r="R16" i="10"/>
  <c r="D15" i="8"/>
  <c r="O15" i="8"/>
  <c r="O16" i="11"/>
  <c r="Q16" i="11"/>
  <c r="R16" i="11"/>
  <c r="E15" i="8"/>
  <c r="P15" i="8"/>
  <c r="O16" i="12"/>
  <c r="Q16" i="12"/>
  <c r="R16" i="12"/>
  <c r="F15" i="8"/>
  <c r="Q15" i="8"/>
  <c r="O16" i="13"/>
  <c r="Q16" i="13"/>
  <c r="R16" i="13"/>
  <c r="G15" i="8"/>
  <c r="R15" i="8"/>
  <c r="O17" i="9"/>
  <c r="Q17" i="9"/>
  <c r="R17" i="9"/>
  <c r="C16" i="8"/>
  <c r="N16" i="8"/>
  <c r="O17" i="10"/>
  <c r="Q17" i="10"/>
  <c r="R17" i="10"/>
  <c r="D16" i="8"/>
  <c r="O16" i="8"/>
  <c r="O17" i="11"/>
  <c r="Q17" i="11"/>
  <c r="R17" i="11"/>
  <c r="E16" i="8"/>
  <c r="P16" i="8"/>
  <c r="O17" i="12"/>
  <c r="Q17" i="12"/>
  <c r="R17" i="12"/>
  <c r="F16" i="8"/>
  <c r="Q16" i="8"/>
  <c r="O17" i="13"/>
  <c r="Q17" i="13"/>
  <c r="R17" i="13"/>
  <c r="G16" i="8"/>
  <c r="R16" i="8"/>
  <c r="O18" i="9"/>
  <c r="Q18" i="9"/>
  <c r="R18" i="9"/>
  <c r="C17" i="8"/>
  <c r="N17" i="8"/>
  <c r="O18" i="10"/>
  <c r="Q18" i="10"/>
  <c r="R18" i="10"/>
  <c r="D17" i="8"/>
  <c r="O17" i="8"/>
  <c r="O18" i="11"/>
  <c r="Q18" i="11"/>
  <c r="R18" i="11"/>
  <c r="E17" i="8"/>
  <c r="P17" i="8"/>
  <c r="O18" i="12"/>
  <c r="Q18" i="12"/>
  <c r="R18" i="12"/>
  <c r="F17" i="8"/>
  <c r="Q17" i="8"/>
  <c r="O18" i="13"/>
  <c r="Q18" i="13"/>
  <c r="R18" i="13"/>
  <c r="G17" i="8"/>
  <c r="R17" i="8"/>
  <c r="O19" i="9"/>
  <c r="Q19" i="9"/>
  <c r="R19" i="9"/>
  <c r="C18" i="8"/>
  <c r="N18" i="8"/>
  <c r="O19" i="10"/>
  <c r="Q19" i="10"/>
  <c r="R19" i="10"/>
  <c r="D18" i="8"/>
  <c r="O18" i="8"/>
  <c r="O19" i="11"/>
  <c r="Q19" i="11"/>
  <c r="R19" i="11"/>
  <c r="E18" i="8"/>
  <c r="P18" i="8"/>
  <c r="O19" i="12"/>
  <c r="Q19" i="12"/>
  <c r="R19" i="12"/>
  <c r="F18" i="8"/>
  <c r="Q18" i="8"/>
  <c r="O19" i="13"/>
  <c r="Q19" i="13"/>
  <c r="R19" i="13"/>
  <c r="G18" i="8"/>
  <c r="R18" i="8"/>
  <c r="O20" i="9"/>
  <c r="Q20" i="9"/>
  <c r="R20" i="9"/>
  <c r="C19" i="8"/>
  <c r="N19" i="8"/>
  <c r="O20" i="10"/>
  <c r="Q20" i="10"/>
  <c r="R20" i="10"/>
  <c r="D19" i="8"/>
  <c r="O19" i="8"/>
  <c r="O20" i="11"/>
  <c r="Q20" i="11"/>
  <c r="R20" i="11"/>
  <c r="E19" i="8"/>
  <c r="P19" i="8"/>
  <c r="O20" i="12"/>
  <c r="Q20" i="12"/>
  <c r="R20" i="12"/>
  <c r="F19" i="8"/>
  <c r="Q19" i="8"/>
  <c r="O20" i="13"/>
  <c r="Q20" i="13"/>
  <c r="R20" i="13"/>
  <c r="G19" i="8"/>
  <c r="R19" i="8"/>
  <c r="O21" i="9"/>
  <c r="Q21" i="9"/>
  <c r="R21" i="9"/>
  <c r="C20" i="8"/>
  <c r="N20" i="8"/>
  <c r="O21" i="10"/>
  <c r="Q21" i="10"/>
  <c r="R21" i="10"/>
  <c r="D20" i="8"/>
  <c r="O20" i="8"/>
  <c r="O21" i="11"/>
  <c r="Q21" i="11"/>
  <c r="R21" i="11"/>
  <c r="E20" i="8"/>
  <c r="P20" i="8"/>
  <c r="O21" i="12"/>
  <c r="Q21" i="12"/>
  <c r="R21" i="12"/>
  <c r="F20" i="8"/>
  <c r="Q20" i="8"/>
  <c r="O21" i="13"/>
  <c r="Q21" i="13"/>
  <c r="R21" i="13"/>
  <c r="G20" i="8"/>
  <c r="R20" i="8"/>
  <c r="O22" i="9"/>
  <c r="Q22" i="9"/>
  <c r="R22" i="9"/>
  <c r="C21" i="8"/>
  <c r="N21" i="8"/>
  <c r="O22" i="10"/>
  <c r="Q22" i="10"/>
  <c r="R22" i="10"/>
  <c r="D21" i="8"/>
  <c r="O21" i="8"/>
  <c r="O22" i="11"/>
  <c r="Q22" i="11"/>
  <c r="R22" i="11"/>
  <c r="E21" i="8"/>
  <c r="P21" i="8"/>
  <c r="O22" i="12"/>
  <c r="Q22" i="12"/>
  <c r="R22" i="12"/>
  <c r="F21" i="8"/>
  <c r="Q21" i="8"/>
  <c r="O22" i="13"/>
  <c r="Q22" i="13"/>
  <c r="R22" i="13"/>
  <c r="G21" i="8"/>
  <c r="R21" i="8"/>
  <c r="O23" i="9"/>
  <c r="Q23" i="9"/>
  <c r="R23" i="9"/>
  <c r="C22" i="8"/>
  <c r="N22" i="8"/>
  <c r="O23" i="10"/>
  <c r="Q23" i="10"/>
  <c r="R23" i="10"/>
  <c r="D22" i="8"/>
  <c r="O22" i="8"/>
  <c r="O23" i="11"/>
  <c r="Q23" i="11"/>
  <c r="R23" i="11"/>
  <c r="E22" i="8"/>
  <c r="P22" i="8"/>
  <c r="O23" i="12"/>
  <c r="Q23" i="12"/>
  <c r="R23" i="12"/>
  <c r="F22" i="8"/>
  <c r="Q22" i="8"/>
  <c r="O23" i="13"/>
  <c r="Q23" i="13"/>
  <c r="R23" i="13"/>
  <c r="G22" i="8"/>
  <c r="R22" i="8"/>
  <c r="O24" i="9"/>
  <c r="Q24" i="9"/>
  <c r="R24" i="9"/>
  <c r="C23" i="8"/>
  <c r="N23" i="8"/>
  <c r="O24" i="10"/>
  <c r="Q24" i="10"/>
  <c r="R24" i="10"/>
  <c r="D23" i="8"/>
  <c r="O23" i="8"/>
  <c r="O24" i="11"/>
  <c r="Q24" i="11"/>
  <c r="R24" i="11"/>
  <c r="E23" i="8"/>
  <c r="P23" i="8"/>
  <c r="O24" i="12"/>
  <c r="Q24" i="12"/>
  <c r="R24" i="12"/>
  <c r="F23" i="8"/>
  <c r="Q23" i="8"/>
  <c r="O24" i="13"/>
  <c r="Q24" i="13"/>
  <c r="R24" i="13"/>
  <c r="G23" i="8"/>
  <c r="R23" i="8"/>
  <c r="O25" i="9"/>
  <c r="Q25" i="9"/>
  <c r="R25" i="9"/>
  <c r="C24" i="8"/>
  <c r="N24" i="8"/>
  <c r="O25" i="10"/>
  <c r="Q25" i="10"/>
  <c r="R25" i="10"/>
  <c r="D24" i="8"/>
  <c r="O24" i="8"/>
  <c r="O25" i="11"/>
  <c r="Q25" i="11"/>
  <c r="R25" i="11"/>
  <c r="E24" i="8"/>
  <c r="P24" i="8"/>
  <c r="O25" i="12"/>
  <c r="Q25" i="12"/>
  <c r="R25" i="12"/>
  <c r="F24" i="8"/>
  <c r="Q24" i="8"/>
  <c r="O25" i="13"/>
  <c r="Q25" i="13"/>
  <c r="R25" i="13"/>
  <c r="G24" i="8"/>
  <c r="R24" i="8"/>
  <c r="O26" i="9"/>
  <c r="Q26" i="9"/>
  <c r="R26" i="9"/>
  <c r="C25" i="8"/>
  <c r="N25" i="8"/>
  <c r="O26" i="10"/>
  <c r="Q26" i="10"/>
  <c r="R26" i="10"/>
  <c r="D25" i="8"/>
  <c r="O25" i="8"/>
  <c r="O26" i="11"/>
  <c r="Q26" i="11"/>
  <c r="R26" i="11"/>
  <c r="E25" i="8"/>
  <c r="P25" i="8"/>
  <c r="O26" i="12"/>
  <c r="Q26" i="12"/>
  <c r="R26" i="12"/>
  <c r="F25" i="8"/>
  <c r="Q25" i="8"/>
  <c r="O26" i="13"/>
  <c r="Q26" i="13"/>
  <c r="R26" i="13"/>
  <c r="G25" i="8"/>
  <c r="R25" i="8"/>
  <c r="O27" i="9"/>
  <c r="Q27" i="9"/>
  <c r="R27" i="9"/>
  <c r="C26" i="8"/>
  <c r="N26" i="8"/>
  <c r="O27" i="10"/>
  <c r="Q27" i="10"/>
  <c r="R27" i="10"/>
  <c r="D26" i="8"/>
  <c r="O26" i="8"/>
  <c r="O27" i="11"/>
  <c r="Q27" i="11"/>
  <c r="R27" i="11"/>
  <c r="E26" i="8"/>
  <c r="P26" i="8"/>
  <c r="O27" i="12"/>
  <c r="Q27" i="12"/>
  <c r="R27" i="12"/>
  <c r="F26" i="8"/>
  <c r="Q26" i="8"/>
  <c r="O27" i="13"/>
  <c r="Q27" i="13"/>
  <c r="R27" i="13"/>
  <c r="G26" i="8"/>
  <c r="R26" i="8"/>
  <c r="O28" i="9"/>
  <c r="Q28" i="9"/>
  <c r="R28" i="9"/>
  <c r="C27" i="8"/>
  <c r="N27" i="8"/>
  <c r="O28" i="10"/>
  <c r="Q28" i="10"/>
  <c r="R28" i="10"/>
  <c r="D27" i="8"/>
  <c r="O27" i="8"/>
  <c r="O28" i="11"/>
  <c r="Q28" i="11"/>
  <c r="R28" i="11"/>
  <c r="E27" i="8"/>
  <c r="P27" i="8"/>
  <c r="O28" i="12"/>
  <c r="Q28" i="12"/>
  <c r="R28" i="12"/>
  <c r="F27" i="8"/>
  <c r="Q27" i="8"/>
  <c r="O28" i="13"/>
  <c r="Q28" i="13"/>
  <c r="R28" i="13"/>
  <c r="G27" i="8"/>
  <c r="R27" i="8"/>
  <c r="O29" i="9"/>
  <c r="Q29" i="9"/>
  <c r="R29" i="9"/>
  <c r="C28" i="8"/>
  <c r="N28" i="8"/>
  <c r="O29" i="10"/>
  <c r="Q29" i="10"/>
  <c r="R29" i="10"/>
  <c r="D28" i="8"/>
  <c r="O28" i="8"/>
  <c r="O29" i="11"/>
  <c r="Q29" i="11"/>
  <c r="R29" i="11"/>
  <c r="E28" i="8"/>
  <c r="P28" i="8"/>
  <c r="O29" i="12"/>
  <c r="Q29" i="12"/>
  <c r="R29" i="12"/>
  <c r="F28" i="8"/>
  <c r="Q28" i="8"/>
  <c r="O29" i="13"/>
  <c r="Q29" i="13"/>
  <c r="R29" i="13"/>
  <c r="G28" i="8"/>
  <c r="R28" i="8"/>
  <c r="O30" i="9"/>
  <c r="Q30" i="9"/>
  <c r="R30" i="9"/>
  <c r="C29" i="8"/>
  <c r="N29" i="8"/>
  <c r="O30" i="10"/>
  <c r="Q30" i="10"/>
  <c r="R30" i="10"/>
  <c r="D29" i="8"/>
  <c r="O29" i="8"/>
  <c r="O30" i="11"/>
  <c r="Q30" i="11"/>
  <c r="R30" i="11"/>
  <c r="E29" i="8"/>
  <c r="P29" i="8"/>
  <c r="O30" i="12"/>
  <c r="Q30" i="12"/>
  <c r="R30" i="12"/>
  <c r="F29" i="8"/>
  <c r="Q29" i="8"/>
  <c r="O30" i="13"/>
  <c r="Q30" i="13"/>
  <c r="R30" i="13"/>
  <c r="G29" i="8"/>
  <c r="R29" i="8"/>
  <c r="O31" i="9"/>
  <c r="Q31" i="9"/>
  <c r="R31" i="9"/>
  <c r="C30" i="8"/>
  <c r="N30" i="8"/>
  <c r="O31" i="10"/>
  <c r="Q31" i="10"/>
  <c r="R31" i="10"/>
  <c r="D30" i="8"/>
  <c r="O30" i="8"/>
  <c r="O31" i="11"/>
  <c r="Q31" i="11"/>
  <c r="R31" i="11"/>
  <c r="E30" i="8"/>
  <c r="P30" i="8"/>
  <c r="O31" i="12"/>
  <c r="Q31" i="12"/>
  <c r="R31" i="12"/>
  <c r="F30" i="8"/>
  <c r="Q30" i="8"/>
  <c r="O31" i="13"/>
  <c r="Q31" i="13"/>
  <c r="R31" i="13"/>
  <c r="G30" i="8"/>
  <c r="R30" i="8"/>
  <c r="O32" i="9"/>
  <c r="Q32" i="9"/>
  <c r="R32" i="9"/>
  <c r="C31" i="8"/>
  <c r="N31" i="8"/>
  <c r="O32" i="10"/>
  <c r="Q32" i="10"/>
  <c r="R32" i="10"/>
  <c r="D31" i="8"/>
  <c r="O31" i="8"/>
  <c r="O32" i="11"/>
  <c r="Q32" i="11"/>
  <c r="R32" i="11"/>
  <c r="E31" i="8"/>
  <c r="P31" i="8"/>
  <c r="O32" i="12"/>
  <c r="Q32" i="12"/>
  <c r="R32" i="12"/>
  <c r="F31" i="8"/>
  <c r="Q31" i="8"/>
  <c r="O32" i="13"/>
  <c r="Q32" i="13"/>
  <c r="R32" i="13"/>
  <c r="G31" i="8"/>
  <c r="R31" i="8"/>
  <c r="O33" i="9"/>
  <c r="Q33" i="9"/>
  <c r="R33" i="9"/>
  <c r="C32" i="8"/>
  <c r="N32" i="8"/>
  <c r="O33" i="10"/>
  <c r="Q33" i="10"/>
  <c r="R33" i="10"/>
  <c r="D32" i="8"/>
  <c r="O32" i="8"/>
  <c r="O33" i="11"/>
  <c r="Q33" i="11"/>
  <c r="R33" i="11"/>
  <c r="E32" i="8"/>
  <c r="P32" i="8"/>
  <c r="O33" i="12"/>
  <c r="Q33" i="12"/>
  <c r="R33" i="12"/>
  <c r="F32" i="8"/>
  <c r="Q32" i="8"/>
  <c r="O33" i="13"/>
  <c r="Q33" i="13"/>
  <c r="R33" i="13"/>
  <c r="G32" i="8"/>
  <c r="R32" i="8"/>
  <c r="O34" i="9"/>
  <c r="Q34" i="9"/>
  <c r="R34" i="9"/>
  <c r="C33" i="8"/>
  <c r="N33" i="8"/>
  <c r="O34" i="10"/>
  <c r="Q34" i="10"/>
  <c r="R34" i="10"/>
  <c r="D33" i="8"/>
  <c r="O33" i="8"/>
  <c r="O34" i="11"/>
  <c r="Q34" i="11"/>
  <c r="R34" i="11"/>
  <c r="E33" i="8"/>
  <c r="P33" i="8"/>
  <c r="O34" i="12"/>
  <c r="Q34" i="12"/>
  <c r="R34" i="12"/>
  <c r="F33" i="8"/>
  <c r="Q33" i="8"/>
  <c r="O34" i="13"/>
  <c r="Q34" i="13"/>
  <c r="R34" i="13"/>
  <c r="G33" i="8"/>
  <c r="R33" i="8"/>
  <c r="O35" i="9"/>
  <c r="Q35" i="9"/>
  <c r="R35" i="9"/>
  <c r="C34" i="8"/>
  <c r="N34" i="8"/>
  <c r="O35" i="10"/>
  <c r="Q35" i="10"/>
  <c r="R35" i="10"/>
  <c r="D34" i="8"/>
  <c r="O34" i="8"/>
  <c r="O35" i="11"/>
  <c r="Q35" i="11"/>
  <c r="R35" i="11"/>
  <c r="E34" i="8"/>
  <c r="P34" i="8"/>
  <c r="O35" i="12"/>
  <c r="Q35" i="12"/>
  <c r="R35" i="12"/>
  <c r="F34" i="8"/>
  <c r="Q34" i="8"/>
  <c r="O35" i="13"/>
  <c r="Q35" i="13"/>
  <c r="R35" i="13"/>
  <c r="G34" i="8"/>
  <c r="R34" i="8"/>
  <c r="O36" i="9"/>
  <c r="Q36" i="9"/>
  <c r="R36" i="9"/>
  <c r="C35" i="8"/>
  <c r="N35" i="8"/>
  <c r="O36" i="10"/>
  <c r="Q36" i="10"/>
  <c r="R36" i="10"/>
  <c r="D35" i="8"/>
  <c r="O35" i="8"/>
  <c r="O36" i="11"/>
  <c r="Q36" i="11"/>
  <c r="R36" i="11"/>
  <c r="E35" i="8"/>
  <c r="P35" i="8"/>
  <c r="O36" i="12"/>
  <c r="Q36" i="12"/>
  <c r="R36" i="12"/>
  <c r="F35" i="8"/>
  <c r="Q35" i="8"/>
  <c r="O36" i="13"/>
  <c r="Q36" i="13"/>
  <c r="R36" i="13"/>
  <c r="G35" i="8"/>
  <c r="R35" i="8"/>
  <c r="O37" i="9"/>
  <c r="Q37" i="9"/>
  <c r="R37" i="9"/>
  <c r="C36" i="8"/>
  <c r="N36" i="8"/>
  <c r="O37" i="10"/>
  <c r="Q37" i="10"/>
  <c r="R37" i="10"/>
  <c r="D36" i="8"/>
  <c r="O36" i="8"/>
  <c r="O37" i="11"/>
  <c r="Q37" i="11"/>
  <c r="R37" i="11"/>
  <c r="E36" i="8"/>
  <c r="P36" i="8"/>
  <c r="O37" i="12"/>
  <c r="Q37" i="12"/>
  <c r="R37" i="12"/>
  <c r="F36" i="8"/>
  <c r="Q36" i="8"/>
  <c r="O37" i="13"/>
  <c r="Q37" i="13"/>
  <c r="R37" i="13"/>
  <c r="G36" i="8"/>
  <c r="R36" i="8"/>
  <c r="O38" i="9"/>
  <c r="Q38" i="9"/>
  <c r="R38" i="9"/>
  <c r="C37" i="8"/>
  <c r="N37" i="8"/>
  <c r="O38" i="10"/>
  <c r="Q38" i="10"/>
  <c r="R38" i="10"/>
  <c r="D37" i="8"/>
  <c r="O37" i="8"/>
  <c r="O38" i="11"/>
  <c r="Q38" i="11"/>
  <c r="R38" i="11"/>
  <c r="E37" i="8"/>
  <c r="P37" i="8"/>
  <c r="O38" i="12"/>
  <c r="Q38" i="12"/>
  <c r="R38" i="12"/>
  <c r="F37" i="8"/>
  <c r="Q37" i="8"/>
  <c r="O38" i="13"/>
  <c r="Q38" i="13"/>
  <c r="R38" i="13"/>
  <c r="G37" i="8"/>
  <c r="R37" i="8"/>
  <c r="O39" i="9"/>
  <c r="Q39" i="9"/>
  <c r="R39" i="9"/>
  <c r="C38" i="8"/>
  <c r="N38" i="8"/>
  <c r="O39" i="10"/>
  <c r="Q39" i="10"/>
  <c r="R39" i="10"/>
  <c r="D38" i="8"/>
  <c r="O38" i="8"/>
  <c r="O39" i="11"/>
  <c r="Q39" i="11"/>
  <c r="R39" i="11"/>
  <c r="E38" i="8"/>
  <c r="P38" i="8"/>
  <c r="O39" i="12"/>
  <c r="Q39" i="12"/>
  <c r="R39" i="12"/>
  <c r="F38" i="8"/>
  <c r="Q38" i="8"/>
  <c r="O39" i="13"/>
  <c r="Q39" i="13"/>
  <c r="R39" i="13"/>
  <c r="G38" i="8"/>
  <c r="R38" i="8"/>
  <c r="O40" i="9"/>
  <c r="Q40" i="9"/>
  <c r="R40" i="9"/>
  <c r="C39" i="8"/>
  <c r="N39" i="8"/>
  <c r="O40" i="10"/>
  <c r="Q40" i="10"/>
  <c r="R40" i="10"/>
  <c r="D39" i="8"/>
  <c r="O39" i="8"/>
  <c r="O40" i="11"/>
  <c r="Q40" i="11"/>
  <c r="R40" i="11"/>
  <c r="E39" i="8"/>
  <c r="P39" i="8"/>
  <c r="O40" i="12"/>
  <c r="Q40" i="12"/>
  <c r="R40" i="12"/>
  <c r="F39" i="8"/>
  <c r="Q39" i="8"/>
  <c r="O40" i="13"/>
  <c r="Q40" i="13"/>
  <c r="R40" i="13"/>
  <c r="G39" i="8"/>
  <c r="R39" i="8"/>
  <c r="O41" i="9"/>
  <c r="Q41" i="9"/>
  <c r="R41" i="9"/>
  <c r="C40" i="8"/>
  <c r="N40" i="8"/>
  <c r="O41" i="10"/>
  <c r="Q41" i="10"/>
  <c r="R41" i="10"/>
  <c r="D40" i="8"/>
  <c r="O40" i="8"/>
  <c r="O41" i="11"/>
  <c r="Q41" i="11"/>
  <c r="R41" i="11"/>
  <c r="E40" i="8"/>
  <c r="P40" i="8"/>
  <c r="O41" i="12"/>
  <c r="Q41" i="12"/>
  <c r="R41" i="12"/>
  <c r="F40" i="8"/>
  <c r="Q40" i="8"/>
  <c r="O41" i="13"/>
  <c r="Q41" i="13"/>
  <c r="R41" i="13"/>
  <c r="G40" i="8"/>
  <c r="R40" i="8"/>
  <c r="O42" i="9"/>
  <c r="Q42" i="9"/>
  <c r="R42" i="9"/>
  <c r="C41" i="8"/>
  <c r="N41" i="8"/>
  <c r="O42" i="10"/>
  <c r="Q42" i="10"/>
  <c r="R42" i="10"/>
  <c r="D41" i="8"/>
  <c r="O41" i="8"/>
  <c r="O42" i="11"/>
  <c r="Q42" i="11"/>
  <c r="R42" i="11"/>
  <c r="E41" i="8"/>
  <c r="P41" i="8"/>
  <c r="O42" i="12"/>
  <c r="Q42" i="12"/>
  <c r="R42" i="12"/>
  <c r="F41" i="8"/>
  <c r="Q41" i="8"/>
  <c r="O42" i="13"/>
  <c r="Q42" i="13"/>
  <c r="R42" i="13"/>
  <c r="G41" i="8"/>
  <c r="R41" i="8"/>
  <c r="O43" i="9"/>
  <c r="Q43" i="9"/>
  <c r="R43" i="9"/>
  <c r="C42" i="8"/>
  <c r="N42" i="8"/>
  <c r="O43" i="10"/>
  <c r="Q43" i="10"/>
  <c r="R43" i="10"/>
  <c r="D42" i="8"/>
  <c r="O42" i="8"/>
  <c r="O43" i="11"/>
  <c r="Q43" i="11"/>
  <c r="R43" i="11"/>
  <c r="E42" i="8"/>
  <c r="P42" i="8"/>
  <c r="O43" i="12"/>
  <c r="Q43" i="12"/>
  <c r="R43" i="12"/>
  <c r="F42" i="8"/>
  <c r="Q42" i="8"/>
  <c r="O43" i="13"/>
  <c r="Q43" i="13"/>
  <c r="R43" i="13"/>
  <c r="G42" i="8"/>
  <c r="R42" i="8"/>
  <c r="O44" i="9"/>
  <c r="Q44" i="9"/>
  <c r="R44" i="9"/>
  <c r="C43" i="8"/>
  <c r="N43" i="8"/>
  <c r="O44" i="10"/>
  <c r="Q44" i="10"/>
  <c r="R44" i="10"/>
  <c r="D43" i="8"/>
  <c r="O43" i="8"/>
  <c r="O44" i="11"/>
  <c r="Q44" i="11"/>
  <c r="R44" i="11"/>
  <c r="E43" i="8"/>
  <c r="P43" i="8"/>
  <c r="O44" i="12"/>
  <c r="Q44" i="12"/>
  <c r="R44" i="12"/>
  <c r="F43" i="8"/>
  <c r="Q43" i="8"/>
  <c r="O44" i="13"/>
  <c r="Q44" i="13"/>
  <c r="R44" i="13"/>
  <c r="G43" i="8"/>
  <c r="R43" i="8"/>
  <c r="O45" i="9"/>
  <c r="Q45" i="9"/>
  <c r="R45" i="9"/>
  <c r="C44" i="8"/>
  <c r="N44" i="8"/>
  <c r="O45" i="10"/>
  <c r="Q45" i="10"/>
  <c r="R45" i="10"/>
  <c r="D44" i="8"/>
  <c r="O44" i="8"/>
  <c r="O45" i="11"/>
  <c r="Q45" i="11"/>
  <c r="R45" i="11"/>
  <c r="E44" i="8"/>
  <c r="P44" i="8"/>
  <c r="O45" i="12"/>
  <c r="Q45" i="12"/>
  <c r="R45" i="12"/>
  <c r="F44" i="8"/>
  <c r="Q44" i="8"/>
  <c r="O45" i="13"/>
  <c r="Q45" i="13"/>
  <c r="R45" i="13"/>
  <c r="G44" i="8"/>
  <c r="R44" i="8"/>
  <c r="O46" i="9"/>
  <c r="Q46" i="9"/>
  <c r="R46" i="9"/>
  <c r="C45" i="8"/>
  <c r="N45" i="8"/>
  <c r="O46" i="10"/>
  <c r="Q46" i="10"/>
  <c r="R46" i="10"/>
  <c r="D45" i="8"/>
  <c r="O45" i="8"/>
  <c r="O46" i="11"/>
  <c r="Q46" i="11"/>
  <c r="R46" i="11"/>
  <c r="E45" i="8"/>
  <c r="P45" i="8"/>
  <c r="O46" i="12"/>
  <c r="Q46" i="12"/>
  <c r="R46" i="12"/>
  <c r="F45" i="8"/>
  <c r="Q45" i="8"/>
  <c r="O46" i="13"/>
  <c r="Q46" i="13"/>
  <c r="R46" i="13"/>
  <c r="G45" i="8"/>
  <c r="R45" i="8"/>
  <c r="O47" i="9"/>
  <c r="Q47" i="9"/>
  <c r="R47" i="9"/>
  <c r="C46" i="8"/>
  <c r="N46" i="8"/>
  <c r="O47" i="10"/>
  <c r="Q47" i="10"/>
  <c r="R47" i="10"/>
  <c r="D46" i="8"/>
  <c r="O46" i="8"/>
  <c r="O47" i="11"/>
  <c r="Q47" i="11"/>
  <c r="R47" i="11"/>
  <c r="E46" i="8"/>
  <c r="P46" i="8"/>
  <c r="O47" i="12"/>
  <c r="Q47" i="12"/>
  <c r="R47" i="12"/>
  <c r="F46" i="8"/>
  <c r="Q46" i="8"/>
  <c r="O47" i="13"/>
  <c r="Q47" i="13"/>
  <c r="R47" i="13"/>
  <c r="G46" i="8"/>
  <c r="R46" i="8"/>
  <c r="O48" i="9"/>
  <c r="Q48" i="9"/>
  <c r="R48" i="9"/>
  <c r="C47" i="8"/>
  <c r="N47" i="8"/>
  <c r="O48" i="10"/>
  <c r="Q48" i="10"/>
  <c r="R48" i="10"/>
  <c r="D47" i="8"/>
  <c r="O47" i="8"/>
  <c r="O48" i="11"/>
  <c r="Q48" i="11"/>
  <c r="R48" i="11"/>
  <c r="E47" i="8"/>
  <c r="P47" i="8"/>
  <c r="O48" i="12"/>
  <c r="Q48" i="12"/>
  <c r="R48" i="12"/>
  <c r="F47" i="8"/>
  <c r="Q47" i="8"/>
  <c r="O48" i="13"/>
  <c r="Q48" i="13"/>
  <c r="R48" i="13"/>
  <c r="G47" i="8"/>
  <c r="R47" i="8"/>
  <c r="O49" i="9"/>
  <c r="Q49" i="9"/>
  <c r="R49" i="9"/>
  <c r="C48" i="8"/>
  <c r="N48" i="8"/>
  <c r="O49" i="10"/>
  <c r="Q49" i="10"/>
  <c r="R49" i="10"/>
  <c r="D48" i="8"/>
  <c r="O48" i="8"/>
  <c r="O49" i="11"/>
  <c r="Q49" i="11"/>
  <c r="R49" i="11"/>
  <c r="E48" i="8"/>
  <c r="P48" i="8"/>
  <c r="O49" i="12"/>
  <c r="Q49" i="12"/>
  <c r="R49" i="12"/>
  <c r="F48" i="8"/>
  <c r="Q48" i="8"/>
  <c r="O49" i="13"/>
  <c r="Q49" i="13"/>
  <c r="R49" i="13"/>
  <c r="G48" i="8"/>
  <c r="R48" i="8"/>
  <c r="O50" i="9"/>
  <c r="Q50" i="9"/>
  <c r="R50" i="9"/>
  <c r="C49" i="8"/>
  <c r="N49" i="8"/>
  <c r="O50" i="10"/>
  <c r="Q50" i="10"/>
  <c r="R50" i="10"/>
  <c r="D49" i="8"/>
  <c r="O49" i="8"/>
  <c r="O50" i="11"/>
  <c r="Q50" i="11"/>
  <c r="R50" i="11"/>
  <c r="E49" i="8"/>
  <c r="P49" i="8"/>
  <c r="O50" i="12"/>
  <c r="Q50" i="12"/>
  <c r="R50" i="12"/>
  <c r="F49" i="8"/>
  <c r="Q49" i="8"/>
  <c r="O50" i="13"/>
  <c r="Q50" i="13"/>
  <c r="R50" i="13"/>
  <c r="G49" i="8"/>
  <c r="R49" i="8"/>
  <c r="O51" i="9"/>
  <c r="Q51" i="9"/>
  <c r="R51" i="9"/>
  <c r="C50" i="8"/>
  <c r="N50" i="8"/>
  <c r="O51" i="10"/>
  <c r="Q51" i="10"/>
  <c r="R51" i="10"/>
  <c r="D50" i="8"/>
  <c r="O50" i="8"/>
  <c r="O51" i="11"/>
  <c r="Q51" i="11"/>
  <c r="R51" i="11"/>
  <c r="E50" i="8"/>
  <c r="P50" i="8"/>
  <c r="O51" i="12"/>
  <c r="Q51" i="12"/>
  <c r="R51" i="12"/>
  <c r="F50" i="8"/>
  <c r="Q50" i="8"/>
  <c r="O51" i="13"/>
  <c r="Q51" i="13"/>
  <c r="R51" i="13"/>
  <c r="G50" i="8"/>
  <c r="R50" i="8"/>
  <c r="O52" i="9"/>
  <c r="Q52" i="9"/>
  <c r="R52" i="9"/>
  <c r="C51" i="8"/>
  <c r="N51" i="8"/>
  <c r="O52" i="10"/>
  <c r="Q52" i="10"/>
  <c r="R52" i="10"/>
  <c r="D51" i="8"/>
  <c r="O51" i="8"/>
  <c r="O52" i="11"/>
  <c r="Q52" i="11"/>
  <c r="R52" i="11"/>
  <c r="E51" i="8"/>
  <c r="P51" i="8"/>
  <c r="O52" i="12"/>
  <c r="Q52" i="12"/>
  <c r="R52" i="12"/>
  <c r="F51" i="8"/>
  <c r="Q51" i="8"/>
  <c r="O52" i="13"/>
  <c r="Q52" i="13"/>
  <c r="R52" i="13"/>
  <c r="G51" i="8"/>
  <c r="R51" i="8"/>
  <c r="O53" i="9"/>
  <c r="Q53" i="9"/>
  <c r="R53" i="9"/>
  <c r="C52" i="8"/>
  <c r="N52" i="8"/>
  <c r="O53" i="10"/>
  <c r="Q53" i="10"/>
  <c r="R53" i="10"/>
  <c r="D52" i="8"/>
  <c r="O52" i="8"/>
  <c r="O53" i="11"/>
  <c r="Q53" i="11"/>
  <c r="R53" i="11"/>
  <c r="E52" i="8"/>
  <c r="P52" i="8"/>
  <c r="O53" i="12"/>
  <c r="Q53" i="12"/>
  <c r="R53" i="12"/>
  <c r="F52" i="8"/>
  <c r="Q52" i="8"/>
  <c r="O53" i="13"/>
  <c r="Q53" i="13"/>
  <c r="R53" i="13"/>
  <c r="G52" i="8"/>
  <c r="R52" i="8"/>
  <c r="B3" i="16"/>
  <c r="F3" i="16"/>
  <c r="G3" i="16"/>
  <c r="H3" i="16"/>
  <c r="B3" i="15"/>
  <c r="F3" i="15"/>
  <c r="G3" i="15"/>
  <c r="H3" i="15"/>
  <c r="B3" i="14"/>
  <c r="F3" i="14"/>
  <c r="G3" i="14"/>
  <c r="H3" i="14"/>
  <c r="B3" i="13"/>
  <c r="F3" i="13"/>
  <c r="G3" i="13"/>
  <c r="H3" i="13"/>
  <c r="O3" i="13"/>
  <c r="Q3" i="13"/>
  <c r="R3" i="13"/>
  <c r="G2" i="8"/>
  <c r="B3" i="12"/>
  <c r="F3" i="12"/>
  <c r="G3" i="12"/>
  <c r="H3" i="12"/>
  <c r="O3" i="12"/>
  <c r="Q3" i="12"/>
  <c r="R3" i="12"/>
  <c r="F2" i="8"/>
  <c r="R2" i="8"/>
  <c r="B3" i="11"/>
  <c r="F3" i="11"/>
  <c r="G3" i="11"/>
  <c r="H3" i="11"/>
  <c r="O3" i="11"/>
  <c r="Q3" i="11"/>
  <c r="R3" i="11"/>
  <c r="E2" i="8"/>
  <c r="Q2" i="8"/>
  <c r="B3" i="10"/>
  <c r="F3" i="10"/>
  <c r="G3" i="10"/>
  <c r="H3" i="10"/>
  <c r="O3" i="10"/>
  <c r="Q3" i="10"/>
  <c r="R3" i="10"/>
  <c r="D2" i="8"/>
  <c r="P2" i="8"/>
  <c r="B3" i="9"/>
  <c r="F3" i="9"/>
  <c r="G3" i="9"/>
  <c r="H3" i="9"/>
  <c r="O3" i="9"/>
  <c r="Q3" i="9"/>
  <c r="R3" i="9"/>
  <c r="C2" i="8"/>
  <c r="O2" i="8"/>
  <c r="F3" i="7"/>
  <c r="G3" i="7"/>
  <c r="H3" i="7"/>
  <c r="Q3" i="7"/>
  <c r="R3" i="7"/>
  <c r="B2" i="8"/>
  <c r="N2" i="8"/>
  <c r="M2" i="8"/>
  <c r="B2" i="23"/>
  <c r="B3" i="25"/>
  <c r="C3" i="25"/>
  <c r="D3" i="25"/>
  <c r="E3" i="25"/>
  <c r="F3" i="25"/>
  <c r="G3" i="25"/>
  <c r="H3" i="25"/>
  <c r="I3" i="25"/>
  <c r="J3" i="25"/>
  <c r="L3" i="25"/>
  <c r="B4" i="25"/>
  <c r="C4" i="25"/>
  <c r="D4" i="25"/>
  <c r="E4" i="25"/>
  <c r="F4" i="25"/>
  <c r="G4" i="25"/>
  <c r="H4" i="25"/>
  <c r="I4" i="25"/>
  <c r="J4" i="25"/>
  <c r="L4" i="25"/>
  <c r="B5" i="25"/>
  <c r="C5" i="25"/>
  <c r="D5" i="25"/>
  <c r="E5" i="25"/>
  <c r="F5" i="25"/>
  <c r="G5" i="25"/>
  <c r="H5" i="25"/>
  <c r="I5" i="25"/>
  <c r="J5" i="25"/>
  <c r="L5" i="25"/>
  <c r="B6" i="25"/>
  <c r="C6" i="25"/>
  <c r="D6" i="25"/>
  <c r="E6" i="25"/>
  <c r="F6" i="25"/>
  <c r="G6" i="25"/>
  <c r="H6" i="25"/>
  <c r="I6" i="25"/>
  <c r="J6" i="25"/>
  <c r="L6" i="25"/>
  <c r="B7" i="25"/>
  <c r="C7" i="25"/>
  <c r="D7" i="25"/>
  <c r="E7" i="25"/>
  <c r="F7" i="25"/>
  <c r="G7" i="25"/>
  <c r="H7" i="25"/>
  <c r="I7" i="25"/>
  <c r="J7" i="25"/>
  <c r="L7" i="25"/>
  <c r="B8" i="25"/>
  <c r="C8" i="25"/>
  <c r="D8" i="25"/>
  <c r="E8" i="25"/>
  <c r="F8" i="25"/>
  <c r="G8" i="25"/>
  <c r="H8" i="25"/>
  <c r="I8" i="25"/>
  <c r="J8" i="25"/>
  <c r="L8" i="25"/>
  <c r="B9" i="25"/>
  <c r="C9" i="25"/>
  <c r="D9" i="25"/>
  <c r="E9" i="25"/>
  <c r="F9" i="25"/>
  <c r="G9" i="25"/>
  <c r="H9" i="25"/>
  <c r="I9" i="25"/>
  <c r="J9" i="25"/>
  <c r="L9" i="25"/>
  <c r="B10" i="25"/>
  <c r="C10" i="25"/>
  <c r="D10" i="25"/>
  <c r="E10" i="25"/>
  <c r="F10" i="25"/>
  <c r="G10" i="25"/>
  <c r="H10" i="25"/>
  <c r="I10" i="25"/>
  <c r="J10" i="25"/>
  <c r="L10" i="25"/>
  <c r="B11" i="25"/>
  <c r="C11" i="25"/>
  <c r="D11" i="25"/>
  <c r="E11" i="25"/>
  <c r="F11" i="25"/>
  <c r="G11" i="25"/>
  <c r="H11" i="25"/>
  <c r="I11" i="25"/>
  <c r="J11" i="25"/>
  <c r="L11" i="25"/>
  <c r="B12" i="25"/>
  <c r="C12" i="25"/>
  <c r="D12" i="25"/>
  <c r="E12" i="25"/>
  <c r="F12" i="25"/>
  <c r="G12" i="25"/>
  <c r="H12" i="25"/>
  <c r="I12" i="25"/>
  <c r="J12" i="25"/>
  <c r="L12" i="25"/>
  <c r="B13" i="25"/>
  <c r="C13" i="25"/>
  <c r="D13" i="25"/>
  <c r="E13" i="25"/>
  <c r="F13" i="25"/>
  <c r="G13" i="25"/>
  <c r="H13" i="25"/>
  <c r="I13" i="25"/>
  <c r="J13" i="25"/>
  <c r="L13" i="25"/>
  <c r="B14" i="25"/>
  <c r="C14" i="25"/>
  <c r="D14" i="25"/>
  <c r="E14" i="25"/>
  <c r="F14" i="25"/>
  <c r="G14" i="25"/>
  <c r="H14" i="25"/>
  <c r="I14" i="25"/>
  <c r="J14" i="25"/>
  <c r="L14" i="25"/>
  <c r="B15" i="25"/>
  <c r="C15" i="25"/>
  <c r="D15" i="25"/>
  <c r="E15" i="25"/>
  <c r="F15" i="25"/>
  <c r="G15" i="25"/>
  <c r="H15" i="25"/>
  <c r="I15" i="25"/>
  <c r="J15" i="25"/>
  <c r="L15" i="25"/>
  <c r="B16" i="25"/>
  <c r="C16" i="25"/>
  <c r="D16" i="25"/>
  <c r="E16" i="25"/>
  <c r="F16" i="25"/>
  <c r="G16" i="25"/>
  <c r="H16" i="25"/>
  <c r="I16" i="25"/>
  <c r="J16" i="25"/>
  <c r="L16" i="25"/>
  <c r="B17" i="25"/>
  <c r="C17" i="25"/>
  <c r="D17" i="25"/>
  <c r="E17" i="25"/>
  <c r="F17" i="25"/>
  <c r="G17" i="25"/>
  <c r="H17" i="25"/>
  <c r="I17" i="25"/>
  <c r="J17" i="25"/>
  <c r="L17" i="25"/>
  <c r="B18" i="25"/>
  <c r="C18" i="25"/>
  <c r="D18" i="25"/>
  <c r="E18" i="25"/>
  <c r="F18" i="25"/>
  <c r="G18" i="25"/>
  <c r="H18" i="25"/>
  <c r="I18" i="25"/>
  <c r="J18" i="25"/>
  <c r="L18" i="25"/>
  <c r="B19" i="25"/>
  <c r="C19" i="25"/>
  <c r="D19" i="25"/>
  <c r="E19" i="25"/>
  <c r="F19" i="25"/>
  <c r="G19" i="25"/>
  <c r="H19" i="25"/>
  <c r="I19" i="25"/>
  <c r="J19" i="25"/>
  <c r="L19" i="25"/>
  <c r="B20" i="25"/>
  <c r="C20" i="25"/>
  <c r="D20" i="25"/>
  <c r="E20" i="25"/>
  <c r="F20" i="25"/>
  <c r="G20" i="25"/>
  <c r="H20" i="25"/>
  <c r="I20" i="25"/>
  <c r="J20" i="25"/>
  <c r="L20" i="25"/>
  <c r="B21" i="25"/>
  <c r="C21" i="25"/>
  <c r="D21" i="25"/>
  <c r="E21" i="25"/>
  <c r="F21" i="25"/>
  <c r="G21" i="25"/>
  <c r="H21" i="25"/>
  <c r="I21" i="25"/>
  <c r="J21" i="25"/>
  <c r="L21" i="25"/>
  <c r="B22" i="25"/>
  <c r="C22" i="25"/>
  <c r="D22" i="25"/>
  <c r="E22" i="25"/>
  <c r="F22" i="25"/>
  <c r="G22" i="25"/>
  <c r="H22" i="25"/>
  <c r="I22" i="25"/>
  <c r="J22" i="25"/>
  <c r="L22" i="25"/>
  <c r="B23" i="25"/>
  <c r="C23" i="25"/>
  <c r="D23" i="25"/>
  <c r="E23" i="25"/>
  <c r="F23" i="25"/>
  <c r="G23" i="25"/>
  <c r="H23" i="25"/>
  <c r="I23" i="25"/>
  <c r="J23" i="25"/>
  <c r="L23" i="25"/>
  <c r="B24" i="25"/>
  <c r="C24" i="25"/>
  <c r="D24" i="25"/>
  <c r="E24" i="25"/>
  <c r="F24" i="25"/>
  <c r="G24" i="25"/>
  <c r="H24" i="25"/>
  <c r="I24" i="25"/>
  <c r="J24" i="25"/>
  <c r="L24" i="25"/>
  <c r="B25" i="25"/>
  <c r="C25" i="25"/>
  <c r="D25" i="25"/>
  <c r="E25" i="25"/>
  <c r="F25" i="25"/>
  <c r="G25" i="25"/>
  <c r="H25" i="25"/>
  <c r="I25" i="25"/>
  <c r="J25" i="25"/>
  <c r="L25" i="25"/>
  <c r="B26" i="25"/>
  <c r="C26" i="25"/>
  <c r="D26" i="25"/>
  <c r="E26" i="25"/>
  <c r="F26" i="25"/>
  <c r="G26" i="25"/>
  <c r="H26" i="25"/>
  <c r="I26" i="25"/>
  <c r="J26" i="25"/>
  <c r="L26" i="25"/>
  <c r="B27" i="25"/>
  <c r="C27" i="25"/>
  <c r="D27" i="25"/>
  <c r="E27" i="25"/>
  <c r="F27" i="25"/>
  <c r="G27" i="25"/>
  <c r="H27" i="25"/>
  <c r="I27" i="25"/>
  <c r="J27" i="25"/>
  <c r="L27" i="25"/>
  <c r="B28" i="25"/>
  <c r="C28" i="25"/>
  <c r="D28" i="25"/>
  <c r="E28" i="25"/>
  <c r="F28" i="25"/>
  <c r="G28" i="25"/>
  <c r="H28" i="25"/>
  <c r="I28" i="25"/>
  <c r="J28" i="25"/>
  <c r="L28" i="25"/>
  <c r="B29" i="25"/>
  <c r="C29" i="25"/>
  <c r="D29" i="25"/>
  <c r="E29" i="25"/>
  <c r="F29" i="25"/>
  <c r="G29" i="25"/>
  <c r="H29" i="25"/>
  <c r="I29" i="25"/>
  <c r="J29" i="25"/>
  <c r="L29" i="25"/>
  <c r="B30" i="25"/>
  <c r="C30" i="25"/>
  <c r="D30" i="25"/>
  <c r="E30" i="25"/>
  <c r="F30" i="25"/>
  <c r="G30" i="25"/>
  <c r="H30" i="25"/>
  <c r="I30" i="25"/>
  <c r="J30" i="25"/>
  <c r="L30" i="25"/>
  <c r="B31" i="25"/>
  <c r="C31" i="25"/>
  <c r="D31" i="25"/>
  <c r="E31" i="25"/>
  <c r="F31" i="25"/>
  <c r="G31" i="25"/>
  <c r="H31" i="25"/>
  <c r="I31" i="25"/>
  <c r="J31" i="25"/>
  <c r="L31" i="25"/>
  <c r="B32" i="25"/>
  <c r="C32" i="25"/>
  <c r="D32" i="25"/>
  <c r="E32" i="25"/>
  <c r="F32" i="25"/>
  <c r="G32" i="25"/>
  <c r="H32" i="25"/>
  <c r="I32" i="25"/>
  <c r="J32" i="25"/>
  <c r="L32" i="25"/>
  <c r="B33" i="25"/>
  <c r="C33" i="25"/>
  <c r="D33" i="25"/>
  <c r="E33" i="25"/>
  <c r="F33" i="25"/>
  <c r="G33" i="25"/>
  <c r="H33" i="25"/>
  <c r="I33" i="25"/>
  <c r="J33" i="25"/>
  <c r="L33" i="25"/>
  <c r="B34" i="25"/>
  <c r="C34" i="25"/>
  <c r="D34" i="25"/>
  <c r="E34" i="25"/>
  <c r="F34" i="25"/>
  <c r="G34" i="25"/>
  <c r="H34" i="25"/>
  <c r="I34" i="25"/>
  <c r="J34" i="25"/>
  <c r="L34" i="25"/>
  <c r="B35" i="25"/>
  <c r="C35" i="25"/>
  <c r="D35" i="25"/>
  <c r="E35" i="25"/>
  <c r="F35" i="25"/>
  <c r="G35" i="25"/>
  <c r="H35" i="25"/>
  <c r="I35" i="25"/>
  <c r="J35" i="25"/>
  <c r="L35" i="25"/>
  <c r="B36" i="25"/>
  <c r="C36" i="25"/>
  <c r="D36" i="25"/>
  <c r="E36" i="25"/>
  <c r="F36" i="25"/>
  <c r="G36" i="25"/>
  <c r="H36" i="25"/>
  <c r="I36" i="25"/>
  <c r="J36" i="25"/>
  <c r="L36" i="25"/>
  <c r="B37" i="25"/>
  <c r="C37" i="25"/>
  <c r="D37" i="25"/>
  <c r="E37" i="25"/>
  <c r="F37" i="25"/>
  <c r="G37" i="25"/>
  <c r="H37" i="25"/>
  <c r="I37" i="25"/>
  <c r="J37" i="25"/>
  <c r="L37" i="25"/>
  <c r="B38" i="25"/>
  <c r="C38" i="25"/>
  <c r="D38" i="25"/>
  <c r="E38" i="25"/>
  <c r="F38" i="25"/>
  <c r="G38" i="25"/>
  <c r="H38" i="25"/>
  <c r="I38" i="25"/>
  <c r="J38" i="25"/>
  <c r="L38" i="25"/>
  <c r="B39" i="25"/>
  <c r="C39" i="25"/>
  <c r="D39" i="25"/>
  <c r="E39" i="25"/>
  <c r="F39" i="25"/>
  <c r="G39" i="25"/>
  <c r="H39" i="25"/>
  <c r="I39" i="25"/>
  <c r="J39" i="25"/>
  <c r="L39" i="25"/>
  <c r="B40" i="25"/>
  <c r="C40" i="25"/>
  <c r="D40" i="25"/>
  <c r="E40" i="25"/>
  <c r="F40" i="25"/>
  <c r="G40" i="25"/>
  <c r="H40" i="25"/>
  <c r="I40" i="25"/>
  <c r="J40" i="25"/>
  <c r="L40" i="25"/>
  <c r="B41" i="25"/>
  <c r="C41" i="25"/>
  <c r="D41" i="25"/>
  <c r="E41" i="25"/>
  <c r="F41" i="25"/>
  <c r="G41" i="25"/>
  <c r="H41" i="25"/>
  <c r="I41" i="25"/>
  <c r="J41" i="25"/>
  <c r="L41" i="25"/>
  <c r="B42" i="25"/>
  <c r="C42" i="25"/>
  <c r="D42" i="25"/>
  <c r="E42" i="25"/>
  <c r="F42" i="25"/>
  <c r="G42" i="25"/>
  <c r="H42" i="25"/>
  <c r="I42" i="25"/>
  <c r="J42" i="25"/>
  <c r="L42" i="25"/>
  <c r="B43" i="25"/>
  <c r="C43" i="25"/>
  <c r="D43" i="25"/>
  <c r="E43" i="25"/>
  <c r="F43" i="25"/>
  <c r="G43" i="25"/>
  <c r="H43" i="25"/>
  <c r="I43" i="25"/>
  <c r="J43" i="25"/>
  <c r="L43" i="25"/>
  <c r="B44" i="25"/>
  <c r="C44" i="25"/>
  <c r="D44" i="25"/>
  <c r="E44" i="25"/>
  <c r="F44" i="25"/>
  <c r="G44" i="25"/>
  <c r="H44" i="25"/>
  <c r="I44" i="25"/>
  <c r="J44" i="25"/>
  <c r="L44" i="25"/>
  <c r="B45" i="25"/>
  <c r="C45" i="25"/>
  <c r="D45" i="25"/>
  <c r="E45" i="25"/>
  <c r="F45" i="25"/>
  <c r="G45" i="25"/>
  <c r="H45" i="25"/>
  <c r="I45" i="25"/>
  <c r="J45" i="25"/>
  <c r="L45" i="25"/>
  <c r="B46" i="25"/>
  <c r="C46" i="25"/>
  <c r="D46" i="25"/>
  <c r="E46" i="25"/>
  <c r="F46" i="25"/>
  <c r="G46" i="25"/>
  <c r="H46" i="25"/>
  <c r="I46" i="25"/>
  <c r="J46" i="25"/>
  <c r="L46" i="25"/>
  <c r="B47" i="25"/>
  <c r="C47" i="25"/>
  <c r="D47" i="25"/>
  <c r="E47" i="25"/>
  <c r="F47" i="25"/>
  <c r="G47" i="25"/>
  <c r="H47" i="25"/>
  <c r="I47" i="25"/>
  <c r="J47" i="25"/>
  <c r="L47" i="25"/>
  <c r="B48" i="25"/>
  <c r="C48" i="25"/>
  <c r="D48" i="25"/>
  <c r="E48" i="25"/>
  <c r="F48" i="25"/>
  <c r="G48" i="25"/>
  <c r="H48" i="25"/>
  <c r="I48" i="25"/>
  <c r="J48" i="25"/>
  <c r="L48" i="25"/>
  <c r="B49" i="25"/>
  <c r="C49" i="25"/>
  <c r="D49" i="25"/>
  <c r="E49" i="25"/>
  <c r="F49" i="25"/>
  <c r="G49" i="25"/>
  <c r="H49" i="25"/>
  <c r="I49" i="25"/>
  <c r="J49" i="25"/>
  <c r="L49" i="25"/>
  <c r="B50" i="25"/>
  <c r="C50" i="25"/>
  <c r="D50" i="25"/>
  <c r="E50" i="25"/>
  <c r="F50" i="25"/>
  <c r="G50" i="25"/>
  <c r="H50" i="25"/>
  <c r="I50" i="25"/>
  <c r="J50" i="25"/>
  <c r="L50" i="25"/>
  <c r="B51" i="25"/>
  <c r="C51" i="25"/>
  <c r="D51" i="25"/>
  <c r="E51" i="25"/>
  <c r="F51" i="25"/>
  <c r="G51" i="25"/>
  <c r="H51" i="25"/>
  <c r="I51" i="25"/>
  <c r="J51" i="25"/>
  <c r="L51" i="25"/>
  <c r="B52" i="25"/>
  <c r="C52" i="25"/>
  <c r="D52" i="25"/>
  <c r="E52" i="25"/>
  <c r="F52" i="25"/>
  <c r="G52" i="25"/>
  <c r="H52" i="25"/>
  <c r="I52" i="25"/>
  <c r="J52" i="25"/>
  <c r="L52" i="25"/>
  <c r="B2" i="25"/>
  <c r="C2" i="25"/>
  <c r="D2" i="25"/>
  <c r="E2" i="25"/>
  <c r="F2" i="25"/>
  <c r="G2" i="25"/>
  <c r="H2" i="25"/>
  <c r="I2" i="25"/>
  <c r="J2" i="25"/>
  <c r="L2" i="25"/>
  <c r="K3" i="25"/>
  <c r="K4" i="25"/>
  <c r="K5" i="25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42" i="25"/>
  <c r="K43" i="25"/>
  <c r="K44" i="25"/>
  <c r="K45" i="25"/>
  <c r="K46" i="25"/>
  <c r="K47" i="25"/>
  <c r="K48" i="25"/>
  <c r="K49" i="25"/>
  <c r="K50" i="25"/>
  <c r="K51" i="25"/>
  <c r="K52" i="25"/>
  <c r="K2" i="25"/>
  <c r="B3" i="8"/>
  <c r="B3" i="24"/>
  <c r="C3" i="24"/>
  <c r="D3" i="24"/>
  <c r="E3" i="24"/>
  <c r="F3" i="24"/>
  <c r="G3" i="24"/>
  <c r="H3" i="24"/>
  <c r="I3" i="24"/>
  <c r="J3" i="24"/>
  <c r="B4" i="8"/>
  <c r="B4" i="24"/>
  <c r="C4" i="24"/>
  <c r="D4" i="24"/>
  <c r="E4" i="24"/>
  <c r="F4" i="24"/>
  <c r="G4" i="24"/>
  <c r="H4" i="24"/>
  <c r="I4" i="24"/>
  <c r="J4" i="24"/>
  <c r="B5" i="24"/>
  <c r="C5" i="24"/>
  <c r="D5" i="24"/>
  <c r="E5" i="24"/>
  <c r="F5" i="24"/>
  <c r="G5" i="24"/>
  <c r="H5" i="24"/>
  <c r="I5" i="24"/>
  <c r="J5" i="24"/>
  <c r="B6" i="8"/>
  <c r="B6" i="24"/>
  <c r="C6" i="24"/>
  <c r="D6" i="24"/>
  <c r="E6" i="24"/>
  <c r="F6" i="24"/>
  <c r="G6" i="24"/>
  <c r="H6" i="24"/>
  <c r="I6" i="24"/>
  <c r="J6" i="24"/>
  <c r="B7" i="8"/>
  <c r="B7" i="24"/>
  <c r="C7" i="24"/>
  <c r="D7" i="24"/>
  <c r="E7" i="24"/>
  <c r="F7" i="24"/>
  <c r="G7" i="24"/>
  <c r="H7" i="24"/>
  <c r="I7" i="24"/>
  <c r="J7" i="24"/>
  <c r="B8" i="8"/>
  <c r="B8" i="24"/>
  <c r="C8" i="24"/>
  <c r="D8" i="24"/>
  <c r="E8" i="24"/>
  <c r="F8" i="24"/>
  <c r="G8" i="24"/>
  <c r="H8" i="24"/>
  <c r="I8" i="24"/>
  <c r="J8" i="24"/>
  <c r="B9" i="8"/>
  <c r="B9" i="24"/>
  <c r="C9" i="24"/>
  <c r="D9" i="24"/>
  <c r="E9" i="24"/>
  <c r="F9" i="24"/>
  <c r="G9" i="24"/>
  <c r="H9" i="24"/>
  <c r="I9" i="24"/>
  <c r="J9" i="24"/>
  <c r="B10" i="8"/>
  <c r="B10" i="24"/>
  <c r="C10" i="24"/>
  <c r="D10" i="24"/>
  <c r="E10" i="24"/>
  <c r="F10" i="24"/>
  <c r="G10" i="24"/>
  <c r="H10" i="24"/>
  <c r="I10" i="24"/>
  <c r="J10" i="24"/>
  <c r="B11" i="8"/>
  <c r="B11" i="24"/>
  <c r="C11" i="24"/>
  <c r="D11" i="24"/>
  <c r="E11" i="24"/>
  <c r="F11" i="24"/>
  <c r="G11" i="24"/>
  <c r="H11" i="24"/>
  <c r="I11" i="24"/>
  <c r="J11" i="24"/>
  <c r="B12" i="8"/>
  <c r="B12" i="24"/>
  <c r="C12" i="24"/>
  <c r="D12" i="24"/>
  <c r="E12" i="24"/>
  <c r="F12" i="24"/>
  <c r="G12" i="24"/>
  <c r="H12" i="24"/>
  <c r="I12" i="24"/>
  <c r="J12" i="24"/>
  <c r="B13" i="8"/>
  <c r="B13" i="24"/>
  <c r="C13" i="24"/>
  <c r="D13" i="24"/>
  <c r="E13" i="24"/>
  <c r="F13" i="24"/>
  <c r="G13" i="24"/>
  <c r="H13" i="24"/>
  <c r="I13" i="24"/>
  <c r="J13" i="24"/>
  <c r="B14" i="8"/>
  <c r="B14" i="24"/>
  <c r="C14" i="24"/>
  <c r="D14" i="24"/>
  <c r="E14" i="24"/>
  <c r="F14" i="24"/>
  <c r="G14" i="24"/>
  <c r="H14" i="24"/>
  <c r="I14" i="24"/>
  <c r="J14" i="24"/>
  <c r="B15" i="8"/>
  <c r="B15" i="24"/>
  <c r="C15" i="24"/>
  <c r="D15" i="24"/>
  <c r="E15" i="24"/>
  <c r="F15" i="24"/>
  <c r="G15" i="24"/>
  <c r="H15" i="24"/>
  <c r="I15" i="24"/>
  <c r="J15" i="24"/>
  <c r="B16" i="8"/>
  <c r="B16" i="24"/>
  <c r="C16" i="24"/>
  <c r="D16" i="24"/>
  <c r="E16" i="24"/>
  <c r="F16" i="24"/>
  <c r="G16" i="24"/>
  <c r="H16" i="24"/>
  <c r="I16" i="24"/>
  <c r="J16" i="24"/>
  <c r="B17" i="8"/>
  <c r="B17" i="24"/>
  <c r="C17" i="24"/>
  <c r="D17" i="24"/>
  <c r="E17" i="24"/>
  <c r="F17" i="24"/>
  <c r="G17" i="24"/>
  <c r="H17" i="24"/>
  <c r="I17" i="24"/>
  <c r="J17" i="24"/>
  <c r="B18" i="8"/>
  <c r="B18" i="24"/>
  <c r="C18" i="24"/>
  <c r="D18" i="24"/>
  <c r="E18" i="24"/>
  <c r="F18" i="24"/>
  <c r="G18" i="24"/>
  <c r="H18" i="24"/>
  <c r="I18" i="24"/>
  <c r="J18" i="24"/>
  <c r="B19" i="8"/>
  <c r="B19" i="24"/>
  <c r="C19" i="24"/>
  <c r="D19" i="24"/>
  <c r="E19" i="24"/>
  <c r="F19" i="24"/>
  <c r="G19" i="24"/>
  <c r="H19" i="24"/>
  <c r="I19" i="24"/>
  <c r="J19" i="24"/>
  <c r="B20" i="8"/>
  <c r="B20" i="24"/>
  <c r="C20" i="24"/>
  <c r="D20" i="24"/>
  <c r="E20" i="24"/>
  <c r="F20" i="24"/>
  <c r="G20" i="24"/>
  <c r="H20" i="24"/>
  <c r="I20" i="24"/>
  <c r="J20" i="24"/>
  <c r="B21" i="8"/>
  <c r="B21" i="24"/>
  <c r="C21" i="24"/>
  <c r="D21" i="24"/>
  <c r="E21" i="24"/>
  <c r="F21" i="24"/>
  <c r="G21" i="24"/>
  <c r="H21" i="24"/>
  <c r="I21" i="24"/>
  <c r="J21" i="24"/>
  <c r="B22" i="8"/>
  <c r="B22" i="24"/>
  <c r="C22" i="24"/>
  <c r="D22" i="24"/>
  <c r="E22" i="24"/>
  <c r="F22" i="24"/>
  <c r="G22" i="24"/>
  <c r="H22" i="24"/>
  <c r="I22" i="24"/>
  <c r="J22" i="24"/>
  <c r="B23" i="8"/>
  <c r="B23" i="24"/>
  <c r="C23" i="24"/>
  <c r="D23" i="24"/>
  <c r="E23" i="24"/>
  <c r="F23" i="24"/>
  <c r="G23" i="24"/>
  <c r="H23" i="24"/>
  <c r="I23" i="24"/>
  <c r="J23" i="24"/>
  <c r="B24" i="8"/>
  <c r="B24" i="24"/>
  <c r="C24" i="24"/>
  <c r="D24" i="24"/>
  <c r="E24" i="24"/>
  <c r="F24" i="24"/>
  <c r="G24" i="24"/>
  <c r="H24" i="24"/>
  <c r="I24" i="24"/>
  <c r="J24" i="24"/>
  <c r="B25" i="8"/>
  <c r="B25" i="24"/>
  <c r="C25" i="24"/>
  <c r="D25" i="24"/>
  <c r="E25" i="24"/>
  <c r="F25" i="24"/>
  <c r="G25" i="24"/>
  <c r="H25" i="24"/>
  <c r="I25" i="24"/>
  <c r="J25" i="24"/>
  <c r="B26" i="8"/>
  <c r="B26" i="24"/>
  <c r="C26" i="24"/>
  <c r="D26" i="24"/>
  <c r="E26" i="24"/>
  <c r="F26" i="24"/>
  <c r="G26" i="24"/>
  <c r="H26" i="24"/>
  <c r="I26" i="24"/>
  <c r="J26" i="24"/>
  <c r="B27" i="8"/>
  <c r="B27" i="24"/>
  <c r="C27" i="24"/>
  <c r="D27" i="24"/>
  <c r="E27" i="24"/>
  <c r="F27" i="24"/>
  <c r="G27" i="24"/>
  <c r="H27" i="24"/>
  <c r="I27" i="24"/>
  <c r="J27" i="24"/>
  <c r="B28" i="8"/>
  <c r="B28" i="24"/>
  <c r="C28" i="24"/>
  <c r="D28" i="24"/>
  <c r="E28" i="24"/>
  <c r="F28" i="24"/>
  <c r="G28" i="24"/>
  <c r="H28" i="24"/>
  <c r="I28" i="24"/>
  <c r="J28" i="24"/>
  <c r="B29" i="8"/>
  <c r="B29" i="24"/>
  <c r="C29" i="24"/>
  <c r="D29" i="24"/>
  <c r="E29" i="24"/>
  <c r="F29" i="24"/>
  <c r="G29" i="24"/>
  <c r="H29" i="24"/>
  <c r="I29" i="24"/>
  <c r="J29" i="24"/>
  <c r="B30" i="8"/>
  <c r="B30" i="24"/>
  <c r="C30" i="24"/>
  <c r="D30" i="24"/>
  <c r="E30" i="24"/>
  <c r="F30" i="24"/>
  <c r="G30" i="24"/>
  <c r="H30" i="24"/>
  <c r="I30" i="24"/>
  <c r="J30" i="24"/>
  <c r="B31" i="8"/>
  <c r="B31" i="24"/>
  <c r="C31" i="24"/>
  <c r="D31" i="24"/>
  <c r="E31" i="24"/>
  <c r="F31" i="24"/>
  <c r="G31" i="24"/>
  <c r="H31" i="24"/>
  <c r="I31" i="24"/>
  <c r="J31" i="24"/>
  <c r="B32" i="8"/>
  <c r="B32" i="24"/>
  <c r="C32" i="24"/>
  <c r="D32" i="24"/>
  <c r="E32" i="24"/>
  <c r="F32" i="24"/>
  <c r="G32" i="24"/>
  <c r="H32" i="24"/>
  <c r="I32" i="24"/>
  <c r="J32" i="24"/>
  <c r="B33" i="8"/>
  <c r="B33" i="24"/>
  <c r="C33" i="24"/>
  <c r="D33" i="24"/>
  <c r="E33" i="24"/>
  <c r="F33" i="24"/>
  <c r="G33" i="24"/>
  <c r="H33" i="24"/>
  <c r="I33" i="24"/>
  <c r="J33" i="24"/>
  <c r="B34" i="8"/>
  <c r="B34" i="24"/>
  <c r="C34" i="24"/>
  <c r="D34" i="24"/>
  <c r="E34" i="24"/>
  <c r="F34" i="24"/>
  <c r="G34" i="24"/>
  <c r="H34" i="24"/>
  <c r="I34" i="24"/>
  <c r="J34" i="24"/>
  <c r="B35" i="8"/>
  <c r="B35" i="24"/>
  <c r="C35" i="24"/>
  <c r="D35" i="24"/>
  <c r="E35" i="24"/>
  <c r="F35" i="24"/>
  <c r="G35" i="24"/>
  <c r="H35" i="24"/>
  <c r="I35" i="24"/>
  <c r="J35" i="24"/>
  <c r="B36" i="8"/>
  <c r="B36" i="24"/>
  <c r="C36" i="24"/>
  <c r="D36" i="24"/>
  <c r="E36" i="24"/>
  <c r="F36" i="24"/>
  <c r="G36" i="24"/>
  <c r="H36" i="24"/>
  <c r="I36" i="24"/>
  <c r="J36" i="24"/>
  <c r="B37" i="8"/>
  <c r="B37" i="24"/>
  <c r="C37" i="24"/>
  <c r="D37" i="24"/>
  <c r="E37" i="24"/>
  <c r="F37" i="24"/>
  <c r="G37" i="24"/>
  <c r="H37" i="24"/>
  <c r="I37" i="24"/>
  <c r="J37" i="24"/>
  <c r="B38" i="8"/>
  <c r="B38" i="24"/>
  <c r="C38" i="24"/>
  <c r="D38" i="24"/>
  <c r="E38" i="24"/>
  <c r="F38" i="24"/>
  <c r="G38" i="24"/>
  <c r="H38" i="24"/>
  <c r="I38" i="24"/>
  <c r="J38" i="24"/>
  <c r="B39" i="8"/>
  <c r="B39" i="24"/>
  <c r="C39" i="24"/>
  <c r="D39" i="24"/>
  <c r="E39" i="24"/>
  <c r="F39" i="24"/>
  <c r="G39" i="24"/>
  <c r="H39" i="24"/>
  <c r="I39" i="24"/>
  <c r="J39" i="24"/>
  <c r="B40" i="8"/>
  <c r="B40" i="24"/>
  <c r="C40" i="24"/>
  <c r="D40" i="24"/>
  <c r="E40" i="24"/>
  <c r="F40" i="24"/>
  <c r="G40" i="24"/>
  <c r="H40" i="24"/>
  <c r="I40" i="24"/>
  <c r="J40" i="24"/>
  <c r="B41" i="8"/>
  <c r="B41" i="24"/>
  <c r="C41" i="24"/>
  <c r="D41" i="24"/>
  <c r="E41" i="24"/>
  <c r="F41" i="24"/>
  <c r="G41" i="24"/>
  <c r="H41" i="24"/>
  <c r="I41" i="24"/>
  <c r="J41" i="24"/>
  <c r="B42" i="8"/>
  <c r="B42" i="24"/>
  <c r="C42" i="24"/>
  <c r="D42" i="24"/>
  <c r="E42" i="24"/>
  <c r="F42" i="24"/>
  <c r="G42" i="24"/>
  <c r="H42" i="24"/>
  <c r="I42" i="24"/>
  <c r="J42" i="24"/>
  <c r="B43" i="8"/>
  <c r="B43" i="24"/>
  <c r="C43" i="24"/>
  <c r="D43" i="24"/>
  <c r="E43" i="24"/>
  <c r="F43" i="24"/>
  <c r="G43" i="24"/>
  <c r="H43" i="24"/>
  <c r="I43" i="24"/>
  <c r="J43" i="24"/>
  <c r="B44" i="8"/>
  <c r="B44" i="24"/>
  <c r="C44" i="24"/>
  <c r="D44" i="24"/>
  <c r="E44" i="24"/>
  <c r="F44" i="24"/>
  <c r="G44" i="24"/>
  <c r="H44" i="24"/>
  <c r="I44" i="24"/>
  <c r="J44" i="24"/>
  <c r="B45" i="8"/>
  <c r="B45" i="24"/>
  <c r="C45" i="24"/>
  <c r="D45" i="24"/>
  <c r="E45" i="24"/>
  <c r="F45" i="24"/>
  <c r="G45" i="24"/>
  <c r="H45" i="24"/>
  <c r="I45" i="24"/>
  <c r="J45" i="24"/>
  <c r="B46" i="8"/>
  <c r="B46" i="24"/>
  <c r="C46" i="24"/>
  <c r="D46" i="24"/>
  <c r="E46" i="24"/>
  <c r="F46" i="24"/>
  <c r="G46" i="24"/>
  <c r="H46" i="24"/>
  <c r="I46" i="24"/>
  <c r="J46" i="24"/>
  <c r="B47" i="8"/>
  <c r="B47" i="24"/>
  <c r="C47" i="24"/>
  <c r="D47" i="24"/>
  <c r="E47" i="24"/>
  <c r="F47" i="24"/>
  <c r="G47" i="24"/>
  <c r="H47" i="24"/>
  <c r="I47" i="24"/>
  <c r="J47" i="24"/>
  <c r="B48" i="8"/>
  <c r="B48" i="24"/>
  <c r="C48" i="24"/>
  <c r="D48" i="24"/>
  <c r="E48" i="24"/>
  <c r="F48" i="24"/>
  <c r="G48" i="24"/>
  <c r="H48" i="24"/>
  <c r="I48" i="24"/>
  <c r="J48" i="24"/>
  <c r="B49" i="8"/>
  <c r="B49" i="24"/>
  <c r="C49" i="24"/>
  <c r="D49" i="24"/>
  <c r="E49" i="24"/>
  <c r="F49" i="24"/>
  <c r="G49" i="24"/>
  <c r="H49" i="24"/>
  <c r="I49" i="24"/>
  <c r="J49" i="24"/>
  <c r="B50" i="8"/>
  <c r="B50" i="24"/>
  <c r="C50" i="24"/>
  <c r="D50" i="24"/>
  <c r="E50" i="24"/>
  <c r="F50" i="24"/>
  <c r="G50" i="24"/>
  <c r="H50" i="24"/>
  <c r="I50" i="24"/>
  <c r="J50" i="24"/>
  <c r="B51" i="8"/>
  <c r="B51" i="24"/>
  <c r="C51" i="24"/>
  <c r="D51" i="24"/>
  <c r="E51" i="24"/>
  <c r="F51" i="24"/>
  <c r="G51" i="24"/>
  <c r="H51" i="24"/>
  <c r="I51" i="24"/>
  <c r="J51" i="24"/>
  <c r="B52" i="8"/>
  <c r="B52" i="24"/>
  <c r="C52" i="24"/>
  <c r="D52" i="24"/>
  <c r="E52" i="24"/>
  <c r="F52" i="24"/>
  <c r="G52" i="24"/>
  <c r="H52" i="24"/>
  <c r="I52" i="24"/>
  <c r="J52" i="24"/>
  <c r="B2" i="24"/>
  <c r="C2" i="24"/>
  <c r="D2" i="24"/>
  <c r="E2" i="24"/>
  <c r="F2" i="24"/>
  <c r="G2" i="24"/>
  <c r="H2" i="24"/>
  <c r="I2" i="24"/>
  <c r="J2" i="24"/>
  <c r="B3" i="23"/>
  <c r="C3" i="23"/>
  <c r="D3" i="23"/>
  <c r="E3" i="23"/>
  <c r="F3" i="23"/>
  <c r="G3" i="23"/>
  <c r="H3" i="23"/>
  <c r="I3" i="23"/>
  <c r="J3" i="23"/>
  <c r="B4" i="23"/>
  <c r="C4" i="23"/>
  <c r="D4" i="23"/>
  <c r="E4" i="23"/>
  <c r="F4" i="23"/>
  <c r="G4" i="23"/>
  <c r="H4" i="23"/>
  <c r="I4" i="23"/>
  <c r="J4" i="23"/>
  <c r="B5" i="23"/>
  <c r="C5" i="23"/>
  <c r="D5" i="23"/>
  <c r="E5" i="23"/>
  <c r="F5" i="23"/>
  <c r="G5" i="23"/>
  <c r="H5" i="23"/>
  <c r="I5" i="23"/>
  <c r="J5" i="23"/>
  <c r="B6" i="23"/>
  <c r="C6" i="23"/>
  <c r="D6" i="23"/>
  <c r="E6" i="23"/>
  <c r="F6" i="23"/>
  <c r="G6" i="23"/>
  <c r="H6" i="23"/>
  <c r="I6" i="23"/>
  <c r="J6" i="23"/>
  <c r="B7" i="23"/>
  <c r="C7" i="23"/>
  <c r="D7" i="23"/>
  <c r="E7" i="23"/>
  <c r="F7" i="23"/>
  <c r="G7" i="23"/>
  <c r="H7" i="23"/>
  <c r="I7" i="23"/>
  <c r="J7" i="23"/>
  <c r="B8" i="23"/>
  <c r="C8" i="23"/>
  <c r="D8" i="23"/>
  <c r="E8" i="23"/>
  <c r="F8" i="23"/>
  <c r="G8" i="23"/>
  <c r="H8" i="23"/>
  <c r="I8" i="23"/>
  <c r="J8" i="23"/>
  <c r="B9" i="23"/>
  <c r="C9" i="23"/>
  <c r="D9" i="23"/>
  <c r="E9" i="23"/>
  <c r="F9" i="23"/>
  <c r="G9" i="23"/>
  <c r="H9" i="23"/>
  <c r="I9" i="23"/>
  <c r="J9" i="23"/>
  <c r="B10" i="23"/>
  <c r="C10" i="23"/>
  <c r="D10" i="23"/>
  <c r="E10" i="23"/>
  <c r="F10" i="23"/>
  <c r="G10" i="23"/>
  <c r="H10" i="23"/>
  <c r="I10" i="23"/>
  <c r="J10" i="23"/>
  <c r="B11" i="23"/>
  <c r="C11" i="23"/>
  <c r="D11" i="23"/>
  <c r="E11" i="23"/>
  <c r="F11" i="23"/>
  <c r="G11" i="23"/>
  <c r="H11" i="23"/>
  <c r="I11" i="23"/>
  <c r="J11" i="23"/>
  <c r="B12" i="23"/>
  <c r="C12" i="23"/>
  <c r="D12" i="23"/>
  <c r="E12" i="23"/>
  <c r="F12" i="23"/>
  <c r="G12" i="23"/>
  <c r="H12" i="23"/>
  <c r="I12" i="23"/>
  <c r="J12" i="23"/>
  <c r="B13" i="23"/>
  <c r="C13" i="23"/>
  <c r="D13" i="23"/>
  <c r="E13" i="23"/>
  <c r="F13" i="23"/>
  <c r="G13" i="23"/>
  <c r="H13" i="23"/>
  <c r="I13" i="23"/>
  <c r="J13" i="23"/>
  <c r="B14" i="23"/>
  <c r="C14" i="23"/>
  <c r="D14" i="23"/>
  <c r="E14" i="23"/>
  <c r="F14" i="23"/>
  <c r="G14" i="23"/>
  <c r="H14" i="23"/>
  <c r="I14" i="23"/>
  <c r="J14" i="23"/>
  <c r="B15" i="23"/>
  <c r="C15" i="23"/>
  <c r="D15" i="23"/>
  <c r="E15" i="23"/>
  <c r="F15" i="23"/>
  <c r="G15" i="23"/>
  <c r="H15" i="23"/>
  <c r="I15" i="23"/>
  <c r="J15" i="23"/>
  <c r="B16" i="23"/>
  <c r="C16" i="23"/>
  <c r="D16" i="23"/>
  <c r="E16" i="23"/>
  <c r="F16" i="23"/>
  <c r="G16" i="23"/>
  <c r="H16" i="23"/>
  <c r="I16" i="23"/>
  <c r="J16" i="23"/>
  <c r="B17" i="23"/>
  <c r="C17" i="23"/>
  <c r="D17" i="23"/>
  <c r="E17" i="23"/>
  <c r="F17" i="23"/>
  <c r="G17" i="23"/>
  <c r="H17" i="23"/>
  <c r="I17" i="23"/>
  <c r="J17" i="23"/>
  <c r="B18" i="23"/>
  <c r="C18" i="23"/>
  <c r="D18" i="23"/>
  <c r="E18" i="23"/>
  <c r="F18" i="23"/>
  <c r="G18" i="23"/>
  <c r="H18" i="23"/>
  <c r="I18" i="23"/>
  <c r="J18" i="23"/>
  <c r="B19" i="23"/>
  <c r="C19" i="23"/>
  <c r="D19" i="23"/>
  <c r="E19" i="23"/>
  <c r="F19" i="23"/>
  <c r="G19" i="23"/>
  <c r="H19" i="23"/>
  <c r="I19" i="23"/>
  <c r="J19" i="23"/>
  <c r="B20" i="23"/>
  <c r="C20" i="23"/>
  <c r="D20" i="23"/>
  <c r="E20" i="23"/>
  <c r="F20" i="23"/>
  <c r="G20" i="23"/>
  <c r="H20" i="23"/>
  <c r="I20" i="23"/>
  <c r="J20" i="23"/>
  <c r="B21" i="23"/>
  <c r="C21" i="23"/>
  <c r="D21" i="23"/>
  <c r="E21" i="23"/>
  <c r="F21" i="23"/>
  <c r="G21" i="23"/>
  <c r="H21" i="23"/>
  <c r="I21" i="23"/>
  <c r="J21" i="23"/>
  <c r="B22" i="23"/>
  <c r="C22" i="23"/>
  <c r="D22" i="23"/>
  <c r="E22" i="23"/>
  <c r="F22" i="23"/>
  <c r="G22" i="23"/>
  <c r="H22" i="23"/>
  <c r="I22" i="23"/>
  <c r="J22" i="23"/>
  <c r="B23" i="23"/>
  <c r="C23" i="23"/>
  <c r="D23" i="23"/>
  <c r="E23" i="23"/>
  <c r="F23" i="23"/>
  <c r="G23" i="23"/>
  <c r="H23" i="23"/>
  <c r="I23" i="23"/>
  <c r="J23" i="23"/>
  <c r="B24" i="23"/>
  <c r="C24" i="23"/>
  <c r="D24" i="23"/>
  <c r="E24" i="23"/>
  <c r="F24" i="23"/>
  <c r="G24" i="23"/>
  <c r="H24" i="23"/>
  <c r="I24" i="23"/>
  <c r="J24" i="23"/>
  <c r="B25" i="23"/>
  <c r="C25" i="23"/>
  <c r="D25" i="23"/>
  <c r="E25" i="23"/>
  <c r="F25" i="23"/>
  <c r="G25" i="23"/>
  <c r="H25" i="23"/>
  <c r="I25" i="23"/>
  <c r="J25" i="23"/>
  <c r="B26" i="23"/>
  <c r="C26" i="23"/>
  <c r="D26" i="23"/>
  <c r="E26" i="23"/>
  <c r="F26" i="23"/>
  <c r="G26" i="23"/>
  <c r="H26" i="23"/>
  <c r="I26" i="23"/>
  <c r="J26" i="23"/>
  <c r="B27" i="23"/>
  <c r="C27" i="23"/>
  <c r="D27" i="23"/>
  <c r="E27" i="23"/>
  <c r="F27" i="23"/>
  <c r="G27" i="23"/>
  <c r="H27" i="23"/>
  <c r="I27" i="23"/>
  <c r="J27" i="23"/>
  <c r="B28" i="23"/>
  <c r="C28" i="23"/>
  <c r="D28" i="23"/>
  <c r="E28" i="23"/>
  <c r="F28" i="23"/>
  <c r="G28" i="23"/>
  <c r="H28" i="23"/>
  <c r="I28" i="23"/>
  <c r="J28" i="23"/>
  <c r="B29" i="23"/>
  <c r="C29" i="23"/>
  <c r="D29" i="23"/>
  <c r="E29" i="23"/>
  <c r="F29" i="23"/>
  <c r="G29" i="23"/>
  <c r="H29" i="23"/>
  <c r="I29" i="23"/>
  <c r="J29" i="23"/>
  <c r="B30" i="23"/>
  <c r="C30" i="23"/>
  <c r="D30" i="23"/>
  <c r="E30" i="23"/>
  <c r="F30" i="23"/>
  <c r="G30" i="23"/>
  <c r="H30" i="23"/>
  <c r="I30" i="23"/>
  <c r="J30" i="23"/>
  <c r="B31" i="23"/>
  <c r="C31" i="23"/>
  <c r="D31" i="23"/>
  <c r="E31" i="23"/>
  <c r="F31" i="23"/>
  <c r="G31" i="23"/>
  <c r="H31" i="23"/>
  <c r="I31" i="23"/>
  <c r="J31" i="23"/>
  <c r="B32" i="23"/>
  <c r="C32" i="23"/>
  <c r="D32" i="23"/>
  <c r="E32" i="23"/>
  <c r="F32" i="23"/>
  <c r="G32" i="23"/>
  <c r="H32" i="23"/>
  <c r="I32" i="23"/>
  <c r="J32" i="23"/>
  <c r="B33" i="23"/>
  <c r="C33" i="23"/>
  <c r="D33" i="23"/>
  <c r="E33" i="23"/>
  <c r="F33" i="23"/>
  <c r="G33" i="23"/>
  <c r="H33" i="23"/>
  <c r="I33" i="23"/>
  <c r="J33" i="23"/>
  <c r="B34" i="23"/>
  <c r="C34" i="23"/>
  <c r="D34" i="23"/>
  <c r="E34" i="23"/>
  <c r="F34" i="23"/>
  <c r="G34" i="23"/>
  <c r="H34" i="23"/>
  <c r="I34" i="23"/>
  <c r="J34" i="23"/>
  <c r="B35" i="23"/>
  <c r="C35" i="23"/>
  <c r="D35" i="23"/>
  <c r="E35" i="23"/>
  <c r="F35" i="23"/>
  <c r="G35" i="23"/>
  <c r="H35" i="23"/>
  <c r="I35" i="23"/>
  <c r="J35" i="23"/>
  <c r="B36" i="23"/>
  <c r="C36" i="23"/>
  <c r="D36" i="23"/>
  <c r="E36" i="23"/>
  <c r="F36" i="23"/>
  <c r="G36" i="23"/>
  <c r="H36" i="23"/>
  <c r="I36" i="23"/>
  <c r="J36" i="23"/>
  <c r="B37" i="23"/>
  <c r="C37" i="23"/>
  <c r="D37" i="23"/>
  <c r="E37" i="23"/>
  <c r="F37" i="23"/>
  <c r="G37" i="23"/>
  <c r="H37" i="23"/>
  <c r="I37" i="23"/>
  <c r="J37" i="23"/>
  <c r="B38" i="23"/>
  <c r="C38" i="23"/>
  <c r="D38" i="23"/>
  <c r="E38" i="23"/>
  <c r="F38" i="23"/>
  <c r="G38" i="23"/>
  <c r="H38" i="23"/>
  <c r="I38" i="23"/>
  <c r="J38" i="23"/>
  <c r="B39" i="23"/>
  <c r="C39" i="23"/>
  <c r="D39" i="23"/>
  <c r="E39" i="23"/>
  <c r="F39" i="23"/>
  <c r="G39" i="23"/>
  <c r="H39" i="23"/>
  <c r="I39" i="23"/>
  <c r="J39" i="23"/>
  <c r="B40" i="23"/>
  <c r="C40" i="23"/>
  <c r="D40" i="23"/>
  <c r="E40" i="23"/>
  <c r="F40" i="23"/>
  <c r="G40" i="23"/>
  <c r="H40" i="23"/>
  <c r="I40" i="23"/>
  <c r="J40" i="23"/>
  <c r="B41" i="23"/>
  <c r="C41" i="23"/>
  <c r="D41" i="23"/>
  <c r="E41" i="23"/>
  <c r="F41" i="23"/>
  <c r="G41" i="23"/>
  <c r="H41" i="23"/>
  <c r="I41" i="23"/>
  <c r="J41" i="23"/>
  <c r="B42" i="23"/>
  <c r="C42" i="23"/>
  <c r="D42" i="23"/>
  <c r="E42" i="23"/>
  <c r="F42" i="23"/>
  <c r="G42" i="23"/>
  <c r="H42" i="23"/>
  <c r="I42" i="23"/>
  <c r="J42" i="23"/>
  <c r="B43" i="23"/>
  <c r="C43" i="23"/>
  <c r="D43" i="23"/>
  <c r="E43" i="23"/>
  <c r="F43" i="23"/>
  <c r="G43" i="23"/>
  <c r="H43" i="23"/>
  <c r="I43" i="23"/>
  <c r="J43" i="23"/>
  <c r="B44" i="23"/>
  <c r="C44" i="23"/>
  <c r="D44" i="23"/>
  <c r="E44" i="23"/>
  <c r="F44" i="23"/>
  <c r="G44" i="23"/>
  <c r="H44" i="23"/>
  <c r="I44" i="23"/>
  <c r="J44" i="23"/>
  <c r="B45" i="23"/>
  <c r="C45" i="23"/>
  <c r="D45" i="23"/>
  <c r="E45" i="23"/>
  <c r="F45" i="23"/>
  <c r="G45" i="23"/>
  <c r="H45" i="23"/>
  <c r="I45" i="23"/>
  <c r="J45" i="23"/>
  <c r="B46" i="23"/>
  <c r="C46" i="23"/>
  <c r="D46" i="23"/>
  <c r="E46" i="23"/>
  <c r="F46" i="23"/>
  <c r="G46" i="23"/>
  <c r="H46" i="23"/>
  <c r="I46" i="23"/>
  <c r="J46" i="23"/>
  <c r="B47" i="23"/>
  <c r="C47" i="23"/>
  <c r="D47" i="23"/>
  <c r="E47" i="23"/>
  <c r="F47" i="23"/>
  <c r="G47" i="23"/>
  <c r="H47" i="23"/>
  <c r="I47" i="23"/>
  <c r="J47" i="23"/>
  <c r="B48" i="23"/>
  <c r="C48" i="23"/>
  <c r="D48" i="23"/>
  <c r="E48" i="23"/>
  <c r="F48" i="23"/>
  <c r="G48" i="23"/>
  <c r="H48" i="23"/>
  <c r="I48" i="23"/>
  <c r="J48" i="23"/>
  <c r="B49" i="23"/>
  <c r="C49" i="23"/>
  <c r="D49" i="23"/>
  <c r="E49" i="23"/>
  <c r="F49" i="23"/>
  <c r="G49" i="23"/>
  <c r="H49" i="23"/>
  <c r="I49" i="23"/>
  <c r="J49" i="23"/>
  <c r="B50" i="23"/>
  <c r="C50" i="23"/>
  <c r="D50" i="23"/>
  <c r="E50" i="23"/>
  <c r="F50" i="23"/>
  <c r="G50" i="23"/>
  <c r="H50" i="23"/>
  <c r="I50" i="23"/>
  <c r="J50" i="23"/>
  <c r="B51" i="23"/>
  <c r="C51" i="23"/>
  <c r="D51" i="23"/>
  <c r="E51" i="23"/>
  <c r="F51" i="23"/>
  <c r="G51" i="23"/>
  <c r="H51" i="23"/>
  <c r="I51" i="23"/>
  <c r="J51" i="23"/>
  <c r="B52" i="23"/>
  <c r="C52" i="23"/>
  <c r="D52" i="23"/>
  <c r="E52" i="23"/>
  <c r="F52" i="23"/>
  <c r="G52" i="23"/>
  <c r="H52" i="23"/>
  <c r="I52" i="23"/>
  <c r="J52" i="23"/>
  <c r="C2" i="23"/>
  <c r="D2" i="23"/>
  <c r="E2" i="23"/>
  <c r="F2" i="23"/>
  <c r="G2" i="23"/>
  <c r="H2" i="23"/>
  <c r="I2" i="23"/>
  <c r="J2" i="23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2" i="24"/>
  <c r="K3" i="23"/>
  <c r="K4" i="23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2" i="23"/>
  <c r="K43" i="23"/>
  <c r="K44" i="23"/>
  <c r="K45" i="23"/>
  <c r="K46" i="23"/>
  <c r="K47" i="23"/>
  <c r="K48" i="23"/>
  <c r="K49" i="23"/>
  <c r="K50" i="23"/>
  <c r="K51" i="23"/>
  <c r="K52" i="23"/>
  <c r="K2" i="23"/>
  <c r="AH52" i="23"/>
  <c r="AH51" i="23"/>
  <c r="AH50" i="23"/>
  <c r="AH49" i="23"/>
  <c r="AH48" i="23"/>
  <c r="AH47" i="23"/>
  <c r="AH46" i="23"/>
  <c r="AH45" i="23"/>
  <c r="AH44" i="23"/>
  <c r="AH43" i="23"/>
  <c r="AH42" i="23"/>
  <c r="AH41" i="23"/>
  <c r="AH40" i="23"/>
  <c r="AH39" i="23"/>
  <c r="AH38" i="23"/>
  <c r="AH37" i="23"/>
  <c r="AH36" i="23"/>
  <c r="AH35" i="23"/>
  <c r="AH34" i="23"/>
  <c r="AH33" i="23"/>
  <c r="AH32" i="23"/>
  <c r="AH31" i="23"/>
  <c r="AH30" i="23"/>
  <c r="AH29" i="23"/>
  <c r="AH28" i="23"/>
  <c r="AH27" i="23"/>
  <c r="AH26" i="23"/>
  <c r="AH25" i="23"/>
  <c r="AH24" i="23"/>
  <c r="AH23" i="23"/>
  <c r="AH22" i="23"/>
  <c r="AH21" i="23"/>
  <c r="AH20" i="23"/>
  <c r="AH19" i="23"/>
  <c r="AH18" i="23"/>
  <c r="AH17" i="23"/>
  <c r="AH16" i="23"/>
  <c r="AH15" i="23"/>
  <c r="AH14" i="23"/>
  <c r="AH13" i="23"/>
  <c r="AH12" i="23"/>
  <c r="AH11" i="23"/>
  <c r="AH10" i="23"/>
  <c r="AH9" i="23"/>
  <c r="AH8" i="23"/>
  <c r="AH7" i="23"/>
  <c r="AH6" i="23"/>
  <c r="AH5" i="23"/>
  <c r="AH4" i="23"/>
  <c r="AH3" i="23"/>
  <c r="AH2" i="23"/>
  <c r="AG52" i="23"/>
  <c r="AG51" i="23"/>
  <c r="AG50" i="23"/>
  <c r="AG49" i="23"/>
  <c r="AG48" i="23"/>
  <c r="AG47" i="23"/>
  <c r="AG46" i="23"/>
  <c r="AG45" i="23"/>
  <c r="AG44" i="23"/>
  <c r="AG43" i="23"/>
  <c r="AG42" i="23"/>
  <c r="AG41" i="23"/>
  <c r="AG40" i="23"/>
  <c r="AG39" i="23"/>
  <c r="AG38" i="23"/>
  <c r="AG37" i="23"/>
  <c r="AG36" i="23"/>
  <c r="AG35" i="23"/>
  <c r="AG34" i="23"/>
  <c r="AG33" i="23"/>
  <c r="AG32" i="23"/>
  <c r="AG31" i="23"/>
  <c r="AG30" i="23"/>
  <c r="AG29" i="23"/>
  <c r="AG28" i="23"/>
  <c r="AG27" i="23"/>
  <c r="AG26" i="23"/>
  <c r="AG25" i="23"/>
  <c r="AG24" i="23"/>
  <c r="AG23" i="23"/>
  <c r="AG22" i="23"/>
  <c r="AG21" i="23"/>
  <c r="AG20" i="23"/>
  <c r="AG19" i="23"/>
  <c r="AG18" i="23"/>
  <c r="AG17" i="23"/>
  <c r="AG16" i="23"/>
  <c r="AG15" i="23"/>
  <c r="AG14" i="23"/>
  <c r="AG13" i="23"/>
  <c r="AG12" i="23"/>
  <c r="AG11" i="23"/>
  <c r="AG10" i="23"/>
  <c r="AG9" i="23"/>
  <c r="AG8" i="23"/>
  <c r="AG7" i="23"/>
  <c r="AG6" i="23"/>
  <c r="AG5" i="23"/>
  <c r="AG4" i="23"/>
  <c r="AG3" i="23"/>
  <c r="AG2" i="23"/>
  <c r="AF52" i="23"/>
  <c r="AF51" i="23"/>
  <c r="AF50" i="23"/>
  <c r="AF49" i="23"/>
  <c r="AF48" i="23"/>
  <c r="AF47" i="23"/>
  <c r="AF46" i="23"/>
  <c r="AF45" i="23"/>
  <c r="AF44" i="23"/>
  <c r="AF43" i="23"/>
  <c r="AF42" i="23"/>
  <c r="AF41" i="23"/>
  <c r="AF40" i="23"/>
  <c r="AF39" i="23"/>
  <c r="AF38" i="23"/>
  <c r="AF37" i="23"/>
  <c r="AF36" i="23"/>
  <c r="AF35" i="23"/>
  <c r="AF34" i="23"/>
  <c r="AF33" i="23"/>
  <c r="AF32" i="23"/>
  <c r="AF31" i="23"/>
  <c r="AF30" i="23"/>
  <c r="AF29" i="23"/>
  <c r="AF28" i="23"/>
  <c r="AF27" i="23"/>
  <c r="AF26" i="23"/>
  <c r="AF25" i="23"/>
  <c r="AF24" i="23"/>
  <c r="AF23" i="23"/>
  <c r="AF22" i="23"/>
  <c r="AF21" i="23"/>
  <c r="AF20" i="23"/>
  <c r="AF19" i="23"/>
  <c r="AF18" i="23"/>
  <c r="AF17" i="23"/>
  <c r="AF16" i="23"/>
  <c r="AF15" i="23"/>
  <c r="AF14" i="23"/>
  <c r="AF13" i="23"/>
  <c r="AF12" i="23"/>
  <c r="AF11" i="23"/>
  <c r="AF10" i="23"/>
  <c r="AF9" i="23"/>
  <c r="AF8" i="23"/>
  <c r="AF7" i="23"/>
  <c r="AF6" i="23"/>
  <c r="AF5" i="23"/>
  <c r="AF4" i="23"/>
  <c r="AF3" i="23"/>
  <c r="AF2" i="23"/>
  <c r="AE52" i="23"/>
  <c r="AE51" i="23"/>
  <c r="AE50" i="23"/>
  <c r="AE49" i="23"/>
  <c r="AE48" i="23"/>
  <c r="AE47" i="23"/>
  <c r="AE46" i="23"/>
  <c r="AE45" i="23"/>
  <c r="AE44" i="23"/>
  <c r="AE43" i="23"/>
  <c r="AE42" i="23"/>
  <c r="AE41" i="23"/>
  <c r="AE40" i="23"/>
  <c r="AE39" i="23"/>
  <c r="AE38" i="23"/>
  <c r="AE37" i="23"/>
  <c r="AE36" i="23"/>
  <c r="AE35" i="23"/>
  <c r="AE34" i="23"/>
  <c r="AE33" i="23"/>
  <c r="AE32" i="23"/>
  <c r="AE31" i="23"/>
  <c r="AE30" i="23"/>
  <c r="AE29" i="23"/>
  <c r="AE28" i="23"/>
  <c r="AE27" i="23"/>
  <c r="AE26" i="23"/>
  <c r="AE25" i="23"/>
  <c r="AE24" i="23"/>
  <c r="AE23" i="23"/>
  <c r="AE22" i="23"/>
  <c r="AE21" i="23"/>
  <c r="AE20" i="23"/>
  <c r="AE19" i="23"/>
  <c r="AE18" i="23"/>
  <c r="AE17" i="23"/>
  <c r="AE16" i="23"/>
  <c r="AE15" i="23"/>
  <c r="AE14" i="23"/>
  <c r="AE13" i="23"/>
  <c r="AE12" i="23"/>
  <c r="AE11" i="23"/>
  <c r="AE10" i="23"/>
  <c r="AE9" i="23"/>
  <c r="AE8" i="23"/>
  <c r="AE7" i="23"/>
  <c r="AE6" i="23"/>
  <c r="AE5" i="23"/>
  <c r="AE4" i="23"/>
  <c r="AE3" i="23"/>
  <c r="AE2" i="23"/>
  <c r="AD52" i="23"/>
  <c r="AD51" i="23"/>
  <c r="AD50" i="23"/>
  <c r="AD49" i="23"/>
  <c r="AD48" i="23"/>
  <c r="AD47" i="23"/>
  <c r="AD46" i="23"/>
  <c r="AD45" i="23"/>
  <c r="AD44" i="23"/>
  <c r="AD43" i="23"/>
  <c r="AD42" i="23"/>
  <c r="AD41" i="23"/>
  <c r="AD40" i="23"/>
  <c r="AD39" i="23"/>
  <c r="AD38" i="23"/>
  <c r="AD37" i="23"/>
  <c r="AD36" i="23"/>
  <c r="AD35" i="23"/>
  <c r="AD34" i="23"/>
  <c r="AD33" i="23"/>
  <c r="AD32" i="23"/>
  <c r="AD31" i="23"/>
  <c r="AD30" i="23"/>
  <c r="AD29" i="23"/>
  <c r="AD28" i="23"/>
  <c r="AD27" i="23"/>
  <c r="AD26" i="23"/>
  <c r="AD25" i="23"/>
  <c r="AD24" i="23"/>
  <c r="AD23" i="23"/>
  <c r="AD22" i="23"/>
  <c r="AD21" i="23"/>
  <c r="AD20" i="23"/>
  <c r="AD19" i="23"/>
  <c r="AD18" i="23"/>
  <c r="AD17" i="23"/>
  <c r="AD16" i="23"/>
  <c r="AD15" i="23"/>
  <c r="AD14" i="23"/>
  <c r="AD13" i="23"/>
  <c r="AD12" i="23"/>
  <c r="AD11" i="23"/>
  <c r="AD10" i="23"/>
  <c r="AD9" i="23"/>
  <c r="AD8" i="23"/>
  <c r="AD7" i="23"/>
  <c r="AD6" i="23"/>
  <c r="AD5" i="23"/>
  <c r="AD4" i="23"/>
  <c r="AD3" i="23"/>
  <c r="AD2" i="23"/>
  <c r="AC52" i="23"/>
  <c r="AC51" i="23"/>
  <c r="AC50" i="23"/>
  <c r="AC49" i="23"/>
  <c r="AC48" i="23"/>
  <c r="AC47" i="23"/>
  <c r="AC46" i="23"/>
  <c r="AC45" i="23"/>
  <c r="AC44" i="23"/>
  <c r="AC43" i="23"/>
  <c r="AC42" i="23"/>
  <c r="AC41" i="23"/>
  <c r="AC40" i="23"/>
  <c r="AC39" i="23"/>
  <c r="AC38" i="23"/>
  <c r="AC37" i="23"/>
  <c r="AC36" i="23"/>
  <c r="AC35" i="23"/>
  <c r="AC34" i="23"/>
  <c r="AC33" i="23"/>
  <c r="AC32" i="23"/>
  <c r="AC31" i="23"/>
  <c r="AC30" i="23"/>
  <c r="AC29" i="23"/>
  <c r="AC28" i="23"/>
  <c r="AC27" i="23"/>
  <c r="AC26" i="23"/>
  <c r="AC25" i="23"/>
  <c r="AC24" i="23"/>
  <c r="AC23" i="23"/>
  <c r="AC22" i="23"/>
  <c r="AC21" i="23"/>
  <c r="AC20" i="23"/>
  <c r="AC19" i="23"/>
  <c r="AC18" i="23"/>
  <c r="AC17" i="23"/>
  <c r="AC16" i="23"/>
  <c r="AC15" i="23"/>
  <c r="AC14" i="23"/>
  <c r="AC13" i="23"/>
  <c r="AC12" i="23"/>
  <c r="AC11" i="23"/>
  <c r="AC10" i="23"/>
  <c r="AC9" i="23"/>
  <c r="AC8" i="23"/>
  <c r="AC7" i="23"/>
  <c r="AC6" i="23"/>
  <c r="AC5" i="23"/>
  <c r="AC4" i="23"/>
  <c r="AC3" i="23"/>
  <c r="AC2" i="23"/>
  <c r="AG52" i="25"/>
  <c r="AG51" i="25"/>
  <c r="AG50" i="25"/>
  <c r="AG49" i="25"/>
  <c r="AG48" i="25"/>
  <c r="AG47" i="25"/>
  <c r="AG46" i="25"/>
  <c r="AG45" i="25"/>
  <c r="AG44" i="25"/>
  <c r="AG43" i="25"/>
  <c r="AG42" i="25"/>
  <c r="AG41" i="25"/>
  <c r="AG40" i="25"/>
  <c r="AG39" i="25"/>
  <c r="AG38" i="25"/>
  <c r="AG37" i="25"/>
  <c r="AG36" i="25"/>
  <c r="AG35" i="25"/>
  <c r="AG34" i="25"/>
  <c r="AG33" i="25"/>
  <c r="AG32" i="25"/>
  <c r="AG31" i="25"/>
  <c r="AG30" i="25"/>
  <c r="AG29" i="25"/>
  <c r="AG28" i="25"/>
  <c r="AG27" i="25"/>
  <c r="AG26" i="25"/>
  <c r="AG25" i="25"/>
  <c r="AG24" i="25"/>
  <c r="AG23" i="25"/>
  <c r="AG22" i="25"/>
  <c r="AG21" i="25"/>
  <c r="AG20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G5" i="25"/>
  <c r="AG4" i="25"/>
  <c r="AG3" i="25"/>
  <c r="AG2" i="25"/>
  <c r="AF52" i="25"/>
  <c r="AF51" i="25"/>
  <c r="AF50" i="25"/>
  <c r="AF49" i="25"/>
  <c r="AF48" i="25"/>
  <c r="AF47" i="25"/>
  <c r="AF46" i="25"/>
  <c r="AF45" i="25"/>
  <c r="AF44" i="25"/>
  <c r="AF43" i="25"/>
  <c r="AF42" i="25"/>
  <c r="AF41" i="25"/>
  <c r="AF40" i="25"/>
  <c r="AF39" i="25"/>
  <c r="AF38" i="25"/>
  <c r="AF37" i="25"/>
  <c r="AF36" i="25"/>
  <c r="AF35" i="25"/>
  <c r="AF34" i="25"/>
  <c r="AF33" i="25"/>
  <c r="AF32" i="25"/>
  <c r="AF31" i="25"/>
  <c r="AF30" i="25"/>
  <c r="AF29" i="25"/>
  <c r="AF28" i="25"/>
  <c r="AF27" i="25"/>
  <c r="AF26" i="25"/>
  <c r="AF25" i="25"/>
  <c r="AF24" i="25"/>
  <c r="AF23" i="25"/>
  <c r="AF22" i="25"/>
  <c r="AF21" i="25"/>
  <c r="AF20" i="25"/>
  <c r="AF19" i="25"/>
  <c r="AF18" i="25"/>
  <c r="AF17" i="25"/>
  <c r="AF16" i="25"/>
  <c r="AF15" i="25"/>
  <c r="AF14" i="25"/>
  <c r="AF13" i="25"/>
  <c r="AF12" i="25"/>
  <c r="AF11" i="25"/>
  <c r="AF10" i="25"/>
  <c r="AF9" i="25"/>
  <c r="AF8" i="25"/>
  <c r="AF7" i="25"/>
  <c r="AF6" i="25"/>
  <c r="AF5" i="25"/>
  <c r="AF4" i="25"/>
  <c r="AF3" i="25"/>
  <c r="AF2" i="25"/>
  <c r="AE52" i="25"/>
  <c r="AE51" i="25"/>
  <c r="AE50" i="25"/>
  <c r="AE49" i="25"/>
  <c r="AE48" i="25"/>
  <c r="AE47" i="25"/>
  <c r="AE46" i="25"/>
  <c r="AE45" i="25"/>
  <c r="AE44" i="25"/>
  <c r="AE43" i="25"/>
  <c r="AE42" i="25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6" i="25"/>
  <c r="AE25" i="25"/>
  <c r="AE24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E6" i="25"/>
  <c r="AE5" i="25"/>
  <c r="AE4" i="25"/>
  <c r="AE3" i="25"/>
  <c r="AE2" i="25"/>
  <c r="AD52" i="25"/>
  <c r="AD51" i="25"/>
  <c r="AD50" i="25"/>
  <c r="AD49" i="25"/>
  <c r="AD48" i="25"/>
  <c r="AD47" i="25"/>
  <c r="AD46" i="25"/>
  <c r="AD45" i="25"/>
  <c r="AD44" i="25"/>
  <c r="AD43" i="25"/>
  <c r="AD42" i="25"/>
  <c r="AD41" i="25"/>
  <c r="AD40" i="25"/>
  <c r="AD39" i="25"/>
  <c r="AD38" i="25"/>
  <c r="AD37" i="25"/>
  <c r="AD36" i="25"/>
  <c r="AD35" i="25"/>
  <c r="AD34" i="25"/>
  <c r="AD33" i="25"/>
  <c r="AD32" i="25"/>
  <c r="AD31" i="25"/>
  <c r="AD30" i="25"/>
  <c r="AD29" i="25"/>
  <c r="AD28" i="25"/>
  <c r="AD27" i="25"/>
  <c r="AD26" i="25"/>
  <c r="AD25" i="25"/>
  <c r="AD24" i="25"/>
  <c r="AD23" i="25"/>
  <c r="AD22" i="25"/>
  <c r="AD21" i="25"/>
  <c r="AD20" i="25"/>
  <c r="AD19" i="25"/>
  <c r="AD18" i="25"/>
  <c r="AD17" i="25"/>
  <c r="AD16" i="25"/>
  <c r="AD15" i="25"/>
  <c r="AD14" i="25"/>
  <c r="AD13" i="25"/>
  <c r="AD12" i="25"/>
  <c r="AD11" i="25"/>
  <c r="AD10" i="25"/>
  <c r="AD9" i="25"/>
  <c r="AD8" i="25"/>
  <c r="AD7" i="25"/>
  <c r="AD6" i="25"/>
  <c r="AD5" i="25"/>
  <c r="AD4" i="25"/>
  <c r="AD3" i="25"/>
  <c r="AD2" i="25"/>
  <c r="AC52" i="25"/>
  <c r="AC51" i="25"/>
  <c r="AC50" i="25"/>
  <c r="AC49" i="25"/>
  <c r="AC48" i="25"/>
  <c r="AC47" i="25"/>
  <c r="AC46" i="25"/>
  <c r="AC45" i="25"/>
  <c r="AC44" i="25"/>
  <c r="AC43" i="25"/>
  <c r="AC42" i="25"/>
  <c r="AC41" i="25"/>
  <c r="AC40" i="25"/>
  <c r="AC39" i="25"/>
  <c r="AC38" i="25"/>
  <c r="AC37" i="25"/>
  <c r="AC36" i="25"/>
  <c r="AC35" i="25"/>
  <c r="AC34" i="25"/>
  <c r="AC33" i="25"/>
  <c r="AC32" i="25"/>
  <c r="AC31" i="25"/>
  <c r="AC30" i="25"/>
  <c r="AC29" i="25"/>
  <c r="AC28" i="25"/>
  <c r="AC27" i="25"/>
  <c r="AC26" i="25"/>
  <c r="AC25" i="25"/>
  <c r="AC24" i="25"/>
  <c r="AC23" i="25"/>
  <c r="AC22" i="25"/>
  <c r="AC21" i="25"/>
  <c r="AC20" i="25"/>
  <c r="AC19" i="25"/>
  <c r="AC18" i="25"/>
  <c r="AC17" i="25"/>
  <c r="AC16" i="25"/>
  <c r="AC15" i="25"/>
  <c r="AC14" i="25"/>
  <c r="AC13" i="25"/>
  <c r="AC12" i="25"/>
  <c r="AC11" i="25"/>
  <c r="AC10" i="25"/>
  <c r="AC9" i="25"/>
  <c r="AC8" i="25"/>
  <c r="AC7" i="25"/>
  <c r="AC6" i="25"/>
  <c r="AC5" i="25"/>
  <c r="AC4" i="25"/>
  <c r="AC3" i="25"/>
  <c r="AC2" i="25"/>
  <c r="AB52" i="25"/>
  <c r="AB51" i="25"/>
  <c r="AB50" i="25"/>
  <c r="AB49" i="25"/>
  <c r="AB48" i="25"/>
  <c r="AB47" i="25"/>
  <c r="AB46" i="25"/>
  <c r="AB45" i="25"/>
  <c r="AB44" i="25"/>
  <c r="AB43" i="25"/>
  <c r="AB42" i="25"/>
  <c r="AB41" i="25"/>
  <c r="AB40" i="25"/>
  <c r="AB39" i="25"/>
  <c r="AB38" i="25"/>
  <c r="AB37" i="25"/>
  <c r="AB36" i="25"/>
  <c r="AB35" i="25"/>
  <c r="AB34" i="25"/>
  <c r="AB33" i="25"/>
  <c r="AB32" i="25"/>
  <c r="AB31" i="25"/>
  <c r="AB30" i="25"/>
  <c r="AB29" i="25"/>
  <c r="AB28" i="25"/>
  <c r="AB27" i="25"/>
  <c r="AB26" i="25"/>
  <c r="AB25" i="25"/>
  <c r="AB24" i="25"/>
  <c r="AB23" i="25"/>
  <c r="AB22" i="25"/>
  <c r="AB21" i="25"/>
  <c r="AB20" i="25"/>
  <c r="AB19" i="25"/>
  <c r="AB18" i="25"/>
  <c r="AB17" i="25"/>
  <c r="AB16" i="25"/>
  <c r="AB15" i="25"/>
  <c r="AB14" i="25"/>
  <c r="AB13" i="25"/>
  <c r="AB12" i="25"/>
  <c r="AB11" i="25"/>
  <c r="AB10" i="25"/>
  <c r="AB9" i="25"/>
  <c r="AB8" i="25"/>
  <c r="AB7" i="25"/>
  <c r="AB6" i="25"/>
  <c r="AB5" i="25"/>
  <c r="AB4" i="25"/>
  <c r="AB3" i="25"/>
  <c r="AB2" i="25"/>
  <c r="AH52" i="24"/>
  <c r="AH51" i="24"/>
  <c r="AH50" i="24"/>
  <c r="AH49" i="24"/>
  <c r="AH48" i="24"/>
  <c r="AH47" i="24"/>
  <c r="AH46" i="24"/>
  <c r="AH45" i="24"/>
  <c r="AH44" i="24"/>
  <c r="AH43" i="24"/>
  <c r="AH42" i="24"/>
  <c r="AH41" i="24"/>
  <c r="AH40" i="24"/>
  <c r="AH39" i="24"/>
  <c r="AH38" i="24"/>
  <c r="AH37" i="24"/>
  <c r="AH36" i="24"/>
  <c r="AH35" i="24"/>
  <c r="AH34" i="24"/>
  <c r="AH33" i="24"/>
  <c r="AH32" i="24"/>
  <c r="AH31" i="24"/>
  <c r="AH30" i="24"/>
  <c r="AH29" i="24"/>
  <c r="AH28" i="24"/>
  <c r="AH27" i="24"/>
  <c r="AH26" i="24"/>
  <c r="AH25" i="24"/>
  <c r="AH24" i="24"/>
  <c r="AH23" i="24"/>
  <c r="AH22" i="24"/>
  <c r="AH21" i="24"/>
  <c r="AH20" i="24"/>
  <c r="AH19" i="24"/>
  <c r="AH18" i="24"/>
  <c r="AH17" i="24"/>
  <c r="AH16" i="24"/>
  <c r="AH15" i="24"/>
  <c r="AH14" i="24"/>
  <c r="AH13" i="24"/>
  <c r="AH12" i="24"/>
  <c r="AH11" i="24"/>
  <c r="AH10" i="24"/>
  <c r="AH9" i="24"/>
  <c r="AH8" i="24"/>
  <c r="AH7" i="24"/>
  <c r="AH6" i="24"/>
  <c r="AH5" i="24"/>
  <c r="AH4" i="24"/>
  <c r="AH3" i="24"/>
  <c r="AH2" i="24"/>
  <c r="AG52" i="24"/>
  <c r="AG51" i="24"/>
  <c r="AG50" i="24"/>
  <c r="AG49" i="24"/>
  <c r="AG48" i="24"/>
  <c r="AG47" i="24"/>
  <c r="AG46" i="24"/>
  <c r="AG45" i="24"/>
  <c r="AG44" i="24"/>
  <c r="AG43" i="24"/>
  <c r="AG42" i="24"/>
  <c r="AG41" i="24"/>
  <c r="AG40" i="24"/>
  <c r="AG39" i="24"/>
  <c r="AG38" i="24"/>
  <c r="AG37" i="24"/>
  <c r="AG36" i="24"/>
  <c r="AG35" i="24"/>
  <c r="AG34" i="24"/>
  <c r="AG33" i="24"/>
  <c r="AG32" i="24"/>
  <c r="AG31" i="24"/>
  <c r="AG30" i="24"/>
  <c r="AG29" i="24"/>
  <c r="AG28" i="24"/>
  <c r="AG27" i="24"/>
  <c r="AG26" i="24"/>
  <c r="AG25" i="24"/>
  <c r="AG24" i="24"/>
  <c r="AG23" i="24"/>
  <c r="AG22" i="24"/>
  <c r="AG21" i="24"/>
  <c r="AG20" i="24"/>
  <c r="AG19" i="24"/>
  <c r="AG18" i="24"/>
  <c r="AG17" i="24"/>
  <c r="AG16" i="24"/>
  <c r="AG15" i="24"/>
  <c r="AG14" i="24"/>
  <c r="AG13" i="24"/>
  <c r="AG12" i="24"/>
  <c r="AG11" i="24"/>
  <c r="AG10" i="24"/>
  <c r="AG9" i="24"/>
  <c r="AG8" i="24"/>
  <c r="AG7" i="24"/>
  <c r="AG6" i="24"/>
  <c r="AG5" i="24"/>
  <c r="AG4" i="24"/>
  <c r="AG3" i="24"/>
  <c r="AG2" i="24"/>
  <c r="AF52" i="24"/>
  <c r="AF51" i="24"/>
  <c r="AF50" i="24"/>
  <c r="AF49" i="24"/>
  <c r="AF48" i="24"/>
  <c r="AF47" i="24"/>
  <c r="AF46" i="24"/>
  <c r="AF45" i="24"/>
  <c r="AF44" i="24"/>
  <c r="AF43" i="24"/>
  <c r="AF42" i="24"/>
  <c r="AF41" i="24"/>
  <c r="AF40" i="24"/>
  <c r="AF39" i="24"/>
  <c r="AF38" i="24"/>
  <c r="AF37" i="24"/>
  <c r="AF36" i="24"/>
  <c r="AF35" i="24"/>
  <c r="AF34" i="24"/>
  <c r="AF33" i="24"/>
  <c r="AF32" i="24"/>
  <c r="AF31" i="24"/>
  <c r="AF30" i="24"/>
  <c r="AF29" i="24"/>
  <c r="AF28" i="24"/>
  <c r="AF27" i="24"/>
  <c r="AF26" i="24"/>
  <c r="AF25" i="24"/>
  <c r="AF24" i="24"/>
  <c r="AF23" i="24"/>
  <c r="AF22" i="24"/>
  <c r="AF21" i="24"/>
  <c r="AF20" i="24"/>
  <c r="AF19" i="24"/>
  <c r="AF18" i="24"/>
  <c r="AF17" i="24"/>
  <c r="AF16" i="24"/>
  <c r="AF15" i="24"/>
  <c r="AF14" i="24"/>
  <c r="AF13" i="24"/>
  <c r="AF12" i="24"/>
  <c r="AF11" i="24"/>
  <c r="AF10" i="24"/>
  <c r="AF9" i="24"/>
  <c r="AF8" i="24"/>
  <c r="AF7" i="24"/>
  <c r="AF6" i="24"/>
  <c r="AF5" i="24"/>
  <c r="AF4" i="24"/>
  <c r="AF3" i="24"/>
  <c r="AF2" i="24"/>
  <c r="AE52" i="24"/>
  <c r="AE51" i="24"/>
  <c r="AE50" i="24"/>
  <c r="AE49" i="24"/>
  <c r="AE48" i="24"/>
  <c r="AE47" i="24"/>
  <c r="AE46" i="24"/>
  <c r="AE45" i="24"/>
  <c r="AE44" i="24"/>
  <c r="AE43" i="24"/>
  <c r="AE42" i="24"/>
  <c r="AE41" i="24"/>
  <c r="AE40" i="24"/>
  <c r="AE39" i="24"/>
  <c r="AE38" i="24"/>
  <c r="AE37" i="24"/>
  <c r="AE36" i="24"/>
  <c r="AE35" i="24"/>
  <c r="AE34" i="24"/>
  <c r="AE33" i="24"/>
  <c r="AE32" i="24"/>
  <c r="AE31" i="24"/>
  <c r="AE30" i="24"/>
  <c r="AE29" i="24"/>
  <c r="AE28" i="24"/>
  <c r="AE27" i="24"/>
  <c r="AE26" i="24"/>
  <c r="AE25" i="24"/>
  <c r="AE24" i="24"/>
  <c r="AE23" i="24"/>
  <c r="AE22" i="24"/>
  <c r="AE21" i="24"/>
  <c r="AE20" i="24"/>
  <c r="AE19" i="24"/>
  <c r="AE18" i="24"/>
  <c r="AE17" i="24"/>
  <c r="AE16" i="24"/>
  <c r="AE15" i="24"/>
  <c r="AE14" i="24"/>
  <c r="AE13" i="24"/>
  <c r="AE12" i="24"/>
  <c r="AE11" i="24"/>
  <c r="AE10" i="24"/>
  <c r="AE9" i="24"/>
  <c r="AE8" i="24"/>
  <c r="AE7" i="24"/>
  <c r="AE6" i="24"/>
  <c r="AE5" i="24"/>
  <c r="AE4" i="24"/>
  <c r="AE3" i="24"/>
  <c r="AE2" i="24"/>
  <c r="AD52" i="24"/>
  <c r="AD51" i="24"/>
  <c r="AD50" i="24"/>
  <c r="AD49" i="24"/>
  <c r="AD48" i="24"/>
  <c r="AD47" i="24"/>
  <c r="AD46" i="24"/>
  <c r="AD45" i="24"/>
  <c r="AD44" i="24"/>
  <c r="AD43" i="24"/>
  <c r="AD42" i="24"/>
  <c r="AD41" i="24"/>
  <c r="AD40" i="24"/>
  <c r="AD39" i="24"/>
  <c r="AD38" i="24"/>
  <c r="AD37" i="24"/>
  <c r="AD36" i="24"/>
  <c r="AD35" i="24"/>
  <c r="AD34" i="24"/>
  <c r="AD33" i="24"/>
  <c r="AD32" i="24"/>
  <c r="AD31" i="24"/>
  <c r="AD30" i="24"/>
  <c r="AD29" i="24"/>
  <c r="AD28" i="24"/>
  <c r="AD27" i="24"/>
  <c r="AD26" i="24"/>
  <c r="AD25" i="24"/>
  <c r="AD24" i="24"/>
  <c r="AD23" i="24"/>
  <c r="AD22" i="24"/>
  <c r="AD21" i="24"/>
  <c r="AD20" i="24"/>
  <c r="AD19" i="24"/>
  <c r="AD18" i="24"/>
  <c r="AD17" i="24"/>
  <c r="AD16" i="24"/>
  <c r="AD15" i="24"/>
  <c r="AD14" i="24"/>
  <c r="AD13" i="24"/>
  <c r="AD12" i="24"/>
  <c r="AD11" i="24"/>
  <c r="AD10" i="24"/>
  <c r="AD9" i="24"/>
  <c r="AD8" i="24"/>
  <c r="AD7" i="24"/>
  <c r="AD6" i="24"/>
  <c r="AD5" i="24"/>
  <c r="AD4" i="24"/>
  <c r="AD3" i="24"/>
  <c r="AD2" i="24"/>
  <c r="AC3" i="24"/>
  <c r="AC4" i="24"/>
  <c r="AC5" i="24"/>
  <c r="AC6" i="24"/>
  <c r="AC7" i="24"/>
  <c r="AC8" i="24"/>
  <c r="AC9" i="24"/>
  <c r="AC10" i="24"/>
  <c r="AC11" i="24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27" i="24"/>
  <c r="AC28" i="24"/>
  <c r="AC29" i="24"/>
  <c r="AC30" i="24"/>
  <c r="AC31" i="24"/>
  <c r="AC32" i="24"/>
  <c r="AC33" i="24"/>
  <c r="AC34" i="24"/>
  <c r="AC35" i="24"/>
  <c r="AC36" i="24"/>
  <c r="AC37" i="24"/>
  <c r="AC38" i="24"/>
  <c r="AC39" i="24"/>
  <c r="AC40" i="24"/>
  <c r="AC41" i="24"/>
  <c r="AC42" i="24"/>
  <c r="AC43" i="24"/>
  <c r="AC44" i="24"/>
  <c r="AC45" i="24"/>
  <c r="AC46" i="24"/>
  <c r="AC47" i="24"/>
  <c r="AC48" i="24"/>
  <c r="AC49" i="24"/>
  <c r="AC50" i="24"/>
  <c r="AC51" i="24"/>
  <c r="AC52" i="24"/>
  <c r="AC2" i="24"/>
  <c r="AB59" i="23"/>
  <c r="AB60" i="23"/>
  <c r="AB61" i="23"/>
  <c r="AB62" i="23"/>
  <c r="AB63" i="23"/>
  <c r="AB64" i="23"/>
  <c r="AB65" i="23"/>
  <c r="AB66" i="23"/>
  <c r="AB67" i="23"/>
  <c r="AB68" i="23"/>
  <c r="AB69" i="23"/>
  <c r="AB70" i="23"/>
  <c r="AB71" i="23"/>
  <c r="AB72" i="23"/>
  <c r="AB73" i="23"/>
  <c r="AB74" i="23"/>
  <c r="AB75" i="23"/>
  <c r="AB76" i="23"/>
  <c r="AB77" i="23"/>
  <c r="AB78" i="23"/>
  <c r="AB79" i="23"/>
  <c r="AB80" i="23"/>
  <c r="AB81" i="23"/>
  <c r="AB82" i="23"/>
  <c r="AB83" i="23"/>
  <c r="AB84" i="23"/>
  <c r="AB85" i="23"/>
  <c r="AB86" i="23"/>
  <c r="AB87" i="23"/>
  <c r="AB88" i="23"/>
  <c r="AB89" i="23"/>
  <c r="AB90" i="23"/>
  <c r="AB91" i="23"/>
  <c r="AB92" i="23"/>
  <c r="AB93" i="23"/>
  <c r="AB94" i="23"/>
  <c r="AB95" i="23"/>
  <c r="AB96" i="23"/>
  <c r="AB97" i="23"/>
  <c r="AB98" i="23"/>
  <c r="AB99" i="23"/>
  <c r="AB100" i="23"/>
  <c r="AB101" i="23"/>
  <c r="AB102" i="23"/>
  <c r="AB103" i="23"/>
  <c r="AB104" i="23"/>
  <c r="AB105" i="23"/>
  <c r="AB106" i="23"/>
  <c r="Z2" i="23"/>
  <c r="Z3" i="23"/>
  <c r="Z4" i="23"/>
  <c r="Z5" i="23"/>
  <c r="Z6" i="23"/>
  <c r="Z7" i="23"/>
  <c r="Z8" i="23"/>
  <c r="Z9" i="23"/>
  <c r="Z10" i="23"/>
  <c r="Z11" i="23"/>
  <c r="Z12" i="23"/>
  <c r="Z13" i="23"/>
  <c r="Z14" i="23"/>
  <c r="Z15" i="23"/>
  <c r="Z16" i="23"/>
  <c r="Z17" i="23"/>
  <c r="Z18" i="23"/>
  <c r="Z19" i="23"/>
  <c r="Z20" i="23"/>
  <c r="Z21" i="23"/>
  <c r="Z22" i="23"/>
  <c r="Z23" i="23"/>
  <c r="Z24" i="23"/>
  <c r="Z25" i="23"/>
  <c r="Z26" i="23"/>
  <c r="Z27" i="23"/>
  <c r="Z28" i="23"/>
  <c r="Z29" i="23"/>
  <c r="Z30" i="23"/>
  <c r="Z31" i="23"/>
  <c r="Z32" i="23"/>
  <c r="Z33" i="23"/>
  <c r="Z34" i="23"/>
  <c r="Z35" i="23"/>
  <c r="Z36" i="23"/>
  <c r="Z37" i="23"/>
  <c r="Z38" i="23"/>
  <c r="Z39" i="23"/>
  <c r="Z40" i="23"/>
  <c r="Z41" i="23"/>
  <c r="Z42" i="23"/>
  <c r="Z43" i="23"/>
  <c r="Z44" i="23"/>
  <c r="Z45" i="23"/>
  <c r="Z46" i="23"/>
  <c r="Z47" i="23"/>
  <c r="Z48" i="23"/>
  <c r="Z49" i="23"/>
  <c r="Z50" i="23"/>
  <c r="Z51" i="23"/>
  <c r="Z52" i="23"/>
  <c r="AA2" i="23"/>
  <c r="AA3" i="23"/>
  <c r="AA4" i="23"/>
  <c r="AA5" i="23"/>
  <c r="AA6" i="23"/>
  <c r="AA7" i="23"/>
  <c r="AA8" i="23"/>
  <c r="AA9" i="23"/>
  <c r="AA10" i="23"/>
  <c r="AA11" i="23"/>
  <c r="AA12" i="23"/>
  <c r="AA13" i="23"/>
  <c r="AA14" i="23"/>
  <c r="AA15" i="23"/>
  <c r="AA16" i="23"/>
  <c r="AA17" i="23"/>
  <c r="AA18" i="23"/>
  <c r="AA19" i="23"/>
  <c r="AA20" i="23"/>
  <c r="AA21" i="23"/>
  <c r="AA22" i="23"/>
  <c r="AA23" i="23"/>
  <c r="AA24" i="23"/>
  <c r="AA25" i="23"/>
  <c r="AA26" i="23"/>
  <c r="AA27" i="23"/>
  <c r="AA28" i="23"/>
  <c r="AA29" i="23"/>
  <c r="AA30" i="23"/>
  <c r="AA31" i="23"/>
  <c r="AA32" i="23"/>
  <c r="AA33" i="23"/>
  <c r="AA34" i="23"/>
  <c r="AA35" i="23"/>
  <c r="AA36" i="23"/>
  <c r="AA37" i="23"/>
  <c r="AA38" i="23"/>
  <c r="AA39" i="23"/>
  <c r="AA40" i="23"/>
  <c r="AA41" i="23"/>
  <c r="AA42" i="23"/>
  <c r="AA43" i="23"/>
  <c r="AA44" i="23"/>
  <c r="AA45" i="23"/>
  <c r="AA46" i="23"/>
  <c r="AA47" i="23"/>
  <c r="AA48" i="23"/>
  <c r="AA49" i="23"/>
  <c r="AA50" i="23"/>
  <c r="AA51" i="23"/>
  <c r="AA52" i="23"/>
  <c r="AB35" i="23"/>
  <c r="AA106" i="23"/>
  <c r="AI106" i="23"/>
  <c r="AB25" i="23"/>
  <c r="AI25" i="23"/>
  <c r="AH106" i="23"/>
  <c r="AG106" i="23"/>
  <c r="AB46" i="23"/>
  <c r="AI46" i="23"/>
  <c r="AF106" i="23"/>
  <c r="AI35" i="23"/>
  <c r="AE106" i="23"/>
  <c r="AB49" i="23"/>
  <c r="AI49" i="23"/>
  <c r="AD106" i="23"/>
  <c r="AC106" i="23"/>
  <c r="AA106" i="25"/>
  <c r="Y2" i="25"/>
  <c r="Y3" i="25"/>
  <c r="Y4" i="25"/>
  <c r="Y5" i="25"/>
  <c r="Y6" i="25"/>
  <c r="Y7" i="25"/>
  <c r="Y8" i="25"/>
  <c r="Y9" i="25"/>
  <c r="Y10" i="25"/>
  <c r="Y11" i="25"/>
  <c r="Y12" i="25"/>
  <c r="Y13" i="25"/>
  <c r="Y14" i="25"/>
  <c r="Y15" i="25"/>
  <c r="Y16" i="25"/>
  <c r="Y17" i="25"/>
  <c r="Y18" i="25"/>
  <c r="Y19" i="25"/>
  <c r="Y20" i="25"/>
  <c r="Y21" i="25"/>
  <c r="Y22" i="25"/>
  <c r="Y23" i="25"/>
  <c r="Y24" i="25"/>
  <c r="Y25" i="25"/>
  <c r="Y26" i="25"/>
  <c r="Y27" i="25"/>
  <c r="Y28" i="25"/>
  <c r="Y29" i="25"/>
  <c r="Y30" i="25"/>
  <c r="Y31" i="25"/>
  <c r="Y32" i="25"/>
  <c r="Y33" i="25"/>
  <c r="Y34" i="25"/>
  <c r="Y35" i="25"/>
  <c r="Y36" i="25"/>
  <c r="Y37" i="25"/>
  <c r="Y38" i="25"/>
  <c r="Y39" i="25"/>
  <c r="Y40" i="25"/>
  <c r="Y41" i="25"/>
  <c r="Y42" i="25"/>
  <c r="Y43" i="25"/>
  <c r="Y44" i="25"/>
  <c r="Y45" i="25"/>
  <c r="Y46" i="25"/>
  <c r="Y47" i="25"/>
  <c r="Y48" i="25"/>
  <c r="Y49" i="25"/>
  <c r="Y50" i="25"/>
  <c r="Y51" i="25"/>
  <c r="Y52" i="25"/>
  <c r="Z2" i="25"/>
  <c r="Z3" i="25"/>
  <c r="Z4" i="25"/>
  <c r="Z5" i="25"/>
  <c r="Z6" i="25"/>
  <c r="Z7" i="25"/>
  <c r="Z8" i="25"/>
  <c r="Z9" i="25"/>
  <c r="Z10" i="25"/>
  <c r="Z11" i="25"/>
  <c r="Z12" i="25"/>
  <c r="Z13" i="25"/>
  <c r="Z14" i="25"/>
  <c r="Z15" i="25"/>
  <c r="Z16" i="25"/>
  <c r="Z17" i="25"/>
  <c r="Z18" i="25"/>
  <c r="Z19" i="25"/>
  <c r="Z20" i="25"/>
  <c r="Z21" i="25"/>
  <c r="Z22" i="25"/>
  <c r="Z23" i="25"/>
  <c r="Z24" i="25"/>
  <c r="Z25" i="25"/>
  <c r="Z26" i="25"/>
  <c r="Z27" i="25"/>
  <c r="Z28" i="25"/>
  <c r="Z29" i="25"/>
  <c r="Z30" i="25"/>
  <c r="Z31" i="25"/>
  <c r="Z32" i="25"/>
  <c r="Z33" i="25"/>
  <c r="Z34" i="25"/>
  <c r="Z35" i="25"/>
  <c r="Z36" i="25"/>
  <c r="Z37" i="25"/>
  <c r="Z38" i="25"/>
  <c r="Z39" i="25"/>
  <c r="Z40" i="25"/>
  <c r="Z41" i="25"/>
  <c r="Z42" i="25"/>
  <c r="Z43" i="25"/>
  <c r="Z44" i="25"/>
  <c r="Z45" i="25"/>
  <c r="Z46" i="25"/>
  <c r="Z47" i="25"/>
  <c r="Z48" i="25"/>
  <c r="Z49" i="25"/>
  <c r="Z50" i="25"/>
  <c r="Z51" i="25"/>
  <c r="Z52" i="25"/>
  <c r="Z106" i="25"/>
  <c r="AH106" i="25"/>
  <c r="AG106" i="25"/>
  <c r="AF106" i="25"/>
  <c r="AE106" i="25"/>
  <c r="AD106" i="25"/>
  <c r="AC106" i="25"/>
  <c r="AB106" i="25"/>
  <c r="AB106" i="24"/>
  <c r="Z2" i="24"/>
  <c r="Z3" i="24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Z42" i="24"/>
  <c r="Z43" i="24"/>
  <c r="Z44" i="24"/>
  <c r="Z45" i="24"/>
  <c r="Z46" i="24"/>
  <c r="Z47" i="24"/>
  <c r="Z48" i="24"/>
  <c r="Z49" i="24"/>
  <c r="Z50" i="24"/>
  <c r="Z51" i="24"/>
  <c r="Z52" i="24"/>
  <c r="AA2" i="24"/>
  <c r="AA3" i="24"/>
  <c r="AA4" i="24"/>
  <c r="AA5" i="24"/>
  <c r="AA6" i="24"/>
  <c r="AA7" i="24"/>
  <c r="AA8" i="24"/>
  <c r="AA9" i="24"/>
  <c r="AA10" i="24"/>
  <c r="AA11" i="24"/>
  <c r="AA12" i="24"/>
  <c r="AA13" i="24"/>
  <c r="AA14" i="24"/>
  <c r="AA15" i="24"/>
  <c r="AA16" i="24"/>
  <c r="AA17" i="24"/>
  <c r="AA18" i="24"/>
  <c r="AA19" i="24"/>
  <c r="AA20" i="24"/>
  <c r="AA21" i="24"/>
  <c r="AA22" i="24"/>
  <c r="AA23" i="24"/>
  <c r="AA24" i="24"/>
  <c r="AA25" i="24"/>
  <c r="AA26" i="24"/>
  <c r="AA27" i="24"/>
  <c r="AA28" i="24"/>
  <c r="AA29" i="24"/>
  <c r="AA30" i="24"/>
  <c r="AA31" i="24"/>
  <c r="AA32" i="24"/>
  <c r="AA33" i="24"/>
  <c r="AA34" i="24"/>
  <c r="AA35" i="24"/>
  <c r="AA36" i="24"/>
  <c r="AA37" i="24"/>
  <c r="AA38" i="24"/>
  <c r="AA39" i="24"/>
  <c r="AA40" i="24"/>
  <c r="AA41" i="24"/>
  <c r="AA42" i="24"/>
  <c r="AA43" i="24"/>
  <c r="AA44" i="24"/>
  <c r="AA45" i="24"/>
  <c r="AA46" i="24"/>
  <c r="AA47" i="24"/>
  <c r="AA48" i="24"/>
  <c r="AA49" i="24"/>
  <c r="AA50" i="24"/>
  <c r="AA51" i="24"/>
  <c r="AA52" i="24"/>
  <c r="AA106" i="24"/>
  <c r="AI106" i="24"/>
  <c r="AH106" i="24"/>
  <c r="AG106" i="24"/>
  <c r="AB29" i="24"/>
  <c r="AI29" i="24"/>
  <c r="AF106" i="24"/>
  <c r="AE106" i="24"/>
  <c r="AD106" i="24"/>
  <c r="AC106" i="24"/>
  <c r="AA106" i="8"/>
  <c r="O16" i="18"/>
  <c r="Q16" i="18"/>
  <c r="R16" i="18"/>
  <c r="S16" i="18"/>
  <c r="U16" i="18"/>
  <c r="B17" i="7"/>
  <c r="E17" i="7"/>
  <c r="F17" i="7"/>
  <c r="G17" i="7"/>
  <c r="H17" i="7"/>
  <c r="Q17" i="7"/>
  <c r="R17" i="7"/>
  <c r="M16" i="8"/>
  <c r="B17" i="9"/>
  <c r="E17" i="9"/>
  <c r="F17" i="9"/>
  <c r="G17" i="9"/>
  <c r="H17" i="9"/>
  <c r="B17" i="10"/>
  <c r="E17" i="10"/>
  <c r="F17" i="10"/>
  <c r="G17" i="10"/>
  <c r="H17" i="10"/>
  <c r="B17" i="11"/>
  <c r="E17" i="11"/>
  <c r="F17" i="11"/>
  <c r="G17" i="11"/>
  <c r="H17" i="11"/>
  <c r="B17" i="12"/>
  <c r="E17" i="12"/>
  <c r="F17" i="12"/>
  <c r="G17" i="12"/>
  <c r="H17" i="12"/>
  <c r="B17" i="13"/>
  <c r="E17" i="13"/>
  <c r="F17" i="13"/>
  <c r="G17" i="13"/>
  <c r="H17" i="13"/>
  <c r="B17" i="14"/>
  <c r="E17" i="14"/>
  <c r="F17" i="14"/>
  <c r="G17" i="14"/>
  <c r="H17" i="14"/>
  <c r="B17" i="15"/>
  <c r="E17" i="15"/>
  <c r="F17" i="15"/>
  <c r="G17" i="15"/>
  <c r="H17" i="15"/>
  <c r="B17" i="16"/>
  <c r="E17" i="16"/>
  <c r="F17" i="16"/>
  <c r="G17" i="16"/>
  <c r="H17" i="16"/>
  <c r="Y16" i="8"/>
  <c r="E3" i="7"/>
  <c r="E3" i="9"/>
  <c r="E3" i="10"/>
  <c r="E3" i="11"/>
  <c r="E3" i="12"/>
  <c r="E3" i="13"/>
  <c r="E3" i="14"/>
  <c r="E3" i="15"/>
  <c r="E3" i="16"/>
  <c r="Y2" i="8"/>
  <c r="E4" i="7"/>
  <c r="F4" i="7"/>
  <c r="G4" i="7"/>
  <c r="H4" i="7"/>
  <c r="Q4" i="7"/>
  <c r="R4" i="7"/>
  <c r="M3" i="8"/>
  <c r="E4" i="9"/>
  <c r="F4" i="9"/>
  <c r="G4" i="9"/>
  <c r="H4" i="9"/>
  <c r="E4" i="10"/>
  <c r="F4" i="10"/>
  <c r="G4" i="10"/>
  <c r="H4" i="10"/>
  <c r="E4" i="11"/>
  <c r="F4" i="11"/>
  <c r="G4" i="11"/>
  <c r="H4" i="11"/>
  <c r="E4" i="12"/>
  <c r="F4" i="12"/>
  <c r="G4" i="12"/>
  <c r="H4" i="12"/>
  <c r="E4" i="13"/>
  <c r="F4" i="13"/>
  <c r="G4" i="13"/>
  <c r="H4" i="13"/>
  <c r="E4" i="14"/>
  <c r="F4" i="14"/>
  <c r="G4" i="14"/>
  <c r="H4" i="14"/>
  <c r="E4" i="15"/>
  <c r="F4" i="15"/>
  <c r="G4" i="15"/>
  <c r="H4" i="15"/>
  <c r="E4" i="16"/>
  <c r="F4" i="16"/>
  <c r="G4" i="16"/>
  <c r="H4" i="16"/>
  <c r="Y3" i="8"/>
  <c r="E5" i="7"/>
  <c r="F5" i="7"/>
  <c r="G5" i="7"/>
  <c r="H5" i="7"/>
  <c r="Q5" i="7"/>
  <c r="R5" i="7"/>
  <c r="M4" i="8"/>
  <c r="E5" i="9"/>
  <c r="F5" i="9"/>
  <c r="G5" i="9"/>
  <c r="H5" i="9"/>
  <c r="E5" i="10"/>
  <c r="F5" i="10"/>
  <c r="G5" i="10"/>
  <c r="H5" i="10"/>
  <c r="E5" i="11"/>
  <c r="F5" i="11"/>
  <c r="G5" i="11"/>
  <c r="H5" i="11"/>
  <c r="E5" i="12"/>
  <c r="F5" i="12"/>
  <c r="G5" i="12"/>
  <c r="H5" i="12"/>
  <c r="E5" i="13"/>
  <c r="F5" i="13"/>
  <c r="G5" i="13"/>
  <c r="H5" i="13"/>
  <c r="E5" i="14"/>
  <c r="F5" i="14"/>
  <c r="G5" i="14"/>
  <c r="H5" i="14"/>
  <c r="E5" i="15"/>
  <c r="F5" i="15"/>
  <c r="G5" i="15"/>
  <c r="H5" i="15"/>
  <c r="E5" i="16"/>
  <c r="F5" i="16"/>
  <c r="G5" i="16"/>
  <c r="H5" i="16"/>
  <c r="Y4" i="8"/>
  <c r="E6" i="7"/>
  <c r="F6" i="7"/>
  <c r="G6" i="7"/>
  <c r="H6" i="7"/>
  <c r="E6" i="9"/>
  <c r="F6" i="9"/>
  <c r="G6" i="9"/>
  <c r="H6" i="9"/>
  <c r="E6" i="10"/>
  <c r="F6" i="10"/>
  <c r="G6" i="10"/>
  <c r="H6" i="10"/>
  <c r="E6" i="11"/>
  <c r="F6" i="11"/>
  <c r="G6" i="11"/>
  <c r="H6" i="11"/>
  <c r="E6" i="12"/>
  <c r="F6" i="12"/>
  <c r="G6" i="12"/>
  <c r="H6" i="12"/>
  <c r="E6" i="13"/>
  <c r="F6" i="13"/>
  <c r="G6" i="13"/>
  <c r="H6" i="13"/>
  <c r="E6" i="14"/>
  <c r="F6" i="14"/>
  <c r="G6" i="14"/>
  <c r="H6" i="14"/>
  <c r="E6" i="15"/>
  <c r="F6" i="15"/>
  <c r="G6" i="15"/>
  <c r="H6" i="15"/>
  <c r="E6" i="16"/>
  <c r="F6" i="16"/>
  <c r="G6" i="16"/>
  <c r="H6" i="16"/>
  <c r="Y5" i="8"/>
  <c r="E7" i="7"/>
  <c r="F7" i="7"/>
  <c r="G7" i="7"/>
  <c r="H7" i="7"/>
  <c r="Q7" i="7"/>
  <c r="R7" i="7"/>
  <c r="M6" i="8"/>
  <c r="E7" i="9"/>
  <c r="F7" i="9"/>
  <c r="G7" i="9"/>
  <c r="H7" i="9"/>
  <c r="E7" i="10"/>
  <c r="F7" i="10"/>
  <c r="G7" i="10"/>
  <c r="H7" i="10"/>
  <c r="E7" i="11"/>
  <c r="F7" i="11"/>
  <c r="G7" i="11"/>
  <c r="H7" i="11"/>
  <c r="E7" i="12"/>
  <c r="F7" i="12"/>
  <c r="G7" i="12"/>
  <c r="H7" i="12"/>
  <c r="E7" i="13"/>
  <c r="F7" i="13"/>
  <c r="G7" i="13"/>
  <c r="H7" i="13"/>
  <c r="E7" i="14"/>
  <c r="F7" i="14"/>
  <c r="G7" i="14"/>
  <c r="H7" i="14"/>
  <c r="E7" i="15"/>
  <c r="F7" i="15"/>
  <c r="G7" i="15"/>
  <c r="H7" i="15"/>
  <c r="E7" i="16"/>
  <c r="F7" i="16"/>
  <c r="G7" i="16"/>
  <c r="H7" i="16"/>
  <c r="Y6" i="8"/>
  <c r="E8" i="7"/>
  <c r="F8" i="7"/>
  <c r="G8" i="7"/>
  <c r="H8" i="7"/>
  <c r="Q8" i="7"/>
  <c r="R8" i="7"/>
  <c r="M7" i="8"/>
  <c r="E8" i="9"/>
  <c r="F8" i="9"/>
  <c r="G8" i="9"/>
  <c r="H8" i="9"/>
  <c r="E8" i="10"/>
  <c r="F8" i="10"/>
  <c r="G8" i="10"/>
  <c r="H8" i="10"/>
  <c r="E8" i="11"/>
  <c r="F8" i="11"/>
  <c r="G8" i="11"/>
  <c r="H8" i="11"/>
  <c r="E8" i="12"/>
  <c r="F8" i="12"/>
  <c r="G8" i="12"/>
  <c r="H8" i="12"/>
  <c r="E8" i="13"/>
  <c r="F8" i="13"/>
  <c r="G8" i="13"/>
  <c r="H8" i="13"/>
  <c r="E8" i="14"/>
  <c r="F8" i="14"/>
  <c r="G8" i="14"/>
  <c r="H8" i="14"/>
  <c r="E8" i="15"/>
  <c r="F8" i="15"/>
  <c r="G8" i="15"/>
  <c r="H8" i="15"/>
  <c r="E8" i="16"/>
  <c r="F8" i="16"/>
  <c r="G8" i="16"/>
  <c r="H8" i="16"/>
  <c r="Y7" i="8"/>
  <c r="E9" i="7"/>
  <c r="F9" i="7"/>
  <c r="G9" i="7"/>
  <c r="H9" i="7"/>
  <c r="Q9" i="7"/>
  <c r="R9" i="7"/>
  <c r="M8" i="8"/>
  <c r="E9" i="9"/>
  <c r="F9" i="9"/>
  <c r="G9" i="9"/>
  <c r="H9" i="9"/>
  <c r="E9" i="10"/>
  <c r="F9" i="10"/>
  <c r="G9" i="10"/>
  <c r="H9" i="10"/>
  <c r="E9" i="11"/>
  <c r="F9" i="11"/>
  <c r="G9" i="11"/>
  <c r="H9" i="11"/>
  <c r="E9" i="12"/>
  <c r="F9" i="12"/>
  <c r="G9" i="12"/>
  <c r="H9" i="12"/>
  <c r="E9" i="13"/>
  <c r="F9" i="13"/>
  <c r="G9" i="13"/>
  <c r="H9" i="13"/>
  <c r="E9" i="14"/>
  <c r="F9" i="14"/>
  <c r="G9" i="14"/>
  <c r="H9" i="14"/>
  <c r="E9" i="15"/>
  <c r="F9" i="15"/>
  <c r="G9" i="15"/>
  <c r="H9" i="15"/>
  <c r="E9" i="16"/>
  <c r="F9" i="16"/>
  <c r="G9" i="16"/>
  <c r="H9" i="16"/>
  <c r="Y8" i="8"/>
  <c r="E10" i="7"/>
  <c r="F10" i="7"/>
  <c r="G10" i="7"/>
  <c r="H10" i="7"/>
  <c r="Q10" i="7"/>
  <c r="R10" i="7"/>
  <c r="M9" i="8"/>
  <c r="E10" i="9"/>
  <c r="F10" i="9"/>
  <c r="G10" i="9"/>
  <c r="H10" i="9"/>
  <c r="E10" i="10"/>
  <c r="F10" i="10"/>
  <c r="G10" i="10"/>
  <c r="H10" i="10"/>
  <c r="E10" i="11"/>
  <c r="F10" i="11"/>
  <c r="G10" i="11"/>
  <c r="H10" i="11"/>
  <c r="E10" i="12"/>
  <c r="F10" i="12"/>
  <c r="G10" i="12"/>
  <c r="H10" i="12"/>
  <c r="E10" i="13"/>
  <c r="F10" i="13"/>
  <c r="G10" i="13"/>
  <c r="H10" i="13"/>
  <c r="E10" i="14"/>
  <c r="F10" i="14"/>
  <c r="G10" i="14"/>
  <c r="H10" i="14"/>
  <c r="E10" i="15"/>
  <c r="F10" i="15"/>
  <c r="G10" i="15"/>
  <c r="H10" i="15"/>
  <c r="E10" i="16"/>
  <c r="F10" i="16"/>
  <c r="G10" i="16"/>
  <c r="H10" i="16"/>
  <c r="Y9" i="8"/>
  <c r="E11" i="7"/>
  <c r="F11" i="7"/>
  <c r="G11" i="7"/>
  <c r="H11" i="7"/>
  <c r="Q11" i="7"/>
  <c r="R11" i="7"/>
  <c r="M10" i="8"/>
  <c r="E11" i="9"/>
  <c r="F11" i="9"/>
  <c r="G11" i="9"/>
  <c r="H11" i="9"/>
  <c r="E11" i="10"/>
  <c r="F11" i="10"/>
  <c r="G11" i="10"/>
  <c r="H11" i="10"/>
  <c r="E11" i="11"/>
  <c r="F11" i="11"/>
  <c r="G11" i="11"/>
  <c r="H11" i="11"/>
  <c r="E11" i="12"/>
  <c r="F11" i="12"/>
  <c r="G11" i="12"/>
  <c r="H11" i="12"/>
  <c r="E11" i="13"/>
  <c r="F11" i="13"/>
  <c r="G11" i="13"/>
  <c r="H11" i="13"/>
  <c r="E11" i="14"/>
  <c r="F11" i="14"/>
  <c r="G11" i="14"/>
  <c r="H11" i="14"/>
  <c r="E11" i="15"/>
  <c r="F11" i="15"/>
  <c r="G11" i="15"/>
  <c r="H11" i="15"/>
  <c r="E11" i="16"/>
  <c r="F11" i="16"/>
  <c r="G11" i="16"/>
  <c r="H11" i="16"/>
  <c r="Y10" i="8"/>
  <c r="E12" i="7"/>
  <c r="F12" i="7"/>
  <c r="G12" i="7"/>
  <c r="H12" i="7"/>
  <c r="Q12" i="7"/>
  <c r="R12" i="7"/>
  <c r="M11" i="8"/>
  <c r="E12" i="9"/>
  <c r="F12" i="9"/>
  <c r="G12" i="9"/>
  <c r="H12" i="9"/>
  <c r="E12" i="10"/>
  <c r="F12" i="10"/>
  <c r="G12" i="10"/>
  <c r="H12" i="10"/>
  <c r="E12" i="11"/>
  <c r="F12" i="11"/>
  <c r="G12" i="11"/>
  <c r="H12" i="11"/>
  <c r="E12" i="12"/>
  <c r="F12" i="12"/>
  <c r="G12" i="12"/>
  <c r="H12" i="12"/>
  <c r="E12" i="13"/>
  <c r="F12" i="13"/>
  <c r="G12" i="13"/>
  <c r="H12" i="13"/>
  <c r="E12" i="14"/>
  <c r="F12" i="14"/>
  <c r="G12" i="14"/>
  <c r="H12" i="14"/>
  <c r="E12" i="15"/>
  <c r="F12" i="15"/>
  <c r="G12" i="15"/>
  <c r="H12" i="15"/>
  <c r="E12" i="16"/>
  <c r="F12" i="16"/>
  <c r="G12" i="16"/>
  <c r="H12" i="16"/>
  <c r="Y11" i="8"/>
  <c r="E13" i="7"/>
  <c r="F13" i="7"/>
  <c r="G13" i="7"/>
  <c r="H13" i="7"/>
  <c r="Q13" i="7"/>
  <c r="R13" i="7"/>
  <c r="M12" i="8"/>
  <c r="E13" i="9"/>
  <c r="F13" i="9"/>
  <c r="G13" i="9"/>
  <c r="H13" i="9"/>
  <c r="E13" i="10"/>
  <c r="F13" i="10"/>
  <c r="G13" i="10"/>
  <c r="H13" i="10"/>
  <c r="E13" i="11"/>
  <c r="F13" i="11"/>
  <c r="G13" i="11"/>
  <c r="H13" i="11"/>
  <c r="E13" i="12"/>
  <c r="F13" i="12"/>
  <c r="G13" i="12"/>
  <c r="H13" i="12"/>
  <c r="E13" i="13"/>
  <c r="F13" i="13"/>
  <c r="G13" i="13"/>
  <c r="H13" i="13"/>
  <c r="E13" i="14"/>
  <c r="F13" i="14"/>
  <c r="G13" i="14"/>
  <c r="H13" i="14"/>
  <c r="E13" i="15"/>
  <c r="F13" i="15"/>
  <c r="G13" i="15"/>
  <c r="H13" i="15"/>
  <c r="E13" i="16"/>
  <c r="F13" i="16"/>
  <c r="G13" i="16"/>
  <c r="H13" i="16"/>
  <c r="Y12" i="8"/>
  <c r="E14" i="7"/>
  <c r="F14" i="7"/>
  <c r="G14" i="7"/>
  <c r="H14" i="7"/>
  <c r="Q14" i="7"/>
  <c r="R14" i="7"/>
  <c r="M13" i="8"/>
  <c r="E14" i="9"/>
  <c r="F14" i="9"/>
  <c r="G14" i="9"/>
  <c r="H14" i="9"/>
  <c r="E14" i="10"/>
  <c r="F14" i="10"/>
  <c r="G14" i="10"/>
  <c r="H14" i="10"/>
  <c r="E14" i="11"/>
  <c r="F14" i="11"/>
  <c r="G14" i="11"/>
  <c r="H14" i="11"/>
  <c r="E14" i="12"/>
  <c r="F14" i="12"/>
  <c r="G14" i="12"/>
  <c r="H14" i="12"/>
  <c r="E14" i="13"/>
  <c r="F14" i="13"/>
  <c r="G14" i="13"/>
  <c r="H14" i="13"/>
  <c r="E14" i="14"/>
  <c r="F14" i="14"/>
  <c r="G14" i="14"/>
  <c r="H14" i="14"/>
  <c r="E14" i="15"/>
  <c r="F14" i="15"/>
  <c r="G14" i="15"/>
  <c r="H14" i="15"/>
  <c r="E14" i="16"/>
  <c r="F14" i="16"/>
  <c r="G14" i="16"/>
  <c r="H14" i="16"/>
  <c r="Y13" i="8"/>
  <c r="E15" i="7"/>
  <c r="F15" i="7"/>
  <c r="G15" i="7"/>
  <c r="H15" i="7"/>
  <c r="Q15" i="7"/>
  <c r="R15" i="7"/>
  <c r="M14" i="8"/>
  <c r="E15" i="9"/>
  <c r="F15" i="9"/>
  <c r="G15" i="9"/>
  <c r="H15" i="9"/>
  <c r="E15" i="10"/>
  <c r="F15" i="10"/>
  <c r="G15" i="10"/>
  <c r="H15" i="10"/>
  <c r="E15" i="11"/>
  <c r="F15" i="11"/>
  <c r="G15" i="11"/>
  <c r="H15" i="11"/>
  <c r="E15" i="12"/>
  <c r="F15" i="12"/>
  <c r="G15" i="12"/>
  <c r="H15" i="12"/>
  <c r="E15" i="13"/>
  <c r="F15" i="13"/>
  <c r="G15" i="13"/>
  <c r="H15" i="13"/>
  <c r="E15" i="14"/>
  <c r="F15" i="14"/>
  <c r="G15" i="14"/>
  <c r="H15" i="14"/>
  <c r="E15" i="15"/>
  <c r="F15" i="15"/>
  <c r="G15" i="15"/>
  <c r="H15" i="15"/>
  <c r="E15" i="16"/>
  <c r="F15" i="16"/>
  <c r="G15" i="16"/>
  <c r="H15" i="16"/>
  <c r="Y14" i="8"/>
  <c r="E16" i="7"/>
  <c r="F16" i="7"/>
  <c r="G16" i="7"/>
  <c r="H16" i="7"/>
  <c r="Q16" i="7"/>
  <c r="R16" i="7"/>
  <c r="M15" i="8"/>
  <c r="E16" i="9"/>
  <c r="F16" i="9"/>
  <c r="G16" i="9"/>
  <c r="H16" i="9"/>
  <c r="E16" i="10"/>
  <c r="F16" i="10"/>
  <c r="G16" i="10"/>
  <c r="H16" i="10"/>
  <c r="E16" i="11"/>
  <c r="F16" i="11"/>
  <c r="G16" i="11"/>
  <c r="H16" i="11"/>
  <c r="E16" i="12"/>
  <c r="F16" i="12"/>
  <c r="G16" i="12"/>
  <c r="H16" i="12"/>
  <c r="E16" i="13"/>
  <c r="F16" i="13"/>
  <c r="G16" i="13"/>
  <c r="H16" i="13"/>
  <c r="E16" i="14"/>
  <c r="F16" i="14"/>
  <c r="G16" i="14"/>
  <c r="H16" i="14"/>
  <c r="E16" i="15"/>
  <c r="F16" i="15"/>
  <c r="G16" i="15"/>
  <c r="H16" i="15"/>
  <c r="E16" i="16"/>
  <c r="F16" i="16"/>
  <c r="G16" i="16"/>
  <c r="H16" i="16"/>
  <c r="Y15" i="8"/>
  <c r="E18" i="7"/>
  <c r="F18" i="7"/>
  <c r="G18" i="7"/>
  <c r="H18" i="7"/>
  <c r="Q18" i="7"/>
  <c r="R18" i="7"/>
  <c r="M17" i="8"/>
  <c r="E18" i="9"/>
  <c r="F18" i="9"/>
  <c r="G18" i="9"/>
  <c r="H18" i="9"/>
  <c r="E18" i="10"/>
  <c r="F18" i="10"/>
  <c r="G18" i="10"/>
  <c r="H18" i="10"/>
  <c r="E18" i="11"/>
  <c r="F18" i="11"/>
  <c r="G18" i="11"/>
  <c r="H18" i="11"/>
  <c r="E18" i="12"/>
  <c r="F18" i="12"/>
  <c r="G18" i="12"/>
  <c r="H18" i="12"/>
  <c r="E18" i="13"/>
  <c r="F18" i="13"/>
  <c r="G18" i="13"/>
  <c r="H18" i="13"/>
  <c r="E18" i="14"/>
  <c r="F18" i="14"/>
  <c r="G18" i="14"/>
  <c r="H18" i="14"/>
  <c r="E18" i="15"/>
  <c r="F18" i="15"/>
  <c r="G18" i="15"/>
  <c r="H18" i="15"/>
  <c r="E18" i="16"/>
  <c r="F18" i="16"/>
  <c r="G18" i="16"/>
  <c r="H18" i="16"/>
  <c r="Y17" i="8"/>
  <c r="E19" i="7"/>
  <c r="F19" i="7"/>
  <c r="G19" i="7"/>
  <c r="H19" i="7"/>
  <c r="Q19" i="7"/>
  <c r="R19" i="7"/>
  <c r="M18" i="8"/>
  <c r="E19" i="9"/>
  <c r="F19" i="9"/>
  <c r="G19" i="9"/>
  <c r="H19" i="9"/>
  <c r="E19" i="10"/>
  <c r="F19" i="10"/>
  <c r="G19" i="10"/>
  <c r="H19" i="10"/>
  <c r="E19" i="11"/>
  <c r="F19" i="11"/>
  <c r="G19" i="11"/>
  <c r="H19" i="11"/>
  <c r="E19" i="12"/>
  <c r="F19" i="12"/>
  <c r="G19" i="12"/>
  <c r="H19" i="12"/>
  <c r="E19" i="13"/>
  <c r="F19" i="13"/>
  <c r="G19" i="13"/>
  <c r="H19" i="13"/>
  <c r="E19" i="14"/>
  <c r="F19" i="14"/>
  <c r="G19" i="14"/>
  <c r="H19" i="14"/>
  <c r="E19" i="15"/>
  <c r="F19" i="15"/>
  <c r="G19" i="15"/>
  <c r="H19" i="15"/>
  <c r="E19" i="16"/>
  <c r="F19" i="16"/>
  <c r="G19" i="16"/>
  <c r="H19" i="16"/>
  <c r="Y18" i="8"/>
  <c r="E20" i="7"/>
  <c r="F20" i="7"/>
  <c r="G20" i="7"/>
  <c r="H20" i="7"/>
  <c r="Q20" i="7"/>
  <c r="R20" i="7"/>
  <c r="M19" i="8"/>
  <c r="E20" i="9"/>
  <c r="F20" i="9"/>
  <c r="G20" i="9"/>
  <c r="H20" i="9"/>
  <c r="E20" i="10"/>
  <c r="F20" i="10"/>
  <c r="G20" i="10"/>
  <c r="H20" i="10"/>
  <c r="E20" i="11"/>
  <c r="F20" i="11"/>
  <c r="G20" i="11"/>
  <c r="H20" i="11"/>
  <c r="E20" i="12"/>
  <c r="F20" i="12"/>
  <c r="G20" i="12"/>
  <c r="H20" i="12"/>
  <c r="E20" i="13"/>
  <c r="F20" i="13"/>
  <c r="G20" i="13"/>
  <c r="H20" i="13"/>
  <c r="E20" i="14"/>
  <c r="F20" i="14"/>
  <c r="G20" i="14"/>
  <c r="H20" i="14"/>
  <c r="E20" i="15"/>
  <c r="F20" i="15"/>
  <c r="G20" i="15"/>
  <c r="H20" i="15"/>
  <c r="E20" i="16"/>
  <c r="F20" i="16"/>
  <c r="G20" i="16"/>
  <c r="H20" i="16"/>
  <c r="Y19" i="8"/>
  <c r="E21" i="7"/>
  <c r="F21" i="7"/>
  <c r="G21" i="7"/>
  <c r="H21" i="7"/>
  <c r="Q21" i="7"/>
  <c r="R21" i="7"/>
  <c r="M20" i="8"/>
  <c r="E21" i="9"/>
  <c r="F21" i="9"/>
  <c r="G21" i="9"/>
  <c r="H21" i="9"/>
  <c r="E21" i="10"/>
  <c r="F21" i="10"/>
  <c r="G21" i="10"/>
  <c r="H21" i="10"/>
  <c r="E21" i="11"/>
  <c r="F21" i="11"/>
  <c r="G21" i="11"/>
  <c r="H21" i="11"/>
  <c r="E21" i="12"/>
  <c r="F21" i="12"/>
  <c r="G21" i="12"/>
  <c r="H21" i="12"/>
  <c r="E21" i="13"/>
  <c r="F21" i="13"/>
  <c r="G21" i="13"/>
  <c r="H21" i="13"/>
  <c r="E21" i="14"/>
  <c r="F21" i="14"/>
  <c r="G21" i="14"/>
  <c r="H21" i="14"/>
  <c r="E21" i="15"/>
  <c r="F21" i="15"/>
  <c r="G21" i="15"/>
  <c r="H21" i="15"/>
  <c r="E21" i="16"/>
  <c r="F21" i="16"/>
  <c r="G21" i="16"/>
  <c r="H21" i="16"/>
  <c r="Y20" i="8"/>
  <c r="E22" i="7"/>
  <c r="F22" i="7"/>
  <c r="G22" i="7"/>
  <c r="H22" i="7"/>
  <c r="Q22" i="7"/>
  <c r="R22" i="7"/>
  <c r="M21" i="8"/>
  <c r="E22" i="9"/>
  <c r="F22" i="9"/>
  <c r="G22" i="9"/>
  <c r="H22" i="9"/>
  <c r="E22" i="10"/>
  <c r="F22" i="10"/>
  <c r="G22" i="10"/>
  <c r="H22" i="10"/>
  <c r="E22" i="11"/>
  <c r="F22" i="11"/>
  <c r="G22" i="11"/>
  <c r="H22" i="11"/>
  <c r="E22" i="12"/>
  <c r="F22" i="12"/>
  <c r="G22" i="12"/>
  <c r="H22" i="12"/>
  <c r="E22" i="13"/>
  <c r="F22" i="13"/>
  <c r="G22" i="13"/>
  <c r="H22" i="13"/>
  <c r="E22" i="14"/>
  <c r="F22" i="14"/>
  <c r="G22" i="14"/>
  <c r="H22" i="14"/>
  <c r="E22" i="15"/>
  <c r="F22" i="15"/>
  <c r="G22" i="15"/>
  <c r="H22" i="15"/>
  <c r="E22" i="16"/>
  <c r="F22" i="16"/>
  <c r="G22" i="16"/>
  <c r="H22" i="16"/>
  <c r="Y21" i="8"/>
  <c r="E23" i="7"/>
  <c r="F23" i="7"/>
  <c r="G23" i="7"/>
  <c r="H23" i="7"/>
  <c r="Q23" i="7"/>
  <c r="R23" i="7"/>
  <c r="M22" i="8"/>
  <c r="E23" i="9"/>
  <c r="F23" i="9"/>
  <c r="G23" i="9"/>
  <c r="H23" i="9"/>
  <c r="E23" i="10"/>
  <c r="F23" i="10"/>
  <c r="G23" i="10"/>
  <c r="H23" i="10"/>
  <c r="E23" i="11"/>
  <c r="F23" i="11"/>
  <c r="G23" i="11"/>
  <c r="H23" i="11"/>
  <c r="E23" i="12"/>
  <c r="F23" i="12"/>
  <c r="G23" i="12"/>
  <c r="H23" i="12"/>
  <c r="E23" i="13"/>
  <c r="F23" i="13"/>
  <c r="G23" i="13"/>
  <c r="H23" i="13"/>
  <c r="E23" i="14"/>
  <c r="F23" i="14"/>
  <c r="G23" i="14"/>
  <c r="H23" i="14"/>
  <c r="E23" i="15"/>
  <c r="F23" i="15"/>
  <c r="G23" i="15"/>
  <c r="H23" i="15"/>
  <c r="E23" i="16"/>
  <c r="F23" i="16"/>
  <c r="G23" i="16"/>
  <c r="H23" i="16"/>
  <c r="Y22" i="8"/>
  <c r="E24" i="7"/>
  <c r="F24" i="7"/>
  <c r="G24" i="7"/>
  <c r="H24" i="7"/>
  <c r="Q24" i="7"/>
  <c r="R24" i="7"/>
  <c r="M23" i="8"/>
  <c r="E24" i="9"/>
  <c r="F24" i="9"/>
  <c r="G24" i="9"/>
  <c r="H24" i="9"/>
  <c r="E24" i="10"/>
  <c r="F24" i="10"/>
  <c r="G24" i="10"/>
  <c r="H24" i="10"/>
  <c r="E24" i="11"/>
  <c r="F24" i="11"/>
  <c r="G24" i="11"/>
  <c r="H24" i="11"/>
  <c r="E24" i="12"/>
  <c r="F24" i="12"/>
  <c r="G24" i="12"/>
  <c r="H24" i="12"/>
  <c r="E24" i="13"/>
  <c r="F24" i="13"/>
  <c r="G24" i="13"/>
  <c r="H24" i="13"/>
  <c r="E24" i="14"/>
  <c r="F24" i="14"/>
  <c r="G24" i="14"/>
  <c r="H24" i="14"/>
  <c r="E24" i="15"/>
  <c r="F24" i="15"/>
  <c r="G24" i="15"/>
  <c r="H24" i="15"/>
  <c r="E24" i="16"/>
  <c r="F24" i="16"/>
  <c r="G24" i="16"/>
  <c r="H24" i="16"/>
  <c r="Y23" i="8"/>
  <c r="E25" i="7"/>
  <c r="F25" i="7"/>
  <c r="G25" i="7"/>
  <c r="H25" i="7"/>
  <c r="Q25" i="7"/>
  <c r="R25" i="7"/>
  <c r="M24" i="8"/>
  <c r="E25" i="9"/>
  <c r="F25" i="9"/>
  <c r="G25" i="9"/>
  <c r="H25" i="9"/>
  <c r="E25" i="10"/>
  <c r="F25" i="10"/>
  <c r="G25" i="10"/>
  <c r="H25" i="10"/>
  <c r="E25" i="11"/>
  <c r="F25" i="11"/>
  <c r="G25" i="11"/>
  <c r="H25" i="11"/>
  <c r="E25" i="12"/>
  <c r="F25" i="12"/>
  <c r="G25" i="12"/>
  <c r="H25" i="12"/>
  <c r="E25" i="13"/>
  <c r="F25" i="13"/>
  <c r="G25" i="13"/>
  <c r="H25" i="13"/>
  <c r="E25" i="14"/>
  <c r="F25" i="14"/>
  <c r="G25" i="14"/>
  <c r="H25" i="14"/>
  <c r="E25" i="15"/>
  <c r="F25" i="15"/>
  <c r="G25" i="15"/>
  <c r="H25" i="15"/>
  <c r="E25" i="16"/>
  <c r="F25" i="16"/>
  <c r="G25" i="16"/>
  <c r="H25" i="16"/>
  <c r="Y24" i="8"/>
  <c r="E26" i="7"/>
  <c r="F26" i="7"/>
  <c r="G26" i="7"/>
  <c r="H26" i="7"/>
  <c r="Q26" i="7"/>
  <c r="R26" i="7"/>
  <c r="M25" i="8"/>
  <c r="E26" i="9"/>
  <c r="F26" i="9"/>
  <c r="G26" i="9"/>
  <c r="H26" i="9"/>
  <c r="E26" i="10"/>
  <c r="F26" i="10"/>
  <c r="G26" i="10"/>
  <c r="H26" i="10"/>
  <c r="E26" i="11"/>
  <c r="F26" i="11"/>
  <c r="G26" i="11"/>
  <c r="H26" i="11"/>
  <c r="E26" i="12"/>
  <c r="F26" i="12"/>
  <c r="G26" i="12"/>
  <c r="H26" i="12"/>
  <c r="E26" i="13"/>
  <c r="F26" i="13"/>
  <c r="G26" i="13"/>
  <c r="H26" i="13"/>
  <c r="E26" i="14"/>
  <c r="F26" i="14"/>
  <c r="G26" i="14"/>
  <c r="H26" i="14"/>
  <c r="E26" i="15"/>
  <c r="F26" i="15"/>
  <c r="G26" i="15"/>
  <c r="H26" i="15"/>
  <c r="E26" i="16"/>
  <c r="F26" i="16"/>
  <c r="G26" i="16"/>
  <c r="H26" i="16"/>
  <c r="Y25" i="8"/>
  <c r="E27" i="7"/>
  <c r="F27" i="7"/>
  <c r="G27" i="7"/>
  <c r="H27" i="7"/>
  <c r="Q27" i="7"/>
  <c r="R27" i="7"/>
  <c r="M26" i="8"/>
  <c r="E27" i="9"/>
  <c r="F27" i="9"/>
  <c r="G27" i="9"/>
  <c r="H27" i="9"/>
  <c r="E27" i="10"/>
  <c r="F27" i="10"/>
  <c r="G27" i="10"/>
  <c r="H27" i="10"/>
  <c r="E27" i="11"/>
  <c r="F27" i="11"/>
  <c r="G27" i="11"/>
  <c r="H27" i="11"/>
  <c r="E27" i="12"/>
  <c r="F27" i="12"/>
  <c r="G27" i="12"/>
  <c r="H27" i="12"/>
  <c r="E27" i="13"/>
  <c r="F27" i="13"/>
  <c r="G27" i="13"/>
  <c r="H27" i="13"/>
  <c r="E27" i="14"/>
  <c r="F27" i="14"/>
  <c r="G27" i="14"/>
  <c r="H27" i="14"/>
  <c r="E27" i="15"/>
  <c r="F27" i="15"/>
  <c r="G27" i="15"/>
  <c r="H27" i="15"/>
  <c r="E27" i="16"/>
  <c r="F27" i="16"/>
  <c r="G27" i="16"/>
  <c r="H27" i="16"/>
  <c r="Y26" i="8"/>
  <c r="E28" i="7"/>
  <c r="F28" i="7"/>
  <c r="G28" i="7"/>
  <c r="H28" i="7"/>
  <c r="Q28" i="7"/>
  <c r="R28" i="7"/>
  <c r="M27" i="8"/>
  <c r="E28" i="9"/>
  <c r="F28" i="9"/>
  <c r="G28" i="9"/>
  <c r="H28" i="9"/>
  <c r="E28" i="10"/>
  <c r="F28" i="10"/>
  <c r="G28" i="10"/>
  <c r="H28" i="10"/>
  <c r="E28" i="11"/>
  <c r="F28" i="11"/>
  <c r="G28" i="11"/>
  <c r="H28" i="11"/>
  <c r="E28" i="12"/>
  <c r="F28" i="12"/>
  <c r="G28" i="12"/>
  <c r="H28" i="12"/>
  <c r="E28" i="13"/>
  <c r="F28" i="13"/>
  <c r="G28" i="13"/>
  <c r="H28" i="13"/>
  <c r="E28" i="14"/>
  <c r="F28" i="14"/>
  <c r="G28" i="14"/>
  <c r="H28" i="14"/>
  <c r="E28" i="15"/>
  <c r="F28" i="15"/>
  <c r="G28" i="15"/>
  <c r="H28" i="15"/>
  <c r="E28" i="16"/>
  <c r="F28" i="16"/>
  <c r="G28" i="16"/>
  <c r="H28" i="16"/>
  <c r="Y27" i="8"/>
  <c r="E29" i="7"/>
  <c r="F29" i="7"/>
  <c r="G29" i="7"/>
  <c r="H29" i="7"/>
  <c r="Q29" i="7"/>
  <c r="R29" i="7"/>
  <c r="M28" i="8"/>
  <c r="E29" i="9"/>
  <c r="F29" i="9"/>
  <c r="G29" i="9"/>
  <c r="H29" i="9"/>
  <c r="E29" i="10"/>
  <c r="F29" i="10"/>
  <c r="G29" i="10"/>
  <c r="H29" i="10"/>
  <c r="E29" i="11"/>
  <c r="F29" i="11"/>
  <c r="G29" i="11"/>
  <c r="H29" i="11"/>
  <c r="E29" i="12"/>
  <c r="F29" i="12"/>
  <c r="G29" i="12"/>
  <c r="H29" i="12"/>
  <c r="E29" i="13"/>
  <c r="F29" i="13"/>
  <c r="G29" i="13"/>
  <c r="H29" i="13"/>
  <c r="E29" i="14"/>
  <c r="F29" i="14"/>
  <c r="G29" i="14"/>
  <c r="H29" i="14"/>
  <c r="E29" i="15"/>
  <c r="F29" i="15"/>
  <c r="G29" i="15"/>
  <c r="H29" i="15"/>
  <c r="E29" i="16"/>
  <c r="F29" i="16"/>
  <c r="G29" i="16"/>
  <c r="H29" i="16"/>
  <c r="Y28" i="8"/>
  <c r="E30" i="7"/>
  <c r="F30" i="7"/>
  <c r="G30" i="7"/>
  <c r="H30" i="7"/>
  <c r="Q30" i="7"/>
  <c r="R30" i="7"/>
  <c r="M29" i="8"/>
  <c r="E30" i="9"/>
  <c r="F30" i="9"/>
  <c r="G30" i="9"/>
  <c r="H30" i="9"/>
  <c r="E30" i="10"/>
  <c r="F30" i="10"/>
  <c r="G30" i="10"/>
  <c r="H30" i="10"/>
  <c r="E30" i="11"/>
  <c r="F30" i="11"/>
  <c r="G30" i="11"/>
  <c r="H30" i="11"/>
  <c r="E30" i="12"/>
  <c r="F30" i="12"/>
  <c r="G30" i="12"/>
  <c r="H30" i="12"/>
  <c r="E30" i="13"/>
  <c r="F30" i="13"/>
  <c r="G30" i="13"/>
  <c r="H30" i="13"/>
  <c r="E30" i="14"/>
  <c r="F30" i="14"/>
  <c r="G30" i="14"/>
  <c r="H30" i="14"/>
  <c r="E30" i="15"/>
  <c r="F30" i="15"/>
  <c r="G30" i="15"/>
  <c r="H30" i="15"/>
  <c r="E30" i="16"/>
  <c r="F30" i="16"/>
  <c r="G30" i="16"/>
  <c r="H30" i="16"/>
  <c r="Y29" i="8"/>
  <c r="E31" i="7"/>
  <c r="F31" i="7"/>
  <c r="G31" i="7"/>
  <c r="H31" i="7"/>
  <c r="Q31" i="7"/>
  <c r="R31" i="7"/>
  <c r="M30" i="8"/>
  <c r="E31" i="9"/>
  <c r="F31" i="9"/>
  <c r="G31" i="9"/>
  <c r="H31" i="9"/>
  <c r="E31" i="10"/>
  <c r="F31" i="10"/>
  <c r="G31" i="10"/>
  <c r="H31" i="10"/>
  <c r="E31" i="11"/>
  <c r="F31" i="11"/>
  <c r="G31" i="11"/>
  <c r="H31" i="11"/>
  <c r="E31" i="12"/>
  <c r="F31" i="12"/>
  <c r="G31" i="12"/>
  <c r="H31" i="12"/>
  <c r="E31" i="13"/>
  <c r="F31" i="13"/>
  <c r="G31" i="13"/>
  <c r="H31" i="13"/>
  <c r="E31" i="14"/>
  <c r="F31" i="14"/>
  <c r="G31" i="14"/>
  <c r="H31" i="14"/>
  <c r="E31" i="15"/>
  <c r="F31" i="15"/>
  <c r="G31" i="15"/>
  <c r="H31" i="15"/>
  <c r="E31" i="16"/>
  <c r="F31" i="16"/>
  <c r="G31" i="16"/>
  <c r="H31" i="16"/>
  <c r="Y30" i="8"/>
  <c r="E32" i="7"/>
  <c r="F32" i="7"/>
  <c r="G32" i="7"/>
  <c r="H32" i="7"/>
  <c r="Q32" i="7"/>
  <c r="R32" i="7"/>
  <c r="M31" i="8"/>
  <c r="E32" i="9"/>
  <c r="F32" i="9"/>
  <c r="G32" i="9"/>
  <c r="H32" i="9"/>
  <c r="E32" i="10"/>
  <c r="F32" i="10"/>
  <c r="G32" i="10"/>
  <c r="H32" i="10"/>
  <c r="E32" i="11"/>
  <c r="F32" i="11"/>
  <c r="G32" i="11"/>
  <c r="H32" i="11"/>
  <c r="E32" i="12"/>
  <c r="F32" i="12"/>
  <c r="G32" i="12"/>
  <c r="H32" i="12"/>
  <c r="E32" i="13"/>
  <c r="F32" i="13"/>
  <c r="G32" i="13"/>
  <c r="H32" i="13"/>
  <c r="E32" i="14"/>
  <c r="F32" i="14"/>
  <c r="G32" i="14"/>
  <c r="H32" i="14"/>
  <c r="E32" i="15"/>
  <c r="F32" i="15"/>
  <c r="G32" i="15"/>
  <c r="H32" i="15"/>
  <c r="E32" i="16"/>
  <c r="F32" i="16"/>
  <c r="G32" i="16"/>
  <c r="H32" i="16"/>
  <c r="Y31" i="8"/>
  <c r="E33" i="7"/>
  <c r="F33" i="7"/>
  <c r="G33" i="7"/>
  <c r="H33" i="7"/>
  <c r="Q33" i="7"/>
  <c r="R33" i="7"/>
  <c r="M32" i="8"/>
  <c r="E33" i="9"/>
  <c r="F33" i="9"/>
  <c r="G33" i="9"/>
  <c r="H33" i="9"/>
  <c r="E33" i="10"/>
  <c r="F33" i="10"/>
  <c r="G33" i="10"/>
  <c r="H33" i="10"/>
  <c r="E33" i="11"/>
  <c r="F33" i="11"/>
  <c r="G33" i="11"/>
  <c r="H33" i="11"/>
  <c r="E33" i="12"/>
  <c r="F33" i="12"/>
  <c r="G33" i="12"/>
  <c r="H33" i="12"/>
  <c r="E33" i="13"/>
  <c r="F33" i="13"/>
  <c r="G33" i="13"/>
  <c r="H33" i="13"/>
  <c r="E33" i="14"/>
  <c r="F33" i="14"/>
  <c r="G33" i="14"/>
  <c r="H33" i="14"/>
  <c r="E33" i="15"/>
  <c r="F33" i="15"/>
  <c r="G33" i="15"/>
  <c r="H33" i="15"/>
  <c r="E33" i="16"/>
  <c r="F33" i="16"/>
  <c r="G33" i="16"/>
  <c r="H33" i="16"/>
  <c r="Y32" i="8"/>
  <c r="E34" i="7"/>
  <c r="F34" i="7"/>
  <c r="G34" i="7"/>
  <c r="H34" i="7"/>
  <c r="Q34" i="7"/>
  <c r="R34" i="7"/>
  <c r="M33" i="8"/>
  <c r="E34" i="9"/>
  <c r="F34" i="9"/>
  <c r="G34" i="9"/>
  <c r="H34" i="9"/>
  <c r="E34" i="10"/>
  <c r="F34" i="10"/>
  <c r="G34" i="10"/>
  <c r="H34" i="10"/>
  <c r="E34" i="11"/>
  <c r="F34" i="11"/>
  <c r="G34" i="11"/>
  <c r="H34" i="11"/>
  <c r="E34" i="12"/>
  <c r="F34" i="12"/>
  <c r="G34" i="12"/>
  <c r="H34" i="12"/>
  <c r="E34" i="13"/>
  <c r="F34" i="13"/>
  <c r="G34" i="13"/>
  <c r="H34" i="13"/>
  <c r="E34" i="14"/>
  <c r="F34" i="14"/>
  <c r="G34" i="14"/>
  <c r="H34" i="14"/>
  <c r="E34" i="15"/>
  <c r="F34" i="15"/>
  <c r="G34" i="15"/>
  <c r="H34" i="15"/>
  <c r="E34" i="16"/>
  <c r="F34" i="16"/>
  <c r="G34" i="16"/>
  <c r="H34" i="16"/>
  <c r="Y33" i="8"/>
  <c r="E35" i="7"/>
  <c r="F35" i="7"/>
  <c r="G35" i="7"/>
  <c r="H35" i="7"/>
  <c r="Q35" i="7"/>
  <c r="R35" i="7"/>
  <c r="M34" i="8"/>
  <c r="E35" i="9"/>
  <c r="F35" i="9"/>
  <c r="G35" i="9"/>
  <c r="H35" i="9"/>
  <c r="E35" i="10"/>
  <c r="F35" i="10"/>
  <c r="G35" i="10"/>
  <c r="H35" i="10"/>
  <c r="E35" i="11"/>
  <c r="F35" i="11"/>
  <c r="G35" i="11"/>
  <c r="H35" i="11"/>
  <c r="E35" i="12"/>
  <c r="F35" i="12"/>
  <c r="G35" i="12"/>
  <c r="H35" i="12"/>
  <c r="E35" i="13"/>
  <c r="F35" i="13"/>
  <c r="G35" i="13"/>
  <c r="H35" i="13"/>
  <c r="E35" i="14"/>
  <c r="F35" i="14"/>
  <c r="G35" i="14"/>
  <c r="H35" i="14"/>
  <c r="E35" i="15"/>
  <c r="F35" i="15"/>
  <c r="G35" i="15"/>
  <c r="H35" i="15"/>
  <c r="E35" i="16"/>
  <c r="F35" i="16"/>
  <c r="G35" i="16"/>
  <c r="H35" i="16"/>
  <c r="Y34" i="8"/>
  <c r="E36" i="7"/>
  <c r="F36" i="7"/>
  <c r="G36" i="7"/>
  <c r="H36" i="7"/>
  <c r="Q36" i="7"/>
  <c r="R36" i="7"/>
  <c r="M35" i="8"/>
  <c r="E36" i="9"/>
  <c r="F36" i="9"/>
  <c r="G36" i="9"/>
  <c r="H36" i="9"/>
  <c r="E36" i="10"/>
  <c r="F36" i="10"/>
  <c r="G36" i="10"/>
  <c r="H36" i="10"/>
  <c r="E36" i="11"/>
  <c r="F36" i="11"/>
  <c r="G36" i="11"/>
  <c r="H36" i="11"/>
  <c r="E36" i="12"/>
  <c r="F36" i="12"/>
  <c r="G36" i="12"/>
  <c r="H36" i="12"/>
  <c r="E36" i="13"/>
  <c r="F36" i="13"/>
  <c r="G36" i="13"/>
  <c r="H36" i="13"/>
  <c r="E36" i="14"/>
  <c r="F36" i="14"/>
  <c r="G36" i="14"/>
  <c r="H36" i="14"/>
  <c r="E36" i="15"/>
  <c r="F36" i="15"/>
  <c r="G36" i="15"/>
  <c r="H36" i="15"/>
  <c r="E36" i="16"/>
  <c r="F36" i="16"/>
  <c r="G36" i="16"/>
  <c r="H36" i="16"/>
  <c r="Y35" i="8"/>
  <c r="E37" i="7"/>
  <c r="F37" i="7"/>
  <c r="G37" i="7"/>
  <c r="H37" i="7"/>
  <c r="Q37" i="7"/>
  <c r="R37" i="7"/>
  <c r="M36" i="8"/>
  <c r="E37" i="9"/>
  <c r="F37" i="9"/>
  <c r="G37" i="9"/>
  <c r="H37" i="9"/>
  <c r="E37" i="10"/>
  <c r="F37" i="10"/>
  <c r="G37" i="10"/>
  <c r="H37" i="10"/>
  <c r="E37" i="11"/>
  <c r="F37" i="11"/>
  <c r="G37" i="11"/>
  <c r="H37" i="11"/>
  <c r="E37" i="12"/>
  <c r="F37" i="12"/>
  <c r="G37" i="12"/>
  <c r="H37" i="12"/>
  <c r="E37" i="13"/>
  <c r="F37" i="13"/>
  <c r="G37" i="13"/>
  <c r="H37" i="13"/>
  <c r="E37" i="14"/>
  <c r="F37" i="14"/>
  <c r="G37" i="14"/>
  <c r="H37" i="14"/>
  <c r="E37" i="15"/>
  <c r="F37" i="15"/>
  <c r="G37" i="15"/>
  <c r="H37" i="15"/>
  <c r="E37" i="16"/>
  <c r="F37" i="16"/>
  <c r="G37" i="16"/>
  <c r="H37" i="16"/>
  <c r="Y36" i="8"/>
  <c r="E38" i="7"/>
  <c r="F38" i="7"/>
  <c r="G38" i="7"/>
  <c r="H38" i="7"/>
  <c r="Q38" i="7"/>
  <c r="R38" i="7"/>
  <c r="M37" i="8"/>
  <c r="E38" i="9"/>
  <c r="F38" i="9"/>
  <c r="G38" i="9"/>
  <c r="H38" i="9"/>
  <c r="E38" i="10"/>
  <c r="F38" i="10"/>
  <c r="G38" i="10"/>
  <c r="H38" i="10"/>
  <c r="E38" i="11"/>
  <c r="F38" i="11"/>
  <c r="G38" i="11"/>
  <c r="H38" i="11"/>
  <c r="E38" i="12"/>
  <c r="F38" i="12"/>
  <c r="G38" i="12"/>
  <c r="H38" i="12"/>
  <c r="E38" i="13"/>
  <c r="F38" i="13"/>
  <c r="G38" i="13"/>
  <c r="H38" i="13"/>
  <c r="E38" i="14"/>
  <c r="F38" i="14"/>
  <c r="G38" i="14"/>
  <c r="H38" i="14"/>
  <c r="E38" i="15"/>
  <c r="F38" i="15"/>
  <c r="G38" i="15"/>
  <c r="H38" i="15"/>
  <c r="E38" i="16"/>
  <c r="F38" i="16"/>
  <c r="G38" i="16"/>
  <c r="H38" i="16"/>
  <c r="Y37" i="8"/>
  <c r="E39" i="7"/>
  <c r="F39" i="7"/>
  <c r="G39" i="7"/>
  <c r="H39" i="7"/>
  <c r="Q39" i="7"/>
  <c r="R39" i="7"/>
  <c r="M38" i="8"/>
  <c r="E39" i="9"/>
  <c r="F39" i="9"/>
  <c r="G39" i="9"/>
  <c r="H39" i="9"/>
  <c r="E39" i="10"/>
  <c r="F39" i="10"/>
  <c r="G39" i="10"/>
  <c r="H39" i="10"/>
  <c r="E39" i="11"/>
  <c r="F39" i="11"/>
  <c r="G39" i="11"/>
  <c r="H39" i="11"/>
  <c r="E39" i="12"/>
  <c r="F39" i="12"/>
  <c r="G39" i="12"/>
  <c r="H39" i="12"/>
  <c r="E39" i="13"/>
  <c r="F39" i="13"/>
  <c r="G39" i="13"/>
  <c r="H39" i="13"/>
  <c r="E39" i="14"/>
  <c r="F39" i="14"/>
  <c r="G39" i="14"/>
  <c r="H39" i="14"/>
  <c r="E39" i="15"/>
  <c r="F39" i="15"/>
  <c r="G39" i="15"/>
  <c r="H39" i="15"/>
  <c r="E39" i="16"/>
  <c r="F39" i="16"/>
  <c r="G39" i="16"/>
  <c r="H39" i="16"/>
  <c r="Y38" i="8"/>
  <c r="E40" i="7"/>
  <c r="F40" i="7"/>
  <c r="G40" i="7"/>
  <c r="H40" i="7"/>
  <c r="Q40" i="7"/>
  <c r="R40" i="7"/>
  <c r="M39" i="8"/>
  <c r="E40" i="9"/>
  <c r="F40" i="9"/>
  <c r="G40" i="9"/>
  <c r="H40" i="9"/>
  <c r="E40" i="10"/>
  <c r="F40" i="10"/>
  <c r="G40" i="10"/>
  <c r="H40" i="10"/>
  <c r="E40" i="11"/>
  <c r="F40" i="11"/>
  <c r="G40" i="11"/>
  <c r="H40" i="11"/>
  <c r="E40" i="12"/>
  <c r="F40" i="12"/>
  <c r="G40" i="12"/>
  <c r="H40" i="12"/>
  <c r="E40" i="13"/>
  <c r="F40" i="13"/>
  <c r="G40" i="13"/>
  <c r="H40" i="13"/>
  <c r="E40" i="14"/>
  <c r="F40" i="14"/>
  <c r="G40" i="14"/>
  <c r="H40" i="14"/>
  <c r="E40" i="15"/>
  <c r="F40" i="15"/>
  <c r="G40" i="15"/>
  <c r="H40" i="15"/>
  <c r="E40" i="16"/>
  <c r="F40" i="16"/>
  <c r="G40" i="16"/>
  <c r="H40" i="16"/>
  <c r="Y39" i="8"/>
  <c r="E41" i="7"/>
  <c r="F41" i="7"/>
  <c r="G41" i="7"/>
  <c r="H41" i="7"/>
  <c r="Q41" i="7"/>
  <c r="R41" i="7"/>
  <c r="M40" i="8"/>
  <c r="E41" i="9"/>
  <c r="F41" i="9"/>
  <c r="G41" i="9"/>
  <c r="H41" i="9"/>
  <c r="E41" i="10"/>
  <c r="F41" i="10"/>
  <c r="G41" i="10"/>
  <c r="H41" i="10"/>
  <c r="E41" i="11"/>
  <c r="F41" i="11"/>
  <c r="G41" i="11"/>
  <c r="H41" i="11"/>
  <c r="E41" i="12"/>
  <c r="F41" i="12"/>
  <c r="G41" i="12"/>
  <c r="H41" i="12"/>
  <c r="E41" i="13"/>
  <c r="F41" i="13"/>
  <c r="G41" i="13"/>
  <c r="H41" i="13"/>
  <c r="E41" i="14"/>
  <c r="F41" i="14"/>
  <c r="G41" i="14"/>
  <c r="H41" i="14"/>
  <c r="E41" i="15"/>
  <c r="F41" i="15"/>
  <c r="G41" i="15"/>
  <c r="H41" i="15"/>
  <c r="E41" i="16"/>
  <c r="F41" i="16"/>
  <c r="G41" i="16"/>
  <c r="H41" i="16"/>
  <c r="Y40" i="8"/>
  <c r="E42" i="7"/>
  <c r="F42" i="7"/>
  <c r="G42" i="7"/>
  <c r="H42" i="7"/>
  <c r="Q42" i="7"/>
  <c r="R42" i="7"/>
  <c r="M41" i="8"/>
  <c r="E42" i="9"/>
  <c r="F42" i="9"/>
  <c r="G42" i="9"/>
  <c r="H42" i="9"/>
  <c r="E42" i="10"/>
  <c r="F42" i="10"/>
  <c r="G42" i="10"/>
  <c r="H42" i="10"/>
  <c r="E42" i="11"/>
  <c r="F42" i="11"/>
  <c r="G42" i="11"/>
  <c r="H42" i="11"/>
  <c r="E42" i="12"/>
  <c r="F42" i="12"/>
  <c r="G42" i="12"/>
  <c r="H42" i="12"/>
  <c r="E42" i="13"/>
  <c r="F42" i="13"/>
  <c r="G42" i="13"/>
  <c r="H42" i="13"/>
  <c r="E42" i="14"/>
  <c r="F42" i="14"/>
  <c r="G42" i="14"/>
  <c r="H42" i="14"/>
  <c r="E42" i="15"/>
  <c r="F42" i="15"/>
  <c r="G42" i="15"/>
  <c r="H42" i="15"/>
  <c r="E42" i="16"/>
  <c r="F42" i="16"/>
  <c r="G42" i="16"/>
  <c r="H42" i="16"/>
  <c r="Y41" i="8"/>
  <c r="E43" i="7"/>
  <c r="F43" i="7"/>
  <c r="G43" i="7"/>
  <c r="H43" i="7"/>
  <c r="Q43" i="7"/>
  <c r="R43" i="7"/>
  <c r="M42" i="8"/>
  <c r="E43" i="9"/>
  <c r="F43" i="9"/>
  <c r="G43" i="9"/>
  <c r="H43" i="9"/>
  <c r="E43" i="10"/>
  <c r="F43" i="10"/>
  <c r="G43" i="10"/>
  <c r="H43" i="10"/>
  <c r="E43" i="11"/>
  <c r="F43" i="11"/>
  <c r="G43" i="11"/>
  <c r="H43" i="11"/>
  <c r="E43" i="12"/>
  <c r="F43" i="12"/>
  <c r="G43" i="12"/>
  <c r="H43" i="12"/>
  <c r="E43" i="13"/>
  <c r="F43" i="13"/>
  <c r="G43" i="13"/>
  <c r="H43" i="13"/>
  <c r="E43" i="14"/>
  <c r="F43" i="14"/>
  <c r="G43" i="14"/>
  <c r="H43" i="14"/>
  <c r="E43" i="15"/>
  <c r="F43" i="15"/>
  <c r="G43" i="15"/>
  <c r="H43" i="15"/>
  <c r="E43" i="16"/>
  <c r="F43" i="16"/>
  <c r="G43" i="16"/>
  <c r="H43" i="16"/>
  <c r="Y42" i="8"/>
  <c r="E44" i="7"/>
  <c r="F44" i="7"/>
  <c r="G44" i="7"/>
  <c r="H44" i="7"/>
  <c r="Q44" i="7"/>
  <c r="R44" i="7"/>
  <c r="M43" i="8"/>
  <c r="E44" i="9"/>
  <c r="F44" i="9"/>
  <c r="G44" i="9"/>
  <c r="H44" i="9"/>
  <c r="E44" i="10"/>
  <c r="F44" i="10"/>
  <c r="G44" i="10"/>
  <c r="H44" i="10"/>
  <c r="E44" i="11"/>
  <c r="F44" i="11"/>
  <c r="G44" i="11"/>
  <c r="H44" i="11"/>
  <c r="E44" i="12"/>
  <c r="F44" i="12"/>
  <c r="G44" i="12"/>
  <c r="H44" i="12"/>
  <c r="E44" i="13"/>
  <c r="F44" i="13"/>
  <c r="G44" i="13"/>
  <c r="H44" i="13"/>
  <c r="E44" i="14"/>
  <c r="F44" i="14"/>
  <c r="G44" i="14"/>
  <c r="H44" i="14"/>
  <c r="E44" i="15"/>
  <c r="F44" i="15"/>
  <c r="G44" i="15"/>
  <c r="H44" i="15"/>
  <c r="E44" i="16"/>
  <c r="F44" i="16"/>
  <c r="G44" i="16"/>
  <c r="H44" i="16"/>
  <c r="Y43" i="8"/>
  <c r="E45" i="7"/>
  <c r="F45" i="7"/>
  <c r="G45" i="7"/>
  <c r="H45" i="7"/>
  <c r="Q45" i="7"/>
  <c r="R45" i="7"/>
  <c r="M44" i="8"/>
  <c r="E45" i="9"/>
  <c r="F45" i="9"/>
  <c r="G45" i="9"/>
  <c r="H45" i="9"/>
  <c r="E45" i="10"/>
  <c r="F45" i="10"/>
  <c r="G45" i="10"/>
  <c r="H45" i="10"/>
  <c r="E45" i="11"/>
  <c r="F45" i="11"/>
  <c r="G45" i="11"/>
  <c r="H45" i="11"/>
  <c r="E45" i="12"/>
  <c r="F45" i="12"/>
  <c r="G45" i="12"/>
  <c r="H45" i="12"/>
  <c r="E45" i="13"/>
  <c r="F45" i="13"/>
  <c r="G45" i="13"/>
  <c r="H45" i="13"/>
  <c r="E45" i="14"/>
  <c r="F45" i="14"/>
  <c r="G45" i="14"/>
  <c r="H45" i="14"/>
  <c r="E45" i="15"/>
  <c r="F45" i="15"/>
  <c r="G45" i="15"/>
  <c r="H45" i="15"/>
  <c r="E45" i="16"/>
  <c r="F45" i="16"/>
  <c r="G45" i="16"/>
  <c r="H45" i="16"/>
  <c r="Y44" i="8"/>
  <c r="E46" i="7"/>
  <c r="F46" i="7"/>
  <c r="G46" i="7"/>
  <c r="H46" i="7"/>
  <c r="Q46" i="7"/>
  <c r="R46" i="7"/>
  <c r="M45" i="8"/>
  <c r="E46" i="9"/>
  <c r="F46" i="9"/>
  <c r="G46" i="9"/>
  <c r="H46" i="9"/>
  <c r="E46" i="10"/>
  <c r="F46" i="10"/>
  <c r="G46" i="10"/>
  <c r="H46" i="10"/>
  <c r="E46" i="11"/>
  <c r="F46" i="11"/>
  <c r="G46" i="11"/>
  <c r="H46" i="11"/>
  <c r="E46" i="12"/>
  <c r="F46" i="12"/>
  <c r="G46" i="12"/>
  <c r="H46" i="12"/>
  <c r="E46" i="13"/>
  <c r="F46" i="13"/>
  <c r="G46" i="13"/>
  <c r="H46" i="13"/>
  <c r="E46" i="14"/>
  <c r="F46" i="14"/>
  <c r="G46" i="14"/>
  <c r="H46" i="14"/>
  <c r="E46" i="15"/>
  <c r="F46" i="15"/>
  <c r="G46" i="15"/>
  <c r="H46" i="15"/>
  <c r="E46" i="16"/>
  <c r="F46" i="16"/>
  <c r="G46" i="16"/>
  <c r="H46" i="16"/>
  <c r="Y45" i="8"/>
  <c r="E47" i="7"/>
  <c r="F47" i="7"/>
  <c r="G47" i="7"/>
  <c r="H47" i="7"/>
  <c r="Q47" i="7"/>
  <c r="R47" i="7"/>
  <c r="M46" i="8"/>
  <c r="E47" i="9"/>
  <c r="F47" i="9"/>
  <c r="G47" i="9"/>
  <c r="H47" i="9"/>
  <c r="E47" i="10"/>
  <c r="F47" i="10"/>
  <c r="G47" i="10"/>
  <c r="H47" i="10"/>
  <c r="E47" i="11"/>
  <c r="F47" i="11"/>
  <c r="G47" i="11"/>
  <c r="H47" i="11"/>
  <c r="E47" i="12"/>
  <c r="F47" i="12"/>
  <c r="G47" i="12"/>
  <c r="H47" i="12"/>
  <c r="E47" i="13"/>
  <c r="F47" i="13"/>
  <c r="G47" i="13"/>
  <c r="H47" i="13"/>
  <c r="E47" i="14"/>
  <c r="F47" i="14"/>
  <c r="G47" i="14"/>
  <c r="H47" i="14"/>
  <c r="E47" i="15"/>
  <c r="F47" i="15"/>
  <c r="G47" i="15"/>
  <c r="H47" i="15"/>
  <c r="E47" i="16"/>
  <c r="F47" i="16"/>
  <c r="G47" i="16"/>
  <c r="H47" i="16"/>
  <c r="Y46" i="8"/>
  <c r="E48" i="7"/>
  <c r="F48" i="7"/>
  <c r="G48" i="7"/>
  <c r="H48" i="7"/>
  <c r="Q48" i="7"/>
  <c r="R48" i="7"/>
  <c r="M47" i="8"/>
  <c r="E48" i="9"/>
  <c r="F48" i="9"/>
  <c r="G48" i="9"/>
  <c r="H48" i="9"/>
  <c r="E48" i="10"/>
  <c r="F48" i="10"/>
  <c r="G48" i="10"/>
  <c r="H48" i="10"/>
  <c r="E48" i="11"/>
  <c r="F48" i="11"/>
  <c r="G48" i="11"/>
  <c r="H48" i="11"/>
  <c r="E48" i="12"/>
  <c r="F48" i="12"/>
  <c r="G48" i="12"/>
  <c r="H48" i="12"/>
  <c r="E48" i="13"/>
  <c r="F48" i="13"/>
  <c r="G48" i="13"/>
  <c r="H48" i="13"/>
  <c r="E48" i="14"/>
  <c r="F48" i="14"/>
  <c r="G48" i="14"/>
  <c r="H48" i="14"/>
  <c r="E48" i="15"/>
  <c r="F48" i="15"/>
  <c r="G48" i="15"/>
  <c r="H48" i="15"/>
  <c r="E48" i="16"/>
  <c r="F48" i="16"/>
  <c r="G48" i="16"/>
  <c r="H48" i="16"/>
  <c r="Y47" i="8"/>
  <c r="E49" i="7"/>
  <c r="F49" i="7"/>
  <c r="G49" i="7"/>
  <c r="H49" i="7"/>
  <c r="Q49" i="7"/>
  <c r="R49" i="7"/>
  <c r="M48" i="8"/>
  <c r="E49" i="9"/>
  <c r="F49" i="9"/>
  <c r="G49" i="9"/>
  <c r="H49" i="9"/>
  <c r="E49" i="10"/>
  <c r="F49" i="10"/>
  <c r="G49" i="10"/>
  <c r="H49" i="10"/>
  <c r="E49" i="11"/>
  <c r="F49" i="11"/>
  <c r="G49" i="11"/>
  <c r="H49" i="11"/>
  <c r="E49" i="12"/>
  <c r="F49" i="12"/>
  <c r="G49" i="12"/>
  <c r="H49" i="12"/>
  <c r="E49" i="13"/>
  <c r="F49" i="13"/>
  <c r="G49" i="13"/>
  <c r="H49" i="13"/>
  <c r="E49" i="14"/>
  <c r="F49" i="14"/>
  <c r="G49" i="14"/>
  <c r="H49" i="14"/>
  <c r="E49" i="15"/>
  <c r="F49" i="15"/>
  <c r="G49" i="15"/>
  <c r="H49" i="15"/>
  <c r="E49" i="16"/>
  <c r="F49" i="16"/>
  <c r="G49" i="16"/>
  <c r="H49" i="16"/>
  <c r="Y48" i="8"/>
  <c r="E50" i="7"/>
  <c r="F50" i="7"/>
  <c r="G50" i="7"/>
  <c r="H50" i="7"/>
  <c r="Q50" i="7"/>
  <c r="R50" i="7"/>
  <c r="M49" i="8"/>
  <c r="E50" i="9"/>
  <c r="F50" i="9"/>
  <c r="G50" i="9"/>
  <c r="H50" i="9"/>
  <c r="E50" i="10"/>
  <c r="F50" i="10"/>
  <c r="G50" i="10"/>
  <c r="H50" i="10"/>
  <c r="E50" i="11"/>
  <c r="F50" i="11"/>
  <c r="G50" i="11"/>
  <c r="H50" i="11"/>
  <c r="E50" i="12"/>
  <c r="F50" i="12"/>
  <c r="G50" i="12"/>
  <c r="H50" i="12"/>
  <c r="E50" i="13"/>
  <c r="F50" i="13"/>
  <c r="G50" i="13"/>
  <c r="H50" i="13"/>
  <c r="E50" i="14"/>
  <c r="F50" i="14"/>
  <c r="G50" i="14"/>
  <c r="H50" i="14"/>
  <c r="E50" i="15"/>
  <c r="F50" i="15"/>
  <c r="G50" i="15"/>
  <c r="H50" i="15"/>
  <c r="E50" i="16"/>
  <c r="F50" i="16"/>
  <c r="G50" i="16"/>
  <c r="H50" i="16"/>
  <c r="Y49" i="8"/>
  <c r="E51" i="7"/>
  <c r="F51" i="7"/>
  <c r="G51" i="7"/>
  <c r="H51" i="7"/>
  <c r="Q51" i="7"/>
  <c r="R51" i="7"/>
  <c r="M50" i="8"/>
  <c r="E51" i="9"/>
  <c r="F51" i="9"/>
  <c r="G51" i="9"/>
  <c r="H51" i="9"/>
  <c r="E51" i="10"/>
  <c r="F51" i="10"/>
  <c r="G51" i="10"/>
  <c r="H51" i="10"/>
  <c r="E51" i="11"/>
  <c r="F51" i="11"/>
  <c r="G51" i="11"/>
  <c r="H51" i="11"/>
  <c r="E51" i="12"/>
  <c r="F51" i="12"/>
  <c r="G51" i="12"/>
  <c r="H51" i="12"/>
  <c r="E51" i="13"/>
  <c r="F51" i="13"/>
  <c r="G51" i="13"/>
  <c r="H51" i="13"/>
  <c r="E51" i="14"/>
  <c r="F51" i="14"/>
  <c r="G51" i="14"/>
  <c r="H51" i="14"/>
  <c r="E51" i="15"/>
  <c r="F51" i="15"/>
  <c r="G51" i="15"/>
  <c r="H51" i="15"/>
  <c r="E51" i="16"/>
  <c r="F51" i="16"/>
  <c r="G51" i="16"/>
  <c r="H51" i="16"/>
  <c r="Y50" i="8"/>
  <c r="E52" i="7"/>
  <c r="F52" i="7"/>
  <c r="G52" i="7"/>
  <c r="H52" i="7"/>
  <c r="Q52" i="7"/>
  <c r="R52" i="7"/>
  <c r="M51" i="8"/>
  <c r="E52" i="9"/>
  <c r="F52" i="9"/>
  <c r="G52" i="9"/>
  <c r="H52" i="9"/>
  <c r="E52" i="10"/>
  <c r="F52" i="10"/>
  <c r="G52" i="10"/>
  <c r="H52" i="10"/>
  <c r="E52" i="11"/>
  <c r="F52" i="11"/>
  <c r="G52" i="11"/>
  <c r="H52" i="11"/>
  <c r="E52" i="12"/>
  <c r="F52" i="12"/>
  <c r="G52" i="12"/>
  <c r="H52" i="12"/>
  <c r="E52" i="13"/>
  <c r="F52" i="13"/>
  <c r="G52" i="13"/>
  <c r="H52" i="13"/>
  <c r="E52" i="14"/>
  <c r="F52" i="14"/>
  <c r="G52" i="14"/>
  <c r="H52" i="14"/>
  <c r="E52" i="15"/>
  <c r="F52" i="15"/>
  <c r="G52" i="15"/>
  <c r="H52" i="15"/>
  <c r="E52" i="16"/>
  <c r="F52" i="16"/>
  <c r="G52" i="16"/>
  <c r="H52" i="16"/>
  <c r="Y51" i="8"/>
  <c r="E53" i="7"/>
  <c r="F53" i="7"/>
  <c r="G53" i="7"/>
  <c r="H53" i="7"/>
  <c r="Q53" i="7"/>
  <c r="R53" i="7"/>
  <c r="M52" i="8"/>
  <c r="E53" i="9"/>
  <c r="F53" i="9"/>
  <c r="G53" i="9"/>
  <c r="H53" i="9"/>
  <c r="E53" i="10"/>
  <c r="F53" i="10"/>
  <c r="G53" i="10"/>
  <c r="H53" i="10"/>
  <c r="E53" i="11"/>
  <c r="F53" i="11"/>
  <c r="G53" i="11"/>
  <c r="H53" i="11"/>
  <c r="E53" i="12"/>
  <c r="F53" i="12"/>
  <c r="G53" i="12"/>
  <c r="H53" i="12"/>
  <c r="E53" i="13"/>
  <c r="F53" i="13"/>
  <c r="G53" i="13"/>
  <c r="H53" i="13"/>
  <c r="E53" i="14"/>
  <c r="F53" i="14"/>
  <c r="G53" i="14"/>
  <c r="H53" i="14"/>
  <c r="E53" i="15"/>
  <c r="F53" i="15"/>
  <c r="G53" i="15"/>
  <c r="H53" i="15"/>
  <c r="E53" i="16"/>
  <c r="F53" i="16"/>
  <c r="G53" i="16"/>
  <c r="H53" i="16"/>
  <c r="Y52" i="8"/>
  <c r="Z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AA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106" i="8"/>
  <c r="AH106" i="8"/>
  <c r="AG2" i="8"/>
  <c r="AG3" i="8"/>
  <c r="AG4" i="8"/>
  <c r="AG5" i="8"/>
  <c r="AG6" i="8"/>
  <c r="AG7" i="8"/>
  <c r="AG8" i="8"/>
  <c r="AG9" i="8"/>
  <c r="AG10" i="8"/>
  <c r="AG11" i="8"/>
  <c r="AG12" i="8"/>
  <c r="AG13" i="8"/>
  <c r="AG14" i="8"/>
  <c r="AG15" i="8"/>
  <c r="AG16" i="8"/>
  <c r="AH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106" i="8"/>
  <c r="AF2" i="8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106" i="8"/>
  <c r="AE2" i="8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106" i="8"/>
  <c r="AD2" i="8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106" i="8"/>
  <c r="AC2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106" i="8"/>
  <c r="AB2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A2" i="8"/>
  <c r="AH2" i="8"/>
  <c r="AB106" i="8"/>
  <c r="R3" i="18"/>
  <c r="R4" i="18"/>
  <c r="R5" i="18"/>
  <c r="R6" i="18"/>
  <c r="R7" i="18"/>
  <c r="R8" i="18"/>
  <c r="R9" i="18"/>
  <c r="R10" i="18"/>
  <c r="R11" i="18"/>
  <c r="R12" i="18"/>
  <c r="R13" i="18"/>
  <c r="R14" i="18"/>
  <c r="R15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R40" i="18"/>
  <c r="R41" i="18"/>
  <c r="R42" i="18"/>
  <c r="R43" i="18"/>
  <c r="R44" i="18"/>
  <c r="R45" i="18"/>
  <c r="R46" i="18"/>
  <c r="R47" i="18"/>
  <c r="R48" i="18"/>
  <c r="R49" i="18"/>
  <c r="R50" i="18"/>
  <c r="R51" i="18"/>
  <c r="R52" i="18"/>
  <c r="R2" i="18"/>
  <c r="S3" i="18"/>
  <c r="T3" i="18"/>
  <c r="S4" i="18"/>
  <c r="T4" i="18"/>
  <c r="S5" i="18"/>
  <c r="T5" i="18"/>
  <c r="S6" i="18"/>
  <c r="T6" i="18"/>
  <c r="S7" i="18"/>
  <c r="T7" i="18"/>
  <c r="S8" i="18"/>
  <c r="T8" i="18"/>
  <c r="S9" i="18"/>
  <c r="T9" i="18"/>
  <c r="S10" i="18"/>
  <c r="T10" i="18"/>
  <c r="S11" i="18"/>
  <c r="T11" i="18"/>
  <c r="S12" i="18"/>
  <c r="T12" i="18"/>
  <c r="S13" i="18"/>
  <c r="T13" i="18"/>
  <c r="S14" i="18"/>
  <c r="T14" i="18"/>
  <c r="S15" i="18"/>
  <c r="T15" i="18"/>
  <c r="T16" i="18"/>
  <c r="S17" i="18"/>
  <c r="T17" i="18"/>
  <c r="S18" i="18"/>
  <c r="T18" i="18"/>
  <c r="S19" i="18"/>
  <c r="T19" i="18"/>
  <c r="S20" i="18"/>
  <c r="T20" i="18"/>
  <c r="S21" i="18"/>
  <c r="T21" i="18"/>
  <c r="S22" i="18"/>
  <c r="T22" i="18"/>
  <c r="S23" i="18"/>
  <c r="T23" i="18"/>
  <c r="S24" i="18"/>
  <c r="T24" i="18"/>
  <c r="S25" i="18"/>
  <c r="T25" i="18"/>
  <c r="S26" i="18"/>
  <c r="T26" i="18"/>
  <c r="S27" i="18"/>
  <c r="T27" i="18"/>
  <c r="S28" i="18"/>
  <c r="T28" i="18"/>
  <c r="S29" i="18"/>
  <c r="T29" i="18"/>
  <c r="S30" i="18"/>
  <c r="T30" i="18"/>
  <c r="S31" i="18"/>
  <c r="T31" i="18"/>
  <c r="S32" i="18"/>
  <c r="T32" i="18"/>
  <c r="S33" i="18"/>
  <c r="T33" i="18"/>
  <c r="S34" i="18"/>
  <c r="T34" i="18"/>
  <c r="S35" i="18"/>
  <c r="T35" i="18"/>
  <c r="S36" i="18"/>
  <c r="T36" i="18"/>
  <c r="S37" i="18"/>
  <c r="T37" i="18"/>
  <c r="S38" i="18"/>
  <c r="T38" i="18"/>
  <c r="S39" i="18"/>
  <c r="T39" i="18"/>
  <c r="S40" i="18"/>
  <c r="T40" i="18"/>
  <c r="S41" i="18"/>
  <c r="T41" i="18"/>
  <c r="S42" i="18"/>
  <c r="T42" i="18"/>
  <c r="S43" i="18"/>
  <c r="T43" i="18"/>
  <c r="S44" i="18"/>
  <c r="T44" i="18"/>
  <c r="S45" i="18"/>
  <c r="T45" i="18"/>
  <c r="S46" i="18"/>
  <c r="T46" i="18"/>
  <c r="S47" i="18"/>
  <c r="T47" i="18"/>
  <c r="S48" i="18"/>
  <c r="T48" i="18"/>
  <c r="S49" i="18"/>
  <c r="T49" i="18"/>
  <c r="S50" i="18"/>
  <c r="T50" i="18"/>
  <c r="S51" i="18"/>
  <c r="T51" i="18"/>
  <c r="S52" i="18"/>
  <c r="T52" i="18"/>
  <c r="T2" i="18"/>
  <c r="S2" i="18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2" i="18"/>
  <c r="N52" i="18"/>
  <c r="Q52" i="18"/>
  <c r="N2" i="18"/>
  <c r="Q2" i="18"/>
  <c r="N3" i="18"/>
  <c r="Q3" i="18"/>
  <c r="N4" i="18"/>
  <c r="Q4" i="18"/>
  <c r="N5" i="18"/>
  <c r="Q5" i="18"/>
  <c r="N6" i="18"/>
  <c r="Q6" i="18"/>
  <c r="N7" i="18"/>
  <c r="Q7" i="18"/>
  <c r="N8" i="18"/>
  <c r="Q8" i="18"/>
  <c r="N9" i="18"/>
  <c r="Q9" i="18"/>
  <c r="N10" i="18"/>
  <c r="Q10" i="18"/>
  <c r="N11" i="18"/>
  <c r="Q11" i="18"/>
  <c r="N12" i="18"/>
  <c r="Q12" i="18"/>
  <c r="N13" i="18"/>
  <c r="Q13" i="18"/>
  <c r="N14" i="18"/>
  <c r="Q14" i="18"/>
  <c r="N15" i="18"/>
  <c r="Q15" i="18"/>
  <c r="N16" i="18"/>
  <c r="N17" i="18"/>
  <c r="Q17" i="18"/>
  <c r="N18" i="18"/>
  <c r="Q18" i="18"/>
  <c r="N19" i="18"/>
  <c r="Q19" i="18"/>
  <c r="N20" i="18"/>
  <c r="Q20" i="18"/>
  <c r="N21" i="18"/>
  <c r="Q21" i="18"/>
  <c r="N22" i="18"/>
  <c r="Q22" i="18"/>
  <c r="N23" i="18"/>
  <c r="Q23" i="18"/>
  <c r="N24" i="18"/>
  <c r="Q24" i="18"/>
  <c r="N25" i="18"/>
  <c r="Q25" i="18"/>
  <c r="N26" i="18"/>
  <c r="Q26" i="18"/>
  <c r="N27" i="18"/>
  <c r="Q27" i="18"/>
  <c r="N28" i="18"/>
  <c r="Q28" i="18"/>
  <c r="N29" i="18"/>
  <c r="Q29" i="18"/>
  <c r="N30" i="18"/>
  <c r="Q30" i="18"/>
  <c r="N31" i="18"/>
  <c r="Q31" i="18"/>
  <c r="N32" i="18"/>
  <c r="Q32" i="18"/>
  <c r="N33" i="18"/>
  <c r="Q33" i="18"/>
  <c r="N34" i="18"/>
  <c r="Q34" i="18"/>
  <c r="N35" i="18"/>
  <c r="Q35" i="18"/>
  <c r="N36" i="18"/>
  <c r="Q36" i="18"/>
  <c r="N37" i="18"/>
  <c r="Q37" i="18"/>
  <c r="N38" i="18"/>
  <c r="Q38" i="18"/>
  <c r="N39" i="18"/>
  <c r="Q39" i="18"/>
  <c r="N40" i="18"/>
  <c r="Q40" i="18"/>
  <c r="N41" i="18"/>
  <c r="Q41" i="18"/>
  <c r="N42" i="18"/>
  <c r="Q42" i="18"/>
  <c r="N43" i="18"/>
  <c r="Q43" i="18"/>
  <c r="N44" i="18"/>
  <c r="Q44" i="18"/>
  <c r="N45" i="18"/>
  <c r="Q45" i="18"/>
  <c r="N46" i="18"/>
  <c r="Q46" i="18"/>
  <c r="N47" i="18"/>
  <c r="Q47" i="18"/>
  <c r="N48" i="18"/>
  <c r="Q48" i="18"/>
  <c r="N49" i="18"/>
  <c r="Q49" i="18"/>
  <c r="N50" i="18"/>
  <c r="Q50" i="18"/>
  <c r="N51" i="18"/>
  <c r="Q51" i="18"/>
  <c r="Z52" i="18"/>
  <c r="Z51" i="18"/>
  <c r="Z50" i="18"/>
  <c r="Z49" i="18"/>
  <c r="Z48" i="18"/>
  <c r="Z47" i="18"/>
  <c r="Z46" i="18"/>
  <c r="Z45" i="18"/>
  <c r="Z44" i="18"/>
  <c r="Z43" i="18"/>
  <c r="Z42" i="18"/>
  <c r="Z41" i="18"/>
  <c r="Z40" i="18"/>
  <c r="Z39" i="18"/>
  <c r="Z38" i="18"/>
  <c r="Z37" i="18"/>
  <c r="Z36" i="18"/>
  <c r="Z35" i="18"/>
  <c r="Z34" i="18"/>
  <c r="Z33" i="18"/>
  <c r="Z32" i="18"/>
  <c r="Z31" i="18"/>
  <c r="Z30" i="18"/>
  <c r="Z29" i="18"/>
  <c r="Z28" i="18"/>
  <c r="Z27" i="18"/>
  <c r="Z26" i="18"/>
  <c r="Z25" i="18"/>
  <c r="Z24" i="18"/>
  <c r="Z23" i="18"/>
  <c r="Z22" i="18"/>
  <c r="Z21" i="18"/>
  <c r="Z20" i="18"/>
  <c r="Z19" i="18"/>
  <c r="Z18" i="18"/>
  <c r="Z17" i="18"/>
  <c r="Z16" i="18"/>
  <c r="Z15" i="18"/>
  <c r="Z14" i="18"/>
  <c r="Z13" i="18"/>
  <c r="Z12" i="18"/>
  <c r="Z11" i="18"/>
  <c r="Z10" i="18"/>
  <c r="Z9" i="18"/>
  <c r="Z8" i="18"/>
  <c r="Z7" i="18"/>
  <c r="Z6" i="18"/>
  <c r="Z5" i="18"/>
  <c r="Z4" i="18"/>
  <c r="Z3" i="18"/>
  <c r="Z2" i="18"/>
  <c r="U3" i="18"/>
  <c r="B4" i="7"/>
  <c r="V3" i="18"/>
  <c r="C4" i="7"/>
  <c r="U4" i="18"/>
  <c r="B5" i="7"/>
  <c r="V4" i="18"/>
  <c r="C5" i="7"/>
  <c r="U5" i="18"/>
  <c r="B6" i="7"/>
  <c r="V5" i="18"/>
  <c r="C6" i="7"/>
  <c r="U6" i="18"/>
  <c r="B7" i="7"/>
  <c r="V6" i="18"/>
  <c r="C7" i="7"/>
  <c r="U7" i="18"/>
  <c r="B8" i="7"/>
  <c r="V7" i="18"/>
  <c r="C8" i="7"/>
  <c r="U8" i="18"/>
  <c r="B9" i="7"/>
  <c r="V8" i="18"/>
  <c r="C9" i="7"/>
  <c r="U9" i="18"/>
  <c r="B10" i="7"/>
  <c r="V9" i="18"/>
  <c r="C10" i="7"/>
  <c r="U10" i="18"/>
  <c r="B11" i="7"/>
  <c r="V10" i="18"/>
  <c r="C11" i="7"/>
  <c r="U11" i="18"/>
  <c r="B12" i="7"/>
  <c r="V11" i="18"/>
  <c r="C12" i="7"/>
  <c r="U12" i="18"/>
  <c r="B13" i="7"/>
  <c r="V12" i="18"/>
  <c r="C13" i="7"/>
  <c r="U13" i="18"/>
  <c r="B14" i="7"/>
  <c r="V13" i="18"/>
  <c r="C14" i="7"/>
  <c r="U14" i="18"/>
  <c r="B15" i="7"/>
  <c r="V14" i="18"/>
  <c r="C15" i="7"/>
  <c r="U15" i="18"/>
  <c r="B16" i="7"/>
  <c r="V15" i="18"/>
  <c r="C16" i="7"/>
  <c r="V16" i="18"/>
  <c r="C17" i="7"/>
  <c r="U17" i="18"/>
  <c r="B18" i="7"/>
  <c r="V17" i="18"/>
  <c r="C18" i="7"/>
  <c r="U18" i="18"/>
  <c r="B19" i="7"/>
  <c r="V18" i="18"/>
  <c r="C19" i="7"/>
  <c r="U19" i="18"/>
  <c r="B20" i="7"/>
  <c r="V19" i="18"/>
  <c r="C20" i="7"/>
  <c r="U20" i="18"/>
  <c r="B21" i="7"/>
  <c r="V20" i="18"/>
  <c r="C21" i="7"/>
  <c r="U21" i="18"/>
  <c r="B22" i="7"/>
  <c r="V21" i="18"/>
  <c r="C22" i="7"/>
  <c r="U22" i="18"/>
  <c r="B23" i="7"/>
  <c r="V22" i="18"/>
  <c r="C23" i="7"/>
  <c r="U23" i="18"/>
  <c r="B24" i="7"/>
  <c r="V23" i="18"/>
  <c r="C24" i="7"/>
  <c r="U24" i="18"/>
  <c r="B25" i="7"/>
  <c r="V24" i="18"/>
  <c r="C25" i="7"/>
  <c r="U25" i="18"/>
  <c r="B26" i="7"/>
  <c r="V25" i="18"/>
  <c r="C26" i="7"/>
  <c r="U26" i="18"/>
  <c r="B27" i="7"/>
  <c r="V26" i="18"/>
  <c r="C27" i="7"/>
  <c r="U27" i="18"/>
  <c r="B28" i="7"/>
  <c r="V27" i="18"/>
  <c r="C28" i="7"/>
  <c r="U28" i="18"/>
  <c r="B29" i="7"/>
  <c r="V28" i="18"/>
  <c r="C29" i="7"/>
  <c r="U29" i="18"/>
  <c r="B30" i="7"/>
  <c r="V29" i="18"/>
  <c r="C30" i="7"/>
  <c r="U30" i="18"/>
  <c r="B31" i="7"/>
  <c r="V30" i="18"/>
  <c r="C31" i="7"/>
  <c r="U31" i="18"/>
  <c r="B32" i="7"/>
  <c r="V31" i="18"/>
  <c r="C32" i="7"/>
  <c r="U32" i="18"/>
  <c r="B33" i="7"/>
  <c r="V32" i="18"/>
  <c r="C33" i="7"/>
  <c r="U33" i="18"/>
  <c r="B34" i="7"/>
  <c r="V33" i="18"/>
  <c r="C34" i="7"/>
  <c r="U34" i="18"/>
  <c r="B35" i="7"/>
  <c r="V34" i="18"/>
  <c r="C35" i="7"/>
  <c r="U35" i="18"/>
  <c r="B36" i="7"/>
  <c r="V35" i="18"/>
  <c r="C36" i="7"/>
  <c r="U36" i="18"/>
  <c r="B37" i="7"/>
  <c r="V36" i="18"/>
  <c r="C37" i="7"/>
  <c r="U37" i="18"/>
  <c r="B38" i="7"/>
  <c r="V37" i="18"/>
  <c r="C38" i="7"/>
  <c r="U38" i="18"/>
  <c r="B39" i="7"/>
  <c r="V38" i="18"/>
  <c r="C39" i="7"/>
  <c r="U39" i="18"/>
  <c r="B40" i="7"/>
  <c r="V39" i="18"/>
  <c r="C40" i="7"/>
  <c r="U40" i="18"/>
  <c r="B41" i="7"/>
  <c r="V40" i="18"/>
  <c r="C41" i="7"/>
  <c r="U41" i="18"/>
  <c r="B42" i="7"/>
  <c r="V41" i="18"/>
  <c r="C42" i="7"/>
  <c r="U42" i="18"/>
  <c r="B43" i="7"/>
  <c r="V42" i="18"/>
  <c r="C43" i="7"/>
  <c r="U43" i="18"/>
  <c r="B44" i="7"/>
  <c r="V43" i="18"/>
  <c r="C44" i="7"/>
  <c r="U44" i="18"/>
  <c r="B45" i="7"/>
  <c r="V44" i="18"/>
  <c r="C45" i="7"/>
  <c r="U45" i="18"/>
  <c r="B46" i="7"/>
  <c r="V45" i="18"/>
  <c r="C46" i="7"/>
  <c r="U46" i="18"/>
  <c r="B47" i="7"/>
  <c r="V46" i="18"/>
  <c r="C47" i="7"/>
  <c r="U47" i="18"/>
  <c r="B48" i="7"/>
  <c r="V47" i="18"/>
  <c r="C48" i="7"/>
  <c r="U48" i="18"/>
  <c r="B49" i="7"/>
  <c r="V48" i="18"/>
  <c r="C49" i="7"/>
  <c r="U49" i="18"/>
  <c r="B50" i="7"/>
  <c r="V49" i="18"/>
  <c r="C50" i="7"/>
  <c r="U50" i="18"/>
  <c r="B51" i="7"/>
  <c r="V50" i="18"/>
  <c r="C51" i="7"/>
  <c r="U51" i="18"/>
  <c r="B52" i="7"/>
  <c r="V51" i="18"/>
  <c r="C52" i="7"/>
  <c r="U52" i="18"/>
  <c r="B53" i="7"/>
  <c r="V52" i="18"/>
  <c r="C53" i="7"/>
  <c r="V2" i="18"/>
  <c r="C3" i="7"/>
  <c r="U2" i="18"/>
  <c r="A70" i="29"/>
  <c r="A69" i="29"/>
  <c r="A60" i="29"/>
  <c r="A64" i="29"/>
  <c r="A66" i="29"/>
  <c r="A53" i="29"/>
  <c r="A54" i="29"/>
  <c r="A55" i="29"/>
  <c r="A56" i="29"/>
  <c r="A57" i="29"/>
  <c r="A58" i="29"/>
  <c r="A59" i="29"/>
  <c r="A61" i="29"/>
  <c r="A62" i="29"/>
  <c r="A63" i="29"/>
  <c r="A65" i="29"/>
  <c r="A67" i="29"/>
  <c r="A68" i="29"/>
  <c r="A71" i="29"/>
  <c r="A52" i="29"/>
  <c r="A51" i="29"/>
  <c r="A50" i="29"/>
  <c r="A49" i="29"/>
  <c r="A45" i="29"/>
  <c r="A44" i="29"/>
  <c r="A48" i="29"/>
  <c r="A43" i="29"/>
  <c r="A47" i="29"/>
  <c r="A42" i="29"/>
  <c r="A46" i="29"/>
  <c r="A41" i="29"/>
  <c r="A40" i="29"/>
  <c r="A39" i="29"/>
  <c r="A38" i="29"/>
  <c r="A37" i="29"/>
  <c r="A36" i="29"/>
  <c r="A35" i="29"/>
  <c r="A34" i="29"/>
  <c r="A33" i="29"/>
  <c r="A32" i="29"/>
  <c r="A31" i="29"/>
  <c r="A29" i="29"/>
  <c r="A28" i="29"/>
  <c r="A30" i="29"/>
  <c r="A27" i="29"/>
  <c r="A26" i="29"/>
  <c r="A25" i="29"/>
  <c r="A24" i="29"/>
  <c r="A23" i="29"/>
  <c r="A22" i="29"/>
  <c r="A21" i="29"/>
  <c r="A20" i="29"/>
  <c r="A16" i="29"/>
  <c r="A18" i="29"/>
  <c r="A19" i="29"/>
  <c r="A15" i="29"/>
  <c r="A17" i="29"/>
  <c r="A14" i="29"/>
  <c r="A13" i="29"/>
  <c r="A12" i="29"/>
  <c r="A11" i="29"/>
  <c r="A10" i="29"/>
  <c r="A9" i="29"/>
  <c r="A8" i="29"/>
  <c r="A7" i="29"/>
  <c r="A5" i="29"/>
  <c r="A6" i="29"/>
  <c r="A4" i="29"/>
  <c r="K55" i="7"/>
  <c r="J55" i="7"/>
  <c r="I55" i="7"/>
  <c r="P2" i="18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H55" i="7"/>
  <c r="G55" i="7"/>
  <c r="F55" i="7"/>
  <c r="E55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5" i="7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5" i="13"/>
  <c r="P4" i="13"/>
  <c r="P3" i="13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5" i="12"/>
  <c r="P4" i="12"/>
  <c r="P3" i="12"/>
  <c r="P53" i="11"/>
  <c r="P52" i="11"/>
  <c r="P51" i="11"/>
  <c r="P50" i="11"/>
  <c r="P49" i="11"/>
  <c r="P48" i="11"/>
  <c r="P47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5" i="11"/>
  <c r="P4" i="11"/>
  <c r="P3" i="11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5" i="10"/>
  <c r="P4" i="10"/>
  <c r="P3" i="10"/>
  <c r="P4" i="9"/>
  <c r="P5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3" i="9"/>
  <c r="O8" i="7"/>
  <c r="C55" i="7"/>
  <c r="B55" i="7"/>
  <c r="U54" i="18"/>
  <c r="S54" i="18"/>
  <c r="W52" i="18"/>
  <c r="W51" i="18"/>
  <c r="W50" i="18"/>
  <c r="W49" i="18"/>
  <c r="W48" i="18"/>
  <c r="W47" i="18"/>
  <c r="W46" i="18"/>
  <c r="W45" i="18"/>
  <c r="W44" i="18"/>
  <c r="W43" i="18"/>
  <c r="W42" i="18"/>
  <c r="W41" i="18"/>
  <c r="W40" i="18"/>
  <c r="W39" i="18"/>
  <c r="W38" i="18"/>
  <c r="W37" i="18"/>
  <c r="W36" i="18"/>
  <c r="W35" i="18"/>
  <c r="W34" i="18"/>
  <c r="W33" i="18"/>
  <c r="W32" i="18"/>
  <c r="W31" i="18"/>
  <c r="W30" i="18"/>
  <c r="W29" i="18"/>
  <c r="W28" i="18"/>
  <c r="W27" i="18"/>
  <c r="W26" i="18"/>
  <c r="W25" i="18"/>
  <c r="W24" i="18"/>
  <c r="W23" i="18"/>
  <c r="W22" i="18"/>
  <c r="W21" i="18"/>
  <c r="W20" i="18"/>
  <c r="W19" i="18"/>
  <c r="W18" i="18"/>
  <c r="W17" i="18"/>
  <c r="W16" i="18"/>
  <c r="W15" i="18"/>
  <c r="W14" i="18"/>
  <c r="W13" i="18"/>
  <c r="W12" i="18"/>
  <c r="W11" i="18"/>
  <c r="W10" i="18"/>
  <c r="W9" i="18"/>
  <c r="W8" i="18"/>
  <c r="W7" i="18"/>
  <c r="W6" i="18"/>
  <c r="W5" i="18"/>
  <c r="W4" i="18"/>
  <c r="W3" i="18"/>
  <c r="W2" i="18"/>
  <c r="W1" i="18"/>
  <c r="G2" i="28"/>
  <c r="F2" i="28"/>
  <c r="E2" i="28"/>
  <c r="D2" i="28"/>
  <c r="C2" i="28"/>
  <c r="B2" i="28"/>
  <c r="G53" i="28"/>
  <c r="F53" i="28"/>
  <c r="E53" i="28"/>
  <c r="D53" i="28"/>
  <c r="C53" i="28"/>
  <c r="B53" i="28"/>
  <c r="G52" i="28"/>
  <c r="F52" i="28"/>
  <c r="E52" i="28"/>
  <c r="D52" i="28"/>
  <c r="C52" i="28"/>
  <c r="B52" i="28"/>
  <c r="G51" i="28"/>
  <c r="F51" i="28"/>
  <c r="E51" i="28"/>
  <c r="D51" i="28"/>
  <c r="C51" i="28"/>
  <c r="B51" i="28"/>
  <c r="G50" i="28"/>
  <c r="F50" i="28"/>
  <c r="E50" i="28"/>
  <c r="D50" i="28"/>
  <c r="C50" i="28"/>
  <c r="B50" i="28"/>
  <c r="G49" i="28"/>
  <c r="F49" i="28"/>
  <c r="E49" i="28"/>
  <c r="D49" i="28"/>
  <c r="C49" i="28"/>
  <c r="B49" i="28"/>
  <c r="G48" i="28"/>
  <c r="F48" i="28"/>
  <c r="E48" i="28"/>
  <c r="D48" i="28"/>
  <c r="C48" i="28"/>
  <c r="B48" i="28"/>
  <c r="G47" i="28"/>
  <c r="F47" i="28"/>
  <c r="E47" i="28"/>
  <c r="D47" i="28"/>
  <c r="C47" i="28"/>
  <c r="B47" i="28"/>
  <c r="G46" i="28"/>
  <c r="F46" i="28"/>
  <c r="E46" i="28"/>
  <c r="D46" i="28"/>
  <c r="C46" i="28"/>
  <c r="B46" i="28"/>
  <c r="G45" i="28"/>
  <c r="F45" i="28"/>
  <c r="E45" i="28"/>
  <c r="D45" i="28"/>
  <c r="C45" i="28"/>
  <c r="B45" i="28"/>
  <c r="G44" i="28"/>
  <c r="F44" i="28"/>
  <c r="E44" i="28"/>
  <c r="D44" i="28"/>
  <c r="C44" i="28"/>
  <c r="B44" i="28"/>
  <c r="G43" i="28"/>
  <c r="F43" i="28"/>
  <c r="E43" i="28"/>
  <c r="D43" i="28"/>
  <c r="C43" i="28"/>
  <c r="B43" i="28"/>
  <c r="G42" i="28"/>
  <c r="F42" i="28"/>
  <c r="E42" i="28"/>
  <c r="D42" i="28"/>
  <c r="C42" i="28"/>
  <c r="B42" i="28"/>
  <c r="G41" i="28"/>
  <c r="F41" i="28"/>
  <c r="E41" i="28"/>
  <c r="D41" i="28"/>
  <c r="C41" i="28"/>
  <c r="B41" i="28"/>
  <c r="G40" i="28"/>
  <c r="F40" i="28"/>
  <c r="E40" i="28"/>
  <c r="D40" i="28"/>
  <c r="C40" i="28"/>
  <c r="B40" i="28"/>
  <c r="G39" i="28"/>
  <c r="F39" i="28"/>
  <c r="E39" i="28"/>
  <c r="D39" i="28"/>
  <c r="C39" i="28"/>
  <c r="B39" i="28"/>
  <c r="G38" i="28"/>
  <c r="F38" i="28"/>
  <c r="E38" i="28"/>
  <c r="D38" i="28"/>
  <c r="C38" i="28"/>
  <c r="B38" i="28"/>
  <c r="G37" i="28"/>
  <c r="F37" i="28"/>
  <c r="E37" i="28"/>
  <c r="D37" i="28"/>
  <c r="C37" i="28"/>
  <c r="B37" i="28"/>
  <c r="G36" i="28"/>
  <c r="F36" i="28"/>
  <c r="E36" i="28"/>
  <c r="D36" i="28"/>
  <c r="C36" i="28"/>
  <c r="B36" i="28"/>
  <c r="G35" i="28"/>
  <c r="F35" i="28"/>
  <c r="E35" i="28"/>
  <c r="D35" i="28"/>
  <c r="C35" i="28"/>
  <c r="B35" i="28"/>
  <c r="G34" i="28"/>
  <c r="F34" i="28"/>
  <c r="E34" i="28"/>
  <c r="D34" i="28"/>
  <c r="C34" i="28"/>
  <c r="B34" i="28"/>
  <c r="G33" i="28"/>
  <c r="F33" i="28"/>
  <c r="E33" i="28"/>
  <c r="D33" i="28"/>
  <c r="C33" i="28"/>
  <c r="B33" i="28"/>
  <c r="G32" i="28"/>
  <c r="F32" i="28"/>
  <c r="E32" i="28"/>
  <c r="D32" i="28"/>
  <c r="C32" i="28"/>
  <c r="B32" i="28"/>
  <c r="G31" i="28"/>
  <c r="F31" i="28"/>
  <c r="E31" i="28"/>
  <c r="D31" i="28"/>
  <c r="C31" i="28"/>
  <c r="B31" i="28"/>
  <c r="G30" i="28"/>
  <c r="F30" i="28"/>
  <c r="E30" i="28"/>
  <c r="D30" i="28"/>
  <c r="C30" i="28"/>
  <c r="B30" i="28"/>
  <c r="G29" i="28"/>
  <c r="F29" i="28"/>
  <c r="E29" i="28"/>
  <c r="D29" i="28"/>
  <c r="C29" i="28"/>
  <c r="B29" i="28"/>
  <c r="G28" i="28"/>
  <c r="F28" i="28"/>
  <c r="E28" i="28"/>
  <c r="D28" i="28"/>
  <c r="C28" i="28"/>
  <c r="B28" i="28"/>
  <c r="G27" i="28"/>
  <c r="F27" i="28"/>
  <c r="E27" i="28"/>
  <c r="D27" i="28"/>
  <c r="C27" i="28"/>
  <c r="B27" i="28"/>
  <c r="G26" i="28"/>
  <c r="F26" i="28"/>
  <c r="E26" i="28"/>
  <c r="D26" i="28"/>
  <c r="C26" i="28"/>
  <c r="B26" i="28"/>
  <c r="G25" i="28"/>
  <c r="F25" i="28"/>
  <c r="E25" i="28"/>
  <c r="D25" i="28"/>
  <c r="C25" i="28"/>
  <c r="B25" i="28"/>
  <c r="G24" i="28"/>
  <c r="F24" i="28"/>
  <c r="E24" i="28"/>
  <c r="D24" i="28"/>
  <c r="C24" i="28"/>
  <c r="B24" i="28"/>
  <c r="G23" i="28"/>
  <c r="F23" i="28"/>
  <c r="E23" i="28"/>
  <c r="D23" i="28"/>
  <c r="C23" i="28"/>
  <c r="B23" i="28"/>
  <c r="G22" i="28"/>
  <c r="F22" i="28"/>
  <c r="E22" i="28"/>
  <c r="D22" i="28"/>
  <c r="C22" i="28"/>
  <c r="B22" i="28"/>
  <c r="G21" i="28"/>
  <c r="F21" i="28"/>
  <c r="E21" i="28"/>
  <c r="D21" i="28"/>
  <c r="C21" i="28"/>
  <c r="B21" i="28"/>
  <c r="G20" i="28"/>
  <c r="F20" i="28"/>
  <c r="E20" i="28"/>
  <c r="D20" i="28"/>
  <c r="C20" i="28"/>
  <c r="B20" i="28"/>
  <c r="G19" i="28"/>
  <c r="F19" i="28"/>
  <c r="E19" i="28"/>
  <c r="D19" i="28"/>
  <c r="C19" i="28"/>
  <c r="B19" i="28"/>
  <c r="G18" i="28"/>
  <c r="F18" i="28"/>
  <c r="E18" i="28"/>
  <c r="D18" i="28"/>
  <c r="C18" i="28"/>
  <c r="B18" i="28"/>
  <c r="G17" i="28"/>
  <c r="F17" i="28"/>
  <c r="E17" i="28"/>
  <c r="D17" i="28"/>
  <c r="C17" i="28"/>
  <c r="B17" i="28"/>
  <c r="G16" i="28"/>
  <c r="F16" i="28"/>
  <c r="E16" i="28"/>
  <c r="D16" i="28"/>
  <c r="C16" i="28"/>
  <c r="B16" i="28"/>
  <c r="G15" i="28"/>
  <c r="F15" i="28"/>
  <c r="E15" i="28"/>
  <c r="D15" i="28"/>
  <c r="C15" i="28"/>
  <c r="B15" i="28"/>
  <c r="G14" i="28"/>
  <c r="F14" i="28"/>
  <c r="E14" i="28"/>
  <c r="D14" i="28"/>
  <c r="C14" i="28"/>
  <c r="B14" i="28"/>
  <c r="G13" i="28"/>
  <c r="F13" i="28"/>
  <c r="E13" i="28"/>
  <c r="D13" i="28"/>
  <c r="C13" i="28"/>
  <c r="B13" i="28"/>
  <c r="G12" i="28"/>
  <c r="F12" i="28"/>
  <c r="E12" i="28"/>
  <c r="D12" i="28"/>
  <c r="C12" i="28"/>
  <c r="B12" i="28"/>
  <c r="G11" i="28"/>
  <c r="F11" i="28"/>
  <c r="E11" i="28"/>
  <c r="D11" i="28"/>
  <c r="C11" i="28"/>
  <c r="B11" i="28"/>
  <c r="G10" i="28"/>
  <c r="F10" i="28"/>
  <c r="E10" i="28"/>
  <c r="D10" i="28"/>
  <c r="C10" i="28"/>
  <c r="B10" i="28"/>
  <c r="G9" i="28"/>
  <c r="F9" i="28"/>
  <c r="E9" i="28"/>
  <c r="D9" i="28"/>
  <c r="C9" i="28"/>
  <c r="B9" i="28"/>
  <c r="G8" i="28"/>
  <c r="F8" i="28"/>
  <c r="E8" i="28"/>
  <c r="D8" i="28"/>
  <c r="C8" i="28"/>
  <c r="B8" i="28"/>
  <c r="G7" i="28"/>
  <c r="F7" i="28"/>
  <c r="E7" i="28"/>
  <c r="D7" i="28"/>
  <c r="C7" i="28"/>
  <c r="B7" i="28"/>
  <c r="G6" i="28"/>
  <c r="F6" i="28"/>
  <c r="E6" i="28"/>
  <c r="D6" i="28"/>
  <c r="C6" i="28"/>
  <c r="B6" i="28"/>
  <c r="G5" i="28"/>
  <c r="F5" i="28"/>
  <c r="E5" i="28"/>
  <c r="D5" i="28"/>
  <c r="C5" i="28"/>
  <c r="B5" i="28"/>
  <c r="G4" i="28"/>
  <c r="F4" i="28"/>
  <c r="E4" i="28"/>
  <c r="D4" i="28"/>
  <c r="C4" i="28"/>
  <c r="B4" i="28"/>
  <c r="G3" i="28"/>
  <c r="F3" i="28"/>
  <c r="E3" i="28"/>
  <c r="D3" i="28"/>
  <c r="C3" i="28"/>
  <c r="B3" i="28"/>
  <c r="AG52" i="21"/>
  <c r="O53" i="28"/>
  <c r="W53" i="28"/>
  <c r="AG2" i="21"/>
  <c r="O3" i="28"/>
  <c r="W3" i="28"/>
  <c r="AG3" i="21"/>
  <c r="O4" i="28"/>
  <c r="W4" i="28"/>
  <c r="AG4" i="21"/>
  <c r="O5" i="28"/>
  <c r="W5" i="28"/>
  <c r="AG5" i="21"/>
  <c r="O6" i="28"/>
  <c r="W6" i="28"/>
  <c r="AG6" i="21"/>
  <c r="O7" i="28"/>
  <c r="W7" i="28"/>
  <c r="AG7" i="21"/>
  <c r="O8" i="28"/>
  <c r="W8" i="28"/>
  <c r="AG8" i="21"/>
  <c r="O9" i="28"/>
  <c r="W9" i="28"/>
  <c r="AG9" i="21"/>
  <c r="O10" i="28"/>
  <c r="W10" i="28"/>
  <c r="AG10" i="21"/>
  <c r="O11" i="28"/>
  <c r="W11" i="28"/>
  <c r="AG11" i="21"/>
  <c r="O12" i="28"/>
  <c r="W12" i="28"/>
  <c r="AG12" i="21"/>
  <c r="O13" i="28"/>
  <c r="W13" i="28"/>
  <c r="AG13" i="21"/>
  <c r="O14" i="28"/>
  <c r="W14" i="28"/>
  <c r="AG14" i="21"/>
  <c r="O15" i="28"/>
  <c r="W15" i="28"/>
  <c r="AG15" i="21"/>
  <c r="O16" i="28"/>
  <c r="W16" i="28"/>
  <c r="AG16" i="21"/>
  <c r="O17" i="28"/>
  <c r="W17" i="28"/>
  <c r="AG17" i="21"/>
  <c r="O18" i="28"/>
  <c r="W18" i="28"/>
  <c r="AG18" i="21"/>
  <c r="O19" i="28"/>
  <c r="W19" i="28"/>
  <c r="AG19" i="21"/>
  <c r="O20" i="28"/>
  <c r="W20" i="28"/>
  <c r="AG20" i="21"/>
  <c r="O21" i="28"/>
  <c r="W21" i="28"/>
  <c r="AG21" i="21"/>
  <c r="O22" i="28"/>
  <c r="W22" i="28"/>
  <c r="AG22" i="21"/>
  <c r="O23" i="28"/>
  <c r="W23" i="28"/>
  <c r="AG23" i="21"/>
  <c r="O24" i="28"/>
  <c r="W24" i="28"/>
  <c r="AG24" i="21"/>
  <c r="O25" i="28"/>
  <c r="W25" i="28"/>
  <c r="AG25" i="21"/>
  <c r="O26" i="28"/>
  <c r="W26" i="28"/>
  <c r="AG26" i="21"/>
  <c r="O27" i="28"/>
  <c r="W27" i="28"/>
  <c r="AG27" i="21"/>
  <c r="O28" i="28"/>
  <c r="W28" i="28"/>
  <c r="AG28" i="21"/>
  <c r="O29" i="28"/>
  <c r="W29" i="28"/>
  <c r="AG29" i="21"/>
  <c r="O30" i="28"/>
  <c r="W30" i="28"/>
  <c r="AG30" i="21"/>
  <c r="O31" i="28"/>
  <c r="W31" i="28"/>
  <c r="AG31" i="21"/>
  <c r="O32" i="28"/>
  <c r="W32" i="28"/>
  <c r="AG32" i="21"/>
  <c r="O33" i="28"/>
  <c r="W33" i="28"/>
  <c r="AG33" i="21"/>
  <c r="O34" i="28"/>
  <c r="W34" i="28"/>
  <c r="AG34" i="21"/>
  <c r="O35" i="28"/>
  <c r="W35" i="28"/>
  <c r="AG35" i="21"/>
  <c r="O36" i="28"/>
  <c r="W36" i="28"/>
  <c r="AG36" i="21"/>
  <c r="O37" i="28"/>
  <c r="W37" i="28"/>
  <c r="AG37" i="21"/>
  <c r="O38" i="28"/>
  <c r="W38" i="28"/>
  <c r="AG38" i="21"/>
  <c r="O39" i="28"/>
  <c r="W39" i="28"/>
  <c r="AG39" i="21"/>
  <c r="O40" i="28"/>
  <c r="W40" i="28"/>
  <c r="AG40" i="21"/>
  <c r="O41" i="28"/>
  <c r="W41" i="28"/>
  <c r="AG41" i="21"/>
  <c r="O42" i="28"/>
  <c r="W42" i="28"/>
  <c r="AG42" i="21"/>
  <c r="O43" i="28"/>
  <c r="W43" i="28"/>
  <c r="AG43" i="21"/>
  <c r="O44" i="28"/>
  <c r="W44" i="28"/>
  <c r="AG44" i="21"/>
  <c r="O45" i="28"/>
  <c r="W45" i="28"/>
  <c r="AG45" i="21"/>
  <c r="O46" i="28"/>
  <c r="W46" i="28"/>
  <c r="AG46" i="21"/>
  <c r="O47" i="28"/>
  <c r="W47" i="28"/>
  <c r="AG47" i="21"/>
  <c r="O48" i="28"/>
  <c r="W48" i="28"/>
  <c r="AG48" i="21"/>
  <c r="O49" i="28"/>
  <c r="W49" i="28"/>
  <c r="AG49" i="21"/>
  <c r="O50" i="28"/>
  <c r="W50" i="28"/>
  <c r="AG50" i="21"/>
  <c r="O51" i="28"/>
  <c r="W51" i="28"/>
  <c r="AG51" i="21"/>
  <c r="O52" i="28"/>
  <c r="W52" i="28"/>
  <c r="AE53" i="28"/>
  <c r="AF52" i="21"/>
  <c r="N53" i="28"/>
  <c r="V53" i="28"/>
  <c r="AF2" i="21"/>
  <c r="N3" i="28"/>
  <c r="V3" i="28"/>
  <c r="AF3" i="21"/>
  <c r="N4" i="28"/>
  <c r="V4" i="28"/>
  <c r="AF4" i="21"/>
  <c r="N5" i="28"/>
  <c r="V5" i="28"/>
  <c r="AF5" i="21"/>
  <c r="N6" i="28"/>
  <c r="V6" i="28"/>
  <c r="AF6" i="21"/>
  <c r="N7" i="28"/>
  <c r="V7" i="28"/>
  <c r="AF7" i="21"/>
  <c r="N8" i="28"/>
  <c r="V8" i="28"/>
  <c r="AF8" i="21"/>
  <c r="N9" i="28"/>
  <c r="V9" i="28"/>
  <c r="AF9" i="21"/>
  <c r="N10" i="28"/>
  <c r="V10" i="28"/>
  <c r="AF10" i="21"/>
  <c r="N11" i="28"/>
  <c r="V11" i="28"/>
  <c r="AF11" i="21"/>
  <c r="N12" i="28"/>
  <c r="V12" i="28"/>
  <c r="AF12" i="21"/>
  <c r="N13" i="28"/>
  <c r="V13" i="28"/>
  <c r="AF13" i="21"/>
  <c r="N14" i="28"/>
  <c r="V14" i="28"/>
  <c r="AF14" i="21"/>
  <c r="N15" i="28"/>
  <c r="V15" i="28"/>
  <c r="AF15" i="21"/>
  <c r="N16" i="28"/>
  <c r="V16" i="28"/>
  <c r="AF16" i="21"/>
  <c r="N17" i="28"/>
  <c r="V17" i="28"/>
  <c r="AF17" i="21"/>
  <c r="N18" i="28"/>
  <c r="V18" i="28"/>
  <c r="AF18" i="21"/>
  <c r="N19" i="28"/>
  <c r="V19" i="28"/>
  <c r="AF19" i="21"/>
  <c r="N20" i="28"/>
  <c r="V20" i="28"/>
  <c r="AF20" i="21"/>
  <c r="N21" i="28"/>
  <c r="V21" i="28"/>
  <c r="AF21" i="21"/>
  <c r="N22" i="28"/>
  <c r="V22" i="28"/>
  <c r="AF22" i="21"/>
  <c r="N23" i="28"/>
  <c r="V23" i="28"/>
  <c r="AF23" i="21"/>
  <c r="N24" i="28"/>
  <c r="V24" i="28"/>
  <c r="AF24" i="21"/>
  <c r="N25" i="28"/>
  <c r="V25" i="28"/>
  <c r="AF25" i="21"/>
  <c r="N26" i="28"/>
  <c r="V26" i="28"/>
  <c r="AF26" i="21"/>
  <c r="N27" i="28"/>
  <c r="V27" i="28"/>
  <c r="AF27" i="21"/>
  <c r="N28" i="28"/>
  <c r="V28" i="28"/>
  <c r="AF28" i="21"/>
  <c r="N29" i="28"/>
  <c r="V29" i="28"/>
  <c r="AF29" i="21"/>
  <c r="N30" i="28"/>
  <c r="V30" i="28"/>
  <c r="AF30" i="21"/>
  <c r="N31" i="28"/>
  <c r="V31" i="28"/>
  <c r="AF31" i="21"/>
  <c r="N32" i="28"/>
  <c r="V32" i="28"/>
  <c r="AF32" i="21"/>
  <c r="N33" i="28"/>
  <c r="V33" i="28"/>
  <c r="AF33" i="21"/>
  <c r="N34" i="28"/>
  <c r="V34" i="28"/>
  <c r="AF34" i="21"/>
  <c r="N35" i="28"/>
  <c r="V35" i="28"/>
  <c r="AF35" i="21"/>
  <c r="N36" i="28"/>
  <c r="V36" i="28"/>
  <c r="AF36" i="21"/>
  <c r="N37" i="28"/>
  <c r="V37" i="28"/>
  <c r="AF37" i="21"/>
  <c r="N38" i="28"/>
  <c r="V38" i="28"/>
  <c r="AF38" i="21"/>
  <c r="N39" i="28"/>
  <c r="V39" i="28"/>
  <c r="AF39" i="21"/>
  <c r="N40" i="28"/>
  <c r="V40" i="28"/>
  <c r="AF40" i="21"/>
  <c r="N41" i="28"/>
  <c r="V41" i="28"/>
  <c r="AF41" i="21"/>
  <c r="N42" i="28"/>
  <c r="V42" i="28"/>
  <c r="AF42" i="21"/>
  <c r="N43" i="28"/>
  <c r="V43" i="28"/>
  <c r="AF43" i="21"/>
  <c r="N44" i="28"/>
  <c r="V44" i="28"/>
  <c r="AF44" i="21"/>
  <c r="N45" i="28"/>
  <c r="V45" i="28"/>
  <c r="AF45" i="21"/>
  <c r="N46" i="28"/>
  <c r="V46" i="28"/>
  <c r="AF46" i="21"/>
  <c r="N47" i="28"/>
  <c r="V47" i="28"/>
  <c r="AF47" i="21"/>
  <c r="N48" i="28"/>
  <c r="V48" i="28"/>
  <c r="AF48" i="21"/>
  <c r="N49" i="28"/>
  <c r="V49" i="28"/>
  <c r="AF49" i="21"/>
  <c r="N50" i="28"/>
  <c r="V50" i="28"/>
  <c r="AF50" i="21"/>
  <c r="N51" i="28"/>
  <c r="V51" i="28"/>
  <c r="AF51" i="21"/>
  <c r="N52" i="28"/>
  <c r="V52" i="28"/>
  <c r="AD53" i="28"/>
  <c r="AE52" i="21"/>
  <c r="M53" i="28"/>
  <c r="U53" i="28"/>
  <c r="AE2" i="21"/>
  <c r="M3" i="28"/>
  <c r="U3" i="28"/>
  <c r="AE3" i="21"/>
  <c r="M4" i="28"/>
  <c r="U4" i="28"/>
  <c r="AE4" i="21"/>
  <c r="M5" i="28"/>
  <c r="U5" i="28"/>
  <c r="AE5" i="21"/>
  <c r="M6" i="28"/>
  <c r="U6" i="28"/>
  <c r="AE6" i="21"/>
  <c r="M7" i="28"/>
  <c r="U7" i="28"/>
  <c r="AE7" i="21"/>
  <c r="M8" i="28"/>
  <c r="U8" i="28"/>
  <c r="AE8" i="21"/>
  <c r="M9" i="28"/>
  <c r="U9" i="28"/>
  <c r="AE9" i="21"/>
  <c r="M10" i="28"/>
  <c r="U10" i="28"/>
  <c r="AE10" i="21"/>
  <c r="M11" i="28"/>
  <c r="U11" i="28"/>
  <c r="AE11" i="21"/>
  <c r="M12" i="28"/>
  <c r="U12" i="28"/>
  <c r="AE12" i="21"/>
  <c r="M13" i="28"/>
  <c r="U13" i="28"/>
  <c r="AE13" i="21"/>
  <c r="M14" i="28"/>
  <c r="U14" i="28"/>
  <c r="AE14" i="21"/>
  <c r="M15" i="28"/>
  <c r="U15" i="28"/>
  <c r="AE15" i="21"/>
  <c r="M16" i="28"/>
  <c r="U16" i="28"/>
  <c r="AE16" i="21"/>
  <c r="M17" i="28"/>
  <c r="U17" i="28"/>
  <c r="AE17" i="21"/>
  <c r="M18" i="28"/>
  <c r="U18" i="28"/>
  <c r="AE18" i="21"/>
  <c r="M19" i="28"/>
  <c r="U19" i="28"/>
  <c r="AE19" i="21"/>
  <c r="M20" i="28"/>
  <c r="U20" i="28"/>
  <c r="AE20" i="21"/>
  <c r="M21" i="28"/>
  <c r="U21" i="28"/>
  <c r="AE21" i="21"/>
  <c r="M22" i="28"/>
  <c r="U22" i="28"/>
  <c r="AE22" i="21"/>
  <c r="M23" i="28"/>
  <c r="U23" i="28"/>
  <c r="AE23" i="21"/>
  <c r="M24" i="28"/>
  <c r="U24" i="28"/>
  <c r="AE24" i="21"/>
  <c r="M25" i="28"/>
  <c r="U25" i="28"/>
  <c r="AE25" i="21"/>
  <c r="M26" i="28"/>
  <c r="U26" i="28"/>
  <c r="AE26" i="21"/>
  <c r="M27" i="28"/>
  <c r="U27" i="28"/>
  <c r="AE27" i="21"/>
  <c r="M28" i="28"/>
  <c r="U28" i="28"/>
  <c r="AE28" i="21"/>
  <c r="M29" i="28"/>
  <c r="U29" i="28"/>
  <c r="AE29" i="21"/>
  <c r="M30" i="28"/>
  <c r="U30" i="28"/>
  <c r="AE30" i="21"/>
  <c r="M31" i="28"/>
  <c r="U31" i="28"/>
  <c r="AE31" i="21"/>
  <c r="M32" i="28"/>
  <c r="U32" i="28"/>
  <c r="AE32" i="21"/>
  <c r="M33" i="28"/>
  <c r="U33" i="28"/>
  <c r="AE33" i="21"/>
  <c r="M34" i="28"/>
  <c r="U34" i="28"/>
  <c r="AE34" i="21"/>
  <c r="M35" i="28"/>
  <c r="U35" i="28"/>
  <c r="AE35" i="21"/>
  <c r="M36" i="28"/>
  <c r="U36" i="28"/>
  <c r="AE36" i="21"/>
  <c r="M37" i="28"/>
  <c r="U37" i="28"/>
  <c r="AE37" i="21"/>
  <c r="M38" i="28"/>
  <c r="U38" i="28"/>
  <c r="AE38" i="21"/>
  <c r="M39" i="28"/>
  <c r="U39" i="28"/>
  <c r="AE39" i="21"/>
  <c r="M40" i="28"/>
  <c r="U40" i="28"/>
  <c r="AE40" i="21"/>
  <c r="M41" i="28"/>
  <c r="U41" i="28"/>
  <c r="AE41" i="21"/>
  <c r="M42" i="28"/>
  <c r="U42" i="28"/>
  <c r="AE42" i="21"/>
  <c r="M43" i="28"/>
  <c r="U43" i="28"/>
  <c r="AE43" i="21"/>
  <c r="M44" i="28"/>
  <c r="U44" i="28"/>
  <c r="AE44" i="21"/>
  <c r="M45" i="28"/>
  <c r="U45" i="28"/>
  <c r="AE45" i="21"/>
  <c r="M46" i="28"/>
  <c r="U46" i="28"/>
  <c r="AE46" i="21"/>
  <c r="M47" i="28"/>
  <c r="U47" i="28"/>
  <c r="AE47" i="21"/>
  <c r="M48" i="28"/>
  <c r="U48" i="28"/>
  <c r="AE48" i="21"/>
  <c r="M49" i="28"/>
  <c r="U49" i="28"/>
  <c r="AE49" i="21"/>
  <c r="M50" i="28"/>
  <c r="U50" i="28"/>
  <c r="AE50" i="21"/>
  <c r="M51" i="28"/>
  <c r="U51" i="28"/>
  <c r="AE51" i="21"/>
  <c r="M52" i="28"/>
  <c r="U52" i="28"/>
  <c r="AC53" i="28"/>
  <c r="AD52" i="21"/>
  <c r="L53" i="28"/>
  <c r="T53" i="28"/>
  <c r="AD2" i="21"/>
  <c r="L3" i="28"/>
  <c r="T3" i="28"/>
  <c r="AD3" i="21"/>
  <c r="L4" i="28"/>
  <c r="T4" i="28"/>
  <c r="AD4" i="21"/>
  <c r="L5" i="28"/>
  <c r="T5" i="28"/>
  <c r="AD5" i="21"/>
  <c r="L6" i="28"/>
  <c r="T6" i="28"/>
  <c r="AD6" i="21"/>
  <c r="L7" i="28"/>
  <c r="T7" i="28"/>
  <c r="AD7" i="21"/>
  <c r="L8" i="28"/>
  <c r="T8" i="28"/>
  <c r="AD8" i="21"/>
  <c r="L9" i="28"/>
  <c r="T9" i="28"/>
  <c r="AD9" i="21"/>
  <c r="L10" i="28"/>
  <c r="T10" i="28"/>
  <c r="AD10" i="21"/>
  <c r="L11" i="28"/>
  <c r="T11" i="28"/>
  <c r="AD11" i="21"/>
  <c r="L12" i="28"/>
  <c r="T12" i="28"/>
  <c r="AD12" i="21"/>
  <c r="L13" i="28"/>
  <c r="T13" i="28"/>
  <c r="AD13" i="21"/>
  <c r="L14" i="28"/>
  <c r="T14" i="28"/>
  <c r="AD14" i="21"/>
  <c r="L15" i="28"/>
  <c r="T15" i="28"/>
  <c r="AD15" i="21"/>
  <c r="L16" i="28"/>
  <c r="T16" i="28"/>
  <c r="AD16" i="21"/>
  <c r="L17" i="28"/>
  <c r="T17" i="28"/>
  <c r="AD17" i="21"/>
  <c r="L18" i="28"/>
  <c r="T18" i="28"/>
  <c r="AD18" i="21"/>
  <c r="L19" i="28"/>
  <c r="T19" i="28"/>
  <c r="AD19" i="21"/>
  <c r="L20" i="28"/>
  <c r="T20" i="28"/>
  <c r="AD20" i="21"/>
  <c r="L21" i="28"/>
  <c r="T21" i="28"/>
  <c r="AD21" i="21"/>
  <c r="L22" i="28"/>
  <c r="T22" i="28"/>
  <c r="AD22" i="21"/>
  <c r="L23" i="28"/>
  <c r="T23" i="28"/>
  <c r="AD23" i="21"/>
  <c r="L24" i="28"/>
  <c r="T24" i="28"/>
  <c r="AD24" i="21"/>
  <c r="L25" i="28"/>
  <c r="T25" i="28"/>
  <c r="AD25" i="21"/>
  <c r="L26" i="28"/>
  <c r="T26" i="28"/>
  <c r="AD26" i="21"/>
  <c r="L27" i="28"/>
  <c r="T27" i="28"/>
  <c r="AD27" i="21"/>
  <c r="L28" i="28"/>
  <c r="T28" i="28"/>
  <c r="AD28" i="21"/>
  <c r="L29" i="28"/>
  <c r="T29" i="28"/>
  <c r="AD29" i="21"/>
  <c r="L30" i="28"/>
  <c r="T30" i="28"/>
  <c r="AD30" i="21"/>
  <c r="L31" i="28"/>
  <c r="T31" i="28"/>
  <c r="AD31" i="21"/>
  <c r="L32" i="28"/>
  <c r="T32" i="28"/>
  <c r="AD32" i="21"/>
  <c r="L33" i="28"/>
  <c r="T33" i="28"/>
  <c r="AD33" i="21"/>
  <c r="L34" i="28"/>
  <c r="T34" i="28"/>
  <c r="AD34" i="21"/>
  <c r="L35" i="28"/>
  <c r="T35" i="28"/>
  <c r="AD35" i="21"/>
  <c r="L36" i="28"/>
  <c r="T36" i="28"/>
  <c r="AD36" i="21"/>
  <c r="L37" i="28"/>
  <c r="T37" i="28"/>
  <c r="AD37" i="21"/>
  <c r="L38" i="28"/>
  <c r="T38" i="28"/>
  <c r="AD38" i="21"/>
  <c r="L39" i="28"/>
  <c r="T39" i="28"/>
  <c r="AD39" i="21"/>
  <c r="L40" i="28"/>
  <c r="T40" i="28"/>
  <c r="AD40" i="21"/>
  <c r="L41" i="28"/>
  <c r="T41" i="28"/>
  <c r="AD41" i="21"/>
  <c r="L42" i="28"/>
  <c r="T42" i="28"/>
  <c r="AD42" i="21"/>
  <c r="L43" i="28"/>
  <c r="T43" i="28"/>
  <c r="AD43" i="21"/>
  <c r="L44" i="28"/>
  <c r="T44" i="28"/>
  <c r="AD44" i="21"/>
  <c r="L45" i="28"/>
  <c r="T45" i="28"/>
  <c r="AD45" i="21"/>
  <c r="L46" i="28"/>
  <c r="T46" i="28"/>
  <c r="AD46" i="21"/>
  <c r="L47" i="28"/>
  <c r="T47" i="28"/>
  <c r="AD47" i="21"/>
  <c r="L48" i="28"/>
  <c r="T48" i="28"/>
  <c r="AD48" i="21"/>
  <c r="L49" i="28"/>
  <c r="T49" i="28"/>
  <c r="AD49" i="21"/>
  <c r="L50" i="28"/>
  <c r="T50" i="28"/>
  <c r="AD50" i="21"/>
  <c r="L51" i="28"/>
  <c r="T51" i="28"/>
  <c r="AD51" i="21"/>
  <c r="L52" i="28"/>
  <c r="T52" i="28"/>
  <c r="AB53" i="28"/>
  <c r="AC52" i="21"/>
  <c r="K53" i="28"/>
  <c r="S53" i="28"/>
  <c r="AC2" i="21"/>
  <c r="K3" i="28"/>
  <c r="S3" i="28"/>
  <c r="AC3" i="21"/>
  <c r="K4" i="28"/>
  <c r="S4" i="28"/>
  <c r="AC4" i="21"/>
  <c r="K5" i="28"/>
  <c r="S5" i="28"/>
  <c r="AC5" i="21"/>
  <c r="K6" i="28"/>
  <c r="S6" i="28"/>
  <c r="AC6" i="21"/>
  <c r="K7" i="28"/>
  <c r="S7" i="28"/>
  <c r="AC7" i="21"/>
  <c r="K8" i="28"/>
  <c r="S8" i="28"/>
  <c r="AC8" i="21"/>
  <c r="K9" i="28"/>
  <c r="S9" i="28"/>
  <c r="AC9" i="21"/>
  <c r="K10" i="28"/>
  <c r="S10" i="28"/>
  <c r="AC10" i="21"/>
  <c r="K11" i="28"/>
  <c r="S11" i="28"/>
  <c r="AC11" i="21"/>
  <c r="K12" i="28"/>
  <c r="S12" i="28"/>
  <c r="AC12" i="21"/>
  <c r="K13" i="28"/>
  <c r="S13" i="28"/>
  <c r="AC13" i="21"/>
  <c r="K14" i="28"/>
  <c r="S14" i="28"/>
  <c r="AC14" i="21"/>
  <c r="K15" i="28"/>
  <c r="S15" i="28"/>
  <c r="AC15" i="21"/>
  <c r="K16" i="28"/>
  <c r="S16" i="28"/>
  <c r="AC16" i="21"/>
  <c r="K17" i="28"/>
  <c r="S17" i="28"/>
  <c r="AC17" i="21"/>
  <c r="K18" i="28"/>
  <c r="S18" i="28"/>
  <c r="AC18" i="21"/>
  <c r="K19" i="28"/>
  <c r="S19" i="28"/>
  <c r="AC19" i="21"/>
  <c r="K20" i="28"/>
  <c r="S20" i="28"/>
  <c r="AC20" i="21"/>
  <c r="K21" i="28"/>
  <c r="S21" i="28"/>
  <c r="AC21" i="21"/>
  <c r="K22" i="28"/>
  <c r="S22" i="28"/>
  <c r="AC22" i="21"/>
  <c r="K23" i="28"/>
  <c r="S23" i="28"/>
  <c r="AC23" i="21"/>
  <c r="K24" i="28"/>
  <c r="S24" i="28"/>
  <c r="AC24" i="21"/>
  <c r="K25" i="28"/>
  <c r="S25" i="28"/>
  <c r="AC25" i="21"/>
  <c r="K26" i="28"/>
  <c r="S26" i="28"/>
  <c r="AC26" i="21"/>
  <c r="K27" i="28"/>
  <c r="S27" i="28"/>
  <c r="AC27" i="21"/>
  <c r="K28" i="28"/>
  <c r="S28" i="28"/>
  <c r="AC28" i="21"/>
  <c r="K29" i="28"/>
  <c r="S29" i="28"/>
  <c r="AC29" i="21"/>
  <c r="K30" i="28"/>
  <c r="S30" i="28"/>
  <c r="AC30" i="21"/>
  <c r="K31" i="28"/>
  <c r="S31" i="28"/>
  <c r="AC31" i="21"/>
  <c r="K32" i="28"/>
  <c r="S32" i="28"/>
  <c r="AC32" i="21"/>
  <c r="K33" i="28"/>
  <c r="S33" i="28"/>
  <c r="AC33" i="21"/>
  <c r="K34" i="28"/>
  <c r="S34" i="28"/>
  <c r="AC34" i="21"/>
  <c r="K35" i="28"/>
  <c r="S35" i="28"/>
  <c r="AC35" i="21"/>
  <c r="K36" i="28"/>
  <c r="S36" i="28"/>
  <c r="AC36" i="21"/>
  <c r="K37" i="28"/>
  <c r="S37" i="28"/>
  <c r="AC37" i="21"/>
  <c r="K38" i="28"/>
  <c r="S38" i="28"/>
  <c r="AC38" i="21"/>
  <c r="K39" i="28"/>
  <c r="S39" i="28"/>
  <c r="AC39" i="21"/>
  <c r="K40" i="28"/>
  <c r="S40" i="28"/>
  <c r="AC40" i="21"/>
  <c r="K41" i="28"/>
  <c r="S41" i="28"/>
  <c r="AC41" i="21"/>
  <c r="K42" i="28"/>
  <c r="S42" i="28"/>
  <c r="AC42" i="21"/>
  <c r="K43" i="28"/>
  <c r="S43" i="28"/>
  <c r="AC43" i="21"/>
  <c r="K44" i="28"/>
  <c r="S44" i="28"/>
  <c r="AC44" i="21"/>
  <c r="K45" i="28"/>
  <c r="S45" i="28"/>
  <c r="AC45" i="21"/>
  <c r="K46" i="28"/>
  <c r="S46" i="28"/>
  <c r="AC46" i="21"/>
  <c r="K47" i="28"/>
  <c r="S47" i="28"/>
  <c r="AC47" i="21"/>
  <c r="K48" i="28"/>
  <c r="S48" i="28"/>
  <c r="AC48" i="21"/>
  <c r="K49" i="28"/>
  <c r="S49" i="28"/>
  <c r="AC49" i="21"/>
  <c r="K50" i="28"/>
  <c r="S50" i="28"/>
  <c r="AC50" i="21"/>
  <c r="K51" i="28"/>
  <c r="S51" i="28"/>
  <c r="AC51" i="21"/>
  <c r="K52" i="28"/>
  <c r="S52" i="28"/>
  <c r="AA53" i="28"/>
  <c r="AB52" i="21"/>
  <c r="J53" i="28"/>
  <c r="R53" i="28"/>
  <c r="AB2" i="21"/>
  <c r="J3" i="28"/>
  <c r="R3" i="28"/>
  <c r="AB3" i="21"/>
  <c r="J4" i="28"/>
  <c r="R4" i="28"/>
  <c r="AB4" i="21"/>
  <c r="J5" i="28"/>
  <c r="R5" i="28"/>
  <c r="AB5" i="21"/>
  <c r="J6" i="28"/>
  <c r="R6" i="28"/>
  <c r="AB6" i="21"/>
  <c r="J7" i="28"/>
  <c r="R7" i="28"/>
  <c r="AB7" i="21"/>
  <c r="J8" i="28"/>
  <c r="R8" i="28"/>
  <c r="AB8" i="21"/>
  <c r="J9" i="28"/>
  <c r="R9" i="28"/>
  <c r="AB9" i="21"/>
  <c r="J10" i="28"/>
  <c r="R10" i="28"/>
  <c r="AB10" i="21"/>
  <c r="J11" i="28"/>
  <c r="R11" i="28"/>
  <c r="AB11" i="21"/>
  <c r="J12" i="28"/>
  <c r="R12" i="28"/>
  <c r="AB12" i="21"/>
  <c r="J13" i="28"/>
  <c r="R13" i="28"/>
  <c r="AB13" i="21"/>
  <c r="J14" i="28"/>
  <c r="R14" i="28"/>
  <c r="AB14" i="21"/>
  <c r="J15" i="28"/>
  <c r="R15" i="28"/>
  <c r="AB15" i="21"/>
  <c r="J16" i="28"/>
  <c r="R16" i="28"/>
  <c r="AB16" i="21"/>
  <c r="J17" i="28"/>
  <c r="R17" i="28"/>
  <c r="AB17" i="21"/>
  <c r="J18" i="28"/>
  <c r="R18" i="28"/>
  <c r="AB18" i="21"/>
  <c r="J19" i="28"/>
  <c r="R19" i="28"/>
  <c r="AB19" i="21"/>
  <c r="J20" i="28"/>
  <c r="R20" i="28"/>
  <c r="AB20" i="21"/>
  <c r="J21" i="28"/>
  <c r="R21" i="28"/>
  <c r="AB21" i="21"/>
  <c r="J22" i="28"/>
  <c r="R22" i="28"/>
  <c r="AB22" i="21"/>
  <c r="J23" i="28"/>
  <c r="R23" i="28"/>
  <c r="AB23" i="21"/>
  <c r="J24" i="28"/>
  <c r="R24" i="28"/>
  <c r="AB24" i="21"/>
  <c r="J25" i="28"/>
  <c r="R25" i="28"/>
  <c r="AB25" i="21"/>
  <c r="J26" i="28"/>
  <c r="R26" i="28"/>
  <c r="AB26" i="21"/>
  <c r="J27" i="28"/>
  <c r="R27" i="28"/>
  <c r="AB27" i="21"/>
  <c r="J28" i="28"/>
  <c r="R28" i="28"/>
  <c r="AB28" i="21"/>
  <c r="J29" i="28"/>
  <c r="R29" i="28"/>
  <c r="AB29" i="21"/>
  <c r="J30" i="28"/>
  <c r="R30" i="28"/>
  <c r="AB30" i="21"/>
  <c r="J31" i="28"/>
  <c r="R31" i="28"/>
  <c r="AB31" i="21"/>
  <c r="J32" i="28"/>
  <c r="R32" i="28"/>
  <c r="AB32" i="21"/>
  <c r="J33" i="28"/>
  <c r="R33" i="28"/>
  <c r="AB33" i="21"/>
  <c r="J34" i="28"/>
  <c r="R34" i="28"/>
  <c r="AB34" i="21"/>
  <c r="J35" i="28"/>
  <c r="R35" i="28"/>
  <c r="AB35" i="21"/>
  <c r="J36" i="28"/>
  <c r="R36" i="28"/>
  <c r="AB36" i="21"/>
  <c r="J37" i="28"/>
  <c r="R37" i="28"/>
  <c r="AB37" i="21"/>
  <c r="J38" i="28"/>
  <c r="R38" i="28"/>
  <c r="AB38" i="21"/>
  <c r="J39" i="28"/>
  <c r="R39" i="28"/>
  <c r="AB39" i="21"/>
  <c r="J40" i="28"/>
  <c r="R40" i="28"/>
  <c r="AB40" i="21"/>
  <c r="J41" i="28"/>
  <c r="R41" i="28"/>
  <c r="AB41" i="21"/>
  <c r="J42" i="28"/>
  <c r="R42" i="28"/>
  <c r="AB42" i="21"/>
  <c r="J43" i="28"/>
  <c r="R43" i="28"/>
  <c r="AB43" i="21"/>
  <c r="J44" i="28"/>
  <c r="R44" i="28"/>
  <c r="AB44" i="21"/>
  <c r="J45" i="28"/>
  <c r="R45" i="28"/>
  <c r="AB45" i="21"/>
  <c r="J46" i="28"/>
  <c r="R46" i="28"/>
  <c r="AB46" i="21"/>
  <c r="J47" i="28"/>
  <c r="R47" i="28"/>
  <c r="AB47" i="21"/>
  <c r="J48" i="28"/>
  <c r="R48" i="28"/>
  <c r="AB48" i="21"/>
  <c r="J49" i="28"/>
  <c r="R49" i="28"/>
  <c r="AB49" i="21"/>
  <c r="J50" i="28"/>
  <c r="R50" i="28"/>
  <c r="AB50" i="21"/>
  <c r="J51" i="28"/>
  <c r="R51" i="28"/>
  <c r="AB51" i="21"/>
  <c r="J52" i="28"/>
  <c r="R52" i="28"/>
  <c r="Z53" i="28"/>
  <c r="A53" i="28"/>
  <c r="Y53" i="28"/>
  <c r="Q53" i="28"/>
  <c r="I53" i="28"/>
  <c r="AE52" i="28"/>
  <c r="AD52" i="28"/>
  <c r="AC52" i="28"/>
  <c r="AB52" i="28"/>
  <c r="AA52" i="28"/>
  <c r="Z52" i="28"/>
  <c r="A52" i="28"/>
  <c r="Y52" i="28"/>
  <c r="Q52" i="28"/>
  <c r="I52" i="28"/>
  <c r="AE51" i="28"/>
  <c r="AD51" i="28"/>
  <c r="AC51" i="28"/>
  <c r="AB51" i="28"/>
  <c r="AA51" i="28"/>
  <c r="Z51" i="28"/>
  <c r="A51" i="28"/>
  <c r="Y51" i="28"/>
  <c r="Q51" i="28"/>
  <c r="I51" i="28"/>
  <c r="AE50" i="28"/>
  <c r="AD50" i="28"/>
  <c r="AC50" i="28"/>
  <c r="AB50" i="28"/>
  <c r="AA50" i="28"/>
  <c r="Z50" i="28"/>
  <c r="AA49" i="25"/>
  <c r="A50" i="28"/>
  <c r="Y50" i="28"/>
  <c r="Q50" i="28"/>
  <c r="I50" i="28"/>
  <c r="AE49" i="28"/>
  <c r="AD49" i="28"/>
  <c r="AC49" i="28"/>
  <c r="AB49" i="28"/>
  <c r="AA49" i="28"/>
  <c r="Z49" i="28"/>
  <c r="A49" i="28"/>
  <c r="Y49" i="28"/>
  <c r="Q49" i="28"/>
  <c r="I49" i="28"/>
  <c r="AE48" i="28"/>
  <c r="AD48" i="28"/>
  <c r="AC48" i="28"/>
  <c r="AB48" i="28"/>
  <c r="AA48" i="28"/>
  <c r="Z48" i="28"/>
  <c r="A48" i="28"/>
  <c r="Y48" i="28"/>
  <c r="Q48" i="28"/>
  <c r="I48" i="28"/>
  <c r="AE47" i="28"/>
  <c r="AD47" i="28"/>
  <c r="AC47" i="28"/>
  <c r="AB47" i="28"/>
  <c r="AA47" i="28"/>
  <c r="Z47" i="28"/>
  <c r="A47" i="28"/>
  <c r="Y47" i="28"/>
  <c r="Q47" i="28"/>
  <c r="I47" i="28"/>
  <c r="AE46" i="28"/>
  <c r="AD46" i="28"/>
  <c r="AC46" i="28"/>
  <c r="AB46" i="28"/>
  <c r="AA46" i="28"/>
  <c r="Z46" i="28"/>
  <c r="A46" i="28"/>
  <c r="Y46" i="28"/>
  <c r="Q46" i="28"/>
  <c r="I46" i="28"/>
  <c r="AE45" i="28"/>
  <c r="AD45" i="28"/>
  <c r="AC45" i="28"/>
  <c r="AB45" i="28"/>
  <c r="AA45" i="28"/>
  <c r="Z45" i="28"/>
  <c r="A45" i="28"/>
  <c r="Y45" i="28"/>
  <c r="Q45" i="28"/>
  <c r="I45" i="28"/>
  <c r="AE44" i="28"/>
  <c r="AD44" i="28"/>
  <c r="AC44" i="28"/>
  <c r="AB44" i="28"/>
  <c r="AA44" i="28"/>
  <c r="Z44" i="28"/>
  <c r="A44" i="28"/>
  <c r="Y44" i="28"/>
  <c r="Q44" i="28"/>
  <c r="I44" i="28"/>
  <c r="AE43" i="28"/>
  <c r="AD43" i="28"/>
  <c r="AC43" i="28"/>
  <c r="AB43" i="28"/>
  <c r="AA43" i="28"/>
  <c r="Z43" i="28"/>
  <c r="A43" i="28"/>
  <c r="Y43" i="28"/>
  <c r="Q43" i="28"/>
  <c r="I43" i="28"/>
  <c r="AE42" i="28"/>
  <c r="AD42" i="28"/>
  <c r="AC42" i="28"/>
  <c r="AB42" i="28"/>
  <c r="AA42" i="28"/>
  <c r="Z42" i="28"/>
  <c r="A42" i="28"/>
  <c r="Y42" i="28"/>
  <c r="Q42" i="28"/>
  <c r="I42" i="28"/>
  <c r="AE41" i="28"/>
  <c r="AD41" i="28"/>
  <c r="AC41" i="28"/>
  <c r="AB41" i="28"/>
  <c r="AA41" i="28"/>
  <c r="Z41" i="28"/>
  <c r="A41" i="28"/>
  <c r="Y41" i="28"/>
  <c r="Q41" i="28"/>
  <c r="I41" i="28"/>
  <c r="AE40" i="28"/>
  <c r="AD40" i="28"/>
  <c r="AC40" i="28"/>
  <c r="AB40" i="28"/>
  <c r="AA40" i="28"/>
  <c r="Z40" i="28"/>
  <c r="A40" i="28"/>
  <c r="Y40" i="28"/>
  <c r="Q40" i="28"/>
  <c r="I40" i="28"/>
  <c r="AE39" i="28"/>
  <c r="AD39" i="28"/>
  <c r="AC39" i="28"/>
  <c r="AB39" i="28"/>
  <c r="AA39" i="28"/>
  <c r="Z39" i="28"/>
  <c r="A39" i="28"/>
  <c r="Y39" i="28"/>
  <c r="Q39" i="28"/>
  <c r="I39" i="28"/>
  <c r="AE38" i="28"/>
  <c r="AD38" i="28"/>
  <c r="AC38" i="28"/>
  <c r="AB38" i="28"/>
  <c r="AA38" i="28"/>
  <c r="Z38" i="28"/>
  <c r="A38" i="28"/>
  <c r="Y38" i="28"/>
  <c r="Q38" i="28"/>
  <c r="I38" i="28"/>
  <c r="AE37" i="28"/>
  <c r="AD37" i="28"/>
  <c r="AC37" i="28"/>
  <c r="AB37" i="28"/>
  <c r="AA37" i="28"/>
  <c r="Z37" i="28"/>
  <c r="A37" i="28"/>
  <c r="Y37" i="28"/>
  <c r="Q37" i="28"/>
  <c r="I37" i="28"/>
  <c r="AE36" i="28"/>
  <c r="AD36" i="28"/>
  <c r="AC36" i="28"/>
  <c r="AB36" i="28"/>
  <c r="AA36" i="28"/>
  <c r="Z36" i="28"/>
  <c r="A36" i="28"/>
  <c r="Y36" i="28"/>
  <c r="Q36" i="28"/>
  <c r="I36" i="28"/>
  <c r="AE35" i="28"/>
  <c r="AD35" i="28"/>
  <c r="AC35" i="28"/>
  <c r="AB35" i="28"/>
  <c r="AA35" i="28"/>
  <c r="Z35" i="28"/>
  <c r="A35" i="28"/>
  <c r="Y35" i="28"/>
  <c r="Q35" i="28"/>
  <c r="I35" i="28"/>
  <c r="AE34" i="28"/>
  <c r="AD34" i="28"/>
  <c r="AC34" i="28"/>
  <c r="AB34" i="28"/>
  <c r="AA34" i="28"/>
  <c r="Z34" i="28"/>
  <c r="A34" i="28"/>
  <c r="Y34" i="28"/>
  <c r="Q34" i="28"/>
  <c r="I34" i="28"/>
  <c r="AE33" i="28"/>
  <c r="AD33" i="28"/>
  <c r="AC33" i="28"/>
  <c r="AB33" i="28"/>
  <c r="AA33" i="28"/>
  <c r="Z33" i="28"/>
  <c r="A33" i="28"/>
  <c r="Y33" i="28"/>
  <c r="Q33" i="28"/>
  <c r="I33" i="28"/>
  <c r="AE32" i="28"/>
  <c r="AD32" i="28"/>
  <c r="AC32" i="28"/>
  <c r="AB32" i="28"/>
  <c r="AA32" i="28"/>
  <c r="Z32" i="28"/>
  <c r="A32" i="28"/>
  <c r="Y32" i="28"/>
  <c r="Q32" i="28"/>
  <c r="I32" i="28"/>
  <c r="AE31" i="28"/>
  <c r="AD31" i="28"/>
  <c r="AC31" i="28"/>
  <c r="AB31" i="28"/>
  <c r="AA31" i="28"/>
  <c r="Z31" i="28"/>
  <c r="A31" i="28"/>
  <c r="Y31" i="28"/>
  <c r="Q31" i="28"/>
  <c r="I31" i="28"/>
  <c r="AE30" i="28"/>
  <c r="AD30" i="28"/>
  <c r="AC30" i="28"/>
  <c r="AB30" i="28"/>
  <c r="AA30" i="28"/>
  <c r="Z30" i="28"/>
  <c r="AA29" i="25"/>
  <c r="A30" i="28"/>
  <c r="Y30" i="28"/>
  <c r="Q30" i="28"/>
  <c r="I30" i="28"/>
  <c r="AE29" i="28"/>
  <c r="AD29" i="28"/>
  <c r="AC29" i="28"/>
  <c r="AB29" i="28"/>
  <c r="AA29" i="28"/>
  <c r="Z29" i="28"/>
  <c r="A29" i="28"/>
  <c r="Y29" i="28"/>
  <c r="Q29" i="28"/>
  <c r="I29" i="28"/>
  <c r="AE28" i="28"/>
  <c r="AD28" i="28"/>
  <c r="AC28" i="28"/>
  <c r="AB28" i="28"/>
  <c r="AA28" i="28"/>
  <c r="Z28" i="28"/>
  <c r="A28" i="28"/>
  <c r="Y28" i="28"/>
  <c r="Q28" i="28"/>
  <c r="I28" i="28"/>
  <c r="AE27" i="28"/>
  <c r="AD27" i="28"/>
  <c r="AC27" i="28"/>
  <c r="AB27" i="28"/>
  <c r="AA27" i="28"/>
  <c r="Z27" i="28"/>
  <c r="A27" i="28"/>
  <c r="Y27" i="28"/>
  <c r="Q27" i="28"/>
  <c r="I27" i="28"/>
  <c r="AE26" i="28"/>
  <c r="AD26" i="28"/>
  <c r="AC26" i="28"/>
  <c r="AB26" i="28"/>
  <c r="AA26" i="28"/>
  <c r="Z26" i="28"/>
  <c r="A26" i="28"/>
  <c r="Y26" i="28"/>
  <c r="Q26" i="28"/>
  <c r="I26" i="28"/>
  <c r="AE25" i="28"/>
  <c r="AD25" i="28"/>
  <c r="AC25" i="28"/>
  <c r="AB25" i="28"/>
  <c r="AA25" i="28"/>
  <c r="Z25" i="28"/>
  <c r="A25" i="28"/>
  <c r="Y25" i="28"/>
  <c r="Q25" i="28"/>
  <c r="I25" i="28"/>
  <c r="AE24" i="28"/>
  <c r="AD24" i="28"/>
  <c r="AC24" i="28"/>
  <c r="AB24" i="28"/>
  <c r="AA24" i="28"/>
  <c r="Z24" i="28"/>
  <c r="A24" i="28"/>
  <c r="Y24" i="28"/>
  <c r="Q24" i="28"/>
  <c r="I24" i="28"/>
  <c r="AE23" i="28"/>
  <c r="AD23" i="28"/>
  <c r="AC23" i="28"/>
  <c r="AB23" i="28"/>
  <c r="AA23" i="28"/>
  <c r="Z23" i="28"/>
  <c r="A23" i="28"/>
  <c r="Y23" i="28"/>
  <c r="Q23" i="28"/>
  <c r="I23" i="28"/>
  <c r="AE22" i="28"/>
  <c r="AD22" i="28"/>
  <c r="AC22" i="28"/>
  <c r="AB22" i="28"/>
  <c r="AA22" i="28"/>
  <c r="Z22" i="28"/>
  <c r="AA21" i="25"/>
  <c r="A22" i="28"/>
  <c r="Y22" i="28"/>
  <c r="Q22" i="28"/>
  <c r="I22" i="28"/>
  <c r="AE21" i="28"/>
  <c r="AD21" i="28"/>
  <c r="AC21" i="28"/>
  <c r="AB21" i="28"/>
  <c r="AA21" i="28"/>
  <c r="Z21" i="28"/>
  <c r="A21" i="28"/>
  <c r="Y21" i="28"/>
  <c r="Q21" i="28"/>
  <c r="I21" i="28"/>
  <c r="AE20" i="28"/>
  <c r="AD20" i="28"/>
  <c r="AC20" i="28"/>
  <c r="AB20" i="28"/>
  <c r="AA20" i="28"/>
  <c r="Z20" i="28"/>
  <c r="A20" i="28"/>
  <c r="Y20" i="28"/>
  <c r="Q20" i="28"/>
  <c r="I20" i="28"/>
  <c r="AE19" i="28"/>
  <c r="AD19" i="28"/>
  <c r="AC19" i="28"/>
  <c r="AB19" i="28"/>
  <c r="AA19" i="28"/>
  <c r="Z19" i="28"/>
  <c r="A19" i="28"/>
  <c r="Y19" i="28"/>
  <c r="Q19" i="28"/>
  <c r="I19" i="28"/>
  <c r="AE18" i="28"/>
  <c r="AD18" i="28"/>
  <c r="AC18" i="28"/>
  <c r="AB18" i="28"/>
  <c r="AA18" i="28"/>
  <c r="Z18" i="28"/>
  <c r="A18" i="28"/>
  <c r="Y18" i="28"/>
  <c r="Q18" i="28"/>
  <c r="I18" i="28"/>
  <c r="AE17" i="28"/>
  <c r="AD17" i="28"/>
  <c r="AC17" i="28"/>
  <c r="AB17" i="28"/>
  <c r="AA17" i="28"/>
  <c r="Z17" i="28"/>
  <c r="AA16" i="25"/>
  <c r="A17" i="28"/>
  <c r="Y17" i="28"/>
  <c r="Q17" i="28"/>
  <c r="I17" i="28"/>
  <c r="AE16" i="28"/>
  <c r="AD16" i="28"/>
  <c r="AC16" i="28"/>
  <c r="AB16" i="28"/>
  <c r="AA16" i="28"/>
  <c r="Z16" i="28"/>
  <c r="A16" i="28"/>
  <c r="Y16" i="28"/>
  <c r="Q16" i="28"/>
  <c r="I16" i="28"/>
  <c r="AE15" i="28"/>
  <c r="AD15" i="28"/>
  <c r="AC15" i="28"/>
  <c r="AB15" i="28"/>
  <c r="AA15" i="28"/>
  <c r="Z15" i="28"/>
  <c r="A15" i="28"/>
  <c r="Y15" i="28"/>
  <c r="Q15" i="28"/>
  <c r="I15" i="28"/>
  <c r="AE14" i="28"/>
  <c r="AD14" i="28"/>
  <c r="AC14" i="28"/>
  <c r="AB14" i="28"/>
  <c r="AA14" i="28"/>
  <c r="Z14" i="28"/>
  <c r="A14" i="28"/>
  <c r="Y14" i="28"/>
  <c r="Q14" i="28"/>
  <c r="I14" i="28"/>
  <c r="AE13" i="28"/>
  <c r="AD13" i="28"/>
  <c r="AC13" i="28"/>
  <c r="AB13" i="28"/>
  <c r="AA13" i="28"/>
  <c r="Z13" i="28"/>
  <c r="A13" i="28"/>
  <c r="Y13" i="28"/>
  <c r="Q13" i="28"/>
  <c r="I13" i="28"/>
  <c r="AE12" i="28"/>
  <c r="AD12" i="28"/>
  <c r="AC12" i="28"/>
  <c r="AB12" i="28"/>
  <c r="AA12" i="28"/>
  <c r="Z12" i="28"/>
  <c r="A12" i="28"/>
  <c r="Y12" i="28"/>
  <c r="Q12" i="28"/>
  <c r="I12" i="28"/>
  <c r="AE11" i="28"/>
  <c r="AD11" i="28"/>
  <c r="AC11" i="28"/>
  <c r="AB11" i="28"/>
  <c r="AA11" i="28"/>
  <c r="Z11" i="28"/>
  <c r="A11" i="28"/>
  <c r="Y11" i="28"/>
  <c r="Q11" i="28"/>
  <c r="I11" i="28"/>
  <c r="AE10" i="28"/>
  <c r="AD10" i="28"/>
  <c r="AC10" i="28"/>
  <c r="AB10" i="28"/>
  <c r="AA10" i="28"/>
  <c r="Z10" i="28"/>
  <c r="A10" i="28"/>
  <c r="Y10" i="28"/>
  <c r="Q10" i="28"/>
  <c r="I10" i="28"/>
  <c r="AE9" i="28"/>
  <c r="AD9" i="28"/>
  <c r="AC9" i="28"/>
  <c r="AB9" i="28"/>
  <c r="AA9" i="28"/>
  <c r="Z9" i="28"/>
  <c r="A9" i="28"/>
  <c r="Y9" i="28"/>
  <c r="Q9" i="28"/>
  <c r="I9" i="28"/>
  <c r="AE8" i="28"/>
  <c r="AD8" i="28"/>
  <c r="AC8" i="28"/>
  <c r="AB8" i="28"/>
  <c r="AA8" i="28"/>
  <c r="Z8" i="28"/>
  <c r="A8" i="28"/>
  <c r="Y8" i="28"/>
  <c r="Q8" i="28"/>
  <c r="I8" i="28"/>
  <c r="AE7" i="28"/>
  <c r="AD7" i="28"/>
  <c r="AC7" i="28"/>
  <c r="AB7" i="28"/>
  <c r="AA7" i="28"/>
  <c r="Z7" i="28"/>
  <c r="A7" i="28"/>
  <c r="Y7" i="28"/>
  <c r="Q7" i="28"/>
  <c r="I7" i="28"/>
  <c r="AE6" i="28"/>
  <c r="AD6" i="28"/>
  <c r="AC6" i="28"/>
  <c r="AB6" i="28"/>
  <c r="AA6" i="28"/>
  <c r="Z6" i="28"/>
  <c r="A6" i="28"/>
  <c r="Y6" i="28"/>
  <c r="Q6" i="28"/>
  <c r="I6" i="28"/>
  <c r="AE5" i="28"/>
  <c r="AD5" i="28"/>
  <c r="AC5" i="28"/>
  <c r="AB5" i="28"/>
  <c r="AA5" i="28"/>
  <c r="Z5" i="28"/>
  <c r="A5" i="28"/>
  <c r="Y5" i="28"/>
  <c r="Q5" i="28"/>
  <c r="I5" i="28"/>
  <c r="AE4" i="28"/>
  <c r="AD4" i="28"/>
  <c r="AC4" i="28"/>
  <c r="AB4" i="28"/>
  <c r="AA4" i="28"/>
  <c r="Z4" i="28"/>
  <c r="A4" i="28"/>
  <c r="Y4" i="28"/>
  <c r="Q4" i="28"/>
  <c r="I4" i="28"/>
  <c r="AE3" i="28"/>
  <c r="AD3" i="28"/>
  <c r="AC3" i="28"/>
  <c r="AB3" i="28"/>
  <c r="AA3" i="28"/>
  <c r="Z3" i="28"/>
  <c r="A3" i="28"/>
  <c r="Y3" i="28"/>
  <c r="Q3" i="28"/>
  <c r="I3" i="28"/>
  <c r="AE2" i="28"/>
  <c r="AD2" i="28"/>
  <c r="AC2" i="28"/>
  <c r="AB2" i="28"/>
  <c r="AA2" i="28"/>
  <c r="Z2" i="28"/>
  <c r="W2" i="28"/>
  <c r="V2" i="28"/>
  <c r="U2" i="28"/>
  <c r="T2" i="28"/>
  <c r="S2" i="28"/>
  <c r="R2" i="28"/>
  <c r="O2" i="28"/>
  <c r="N2" i="28"/>
  <c r="M2" i="28"/>
  <c r="L2" i="28"/>
  <c r="K2" i="28"/>
  <c r="J2" i="28"/>
  <c r="A2" i="28"/>
  <c r="O53" i="27"/>
  <c r="N53" i="27"/>
  <c r="M53" i="27"/>
  <c r="L53" i="27"/>
  <c r="K53" i="27"/>
  <c r="J53" i="27"/>
  <c r="O52" i="27"/>
  <c r="N52" i="27"/>
  <c r="M52" i="27"/>
  <c r="L52" i="27"/>
  <c r="K52" i="27"/>
  <c r="J52" i="27"/>
  <c r="O51" i="27"/>
  <c r="N51" i="27"/>
  <c r="M51" i="27"/>
  <c r="L51" i="27"/>
  <c r="K51" i="27"/>
  <c r="J51" i="27"/>
  <c r="O50" i="27"/>
  <c r="N50" i="27"/>
  <c r="M50" i="27"/>
  <c r="L50" i="27"/>
  <c r="K50" i="27"/>
  <c r="J50" i="27"/>
  <c r="O49" i="27"/>
  <c r="N49" i="27"/>
  <c r="M49" i="27"/>
  <c r="L49" i="27"/>
  <c r="K49" i="27"/>
  <c r="J49" i="27"/>
  <c r="O48" i="27"/>
  <c r="N48" i="27"/>
  <c r="M48" i="27"/>
  <c r="L48" i="27"/>
  <c r="K48" i="27"/>
  <c r="J48" i="27"/>
  <c r="O47" i="27"/>
  <c r="N47" i="27"/>
  <c r="M47" i="27"/>
  <c r="L47" i="27"/>
  <c r="K47" i="27"/>
  <c r="J47" i="27"/>
  <c r="O46" i="27"/>
  <c r="N46" i="27"/>
  <c r="M46" i="27"/>
  <c r="L46" i="27"/>
  <c r="K46" i="27"/>
  <c r="J46" i="27"/>
  <c r="O45" i="27"/>
  <c r="N45" i="27"/>
  <c r="M45" i="27"/>
  <c r="L45" i="27"/>
  <c r="K45" i="27"/>
  <c r="J45" i="27"/>
  <c r="O44" i="27"/>
  <c r="N44" i="27"/>
  <c r="M44" i="27"/>
  <c r="L44" i="27"/>
  <c r="K44" i="27"/>
  <c r="J44" i="27"/>
  <c r="O43" i="27"/>
  <c r="N43" i="27"/>
  <c r="M43" i="27"/>
  <c r="L43" i="27"/>
  <c r="K43" i="27"/>
  <c r="J43" i="27"/>
  <c r="O42" i="27"/>
  <c r="N42" i="27"/>
  <c r="M42" i="27"/>
  <c r="L42" i="27"/>
  <c r="K42" i="27"/>
  <c r="J42" i="27"/>
  <c r="O41" i="27"/>
  <c r="N41" i="27"/>
  <c r="M41" i="27"/>
  <c r="L41" i="27"/>
  <c r="K41" i="27"/>
  <c r="J41" i="27"/>
  <c r="O40" i="27"/>
  <c r="N40" i="27"/>
  <c r="M40" i="27"/>
  <c r="L40" i="27"/>
  <c r="K40" i="27"/>
  <c r="J40" i="27"/>
  <c r="O39" i="27"/>
  <c r="N39" i="27"/>
  <c r="M39" i="27"/>
  <c r="L39" i="27"/>
  <c r="K39" i="27"/>
  <c r="J39" i="27"/>
  <c r="O38" i="27"/>
  <c r="N38" i="27"/>
  <c r="M38" i="27"/>
  <c r="L38" i="27"/>
  <c r="K38" i="27"/>
  <c r="J38" i="27"/>
  <c r="O37" i="27"/>
  <c r="N37" i="27"/>
  <c r="M37" i="27"/>
  <c r="L37" i="27"/>
  <c r="K37" i="27"/>
  <c r="J37" i="27"/>
  <c r="O36" i="27"/>
  <c r="N36" i="27"/>
  <c r="M36" i="27"/>
  <c r="L36" i="27"/>
  <c r="K36" i="27"/>
  <c r="J36" i="27"/>
  <c r="O35" i="27"/>
  <c r="N35" i="27"/>
  <c r="M35" i="27"/>
  <c r="L35" i="27"/>
  <c r="K35" i="27"/>
  <c r="J35" i="27"/>
  <c r="O34" i="27"/>
  <c r="N34" i="27"/>
  <c r="M34" i="27"/>
  <c r="L34" i="27"/>
  <c r="K34" i="27"/>
  <c r="J34" i="27"/>
  <c r="O33" i="27"/>
  <c r="N33" i="27"/>
  <c r="M33" i="27"/>
  <c r="L33" i="27"/>
  <c r="K33" i="27"/>
  <c r="J33" i="27"/>
  <c r="O32" i="27"/>
  <c r="N32" i="27"/>
  <c r="M32" i="27"/>
  <c r="L32" i="27"/>
  <c r="K32" i="27"/>
  <c r="J32" i="27"/>
  <c r="O31" i="27"/>
  <c r="N31" i="27"/>
  <c r="M31" i="27"/>
  <c r="L31" i="27"/>
  <c r="K31" i="27"/>
  <c r="J31" i="27"/>
  <c r="O30" i="27"/>
  <c r="N30" i="27"/>
  <c r="M30" i="27"/>
  <c r="L30" i="27"/>
  <c r="K30" i="27"/>
  <c r="J30" i="27"/>
  <c r="O29" i="27"/>
  <c r="N29" i="27"/>
  <c r="M29" i="27"/>
  <c r="L29" i="27"/>
  <c r="K29" i="27"/>
  <c r="J29" i="27"/>
  <c r="O28" i="27"/>
  <c r="N28" i="27"/>
  <c r="M28" i="27"/>
  <c r="L28" i="27"/>
  <c r="K28" i="27"/>
  <c r="J28" i="27"/>
  <c r="O27" i="27"/>
  <c r="N27" i="27"/>
  <c r="M27" i="27"/>
  <c r="L27" i="27"/>
  <c r="K27" i="27"/>
  <c r="J27" i="27"/>
  <c r="O26" i="27"/>
  <c r="N26" i="27"/>
  <c r="M26" i="27"/>
  <c r="L26" i="27"/>
  <c r="K26" i="27"/>
  <c r="J26" i="27"/>
  <c r="O25" i="27"/>
  <c r="N25" i="27"/>
  <c r="M25" i="27"/>
  <c r="L25" i="27"/>
  <c r="K25" i="27"/>
  <c r="J25" i="27"/>
  <c r="O24" i="27"/>
  <c r="N24" i="27"/>
  <c r="M24" i="27"/>
  <c r="L24" i="27"/>
  <c r="K24" i="27"/>
  <c r="J24" i="27"/>
  <c r="O23" i="27"/>
  <c r="N23" i="27"/>
  <c r="M23" i="27"/>
  <c r="L23" i="27"/>
  <c r="K23" i="27"/>
  <c r="J23" i="27"/>
  <c r="O22" i="27"/>
  <c r="N22" i="27"/>
  <c r="M22" i="27"/>
  <c r="L22" i="27"/>
  <c r="K22" i="27"/>
  <c r="J22" i="27"/>
  <c r="O21" i="27"/>
  <c r="N21" i="27"/>
  <c r="M21" i="27"/>
  <c r="L21" i="27"/>
  <c r="K21" i="27"/>
  <c r="J21" i="27"/>
  <c r="O20" i="27"/>
  <c r="N20" i="27"/>
  <c r="M20" i="27"/>
  <c r="L20" i="27"/>
  <c r="K20" i="27"/>
  <c r="J20" i="27"/>
  <c r="O19" i="27"/>
  <c r="N19" i="27"/>
  <c r="M19" i="27"/>
  <c r="L19" i="27"/>
  <c r="K19" i="27"/>
  <c r="J19" i="27"/>
  <c r="O18" i="27"/>
  <c r="N18" i="27"/>
  <c r="M18" i="27"/>
  <c r="L18" i="27"/>
  <c r="K18" i="27"/>
  <c r="J18" i="27"/>
  <c r="O17" i="27"/>
  <c r="N17" i="27"/>
  <c r="M17" i="27"/>
  <c r="L17" i="27"/>
  <c r="K17" i="27"/>
  <c r="J17" i="27"/>
  <c r="O16" i="27"/>
  <c r="N16" i="27"/>
  <c r="M16" i="27"/>
  <c r="L16" i="27"/>
  <c r="K16" i="27"/>
  <c r="J16" i="27"/>
  <c r="O15" i="27"/>
  <c r="N15" i="27"/>
  <c r="M15" i="27"/>
  <c r="L15" i="27"/>
  <c r="K15" i="27"/>
  <c r="J15" i="27"/>
  <c r="O14" i="27"/>
  <c r="N14" i="27"/>
  <c r="M14" i="27"/>
  <c r="L14" i="27"/>
  <c r="K14" i="27"/>
  <c r="J14" i="27"/>
  <c r="O13" i="27"/>
  <c r="N13" i="27"/>
  <c r="M13" i="27"/>
  <c r="L13" i="27"/>
  <c r="K13" i="27"/>
  <c r="J13" i="27"/>
  <c r="O12" i="27"/>
  <c r="N12" i="27"/>
  <c r="M12" i="27"/>
  <c r="L12" i="27"/>
  <c r="K12" i="27"/>
  <c r="J12" i="27"/>
  <c r="O11" i="27"/>
  <c r="N11" i="27"/>
  <c r="M11" i="27"/>
  <c r="L11" i="27"/>
  <c r="K11" i="27"/>
  <c r="J11" i="27"/>
  <c r="O10" i="27"/>
  <c r="N10" i="27"/>
  <c r="M10" i="27"/>
  <c r="L10" i="27"/>
  <c r="K10" i="27"/>
  <c r="J10" i="27"/>
  <c r="O9" i="27"/>
  <c r="N9" i="27"/>
  <c r="M9" i="27"/>
  <c r="L9" i="27"/>
  <c r="K9" i="27"/>
  <c r="J9" i="27"/>
  <c r="O8" i="27"/>
  <c r="N8" i="27"/>
  <c r="M8" i="27"/>
  <c r="L8" i="27"/>
  <c r="K8" i="27"/>
  <c r="J8" i="27"/>
  <c r="O7" i="27"/>
  <c r="N7" i="27"/>
  <c r="M7" i="27"/>
  <c r="L7" i="27"/>
  <c r="K7" i="27"/>
  <c r="J7" i="27"/>
  <c r="O6" i="27"/>
  <c r="N6" i="27"/>
  <c r="M6" i="27"/>
  <c r="L6" i="27"/>
  <c r="K6" i="27"/>
  <c r="J6" i="27"/>
  <c r="O5" i="27"/>
  <c r="N5" i="27"/>
  <c r="M5" i="27"/>
  <c r="L5" i="27"/>
  <c r="K5" i="27"/>
  <c r="J5" i="27"/>
  <c r="O4" i="27"/>
  <c r="N4" i="27"/>
  <c r="M4" i="27"/>
  <c r="L4" i="27"/>
  <c r="K4" i="27"/>
  <c r="J4" i="27"/>
  <c r="O3" i="27"/>
  <c r="N3" i="27"/>
  <c r="M3" i="27"/>
  <c r="L3" i="27"/>
  <c r="K3" i="27"/>
  <c r="J3" i="27"/>
  <c r="O2" i="27"/>
  <c r="N2" i="27"/>
  <c r="M2" i="27"/>
  <c r="L2" i="27"/>
  <c r="K2" i="27"/>
  <c r="J2" i="27"/>
  <c r="B5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G53" i="27"/>
  <c r="W53" i="27"/>
  <c r="G3" i="27"/>
  <c r="W3" i="27"/>
  <c r="G4" i="27"/>
  <c r="W4" i="27"/>
  <c r="G5" i="27"/>
  <c r="W5" i="27"/>
  <c r="G6" i="27"/>
  <c r="W6" i="27"/>
  <c r="G7" i="27"/>
  <c r="W7" i="27"/>
  <c r="G8" i="27"/>
  <c r="W8" i="27"/>
  <c r="G9" i="27"/>
  <c r="W9" i="27"/>
  <c r="G10" i="27"/>
  <c r="W10" i="27"/>
  <c r="G11" i="27"/>
  <c r="W11" i="27"/>
  <c r="G12" i="27"/>
  <c r="W12" i="27"/>
  <c r="G13" i="27"/>
  <c r="W13" i="27"/>
  <c r="G14" i="27"/>
  <c r="W14" i="27"/>
  <c r="G15" i="27"/>
  <c r="W15" i="27"/>
  <c r="G16" i="27"/>
  <c r="W16" i="27"/>
  <c r="G17" i="27"/>
  <c r="W17" i="27"/>
  <c r="G18" i="27"/>
  <c r="W18" i="27"/>
  <c r="G19" i="27"/>
  <c r="W19" i="27"/>
  <c r="G20" i="27"/>
  <c r="W20" i="27"/>
  <c r="G21" i="27"/>
  <c r="W21" i="27"/>
  <c r="G22" i="27"/>
  <c r="W22" i="27"/>
  <c r="G23" i="27"/>
  <c r="W23" i="27"/>
  <c r="G24" i="27"/>
  <c r="W24" i="27"/>
  <c r="G25" i="27"/>
  <c r="W25" i="27"/>
  <c r="G26" i="27"/>
  <c r="W26" i="27"/>
  <c r="G27" i="27"/>
  <c r="W27" i="27"/>
  <c r="G28" i="27"/>
  <c r="W28" i="27"/>
  <c r="G29" i="27"/>
  <c r="W29" i="27"/>
  <c r="G30" i="27"/>
  <c r="W30" i="27"/>
  <c r="G31" i="27"/>
  <c r="W31" i="27"/>
  <c r="G32" i="27"/>
  <c r="W32" i="27"/>
  <c r="G33" i="27"/>
  <c r="W33" i="27"/>
  <c r="G34" i="27"/>
  <c r="W34" i="27"/>
  <c r="G35" i="27"/>
  <c r="W35" i="27"/>
  <c r="G36" i="27"/>
  <c r="W36" i="27"/>
  <c r="G37" i="27"/>
  <c r="W37" i="27"/>
  <c r="G38" i="27"/>
  <c r="W38" i="27"/>
  <c r="G39" i="27"/>
  <c r="W39" i="27"/>
  <c r="G40" i="27"/>
  <c r="W40" i="27"/>
  <c r="G41" i="27"/>
  <c r="W41" i="27"/>
  <c r="G42" i="27"/>
  <c r="W42" i="27"/>
  <c r="G43" i="27"/>
  <c r="W43" i="27"/>
  <c r="G44" i="27"/>
  <c r="W44" i="27"/>
  <c r="G45" i="27"/>
  <c r="W45" i="27"/>
  <c r="G46" i="27"/>
  <c r="W46" i="27"/>
  <c r="G47" i="27"/>
  <c r="W47" i="27"/>
  <c r="G48" i="27"/>
  <c r="W48" i="27"/>
  <c r="G49" i="27"/>
  <c r="W49" i="27"/>
  <c r="G50" i="27"/>
  <c r="W50" i="27"/>
  <c r="G51" i="27"/>
  <c r="W51" i="27"/>
  <c r="G52" i="27"/>
  <c r="W52" i="27"/>
  <c r="AE53" i="27"/>
  <c r="B5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F53" i="27"/>
  <c r="V53" i="27"/>
  <c r="F3" i="27"/>
  <c r="V3" i="27"/>
  <c r="F4" i="27"/>
  <c r="V4" i="27"/>
  <c r="F5" i="27"/>
  <c r="V5" i="27"/>
  <c r="F6" i="27"/>
  <c r="V6" i="27"/>
  <c r="F7" i="27"/>
  <c r="V7" i="27"/>
  <c r="F8" i="27"/>
  <c r="V8" i="27"/>
  <c r="F9" i="27"/>
  <c r="V9" i="27"/>
  <c r="F10" i="27"/>
  <c r="V10" i="27"/>
  <c r="F11" i="27"/>
  <c r="V11" i="27"/>
  <c r="F12" i="27"/>
  <c r="V12" i="27"/>
  <c r="F13" i="27"/>
  <c r="V13" i="27"/>
  <c r="F14" i="27"/>
  <c r="V14" i="27"/>
  <c r="F15" i="27"/>
  <c r="V15" i="27"/>
  <c r="F16" i="27"/>
  <c r="V16" i="27"/>
  <c r="F17" i="27"/>
  <c r="V17" i="27"/>
  <c r="F18" i="27"/>
  <c r="V18" i="27"/>
  <c r="F19" i="27"/>
  <c r="V19" i="27"/>
  <c r="F20" i="27"/>
  <c r="V20" i="27"/>
  <c r="F21" i="27"/>
  <c r="V21" i="27"/>
  <c r="F22" i="27"/>
  <c r="V22" i="27"/>
  <c r="F23" i="27"/>
  <c r="V23" i="27"/>
  <c r="F24" i="27"/>
  <c r="V24" i="27"/>
  <c r="F25" i="27"/>
  <c r="V25" i="27"/>
  <c r="F26" i="27"/>
  <c r="V26" i="27"/>
  <c r="F27" i="27"/>
  <c r="V27" i="27"/>
  <c r="F28" i="27"/>
  <c r="V28" i="27"/>
  <c r="F29" i="27"/>
  <c r="V29" i="27"/>
  <c r="F30" i="27"/>
  <c r="V30" i="27"/>
  <c r="F31" i="27"/>
  <c r="V31" i="27"/>
  <c r="F32" i="27"/>
  <c r="V32" i="27"/>
  <c r="F33" i="27"/>
  <c r="V33" i="27"/>
  <c r="F34" i="27"/>
  <c r="V34" i="27"/>
  <c r="F35" i="27"/>
  <c r="V35" i="27"/>
  <c r="F36" i="27"/>
  <c r="V36" i="27"/>
  <c r="F37" i="27"/>
  <c r="V37" i="27"/>
  <c r="F38" i="27"/>
  <c r="V38" i="27"/>
  <c r="F39" i="27"/>
  <c r="V39" i="27"/>
  <c r="F40" i="27"/>
  <c r="V40" i="27"/>
  <c r="F41" i="27"/>
  <c r="V41" i="27"/>
  <c r="F42" i="27"/>
  <c r="V42" i="27"/>
  <c r="F43" i="27"/>
  <c r="V43" i="27"/>
  <c r="F44" i="27"/>
  <c r="V44" i="27"/>
  <c r="F45" i="27"/>
  <c r="V45" i="27"/>
  <c r="F46" i="27"/>
  <c r="V46" i="27"/>
  <c r="F47" i="27"/>
  <c r="V47" i="27"/>
  <c r="F48" i="27"/>
  <c r="V48" i="27"/>
  <c r="F49" i="27"/>
  <c r="V49" i="27"/>
  <c r="F50" i="27"/>
  <c r="V50" i="27"/>
  <c r="F51" i="27"/>
  <c r="V51" i="27"/>
  <c r="F52" i="27"/>
  <c r="V52" i="27"/>
  <c r="AD53" i="27"/>
  <c r="B5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E53" i="27"/>
  <c r="U53" i="27"/>
  <c r="E3" i="27"/>
  <c r="U3" i="27"/>
  <c r="E4" i="27"/>
  <c r="U4" i="27"/>
  <c r="E5" i="27"/>
  <c r="U5" i="27"/>
  <c r="E6" i="27"/>
  <c r="U6" i="27"/>
  <c r="E7" i="27"/>
  <c r="U7" i="27"/>
  <c r="E8" i="27"/>
  <c r="U8" i="27"/>
  <c r="E9" i="27"/>
  <c r="U9" i="27"/>
  <c r="E10" i="27"/>
  <c r="U10" i="27"/>
  <c r="E11" i="27"/>
  <c r="U11" i="27"/>
  <c r="E12" i="27"/>
  <c r="U12" i="27"/>
  <c r="E13" i="27"/>
  <c r="U13" i="27"/>
  <c r="E14" i="27"/>
  <c r="U14" i="27"/>
  <c r="E15" i="27"/>
  <c r="U15" i="27"/>
  <c r="E16" i="27"/>
  <c r="U16" i="27"/>
  <c r="E17" i="27"/>
  <c r="U17" i="27"/>
  <c r="E18" i="27"/>
  <c r="U18" i="27"/>
  <c r="E19" i="27"/>
  <c r="U19" i="27"/>
  <c r="E20" i="27"/>
  <c r="U20" i="27"/>
  <c r="E21" i="27"/>
  <c r="U21" i="27"/>
  <c r="E22" i="27"/>
  <c r="U22" i="27"/>
  <c r="E23" i="27"/>
  <c r="U23" i="27"/>
  <c r="E24" i="27"/>
  <c r="U24" i="27"/>
  <c r="E25" i="27"/>
  <c r="U25" i="27"/>
  <c r="E26" i="27"/>
  <c r="U26" i="27"/>
  <c r="E27" i="27"/>
  <c r="U27" i="27"/>
  <c r="E28" i="27"/>
  <c r="U28" i="27"/>
  <c r="E29" i="27"/>
  <c r="U29" i="27"/>
  <c r="E30" i="27"/>
  <c r="U30" i="27"/>
  <c r="E31" i="27"/>
  <c r="U31" i="27"/>
  <c r="E32" i="27"/>
  <c r="U32" i="27"/>
  <c r="E33" i="27"/>
  <c r="U33" i="27"/>
  <c r="E34" i="27"/>
  <c r="U34" i="27"/>
  <c r="E35" i="27"/>
  <c r="U35" i="27"/>
  <c r="E36" i="27"/>
  <c r="U36" i="27"/>
  <c r="E37" i="27"/>
  <c r="U37" i="27"/>
  <c r="E38" i="27"/>
  <c r="U38" i="27"/>
  <c r="E39" i="27"/>
  <c r="U39" i="27"/>
  <c r="E40" i="27"/>
  <c r="U40" i="27"/>
  <c r="E41" i="27"/>
  <c r="U41" i="27"/>
  <c r="E42" i="27"/>
  <c r="U42" i="27"/>
  <c r="E43" i="27"/>
  <c r="U43" i="27"/>
  <c r="E44" i="27"/>
  <c r="U44" i="27"/>
  <c r="E45" i="27"/>
  <c r="U45" i="27"/>
  <c r="E46" i="27"/>
  <c r="U46" i="27"/>
  <c r="E47" i="27"/>
  <c r="U47" i="27"/>
  <c r="E48" i="27"/>
  <c r="U48" i="27"/>
  <c r="E49" i="27"/>
  <c r="U49" i="27"/>
  <c r="E50" i="27"/>
  <c r="U50" i="27"/>
  <c r="E51" i="27"/>
  <c r="U51" i="27"/>
  <c r="E52" i="27"/>
  <c r="U52" i="27"/>
  <c r="AC53" i="27"/>
  <c r="B5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D53" i="27"/>
  <c r="T53" i="27"/>
  <c r="D3" i="27"/>
  <c r="T3" i="27"/>
  <c r="D4" i="27"/>
  <c r="T4" i="27"/>
  <c r="D5" i="27"/>
  <c r="T5" i="27"/>
  <c r="D6" i="27"/>
  <c r="T6" i="27"/>
  <c r="D7" i="27"/>
  <c r="T7" i="27"/>
  <c r="D8" i="27"/>
  <c r="T8" i="27"/>
  <c r="D9" i="27"/>
  <c r="T9" i="27"/>
  <c r="D10" i="27"/>
  <c r="T10" i="27"/>
  <c r="D11" i="27"/>
  <c r="T11" i="27"/>
  <c r="D12" i="27"/>
  <c r="T12" i="27"/>
  <c r="D13" i="27"/>
  <c r="T13" i="27"/>
  <c r="D14" i="27"/>
  <c r="T14" i="27"/>
  <c r="D15" i="27"/>
  <c r="T15" i="27"/>
  <c r="D16" i="27"/>
  <c r="T16" i="27"/>
  <c r="D17" i="27"/>
  <c r="T17" i="27"/>
  <c r="D18" i="27"/>
  <c r="T18" i="27"/>
  <c r="D19" i="27"/>
  <c r="T19" i="27"/>
  <c r="D20" i="27"/>
  <c r="T20" i="27"/>
  <c r="D21" i="27"/>
  <c r="T21" i="27"/>
  <c r="D22" i="27"/>
  <c r="T22" i="27"/>
  <c r="D23" i="27"/>
  <c r="T23" i="27"/>
  <c r="D24" i="27"/>
  <c r="T24" i="27"/>
  <c r="D25" i="27"/>
  <c r="T25" i="27"/>
  <c r="D26" i="27"/>
  <c r="T26" i="27"/>
  <c r="D27" i="27"/>
  <c r="T27" i="27"/>
  <c r="D28" i="27"/>
  <c r="T28" i="27"/>
  <c r="D29" i="27"/>
  <c r="T29" i="27"/>
  <c r="D30" i="27"/>
  <c r="T30" i="27"/>
  <c r="D31" i="27"/>
  <c r="T31" i="27"/>
  <c r="D32" i="27"/>
  <c r="T32" i="27"/>
  <c r="D33" i="27"/>
  <c r="T33" i="27"/>
  <c r="D34" i="27"/>
  <c r="T34" i="27"/>
  <c r="D35" i="27"/>
  <c r="T35" i="27"/>
  <c r="D36" i="27"/>
  <c r="T36" i="27"/>
  <c r="D37" i="27"/>
  <c r="T37" i="27"/>
  <c r="D38" i="27"/>
  <c r="T38" i="27"/>
  <c r="D39" i="27"/>
  <c r="T39" i="27"/>
  <c r="D40" i="27"/>
  <c r="T40" i="27"/>
  <c r="D41" i="27"/>
  <c r="T41" i="27"/>
  <c r="D42" i="27"/>
  <c r="T42" i="27"/>
  <c r="D43" i="27"/>
  <c r="T43" i="27"/>
  <c r="D44" i="27"/>
  <c r="T44" i="27"/>
  <c r="D45" i="27"/>
  <c r="T45" i="27"/>
  <c r="D46" i="27"/>
  <c r="T46" i="27"/>
  <c r="D47" i="27"/>
  <c r="T47" i="27"/>
  <c r="D48" i="27"/>
  <c r="T48" i="27"/>
  <c r="D49" i="27"/>
  <c r="T49" i="27"/>
  <c r="D50" i="27"/>
  <c r="T50" i="27"/>
  <c r="D51" i="27"/>
  <c r="T51" i="27"/>
  <c r="D52" i="27"/>
  <c r="T52" i="27"/>
  <c r="AB53" i="27"/>
  <c r="B5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C53" i="27"/>
  <c r="S53" i="27"/>
  <c r="C3" i="27"/>
  <c r="S3" i="27"/>
  <c r="C4" i="27"/>
  <c r="S4" i="27"/>
  <c r="C5" i="27"/>
  <c r="S5" i="27"/>
  <c r="C6" i="27"/>
  <c r="S6" i="27"/>
  <c r="C7" i="27"/>
  <c r="S7" i="27"/>
  <c r="C8" i="27"/>
  <c r="S8" i="27"/>
  <c r="C9" i="27"/>
  <c r="S9" i="27"/>
  <c r="C10" i="27"/>
  <c r="S10" i="27"/>
  <c r="C11" i="27"/>
  <c r="S11" i="27"/>
  <c r="C12" i="27"/>
  <c r="S12" i="27"/>
  <c r="C13" i="27"/>
  <c r="S13" i="27"/>
  <c r="C14" i="27"/>
  <c r="S14" i="27"/>
  <c r="C15" i="27"/>
  <c r="S15" i="27"/>
  <c r="C16" i="27"/>
  <c r="S16" i="27"/>
  <c r="C17" i="27"/>
  <c r="S17" i="27"/>
  <c r="C18" i="27"/>
  <c r="S18" i="27"/>
  <c r="C19" i="27"/>
  <c r="S19" i="27"/>
  <c r="C20" i="27"/>
  <c r="S20" i="27"/>
  <c r="C21" i="27"/>
  <c r="S21" i="27"/>
  <c r="C22" i="27"/>
  <c r="S22" i="27"/>
  <c r="C23" i="27"/>
  <c r="S23" i="27"/>
  <c r="C24" i="27"/>
  <c r="S24" i="27"/>
  <c r="C25" i="27"/>
  <c r="S25" i="27"/>
  <c r="C26" i="27"/>
  <c r="S26" i="27"/>
  <c r="C27" i="27"/>
  <c r="S27" i="27"/>
  <c r="C28" i="27"/>
  <c r="S28" i="27"/>
  <c r="C29" i="27"/>
  <c r="S29" i="27"/>
  <c r="C30" i="27"/>
  <c r="S30" i="27"/>
  <c r="C31" i="27"/>
  <c r="S31" i="27"/>
  <c r="C32" i="27"/>
  <c r="S32" i="27"/>
  <c r="C33" i="27"/>
  <c r="S33" i="27"/>
  <c r="C34" i="27"/>
  <c r="S34" i="27"/>
  <c r="C35" i="27"/>
  <c r="S35" i="27"/>
  <c r="C36" i="27"/>
  <c r="S36" i="27"/>
  <c r="C37" i="27"/>
  <c r="S37" i="27"/>
  <c r="C38" i="27"/>
  <c r="S38" i="27"/>
  <c r="C39" i="27"/>
  <c r="S39" i="27"/>
  <c r="C40" i="27"/>
  <c r="S40" i="27"/>
  <c r="C41" i="27"/>
  <c r="S41" i="27"/>
  <c r="C42" i="27"/>
  <c r="S42" i="27"/>
  <c r="C43" i="27"/>
  <c r="S43" i="27"/>
  <c r="C44" i="27"/>
  <c r="S44" i="27"/>
  <c r="C45" i="27"/>
  <c r="S45" i="27"/>
  <c r="C46" i="27"/>
  <c r="S46" i="27"/>
  <c r="C47" i="27"/>
  <c r="S47" i="27"/>
  <c r="C48" i="27"/>
  <c r="S48" i="27"/>
  <c r="C49" i="27"/>
  <c r="S49" i="27"/>
  <c r="C50" i="27"/>
  <c r="S50" i="27"/>
  <c r="C51" i="27"/>
  <c r="S51" i="27"/>
  <c r="C52" i="27"/>
  <c r="S52" i="27"/>
  <c r="AA53" i="27"/>
  <c r="O53" i="7"/>
  <c r="O3" i="7"/>
  <c r="O4" i="7"/>
  <c r="O5" i="7"/>
  <c r="O7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B53" i="27"/>
  <c r="R53" i="27"/>
  <c r="B3" i="27"/>
  <c r="R3" i="27"/>
  <c r="B4" i="27"/>
  <c r="R4" i="27"/>
  <c r="B5" i="27"/>
  <c r="R5" i="27"/>
  <c r="B6" i="27"/>
  <c r="R6" i="27"/>
  <c r="B7" i="27"/>
  <c r="R7" i="27"/>
  <c r="B8" i="27"/>
  <c r="R8" i="27"/>
  <c r="B9" i="27"/>
  <c r="R9" i="27"/>
  <c r="B10" i="27"/>
  <c r="R10" i="27"/>
  <c r="B11" i="27"/>
  <c r="R11" i="27"/>
  <c r="B12" i="27"/>
  <c r="R12" i="27"/>
  <c r="B13" i="27"/>
  <c r="R13" i="27"/>
  <c r="B14" i="27"/>
  <c r="R14" i="27"/>
  <c r="B15" i="27"/>
  <c r="R15" i="27"/>
  <c r="B16" i="27"/>
  <c r="R16" i="27"/>
  <c r="B17" i="27"/>
  <c r="R17" i="27"/>
  <c r="B18" i="27"/>
  <c r="R18" i="27"/>
  <c r="B19" i="27"/>
  <c r="R19" i="27"/>
  <c r="B20" i="27"/>
  <c r="R20" i="27"/>
  <c r="B21" i="27"/>
  <c r="R21" i="27"/>
  <c r="B22" i="27"/>
  <c r="R22" i="27"/>
  <c r="B23" i="27"/>
  <c r="R23" i="27"/>
  <c r="B24" i="27"/>
  <c r="R24" i="27"/>
  <c r="B25" i="27"/>
  <c r="R25" i="27"/>
  <c r="B26" i="27"/>
  <c r="R26" i="27"/>
  <c r="B27" i="27"/>
  <c r="R27" i="27"/>
  <c r="B28" i="27"/>
  <c r="R28" i="27"/>
  <c r="B29" i="27"/>
  <c r="R29" i="27"/>
  <c r="B30" i="27"/>
  <c r="R30" i="27"/>
  <c r="B31" i="27"/>
  <c r="R31" i="27"/>
  <c r="B32" i="27"/>
  <c r="R32" i="27"/>
  <c r="B33" i="27"/>
  <c r="R33" i="27"/>
  <c r="B34" i="27"/>
  <c r="R34" i="27"/>
  <c r="B35" i="27"/>
  <c r="R35" i="27"/>
  <c r="B36" i="27"/>
  <c r="R36" i="27"/>
  <c r="B37" i="27"/>
  <c r="R37" i="27"/>
  <c r="B38" i="27"/>
  <c r="R38" i="27"/>
  <c r="B39" i="27"/>
  <c r="R39" i="27"/>
  <c r="B40" i="27"/>
  <c r="R40" i="27"/>
  <c r="B41" i="27"/>
  <c r="R41" i="27"/>
  <c r="B42" i="27"/>
  <c r="R42" i="27"/>
  <c r="B43" i="27"/>
  <c r="R43" i="27"/>
  <c r="B44" i="27"/>
  <c r="R44" i="27"/>
  <c r="B45" i="27"/>
  <c r="R45" i="27"/>
  <c r="B46" i="27"/>
  <c r="R46" i="27"/>
  <c r="B47" i="27"/>
  <c r="R47" i="27"/>
  <c r="B48" i="27"/>
  <c r="R48" i="27"/>
  <c r="B49" i="27"/>
  <c r="R49" i="27"/>
  <c r="B50" i="27"/>
  <c r="R50" i="27"/>
  <c r="B51" i="27"/>
  <c r="R51" i="27"/>
  <c r="B52" i="27"/>
  <c r="R52" i="27"/>
  <c r="Z53" i="27"/>
  <c r="A53" i="27"/>
  <c r="Y53" i="27"/>
  <c r="Q53" i="27"/>
  <c r="I53" i="27"/>
  <c r="AE52" i="27"/>
  <c r="AD52" i="27"/>
  <c r="AC52" i="27"/>
  <c r="AB52" i="27"/>
  <c r="AA52" i="27"/>
  <c r="Z52" i="27"/>
  <c r="A52" i="27"/>
  <c r="Y52" i="27"/>
  <c r="Q52" i="27"/>
  <c r="I52" i="27"/>
  <c r="AE51" i="27"/>
  <c r="AD51" i="27"/>
  <c r="AC51" i="27"/>
  <c r="AB51" i="27"/>
  <c r="AA51" i="27"/>
  <c r="Z51" i="27"/>
  <c r="A51" i="27"/>
  <c r="Y51" i="27"/>
  <c r="Q51" i="27"/>
  <c r="I51" i="27"/>
  <c r="AE50" i="27"/>
  <c r="AD50" i="27"/>
  <c r="AC50" i="27"/>
  <c r="AB50" i="27"/>
  <c r="AA50" i="27"/>
  <c r="Z50" i="27"/>
  <c r="A50" i="27"/>
  <c r="Y50" i="27"/>
  <c r="Q50" i="27"/>
  <c r="I50" i="27"/>
  <c r="AE49" i="27"/>
  <c r="AD49" i="27"/>
  <c r="AC49" i="27"/>
  <c r="AB49" i="27"/>
  <c r="AA49" i="27"/>
  <c r="Z49" i="27"/>
  <c r="A49" i="27"/>
  <c r="Y49" i="27"/>
  <c r="Q49" i="27"/>
  <c r="I49" i="27"/>
  <c r="AE48" i="27"/>
  <c r="AD48" i="27"/>
  <c r="AC48" i="27"/>
  <c r="AB48" i="27"/>
  <c r="AA48" i="27"/>
  <c r="Z48" i="27"/>
  <c r="A48" i="27"/>
  <c r="Y48" i="27"/>
  <c r="Q48" i="27"/>
  <c r="I48" i="27"/>
  <c r="AE47" i="27"/>
  <c r="AD47" i="27"/>
  <c r="AC47" i="27"/>
  <c r="AB47" i="27"/>
  <c r="AA47" i="27"/>
  <c r="Z47" i="27"/>
  <c r="A47" i="27"/>
  <c r="Y47" i="27"/>
  <c r="Q47" i="27"/>
  <c r="I47" i="27"/>
  <c r="AE46" i="27"/>
  <c r="AD46" i="27"/>
  <c r="AC46" i="27"/>
  <c r="AB46" i="27"/>
  <c r="AA46" i="27"/>
  <c r="Z46" i="27"/>
  <c r="A46" i="27"/>
  <c r="Y46" i="27"/>
  <c r="Q46" i="27"/>
  <c r="I46" i="27"/>
  <c r="AE45" i="27"/>
  <c r="AD45" i="27"/>
  <c r="AC45" i="27"/>
  <c r="AB45" i="27"/>
  <c r="AA45" i="27"/>
  <c r="Z45" i="27"/>
  <c r="A45" i="27"/>
  <c r="Y45" i="27"/>
  <c r="Q45" i="27"/>
  <c r="I45" i="27"/>
  <c r="AE44" i="27"/>
  <c r="AD44" i="27"/>
  <c r="AC44" i="27"/>
  <c r="AB44" i="27"/>
  <c r="AA44" i="27"/>
  <c r="Z44" i="27"/>
  <c r="A44" i="27"/>
  <c r="Y44" i="27"/>
  <c r="Q44" i="27"/>
  <c r="I44" i="27"/>
  <c r="AE43" i="27"/>
  <c r="AD43" i="27"/>
  <c r="AC43" i="27"/>
  <c r="AB43" i="27"/>
  <c r="AA43" i="27"/>
  <c r="Z43" i="27"/>
  <c r="A43" i="27"/>
  <c r="Y43" i="27"/>
  <c r="Q43" i="27"/>
  <c r="I43" i="27"/>
  <c r="AE42" i="27"/>
  <c r="AD42" i="27"/>
  <c r="AC42" i="27"/>
  <c r="AB42" i="27"/>
  <c r="AA42" i="27"/>
  <c r="Z42" i="27"/>
  <c r="A42" i="27"/>
  <c r="Y42" i="27"/>
  <c r="Q42" i="27"/>
  <c r="I42" i="27"/>
  <c r="AE41" i="27"/>
  <c r="AD41" i="27"/>
  <c r="AC41" i="27"/>
  <c r="AB41" i="27"/>
  <c r="AA41" i="27"/>
  <c r="Z41" i="27"/>
  <c r="A41" i="27"/>
  <c r="Y41" i="27"/>
  <c r="Q41" i="27"/>
  <c r="I41" i="27"/>
  <c r="AE40" i="27"/>
  <c r="AD40" i="27"/>
  <c r="AC40" i="27"/>
  <c r="AB40" i="27"/>
  <c r="AA40" i="27"/>
  <c r="Z40" i="27"/>
  <c r="A40" i="27"/>
  <c r="Y40" i="27"/>
  <c r="Q40" i="27"/>
  <c r="I40" i="27"/>
  <c r="AE39" i="27"/>
  <c r="AD39" i="27"/>
  <c r="AC39" i="27"/>
  <c r="AB39" i="27"/>
  <c r="AA39" i="27"/>
  <c r="Z39" i="27"/>
  <c r="A39" i="27"/>
  <c r="Y39" i="27"/>
  <c r="Q39" i="27"/>
  <c r="I39" i="27"/>
  <c r="AE38" i="27"/>
  <c r="AD38" i="27"/>
  <c r="AC38" i="27"/>
  <c r="AB38" i="27"/>
  <c r="AA38" i="27"/>
  <c r="Z38" i="27"/>
  <c r="A38" i="27"/>
  <c r="Y38" i="27"/>
  <c r="Q38" i="27"/>
  <c r="I38" i="27"/>
  <c r="AE37" i="27"/>
  <c r="AD37" i="27"/>
  <c r="AC37" i="27"/>
  <c r="AB37" i="27"/>
  <c r="AA37" i="27"/>
  <c r="Z37" i="27"/>
  <c r="A37" i="27"/>
  <c r="Y37" i="27"/>
  <c r="Q37" i="27"/>
  <c r="I37" i="27"/>
  <c r="AE36" i="27"/>
  <c r="AD36" i="27"/>
  <c r="AC36" i="27"/>
  <c r="AB36" i="27"/>
  <c r="AA36" i="27"/>
  <c r="Z36" i="27"/>
  <c r="A36" i="27"/>
  <c r="Y36" i="27"/>
  <c r="Q36" i="27"/>
  <c r="I36" i="27"/>
  <c r="AE35" i="27"/>
  <c r="AD35" i="27"/>
  <c r="AC35" i="27"/>
  <c r="AB35" i="27"/>
  <c r="AA35" i="27"/>
  <c r="Z35" i="27"/>
  <c r="A35" i="27"/>
  <c r="Y35" i="27"/>
  <c r="Q35" i="27"/>
  <c r="I35" i="27"/>
  <c r="AE34" i="27"/>
  <c r="AD34" i="27"/>
  <c r="AC34" i="27"/>
  <c r="AB34" i="27"/>
  <c r="AA34" i="27"/>
  <c r="Z34" i="27"/>
  <c r="A34" i="27"/>
  <c r="Y34" i="27"/>
  <c r="Q34" i="27"/>
  <c r="I34" i="27"/>
  <c r="AE33" i="27"/>
  <c r="AD33" i="27"/>
  <c r="AC33" i="27"/>
  <c r="AB33" i="27"/>
  <c r="AA33" i="27"/>
  <c r="Z33" i="27"/>
  <c r="A33" i="27"/>
  <c r="Y33" i="27"/>
  <c r="Q33" i="27"/>
  <c r="I33" i="27"/>
  <c r="AE32" i="27"/>
  <c r="AD32" i="27"/>
  <c r="AC32" i="27"/>
  <c r="AB32" i="27"/>
  <c r="AA32" i="27"/>
  <c r="Z32" i="27"/>
  <c r="A32" i="27"/>
  <c r="Y32" i="27"/>
  <c r="Q32" i="27"/>
  <c r="I32" i="27"/>
  <c r="AE31" i="27"/>
  <c r="AD31" i="27"/>
  <c r="AC31" i="27"/>
  <c r="AB31" i="27"/>
  <c r="AA31" i="27"/>
  <c r="Z31" i="27"/>
  <c r="A31" i="27"/>
  <c r="Y31" i="27"/>
  <c r="Q31" i="27"/>
  <c r="I31" i="27"/>
  <c r="AE30" i="27"/>
  <c r="AD30" i="27"/>
  <c r="AC30" i="27"/>
  <c r="AB30" i="27"/>
  <c r="AA30" i="27"/>
  <c r="Z30" i="27"/>
  <c r="A30" i="27"/>
  <c r="Y30" i="27"/>
  <c r="Q30" i="27"/>
  <c r="I30" i="27"/>
  <c r="AE29" i="27"/>
  <c r="AD29" i="27"/>
  <c r="AC29" i="27"/>
  <c r="AB29" i="27"/>
  <c r="AA29" i="27"/>
  <c r="Z29" i="27"/>
  <c r="A29" i="27"/>
  <c r="Y29" i="27"/>
  <c r="Q29" i="27"/>
  <c r="I29" i="27"/>
  <c r="AE28" i="27"/>
  <c r="AD28" i="27"/>
  <c r="AC28" i="27"/>
  <c r="AB28" i="27"/>
  <c r="AA28" i="27"/>
  <c r="Z28" i="27"/>
  <c r="A28" i="27"/>
  <c r="Y28" i="27"/>
  <c r="Q28" i="27"/>
  <c r="I28" i="27"/>
  <c r="AE27" i="27"/>
  <c r="AD27" i="27"/>
  <c r="AC27" i="27"/>
  <c r="AB27" i="27"/>
  <c r="AA27" i="27"/>
  <c r="Z27" i="27"/>
  <c r="A27" i="27"/>
  <c r="Y27" i="27"/>
  <c r="Q27" i="27"/>
  <c r="I27" i="27"/>
  <c r="AE26" i="27"/>
  <c r="AD26" i="27"/>
  <c r="AC26" i="27"/>
  <c r="AB26" i="27"/>
  <c r="AA26" i="27"/>
  <c r="Z26" i="27"/>
  <c r="A26" i="27"/>
  <c r="Y26" i="27"/>
  <c r="Q26" i="27"/>
  <c r="I26" i="27"/>
  <c r="AE25" i="27"/>
  <c r="AD25" i="27"/>
  <c r="AC25" i="27"/>
  <c r="AB25" i="27"/>
  <c r="AA25" i="27"/>
  <c r="Z25" i="27"/>
  <c r="A25" i="27"/>
  <c r="Y25" i="27"/>
  <c r="Q25" i="27"/>
  <c r="I25" i="27"/>
  <c r="AE24" i="27"/>
  <c r="AD24" i="27"/>
  <c r="AC24" i="27"/>
  <c r="AB24" i="27"/>
  <c r="AA24" i="27"/>
  <c r="Z24" i="27"/>
  <c r="A24" i="27"/>
  <c r="Y24" i="27"/>
  <c r="Q24" i="27"/>
  <c r="I24" i="27"/>
  <c r="AE23" i="27"/>
  <c r="AD23" i="27"/>
  <c r="AC23" i="27"/>
  <c r="AB23" i="27"/>
  <c r="AA23" i="27"/>
  <c r="Z23" i="27"/>
  <c r="A23" i="27"/>
  <c r="Y23" i="27"/>
  <c r="Q23" i="27"/>
  <c r="I23" i="27"/>
  <c r="AE22" i="27"/>
  <c r="AD22" i="27"/>
  <c r="AC22" i="27"/>
  <c r="AB22" i="27"/>
  <c r="AA22" i="27"/>
  <c r="Z22" i="27"/>
  <c r="A22" i="27"/>
  <c r="Y22" i="27"/>
  <c r="Q22" i="27"/>
  <c r="I22" i="27"/>
  <c r="AE21" i="27"/>
  <c r="AD21" i="27"/>
  <c r="AC21" i="27"/>
  <c r="AB21" i="27"/>
  <c r="AA21" i="27"/>
  <c r="Z21" i="27"/>
  <c r="A21" i="27"/>
  <c r="Y21" i="27"/>
  <c r="Q21" i="27"/>
  <c r="I21" i="27"/>
  <c r="AE20" i="27"/>
  <c r="AD20" i="27"/>
  <c r="AC20" i="27"/>
  <c r="AB20" i="27"/>
  <c r="AA20" i="27"/>
  <c r="Z20" i="27"/>
  <c r="A20" i="27"/>
  <c r="Y20" i="27"/>
  <c r="Q20" i="27"/>
  <c r="I20" i="27"/>
  <c r="AE19" i="27"/>
  <c r="AD19" i="27"/>
  <c r="AC19" i="27"/>
  <c r="AB19" i="27"/>
  <c r="AA19" i="27"/>
  <c r="Z19" i="27"/>
  <c r="A19" i="27"/>
  <c r="Y19" i="27"/>
  <c r="Q19" i="27"/>
  <c r="I19" i="27"/>
  <c r="AE18" i="27"/>
  <c r="AD18" i="27"/>
  <c r="AC18" i="27"/>
  <c r="AB18" i="27"/>
  <c r="AA18" i="27"/>
  <c r="Z18" i="27"/>
  <c r="A18" i="27"/>
  <c r="Y18" i="27"/>
  <c r="Q18" i="27"/>
  <c r="I18" i="27"/>
  <c r="AE17" i="27"/>
  <c r="AD17" i="27"/>
  <c r="AC17" i="27"/>
  <c r="AB17" i="27"/>
  <c r="AA17" i="27"/>
  <c r="Z17" i="27"/>
  <c r="A17" i="27"/>
  <c r="Y17" i="27"/>
  <c r="Q17" i="27"/>
  <c r="I17" i="27"/>
  <c r="AE16" i="27"/>
  <c r="AD16" i="27"/>
  <c r="AC16" i="27"/>
  <c r="AB16" i="27"/>
  <c r="AA16" i="27"/>
  <c r="Z16" i="27"/>
  <c r="A16" i="27"/>
  <c r="Y16" i="27"/>
  <c r="Q16" i="27"/>
  <c r="I16" i="27"/>
  <c r="AE15" i="27"/>
  <c r="AD15" i="27"/>
  <c r="AC15" i="27"/>
  <c r="AB15" i="27"/>
  <c r="AA15" i="27"/>
  <c r="Z15" i="27"/>
  <c r="A15" i="27"/>
  <c r="Y15" i="27"/>
  <c r="Q15" i="27"/>
  <c r="I15" i="27"/>
  <c r="AE14" i="27"/>
  <c r="AD14" i="27"/>
  <c r="AC14" i="27"/>
  <c r="AB14" i="27"/>
  <c r="AA14" i="27"/>
  <c r="Z14" i="27"/>
  <c r="A14" i="27"/>
  <c r="Y14" i="27"/>
  <c r="Q14" i="27"/>
  <c r="I14" i="27"/>
  <c r="AE13" i="27"/>
  <c r="AD13" i="27"/>
  <c r="AC13" i="27"/>
  <c r="AB13" i="27"/>
  <c r="AA13" i="27"/>
  <c r="Z13" i="27"/>
  <c r="A13" i="27"/>
  <c r="Y13" i="27"/>
  <c r="Q13" i="27"/>
  <c r="I13" i="27"/>
  <c r="AE12" i="27"/>
  <c r="AD12" i="27"/>
  <c r="AC12" i="27"/>
  <c r="AB12" i="27"/>
  <c r="AA12" i="27"/>
  <c r="Z12" i="27"/>
  <c r="A12" i="27"/>
  <c r="Y12" i="27"/>
  <c r="Q12" i="27"/>
  <c r="I12" i="27"/>
  <c r="AE11" i="27"/>
  <c r="AD11" i="27"/>
  <c r="AC11" i="27"/>
  <c r="AB11" i="27"/>
  <c r="AA11" i="27"/>
  <c r="Z11" i="27"/>
  <c r="A11" i="27"/>
  <c r="Y11" i="27"/>
  <c r="Q11" i="27"/>
  <c r="I11" i="27"/>
  <c r="AE10" i="27"/>
  <c r="AD10" i="27"/>
  <c r="AC10" i="27"/>
  <c r="AB10" i="27"/>
  <c r="AA10" i="27"/>
  <c r="Z10" i="27"/>
  <c r="A10" i="27"/>
  <c r="Y10" i="27"/>
  <c r="Q10" i="27"/>
  <c r="I10" i="27"/>
  <c r="AE9" i="27"/>
  <c r="AD9" i="27"/>
  <c r="AC9" i="27"/>
  <c r="AB9" i="27"/>
  <c r="AA9" i="27"/>
  <c r="Z9" i="27"/>
  <c r="A9" i="27"/>
  <c r="Y9" i="27"/>
  <c r="Q9" i="27"/>
  <c r="I9" i="27"/>
  <c r="AE8" i="27"/>
  <c r="AD8" i="27"/>
  <c r="AC8" i="27"/>
  <c r="AB8" i="27"/>
  <c r="AA8" i="27"/>
  <c r="Z8" i="27"/>
  <c r="A8" i="27"/>
  <c r="Y8" i="27"/>
  <c r="Q8" i="27"/>
  <c r="I8" i="27"/>
  <c r="AE7" i="27"/>
  <c r="AD7" i="27"/>
  <c r="AC7" i="27"/>
  <c r="AB7" i="27"/>
  <c r="AA7" i="27"/>
  <c r="Z7" i="27"/>
  <c r="A7" i="27"/>
  <c r="Y7" i="27"/>
  <c r="Q7" i="27"/>
  <c r="I7" i="27"/>
  <c r="AE6" i="27"/>
  <c r="AD6" i="27"/>
  <c r="AC6" i="27"/>
  <c r="AB6" i="27"/>
  <c r="AA6" i="27"/>
  <c r="Z6" i="27"/>
  <c r="A6" i="27"/>
  <c r="Y6" i="27"/>
  <c r="Q6" i="27"/>
  <c r="I6" i="27"/>
  <c r="AE5" i="27"/>
  <c r="AD5" i="27"/>
  <c r="AC5" i="27"/>
  <c r="AB5" i="27"/>
  <c r="AA5" i="27"/>
  <c r="Z5" i="27"/>
  <c r="A5" i="27"/>
  <c r="Y5" i="27"/>
  <c r="Q5" i="27"/>
  <c r="I5" i="27"/>
  <c r="AE4" i="27"/>
  <c r="AD4" i="27"/>
  <c r="AC4" i="27"/>
  <c r="AB4" i="27"/>
  <c r="AA4" i="27"/>
  <c r="Z4" i="27"/>
  <c r="A4" i="27"/>
  <c r="Y4" i="27"/>
  <c r="Q4" i="27"/>
  <c r="I4" i="27"/>
  <c r="AE3" i="27"/>
  <c r="AD3" i="27"/>
  <c r="AC3" i="27"/>
  <c r="AB3" i="27"/>
  <c r="AA3" i="27"/>
  <c r="Z3" i="27"/>
  <c r="A3" i="27"/>
  <c r="Y3" i="27"/>
  <c r="Q3" i="27"/>
  <c r="I3" i="27"/>
  <c r="G2" i="27"/>
  <c r="AE2" i="27"/>
  <c r="F2" i="27"/>
  <c r="AD2" i="27"/>
  <c r="E2" i="27"/>
  <c r="AC2" i="27"/>
  <c r="D2" i="27"/>
  <c r="AB2" i="27"/>
  <c r="C2" i="27"/>
  <c r="AA2" i="27"/>
  <c r="B2" i="27"/>
  <c r="Z2" i="27"/>
  <c r="W2" i="27"/>
  <c r="V2" i="27"/>
  <c r="U2" i="27"/>
  <c r="T2" i="27"/>
  <c r="S2" i="27"/>
  <c r="R2" i="27"/>
  <c r="A2" i="27"/>
  <c r="A53" i="26"/>
  <c r="I53" i="26"/>
  <c r="A52" i="26"/>
  <c r="I52" i="26"/>
  <c r="A51" i="26"/>
  <c r="I51" i="26"/>
  <c r="A50" i="26"/>
  <c r="I50" i="26"/>
  <c r="A49" i="26"/>
  <c r="I49" i="26"/>
  <c r="A48" i="26"/>
  <c r="I48" i="26"/>
  <c r="A47" i="26"/>
  <c r="I47" i="26"/>
  <c r="A46" i="26"/>
  <c r="I46" i="26"/>
  <c r="A45" i="26"/>
  <c r="I45" i="26"/>
  <c r="A44" i="26"/>
  <c r="I44" i="26"/>
  <c r="A43" i="26"/>
  <c r="I43" i="26"/>
  <c r="A42" i="26"/>
  <c r="I42" i="26"/>
  <c r="A41" i="26"/>
  <c r="I41" i="26"/>
  <c r="A40" i="26"/>
  <c r="I40" i="26"/>
  <c r="A39" i="26"/>
  <c r="I39" i="26"/>
  <c r="A38" i="26"/>
  <c r="I38" i="26"/>
  <c r="A37" i="26"/>
  <c r="I37" i="26"/>
  <c r="A36" i="26"/>
  <c r="I36" i="26"/>
  <c r="A35" i="26"/>
  <c r="I35" i="26"/>
  <c r="A34" i="26"/>
  <c r="I34" i="26"/>
  <c r="A33" i="26"/>
  <c r="I33" i="26"/>
  <c r="A32" i="26"/>
  <c r="I32" i="26"/>
  <c r="A31" i="26"/>
  <c r="I31" i="26"/>
  <c r="A30" i="26"/>
  <c r="I30" i="26"/>
  <c r="A29" i="26"/>
  <c r="I29" i="26"/>
  <c r="A28" i="26"/>
  <c r="I28" i="26"/>
  <c r="A27" i="26"/>
  <c r="I27" i="26"/>
  <c r="A26" i="26"/>
  <c r="I26" i="26"/>
  <c r="A25" i="26"/>
  <c r="I25" i="26"/>
  <c r="A24" i="26"/>
  <c r="I24" i="26"/>
  <c r="A23" i="26"/>
  <c r="I23" i="26"/>
  <c r="A22" i="26"/>
  <c r="I22" i="26"/>
  <c r="A21" i="26"/>
  <c r="I21" i="26"/>
  <c r="A20" i="26"/>
  <c r="I20" i="26"/>
  <c r="A19" i="26"/>
  <c r="I19" i="26"/>
  <c r="A18" i="26"/>
  <c r="I18" i="26"/>
  <c r="A17" i="26"/>
  <c r="I17" i="26"/>
  <c r="A16" i="26"/>
  <c r="I16" i="26"/>
  <c r="A15" i="26"/>
  <c r="I15" i="26"/>
  <c r="A14" i="26"/>
  <c r="I14" i="26"/>
  <c r="A13" i="26"/>
  <c r="I13" i="26"/>
  <c r="A12" i="26"/>
  <c r="I12" i="26"/>
  <c r="A11" i="26"/>
  <c r="I11" i="26"/>
  <c r="A10" i="26"/>
  <c r="I10" i="26"/>
  <c r="A9" i="26"/>
  <c r="I9" i="26"/>
  <c r="A8" i="26"/>
  <c r="I8" i="26"/>
  <c r="A7" i="26"/>
  <c r="I7" i="26"/>
  <c r="A6" i="26"/>
  <c r="I6" i="26"/>
  <c r="A5" i="26"/>
  <c r="I5" i="26"/>
  <c r="A4" i="26"/>
  <c r="I4" i="26"/>
  <c r="A3" i="26"/>
  <c r="I3" i="26"/>
  <c r="Q53" i="26"/>
  <c r="Q52" i="26"/>
  <c r="Q51" i="26"/>
  <c r="Q50" i="26"/>
  <c r="Q49" i="26"/>
  <c r="Q48" i="26"/>
  <c r="Q47" i="26"/>
  <c r="Q46" i="26"/>
  <c r="Q45" i="26"/>
  <c r="Q44" i="26"/>
  <c r="Q43" i="26"/>
  <c r="Q42" i="26"/>
  <c r="Q41" i="26"/>
  <c r="Q40" i="26"/>
  <c r="Q39" i="26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Q5" i="26"/>
  <c r="Q4" i="26"/>
  <c r="Q3" i="26"/>
  <c r="Y53" i="26"/>
  <c r="Y52" i="26"/>
  <c r="Y51" i="26"/>
  <c r="Y50" i="26"/>
  <c r="Y49" i="26"/>
  <c r="Y48" i="26"/>
  <c r="Y47" i="26"/>
  <c r="Y46" i="26"/>
  <c r="Y45" i="26"/>
  <c r="Y44" i="26"/>
  <c r="Y43" i="26"/>
  <c r="Y42" i="26"/>
  <c r="Y41" i="26"/>
  <c r="Y40" i="26"/>
  <c r="Y39" i="26"/>
  <c r="Y38" i="26"/>
  <c r="Y37" i="26"/>
  <c r="Y36" i="26"/>
  <c r="Y35" i="26"/>
  <c r="Y34" i="26"/>
  <c r="Y33" i="26"/>
  <c r="Y32" i="26"/>
  <c r="Y31" i="26"/>
  <c r="Y30" i="26"/>
  <c r="Y29" i="26"/>
  <c r="Y28" i="26"/>
  <c r="Y27" i="26"/>
  <c r="Y26" i="26"/>
  <c r="Y25" i="26"/>
  <c r="Y24" i="26"/>
  <c r="Y23" i="26"/>
  <c r="Y22" i="26"/>
  <c r="Y21" i="26"/>
  <c r="Y20" i="26"/>
  <c r="Y19" i="26"/>
  <c r="Y18" i="26"/>
  <c r="Y17" i="26"/>
  <c r="Y16" i="26"/>
  <c r="Y15" i="26"/>
  <c r="Y14" i="26"/>
  <c r="Y13" i="26"/>
  <c r="Y12" i="26"/>
  <c r="Y11" i="26"/>
  <c r="Y10" i="26"/>
  <c r="Y9" i="26"/>
  <c r="Y8" i="26"/>
  <c r="Y7" i="26"/>
  <c r="Y6" i="26"/>
  <c r="Y5" i="26"/>
  <c r="Y4" i="26"/>
  <c r="Y3" i="26"/>
  <c r="G53" i="26"/>
  <c r="O53" i="26"/>
  <c r="W53" i="26"/>
  <c r="G3" i="26"/>
  <c r="O3" i="26"/>
  <c r="W3" i="26"/>
  <c r="G4" i="26"/>
  <c r="O4" i="26"/>
  <c r="W4" i="26"/>
  <c r="G5" i="26"/>
  <c r="O5" i="26"/>
  <c r="W5" i="26"/>
  <c r="G6" i="26"/>
  <c r="O6" i="26"/>
  <c r="W6" i="26"/>
  <c r="G7" i="26"/>
  <c r="O7" i="26"/>
  <c r="W7" i="26"/>
  <c r="G8" i="26"/>
  <c r="O8" i="26"/>
  <c r="W8" i="26"/>
  <c r="G9" i="26"/>
  <c r="O9" i="26"/>
  <c r="W9" i="26"/>
  <c r="G10" i="26"/>
  <c r="O10" i="26"/>
  <c r="W10" i="26"/>
  <c r="G11" i="26"/>
  <c r="O11" i="26"/>
  <c r="W11" i="26"/>
  <c r="G12" i="26"/>
  <c r="O12" i="26"/>
  <c r="W12" i="26"/>
  <c r="G13" i="26"/>
  <c r="O13" i="26"/>
  <c r="W13" i="26"/>
  <c r="G14" i="26"/>
  <c r="O14" i="26"/>
  <c r="W14" i="26"/>
  <c r="G15" i="26"/>
  <c r="O15" i="26"/>
  <c r="W15" i="26"/>
  <c r="G16" i="26"/>
  <c r="O16" i="26"/>
  <c r="W16" i="26"/>
  <c r="G17" i="26"/>
  <c r="O17" i="26"/>
  <c r="W17" i="26"/>
  <c r="G18" i="26"/>
  <c r="O18" i="26"/>
  <c r="W18" i="26"/>
  <c r="G19" i="26"/>
  <c r="O19" i="26"/>
  <c r="W19" i="26"/>
  <c r="G20" i="26"/>
  <c r="O20" i="26"/>
  <c r="W20" i="26"/>
  <c r="G21" i="26"/>
  <c r="O21" i="26"/>
  <c r="W21" i="26"/>
  <c r="G22" i="26"/>
  <c r="O22" i="26"/>
  <c r="W22" i="26"/>
  <c r="G23" i="26"/>
  <c r="O23" i="26"/>
  <c r="W23" i="26"/>
  <c r="G24" i="26"/>
  <c r="O24" i="26"/>
  <c r="W24" i="26"/>
  <c r="G25" i="26"/>
  <c r="O25" i="26"/>
  <c r="W25" i="26"/>
  <c r="G26" i="26"/>
  <c r="O26" i="26"/>
  <c r="W26" i="26"/>
  <c r="G27" i="26"/>
  <c r="O27" i="26"/>
  <c r="W27" i="26"/>
  <c r="G28" i="26"/>
  <c r="O28" i="26"/>
  <c r="W28" i="26"/>
  <c r="G29" i="26"/>
  <c r="O29" i="26"/>
  <c r="W29" i="26"/>
  <c r="G30" i="26"/>
  <c r="O30" i="26"/>
  <c r="W30" i="26"/>
  <c r="G31" i="26"/>
  <c r="O31" i="26"/>
  <c r="W31" i="26"/>
  <c r="G32" i="26"/>
  <c r="O32" i="26"/>
  <c r="W32" i="26"/>
  <c r="G33" i="26"/>
  <c r="O33" i="26"/>
  <c r="W33" i="26"/>
  <c r="G34" i="26"/>
  <c r="O34" i="26"/>
  <c r="W34" i="26"/>
  <c r="G35" i="26"/>
  <c r="O35" i="26"/>
  <c r="W35" i="26"/>
  <c r="G36" i="26"/>
  <c r="O36" i="26"/>
  <c r="W36" i="26"/>
  <c r="G37" i="26"/>
  <c r="O37" i="26"/>
  <c r="W37" i="26"/>
  <c r="G38" i="26"/>
  <c r="O38" i="26"/>
  <c r="W38" i="26"/>
  <c r="G39" i="26"/>
  <c r="O39" i="26"/>
  <c r="W39" i="26"/>
  <c r="G40" i="26"/>
  <c r="O40" i="26"/>
  <c r="W40" i="26"/>
  <c r="G41" i="26"/>
  <c r="O41" i="26"/>
  <c r="W41" i="26"/>
  <c r="G42" i="26"/>
  <c r="O42" i="26"/>
  <c r="W42" i="26"/>
  <c r="G43" i="26"/>
  <c r="O43" i="26"/>
  <c r="W43" i="26"/>
  <c r="G44" i="26"/>
  <c r="O44" i="26"/>
  <c r="W44" i="26"/>
  <c r="G45" i="26"/>
  <c r="O45" i="26"/>
  <c r="W45" i="26"/>
  <c r="G46" i="26"/>
  <c r="O46" i="26"/>
  <c r="W46" i="26"/>
  <c r="G47" i="26"/>
  <c r="O47" i="26"/>
  <c r="W47" i="26"/>
  <c r="G48" i="26"/>
  <c r="O48" i="26"/>
  <c r="W48" i="26"/>
  <c r="G49" i="26"/>
  <c r="O49" i="26"/>
  <c r="W49" i="26"/>
  <c r="G50" i="26"/>
  <c r="O50" i="26"/>
  <c r="W50" i="26"/>
  <c r="G51" i="26"/>
  <c r="O51" i="26"/>
  <c r="W51" i="26"/>
  <c r="G52" i="26"/>
  <c r="O52" i="26"/>
  <c r="W52" i="26"/>
  <c r="AE53" i="26"/>
  <c r="F53" i="26"/>
  <c r="N53" i="26"/>
  <c r="V53" i="26"/>
  <c r="F3" i="26"/>
  <c r="N3" i="26"/>
  <c r="V3" i="26"/>
  <c r="F4" i="26"/>
  <c r="N4" i="26"/>
  <c r="V4" i="26"/>
  <c r="F5" i="26"/>
  <c r="N5" i="26"/>
  <c r="V5" i="26"/>
  <c r="F6" i="26"/>
  <c r="N6" i="26"/>
  <c r="V6" i="26"/>
  <c r="F7" i="26"/>
  <c r="N7" i="26"/>
  <c r="V7" i="26"/>
  <c r="F8" i="26"/>
  <c r="N8" i="26"/>
  <c r="V8" i="26"/>
  <c r="F9" i="26"/>
  <c r="N9" i="26"/>
  <c r="V9" i="26"/>
  <c r="F10" i="26"/>
  <c r="N10" i="26"/>
  <c r="V10" i="26"/>
  <c r="F11" i="26"/>
  <c r="N11" i="26"/>
  <c r="V11" i="26"/>
  <c r="F12" i="26"/>
  <c r="N12" i="26"/>
  <c r="V12" i="26"/>
  <c r="F13" i="26"/>
  <c r="N13" i="26"/>
  <c r="V13" i="26"/>
  <c r="F14" i="26"/>
  <c r="N14" i="26"/>
  <c r="V14" i="26"/>
  <c r="F15" i="26"/>
  <c r="N15" i="26"/>
  <c r="V15" i="26"/>
  <c r="F16" i="26"/>
  <c r="N16" i="26"/>
  <c r="V16" i="26"/>
  <c r="F17" i="26"/>
  <c r="N17" i="26"/>
  <c r="V17" i="26"/>
  <c r="F18" i="26"/>
  <c r="N18" i="26"/>
  <c r="V18" i="26"/>
  <c r="F19" i="26"/>
  <c r="N19" i="26"/>
  <c r="V19" i="26"/>
  <c r="F20" i="26"/>
  <c r="N20" i="26"/>
  <c r="V20" i="26"/>
  <c r="F21" i="26"/>
  <c r="N21" i="26"/>
  <c r="V21" i="26"/>
  <c r="F22" i="26"/>
  <c r="N22" i="26"/>
  <c r="V22" i="26"/>
  <c r="F23" i="26"/>
  <c r="N23" i="26"/>
  <c r="V23" i="26"/>
  <c r="F24" i="26"/>
  <c r="N24" i="26"/>
  <c r="V24" i="26"/>
  <c r="F25" i="26"/>
  <c r="N25" i="26"/>
  <c r="V25" i="26"/>
  <c r="F26" i="26"/>
  <c r="N26" i="26"/>
  <c r="V26" i="26"/>
  <c r="F27" i="26"/>
  <c r="N27" i="26"/>
  <c r="V27" i="26"/>
  <c r="F28" i="26"/>
  <c r="N28" i="26"/>
  <c r="V28" i="26"/>
  <c r="F29" i="26"/>
  <c r="N29" i="26"/>
  <c r="V29" i="26"/>
  <c r="F30" i="26"/>
  <c r="N30" i="26"/>
  <c r="V30" i="26"/>
  <c r="F31" i="26"/>
  <c r="N31" i="26"/>
  <c r="V31" i="26"/>
  <c r="F32" i="26"/>
  <c r="N32" i="26"/>
  <c r="V32" i="26"/>
  <c r="F33" i="26"/>
  <c r="N33" i="26"/>
  <c r="V33" i="26"/>
  <c r="F34" i="26"/>
  <c r="N34" i="26"/>
  <c r="V34" i="26"/>
  <c r="F35" i="26"/>
  <c r="N35" i="26"/>
  <c r="V35" i="26"/>
  <c r="F36" i="26"/>
  <c r="N36" i="26"/>
  <c r="V36" i="26"/>
  <c r="F37" i="26"/>
  <c r="N37" i="26"/>
  <c r="V37" i="26"/>
  <c r="F38" i="26"/>
  <c r="N38" i="26"/>
  <c r="V38" i="26"/>
  <c r="F39" i="26"/>
  <c r="N39" i="26"/>
  <c r="V39" i="26"/>
  <c r="F40" i="26"/>
  <c r="N40" i="26"/>
  <c r="V40" i="26"/>
  <c r="F41" i="26"/>
  <c r="N41" i="26"/>
  <c r="V41" i="26"/>
  <c r="F42" i="26"/>
  <c r="N42" i="26"/>
  <c r="V42" i="26"/>
  <c r="F43" i="26"/>
  <c r="N43" i="26"/>
  <c r="V43" i="26"/>
  <c r="F44" i="26"/>
  <c r="N44" i="26"/>
  <c r="V44" i="26"/>
  <c r="F45" i="26"/>
  <c r="N45" i="26"/>
  <c r="V45" i="26"/>
  <c r="F46" i="26"/>
  <c r="N46" i="26"/>
  <c r="V46" i="26"/>
  <c r="F47" i="26"/>
  <c r="N47" i="26"/>
  <c r="V47" i="26"/>
  <c r="F48" i="26"/>
  <c r="N48" i="26"/>
  <c r="V48" i="26"/>
  <c r="F49" i="26"/>
  <c r="N49" i="26"/>
  <c r="V49" i="26"/>
  <c r="F50" i="26"/>
  <c r="N50" i="26"/>
  <c r="V50" i="26"/>
  <c r="F51" i="26"/>
  <c r="N51" i="26"/>
  <c r="V51" i="26"/>
  <c r="F52" i="26"/>
  <c r="N52" i="26"/>
  <c r="V52" i="26"/>
  <c r="AD53" i="26"/>
  <c r="E53" i="26"/>
  <c r="M53" i="26"/>
  <c r="U53" i="26"/>
  <c r="E3" i="26"/>
  <c r="M3" i="26"/>
  <c r="U3" i="26"/>
  <c r="E4" i="26"/>
  <c r="M4" i="26"/>
  <c r="U4" i="26"/>
  <c r="E5" i="26"/>
  <c r="M5" i="26"/>
  <c r="U5" i="26"/>
  <c r="E6" i="26"/>
  <c r="M6" i="26"/>
  <c r="U6" i="26"/>
  <c r="E7" i="26"/>
  <c r="M7" i="26"/>
  <c r="U7" i="26"/>
  <c r="E8" i="26"/>
  <c r="M8" i="26"/>
  <c r="U8" i="26"/>
  <c r="E9" i="26"/>
  <c r="M9" i="26"/>
  <c r="U9" i="26"/>
  <c r="E10" i="26"/>
  <c r="M10" i="26"/>
  <c r="U10" i="26"/>
  <c r="E11" i="26"/>
  <c r="M11" i="26"/>
  <c r="U11" i="26"/>
  <c r="E12" i="26"/>
  <c r="M12" i="26"/>
  <c r="U12" i="26"/>
  <c r="E13" i="26"/>
  <c r="M13" i="26"/>
  <c r="U13" i="26"/>
  <c r="E14" i="26"/>
  <c r="M14" i="26"/>
  <c r="U14" i="26"/>
  <c r="E15" i="26"/>
  <c r="M15" i="26"/>
  <c r="U15" i="26"/>
  <c r="E16" i="26"/>
  <c r="M16" i="26"/>
  <c r="U16" i="26"/>
  <c r="E17" i="26"/>
  <c r="M17" i="26"/>
  <c r="U17" i="26"/>
  <c r="E18" i="26"/>
  <c r="M18" i="26"/>
  <c r="U18" i="26"/>
  <c r="E19" i="26"/>
  <c r="M19" i="26"/>
  <c r="U19" i="26"/>
  <c r="E20" i="26"/>
  <c r="M20" i="26"/>
  <c r="U20" i="26"/>
  <c r="E21" i="26"/>
  <c r="M21" i="26"/>
  <c r="U21" i="26"/>
  <c r="E22" i="26"/>
  <c r="M22" i="26"/>
  <c r="U22" i="26"/>
  <c r="E23" i="26"/>
  <c r="M23" i="26"/>
  <c r="U23" i="26"/>
  <c r="E24" i="26"/>
  <c r="M24" i="26"/>
  <c r="U24" i="26"/>
  <c r="E25" i="26"/>
  <c r="M25" i="26"/>
  <c r="U25" i="26"/>
  <c r="E26" i="26"/>
  <c r="M26" i="26"/>
  <c r="U26" i="26"/>
  <c r="E27" i="26"/>
  <c r="M27" i="26"/>
  <c r="U27" i="26"/>
  <c r="E28" i="26"/>
  <c r="M28" i="26"/>
  <c r="U28" i="26"/>
  <c r="E29" i="26"/>
  <c r="M29" i="26"/>
  <c r="U29" i="26"/>
  <c r="E30" i="26"/>
  <c r="M30" i="26"/>
  <c r="U30" i="26"/>
  <c r="E31" i="26"/>
  <c r="M31" i="26"/>
  <c r="U31" i="26"/>
  <c r="E32" i="26"/>
  <c r="M32" i="26"/>
  <c r="U32" i="26"/>
  <c r="E33" i="26"/>
  <c r="M33" i="26"/>
  <c r="U33" i="26"/>
  <c r="E34" i="26"/>
  <c r="M34" i="26"/>
  <c r="U34" i="26"/>
  <c r="E35" i="26"/>
  <c r="M35" i="26"/>
  <c r="U35" i="26"/>
  <c r="E36" i="26"/>
  <c r="M36" i="26"/>
  <c r="U36" i="26"/>
  <c r="E37" i="26"/>
  <c r="M37" i="26"/>
  <c r="U37" i="26"/>
  <c r="E38" i="26"/>
  <c r="M38" i="26"/>
  <c r="U38" i="26"/>
  <c r="E39" i="26"/>
  <c r="M39" i="26"/>
  <c r="U39" i="26"/>
  <c r="E40" i="26"/>
  <c r="M40" i="26"/>
  <c r="U40" i="26"/>
  <c r="E41" i="26"/>
  <c r="M41" i="26"/>
  <c r="U41" i="26"/>
  <c r="E42" i="26"/>
  <c r="M42" i="26"/>
  <c r="U42" i="26"/>
  <c r="E43" i="26"/>
  <c r="M43" i="26"/>
  <c r="U43" i="26"/>
  <c r="E44" i="26"/>
  <c r="M44" i="26"/>
  <c r="U44" i="26"/>
  <c r="E45" i="26"/>
  <c r="M45" i="26"/>
  <c r="U45" i="26"/>
  <c r="E46" i="26"/>
  <c r="M46" i="26"/>
  <c r="U46" i="26"/>
  <c r="E47" i="26"/>
  <c r="M47" i="26"/>
  <c r="U47" i="26"/>
  <c r="E48" i="26"/>
  <c r="M48" i="26"/>
  <c r="U48" i="26"/>
  <c r="E49" i="26"/>
  <c r="M49" i="26"/>
  <c r="U49" i="26"/>
  <c r="E50" i="26"/>
  <c r="M50" i="26"/>
  <c r="U50" i="26"/>
  <c r="E51" i="26"/>
  <c r="M51" i="26"/>
  <c r="U51" i="26"/>
  <c r="E52" i="26"/>
  <c r="M52" i="26"/>
  <c r="U52" i="26"/>
  <c r="AC53" i="26"/>
  <c r="D53" i="26"/>
  <c r="L53" i="26"/>
  <c r="T53" i="26"/>
  <c r="D3" i="26"/>
  <c r="L3" i="26"/>
  <c r="T3" i="26"/>
  <c r="D4" i="26"/>
  <c r="L4" i="26"/>
  <c r="T4" i="26"/>
  <c r="D5" i="26"/>
  <c r="L5" i="26"/>
  <c r="T5" i="26"/>
  <c r="D6" i="26"/>
  <c r="L6" i="26"/>
  <c r="T6" i="26"/>
  <c r="D7" i="26"/>
  <c r="L7" i="26"/>
  <c r="T7" i="26"/>
  <c r="D8" i="26"/>
  <c r="L8" i="26"/>
  <c r="T8" i="26"/>
  <c r="D9" i="26"/>
  <c r="L9" i="26"/>
  <c r="T9" i="26"/>
  <c r="D10" i="26"/>
  <c r="L10" i="26"/>
  <c r="T10" i="26"/>
  <c r="D11" i="26"/>
  <c r="L11" i="26"/>
  <c r="T11" i="26"/>
  <c r="D12" i="26"/>
  <c r="L12" i="26"/>
  <c r="T12" i="26"/>
  <c r="D13" i="26"/>
  <c r="L13" i="26"/>
  <c r="T13" i="26"/>
  <c r="D14" i="26"/>
  <c r="L14" i="26"/>
  <c r="T14" i="26"/>
  <c r="D15" i="26"/>
  <c r="L15" i="26"/>
  <c r="T15" i="26"/>
  <c r="D16" i="26"/>
  <c r="L16" i="26"/>
  <c r="T16" i="26"/>
  <c r="D17" i="26"/>
  <c r="L17" i="26"/>
  <c r="T17" i="26"/>
  <c r="D18" i="26"/>
  <c r="L18" i="26"/>
  <c r="T18" i="26"/>
  <c r="D19" i="26"/>
  <c r="L19" i="26"/>
  <c r="T19" i="26"/>
  <c r="D20" i="26"/>
  <c r="L20" i="26"/>
  <c r="T20" i="26"/>
  <c r="D21" i="26"/>
  <c r="L21" i="26"/>
  <c r="T21" i="26"/>
  <c r="D22" i="26"/>
  <c r="L22" i="26"/>
  <c r="T22" i="26"/>
  <c r="D23" i="26"/>
  <c r="L23" i="26"/>
  <c r="T23" i="26"/>
  <c r="D24" i="26"/>
  <c r="L24" i="26"/>
  <c r="T24" i="26"/>
  <c r="D25" i="26"/>
  <c r="L25" i="26"/>
  <c r="T25" i="26"/>
  <c r="D26" i="26"/>
  <c r="L26" i="26"/>
  <c r="T26" i="26"/>
  <c r="D27" i="26"/>
  <c r="L27" i="26"/>
  <c r="T27" i="26"/>
  <c r="D28" i="26"/>
  <c r="L28" i="26"/>
  <c r="T28" i="26"/>
  <c r="D29" i="26"/>
  <c r="L29" i="26"/>
  <c r="T29" i="26"/>
  <c r="D30" i="26"/>
  <c r="L30" i="26"/>
  <c r="T30" i="26"/>
  <c r="D31" i="26"/>
  <c r="L31" i="26"/>
  <c r="T31" i="26"/>
  <c r="D32" i="26"/>
  <c r="L32" i="26"/>
  <c r="T32" i="26"/>
  <c r="D33" i="26"/>
  <c r="L33" i="26"/>
  <c r="T33" i="26"/>
  <c r="D34" i="26"/>
  <c r="L34" i="26"/>
  <c r="T34" i="26"/>
  <c r="D35" i="26"/>
  <c r="L35" i="26"/>
  <c r="T35" i="26"/>
  <c r="D36" i="26"/>
  <c r="L36" i="26"/>
  <c r="T36" i="26"/>
  <c r="D37" i="26"/>
  <c r="L37" i="26"/>
  <c r="T37" i="26"/>
  <c r="D38" i="26"/>
  <c r="L38" i="26"/>
  <c r="T38" i="26"/>
  <c r="D39" i="26"/>
  <c r="L39" i="26"/>
  <c r="T39" i="26"/>
  <c r="D40" i="26"/>
  <c r="L40" i="26"/>
  <c r="T40" i="26"/>
  <c r="D41" i="26"/>
  <c r="L41" i="26"/>
  <c r="T41" i="26"/>
  <c r="D42" i="26"/>
  <c r="L42" i="26"/>
  <c r="T42" i="26"/>
  <c r="D43" i="26"/>
  <c r="L43" i="26"/>
  <c r="T43" i="26"/>
  <c r="D44" i="26"/>
  <c r="L44" i="26"/>
  <c r="T44" i="26"/>
  <c r="D45" i="26"/>
  <c r="L45" i="26"/>
  <c r="T45" i="26"/>
  <c r="D46" i="26"/>
  <c r="L46" i="26"/>
  <c r="T46" i="26"/>
  <c r="D47" i="26"/>
  <c r="L47" i="26"/>
  <c r="T47" i="26"/>
  <c r="D48" i="26"/>
  <c r="L48" i="26"/>
  <c r="T48" i="26"/>
  <c r="D49" i="26"/>
  <c r="L49" i="26"/>
  <c r="T49" i="26"/>
  <c r="D50" i="26"/>
  <c r="L50" i="26"/>
  <c r="T50" i="26"/>
  <c r="D51" i="26"/>
  <c r="L51" i="26"/>
  <c r="T51" i="26"/>
  <c r="D52" i="26"/>
  <c r="L52" i="26"/>
  <c r="T52" i="26"/>
  <c r="AB53" i="26"/>
  <c r="C53" i="26"/>
  <c r="K53" i="26"/>
  <c r="S53" i="26"/>
  <c r="C3" i="26"/>
  <c r="K3" i="26"/>
  <c r="S3" i="26"/>
  <c r="C4" i="26"/>
  <c r="K4" i="26"/>
  <c r="S4" i="26"/>
  <c r="C5" i="26"/>
  <c r="K5" i="26"/>
  <c r="S5" i="26"/>
  <c r="C6" i="26"/>
  <c r="K6" i="26"/>
  <c r="S6" i="26"/>
  <c r="C7" i="26"/>
  <c r="K7" i="26"/>
  <c r="S7" i="26"/>
  <c r="C8" i="26"/>
  <c r="K8" i="26"/>
  <c r="S8" i="26"/>
  <c r="C9" i="26"/>
  <c r="K9" i="26"/>
  <c r="S9" i="26"/>
  <c r="C10" i="26"/>
  <c r="K10" i="26"/>
  <c r="S10" i="26"/>
  <c r="C11" i="26"/>
  <c r="K11" i="26"/>
  <c r="S11" i="26"/>
  <c r="C12" i="26"/>
  <c r="K12" i="26"/>
  <c r="S12" i="26"/>
  <c r="C13" i="26"/>
  <c r="K13" i="26"/>
  <c r="S13" i="26"/>
  <c r="C14" i="26"/>
  <c r="K14" i="26"/>
  <c r="S14" i="26"/>
  <c r="C15" i="26"/>
  <c r="K15" i="26"/>
  <c r="S15" i="26"/>
  <c r="C16" i="26"/>
  <c r="K16" i="26"/>
  <c r="S16" i="26"/>
  <c r="C17" i="26"/>
  <c r="K17" i="26"/>
  <c r="S17" i="26"/>
  <c r="C18" i="26"/>
  <c r="K18" i="26"/>
  <c r="S18" i="26"/>
  <c r="C19" i="26"/>
  <c r="K19" i="26"/>
  <c r="S19" i="26"/>
  <c r="C20" i="26"/>
  <c r="K20" i="26"/>
  <c r="S20" i="26"/>
  <c r="C21" i="26"/>
  <c r="K21" i="26"/>
  <c r="S21" i="26"/>
  <c r="C22" i="26"/>
  <c r="K22" i="26"/>
  <c r="S22" i="26"/>
  <c r="C23" i="26"/>
  <c r="K23" i="26"/>
  <c r="S23" i="26"/>
  <c r="C24" i="26"/>
  <c r="K24" i="26"/>
  <c r="S24" i="26"/>
  <c r="C25" i="26"/>
  <c r="K25" i="26"/>
  <c r="S25" i="26"/>
  <c r="C26" i="26"/>
  <c r="K26" i="26"/>
  <c r="S26" i="26"/>
  <c r="C27" i="26"/>
  <c r="K27" i="26"/>
  <c r="S27" i="26"/>
  <c r="C28" i="26"/>
  <c r="K28" i="26"/>
  <c r="S28" i="26"/>
  <c r="C29" i="26"/>
  <c r="K29" i="26"/>
  <c r="S29" i="26"/>
  <c r="C30" i="26"/>
  <c r="K30" i="26"/>
  <c r="S30" i="26"/>
  <c r="C31" i="26"/>
  <c r="K31" i="26"/>
  <c r="S31" i="26"/>
  <c r="C32" i="26"/>
  <c r="K32" i="26"/>
  <c r="S32" i="26"/>
  <c r="C33" i="26"/>
  <c r="K33" i="26"/>
  <c r="S33" i="26"/>
  <c r="C34" i="26"/>
  <c r="K34" i="26"/>
  <c r="S34" i="26"/>
  <c r="C35" i="26"/>
  <c r="K35" i="26"/>
  <c r="S35" i="26"/>
  <c r="C36" i="26"/>
  <c r="K36" i="26"/>
  <c r="S36" i="26"/>
  <c r="C37" i="26"/>
  <c r="K37" i="26"/>
  <c r="S37" i="26"/>
  <c r="C38" i="26"/>
  <c r="K38" i="26"/>
  <c r="S38" i="26"/>
  <c r="C39" i="26"/>
  <c r="K39" i="26"/>
  <c r="S39" i="26"/>
  <c r="C40" i="26"/>
  <c r="K40" i="26"/>
  <c r="S40" i="26"/>
  <c r="C41" i="26"/>
  <c r="K41" i="26"/>
  <c r="S41" i="26"/>
  <c r="C42" i="26"/>
  <c r="K42" i="26"/>
  <c r="S42" i="26"/>
  <c r="C43" i="26"/>
  <c r="K43" i="26"/>
  <c r="S43" i="26"/>
  <c r="C44" i="26"/>
  <c r="K44" i="26"/>
  <c r="S44" i="26"/>
  <c r="C45" i="26"/>
  <c r="K45" i="26"/>
  <c r="S45" i="26"/>
  <c r="C46" i="26"/>
  <c r="K46" i="26"/>
  <c r="S46" i="26"/>
  <c r="C47" i="26"/>
  <c r="K47" i="26"/>
  <c r="S47" i="26"/>
  <c r="C48" i="26"/>
  <c r="K48" i="26"/>
  <c r="S48" i="26"/>
  <c r="C49" i="26"/>
  <c r="K49" i="26"/>
  <c r="S49" i="26"/>
  <c r="C50" i="26"/>
  <c r="K50" i="26"/>
  <c r="S50" i="26"/>
  <c r="C51" i="26"/>
  <c r="K51" i="26"/>
  <c r="S51" i="26"/>
  <c r="C52" i="26"/>
  <c r="K52" i="26"/>
  <c r="S52" i="26"/>
  <c r="AA53" i="26"/>
  <c r="AE52" i="26"/>
  <c r="AD52" i="26"/>
  <c r="AC52" i="26"/>
  <c r="AB52" i="26"/>
  <c r="AA52" i="26"/>
  <c r="AE51" i="26"/>
  <c r="AD51" i="26"/>
  <c r="AC51" i="26"/>
  <c r="AB51" i="26"/>
  <c r="AA51" i="26"/>
  <c r="AE50" i="26"/>
  <c r="AD50" i="26"/>
  <c r="AC50" i="26"/>
  <c r="AB50" i="26"/>
  <c r="AA50" i="26"/>
  <c r="AE49" i="26"/>
  <c r="AD49" i="26"/>
  <c r="AC49" i="26"/>
  <c r="AB49" i="26"/>
  <c r="AA49" i="26"/>
  <c r="AE48" i="26"/>
  <c r="AD48" i="26"/>
  <c r="AC48" i="26"/>
  <c r="AB48" i="26"/>
  <c r="AA48" i="26"/>
  <c r="AE47" i="26"/>
  <c r="AD47" i="26"/>
  <c r="AC47" i="26"/>
  <c r="AB47" i="26"/>
  <c r="AA47" i="26"/>
  <c r="AE46" i="26"/>
  <c r="AD46" i="26"/>
  <c r="AC46" i="26"/>
  <c r="AB46" i="26"/>
  <c r="AA46" i="26"/>
  <c r="AE45" i="26"/>
  <c r="AD45" i="26"/>
  <c r="AC45" i="26"/>
  <c r="AB45" i="26"/>
  <c r="AA45" i="26"/>
  <c r="AE44" i="26"/>
  <c r="AD44" i="26"/>
  <c r="AC44" i="26"/>
  <c r="AB44" i="26"/>
  <c r="AA44" i="26"/>
  <c r="AE43" i="26"/>
  <c r="AD43" i="26"/>
  <c r="AC43" i="26"/>
  <c r="AB43" i="26"/>
  <c r="AA43" i="26"/>
  <c r="AE42" i="26"/>
  <c r="AD42" i="26"/>
  <c r="AC42" i="26"/>
  <c r="AB42" i="26"/>
  <c r="AA42" i="26"/>
  <c r="AE41" i="26"/>
  <c r="AD41" i="26"/>
  <c r="AC41" i="26"/>
  <c r="AB41" i="26"/>
  <c r="AA41" i="26"/>
  <c r="AE40" i="26"/>
  <c r="AD40" i="26"/>
  <c r="AC40" i="26"/>
  <c r="AB40" i="26"/>
  <c r="AA40" i="26"/>
  <c r="AE39" i="26"/>
  <c r="AD39" i="26"/>
  <c r="AC39" i="26"/>
  <c r="AB39" i="26"/>
  <c r="AA39" i="26"/>
  <c r="AE38" i="26"/>
  <c r="AD38" i="26"/>
  <c r="AC38" i="26"/>
  <c r="AB38" i="26"/>
  <c r="AA38" i="26"/>
  <c r="AE37" i="26"/>
  <c r="AD37" i="26"/>
  <c r="AC37" i="26"/>
  <c r="AB37" i="26"/>
  <c r="AA37" i="26"/>
  <c r="AE36" i="26"/>
  <c r="AD36" i="26"/>
  <c r="AC36" i="26"/>
  <c r="AB36" i="26"/>
  <c r="AA36" i="26"/>
  <c r="AE35" i="26"/>
  <c r="AD35" i="26"/>
  <c r="AC35" i="26"/>
  <c r="AB35" i="26"/>
  <c r="AA35" i="26"/>
  <c r="AE34" i="26"/>
  <c r="AD34" i="26"/>
  <c r="AC34" i="26"/>
  <c r="AB34" i="26"/>
  <c r="AA34" i="26"/>
  <c r="AE33" i="26"/>
  <c r="AD33" i="26"/>
  <c r="AC33" i="26"/>
  <c r="AB33" i="26"/>
  <c r="AA33" i="26"/>
  <c r="AE32" i="26"/>
  <c r="AD32" i="26"/>
  <c r="AC32" i="26"/>
  <c r="AB32" i="26"/>
  <c r="AA32" i="26"/>
  <c r="AE31" i="26"/>
  <c r="AD31" i="26"/>
  <c r="AC31" i="26"/>
  <c r="AB31" i="26"/>
  <c r="AA31" i="26"/>
  <c r="AE30" i="26"/>
  <c r="AD30" i="26"/>
  <c r="AC30" i="26"/>
  <c r="AB30" i="26"/>
  <c r="AA30" i="26"/>
  <c r="AE29" i="26"/>
  <c r="AD29" i="26"/>
  <c r="AC29" i="26"/>
  <c r="AB29" i="26"/>
  <c r="AA29" i="26"/>
  <c r="AE28" i="26"/>
  <c r="AD28" i="26"/>
  <c r="AC28" i="26"/>
  <c r="AB28" i="26"/>
  <c r="AA28" i="26"/>
  <c r="AE27" i="26"/>
  <c r="AD27" i="26"/>
  <c r="AC27" i="26"/>
  <c r="AB27" i="26"/>
  <c r="AA27" i="26"/>
  <c r="AE26" i="26"/>
  <c r="AD26" i="26"/>
  <c r="AC26" i="26"/>
  <c r="AB26" i="26"/>
  <c r="AA26" i="26"/>
  <c r="AE25" i="26"/>
  <c r="AD25" i="26"/>
  <c r="AC25" i="26"/>
  <c r="AB25" i="26"/>
  <c r="AA25" i="26"/>
  <c r="AE24" i="26"/>
  <c r="AD24" i="26"/>
  <c r="AC24" i="26"/>
  <c r="AB24" i="26"/>
  <c r="AA24" i="26"/>
  <c r="AE23" i="26"/>
  <c r="AD23" i="26"/>
  <c r="AC23" i="26"/>
  <c r="AB23" i="26"/>
  <c r="AA23" i="26"/>
  <c r="AE22" i="26"/>
  <c r="AD22" i="26"/>
  <c r="AC22" i="26"/>
  <c r="AB22" i="26"/>
  <c r="AA22" i="26"/>
  <c r="AE21" i="26"/>
  <c r="AD21" i="26"/>
  <c r="AC21" i="26"/>
  <c r="AB21" i="26"/>
  <c r="AA21" i="26"/>
  <c r="AE20" i="26"/>
  <c r="AD20" i="26"/>
  <c r="AC20" i="26"/>
  <c r="AB20" i="26"/>
  <c r="AA20" i="26"/>
  <c r="AE19" i="26"/>
  <c r="AD19" i="26"/>
  <c r="AC19" i="26"/>
  <c r="AB19" i="26"/>
  <c r="AA19" i="26"/>
  <c r="AE18" i="26"/>
  <c r="AD18" i="26"/>
  <c r="AC18" i="26"/>
  <c r="AB18" i="26"/>
  <c r="AA18" i="26"/>
  <c r="AE17" i="26"/>
  <c r="AD17" i="26"/>
  <c r="AC17" i="26"/>
  <c r="AB17" i="26"/>
  <c r="AA17" i="26"/>
  <c r="AE16" i="26"/>
  <c r="AD16" i="26"/>
  <c r="AC16" i="26"/>
  <c r="AB16" i="26"/>
  <c r="AA16" i="26"/>
  <c r="AE15" i="26"/>
  <c r="AD15" i="26"/>
  <c r="AC15" i="26"/>
  <c r="AB15" i="26"/>
  <c r="AA15" i="26"/>
  <c r="AE14" i="26"/>
  <c r="AD14" i="26"/>
  <c r="AC14" i="26"/>
  <c r="AB14" i="26"/>
  <c r="AA14" i="26"/>
  <c r="AE13" i="26"/>
  <c r="AD13" i="26"/>
  <c r="AC13" i="26"/>
  <c r="AB13" i="26"/>
  <c r="AA13" i="26"/>
  <c r="AE12" i="26"/>
  <c r="AD12" i="26"/>
  <c r="AC12" i="26"/>
  <c r="AB12" i="26"/>
  <c r="AA12" i="26"/>
  <c r="AE11" i="26"/>
  <c r="AD11" i="26"/>
  <c r="AC11" i="26"/>
  <c r="AB11" i="26"/>
  <c r="AA11" i="26"/>
  <c r="AE10" i="26"/>
  <c r="AD10" i="26"/>
  <c r="AC10" i="26"/>
  <c r="AB10" i="26"/>
  <c r="AA10" i="26"/>
  <c r="AE9" i="26"/>
  <c r="AD9" i="26"/>
  <c r="AC9" i="26"/>
  <c r="AB9" i="26"/>
  <c r="AA9" i="26"/>
  <c r="AE8" i="26"/>
  <c r="AD8" i="26"/>
  <c r="AC8" i="26"/>
  <c r="AB8" i="26"/>
  <c r="AA8" i="26"/>
  <c r="AE7" i="26"/>
  <c r="AD7" i="26"/>
  <c r="AC7" i="26"/>
  <c r="AB7" i="26"/>
  <c r="AA7" i="26"/>
  <c r="AE6" i="26"/>
  <c r="AD6" i="26"/>
  <c r="AC6" i="26"/>
  <c r="AB6" i="26"/>
  <c r="AA6" i="26"/>
  <c r="AE5" i="26"/>
  <c r="AD5" i="26"/>
  <c r="AC5" i="26"/>
  <c r="AB5" i="26"/>
  <c r="AA5" i="26"/>
  <c r="AE4" i="26"/>
  <c r="AD4" i="26"/>
  <c r="AC4" i="26"/>
  <c r="AB4" i="26"/>
  <c r="AA4" i="26"/>
  <c r="AE3" i="26"/>
  <c r="AD3" i="26"/>
  <c r="AC3" i="26"/>
  <c r="AB3" i="26"/>
  <c r="AA3" i="26"/>
  <c r="B53" i="26"/>
  <c r="J53" i="26"/>
  <c r="R53" i="26"/>
  <c r="B3" i="26"/>
  <c r="J3" i="26"/>
  <c r="R3" i="26"/>
  <c r="B4" i="26"/>
  <c r="J4" i="26"/>
  <c r="R4" i="26"/>
  <c r="B5" i="26"/>
  <c r="J5" i="26"/>
  <c r="R5" i="26"/>
  <c r="B6" i="26"/>
  <c r="J6" i="26"/>
  <c r="R6" i="26"/>
  <c r="B7" i="26"/>
  <c r="J7" i="26"/>
  <c r="R7" i="26"/>
  <c r="B8" i="26"/>
  <c r="J8" i="26"/>
  <c r="R8" i="26"/>
  <c r="B9" i="26"/>
  <c r="J9" i="26"/>
  <c r="R9" i="26"/>
  <c r="B10" i="26"/>
  <c r="J10" i="26"/>
  <c r="R10" i="26"/>
  <c r="B11" i="26"/>
  <c r="J11" i="26"/>
  <c r="R11" i="26"/>
  <c r="B12" i="26"/>
  <c r="J12" i="26"/>
  <c r="R12" i="26"/>
  <c r="B13" i="26"/>
  <c r="J13" i="26"/>
  <c r="R13" i="26"/>
  <c r="B14" i="26"/>
  <c r="J14" i="26"/>
  <c r="R14" i="26"/>
  <c r="B15" i="26"/>
  <c r="J15" i="26"/>
  <c r="R15" i="26"/>
  <c r="B16" i="26"/>
  <c r="J16" i="26"/>
  <c r="R16" i="26"/>
  <c r="B17" i="26"/>
  <c r="J17" i="26"/>
  <c r="R17" i="26"/>
  <c r="B18" i="26"/>
  <c r="J18" i="26"/>
  <c r="R18" i="26"/>
  <c r="B19" i="26"/>
  <c r="J19" i="26"/>
  <c r="R19" i="26"/>
  <c r="B20" i="26"/>
  <c r="J20" i="26"/>
  <c r="R20" i="26"/>
  <c r="B21" i="26"/>
  <c r="J21" i="26"/>
  <c r="R21" i="26"/>
  <c r="B22" i="26"/>
  <c r="J22" i="26"/>
  <c r="R22" i="26"/>
  <c r="B23" i="26"/>
  <c r="J23" i="26"/>
  <c r="R23" i="26"/>
  <c r="B24" i="26"/>
  <c r="J24" i="26"/>
  <c r="R24" i="26"/>
  <c r="B25" i="26"/>
  <c r="J25" i="26"/>
  <c r="R25" i="26"/>
  <c r="B26" i="26"/>
  <c r="J26" i="26"/>
  <c r="R26" i="26"/>
  <c r="B27" i="26"/>
  <c r="J27" i="26"/>
  <c r="R27" i="26"/>
  <c r="B28" i="26"/>
  <c r="J28" i="26"/>
  <c r="R28" i="26"/>
  <c r="B29" i="26"/>
  <c r="J29" i="26"/>
  <c r="R29" i="26"/>
  <c r="B30" i="26"/>
  <c r="J30" i="26"/>
  <c r="R30" i="26"/>
  <c r="B31" i="26"/>
  <c r="J31" i="26"/>
  <c r="R31" i="26"/>
  <c r="B32" i="26"/>
  <c r="J32" i="26"/>
  <c r="R32" i="26"/>
  <c r="B33" i="26"/>
  <c r="J33" i="26"/>
  <c r="R33" i="26"/>
  <c r="B34" i="26"/>
  <c r="J34" i="26"/>
  <c r="R34" i="26"/>
  <c r="B35" i="26"/>
  <c r="J35" i="26"/>
  <c r="R35" i="26"/>
  <c r="B36" i="26"/>
  <c r="J36" i="26"/>
  <c r="R36" i="26"/>
  <c r="B37" i="26"/>
  <c r="J37" i="26"/>
  <c r="R37" i="26"/>
  <c r="B38" i="26"/>
  <c r="J38" i="26"/>
  <c r="R38" i="26"/>
  <c r="B39" i="26"/>
  <c r="J39" i="26"/>
  <c r="R39" i="26"/>
  <c r="B40" i="26"/>
  <c r="J40" i="26"/>
  <c r="R40" i="26"/>
  <c r="B41" i="26"/>
  <c r="J41" i="26"/>
  <c r="R41" i="26"/>
  <c r="B42" i="26"/>
  <c r="J42" i="26"/>
  <c r="R42" i="26"/>
  <c r="B43" i="26"/>
  <c r="J43" i="26"/>
  <c r="R43" i="26"/>
  <c r="B44" i="26"/>
  <c r="J44" i="26"/>
  <c r="R44" i="26"/>
  <c r="B45" i="26"/>
  <c r="J45" i="26"/>
  <c r="R45" i="26"/>
  <c r="B46" i="26"/>
  <c r="J46" i="26"/>
  <c r="R46" i="26"/>
  <c r="B47" i="26"/>
  <c r="J47" i="26"/>
  <c r="R47" i="26"/>
  <c r="B48" i="26"/>
  <c r="J48" i="26"/>
  <c r="R48" i="26"/>
  <c r="B49" i="26"/>
  <c r="J49" i="26"/>
  <c r="R49" i="26"/>
  <c r="B50" i="26"/>
  <c r="J50" i="26"/>
  <c r="R50" i="26"/>
  <c r="B51" i="26"/>
  <c r="J51" i="26"/>
  <c r="R51" i="26"/>
  <c r="B52" i="26"/>
  <c r="J52" i="26"/>
  <c r="R52" i="26"/>
  <c r="Z53" i="26"/>
  <c r="Z52" i="26"/>
  <c r="Z51" i="26"/>
  <c r="Z50" i="26"/>
  <c r="Z49" i="26"/>
  <c r="Z48" i="26"/>
  <c r="Z47" i="26"/>
  <c r="Z46" i="26"/>
  <c r="Z45" i="26"/>
  <c r="Z44" i="26"/>
  <c r="Z43" i="26"/>
  <c r="Z42" i="26"/>
  <c r="Z41" i="26"/>
  <c r="Z40" i="26"/>
  <c r="Z39" i="26"/>
  <c r="Z38" i="26"/>
  <c r="Z37" i="26"/>
  <c r="Z36" i="26"/>
  <c r="Z35" i="26"/>
  <c r="Z34" i="26"/>
  <c r="Z33" i="26"/>
  <c r="Z32" i="26"/>
  <c r="Z31" i="26"/>
  <c r="Z30" i="26"/>
  <c r="Z29" i="26"/>
  <c r="Z28" i="26"/>
  <c r="Z27" i="26"/>
  <c r="Z26" i="26"/>
  <c r="Z25" i="26"/>
  <c r="Z24" i="26"/>
  <c r="Z23" i="26"/>
  <c r="Z22" i="26"/>
  <c r="Z21" i="26"/>
  <c r="Z20" i="26"/>
  <c r="Z19" i="26"/>
  <c r="Z18" i="26"/>
  <c r="Z17" i="26"/>
  <c r="Z16" i="26"/>
  <c r="Z15" i="26"/>
  <c r="Z14" i="26"/>
  <c r="Z13" i="26"/>
  <c r="Z12" i="26"/>
  <c r="Z11" i="26"/>
  <c r="Z10" i="26"/>
  <c r="Z9" i="26"/>
  <c r="Z8" i="26"/>
  <c r="Z7" i="26"/>
  <c r="Z6" i="26"/>
  <c r="Z5" i="26"/>
  <c r="Z4" i="26"/>
  <c r="Z3" i="26"/>
  <c r="G2" i="26"/>
  <c r="AE2" i="26"/>
  <c r="F2" i="26"/>
  <c r="AD2" i="26"/>
  <c r="E2" i="26"/>
  <c r="AC2" i="26"/>
  <c r="D2" i="26"/>
  <c r="AB2" i="26"/>
  <c r="C2" i="26"/>
  <c r="AA2" i="26"/>
  <c r="B2" i="26"/>
  <c r="Z2" i="26"/>
  <c r="W2" i="26"/>
  <c r="V2" i="26"/>
  <c r="U2" i="26"/>
  <c r="T2" i="26"/>
  <c r="S2" i="26"/>
  <c r="R2" i="26"/>
  <c r="O2" i="26"/>
  <c r="N2" i="26"/>
  <c r="M2" i="26"/>
  <c r="L2" i="26"/>
  <c r="K2" i="26"/>
  <c r="J2" i="26"/>
  <c r="A2" i="26"/>
  <c r="AA59" i="25"/>
  <c r="AA60" i="25"/>
  <c r="AA61" i="25"/>
  <c r="AA62" i="25"/>
  <c r="AA63" i="25"/>
  <c r="AA64" i="25"/>
  <c r="AA65" i="25"/>
  <c r="AA66" i="25"/>
  <c r="AA67" i="25"/>
  <c r="AA68" i="25"/>
  <c r="AA69" i="25"/>
  <c r="AA70" i="25"/>
  <c r="AA71" i="25"/>
  <c r="AA72" i="25"/>
  <c r="AA73" i="25"/>
  <c r="AA74" i="25"/>
  <c r="AA75" i="25"/>
  <c r="AA76" i="25"/>
  <c r="AA77" i="25"/>
  <c r="AA78" i="25"/>
  <c r="AA79" i="25"/>
  <c r="AA80" i="25"/>
  <c r="AA81" i="25"/>
  <c r="AA82" i="25"/>
  <c r="AA83" i="25"/>
  <c r="AA84" i="25"/>
  <c r="AA85" i="25"/>
  <c r="AA86" i="25"/>
  <c r="AA87" i="25"/>
  <c r="AA88" i="25"/>
  <c r="AA89" i="25"/>
  <c r="AA90" i="25"/>
  <c r="AA91" i="25"/>
  <c r="AA92" i="25"/>
  <c r="AA93" i="25"/>
  <c r="AA94" i="25"/>
  <c r="AA95" i="25"/>
  <c r="AA96" i="25"/>
  <c r="AA97" i="25"/>
  <c r="AA98" i="25"/>
  <c r="AA99" i="25"/>
  <c r="AA100" i="25"/>
  <c r="AA101" i="25"/>
  <c r="AA102" i="25"/>
  <c r="AA103" i="25"/>
  <c r="AA104" i="25"/>
  <c r="AA105" i="25"/>
  <c r="AA2" i="25"/>
  <c r="AA3" i="25"/>
  <c r="AA4" i="25"/>
  <c r="AA5" i="25"/>
  <c r="AA6" i="25"/>
  <c r="AA7" i="25"/>
  <c r="AA8" i="25"/>
  <c r="AA9" i="25"/>
  <c r="AA10" i="25"/>
  <c r="AA11" i="25"/>
  <c r="AA12" i="25"/>
  <c r="AA13" i="25"/>
  <c r="AA14" i="25"/>
  <c r="AA15" i="25"/>
  <c r="AA17" i="25"/>
  <c r="AA18" i="25"/>
  <c r="AA19" i="25"/>
  <c r="AA20" i="25"/>
  <c r="AA22" i="25"/>
  <c r="AA23" i="25"/>
  <c r="AA24" i="25"/>
  <c r="AA25" i="25"/>
  <c r="AA26" i="25"/>
  <c r="AA27" i="25"/>
  <c r="AA28" i="25"/>
  <c r="AA30" i="25"/>
  <c r="AA31" i="25"/>
  <c r="AA32" i="25"/>
  <c r="AA33" i="25"/>
  <c r="AA34" i="25"/>
  <c r="AA35" i="25"/>
  <c r="AA36" i="25"/>
  <c r="AA37" i="25"/>
  <c r="AA38" i="25"/>
  <c r="AA39" i="25"/>
  <c r="AA40" i="25"/>
  <c r="AA41" i="25"/>
  <c r="AA42" i="25"/>
  <c r="AA43" i="25"/>
  <c r="AA44" i="25"/>
  <c r="AA45" i="25"/>
  <c r="AA46" i="25"/>
  <c r="AA47" i="25"/>
  <c r="AA48" i="25"/>
  <c r="AA50" i="25"/>
  <c r="AA51" i="25"/>
  <c r="AA52" i="25"/>
  <c r="Z105" i="25"/>
  <c r="AH105" i="25"/>
  <c r="AH2" i="25"/>
  <c r="AH3" i="25"/>
  <c r="AH4" i="25"/>
  <c r="AH5" i="25"/>
  <c r="AH6" i="25"/>
  <c r="AH7" i="25"/>
  <c r="AH8" i="25"/>
  <c r="AH9" i="25"/>
  <c r="AH10" i="25"/>
  <c r="AH11" i="25"/>
  <c r="AH12" i="25"/>
  <c r="AH13" i="25"/>
  <c r="AH14" i="25"/>
  <c r="AH15" i="25"/>
  <c r="AH16" i="25"/>
  <c r="AH17" i="25"/>
  <c r="AH18" i="25"/>
  <c r="AH19" i="25"/>
  <c r="AH20" i="25"/>
  <c r="AH21" i="25"/>
  <c r="AH22" i="25"/>
  <c r="AH23" i="25"/>
  <c r="AH24" i="25"/>
  <c r="AH25" i="25"/>
  <c r="AH26" i="25"/>
  <c r="AH27" i="25"/>
  <c r="AH28" i="25"/>
  <c r="AH29" i="25"/>
  <c r="AH30" i="25"/>
  <c r="AH31" i="25"/>
  <c r="AH32" i="25"/>
  <c r="AH33" i="25"/>
  <c r="AH34" i="25"/>
  <c r="AH35" i="25"/>
  <c r="AH36" i="25"/>
  <c r="AH37" i="25"/>
  <c r="AH38" i="25"/>
  <c r="AH39" i="25"/>
  <c r="AH40" i="25"/>
  <c r="AH41" i="25"/>
  <c r="AH42" i="25"/>
  <c r="AH43" i="25"/>
  <c r="AH44" i="25"/>
  <c r="AH45" i="25"/>
  <c r="AH46" i="25"/>
  <c r="AH47" i="25"/>
  <c r="AH48" i="25"/>
  <c r="AH49" i="25"/>
  <c r="AH50" i="25"/>
  <c r="AH51" i="25"/>
  <c r="AH52" i="25"/>
  <c r="AG105" i="25"/>
  <c r="AF105" i="25"/>
  <c r="AE105" i="25"/>
  <c r="AD105" i="25"/>
  <c r="AC105" i="25"/>
  <c r="AB105" i="25"/>
  <c r="Z104" i="25"/>
  <c r="AH104" i="25"/>
  <c r="AG104" i="25"/>
  <c r="AF104" i="25"/>
  <c r="AE104" i="25"/>
  <c r="AD104" i="25"/>
  <c r="AC104" i="25"/>
  <c r="AB104" i="25"/>
  <c r="Z103" i="25"/>
  <c r="AH103" i="25"/>
  <c r="AG103" i="25"/>
  <c r="AF103" i="25"/>
  <c r="AE103" i="25"/>
  <c r="AD103" i="25"/>
  <c r="AC103" i="25"/>
  <c r="AB103" i="25"/>
  <c r="Z102" i="25"/>
  <c r="AH102" i="25"/>
  <c r="AG102" i="25"/>
  <c r="AF102" i="25"/>
  <c r="AE102" i="25"/>
  <c r="AD102" i="25"/>
  <c r="AC102" i="25"/>
  <c r="AB102" i="25"/>
  <c r="Z101" i="25"/>
  <c r="AH101" i="25"/>
  <c r="AG101" i="25"/>
  <c r="AF101" i="25"/>
  <c r="AE101" i="25"/>
  <c r="AD101" i="25"/>
  <c r="AC101" i="25"/>
  <c r="AB101" i="25"/>
  <c r="Z100" i="25"/>
  <c r="AH100" i="25"/>
  <c r="AG100" i="25"/>
  <c r="AF100" i="25"/>
  <c r="AE100" i="25"/>
  <c r="AD100" i="25"/>
  <c r="AC100" i="25"/>
  <c r="AB100" i="25"/>
  <c r="Z99" i="25"/>
  <c r="AH99" i="25"/>
  <c r="AG99" i="25"/>
  <c r="AF99" i="25"/>
  <c r="AE99" i="25"/>
  <c r="AD99" i="25"/>
  <c r="AC99" i="25"/>
  <c r="AB99" i="25"/>
  <c r="Z98" i="25"/>
  <c r="AH98" i="25"/>
  <c r="AG98" i="25"/>
  <c r="AF98" i="25"/>
  <c r="AE98" i="25"/>
  <c r="AD98" i="25"/>
  <c r="AC98" i="25"/>
  <c r="AB98" i="25"/>
  <c r="Z97" i="25"/>
  <c r="AH97" i="25"/>
  <c r="AG97" i="25"/>
  <c r="AF97" i="25"/>
  <c r="AE97" i="25"/>
  <c r="AD97" i="25"/>
  <c r="AC97" i="25"/>
  <c r="AB97" i="25"/>
  <c r="Z96" i="25"/>
  <c r="AH96" i="25"/>
  <c r="AG96" i="25"/>
  <c r="AF96" i="25"/>
  <c r="AE96" i="25"/>
  <c r="AD96" i="25"/>
  <c r="AC96" i="25"/>
  <c r="AB96" i="25"/>
  <c r="Z95" i="25"/>
  <c r="AH95" i="25"/>
  <c r="AG95" i="25"/>
  <c r="AF95" i="25"/>
  <c r="AE95" i="25"/>
  <c r="AD95" i="25"/>
  <c r="AC95" i="25"/>
  <c r="AB95" i="25"/>
  <c r="Z94" i="25"/>
  <c r="AH94" i="25"/>
  <c r="AG94" i="25"/>
  <c r="AF94" i="25"/>
  <c r="AE94" i="25"/>
  <c r="AD94" i="25"/>
  <c r="AC94" i="25"/>
  <c r="AB94" i="25"/>
  <c r="Z93" i="25"/>
  <c r="AH93" i="25"/>
  <c r="AG93" i="25"/>
  <c r="AF93" i="25"/>
  <c r="AE93" i="25"/>
  <c r="AD93" i="25"/>
  <c r="AC93" i="25"/>
  <c r="AB93" i="25"/>
  <c r="Z92" i="25"/>
  <c r="AH92" i="25"/>
  <c r="AG92" i="25"/>
  <c r="AF92" i="25"/>
  <c r="AE92" i="25"/>
  <c r="AD92" i="25"/>
  <c r="AC92" i="25"/>
  <c r="AB92" i="25"/>
  <c r="Z91" i="25"/>
  <c r="AH91" i="25"/>
  <c r="AG91" i="25"/>
  <c r="AF91" i="25"/>
  <c r="AE91" i="25"/>
  <c r="AD91" i="25"/>
  <c r="AC91" i="25"/>
  <c r="AB91" i="25"/>
  <c r="Z90" i="25"/>
  <c r="AH90" i="25"/>
  <c r="AG90" i="25"/>
  <c r="AF90" i="25"/>
  <c r="AE90" i="25"/>
  <c r="AD90" i="25"/>
  <c r="AC90" i="25"/>
  <c r="AB90" i="25"/>
  <c r="Z89" i="25"/>
  <c r="AH89" i="25"/>
  <c r="AG89" i="25"/>
  <c r="AF89" i="25"/>
  <c r="AE89" i="25"/>
  <c r="AD89" i="25"/>
  <c r="AC89" i="25"/>
  <c r="AB89" i="25"/>
  <c r="Z88" i="25"/>
  <c r="AH88" i="25"/>
  <c r="AG88" i="25"/>
  <c r="AF88" i="25"/>
  <c r="AE88" i="25"/>
  <c r="AD88" i="25"/>
  <c r="AC88" i="25"/>
  <c r="AB88" i="25"/>
  <c r="Z87" i="25"/>
  <c r="AH87" i="25"/>
  <c r="AG87" i="25"/>
  <c r="AF87" i="25"/>
  <c r="AE87" i="25"/>
  <c r="AD87" i="25"/>
  <c r="AC87" i="25"/>
  <c r="AB87" i="25"/>
  <c r="Z86" i="25"/>
  <c r="AH86" i="25"/>
  <c r="AG86" i="25"/>
  <c r="AF86" i="25"/>
  <c r="AE86" i="25"/>
  <c r="AD86" i="25"/>
  <c r="AC86" i="25"/>
  <c r="AB86" i="25"/>
  <c r="Z85" i="25"/>
  <c r="AH85" i="25"/>
  <c r="AG85" i="25"/>
  <c r="AF85" i="25"/>
  <c r="AE85" i="25"/>
  <c r="AD85" i="25"/>
  <c r="AC85" i="25"/>
  <c r="AB85" i="25"/>
  <c r="Z84" i="25"/>
  <c r="AH84" i="25"/>
  <c r="AG84" i="25"/>
  <c r="AF84" i="25"/>
  <c r="AE84" i="25"/>
  <c r="AD84" i="25"/>
  <c r="AC84" i="25"/>
  <c r="AB84" i="25"/>
  <c r="Z83" i="25"/>
  <c r="AH83" i="25"/>
  <c r="AG83" i="25"/>
  <c r="AF83" i="25"/>
  <c r="AE83" i="25"/>
  <c r="AD83" i="25"/>
  <c r="AC83" i="25"/>
  <c r="AB83" i="25"/>
  <c r="Z82" i="25"/>
  <c r="AH82" i="25"/>
  <c r="AG82" i="25"/>
  <c r="AF82" i="25"/>
  <c r="AE82" i="25"/>
  <c r="AD82" i="25"/>
  <c r="AC82" i="25"/>
  <c r="AB82" i="25"/>
  <c r="Z81" i="25"/>
  <c r="AH81" i="25"/>
  <c r="AG81" i="25"/>
  <c r="AF81" i="25"/>
  <c r="AE81" i="25"/>
  <c r="AD81" i="25"/>
  <c r="AC81" i="25"/>
  <c r="AB81" i="25"/>
  <c r="Z80" i="25"/>
  <c r="AH80" i="25"/>
  <c r="AG80" i="25"/>
  <c r="AF80" i="25"/>
  <c r="AE80" i="25"/>
  <c r="AD80" i="25"/>
  <c r="AC80" i="25"/>
  <c r="AB80" i="25"/>
  <c r="Z79" i="25"/>
  <c r="AH79" i="25"/>
  <c r="AG79" i="25"/>
  <c r="AF79" i="25"/>
  <c r="AE79" i="25"/>
  <c r="AD79" i="25"/>
  <c r="AC79" i="25"/>
  <c r="AB79" i="25"/>
  <c r="Z78" i="25"/>
  <c r="AH78" i="25"/>
  <c r="AG78" i="25"/>
  <c r="AF78" i="25"/>
  <c r="AE78" i="25"/>
  <c r="AD78" i="25"/>
  <c r="AC78" i="25"/>
  <c r="AB78" i="25"/>
  <c r="Z77" i="25"/>
  <c r="AH77" i="25"/>
  <c r="AG77" i="25"/>
  <c r="AF77" i="25"/>
  <c r="AE77" i="25"/>
  <c r="AD77" i="25"/>
  <c r="AC77" i="25"/>
  <c r="AB77" i="25"/>
  <c r="Z76" i="25"/>
  <c r="AH76" i="25"/>
  <c r="AG76" i="25"/>
  <c r="AF76" i="25"/>
  <c r="AE76" i="25"/>
  <c r="AD76" i="25"/>
  <c r="AC76" i="25"/>
  <c r="AB76" i="25"/>
  <c r="Z75" i="25"/>
  <c r="AH75" i="25"/>
  <c r="AG75" i="25"/>
  <c r="AF75" i="25"/>
  <c r="AE75" i="25"/>
  <c r="AD75" i="25"/>
  <c r="AC75" i="25"/>
  <c r="AB75" i="25"/>
  <c r="Z74" i="25"/>
  <c r="AH74" i="25"/>
  <c r="AG74" i="25"/>
  <c r="AF74" i="25"/>
  <c r="AE74" i="25"/>
  <c r="AD74" i="25"/>
  <c r="AC74" i="25"/>
  <c r="AB74" i="25"/>
  <c r="Z73" i="25"/>
  <c r="AH73" i="25"/>
  <c r="AG73" i="25"/>
  <c r="AF73" i="25"/>
  <c r="AE73" i="25"/>
  <c r="AD73" i="25"/>
  <c r="AC73" i="25"/>
  <c r="AB73" i="25"/>
  <c r="Z72" i="25"/>
  <c r="AH72" i="25"/>
  <c r="AG72" i="25"/>
  <c r="AF72" i="25"/>
  <c r="AE72" i="25"/>
  <c r="AD72" i="25"/>
  <c r="AC72" i="25"/>
  <c r="AB72" i="25"/>
  <c r="Z71" i="25"/>
  <c r="AH71" i="25"/>
  <c r="AG71" i="25"/>
  <c r="AF71" i="25"/>
  <c r="AE71" i="25"/>
  <c r="AD71" i="25"/>
  <c r="AC71" i="25"/>
  <c r="AB71" i="25"/>
  <c r="Z70" i="25"/>
  <c r="AH70" i="25"/>
  <c r="AG70" i="25"/>
  <c r="AF70" i="25"/>
  <c r="AE70" i="25"/>
  <c r="AD70" i="25"/>
  <c r="AC70" i="25"/>
  <c r="AB70" i="25"/>
  <c r="Z69" i="25"/>
  <c r="AH69" i="25"/>
  <c r="AG69" i="25"/>
  <c r="AF69" i="25"/>
  <c r="AE69" i="25"/>
  <c r="AD69" i="25"/>
  <c r="AC69" i="25"/>
  <c r="AB69" i="25"/>
  <c r="Z68" i="25"/>
  <c r="AH68" i="25"/>
  <c r="AG68" i="25"/>
  <c r="AF68" i="25"/>
  <c r="AE68" i="25"/>
  <c r="AD68" i="25"/>
  <c r="AC68" i="25"/>
  <c r="AB68" i="25"/>
  <c r="Z67" i="25"/>
  <c r="AH67" i="25"/>
  <c r="AG67" i="25"/>
  <c r="AF67" i="25"/>
  <c r="AE67" i="25"/>
  <c r="AD67" i="25"/>
  <c r="AC67" i="25"/>
  <c r="AB67" i="25"/>
  <c r="Z66" i="25"/>
  <c r="AH66" i="25"/>
  <c r="AG66" i="25"/>
  <c r="AF66" i="25"/>
  <c r="AE66" i="25"/>
  <c r="AD66" i="25"/>
  <c r="AC66" i="25"/>
  <c r="AB66" i="25"/>
  <c r="Z65" i="25"/>
  <c r="AH65" i="25"/>
  <c r="AG65" i="25"/>
  <c r="AF65" i="25"/>
  <c r="AE65" i="25"/>
  <c r="AD65" i="25"/>
  <c r="AC65" i="25"/>
  <c r="AB65" i="25"/>
  <c r="Z64" i="25"/>
  <c r="AH64" i="25"/>
  <c r="AG64" i="25"/>
  <c r="AF64" i="25"/>
  <c r="AE64" i="25"/>
  <c r="AD64" i="25"/>
  <c r="AC64" i="25"/>
  <c r="AB64" i="25"/>
  <c r="Z63" i="25"/>
  <c r="AH63" i="25"/>
  <c r="AG63" i="25"/>
  <c r="AF63" i="25"/>
  <c r="AE63" i="25"/>
  <c r="AD63" i="25"/>
  <c r="AC63" i="25"/>
  <c r="AB63" i="25"/>
  <c r="Z62" i="25"/>
  <c r="AH62" i="25"/>
  <c r="AG62" i="25"/>
  <c r="AF62" i="25"/>
  <c r="AE62" i="25"/>
  <c r="AD62" i="25"/>
  <c r="AC62" i="25"/>
  <c r="AB62" i="25"/>
  <c r="Z61" i="25"/>
  <c r="AH61" i="25"/>
  <c r="AG61" i="25"/>
  <c r="AF61" i="25"/>
  <c r="AE61" i="25"/>
  <c r="AD61" i="25"/>
  <c r="AC61" i="25"/>
  <c r="AB61" i="25"/>
  <c r="Z60" i="25"/>
  <c r="AH60" i="25"/>
  <c r="AG60" i="25"/>
  <c r="AF60" i="25"/>
  <c r="AE60" i="25"/>
  <c r="AD60" i="25"/>
  <c r="AC60" i="25"/>
  <c r="AB60" i="25"/>
  <c r="Z59" i="25"/>
  <c r="AH59" i="25"/>
  <c r="AG59" i="25"/>
  <c r="AF59" i="25"/>
  <c r="AE59" i="25"/>
  <c r="AD59" i="25"/>
  <c r="AC59" i="25"/>
  <c r="AB59" i="25"/>
  <c r="Z58" i="25"/>
  <c r="AH58" i="25"/>
  <c r="AG58" i="25"/>
  <c r="AF58" i="25"/>
  <c r="AE58" i="25"/>
  <c r="AD58" i="25"/>
  <c r="AC58" i="25"/>
  <c r="AB58" i="25"/>
  <c r="Z57" i="25"/>
  <c r="AH57" i="25"/>
  <c r="AG57" i="25"/>
  <c r="AF57" i="25"/>
  <c r="AE57" i="25"/>
  <c r="AD57" i="25"/>
  <c r="AC57" i="25"/>
  <c r="AB57" i="25"/>
  <c r="Z56" i="25"/>
  <c r="AH56" i="25"/>
  <c r="AG56" i="25"/>
  <c r="AF56" i="25"/>
  <c r="AE56" i="25"/>
  <c r="AD56" i="25"/>
  <c r="AC56" i="25"/>
  <c r="AB56" i="25"/>
  <c r="AG55" i="25"/>
  <c r="AF55" i="25"/>
  <c r="AE55" i="25"/>
  <c r="AD55" i="25"/>
  <c r="AC55" i="25"/>
  <c r="AB55" i="25"/>
  <c r="Y54" i="25"/>
  <c r="W52" i="25"/>
  <c r="W51" i="25"/>
  <c r="W50" i="25"/>
  <c r="W49" i="25"/>
  <c r="W48" i="25"/>
  <c r="W47" i="25"/>
  <c r="W46" i="25"/>
  <c r="W45" i="25"/>
  <c r="W44" i="25"/>
  <c r="W43" i="25"/>
  <c r="W42" i="25"/>
  <c r="W41" i="25"/>
  <c r="W40" i="25"/>
  <c r="W39" i="25"/>
  <c r="W38" i="25"/>
  <c r="W37" i="25"/>
  <c r="W36" i="25"/>
  <c r="W35" i="25"/>
  <c r="W34" i="25"/>
  <c r="W33" i="25"/>
  <c r="W32" i="25"/>
  <c r="W31" i="25"/>
  <c r="W30" i="25"/>
  <c r="W29" i="25"/>
  <c r="W28" i="25"/>
  <c r="W27" i="25"/>
  <c r="W26" i="25"/>
  <c r="W25" i="25"/>
  <c r="W24" i="25"/>
  <c r="W23" i="25"/>
  <c r="W22" i="25"/>
  <c r="W21" i="25"/>
  <c r="W20" i="25"/>
  <c r="W19" i="25"/>
  <c r="W18" i="25"/>
  <c r="W17" i="25"/>
  <c r="W16" i="25"/>
  <c r="W15" i="25"/>
  <c r="W14" i="25"/>
  <c r="W13" i="25"/>
  <c r="W12" i="25"/>
  <c r="W11" i="25"/>
  <c r="W10" i="25"/>
  <c r="W9" i="25"/>
  <c r="W8" i="25"/>
  <c r="W7" i="25"/>
  <c r="W6" i="25"/>
  <c r="W5" i="25"/>
  <c r="W4" i="25"/>
  <c r="W3" i="25"/>
  <c r="W2" i="25"/>
  <c r="AH1" i="25"/>
  <c r="B53" i="16"/>
  <c r="B53" i="15"/>
  <c r="B53" i="14"/>
  <c r="B52" i="16"/>
  <c r="B52" i="15"/>
  <c r="B52" i="14"/>
  <c r="B51" i="16"/>
  <c r="B51" i="15"/>
  <c r="B51" i="14"/>
  <c r="B50" i="16"/>
  <c r="B50" i="15"/>
  <c r="B50" i="14"/>
  <c r="B49" i="16"/>
  <c r="B49" i="15"/>
  <c r="B49" i="14"/>
  <c r="B48" i="16"/>
  <c r="B48" i="15"/>
  <c r="B48" i="14"/>
  <c r="B47" i="16"/>
  <c r="B47" i="15"/>
  <c r="B47" i="14"/>
  <c r="B46" i="16"/>
  <c r="B46" i="15"/>
  <c r="B46" i="14"/>
  <c r="B45" i="16"/>
  <c r="B45" i="15"/>
  <c r="B45" i="14"/>
  <c r="B44" i="16"/>
  <c r="B44" i="15"/>
  <c r="B44" i="14"/>
  <c r="B43" i="16"/>
  <c r="B43" i="15"/>
  <c r="B43" i="14"/>
  <c r="B42" i="16"/>
  <c r="B42" i="15"/>
  <c r="B42" i="14"/>
  <c r="B41" i="16"/>
  <c r="B41" i="15"/>
  <c r="B41" i="14"/>
  <c r="B40" i="16"/>
  <c r="B40" i="15"/>
  <c r="B40" i="14"/>
  <c r="B39" i="16"/>
  <c r="B39" i="15"/>
  <c r="B39" i="14"/>
  <c r="B38" i="16"/>
  <c r="B38" i="15"/>
  <c r="B38" i="14"/>
  <c r="B37" i="16"/>
  <c r="B37" i="15"/>
  <c r="B37" i="14"/>
  <c r="B36" i="16"/>
  <c r="B36" i="15"/>
  <c r="B36" i="14"/>
  <c r="B35" i="16"/>
  <c r="B35" i="15"/>
  <c r="B35" i="14"/>
  <c r="B34" i="16"/>
  <c r="B34" i="15"/>
  <c r="B34" i="14"/>
  <c r="B33" i="16"/>
  <c r="B33" i="15"/>
  <c r="B33" i="14"/>
  <c r="B32" i="16"/>
  <c r="B32" i="15"/>
  <c r="B32" i="14"/>
  <c r="B31" i="16"/>
  <c r="B31" i="15"/>
  <c r="B31" i="14"/>
  <c r="B30" i="16"/>
  <c r="B30" i="15"/>
  <c r="B30" i="14"/>
  <c r="B29" i="16"/>
  <c r="B29" i="15"/>
  <c r="B29" i="14"/>
  <c r="B28" i="16"/>
  <c r="B28" i="15"/>
  <c r="B28" i="14"/>
  <c r="B27" i="16"/>
  <c r="B27" i="15"/>
  <c r="B27" i="14"/>
  <c r="B26" i="16"/>
  <c r="B26" i="15"/>
  <c r="B26" i="14"/>
  <c r="B25" i="16"/>
  <c r="B25" i="15"/>
  <c r="B25" i="14"/>
  <c r="B24" i="16"/>
  <c r="B24" i="15"/>
  <c r="B24" i="14"/>
  <c r="B23" i="16"/>
  <c r="B23" i="15"/>
  <c r="B23" i="14"/>
  <c r="B22" i="16"/>
  <c r="B22" i="15"/>
  <c r="B22" i="14"/>
  <c r="B21" i="16"/>
  <c r="B21" i="15"/>
  <c r="B21" i="14"/>
  <c r="B20" i="16"/>
  <c r="B20" i="15"/>
  <c r="B20" i="14"/>
  <c r="B19" i="16"/>
  <c r="B19" i="15"/>
  <c r="B19" i="14"/>
  <c r="B18" i="16"/>
  <c r="B18" i="15"/>
  <c r="B18" i="14"/>
  <c r="B16" i="16"/>
  <c r="B16" i="15"/>
  <c r="B16" i="14"/>
  <c r="B15" i="16"/>
  <c r="B15" i="15"/>
  <c r="B15" i="14"/>
  <c r="B14" i="16"/>
  <c r="B14" i="15"/>
  <c r="B14" i="14"/>
  <c r="B13" i="16"/>
  <c r="B13" i="15"/>
  <c r="B13" i="14"/>
  <c r="B12" i="16"/>
  <c r="B12" i="15"/>
  <c r="B12" i="14"/>
  <c r="B11" i="16"/>
  <c r="B11" i="15"/>
  <c r="B11" i="14"/>
  <c r="B10" i="16"/>
  <c r="B10" i="15"/>
  <c r="B10" i="14"/>
  <c r="B9" i="16"/>
  <c r="B9" i="15"/>
  <c r="B9" i="14"/>
  <c r="B8" i="16"/>
  <c r="B8" i="15"/>
  <c r="B8" i="14"/>
  <c r="B7" i="16"/>
  <c r="B7" i="15"/>
  <c r="B7" i="14"/>
  <c r="B6" i="16"/>
  <c r="B6" i="15"/>
  <c r="B6" i="14"/>
  <c r="B5" i="16"/>
  <c r="B5" i="15"/>
  <c r="B5" i="14"/>
  <c r="B4" i="16"/>
  <c r="B4" i="15"/>
  <c r="B4" i="14"/>
  <c r="AB59" i="24"/>
  <c r="AB60" i="24"/>
  <c r="AB61" i="24"/>
  <c r="AB62" i="24"/>
  <c r="AB63" i="24"/>
  <c r="AB64" i="24"/>
  <c r="AB65" i="24"/>
  <c r="AB66" i="24"/>
  <c r="AB67" i="24"/>
  <c r="AB68" i="24"/>
  <c r="AB69" i="24"/>
  <c r="AB70" i="24"/>
  <c r="AB71" i="24"/>
  <c r="AB72" i="24"/>
  <c r="AB73" i="24"/>
  <c r="AB74" i="24"/>
  <c r="AB75" i="24"/>
  <c r="AB76" i="24"/>
  <c r="AB77" i="24"/>
  <c r="AB78" i="24"/>
  <c r="AB79" i="24"/>
  <c r="AB80" i="24"/>
  <c r="AB81" i="24"/>
  <c r="AB82" i="24"/>
  <c r="AB83" i="24"/>
  <c r="AB84" i="24"/>
  <c r="AB85" i="24"/>
  <c r="AB86" i="24"/>
  <c r="AB87" i="24"/>
  <c r="AB88" i="24"/>
  <c r="AB89" i="24"/>
  <c r="AB90" i="24"/>
  <c r="AB91" i="24"/>
  <c r="AB92" i="24"/>
  <c r="AB93" i="24"/>
  <c r="AB94" i="24"/>
  <c r="AB95" i="24"/>
  <c r="AB96" i="24"/>
  <c r="AB97" i="24"/>
  <c r="AB98" i="24"/>
  <c r="AB99" i="24"/>
  <c r="AB100" i="24"/>
  <c r="AB101" i="24"/>
  <c r="AB102" i="24"/>
  <c r="AB103" i="24"/>
  <c r="AB104" i="24"/>
  <c r="AB105" i="24"/>
  <c r="AB2" i="24"/>
  <c r="AB3" i="24"/>
  <c r="AB4" i="24"/>
  <c r="AB5" i="24"/>
  <c r="AB6" i="24"/>
  <c r="AB7" i="24"/>
  <c r="AB8" i="24"/>
  <c r="AB9" i="24"/>
  <c r="AB10" i="24"/>
  <c r="AB1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30" i="24"/>
  <c r="AB31" i="24"/>
  <c r="AB32" i="24"/>
  <c r="AB33" i="24"/>
  <c r="AB34" i="24"/>
  <c r="AB35" i="24"/>
  <c r="AB36" i="24"/>
  <c r="AB37" i="24"/>
  <c r="AB38" i="24"/>
  <c r="AB39" i="24"/>
  <c r="AB40" i="24"/>
  <c r="AB41" i="24"/>
  <c r="AB42" i="24"/>
  <c r="AB43" i="24"/>
  <c r="AB44" i="24"/>
  <c r="AB45" i="24"/>
  <c r="AB46" i="24"/>
  <c r="AB47" i="24"/>
  <c r="AB48" i="24"/>
  <c r="AB49" i="24"/>
  <c r="AB50" i="24"/>
  <c r="AB51" i="24"/>
  <c r="AB52" i="24"/>
  <c r="AA105" i="24"/>
  <c r="AI105" i="24"/>
  <c r="AI2" i="24"/>
  <c r="AI3" i="24"/>
  <c r="AI4" i="24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I25" i="24"/>
  <c r="AI26" i="24"/>
  <c r="AI27" i="24"/>
  <c r="AI28" i="24"/>
  <c r="AI30" i="24"/>
  <c r="AI31" i="24"/>
  <c r="AI32" i="24"/>
  <c r="AI33" i="24"/>
  <c r="AI34" i="24"/>
  <c r="AI35" i="24"/>
  <c r="AI36" i="24"/>
  <c r="AI37" i="24"/>
  <c r="AI38" i="24"/>
  <c r="AI39" i="24"/>
  <c r="AI40" i="24"/>
  <c r="AI41" i="24"/>
  <c r="AI42" i="24"/>
  <c r="AI43" i="24"/>
  <c r="AI44" i="24"/>
  <c r="AI45" i="24"/>
  <c r="AI46" i="24"/>
  <c r="AI47" i="24"/>
  <c r="AI48" i="24"/>
  <c r="AI49" i="24"/>
  <c r="AI50" i="24"/>
  <c r="AI51" i="24"/>
  <c r="AI52" i="24"/>
  <c r="AH105" i="24"/>
  <c r="AG105" i="24"/>
  <c r="AF105" i="24"/>
  <c r="AE105" i="24"/>
  <c r="AD105" i="24"/>
  <c r="AC105" i="24"/>
  <c r="AA104" i="24"/>
  <c r="AI104" i="24"/>
  <c r="AH104" i="24"/>
  <c r="AG104" i="24"/>
  <c r="AF104" i="24"/>
  <c r="AE104" i="24"/>
  <c r="AD104" i="24"/>
  <c r="AC104" i="24"/>
  <c r="AA103" i="24"/>
  <c r="AI103" i="24"/>
  <c r="AH103" i="24"/>
  <c r="AG103" i="24"/>
  <c r="AF103" i="24"/>
  <c r="AE103" i="24"/>
  <c r="AD103" i="24"/>
  <c r="AC103" i="24"/>
  <c r="AA102" i="24"/>
  <c r="AI102" i="24"/>
  <c r="AH102" i="24"/>
  <c r="AG102" i="24"/>
  <c r="AF102" i="24"/>
  <c r="AE102" i="24"/>
  <c r="AD102" i="24"/>
  <c r="AC102" i="24"/>
  <c r="AA101" i="24"/>
  <c r="AI101" i="24"/>
  <c r="AH101" i="24"/>
  <c r="AG101" i="24"/>
  <c r="AF101" i="24"/>
  <c r="AE101" i="24"/>
  <c r="AD101" i="24"/>
  <c r="AC101" i="24"/>
  <c r="AA100" i="24"/>
  <c r="AI100" i="24"/>
  <c r="AH100" i="24"/>
  <c r="AG100" i="24"/>
  <c r="AF100" i="24"/>
  <c r="AE100" i="24"/>
  <c r="AD100" i="24"/>
  <c r="AC100" i="24"/>
  <c r="AA99" i="24"/>
  <c r="AI99" i="24"/>
  <c r="AH99" i="24"/>
  <c r="AG99" i="24"/>
  <c r="AF99" i="24"/>
  <c r="AE99" i="24"/>
  <c r="AD99" i="24"/>
  <c r="AC99" i="24"/>
  <c r="AA98" i="24"/>
  <c r="AI98" i="24"/>
  <c r="AH98" i="24"/>
  <c r="AG98" i="24"/>
  <c r="AF98" i="24"/>
  <c r="AE98" i="24"/>
  <c r="AD98" i="24"/>
  <c r="AC98" i="24"/>
  <c r="AA97" i="24"/>
  <c r="AI97" i="24"/>
  <c r="AH97" i="24"/>
  <c r="AG97" i="24"/>
  <c r="AF97" i="24"/>
  <c r="AE97" i="24"/>
  <c r="AD97" i="24"/>
  <c r="AC97" i="24"/>
  <c r="AA96" i="24"/>
  <c r="AI96" i="24"/>
  <c r="AH96" i="24"/>
  <c r="AG96" i="24"/>
  <c r="AF96" i="24"/>
  <c r="AE96" i="24"/>
  <c r="AD96" i="24"/>
  <c r="AC96" i="24"/>
  <c r="AA95" i="24"/>
  <c r="AI95" i="24"/>
  <c r="AH95" i="24"/>
  <c r="AG95" i="24"/>
  <c r="AF95" i="24"/>
  <c r="AE95" i="24"/>
  <c r="AD95" i="24"/>
  <c r="AC95" i="24"/>
  <c r="AA94" i="24"/>
  <c r="AI94" i="24"/>
  <c r="AH94" i="24"/>
  <c r="AG94" i="24"/>
  <c r="AF94" i="24"/>
  <c r="AE94" i="24"/>
  <c r="AD94" i="24"/>
  <c r="AC94" i="24"/>
  <c r="AA93" i="24"/>
  <c r="AI93" i="24"/>
  <c r="AH93" i="24"/>
  <c r="AG93" i="24"/>
  <c r="AF93" i="24"/>
  <c r="AE93" i="24"/>
  <c r="AD93" i="24"/>
  <c r="AC93" i="24"/>
  <c r="AA92" i="24"/>
  <c r="AI92" i="24"/>
  <c r="AH92" i="24"/>
  <c r="AG92" i="24"/>
  <c r="AF92" i="24"/>
  <c r="AE92" i="24"/>
  <c r="AD92" i="24"/>
  <c r="AC92" i="24"/>
  <c r="AA91" i="24"/>
  <c r="AI91" i="24"/>
  <c r="AH91" i="24"/>
  <c r="AG91" i="24"/>
  <c r="AF91" i="24"/>
  <c r="AE91" i="24"/>
  <c r="AD91" i="24"/>
  <c r="AC91" i="24"/>
  <c r="AA90" i="24"/>
  <c r="AI90" i="24"/>
  <c r="AH90" i="24"/>
  <c r="AG90" i="24"/>
  <c r="AF90" i="24"/>
  <c r="AE90" i="24"/>
  <c r="AD90" i="24"/>
  <c r="AC90" i="24"/>
  <c r="AA89" i="24"/>
  <c r="AI89" i="24"/>
  <c r="AH89" i="24"/>
  <c r="AG89" i="24"/>
  <c r="AF89" i="24"/>
  <c r="AE89" i="24"/>
  <c r="AD89" i="24"/>
  <c r="AC89" i="24"/>
  <c r="AA88" i="24"/>
  <c r="AI88" i="24"/>
  <c r="AH88" i="24"/>
  <c r="AG88" i="24"/>
  <c r="AF88" i="24"/>
  <c r="AE88" i="24"/>
  <c r="AD88" i="24"/>
  <c r="AC88" i="24"/>
  <c r="AA87" i="24"/>
  <c r="AI87" i="24"/>
  <c r="AH87" i="24"/>
  <c r="AG87" i="24"/>
  <c r="AF87" i="24"/>
  <c r="AE87" i="24"/>
  <c r="AD87" i="24"/>
  <c r="AC87" i="24"/>
  <c r="AA86" i="24"/>
  <c r="AI86" i="24"/>
  <c r="AH86" i="24"/>
  <c r="AG86" i="24"/>
  <c r="AF86" i="24"/>
  <c r="AE86" i="24"/>
  <c r="AD86" i="24"/>
  <c r="AC86" i="24"/>
  <c r="AA85" i="24"/>
  <c r="AI85" i="24"/>
  <c r="AH85" i="24"/>
  <c r="AG85" i="24"/>
  <c r="AF85" i="24"/>
  <c r="AE85" i="24"/>
  <c r="AD85" i="24"/>
  <c r="AC85" i="24"/>
  <c r="AA84" i="24"/>
  <c r="AI84" i="24"/>
  <c r="AH84" i="24"/>
  <c r="AG84" i="24"/>
  <c r="AF84" i="24"/>
  <c r="AE84" i="24"/>
  <c r="AD84" i="24"/>
  <c r="AC84" i="24"/>
  <c r="AA83" i="24"/>
  <c r="AI83" i="24"/>
  <c r="AH83" i="24"/>
  <c r="AG83" i="24"/>
  <c r="AF83" i="24"/>
  <c r="AE83" i="24"/>
  <c r="AD83" i="24"/>
  <c r="AC83" i="24"/>
  <c r="AA82" i="24"/>
  <c r="AI82" i="24"/>
  <c r="AH82" i="24"/>
  <c r="AG82" i="24"/>
  <c r="AF82" i="24"/>
  <c r="AE82" i="24"/>
  <c r="AD82" i="24"/>
  <c r="AC82" i="24"/>
  <c r="AA81" i="24"/>
  <c r="AI81" i="24"/>
  <c r="AH81" i="24"/>
  <c r="AG81" i="24"/>
  <c r="AF81" i="24"/>
  <c r="AE81" i="24"/>
  <c r="AD81" i="24"/>
  <c r="AC81" i="24"/>
  <c r="AA80" i="24"/>
  <c r="AI80" i="24"/>
  <c r="AH80" i="24"/>
  <c r="AG80" i="24"/>
  <c r="AF80" i="24"/>
  <c r="AE80" i="24"/>
  <c r="AD80" i="24"/>
  <c r="AC80" i="24"/>
  <c r="AA79" i="24"/>
  <c r="AI79" i="24"/>
  <c r="AH79" i="24"/>
  <c r="AG79" i="24"/>
  <c r="AF79" i="24"/>
  <c r="AE79" i="24"/>
  <c r="AD79" i="24"/>
  <c r="AC79" i="24"/>
  <c r="AA78" i="24"/>
  <c r="AI78" i="24"/>
  <c r="AH78" i="24"/>
  <c r="AG78" i="24"/>
  <c r="AF78" i="24"/>
  <c r="AE78" i="24"/>
  <c r="AD78" i="24"/>
  <c r="AC78" i="24"/>
  <c r="AA77" i="24"/>
  <c r="AI77" i="24"/>
  <c r="AH77" i="24"/>
  <c r="AG77" i="24"/>
  <c r="AF77" i="24"/>
  <c r="AE77" i="24"/>
  <c r="AD77" i="24"/>
  <c r="AC77" i="24"/>
  <c r="AA76" i="24"/>
  <c r="AI76" i="24"/>
  <c r="AH76" i="24"/>
  <c r="AG76" i="24"/>
  <c r="AF76" i="24"/>
  <c r="AE76" i="24"/>
  <c r="AD76" i="24"/>
  <c r="AC76" i="24"/>
  <c r="AA75" i="24"/>
  <c r="AI75" i="24"/>
  <c r="AH75" i="24"/>
  <c r="AG75" i="24"/>
  <c r="AF75" i="24"/>
  <c r="AE75" i="24"/>
  <c r="AD75" i="24"/>
  <c r="AC75" i="24"/>
  <c r="AA74" i="24"/>
  <c r="AI74" i="24"/>
  <c r="AH74" i="24"/>
  <c r="AG74" i="24"/>
  <c r="AF74" i="24"/>
  <c r="AE74" i="24"/>
  <c r="AD74" i="24"/>
  <c r="AC74" i="24"/>
  <c r="AA73" i="24"/>
  <c r="AI73" i="24"/>
  <c r="AH73" i="24"/>
  <c r="AG73" i="24"/>
  <c r="AF73" i="24"/>
  <c r="AE73" i="24"/>
  <c r="AD73" i="24"/>
  <c r="AC73" i="24"/>
  <c r="AA72" i="24"/>
  <c r="AI72" i="24"/>
  <c r="AH72" i="24"/>
  <c r="AG72" i="24"/>
  <c r="AF72" i="24"/>
  <c r="AE72" i="24"/>
  <c r="AD72" i="24"/>
  <c r="AC72" i="24"/>
  <c r="AA71" i="24"/>
  <c r="AI71" i="24"/>
  <c r="AH71" i="24"/>
  <c r="AG71" i="24"/>
  <c r="AF71" i="24"/>
  <c r="AE71" i="24"/>
  <c r="AD71" i="24"/>
  <c r="AC71" i="24"/>
  <c r="AA70" i="24"/>
  <c r="AI70" i="24"/>
  <c r="AH70" i="24"/>
  <c r="AG70" i="24"/>
  <c r="AF70" i="24"/>
  <c r="AE70" i="24"/>
  <c r="AD70" i="24"/>
  <c r="AC70" i="24"/>
  <c r="AA69" i="24"/>
  <c r="AI69" i="24"/>
  <c r="AH69" i="24"/>
  <c r="AG69" i="24"/>
  <c r="AF69" i="24"/>
  <c r="AE69" i="24"/>
  <c r="AD69" i="24"/>
  <c r="AC69" i="24"/>
  <c r="AA68" i="24"/>
  <c r="AI68" i="24"/>
  <c r="AH68" i="24"/>
  <c r="AG68" i="24"/>
  <c r="AF68" i="24"/>
  <c r="AE68" i="24"/>
  <c r="AD68" i="24"/>
  <c r="AC68" i="24"/>
  <c r="AA67" i="24"/>
  <c r="AI67" i="24"/>
  <c r="AH67" i="24"/>
  <c r="AG67" i="24"/>
  <c r="AF67" i="24"/>
  <c r="AE67" i="24"/>
  <c r="AD67" i="24"/>
  <c r="AC67" i="24"/>
  <c r="AA66" i="24"/>
  <c r="AI66" i="24"/>
  <c r="AH66" i="24"/>
  <c r="AG66" i="24"/>
  <c r="AF66" i="24"/>
  <c r="AE66" i="24"/>
  <c r="AD66" i="24"/>
  <c r="AC66" i="24"/>
  <c r="AA65" i="24"/>
  <c r="AI65" i="24"/>
  <c r="AH65" i="24"/>
  <c r="AG65" i="24"/>
  <c r="AF65" i="24"/>
  <c r="AE65" i="24"/>
  <c r="AD65" i="24"/>
  <c r="AC65" i="24"/>
  <c r="AA64" i="24"/>
  <c r="AI64" i="24"/>
  <c r="AH64" i="24"/>
  <c r="AG64" i="24"/>
  <c r="AF64" i="24"/>
  <c r="AE64" i="24"/>
  <c r="AD64" i="24"/>
  <c r="AC64" i="24"/>
  <c r="AA63" i="24"/>
  <c r="AI63" i="24"/>
  <c r="AH63" i="24"/>
  <c r="AG63" i="24"/>
  <c r="AF63" i="24"/>
  <c r="AE63" i="24"/>
  <c r="AD63" i="24"/>
  <c r="AC63" i="24"/>
  <c r="AA62" i="24"/>
  <c r="AI62" i="24"/>
  <c r="AH62" i="24"/>
  <c r="AG62" i="24"/>
  <c r="AF62" i="24"/>
  <c r="AE62" i="24"/>
  <c r="AD62" i="24"/>
  <c r="AC62" i="24"/>
  <c r="AA61" i="24"/>
  <c r="AI61" i="24"/>
  <c r="AH61" i="24"/>
  <c r="AG61" i="24"/>
  <c r="AF61" i="24"/>
  <c r="AE61" i="24"/>
  <c r="AD61" i="24"/>
  <c r="AC61" i="24"/>
  <c r="AA60" i="24"/>
  <c r="AI60" i="24"/>
  <c r="AH60" i="24"/>
  <c r="AG60" i="24"/>
  <c r="AF60" i="24"/>
  <c r="AE60" i="24"/>
  <c r="AD60" i="24"/>
  <c r="AC60" i="24"/>
  <c r="AA59" i="24"/>
  <c r="AI59" i="24"/>
  <c r="AH59" i="24"/>
  <c r="AG59" i="24"/>
  <c r="AF59" i="24"/>
  <c r="AE59" i="24"/>
  <c r="AD59" i="24"/>
  <c r="AC59" i="24"/>
  <c r="AA58" i="24"/>
  <c r="AI58" i="24"/>
  <c r="AH58" i="24"/>
  <c r="AG58" i="24"/>
  <c r="AF58" i="24"/>
  <c r="AE58" i="24"/>
  <c r="AD58" i="24"/>
  <c r="AC58" i="24"/>
  <c r="AA57" i="24"/>
  <c r="AI57" i="24"/>
  <c r="AH57" i="24"/>
  <c r="AG57" i="24"/>
  <c r="AF57" i="24"/>
  <c r="AE57" i="24"/>
  <c r="AD57" i="24"/>
  <c r="AC57" i="24"/>
  <c r="AA56" i="24"/>
  <c r="AI56" i="24"/>
  <c r="AH56" i="24"/>
  <c r="AG56" i="24"/>
  <c r="AF56" i="24"/>
  <c r="AE56" i="24"/>
  <c r="AD56" i="24"/>
  <c r="AC56" i="24"/>
  <c r="AH55" i="24"/>
  <c r="AG55" i="24"/>
  <c r="AF55" i="24"/>
  <c r="AE55" i="24"/>
  <c r="AD55" i="24"/>
  <c r="AC55" i="24"/>
  <c r="Z54" i="24"/>
  <c r="X52" i="24"/>
  <c r="X51" i="24"/>
  <c r="X50" i="24"/>
  <c r="X49" i="24"/>
  <c r="X48" i="24"/>
  <c r="X47" i="24"/>
  <c r="X46" i="24"/>
  <c r="X45" i="24"/>
  <c r="X44" i="24"/>
  <c r="X43" i="24"/>
  <c r="X42" i="24"/>
  <c r="X41" i="24"/>
  <c r="X40" i="24"/>
  <c r="X39" i="24"/>
  <c r="X38" i="24"/>
  <c r="X37" i="24"/>
  <c r="X36" i="24"/>
  <c r="X35" i="24"/>
  <c r="X34" i="24"/>
  <c r="X33" i="24"/>
  <c r="X32" i="24"/>
  <c r="X31" i="24"/>
  <c r="X30" i="24"/>
  <c r="X29" i="24"/>
  <c r="X28" i="24"/>
  <c r="X27" i="24"/>
  <c r="X26" i="24"/>
  <c r="X25" i="24"/>
  <c r="X24" i="24"/>
  <c r="X23" i="24"/>
  <c r="X22" i="24"/>
  <c r="X21" i="24"/>
  <c r="X20" i="24"/>
  <c r="X19" i="24"/>
  <c r="X18" i="24"/>
  <c r="X17" i="24"/>
  <c r="X16" i="24"/>
  <c r="X15" i="24"/>
  <c r="X14" i="24"/>
  <c r="X13" i="24"/>
  <c r="X12" i="24"/>
  <c r="X11" i="24"/>
  <c r="X10" i="24"/>
  <c r="X9" i="24"/>
  <c r="X8" i="24"/>
  <c r="X7" i="24"/>
  <c r="X6" i="24"/>
  <c r="X5" i="24"/>
  <c r="X4" i="24"/>
  <c r="X3" i="24"/>
  <c r="X2" i="24"/>
  <c r="AI1" i="24"/>
  <c r="AB2" i="23"/>
  <c r="AB3" i="23"/>
  <c r="AB4" i="23"/>
  <c r="AB5" i="23"/>
  <c r="AB6" i="23"/>
  <c r="AB7" i="23"/>
  <c r="AB8" i="23"/>
  <c r="AB9" i="23"/>
  <c r="AB10" i="23"/>
  <c r="AB11" i="23"/>
  <c r="AB12" i="23"/>
  <c r="AB13" i="23"/>
  <c r="AB14" i="23"/>
  <c r="AB15" i="23"/>
  <c r="AB16" i="23"/>
  <c r="AB17" i="23"/>
  <c r="AB18" i="23"/>
  <c r="AB19" i="23"/>
  <c r="AB20" i="23"/>
  <c r="AB21" i="23"/>
  <c r="AB22" i="23"/>
  <c r="AB23" i="23"/>
  <c r="AB24" i="23"/>
  <c r="AB26" i="23"/>
  <c r="AB27" i="23"/>
  <c r="AB28" i="23"/>
  <c r="AB29" i="23"/>
  <c r="AB30" i="23"/>
  <c r="AB31" i="23"/>
  <c r="AB32" i="23"/>
  <c r="AB33" i="23"/>
  <c r="AB34" i="23"/>
  <c r="AB36" i="23"/>
  <c r="AB37" i="23"/>
  <c r="AB38" i="23"/>
  <c r="AB39" i="23"/>
  <c r="AB40" i="23"/>
  <c r="AB41" i="23"/>
  <c r="AB42" i="23"/>
  <c r="AB43" i="23"/>
  <c r="AB44" i="23"/>
  <c r="AB45" i="23"/>
  <c r="AB47" i="23"/>
  <c r="AB48" i="23"/>
  <c r="AB50" i="23"/>
  <c r="AB51" i="23"/>
  <c r="AB52" i="23"/>
  <c r="AA105" i="23"/>
  <c r="AI105" i="23"/>
  <c r="AI2" i="23"/>
  <c r="AI3" i="23"/>
  <c r="AI4" i="23"/>
  <c r="AI5" i="23"/>
  <c r="AI6" i="23"/>
  <c r="AI7" i="23"/>
  <c r="AI8" i="23"/>
  <c r="AI9" i="23"/>
  <c r="AI10" i="23"/>
  <c r="AI11" i="23"/>
  <c r="AI12" i="23"/>
  <c r="AI13" i="23"/>
  <c r="AI14" i="23"/>
  <c r="AI15" i="23"/>
  <c r="AI16" i="23"/>
  <c r="AI17" i="23"/>
  <c r="AI18" i="23"/>
  <c r="AI19" i="23"/>
  <c r="AI20" i="23"/>
  <c r="AI21" i="23"/>
  <c r="AI22" i="23"/>
  <c r="AI23" i="23"/>
  <c r="AI24" i="23"/>
  <c r="AI26" i="23"/>
  <c r="AI27" i="23"/>
  <c r="AI28" i="23"/>
  <c r="AI29" i="23"/>
  <c r="AI30" i="23"/>
  <c r="AI31" i="23"/>
  <c r="AI32" i="23"/>
  <c r="AI33" i="23"/>
  <c r="AI34" i="23"/>
  <c r="AI36" i="23"/>
  <c r="AI37" i="23"/>
  <c r="AI38" i="23"/>
  <c r="AI39" i="23"/>
  <c r="AI40" i="23"/>
  <c r="AI41" i="23"/>
  <c r="AI42" i="23"/>
  <c r="AI43" i="23"/>
  <c r="AI44" i="23"/>
  <c r="AI45" i="23"/>
  <c r="AI47" i="23"/>
  <c r="AI48" i="23"/>
  <c r="AI50" i="23"/>
  <c r="AI51" i="23"/>
  <c r="AI52" i="23"/>
  <c r="AH105" i="23"/>
  <c r="AG105" i="23"/>
  <c r="AF105" i="23"/>
  <c r="AE105" i="23"/>
  <c r="AD105" i="23"/>
  <c r="AC105" i="23"/>
  <c r="AA104" i="23"/>
  <c r="AI104" i="23"/>
  <c r="AH104" i="23"/>
  <c r="AG104" i="23"/>
  <c r="AF104" i="23"/>
  <c r="AE104" i="23"/>
  <c r="AD104" i="23"/>
  <c r="AC104" i="23"/>
  <c r="AA103" i="23"/>
  <c r="AI103" i="23"/>
  <c r="AH103" i="23"/>
  <c r="AG103" i="23"/>
  <c r="AF103" i="23"/>
  <c r="AE103" i="23"/>
  <c r="AD103" i="23"/>
  <c r="AC103" i="23"/>
  <c r="AA102" i="23"/>
  <c r="AI102" i="23"/>
  <c r="AH102" i="23"/>
  <c r="AG102" i="23"/>
  <c r="AF102" i="23"/>
  <c r="AE102" i="23"/>
  <c r="AD102" i="23"/>
  <c r="AC102" i="23"/>
  <c r="AA101" i="23"/>
  <c r="AI101" i="23"/>
  <c r="AH101" i="23"/>
  <c r="AG101" i="23"/>
  <c r="AF101" i="23"/>
  <c r="AE101" i="23"/>
  <c r="AD101" i="23"/>
  <c r="AC101" i="23"/>
  <c r="AA100" i="23"/>
  <c r="AI100" i="23"/>
  <c r="AH100" i="23"/>
  <c r="AG100" i="23"/>
  <c r="AF100" i="23"/>
  <c r="AE100" i="23"/>
  <c r="AD100" i="23"/>
  <c r="AC100" i="23"/>
  <c r="AA99" i="23"/>
  <c r="AI99" i="23"/>
  <c r="AH99" i="23"/>
  <c r="AG99" i="23"/>
  <c r="AF99" i="23"/>
  <c r="AE99" i="23"/>
  <c r="AD99" i="23"/>
  <c r="AC99" i="23"/>
  <c r="AA98" i="23"/>
  <c r="AI98" i="23"/>
  <c r="AH98" i="23"/>
  <c r="AG98" i="23"/>
  <c r="AF98" i="23"/>
  <c r="AE98" i="23"/>
  <c r="AD98" i="23"/>
  <c r="AC98" i="23"/>
  <c r="AA97" i="23"/>
  <c r="AI97" i="23"/>
  <c r="AH97" i="23"/>
  <c r="AG97" i="23"/>
  <c r="AF97" i="23"/>
  <c r="AE97" i="23"/>
  <c r="AD97" i="23"/>
  <c r="AC97" i="23"/>
  <c r="AA96" i="23"/>
  <c r="AI96" i="23"/>
  <c r="AH96" i="23"/>
  <c r="AG96" i="23"/>
  <c r="AF96" i="23"/>
  <c r="AE96" i="23"/>
  <c r="AD96" i="23"/>
  <c r="AC96" i="23"/>
  <c r="AA95" i="23"/>
  <c r="AI95" i="23"/>
  <c r="AH95" i="23"/>
  <c r="AG95" i="23"/>
  <c r="AF95" i="23"/>
  <c r="AE95" i="23"/>
  <c r="AD95" i="23"/>
  <c r="AC95" i="23"/>
  <c r="AA94" i="23"/>
  <c r="AI94" i="23"/>
  <c r="AH94" i="23"/>
  <c r="AG94" i="23"/>
  <c r="AF94" i="23"/>
  <c r="AE94" i="23"/>
  <c r="AD94" i="23"/>
  <c r="AC94" i="23"/>
  <c r="AA93" i="23"/>
  <c r="AI93" i="23"/>
  <c r="AH93" i="23"/>
  <c r="AG93" i="23"/>
  <c r="AF93" i="23"/>
  <c r="AE93" i="23"/>
  <c r="AD93" i="23"/>
  <c r="AC93" i="23"/>
  <c r="AA92" i="23"/>
  <c r="AI92" i="23"/>
  <c r="AH92" i="23"/>
  <c r="AG92" i="23"/>
  <c r="AF92" i="23"/>
  <c r="AE92" i="23"/>
  <c r="AD92" i="23"/>
  <c r="AC92" i="23"/>
  <c r="AA91" i="23"/>
  <c r="AI91" i="23"/>
  <c r="AH91" i="23"/>
  <c r="AG91" i="23"/>
  <c r="AF91" i="23"/>
  <c r="AE91" i="23"/>
  <c r="AD91" i="23"/>
  <c r="AC91" i="23"/>
  <c r="AA90" i="23"/>
  <c r="AI90" i="23"/>
  <c r="AH90" i="23"/>
  <c r="AG90" i="23"/>
  <c r="AF90" i="23"/>
  <c r="AE90" i="23"/>
  <c r="AD90" i="23"/>
  <c r="AC90" i="23"/>
  <c r="AA89" i="23"/>
  <c r="AI89" i="23"/>
  <c r="AH89" i="23"/>
  <c r="AG89" i="23"/>
  <c r="AF89" i="23"/>
  <c r="AE89" i="23"/>
  <c r="AD89" i="23"/>
  <c r="AC89" i="23"/>
  <c r="AA88" i="23"/>
  <c r="AI88" i="23"/>
  <c r="AH88" i="23"/>
  <c r="AG88" i="23"/>
  <c r="AF88" i="23"/>
  <c r="AE88" i="23"/>
  <c r="AD88" i="23"/>
  <c r="AC88" i="23"/>
  <c r="AA87" i="23"/>
  <c r="AI87" i="23"/>
  <c r="AH87" i="23"/>
  <c r="AG87" i="23"/>
  <c r="AF87" i="23"/>
  <c r="AE87" i="23"/>
  <c r="AD87" i="23"/>
  <c r="AC87" i="23"/>
  <c r="AA86" i="23"/>
  <c r="AI86" i="23"/>
  <c r="AH86" i="23"/>
  <c r="AG86" i="23"/>
  <c r="AF86" i="23"/>
  <c r="AE86" i="23"/>
  <c r="AD86" i="23"/>
  <c r="AC86" i="23"/>
  <c r="AA85" i="23"/>
  <c r="AI85" i="23"/>
  <c r="AH85" i="23"/>
  <c r="AG85" i="23"/>
  <c r="AF85" i="23"/>
  <c r="AE85" i="23"/>
  <c r="AD85" i="23"/>
  <c r="AC85" i="23"/>
  <c r="AA84" i="23"/>
  <c r="AI84" i="23"/>
  <c r="AH84" i="23"/>
  <c r="AG84" i="23"/>
  <c r="AF84" i="23"/>
  <c r="AE84" i="23"/>
  <c r="AD84" i="23"/>
  <c r="AC84" i="23"/>
  <c r="AA83" i="23"/>
  <c r="AI83" i="23"/>
  <c r="AH83" i="23"/>
  <c r="AG83" i="23"/>
  <c r="AF83" i="23"/>
  <c r="AE83" i="23"/>
  <c r="AD83" i="23"/>
  <c r="AC83" i="23"/>
  <c r="AA82" i="23"/>
  <c r="AI82" i="23"/>
  <c r="AH82" i="23"/>
  <c r="AG82" i="23"/>
  <c r="AF82" i="23"/>
  <c r="AE82" i="23"/>
  <c r="AD82" i="23"/>
  <c r="AC82" i="23"/>
  <c r="AA81" i="23"/>
  <c r="AI81" i="23"/>
  <c r="AH81" i="23"/>
  <c r="AG81" i="23"/>
  <c r="AF81" i="23"/>
  <c r="AE81" i="23"/>
  <c r="AD81" i="23"/>
  <c r="AC81" i="23"/>
  <c r="AA80" i="23"/>
  <c r="AI80" i="23"/>
  <c r="AH80" i="23"/>
  <c r="AG80" i="23"/>
  <c r="AF80" i="23"/>
  <c r="AE80" i="23"/>
  <c r="AD80" i="23"/>
  <c r="AC80" i="23"/>
  <c r="AA79" i="23"/>
  <c r="AI79" i="23"/>
  <c r="AH79" i="23"/>
  <c r="AG79" i="23"/>
  <c r="AF79" i="23"/>
  <c r="AE79" i="23"/>
  <c r="AD79" i="23"/>
  <c r="AC79" i="23"/>
  <c r="AA78" i="23"/>
  <c r="AI78" i="23"/>
  <c r="AH78" i="23"/>
  <c r="AG78" i="23"/>
  <c r="AF78" i="23"/>
  <c r="AE78" i="23"/>
  <c r="AD78" i="23"/>
  <c r="AC78" i="23"/>
  <c r="AA77" i="23"/>
  <c r="AI77" i="23"/>
  <c r="AH77" i="23"/>
  <c r="AG77" i="23"/>
  <c r="AF77" i="23"/>
  <c r="AE77" i="23"/>
  <c r="AD77" i="23"/>
  <c r="AC77" i="23"/>
  <c r="AA76" i="23"/>
  <c r="AI76" i="23"/>
  <c r="AH76" i="23"/>
  <c r="AG76" i="23"/>
  <c r="AF76" i="23"/>
  <c r="AE76" i="23"/>
  <c r="AD76" i="23"/>
  <c r="AC76" i="23"/>
  <c r="AA75" i="23"/>
  <c r="AI75" i="23"/>
  <c r="AH75" i="23"/>
  <c r="AG75" i="23"/>
  <c r="AF75" i="23"/>
  <c r="AE75" i="23"/>
  <c r="AD75" i="23"/>
  <c r="AC75" i="23"/>
  <c r="AA74" i="23"/>
  <c r="AI74" i="23"/>
  <c r="AH74" i="23"/>
  <c r="AG74" i="23"/>
  <c r="AF74" i="23"/>
  <c r="AE74" i="23"/>
  <c r="AD74" i="23"/>
  <c r="AC74" i="23"/>
  <c r="AA73" i="23"/>
  <c r="AI73" i="23"/>
  <c r="AH73" i="23"/>
  <c r="AG73" i="23"/>
  <c r="AF73" i="23"/>
  <c r="AE73" i="23"/>
  <c r="AD73" i="23"/>
  <c r="AC73" i="23"/>
  <c r="AA72" i="23"/>
  <c r="AI72" i="23"/>
  <c r="AH72" i="23"/>
  <c r="AG72" i="23"/>
  <c r="AF72" i="23"/>
  <c r="AE72" i="23"/>
  <c r="AD72" i="23"/>
  <c r="AC72" i="23"/>
  <c r="AA71" i="23"/>
  <c r="AI71" i="23"/>
  <c r="AH71" i="23"/>
  <c r="AG71" i="23"/>
  <c r="AF71" i="23"/>
  <c r="AE71" i="23"/>
  <c r="AD71" i="23"/>
  <c r="AC71" i="23"/>
  <c r="AA70" i="23"/>
  <c r="AI70" i="23"/>
  <c r="AH70" i="23"/>
  <c r="AG70" i="23"/>
  <c r="AF70" i="23"/>
  <c r="AE70" i="23"/>
  <c r="AD70" i="23"/>
  <c r="AC70" i="23"/>
  <c r="AA69" i="23"/>
  <c r="AI69" i="23"/>
  <c r="AH69" i="23"/>
  <c r="AG69" i="23"/>
  <c r="AF69" i="23"/>
  <c r="AE69" i="23"/>
  <c r="AD69" i="23"/>
  <c r="AC69" i="23"/>
  <c r="AA68" i="23"/>
  <c r="AI68" i="23"/>
  <c r="AH68" i="23"/>
  <c r="AG68" i="23"/>
  <c r="AF68" i="23"/>
  <c r="AE68" i="23"/>
  <c r="AD68" i="23"/>
  <c r="AC68" i="23"/>
  <c r="AA67" i="23"/>
  <c r="AI67" i="23"/>
  <c r="AH67" i="23"/>
  <c r="AG67" i="23"/>
  <c r="AF67" i="23"/>
  <c r="AE67" i="23"/>
  <c r="AD67" i="23"/>
  <c r="AC67" i="23"/>
  <c r="AA66" i="23"/>
  <c r="AI66" i="23"/>
  <c r="AH66" i="23"/>
  <c r="AG66" i="23"/>
  <c r="AF66" i="23"/>
  <c r="AE66" i="23"/>
  <c r="AD66" i="23"/>
  <c r="AC66" i="23"/>
  <c r="AA65" i="23"/>
  <c r="AI65" i="23"/>
  <c r="AH65" i="23"/>
  <c r="AG65" i="23"/>
  <c r="AF65" i="23"/>
  <c r="AE65" i="23"/>
  <c r="AD65" i="23"/>
  <c r="AC65" i="23"/>
  <c r="AA64" i="23"/>
  <c r="AI64" i="23"/>
  <c r="AH64" i="23"/>
  <c r="AG64" i="23"/>
  <c r="AF64" i="23"/>
  <c r="AE64" i="23"/>
  <c r="AD64" i="23"/>
  <c r="AC64" i="23"/>
  <c r="AA63" i="23"/>
  <c r="AI63" i="23"/>
  <c r="AH63" i="23"/>
  <c r="AG63" i="23"/>
  <c r="AF63" i="23"/>
  <c r="AE63" i="23"/>
  <c r="AD63" i="23"/>
  <c r="AC63" i="23"/>
  <c r="AA62" i="23"/>
  <c r="AI62" i="23"/>
  <c r="AH62" i="23"/>
  <c r="AG62" i="23"/>
  <c r="AF62" i="23"/>
  <c r="AE62" i="23"/>
  <c r="AD62" i="23"/>
  <c r="AC62" i="23"/>
  <c r="AA61" i="23"/>
  <c r="AI61" i="23"/>
  <c r="AH61" i="23"/>
  <c r="AG61" i="23"/>
  <c r="AF61" i="23"/>
  <c r="AE61" i="23"/>
  <c r="AD61" i="23"/>
  <c r="AC61" i="23"/>
  <c r="AA60" i="23"/>
  <c r="AI60" i="23"/>
  <c r="AH60" i="23"/>
  <c r="AG60" i="23"/>
  <c r="AF60" i="23"/>
  <c r="AE60" i="23"/>
  <c r="AD60" i="23"/>
  <c r="AC60" i="23"/>
  <c r="AA59" i="23"/>
  <c r="AI59" i="23"/>
  <c r="AH59" i="23"/>
  <c r="AG59" i="23"/>
  <c r="AF59" i="23"/>
  <c r="AE59" i="23"/>
  <c r="AD59" i="23"/>
  <c r="AC59" i="23"/>
  <c r="AA58" i="23"/>
  <c r="AI58" i="23"/>
  <c r="AH58" i="23"/>
  <c r="AG58" i="23"/>
  <c r="AF58" i="23"/>
  <c r="AE58" i="23"/>
  <c r="AD58" i="23"/>
  <c r="AC58" i="23"/>
  <c r="AA57" i="23"/>
  <c r="AI57" i="23"/>
  <c r="AH57" i="23"/>
  <c r="AG57" i="23"/>
  <c r="AF57" i="23"/>
  <c r="AE57" i="23"/>
  <c r="AD57" i="23"/>
  <c r="AC57" i="23"/>
  <c r="AA56" i="23"/>
  <c r="AI56" i="23"/>
  <c r="AH56" i="23"/>
  <c r="AG56" i="23"/>
  <c r="AF56" i="23"/>
  <c r="AE56" i="23"/>
  <c r="AD56" i="23"/>
  <c r="AC56" i="23"/>
  <c r="AH55" i="23"/>
  <c r="AG55" i="23"/>
  <c r="AF55" i="23"/>
  <c r="AE55" i="23"/>
  <c r="AD55" i="23"/>
  <c r="AC55" i="23"/>
  <c r="Z54" i="23"/>
  <c r="X52" i="23"/>
  <c r="X51" i="23"/>
  <c r="X50" i="23"/>
  <c r="X49" i="23"/>
  <c r="X48" i="23"/>
  <c r="X47" i="23"/>
  <c r="X46" i="23"/>
  <c r="X45" i="23"/>
  <c r="X44" i="23"/>
  <c r="X43" i="23"/>
  <c r="X42" i="23"/>
  <c r="X41" i="23"/>
  <c r="X40" i="23"/>
  <c r="X39" i="23"/>
  <c r="X38" i="23"/>
  <c r="X37" i="23"/>
  <c r="X36" i="23"/>
  <c r="X35" i="23"/>
  <c r="X34" i="23"/>
  <c r="X33" i="23"/>
  <c r="X32" i="23"/>
  <c r="X31" i="23"/>
  <c r="X30" i="23"/>
  <c r="X29" i="23"/>
  <c r="X28" i="23"/>
  <c r="X27" i="23"/>
  <c r="X26" i="23"/>
  <c r="X25" i="23"/>
  <c r="X24" i="23"/>
  <c r="X23" i="23"/>
  <c r="X22" i="23"/>
  <c r="X21" i="23"/>
  <c r="X20" i="23"/>
  <c r="X19" i="23"/>
  <c r="X18" i="23"/>
  <c r="X17" i="23"/>
  <c r="X16" i="23"/>
  <c r="X15" i="23"/>
  <c r="X14" i="23"/>
  <c r="X13" i="23"/>
  <c r="X12" i="23"/>
  <c r="X11" i="23"/>
  <c r="X10" i="23"/>
  <c r="X9" i="23"/>
  <c r="X8" i="23"/>
  <c r="X7" i="23"/>
  <c r="X6" i="23"/>
  <c r="X5" i="23"/>
  <c r="X4" i="23"/>
  <c r="X3" i="23"/>
  <c r="X2" i="23"/>
  <c r="AI1" i="23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Y2" i="21"/>
  <c r="Y3" i="2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Z2" i="21"/>
  <c r="Z3" i="21"/>
  <c r="Z4" i="21"/>
  <c r="AA2" i="21"/>
  <c r="AA3" i="21"/>
  <c r="AA4" i="21"/>
  <c r="Z5" i="21"/>
  <c r="AA5" i="21"/>
  <c r="Z6" i="21"/>
  <c r="AA6" i="21"/>
  <c r="Z7" i="21"/>
  <c r="AA7" i="21"/>
  <c r="Z8" i="21"/>
  <c r="AA8" i="21"/>
  <c r="Z9" i="21"/>
  <c r="AA9" i="21"/>
  <c r="Z10" i="21"/>
  <c r="AA10" i="21"/>
  <c r="Z11" i="21"/>
  <c r="AA11" i="21"/>
  <c r="Z12" i="21"/>
  <c r="AA12" i="21"/>
  <c r="Z13" i="21"/>
  <c r="AA13" i="21"/>
  <c r="Z14" i="21"/>
  <c r="AA14" i="21"/>
  <c r="Z15" i="21"/>
  <c r="AA15" i="21"/>
  <c r="Z16" i="21"/>
  <c r="AA16" i="21"/>
  <c r="Z17" i="21"/>
  <c r="AA17" i="21"/>
  <c r="Z18" i="21"/>
  <c r="AA18" i="21"/>
  <c r="Z19" i="21"/>
  <c r="AA19" i="21"/>
  <c r="Z20" i="21"/>
  <c r="AA20" i="21"/>
  <c r="Z21" i="21"/>
  <c r="AA21" i="21"/>
  <c r="Z22" i="21"/>
  <c r="AA22" i="21"/>
  <c r="Z23" i="21"/>
  <c r="AA23" i="21"/>
  <c r="Z24" i="21"/>
  <c r="AA24" i="21"/>
  <c r="Z25" i="21"/>
  <c r="AA25" i="21"/>
  <c r="Z26" i="21"/>
  <c r="AA26" i="21"/>
  <c r="Z27" i="21"/>
  <c r="AA27" i="21"/>
  <c r="Z28" i="21"/>
  <c r="AA28" i="21"/>
  <c r="Z29" i="21"/>
  <c r="AA29" i="21"/>
  <c r="Z30" i="21"/>
  <c r="AA30" i="21"/>
  <c r="Z31" i="21"/>
  <c r="AA31" i="21"/>
  <c r="Z32" i="21"/>
  <c r="AA32" i="21"/>
  <c r="Z33" i="21"/>
  <c r="AA33" i="21"/>
  <c r="Z34" i="21"/>
  <c r="AA34" i="21"/>
  <c r="Z35" i="21"/>
  <c r="AA35" i="21"/>
  <c r="Z36" i="21"/>
  <c r="AA36" i="21"/>
  <c r="Z37" i="21"/>
  <c r="AA37" i="21"/>
  <c r="Z38" i="21"/>
  <c r="AA38" i="21"/>
  <c r="Z39" i="21"/>
  <c r="AA39" i="21"/>
  <c r="Z40" i="21"/>
  <c r="AA40" i="21"/>
  <c r="Z41" i="21"/>
  <c r="AA41" i="21"/>
  <c r="Z42" i="21"/>
  <c r="AA42" i="21"/>
  <c r="Z43" i="21"/>
  <c r="AA43" i="21"/>
  <c r="Z44" i="21"/>
  <c r="AA44" i="21"/>
  <c r="Z45" i="21"/>
  <c r="AA45" i="21"/>
  <c r="Z46" i="21"/>
  <c r="AA46" i="21"/>
  <c r="Z47" i="21"/>
  <c r="AA47" i="21"/>
  <c r="Z48" i="21"/>
  <c r="AA48" i="21"/>
  <c r="Z49" i="21"/>
  <c r="AA49" i="21"/>
  <c r="Z50" i="21"/>
  <c r="AA50" i="21"/>
  <c r="Z51" i="21"/>
  <c r="AA51" i="21"/>
  <c r="Z52" i="21"/>
  <c r="AA52" i="21"/>
  <c r="Z105" i="21"/>
  <c r="AH105" i="21"/>
  <c r="AH2" i="21"/>
  <c r="AH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G105" i="21"/>
  <c r="AF105" i="21"/>
  <c r="AE105" i="21"/>
  <c r="AD105" i="21"/>
  <c r="AC105" i="21"/>
  <c r="AB105" i="21"/>
  <c r="Z104" i="21"/>
  <c r="AH104" i="21"/>
  <c r="AG104" i="21"/>
  <c r="AF104" i="21"/>
  <c r="AE104" i="21"/>
  <c r="AD104" i="21"/>
  <c r="AC104" i="21"/>
  <c r="AB104" i="21"/>
  <c r="Z103" i="21"/>
  <c r="AH103" i="21"/>
  <c r="AG103" i="21"/>
  <c r="AF103" i="21"/>
  <c r="AE103" i="21"/>
  <c r="AD103" i="21"/>
  <c r="AC103" i="21"/>
  <c r="AB103" i="21"/>
  <c r="Z102" i="21"/>
  <c r="AH102" i="21"/>
  <c r="AG102" i="21"/>
  <c r="AF102" i="21"/>
  <c r="AE102" i="21"/>
  <c r="AD102" i="21"/>
  <c r="AC102" i="21"/>
  <c r="AB102" i="21"/>
  <c r="Z101" i="21"/>
  <c r="AH101" i="21"/>
  <c r="AG101" i="21"/>
  <c r="AF101" i="21"/>
  <c r="AE101" i="21"/>
  <c r="AD101" i="21"/>
  <c r="AC101" i="21"/>
  <c r="AB101" i="21"/>
  <c r="Z100" i="21"/>
  <c r="AH100" i="21"/>
  <c r="AG100" i="21"/>
  <c r="AF100" i="21"/>
  <c r="AE100" i="21"/>
  <c r="AD100" i="21"/>
  <c r="AC100" i="21"/>
  <c r="AB100" i="21"/>
  <c r="Z99" i="21"/>
  <c r="AH99" i="21"/>
  <c r="AG99" i="21"/>
  <c r="AF99" i="21"/>
  <c r="AE99" i="21"/>
  <c r="AD99" i="21"/>
  <c r="AC99" i="21"/>
  <c r="AB99" i="21"/>
  <c r="Z98" i="21"/>
  <c r="AH98" i="21"/>
  <c r="AG98" i="21"/>
  <c r="AF98" i="21"/>
  <c r="AE98" i="21"/>
  <c r="AD98" i="21"/>
  <c r="AC98" i="21"/>
  <c r="AB98" i="21"/>
  <c r="Z97" i="21"/>
  <c r="AH97" i="21"/>
  <c r="AG97" i="21"/>
  <c r="AF97" i="21"/>
  <c r="AE97" i="21"/>
  <c r="AD97" i="21"/>
  <c r="AC97" i="21"/>
  <c r="AB97" i="21"/>
  <c r="Z96" i="21"/>
  <c r="AH96" i="21"/>
  <c r="AG96" i="21"/>
  <c r="AF96" i="21"/>
  <c r="AE96" i="21"/>
  <c r="AD96" i="21"/>
  <c r="AC96" i="21"/>
  <c r="AB96" i="21"/>
  <c r="Z95" i="21"/>
  <c r="AH95" i="21"/>
  <c r="AG95" i="21"/>
  <c r="AF95" i="21"/>
  <c r="AE95" i="21"/>
  <c r="AD95" i="21"/>
  <c r="AC95" i="21"/>
  <c r="AB95" i="21"/>
  <c r="Z94" i="21"/>
  <c r="AH94" i="21"/>
  <c r="AG94" i="21"/>
  <c r="AF94" i="21"/>
  <c r="AE94" i="21"/>
  <c r="AD94" i="21"/>
  <c r="AC94" i="21"/>
  <c r="AB94" i="21"/>
  <c r="Z93" i="21"/>
  <c r="AH93" i="21"/>
  <c r="AG93" i="21"/>
  <c r="AF93" i="21"/>
  <c r="AE93" i="21"/>
  <c r="AD93" i="21"/>
  <c r="AC93" i="21"/>
  <c r="AB93" i="21"/>
  <c r="Z92" i="21"/>
  <c r="AH92" i="21"/>
  <c r="AG92" i="21"/>
  <c r="AF92" i="21"/>
  <c r="AE92" i="21"/>
  <c r="AD92" i="21"/>
  <c r="AC92" i="21"/>
  <c r="AB92" i="21"/>
  <c r="Z91" i="21"/>
  <c r="AH91" i="21"/>
  <c r="AG91" i="21"/>
  <c r="AF91" i="21"/>
  <c r="AE91" i="21"/>
  <c r="AD91" i="21"/>
  <c r="AC91" i="21"/>
  <c r="AB91" i="21"/>
  <c r="Z90" i="21"/>
  <c r="AH90" i="21"/>
  <c r="AG90" i="21"/>
  <c r="AF90" i="21"/>
  <c r="AE90" i="21"/>
  <c r="AD90" i="21"/>
  <c r="AC90" i="21"/>
  <c r="AB90" i="21"/>
  <c r="Z89" i="21"/>
  <c r="AH89" i="21"/>
  <c r="AG89" i="21"/>
  <c r="AF89" i="21"/>
  <c r="AE89" i="21"/>
  <c r="AD89" i="21"/>
  <c r="AC89" i="21"/>
  <c r="AB89" i="21"/>
  <c r="Z88" i="21"/>
  <c r="AH88" i="21"/>
  <c r="AG88" i="21"/>
  <c r="AF88" i="21"/>
  <c r="AE88" i="21"/>
  <c r="AD88" i="21"/>
  <c r="AC88" i="21"/>
  <c r="AB88" i="21"/>
  <c r="Z87" i="21"/>
  <c r="AH87" i="21"/>
  <c r="AG87" i="21"/>
  <c r="AF87" i="21"/>
  <c r="AE87" i="21"/>
  <c r="AD87" i="21"/>
  <c r="AC87" i="21"/>
  <c r="AB87" i="21"/>
  <c r="Z86" i="21"/>
  <c r="AH86" i="21"/>
  <c r="AG86" i="21"/>
  <c r="AF86" i="21"/>
  <c r="AE86" i="21"/>
  <c r="AD86" i="21"/>
  <c r="AC86" i="21"/>
  <c r="AB86" i="21"/>
  <c r="Z85" i="21"/>
  <c r="AH85" i="21"/>
  <c r="AG85" i="21"/>
  <c r="AF85" i="21"/>
  <c r="AE85" i="21"/>
  <c r="AD85" i="21"/>
  <c r="AC85" i="21"/>
  <c r="AB85" i="21"/>
  <c r="Z84" i="21"/>
  <c r="AH84" i="21"/>
  <c r="AG84" i="21"/>
  <c r="AF84" i="21"/>
  <c r="AE84" i="21"/>
  <c r="AD84" i="21"/>
  <c r="AC84" i="21"/>
  <c r="AB84" i="21"/>
  <c r="Z83" i="21"/>
  <c r="AH83" i="21"/>
  <c r="AG83" i="21"/>
  <c r="AF83" i="21"/>
  <c r="AE83" i="21"/>
  <c r="AD83" i="21"/>
  <c r="AC83" i="21"/>
  <c r="AB83" i="21"/>
  <c r="Z82" i="21"/>
  <c r="AH82" i="21"/>
  <c r="AG82" i="21"/>
  <c r="AF82" i="21"/>
  <c r="AE82" i="21"/>
  <c r="AD82" i="21"/>
  <c r="AC82" i="21"/>
  <c r="AB82" i="21"/>
  <c r="Z81" i="21"/>
  <c r="AH81" i="21"/>
  <c r="AG81" i="21"/>
  <c r="AF81" i="21"/>
  <c r="AE81" i="21"/>
  <c r="AD81" i="21"/>
  <c r="AC81" i="21"/>
  <c r="AB81" i="21"/>
  <c r="Z80" i="21"/>
  <c r="AH80" i="21"/>
  <c r="AG80" i="21"/>
  <c r="AF80" i="21"/>
  <c r="AE80" i="21"/>
  <c r="AD80" i="21"/>
  <c r="AC80" i="21"/>
  <c r="AB80" i="21"/>
  <c r="Z79" i="21"/>
  <c r="AH79" i="21"/>
  <c r="AG79" i="21"/>
  <c r="AF79" i="21"/>
  <c r="AE79" i="21"/>
  <c r="AD79" i="21"/>
  <c r="AC79" i="21"/>
  <c r="AB79" i="21"/>
  <c r="Z78" i="21"/>
  <c r="AH78" i="21"/>
  <c r="AG78" i="21"/>
  <c r="AF78" i="21"/>
  <c r="AE78" i="21"/>
  <c r="AD78" i="21"/>
  <c r="AC78" i="21"/>
  <c r="AB78" i="21"/>
  <c r="Z77" i="21"/>
  <c r="AH77" i="21"/>
  <c r="AG77" i="21"/>
  <c r="AF77" i="21"/>
  <c r="AE77" i="21"/>
  <c r="AD77" i="21"/>
  <c r="AC77" i="21"/>
  <c r="AB77" i="21"/>
  <c r="Z76" i="21"/>
  <c r="AH76" i="21"/>
  <c r="AG76" i="21"/>
  <c r="AF76" i="21"/>
  <c r="AE76" i="21"/>
  <c r="AD76" i="21"/>
  <c r="AC76" i="21"/>
  <c r="AB76" i="21"/>
  <c r="Z75" i="21"/>
  <c r="AH75" i="21"/>
  <c r="AG75" i="21"/>
  <c r="AF75" i="21"/>
  <c r="AE75" i="21"/>
  <c r="AD75" i="21"/>
  <c r="AC75" i="21"/>
  <c r="AB75" i="21"/>
  <c r="Z74" i="21"/>
  <c r="AH74" i="21"/>
  <c r="AG74" i="21"/>
  <c r="AF74" i="21"/>
  <c r="AE74" i="21"/>
  <c r="AD74" i="21"/>
  <c r="AC74" i="21"/>
  <c r="AB74" i="21"/>
  <c r="Z73" i="21"/>
  <c r="AH73" i="21"/>
  <c r="AG73" i="21"/>
  <c r="AF73" i="21"/>
  <c r="AE73" i="21"/>
  <c r="AD73" i="21"/>
  <c r="AC73" i="21"/>
  <c r="AB73" i="21"/>
  <c r="Z72" i="21"/>
  <c r="AH72" i="21"/>
  <c r="AG72" i="21"/>
  <c r="AF72" i="21"/>
  <c r="AE72" i="21"/>
  <c r="AD72" i="21"/>
  <c r="AC72" i="21"/>
  <c r="AB72" i="21"/>
  <c r="Z71" i="21"/>
  <c r="AH71" i="21"/>
  <c r="AG71" i="21"/>
  <c r="AF71" i="21"/>
  <c r="AE71" i="21"/>
  <c r="AD71" i="21"/>
  <c r="AC71" i="21"/>
  <c r="AB71" i="21"/>
  <c r="Z70" i="21"/>
  <c r="AH70" i="21"/>
  <c r="AG70" i="21"/>
  <c r="AF70" i="21"/>
  <c r="AE70" i="21"/>
  <c r="AD70" i="21"/>
  <c r="AC70" i="21"/>
  <c r="AB70" i="21"/>
  <c r="Z69" i="21"/>
  <c r="AH69" i="21"/>
  <c r="AG69" i="21"/>
  <c r="AF69" i="21"/>
  <c r="AE69" i="21"/>
  <c r="AD69" i="21"/>
  <c r="AC69" i="21"/>
  <c r="AB69" i="21"/>
  <c r="Z68" i="21"/>
  <c r="AH68" i="21"/>
  <c r="AG68" i="21"/>
  <c r="AF68" i="21"/>
  <c r="AE68" i="21"/>
  <c r="AD68" i="21"/>
  <c r="AC68" i="21"/>
  <c r="AB68" i="21"/>
  <c r="Z67" i="21"/>
  <c r="AH67" i="21"/>
  <c r="AG67" i="21"/>
  <c r="AF67" i="21"/>
  <c r="AE67" i="21"/>
  <c r="AD67" i="21"/>
  <c r="AC67" i="21"/>
  <c r="AB67" i="21"/>
  <c r="Z66" i="21"/>
  <c r="AH66" i="21"/>
  <c r="AG66" i="21"/>
  <c r="AF66" i="21"/>
  <c r="AE66" i="21"/>
  <c r="AD66" i="21"/>
  <c r="AC66" i="21"/>
  <c r="AB66" i="21"/>
  <c r="Z65" i="21"/>
  <c r="AH65" i="21"/>
  <c r="AG65" i="21"/>
  <c r="AF65" i="21"/>
  <c r="AE65" i="21"/>
  <c r="AD65" i="21"/>
  <c r="AC65" i="21"/>
  <c r="AB65" i="21"/>
  <c r="Z64" i="21"/>
  <c r="AH64" i="21"/>
  <c r="AG64" i="21"/>
  <c r="AF64" i="21"/>
  <c r="AE64" i="21"/>
  <c r="AD64" i="21"/>
  <c r="AC64" i="21"/>
  <c r="AB64" i="21"/>
  <c r="Z63" i="21"/>
  <c r="AH63" i="21"/>
  <c r="AG63" i="21"/>
  <c r="AF63" i="21"/>
  <c r="AE63" i="21"/>
  <c r="AD63" i="21"/>
  <c r="AC63" i="21"/>
  <c r="AB63" i="21"/>
  <c r="Z62" i="21"/>
  <c r="AH62" i="21"/>
  <c r="AG62" i="21"/>
  <c r="AF62" i="21"/>
  <c r="AE62" i="21"/>
  <c r="AD62" i="21"/>
  <c r="AC62" i="21"/>
  <c r="AB62" i="21"/>
  <c r="Z61" i="21"/>
  <c r="AH61" i="21"/>
  <c r="AG61" i="21"/>
  <c r="AF61" i="21"/>
  <c r="AE61" i="21"/>
  <c r="AD61" i="21"/>
  <c r="AC61" i="21"/>
  <c r="AB61" i="21"/>
  <c r="Z60" i="21"/>
  <c r="AH60" i="21"/>
  <c r="AG60" i="21"/>
  <c r="AF60" i="21"/>
  <c r="AE60" i="21"/>
  <c r="AD60" i="21"/>
  <c r="AC60" i="21"/>
  <c r="AB60" i="21"/>
  <c r="Z59" i="21"/>
  <c r="AH59" i="21"/>
  <c r="AG59" i="21"/>
  <c r="AF59" i="21"/>
  <c r="AE59" i="21"/>
  <c r="AD59" i="21"/>
  <c r="AC59" i="21"/>
  <c r="AB59" i="21"/>
  <c r="Z58" i="21"/>
  <c r="AH58" i="21"/>
  <c r="AG58" i="21"/>
  <c r="AF58" i="21"/>
  <c r="AE58" i="21"/>
  <c r="AD58" i="21"/>
  <c r="AC58" i="21"/>
  <c r="AB58" i="21"/>
  <c r="Z57" i="21"/>
  <c r="AH57" i="21"/>
  <c r="AG57" i="21"/>
  <c r="AF57" i="21"/>
  <c r="AE57" i="21"/>
  <c r="AD57" i="21"/>
  <c r="AC57" i="21"/>
  <c r="AB57" i="21"/>
  <c r="Z56" i="21"/>
  <c r="AH56" i="21"/>
  <c r="AG56" i="21"/>
  <c r="AF56" i="21"/>
  <c r="AE56" i="21"/>
  <c r="AD56" i="21"/>
  <c r="AC56" i="21"/>
  <c r="AB56" i="21"/>
  <c r="AG55" i="21"/>
  <c r="AF55" i="21"/>
  <c r="AE55" i="21"/>
  <c r="AD55" i="21"/>
  <c r="AC55" i="21"/>
  <c r="AB55" i="21"/>
  <c r="Y54" i="21"/>
  <c r="W52" i="21"/>
  <c r="W51" i="21"/>
  <c r="W50" i="21"/>
  <c r="W49" i="21"/>
  <c r="W48" i="21"/>
  <c r="W47" i="21"/>
  <c r="W46" i="21"/>
  <c r="W45" i="21"/>
  <c r="W44" i="21"/>
  <c r="W43" i="21"/>
  <c r="W42" i="21"/>
  <c r="W41" i="21"/>
  <c r="W40" i="21"/>
  <c r="W39" i="21"/>
  <c r="W38" i="21"/>
  <c r="W37" i="21"/>
  <c r="W36" i="21"/>
  <c r="W35" i="21"/>
  <c r="W34" i="21"/>
  <c r="W33" i="21"/>
  <c r="W32" i="21"/>
  <c r="W31" i="21"/>
  <c r="W30" i="21"/>
  <c r="W29" i="21"/>
  <c r="W28" i="21"/>
  <c r="W27" i="21"/>
  <c r="W26" i="21"/>
  <c r="W25" i="21"/>
  <c r="W24" i="21"/>
  <c r="W23" i="21"/>
  <c r="W22" i="21"/>
  <c r="W21" i="21"/>
  <c r="W20" i="21"/>
  <c r="W19" i="21"/>
  <c r="W18" i="21"/>
  <c r="W17" i="21"/>
  <c r="W16" i="21"/>
  <c r="W15" i="21"/>
  <c r="W14" i="21"/>
  <c r="W13" i="21"/>
  <c r="W12" i="21"/>
  <c r="W11" i="21"/>
  <c r="W10" i="21"/>
  <c r="W9" i="21"/>
  <c r="W8" i="21"/>
  <c r="W7" i="21"/>
  <c r="W6" i="21"/>
  <c r="W5" i="21"/>
  <c r="W4" i="21"/>
  <c r="W3" i="21"/>
  <c r="W2" i="21"/>
  <c r="AH1" i="21"/>
  <c r="A63" i="20"/>
  <c r="A88" i="20"/>
  <c r="A101" i="20"/>
  <c r="A107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2" i="20"/>
  <c r="A103" i="20"/>
  <c r="A104" i="20"/>
  <c r="A105" i="20"/>
  <c r="A106" i="20"/>
  <c r="A108" i="20"/>
  <c r="A109" i="20"/>
  <c r="A110" i="20"/>
  <c r="A111" i="20"/>
  <c r="A112" i="20"/>
  <c r="A113" i="20"/>
  <c r="A13" i="20"/>
  <c r="A12" i="20"/>
  <c r="A11" i="20"/>
  <c r="A10" i="20"/>
  <c r="A9" i="20"/>
  <c r="A8" i="20"/>
  <c r="I23" i="19"/>
  <c r="I12" i="19"/>
  <c r="I26" i="19"/>
  <c r="I31" i="19"/>
  <c r="I28" i="19"/>
  <c r="I8" i="19"/>
  <c r="I5" i="19"/>
  <c r="I34" i="19"/>
  <c r="I10" i="19"/>
  <c r="I21" i="19"/>
  <c r="I2" i="19"/>
  <c r="I17" i="19"/>
  <c r="I35" i="19"/>
  <c r="I47" i="19"/>
  <c r="I46" i="19"/>
  <c r="I49" i="19"/>
  <c r="I9" i="19"/>
  <c r="I36" i="19"/>
  <c r="I19" i="19"/>
  <c r="I29" i="19"/>
  <c r="I4" i="19"/>
  <c r="I15" i="19"/>
  <c r="I48" i="19"/>
  <c r="I43" i="19"/>
  <c r="I38" i="19"/>
  <c r="I27" i="19"/>
  <c r="I44" i="19"/>
  <c r="I39" i="19"/>
  <c r="I7" i="19"/>
  <c r="I42" i="19"/>
  <c r="I37" i="19"/>
  <c r="I6" i="19"/>
  <c r="I13" i="19"/>
  <c r="I40" i="19"/>
  <c r="I16" i="19"/>
  <c r="I11" i="19"/>
  <c r="I20" i="19"/>
  <c r="I18" i="19"/>
  <c r="I25" i="19"/>
  <c r="I32" i="19"/>
  <c r="I24" i="19"/>
  <c r="I33" i="19"/>
  <c r="I3" i="19"/>
  <c r="I45" i="19"/>
  <c r="I41" i="19"/>
  <c r="I22" i="19"/>
  <c r="I30" i="19"/>
  <c r="I14" i="19"/>
  <c r="I52" i="18"/>
  <c r="L52" i="18"/>
  <c r="H52" i="18"/>
  <c r="K52" i="18"/>
  <c r="I51" i="18"/>
  <c r="L51" i="18"/>
  <c r="H51" i="18"/>
  <c r="K51" i="18"/>
  <c r="I50" i="18"/>
  <c r="L50" i="18"/>
  <c r="H50" i="18"/>
  <c r="K50" i="18"/>
  <c r="I49" i="18"/>
  <c r="L49" i="18"/>
  <c r="H49" i="18"/>
  <c r="K49" i="18"/>
  <c r="I48" i="18"/>
  <c r="L48" i="18"/>
  <c r="H48" i="18"/>
  <c r="K48" i="18"/>
  <c r="I47" i="18"/>
  <c r="L47" i="18"/>
  <c r="H47" i="18"/>
  <c r="K47" i="18"/>
  <c r="I46" i="18"/>
  <c r="L46" i="18"/>
  <c r="H46" i="18"/>
  <c r="K46" i="18"/>
  <c r="I45" i="18"/>
  <c r="L45" i="18"/>
  <c r="H45" i="18"/>
  <c r="K45" i="18"/>
  <c r="I44" i="18"/>
  <c r="L44" i="18"/>
  <c r="H44" i="18"/>
  <c r="K44" i="18"/>
  <c r="I43" i="18"/>
  <c r="L43" i="18"/>
  <c r="H43" i="18"/>
  <c r="K43" i="18"/>
  <c r="I42" i="18"/>
  <c r="L42" i="18"/>
  <c r="H42" i="18"/>
  <c r="K42" i="18"/>
  <c r="I41" i="18"/>
  <c r="L41" i="18"/>
  <c r="H41" i="18"/>
  <c r="K41" i="18"/>
  <c r="I40" i="18"/>
  <c r="L40" i="18"/>
  <c r="H40" i="18"/>
  <c r="K40" i="18"/>
  <c r="I39" i="18"/>
  <c r="L39" i="18"/>
  <c r="H39" i="18"/>
  <c r="K39" i="18"/>
  <c r="I38" i="18"/>
  <c r="L38" i="18"/>
  <c r="H38" i="18"/>
  <c r="K38" i="18"/>
  <c r="I37" i="18"/>
  <c r="L37" i="18"/>
  <c r="H37" i="18"/>
  <c r="K37" i="18"/>
  <c r="I36" i="18"/>
  <c r="L36" i="18"/>
  <c r="H36" i="18"/>
  <c r="K36" i="18"/>
  <c r="I35" i="18"/>
  <c r="L35" i="18"/>
  <c r="H35" i="18"/>
  <c r="K35" i="18"/>
  <c r="I34" i="18"/>
  <c r="L34" i="18"/>
  <c r="H34" i="18"/>
  <c r="K34" i="18"/>
  <c r="I33" i="18"/>
  <c r="L33" i="18"/>
  <c r="H33" i="18"/>
  <c r="K33" i="18"/>
  <c r="I32" i="18"/>
  <c r="L32" i="18"/>
  <c r="H32" i="18"/>
  <c r="K32" i="18"/>
  <c r="I31" i="18"/>
  <c r="L31" i="18"/>
  <c r="H31" i="18"/>
  <c r="K31" i="18"/>
  <c r="I30" i="18"/>
  <c r="L30" i="18"/>
  <c r="H30" i="18"/>
  <c r="K30" i="18"/>
  <c r="I29" i="18"/>
  <c r="L29" i="18"/>
  <c r="H29" i="18"/>
  <c r="K29" i="18"/>
  <c r="I28" i="18"/>
  <c r="L28" i="18"/>
  <c r="H28" i="18"/>
  <c r="K28" i="18"/>
  <c r="I27" i="18"/>
  <c r="L27" i="18"/>
  <c r="H27" i="18"/>
  <c r="K27" i="18"/>
  <c r="I26" i="18"/>
  <c r="L26" i="18"/>
  <c r="H26" i="18"/>
  <c r="K26" i="18"/>
  <c r="I25" i="18"/>
  <c r="L25" i="18"/>
  <c r="H25" i="18"/>
  <c r="K25" i="18"/>
  <c r="I24" i="18"/>
  <c r="L24" i="18"/>
  <c r="H24" i="18"/>
  <c r="K24" i="18"/>
  <c r="I23" i="18"/>
  <c r="L23" i="18"/>
  <c r="H23" i="18"/>
  <c r="K23" i="18"/>
  <c r="I22" i="18"/>
  <c r="L22" i="18"/>
  <c r="H22" i="18"/>
  <c r="K22" i="18"/>
  <c r="I21" i="18"/>
  <c r="L21" i="18"/>
  <c r="H21" i="18"/>
  <c r="K21" i="18"/>
  <c r="I20" i="18"/>
  <c r="L20" i="18"/>
  <c r="H20" i="18"/>
  <c r="K20" i="18"/>
  <c r="I19" i="18"/>
  <c r="L19" i="18"/>
  <c r="H19" i="18"/>
  <c r="K19" i="18"/>
  <c r="I18" i="18"/>
  <c r="L18" i="18"/>
  <c r="H18" i="18"/>
  <c r="K18" i="18"/>
  <c r="I17" i="18"/>
  <c r="L17" i="18"/>
  <c r="H17" i="18"/>
  <c r="K17" i="18"/>
  <c r="I16" i="18"/>
  <c r="L16" i="18"/>
  <c r="H16" i="18"/>
  <c r="K16" i="18"/>
  <c r="I15" i="18"/>
  <c r="L15" i="18"/>
  <c r="H15" i="18"/>
  <c r="K15" i="18"/>
  <c r="I14" i="18"/>
  <c r="L14" i="18"/>
  <c r="H14" i="18"/>
  <c r="K14" i="18"/>
  <c r="I13" i="18"/>
  <c r="L13" i="18"/>
  <c r="H13" i="18"/>
  <c r="K13" i="18"/>
  <c r="I12" i="18"/>
  <c r="L12" i="18"/>
  <c r="H12" i="18"/>
  <c r="K12" i="18"/>
  <c r="I11" i="18"/>
  <c r="L11" i="18"/>
  <c r="H11" i="18"/>
  <c r="K11" i="18"/>
  <c r="I10" i="18"/>
  <c r="L10" i="18"/>
  <c r="H10" i="18"/>
  <c r="K10" i="18"/>
  <c r="I9" i="18"/>
  <c r="L9" i="18"/>
  <c r="H9" i="18"/>
  <c r="K9" i="18"/>
  <c r="I8" i="18"/>
  <c r="L8" i="18"/>
  <c r="H8" i="18"/>
  <c r="K8" i="18"/>
  <c r="I7" i="18"/>
  <c r="L7" i="18"/>
  <c r="H7" i="18"/>
  <c r="K7" i="18"/>
  <c r="I6" i="18"/>
  <c r="L6" i="18"/>
  <c r="H6" i="18"/>
  <c r="K6" i="18"/>
  <c r="I5" i="18"/>
  <c r="L5" i="18"/>
  <c r="H5" i="18"/>
  <c r="K5" i="18"/>
  <c r="I4" i="18"/>
  <c r="L4" i="18"/>
  <c r="H4" i="18"/>
  <c r="K4" i="18"/>
  <c r="I3" i="18"/>
  <c r="L3" i="18"/>
  <c r="H3" i="18"/>
  <c r="K3" i="18"/>
  <c r="I2" i="18"/>
  <c r="L2" i="18"/>
  <c r="H2" i="18"/>
  <c r="K2" i="18"/>
  <c r="E53" i="18"/>
  <c r="D53" i="18"/>
  <c r="C53" i="18"/>
  <c r="B53" i="18"/>
  <c r="L2" i="17"/>
  <c r="M2" i="17"/>
  <c r="N2" i="17"/>
  <c r="O2" i="17"/>
  <c r="P2" i="17"/>
  <c r="Q2" i="17"/>
  <c r="R2" i="17"/>
  <c r="S2" i="17"/>
  <c r="K2" i="17"/>
  <c r="S53" i="17"/>
  <c r="S52" i="17"/>
  <c r="S51" i="17"/>
  <c r="S50" i="17"/>
  <c r="S49" i="17"/>
  <c r="S48" i="17"/>
  <c r="S47" i="17"/>
  <c r="S46" i="17"/>
  <c r="S45" i="17"/>
  <c r="S44" i="17"/>
  <c r="S43" i="17"/>
  <c r="S42" i="17"/>
  <c r="S41" i="17"/>
  <c r="S40" i="17"/>
  <c r="S39" i="17"/>
  <c r="S38" i="17"/>
  <c r="S37" i="17"/>
  <c r="S36" i="17"/>
  <c r="S35" i="17"/>
  <c r="S34" i="17"/>
  <c r="S33" i="17"/>
  <c r="S32" i="17"/>
  <c r="S31" i="17"/>
  <c r="S30" i="17"/>
  <c r="S29" i="17"/>
  <c r="S28" i="17"/>
  <c r="S27" i="17"/>
  <c r="S26" i="17"/>
  <c r="S25" i="17"/>
  <c r="S24" i="17"/>
  <c r="S23" i="17"/>
  <c r="S22" i="17"/>
  <c r="S21" i="17"/>
  <c r="S20" i="17"/>
  <c r="S19" i="17"/>
  <c r="S18" i="17"/>
  <c r="S17" i="17"/>
  <c r="S16" i="17"/>
  <c r="S15" i="17"/>
  <c r="S14" i="17"/>
  <c r="S13" i="17"/>
  <c r="S12" i="17"/>
  <c r="S11" i="17"/>
  <c r="S10" i="17"/>
  <c r="S9" i="17"/>
  <c r="S8" i="17"/>
  <c r="S7" i="17"/>
  <c r="S6" i="17"/>
  <c r="S5" i="17"/>
  <c r="S4" i="17"/>
  <c r="S3" i="17"/>
  <c r="R53" i="17"/>
  <c r="R52" i="17"/>
  <c r="R51" i="17"/>
  <c r="R50" i="17"/>
  <c r="R49" i="17"/>
  <c r="R48" i="17"/>
  <c r="R47" i="17"/>
  <c r="R46" i="17"/>
  <c r="R45" i="17"/>
  <c r="R44" i="17"/>
  <c r="R43" i="17"/>
  <c r="R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R3" i="17"/>
  <c r="Q53" i="17"/>
  <c r="Q52" i="17"/>
  <c r="Q51" i="17"/>
  <c r="Q50" i="17"/>
  <c r="Q49" i="17"/>
  <c r="Q48" i="17"/>
  <c r="Q47" i="17"/>
  <c r="Q46" i="17"/>
  <c r="Q45" i="17"/>
  <c r="Q44" i="17"/>
  <c r="Q43" i="17"/>
  <c r="Q42" i="17"/>
  <c r="Q41" i="17"/>
  <c r="Q40" i="17"/>
  <c r="Q39" i="17"/>
  <c r="Q38" i="17"/>
  <c r="Q37" i="17"/>
  <c r="Q36" i="17"/>
  <c r="Q35" i="17"/>
  <c r="Q34" i="17"/>
  <c r="Q33" i="17"/>
  <c r="Q32" i="17"/>
  <c r="Q31" i="17"/>
  <c r="Q30" i="17"/>
  <c r="Q29" i="17"/>
  <c r="Q28" i="17"/>
  <c r="Q27" i="17"/>
  <c r="Q26" i="17"/>
  <c r="Q25" i="17"/>
  <c r="Q24" i="17"/>
  <c r="Q23" i="17"/>
  <c r="Q22" i="17"/>
  <c r="Q21" i="17"/>
  <c r="Q20" i="17"/>
  <c r="Q19" i="17"/>
  <c r="Q18" i="17"/>
  <c r="Q17" i="17"/>
  <c r="Q16" i="17"/>
  <c r="Q15" i="17"/>
  <c r="Q14" i="17"/>
  <c r="Q13" i="17"/>
  <c r="Q12" i="17"/>
  <c r="Q11" i="17"/>
  <c r="Q10" i="17"/>
  <c r="Q9" i="17"/>
  <c r="Q8" i="17"/>
  <c r="Q7" i="17"/>
  <c r="Q6" i="17"/>
  <c r="Q5" i="17"/>
  <c r="Q4" i="17"/>
  <c r="Q3" i="17"/>
  <c r="P53" i="17"/>
  <c r="P52" i="17"/>
  <c r="P51" i="17"/>
  <c r="P50" i="17"/>
  <c r="P49" i="17"/>
  <c r="P48" i="17"/>
  <c r="P47" i="17"/>
  <c r="P46" i="17"/>
  <c r="P45" i="17"/>
  <c r="P44" i="17"/>
  <c r="P43" i="17"/>
  <c r="P42" i="17"/>
  <c r="P41" i="17"/>
  <c r="P40" i="17"/>
  <c r="P39" i="17"/>
  <c r="P38" i="17"/>
  <c r="P37" i="17"/>
  <c r="P36" i="17"/>
  <c r="P35" i="17"/>
  <c r="P34" i="17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N53" i="17"/>
  <c r="N52" i="17"/>
  <c r="N51" i="17"/>
  <c r="N50" i="17"/>
  <c r="N49" i="17"/>
  <c r="N47" i="17"/>
  <c r="N46" i="17"/>
  <c r="N45" i="17"/>
  <c r="N44" i="17"/>
  <c r="N43" i="17"/>
  <c r="N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L53" i="17"/>
  <c r="L52" i="17"/>
  <c r="L51" i="17"/>
  <c r="L50" i="17"/>
  <c r="L49" i="17"/>
  <c r="L48" i="17"/>
  <c r="L47" i="17"/>
  <c r="L46" i="17"/>
  <c r="L45" i="17"/>
  <c r="L44" i="17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N48" i="17"/>
  <c r="Z53" i="17"/>
  <c r="Z52" i="17"/>
  <c r="Z51" i="17"/>
  <c r="Z50" i="17"/>
  <c r="Z49" i="17"/>
  <c r="Z48" i="17"/>
  <c r="Z47" i="17"/>
  <c r="Z46" i="17"/>
  <c r="Z45" i="17"/>
  <c r="Z44" i="17"/>
  <c r="Z43" i="17"/>
  <c r="Z42" i="17"/>
  <c r="Z41" i="17"/>
  <c r="Z40" i="17"/>
  <c r="Z39" i="17"/>
  <c r="Z38" i="17"/>
  <c r="Z37" i="17"/>
  <c r="Z36" i="17"/>
  <c r="Z35" i="17"/>
  <c r="Z34" i="17"/>
  <c r="Z33" i="17"/>
  <c r="Z32" i="17"/>
  <c r="Z31" i="17"/>
  <c r="Z30" i="17"/>
  <c r="Z29" i="17"/>
  <c r="Z28" i="17"/>
  <c r="Z27" i="17"/>
  <c r="Z26" i="17"/>
  <c r="Z25" i="17"/>
  <c r="Z24" i="17"/>
  <c r="Z23" i="17"/>
  <c r="Z22" i="17"/>
  <c r="Z21" i="17"/>
  <c r="Z20" i="17"/>
  <c r="Z19" i="17"/>
  <c r="Z18" i="17"/>
  <c r="Z17" i="17"/>
  <c r="Z16" i="17"/>
  <c r="Z15" i="17"/>
  <c r="Z14" i="17"/>
  <c r="Z13" i="17"/>
  <c r="Z12" i="17"/>
  <c r="Z11" i="17"/>
  <c r="Z10" i="17"/>
  <c r="Z9" i="17"/>
  <c r="Z8" i="17"/>
  <c r="Z7" i="17"/>
  <c r="Z6" i="17"/>
  <c r="Z5" i="17"/>
  <c r="Z4" i="17"/>
  <c r="Z3" i="17"/>
  <c r="AB36" i="17"/>
  <c r="X36" i="17" a="1"/>
  <c r="AB35" i="17"/>
  <c r="X35" i="17" a="1"/>
  <c r="AB13" i="17"/>
  <c r="X13" i="17" a="1"/>
  <c r="AB37" i="17"/>
  <c r="X37" i="17" a="1"/>
  <c r="AB44" i="17"/>
  <c r="X44" i="17" a="1"/>
  <c r="AB34" i="17"/>
  <c r="X34" i="17" a="1"/>
  <c r="AB53" i="17"/>
  <c r="X53" i="17" a="1"/>
  <c r="AB4" i="17"/>
  <c r="X4" i="17" a="1"/>
  <c r="AB19" i="17"/>
  <c r="X19" i="17" a="1"/>
  <c r="AB10" i="17"/>
  <c r="X10" i="17" a="1"/>
  <c r="AB26" i="17"/>
  <c r="X26" i="17" a="1"/>
  <c r="AB17" i="17"/>
  <c r="X17" i="17" a="1"/>
  <c r="AB25" i="17"/>
  <c r="X25" i="17" a="1"/>
  <c r="AB33" i="17"/>
  <c r="X33" i="17" a="1"/>
  <c r="AB41" i="17"/>
  <c r="X41" i="17" a="1"/>
  <c r="AB49" i="17"/>
  <c r="X49" i="17" a="1"/>
  <c r="AB45" i="17"/>
  <c r="X45" i="17" a="1"/>
  <c r="AB12" i="17"/>
  <c r="X12" i="17" a="1"/>
  <c r="AB3" i="17"/>
  <c r="X3" i="17" a="1"/>
  <c r="AB18" i="17"/>
  <c r="X18" i="17" a="1"/>
  <c r="AB16" i="17"/>
  <c r="X16" i="17" a="1"/>
  <c r="AB32" i="17"/>
  <c r="X32" i="17" a="1"/>
  <c r="AB40" i="17"/>
  <c r="X40" i="17" a="1"/>
  <c r="AB48" i="17"/>
  <c r="X48" i="17" a="1"/>
  <c r="AB21" i="17"/>
  <c r="X21" i="17" a="1"/>
  <c r="AB20" i="17"/>
  <c r="X20" i="17" a="1"/>
  <c r="AB52" i="17"/>
  <c r="X52" i="17" a="1"/>
  <c r="AB27" i="17"/>
  <c r="X27" i="17" a="1"/>
  <c r="AB51" i="17"/>
  <c r="X51" i="17" a="1"/>
  <c r="AB42" i="17"/>
  <c r="X42" i="17" a="1"/>
  <c r="AB9" i="17"/>
  <c r="X9" i="17" a="1"/>
  <c r="AB24" i="17"/>
  <c r="X24" i="17" a="1"/>
  <c r="AB7" i="17"/>
  <c r="X7" i="17" a="1"/>
  <c r="AB15" i="17"/>
  <c r="X15" i="17" a="1"/>
  <c r="AB23" i="17"/>
  <c r="X23" i="17" a="1"/>
  <c r="AB31" i="17"/>
  <c r="X31" i="17" a="1"/>
  <c r="AB39" i="17"/>
  <c r="X39" i="17" a="1"/>
  <c r="AB47" i="17"/>
  <c r="X47" i="17" a="1"/>
  <c r="AB5" i="17"/>
  <c r="X5" i="17" a="1"/>
  <c r="AB29" i="17"/>
  <c r="X29" i="17" a="1"/>
  <c r="AB28" i="17"/>
  <c r="X28" i="17" a="1"/>
  <c r="AB11" i="17"/>
  <c r="X11" i="17" a="1"/>
  <c r="AB43" i="17"/>
  <c r="X43" i="17" a="1"/>
  <c r="AB50" i="17"/>
  <c r="X50" i="17" a="1"/>
  <c r="AB8" i="17"/>
  <c r="X8" i="17" a="1"/>
  <c r="AB6" i="17"/>
  <c r="X6" i="17" a="1"/>
  <c r="AB14" i="17"/>
  <c r="X14" i="17" a="1"/>
  <c r="AB22" i="17"/>
  <c r="X22" i="17" a="1"/>
  <c r="AB30" i="17"/>
  <c r="X30" i="17" a="1"/>
  <c r="AB38" i="17"/>
  <c r="X38" i="17" a="1"/>
  <c r="AB46" i="17"/>
  <c r="X46" i="17" a="1"/>
  <c r="K51" i="17"/>
  <c r="AA51" i="17"/>
  <c r="K18" i="17"/>
  <c r="AA18" i="17"/>
  <c r="K50" i="17"/>
  <c r="AA50" i="17"/>
  <c r="K49" i="17"/>
  <c r="AA49" i="17"/>
  <c r="K19" i="17"/>
  <c r="AA19" i="17"/>
  <c r="K16" i="17"/>
  <c r="AA16" i="17"/>
  <c r="K40" i="17"/>
  <c r="AA40" i="17"/>
  <c r="K48" i="17"/>
  <c r="AA48" i="17"/>
  <c r="K3" i="17"/>
  <c r="AA3" i="17"/>
  <c r="K10" i="17"/>
  <c r="AA10" i="17"/>
  <c r="K42" i="17"/>
  <c r="AA42" i="17"/>
  <c r="K17" i="17"/>
  <c r="AA17" i="17"/>
  <c r="K8" i="17"/>
  <c r="AA8" i="17"/>
  <c r="K23" i="17"/>
  <c r="AA23" i="17"/>
  <c r="K31" i="17"/>
  <c r="AA31" i="17"/>
  <c r="K39" i="17"/>
  <c r="AA39" i="17"/>
  <c r="K47" i="17"/>
  <c r="AA47" i="17"/>
  <c r="K11" i="17"/>
  <c r="AA11" i="17"/>
  <c r="K43" i="17"/>
  <c r="AA43" i="17"/>
  <c r="K41" i="17"/>
  <c r="AA41" i="17"/>
  <c r="K14" i="17"/>
  <c r="AA14" i="17"/>
  <c r="K38" i="17"/>
  <c r="AA38" i="17"/>
  <c r="K46" i="17"/>
  <c r="AA46" i="17"/>
  <c r="K35" i="17"/>
  <c r="AA35" i="17"/>
  <c r="K26" i="17"/>
  <c r="AA26" i="17"/>
  <c r="K9" i="17"/>
  <c r="AA9" i="17"/>
  <c r="K33" i="17"/>
  <c r="AA33" i="17"/>
  <c r="K32" i="17"/>
  <c r="AA32" i="17"/>
  <c r="K7" i="17"/>
  <c r="AA7" i="17"/>
  <c r="K30" i="17"/>
  <c r="AA30" i="17"/>
  <c r="K5" i="17"/>
  <c r="AA5" i="17"/>
  <c r="K13" i="17"/>
  <c r="AA13" i="17"/>
  <c r="K21" i="17"/>
  <c r="AA21" i="17"/>
  <c r="K29" i="17"/>
  <c r="AA29" i="17"/>
  <c r="K37" i="17"/>
  <c r="AA37" i="17"/>
  <c r="K45" i="17"/>
  <c r="AA45" i="17"/>
  <c r="K53" i="17"/>
  <c r="AA53" i="17"/>
  <c r="K27" i="17"/>
  <c r="AA27" i="17"/>
  <c r="K34" i="17"/>
  <c r="AA34" i="17"/>
  <c r="K25" i="17"/>
  <c r="AA25" i="17"/>
  <c r="K24" i="17"/>
  <c r="AA24" i="17"/>
  <c r="K15" i="17"/>
  <c r="AA15" i="17"/>
  <c r="K6" i="17"/>
  <c r="AA6" i="17"/>
  <c r="K22" i="17"/>
  <c r="AA22" i="17"/>
  <c r="K4" i="17"/>
  <c r="AA4" i="17"/>
  <c r="K12" i="17"/>
  <c r="AA12" i="17"/>
  <c r="K20" i="17"/>
  <c r="AA20" i="17"/>
  <c r="K28" i="17"/>
  <c r="AA28" i="17"/>
  <c r="K36" i="17"/>
  <c r="AA36" i="17"/>
  <c r="K44" i="17"/>
  <c r="AA44" i="17"/>
  <c r="K52" i="17"/>
  <c r="AA52" i="17"/>
  <c r="A1" i="7"/>
  <c r="AA54" i="17"/>
  <c r="W10" i="17"/>
  <c r="T10" i="17" a="1"/>
  <c r="W4" i="17"/>
  <c r="T4" i="17" a="1"/>
  <c r="W53" i="17"/>
  <c r="T53" i="17" a="1"/>
  <c r="W7" i="17"/>
  <c r="T7" i="17" a="1"/>
  <c r="W26" i="17"/>
  <c r="T26" i="17" a="1"/>
  <c r="W14" i="17"/>
  <c r="T14" i="17" a="1"/>
  <c r="W8" i="17"/>
  <c r="T8" i="17" a="1"/>
  <c r="W3" i="17"/>
  <c r="T3" i="17" a="1"/>
  <c r="W19" i="17"/>
  <c r="T19" i="17" a="1"/>
  <c r="W51" i="17"/>
  <c r="T51" i="17" a="1"/>
  <c r="Y50" i="17"/>
  <c r="X50" i="17"/>
  <c r="X31" i="17"/>
  <c r="Y31" i="17"/>
  <c r="Y27" i="17"/>
  <c r="X27" i="17"/>
  <c r="X30" i="17"/>
  <c r="Y30" i="17"/>
  <c r="X28" i="17"/>
  <c r="Y28" i="17"/>
  <c r="X7" i="17"/>
  <c r="Y7" i="17"/>
  <c r="Y21" i="17"/>
  <c r="X21" i="17"/>
  <c r="Y45" i="17"/>
  <c r="X45" i="17"/>
  <c r="X25" i="17"/>
  <c r="Y25" i="17"/>
  <c r="Y19" i="17"/>
  <c r="X19" i="17"/>
  <c r="X44" i="17"/>
  <c r="Y44" i="17"/>
  <c r="X36" i="17"/>
  <c r="Y36" i="17"/>
  <c r="Y8" i="17"/>
  <c r="X8" i="17"/>
  <c r="X39" i="17"/>
  <c r="Y39" i="17"/>
  <c r="X51" i="17"/>
  <c r="Y51" i="17"/>
  <c r="Y16" i="17"/>
  <c r="X16" i="17"/>
  <c r="Y38" i="17"/>
  <c r="X38" i="17"/>
  <c r="Y11" i="17"/>
  <c r="X11" i="17"/>
  <c r="X15" i="17"/>
  <c r="Y15" i="17"/>
  <c r="X20" i="17"/>
  <c r="Y20" i="17"/>
  <c r="X12" i="17"/>
  <c r="Y12" i="17"/>
  <c r="Y33" i="17"/>
  <c r="X33" i="17"/>
  <c r="Y10" i="17"/>
  <c r="X10" i="17"/>
  <c r="X34" i="17"/>
  <c r="Y34" i="17"/>
  <c r="Y35" i="17"/>
  <c r="X35" i="17"/>
  <c r="W44" i="17"/>
  <c r="T44" i="17" a="1"/>
  <c r="W29" i="17"/>
  <c r="T29" i="17" a="1"/>
  <c r="W38" i="17"/>
  <c r="T38" i="17" a="1"/>
  <c r="W52" i="17"/>
  <c r="T52" i="17" a="1"/>
  <c r="W5" i="17"/>
  <c r="T5" i="17" a="1"/>
  <c r="W42" i="17"/>
  <c r="T42" i="17" a="1"/>
  <c r="X6" i="17"/>
  <c r="Y6" i="17"/>
  <c r="X47" i="17"/>
  <c r="Y47" i="17"/>
  <c r="Y42" i="17"/>
  <c r="X42" i="17"/>
  <c r="Y32" i="17"/>
  <c r="X32" i="17"/>
  <c r="AB54" i="17"/>
  <c r="W27" i="17"/>
  <c r="T27" i="17" a="1"/>
  <c r="W30" i="17"/>
  <c r="T30" i="17" a="1"/>
  <c r="W16" i="17"/>
  <c r="T16" i="17" a="1"/>
  <c r="W20" i="17"/>
  <c r="T20" i="17" a="1"/>
  <c r="W34" i="17"/>
  <c r="T34" i="17" a="1"/>
  <c r="W33" i="17"/>
  <c r="T33" i="17" a="1"/>
  <c r="W43" i="17"/>
  <c r="T43" i="17" a="1"/>
  <c r="W31" i="17"/>
  <c r="T31" i="17" a="1"/>
  <c r="W50" i="17"/>
  <c r="T50" i="17" a="1"/>
  <c r="W28" i="17"/>
  <c r="T28" i="17" a="1"/>
  <c r="W22" i="17"/>
  <c r="T22" i="17" a="1"/>
  <c r="W25" i="17"/>
  <c r="T25" i="17" a="1"/>
  <c r="W13" i="17"/>
  <c r="T13" i="17" a="1"/>
  <c r="W32" i="17"/>
  <c r="T32" i="17" a="1"/>
  <c r="W35" i="17"/>
  <c r="T35" i="17" a="1"/>
  <c r="W41" i="17"/>
  <c r="T41" i="17" a="1"/>
  <c r="W39" i="17"/>
  <c r="T39" i="17" a="1"/>
  <c r="W17" i="17"/>
  <c r="T17" i="17" a="1"/>
  <c r="W48" i="17"/>
  <c r="T48" i="17" a="1"/>
  <c r="W49" i="17"/>
  <c r="T49" i="17" a="1"/>
  <c r="X14" i="17"/>
  <c r="Y14" i="17"/>
  <c r="Y5" i="17"/>
  <c r="X5" i="17"/>
  <c r="X9" i="17"/>
  <c r="Y9" i="17"/>
  <c r="Y40" i="17"/>
  <c r="X40" i="17"/>
  <c r="Y41" i="17"/>
  <c r="X41" i="17"/>
  <c r="Y26" i="17"/>
  <c r="X26" i="17"/>
  <c r="Y53" i="17"/>
  <c r="X53" i="17"/>
  <c r="Y13" i="17"/>
  <c r="X13" i="17"/>
  <c r="W12" i="17"/>
  <c r="T12" i="17" a="1"/>
  <c r="W9" i="17"/>
  <c r="T9" i="17" a="1"/>
  <c r="W23" i="17"/>
  <c r="T23" i="17" a="1"/>
  <c r="W18" i="17"/>
  <c r="T18" i="17" a="1"/>
  <c r="W6" i="17"/>
  <c r="T6" i="17" a="1"/>
  <c r="W37" i="17"/>
  <c r="T37" i="17" a="1"/>
  <c r="W46" i="17"/>
  <c r="T46" i="17" a="1"/>
  <c r="W40" i="17"/>
  <c r="T40" i="17" a="1"/>
  <c r="W45" i="17"/>
  <c r="T45" i="17" a="1"/>
  <c r="Y46" i="17"/>
  <c r="X46" i="17"/>
  <c r="Y43" i="17"/>
  <c r="X43" i="17"/>
  <c r="X23" i="17"/>
  <c r="Y23" i="17"/>
  <c r="X52" i="17"/>
  <c r="Y52" i="17"/>
  <c r="X3" i="17"/>
  <c r="Y3" i="17"/>
  <c r="W15" i="17"/>
  <c r="T15" i="17" a="1"/>
  <c r="W11" i="17"/>
  <c r="T11" i="17" a="1"/>
  <c r="W36" i="17"/>
  <c r="T36" i="17" a="1"/>
  <c r="W24" i="17"/>
  <c r="T24" i="17" a="1"/>
  <c r="W21" i="17"/>
  <c r="T21" i="17" a="1"/>
  <c r="W47" i="17"/>
  <c r="T47" i="17" a="1"/>
  <c r="X22" i="17"/>
  <c r="Y22" i="17"/>
  <c r="Y29" i="17"/>
  <c r="X29" i="17"/>
  <c r="Y24" i="17"/>
  <c r="X24" i="17"/>
  <c r="Y48" i="17"/>
  <c r="X48" i="17"/>
  <c r="X18" i="17"/>
  <c r="Y18" i="17"/>
  <c r="Y49" i="17"/>
  <c r="X49" i="17"/>
  <c r="Y17" i="17"/>
  <c r="X17" i="17"/>
  <c r="Y4" i="17"/>
  <c r="X4" i="17"/>
  <c r="Y37" i="17"/>
  <c r="X37" i="17"/>
  <c r="I3" i="7"/>
  <c r="T21" i="17"/>
  <c r="U21" i="17"/>
  <c r="V21" i="17"/>
  <c r="U15" i="17"/>
  <c r="V15" i="17"/>
  <c r="T15" i="17"/>
  <c r="T46" i="17"/>
  <c r="U46" i="17"/>
  <c r="V46" i="17"/>
  <c r="U23" i="17"/>
  <c r="V23" i="17"/>
  <c r="T23" i="17"/>
  <c r="U48" i="17"/>
  <c r="V48" i="17"/>
  <c r="T48" i="17"/>
  <c r="T35" i="17"/>
  <c r="U35" i="17"/>
  <c r="V35" i="17"/>
  <c r="T22" i="17"/>
  <c r="U22" i="17"/>
  <c r="V22" i="17"/>
  <c r="T43" i="17"/>
  <c r="U43" i="17"/>
  <c r="V43" i="17"/>
  <c r="T16" i="17"/>
  <c r="U16" i="17"/>
  <c r="V16" i="17"/>
  <c r="T42" i="17"/>
  <c r="U42" i="17"/>
  <c r="V42" i="17"/>
  <c r="T29" i="17"/>
  <c r="U29" i="17"/>
  <c r="V29" i="17"/>
  <c r="T19" i="17"/>
  <c r="U19" i="17"/>
  <c r="V19" i="17"/>
  <c r="T26" i="17"/>
  <c r="U26" i="17"/>
  <c r="V26" i="17"/>
  <c r="T10" i="17"/>
  <c r="U10" i="17"/>
  <c r="V10" i="17"/>
  <c r="T11" i="17"/>
  <c r="U11" i="17"/>
  <c r="V11" i="17"/>
  <c r="T18" i="17"/>
  <c r="U18" i="17"/>
  <c r="V18" i="17"/>
  <c r="U49" i="17"/>
  <c r="V49" i="17"/>
  <c r="T49" i="17"/>
  <c r="U41" i="17"/>
  <c r="V41" i="17"/>
  <c r="T41" i="17"/>
  <c r="U25" i="17"/>
  <c r="V25" i="17"/>
  <c r="T25" i="17"/>
  <c r="U31" i="17"/>
  <c r="V31" i="17"/>
  <c r="T31" i="17"/>
  <c r="T20" i="17"/>
  <c r="U20" i="17"/>
  <c r="V20" i="17"/>
  <c r="T38" i="17"/>
  <c r="U38" i="17"/>
  <c r="V38" i="17"/>
  <c r="T51" i="17"/>
  <c r="U51" i="17"/>
  <c r="V51" i="17"/>
  <c r="T14" i="17"/>
  <c r="U14" i="17"/>
  <c r="V14" i="17"/>
  <c r="T4" i="17"/>
  <c r="U4" i="17"/>
  <c r="V4" i="17"/>
  <c r="U47" i="17"/>
  <c r="V47" i="17"/>
  <c r="T47" i="17"/>
  <c r="T36" i="17"/>
  <c r="U36" i="17"/>
  <c r="V36" i="17"/>
  <c r="T6" i="17"/>
  <c r="U6" i="17"/>
  <c r="V6" i="17"/>
  <c r="T12" i="17"/>
  <c r="U12" i="17"/>
  <c r="V12" i="17"/>
  <c r="U39" i="17"/>
  <c r="V39" i="17"/>
  <c r="T39" i="17"/>
  <c r="T13" i="17"/>
  <c r="U13" i="17"/>
  <c r="V13" i="17"/>
  <c r="T50" i="17"/>
  <c r="U50" i="17"/>
  <c r="V50" i="17"/>
  <c r="T34" i="17"/>
  <c r="U34" i="17"/>
  <c r="V34" i="17"/>
  <c r="U27" i="17"/>
  <c r="V27" i="17"/>
  <c r="T27" i="17"/>
  <c r="T40" i="17"/>
  <c r="U40" i="17"/>
  <c r="V40" i="17"/>
  <c r="T45" i="17"/>
  <c r="U45" i="17"/>
  <c r="V45" i="17"/>
  <c r="T52" i="17"/>
  <c r="U52" i="17"/>
  <c r="V52" i="17"/>
  <c r="T8" i="17"/>
  <c r="U8" i="17"/>
  <c r="V8" i="17"/>
  <c r="T53" i="17"/>
  <c r="U53" i="17"/>
  <c r="V53" i="17"/>
  <c r="U24" i="17"/>
  <c r="V24" i="17"/>
  <c r="T24" i="17"/>
  <c r="T37" i="17"/>
  <c r="U37" i="17"/>
  <c r="V37" i="17"/>
  <c r="U9" i="17"/>
  <c r="V9" i="17"/>
  <c r="T9" i="17"/>
  <c r="U17" i="17"/>
  <c r="V17" i="17"/>
  <c r="T17" i="17"/>
  <c r="T32" i="17"/>
  <c r="U32" i="17"/>
  <c r="V32" i="17"/>
  <c r="T28" i="17"/>
  <c r="U28" i="17"/>
  <c r="V28" i="17"/>
  <c r="U33" i="17"/>
  <c r="V33" i="17"/>
  <c r="T33" i="17"/>
  <c r="T30" i="17"/>
  <c r="U30" i="17"/>
  <c r="V30" i="17"/>
  <c r="W54" i="17"/>
  <c r="T5" i="17"/>
  <c r="U5" i="17"/>
  <c r="V5" i="17"/>
  <c r="T44" i="17"/>
  <c r="U44" i="17"/>
  <c r="V44" i="17"/>
  <c r="T3" i="17"/>
  <c r="U3" i="17"/>
  <c r="V3" i="17"/>
  <c r="U7" i="17"/>
  <c r="V7" i="17"/>
  <c r="T7" i="17"/>
  <c r="Z54" i="17"/>
  <c r="L3" i="7"/>
  <c r="M3" i="7"/>
  <c r="C53" i="16"/>
  <c r="A1" i="16"/>
  <c r="D53" i="16"/>
  <c r="C52" i="16"/>
  <c r="D52" i="16"/>
  <c r="C51" i="16"/>
  <c r="D51" i="16"/>
  <c r="C50" i="16"/>
  <c r="D50" i="16"/>
  <c r="C49" i="16"/>
  <c r="D49" i="16"/>
  <c r="C48" i="16"/>
  <c r="D48" i="16"/>
  <c r="C47" i="16"/>
  <c r="D47" i="16"/>
  <c r="C46" i="16"/>
  <c r="D46" i="16"/>
  <c r="C45" i="16"/>
  <c r="D45" i="16"/>
  <c r="C44" i="16"/>
  <c r="D44" i="16"/>
  <c r="C43" i="16"/>
  <c r="D43" i="16"/>
  <c r="C42" i="16"/>
  <c r="D42" i="16"/>
  <c r="C41" i="16"/>
  <c r="D41" i="16"/>
  <c r="C40" i="16"/>
  <c r="D40" i="16"/>
  <c r="C39" i="16"/>
  <c r="D39" i="16"/>
  <c r="C38" i="16"/>
  <c r="D38" i="16"/>
  <c r="C37" i="16"/>
  <c r="D37" i="16"/>
  <c r="C36" i="16"/>
  <c r="D36" i="16"/>
  <c r="C35" i="16"/>
  <c r="D35" i="16"/>
  <c r="C34" i="16"/>
  <c r="D34" i="16"/>
  <c r="C33" i="16"/>
  <c r="D33" i="16"/>
  <c r="C32" i="16"/>
  <c r="D32" i="16"/>
  <c r="C31" i="16"/>
  <c r="D31" i="16"/>
  <c r="C30" i="16"/>
  <c r="D30" i="16"/>
  <c r="C29" i="16"/>
  <c r="D29" i="16"/>
  <c r="C28" i="16"/>
  <c r="D28" i="16"/>
  <c r="C27" i="16"/>
  <c r="D27" i="16"/>
  <c r="C26" i="16"/>
  <c r="D26" i="16"/>
  <c r="C25" i="16"/>
  <c r="D25" i="16"/>
  <c r="C24" i="16"/>
  <c r="D24" i="16"/>
  <c r="C23" i="16"/>
  <c r="D23" i="16"/>
  <c r="C22" i="16"/>
  <c r="D22" i="16"/>
  <c r="C21" i="16"/>
  <c r="D21" i="16"/>
  <c r="C20" i="16"/>
  <c r="D20" i="16"/>
  <c r="C19" i="16"/>
  <c r="D19" i="16"/>
  <c r="C18" i="16"/>
  <c r="D18" i="16"/>
  <c r="C17" i="16"/>
  <c r="D17" i="16"/>
  <c r="C16" i="16"/>
  <c r="D16" i="16"/>
  <c r="C15" i="16"/>
  <c r="D15" i="16"/>
  <c r="C14" i="16"/>
  <c r="D14" i="16"/>
  <c r="C13" i="16"/>
  <c r="D13" i="16"/>
  <c r="C12" i="16"/>
  <c r="D12" i="16"/>
  <c r="C11" i="16"/>
  <c r="D11" i="16"/>
  <c r="C10" i="16"/>
  <c r="D10" i="16"/>
  <c r="C9" i="16"/>
  <c r="D9" i="16"/>
  <c r="C8" i="16"/>
  <c r="D8" i="16"/>
  <c r="C7" i="16"/>
  <c r="D7" i="16"/>
  <c r="C6" i="16"/>
  <c r="D6" i="16"/>
  <c r="C5" i="16"/>
  <c r="D5" i="16"/>
  <c r="C4" i="16"/>
  <c r="D4" i="16"/>
  <c r="C3" i="16"/>
  <c r="D3" i="16"/>
  <c r="C53" i="15"/>
  <c r="A1" i="15"/>
  <c r="D53" i="15"/>
  <c r="I52" i="15"/>
  <c r="L52" i="15"/>
  <c r="M52" i="15"/>
  <c r="C52" i="15"/>
  <c r="D52" i="15"/>
  <c r="C51" i="15"/>
  <c r="D51" i="15"/>
  <c r="C50" i="15"/>
  <c r="D50" i="15"/>
  <c r="C49" i="15"/>
  <c r="D49" i="15"/>
  <c r="C48" i="15"/>
  <c r="D48" i="15"/>
  <c r="C47" i="15"/>
  <c r="D47" i="15"/>
  <c r="C46" i="15"/>
  <c r="D46" i="15"/>
  <c r="C45" i="15"/>
  <c r="D45" i="15"/>
  <c r="C44" i="15"/>
  <c r="D44" i="15"/>
  <c r="C43" i="15"/>
  <c r="D43" i="15"/>
  <c r="C42" i="15"/>
  <c r="D42" i="15"/>
  <c r="C41" i="15"/>
  <c r="D41" i="15"/>
  <c r="C40" i="15"/>
  <c r="D40" i="15"/>
  <c r="C39" i="15"/>
  <c r="D39" i="15"/>
  <c r="C38" i="15"/>
  <c r="D38" i="15"/>
  <c r="C37" i="15"/>
  <c r="D37" i="15"/>
  <c r="C36" i="15"/>
  <c r="D36" i="15"/>
  <c r="C35" i="15"/>
  <c r="D35" i="15"/>
  <c r="C34" i="15"/>
  <c r="D34" i="15"/>
  <c r="C33" i="15"/>
  <c r="D33" i="15"/>
  <c r="C32" i="15"/>
  <c r="D32" i="15"/>
  <c r="C31" i="15"/>
  <c r="D31" i="15"/>
  <c r="C30" i="15"/>
  <c r="D30" i="15"/>
  <c r="C29" i="15"/>
  <c r="D29" i="15"/>
  <c r="C28" i="15"/>
  <c r="D28" i="15"/>
  <c r="C27" i="15"/>
  <c r="D27" i="15"/>
  <c r="C26" i="15"/>
  <c r="D26" i="15"/>
  <c r="C25" i="15"/>
  <c r="D25" i="15"/>
  <c r="C24" i="15"/>
  <c r="D24" i="15"/>
  <c r="C23" i="15"/>
  <c r="D23" i="15"/>
  <c r="C22" i="15"/>
  <c r="D22" i="15"/>
  <c r="C21" i="15"/>
  <c r="D21" i="15"/>
  <c r="C20" i="15"/>
  <c r="D20" i="15"/>
  <c r="C19" i="15"/>
  <c r="D19" i="15"/>
  <c r="C18" i="15"/>
  <c r="D18" i="15"/>
  <c r="C17" i="15"/>
  <c r="D17" i="15"/>
  <c r="C16" i="15"/>
  <c r="D16" i="15"/>
  <c r="C15" i="15"/>
  <c r="D15" i="15"/>
  <c r="C14" i="15"/>
  <c r="D14" i="15"/>
  <c r="C13" i="15"/>
  <c r="D13" i="15"/>
  <c r="C12" i="15"/>
  <c r="D12" i="15"/>
  <c r="C11" i="15"/>
  <c r="D11" i="15"/>
  <c r="C10" i="15"/>
  <c r="D10" i="15"/>
  <c r="C9" i="15"/>
  <c r="D9" i="15"/>
  <c r="C8" i="15"/>
  <c r="D8" i="15"/>
  <c r="C7" i="15"/>
  <c r="D7" i="15"/>
  <c r="C6" i="15"/>
  <c r="D6" i="15"/>
  <c r="C5" i="15"/>
  <c r="D5" i="15"/>
  <c r="C4" i="15"/>
  <c r="D4" i="15"/>
  <c r="C3" i="15"/>
  <c r="D3" i="15"/>
  <c r="C53" i="14"/>
  <c r="A1" i="14"/>
  <c r="D53" i="14"/>
  <c r="C52" i="14"/>
  <c r="D52" i="14"/>
  <c r="L51" i="14"/>
  <c r="M51" i="14"/>
  <c r="C51" i="14"/>
  <c r="D51" i="14"/>
  <c r="C50" i="14"/>
  <c r="D50" i="14"/>
  <c r="C49" i="14"/>
  <c r="D49" i="14"/>
  <c r="C48" i="14"/>
  <c r="D48" i="14"/>
  <c r="C47" i="14"/>
  <c r="D47" i="14"/>
  <c r="C46" i="14"/>
  <c r="D46" i="14"/>
  <c r="C45" i="14"/>
  <c r="D45" i="14"/>
  <c r="C44" i="14"/>
  <c r="D44" i="14"/>
  <c r="C43" i="14"/>
  <c r="D43" i="14"/>
  <c r="C42" i="14"/>
  <c r="D42" i="14"/>
  <c r="C41" i="14"/>
  <c r="D41" i="14"/>
  <c r="C40" i="14"/>
  <c r="D40" i="14"/>
  <c r="C39" i="14"/>
  <c r="D39" i="14"/>
  <c r="C38" i="14"/>
  <c r="D38" i="14"/>
  <c r="C37" i="14"/>
  <c r="D37" i="14"/>
  <c r="C36" i="14"/>
  <c r="D36" i="14"/>
  <c r="C35" i="14"/>
  <c r="D35" i="14"/>
  <c r="C34" i="14"/>
  <c r="D34" i="14"/>
  <c r="C33" i="14"/>
  <c r="D33" i="14"/>
  <c r="C32" i="14"/>
  <c r="D32" i="14"/>
  <c r="C31" i="14"/>
  <c r="D31" i="14"/>
  <c r="C30" i="14"/>
  <c r="D30" i="14"/>
  <c r="C29" i="14"/>
  <c r="D29" i="14"/>
  <c r="C28" i="14"/>
  <c r="D28" i="14"/>
  <c r="C27" i="14"/>
  <c r="D27" i="14"/>
  <c r="C26" i="14"/>
  <c r="D26" i="14"/>
  <c r="C25" i="14"/>
  <c r="D25" i="14"/>
  <c r="C24" i="14"/>
  <c r="D24" i="14"/>
  <c r="C23" i="14"/>
  <c r="D23" i="14"/>
  <c r="C22" i="14"/>
  <c r="D22" i="14"/>
  <c r="C21" i="14"/>
  <c r="D21" i="14"/>
  <c r="C20" i="14"/>
  <c r="D20" i="14"/>
  <c r="C19" i="14"/>
  <c r="D19" i="14"/>
  <c r="C18" i="14"/>
  <c r="D18" i="14"/>
  <c r="C17" i="14"/>
  <c r="D17" i="14"/>
  <c r="C16" i="14"/>
  <c r="D16" i="14"/>
  <c r="C15" i="14"/>
  <c r="D15" i="14"/>
  <c r="C14" i="14"/>
  <c r="D14" i="14"/>
  <c r="C13" i="14"/>
  <c r="D13" i="14"/>
  <c r="C12" i="14"/>
  <c r="D12" i="14"/>
  <c r="C11" i="14"/>
  <c r="D11" i="14"/>
  <c r="C10" i="14"/>
  <c r="D10" i="14"/>
  <c r="C9" i="14"/>
  <c r="D9" i="14"/>
  <c r="C8" i="14"/>
  <c r="D8" i="14"/>
  <c r="C7" i="14"/>
  <c r="D7" i="14"/>
  <c r="C6" i="14"/>
  <c r="D6" i="14"/>
  <c r="C5" i="14"/>
  <c r="D5" i="14"/>
  <c r="C4" i="14"/>
  <c r="D4" i="14"/>
  <c r="C3" i="14"/>
  <c r="D3" i="14"/>
  <c r="C53" i="13"/>
  <c r="A1" i="13"/>
  <c r="D53" i="13"/>
  <c r="C52" i="13"/>
  <c r="D52" i="13"/>
  <c r="C51" i="13"/>
  <c r="D51" i="13"/>
  <c r="C50" i="13"/>
  <c r="D50" i="13"/>
  <c r="C49" i="13"/>
  <c r="D49" i="13"/>
  <c r="C48" i="13"/>
  <c r="D48" i="13"/>
  <c r="C47" i="13"/>
  <c r="D47" i="13"/>
  <c r="C46" i="13"/>
  <c r="D46" i="13"/>
  <c r="C45" i="13"/>
  <c r="D45" i="13"/>
  <c r="C44" i="13"/>
  <c r="D44" i="13"/>
  <c r="C43" i="13"/>
  <c r="D43" i="13"/>
  <c r="C42" i="13"/>
  <c r="D42" i="13"/>
  <c r="C41" i="13"/>
  <c r="D41" i="13"/>
  <c r="C40" i="13"/>
  <c r="D40" i="13"/>
  <c r="C39" i="13"/>
  <c r="D39" i="13"/>
  <c r="C38" i="13"/>
  <c r="D38" i="13"/>
  <c r="C37" i="13"/>
  <c r="D37" i="13"/>
  <c r="C36" i="13"/>
  <c r="D36" i="13"/>
  <c r="C35" i="13"/>
  <c r="D35" i="13"/>
  <c r="C34" i="13"/>
  <c r="D34" i="13"/>
  <c r="C33" i="13"/>
  <c r="D33" i="13"/>
  <c r="C32" i="13"/>
  <c r="D32" i="13"/>
  <c r="C31" i="13"/>
  <c r="D31" i="13"/>
  <c r="C30" i="13"/>
  <c r="D30" i="13"/>
  <c r="C29" i="13"/>
  <c r="D29" i="13"/>
  <c r="C28" i="13"/>
  <c r="D28" i="13"/>
  <c r="C27" i="13"/>
  <c r="D27" i="13"/>
  <c r="C26" i="13"/>
  <c r="D26" i="13"/>
  <c r="C25" i="13"/>
  <c r="D25" i="13"/>
  <c r="C24" i="13"/>
  <c r="D24" i="13"/>
  <c r="C23" i="13"/>
  <c r="D23" i="13"/>
  <c r="C22" i="13"/>
  <c r="D22" i="13"/>
  <c r="C21" i="13"/>
  <c r="D21" i="13"/>
  <c r="C20" i="13"/>
  <c r="D20" i="13"/>
  <c r="C19" i="13"/>
  <c r="D19" i="13"/>
  <c r="C18" i="13"/>
  <c r="D18" i="13"/>
  <c r="C17" i="13"/>
  <c r="D17" i="13"/>
  <c r="C16" i="13"/>
  <c r="D16" i="13"/>
  <c r="C15" i="13"/>
  <c r="D15" i="13"/>
  <c r="C14" i="13"/>
  <c r="D14" i="13"/>
  <c r="C13" i="13"/>
  <c r="D13" i="13"/>
  <c r="C12" i="13"/>
  <c r="D12" i="13"/>
  <c r="C11" i="13"/>
  <c r="D11" i="13"/>
  <c r="C10" i="13"/>
  <c r="D10" i="13"/>
  <c r="C9" i="13"/>
  <c r="D9" i="13"/>
  <c r="C8" i="13"/>
  <c r="D8" i="13"/>
  <c r="C7" i="13"/>
  <c r="D7" i="13"/>
  <c r="C6" i="13"/>
  <c r="D6" i="13"/>
  <c r="C5" i="13"/>
  <c r="D5" i="13"/>
  <c r="C4" i="13"/>
  <c r="D4" i="13"/>
  <c r="C3" i="13"/>
  <c r="D3" i="13"/>
  <c r="C53" i="12"/>
  <c r="A1" i="12"/>
  <c r="D53" i="12"/>
  <c r="C52" i="12"/>
  <c r="D52" i="12"/>
  <c r="C51" i="12"/>
  <c r="D51" i="12"/>
  <c r="C50" i="12"/>
  <c r="D50" i="12"/>
  <c r="C49" i="12"/>
  <c r="D49" i="12"/>
  <c r="C48" i="12"/>
  <c r="D48" i="12"/>
  <c r="C47" i="12"/>
  <c r="D47" i="12"/>
  <c r="C46" i="12"/>
  <c r="D46" i="12"/>
  <c r="C45" i="12"/>
  <c r="D45" i="12"/>
  <c r="C44" i="12"/>
  <c r="D44" i="12"/>
  <c r="C43" i="12"/>
  <c r="D43" i="12"/>
  <c r="C42" i="12"/>
  <c r="D42" i="12"/>
  <c r="C41" i="12"/>
  <c r="D41" i="12"/>
  <c r="C40" i="12"/>
  <c r="D40" i="12"/>
  <c r="C39" i="12"/>
  <c r="D39" i="12"/>
  <c r="C38" i="12"/>
  <c r="D38" i="12"/>
  <c r="C37" i="12"/>
  <c r="D37" i="12"/>
  <c r="C36" i="12"/>
  <c r="D36" i="12"/>
  <c r="C35" i="12"/>
  <c r="D35" i="12"/>
  <c r="C34" i="12"/>
  <c r="D34" i="12"/>
  <c r="C33" i="12"/>
  <c r="D33" i="12"/>
  <c r="C32" i="12"/>
  <c r="D32" i="12"/>
  <c r="C31" i="12"/>
  <c r="D31" i="12"/>
  <c r="C30" i="12"/>
  <c r="D30" i="12"/>
  <c r="C29" i="12"/>
  <c r="D29" i="12"/>
  <c r="C28" i="12"/>
  <c r="D28" i="12"/>
  <c r="C27" i="12"/>
  <c r="D27" i="12"/>
  <c r="C26" i="12"/>
  <c r="D26" i="12"/>
  <c r="C25" i="12"/>
  <c r="D25" i="12"/>
  <c r="C24" i="12"/>
  <c r="D24" i="12"/>
  <c r="C23" i="12"/>
  <c r="D23" i="12"/>
  <c r="C22" i="12"/>
  <c r="D22" i="12"/>
  <c r="C21" i="12"/>
  <c r="D21" i="12"/>
  <c r="C20" i="12"/>
  <c r="D20" i="12"/>
  <c r="C19" i="12"/>
  <c r="D19" i="12"/>
  <c r="C18" i="12"/>
  <c r="D18" i="12"/>
  <c r="C17" i="12"/>
  <c r="D17" i="12"/>
  <c r="C16" i="12"/>
  <c r="D16" i="12"/>
  <c r="C15" i="12"/>
  <c r="D15" i="12"/>
  <c r="C14" i="12"/>
  <c r="D14" i="12"/>
  <c r="C13" i="12"/>
  <c r="D13" i="12"/>
  <c r="C12" i="12"/>
  <c r="D12" i="12"/>
  <c r="C11" i="12"/>
  <c r="D11" i="12"/>
  <c r="C10" i="12"/>
  <c r="D10" i="12"/>
  <c r="C9" i="12"/>
  <c r="D9" i="12"/>
  <c r="C8" i="12"/>
  <c r="D8" i="12"/>
  <c r="C7" i="12"/>
  <c r="D7" i="12"/>
  <c r="C6" i="12"/>
  <c r="D6" i="12"/>
  <c r="C5" i="12"/>
  <c r="D5" i="12"/>
  <c r="C4" i="12"/>
  <c r="D4" i="12"/>
  <c r="C3" i="12"/>
  <c r="D3" i="12"/>
  <c r="C53" i="11"/>
  <c r="A1" i="11"/>
  <c r="D53" i="11"/>
  <c r="C52" i="11"/>
  <c r="D52" i="11"/>
  <c r="C51" i="11"/>
  <c r="D51" i="11"/>
  <c r="C50" i="11"/>
  <c r="D50" i="11"/>
  <c r="C49" i="11"/>
  <c r="D49" i="11"/>
  <c r="C48" i="11"/>
  <c r="D48" i="11"/>
  <c r="C47" i="11"/>
  <c r="D47" i="11"/>
  <c r="C46" i="11"/>
  <c r="D46" i="11"/>
  <c r="C45" i="11"/>
  <c r="D45" i="11"/>
  <c r="C44" i="11"/>
  <c r="D44" i="11"/>
  <c r="C43" i="11"/>
  <c r="D43" i="11"/>
  <c r="C42" i="11"/>
  <c r="D42" i="11"/>
  <c r="C41" i="11"/>
  <c r="D41" i="11"/>
  <c r="C40" i="11"/>
  <c r="D40" i="11"/>
  <c r="C39" i="11"/>
  <c r="D39" i="11"/>
  <c r="C38" i="11"/>
  <c r="D38" i="11"/>
  <c r="C37" i="11"/>
  <c r="D37" i="11"/>
  <c r="C36" i="11"/>
  <c r="D36" i="11"/>
  <c r="C35" i="11"/>
  <c r="D35" i="11"/>
  <c r="C34" i="11"/>
  <c r="D34" i="11"/>
  <c r="C33" i="11"/>
  <c r="D33" i="11"/>
  <c r="C32" i="11"/>
  <c r="D32" i="11"/>
  <c r="C31" i="11"/>
  <c r="D31" i="11"/>
  <c r="C30" i="11"/>
  <c r="D30" i="11"/>
  <c r="C29" i="11"/>
  <c r="D29" i="11"/>
  <c r="C28" i="11"/>
  <c r="D28" i="11"/>
  <c r="C27" i="11"/>
  <c r="D27" i="11"/>
  <c r="C26" i="11"/>
  <c r="D26" i="11"/>
  <c r="C25" i="11"/>
  <c r="D25" i="11"/>
  <c r="C24" i="11"/>
  <c r="D24" i="11"/>
  <c r="C23" i="11"/>
  <c r="D23" i="11"/>
  <c r="C22" i="11"/>
  <c r="D22" i="11"/>
  <c r="C21" i="11"/>
  <c r="D21" i="11"/>
  <c r="C20" i="11"/>
  <c r="D20" i="11"/>
  <c r="C19" i="11"/>
  <c r="D19" i="11"/>
  <c r="C18" i="11"/>
  <c r="D18" i="11"/>
  <c r="C17" i="11"/>
  <c r="D17" i="11"/>
  <c r="C16" i="11"/>
  <c r="D16" i="11"/>
  <c r="C15" i="11"/>
  <c r="D15" i="11"/>
  <c r="C14" i="11"/>
  <c r="D14" i="11"/>
  <c r="C13" i="11"/>
  <c r="D13" i="11"/>
  <c r="C12" i="11"/>
  <c r="D12" i="11"/>
  <c r="C11" i="11"/>
  <c r="D11" i="11"/>
  <c r="C10" i="11"/>
  <c r="D10" i="11"/>
  <c r="C9" i="11"/>
  <c r="D9" i="11"/>
  <c r="C8" i="11"/>
  <c r="D8" i="11"/>
  <c r="C7" i="11"/>
  <c r="D7" i="11"/>
  <c r="C6" i="11"/>
  <c r="D6" i="11"/>
  <c r="C5" i="11"/>
  <c r="D5" i="11"/>
  <c r="C4" i="11"/>
  <c r="D4" i="11"/>
  <c r="C3" i="11"/>
  <c r="D3" i="11"/>
  <c r="C53" i="10"/>
  <c r="A1" i="10"/>
  <c r="D53" i="10"/>
  <c r="C52" i="10"/>
  <c r="D52" i="10"/>
  <c r="C51" i="10"/>
  <c r="D51" i="10"/>
  <c r="C50" i="10"/>
  <c r="D50" i="10"/>
  <c r="C49" i="10"/>
  <c r="D49" i="10"/>
  <c r="C48" i="10"/>
  <c r="D48" i="10"/>
  <c r="C47" i="10"/>
  <c r="D47" i="10"/>
  <c r="C46" i="10"/>
  <c r="D46" i="10"/>
  <c r="C45" i="10"/>
  <c r="D45" i="10"/>
  <c r="C44" i="10"/>
  <c r="D44" i="10"/>
  <c r="C43" i="10"/>
  <c r="D43" i="10"/>
  <c r="C42" i="10"/>
  <c r="D42" i="10"/>
  <c r="C41" i="10"/>
  <c r="D41" i="10"/>
  <c r="C40" i="10"/>
  <c r="D40" i="10"/>
  <c r="C39" i="10"/>
  <c r="D39" i="10"/>
  <c r="C38" i="10"/>
  <c r="D38" i="10"/>
  <c r="C37" i="10"/>
  <c r="D37" i="10"/>
  <c r="C36" i="10"/>
  <c r="D36" i="10"/>
  <c r="C35" i="10"/>
  <c r="D35" i="10"/>
  <c r="C34" i="10"/>
  <c r="D34" i="10"/>
  <c r="C33" i="10"/>
  <c r="D33" i="10"/>
  <c r="C32" i="10"/>
  <c r="D32" i="10"/>
  <c r="C31" i="10"/>
  <c r="D31" i="10"/>
  <c r="C30" i="10"/>
  <c r="D30" i="10"/>
  <c r="C29" i="10"/>
  <c r="D29" i="10"/>
  <c r="C28" i="10"/>
  <c r="D28" i="10"/>
  <c r="C27" i="10"/>
  <c r="D27" i="10"/>
  <c r="C26" i="10"/>
  <c r="D26" i="10"/>
  <c r="C25" i="10"/>
  <c r="D25" i="10"/>
  <c r="C24" i="10"/>
  <c r="D24" i="10"/>
  <c r="C23" i="10"/>
  <c r="D23" i="10"/>
  <c r="C22" i="10"/>
  <c r="D22" i="10"/>
  <c r="C21" i="10"/>
  <c r="D21" i="10"/>
  <c r="C20" i="10"/>
  <c r="D20" i="10"/>
  <c r="C19" i="10"/>
  <c r="D19" i="10"/>
  <c r="C18" i="10"/>
  <c r="D18" i="10"/>
  <c r="C17" i="10"/>
  <c r="D17" i="10"/>
  <c r="C16" i="10"/>
  <c r="D16" i="10"/>
  <c r="C15" i="10"/>
  <c r="D15" i="10"/>
  <c r="C14" i="10"/>
  <c r="D14" i="10"/>
  <c r="C13" i="10"/>
  <c r="D13" i="10"/>
  <c r="C12" i="10"/>
  <c r="D12" i="10"/>
  <c r="C11" i="10"/>
  <c r="D11" i="10"/>
  <c r="C10" i="10"/>
  <c r="D10" i="10"/>
  <c r="C9" i="10"/>
  <c r="D9" i="10"/>
  <c r="C8" i="10"/>
  <c r="D8" i="10"/>
  <c r="C7" i="10"/>
  <c r="D7" i="10"/>
  <c r="C6" i="10"/>
  <c r="D6" i="10"/>
  <c r="C5" i="10"/>
  <c r="D5" i="10"/>
  <c r="C4" i="10"/>
  <c r="D4" i="10"/>
  <c r="C3" i="10"/>
  <c r="D3" i="10"/>
  <c r="C53" i="9"/>
  <c r="A1" i="9"/>
  <c r="D53" i="9"/>
  <c r="C52" i="9"/>
  <c r="D52" i="9"/>
  <c r="C51" i="9"/>
  <c r="D51" i="9"/>
  <c r="C50" i="9"/>
  <c r="D50" i="9"/>
  <c r="C49" i="9"/>
  <c r="D49" i="9"/>
  <c r="C48" i="9"/>
  <c r="D48" i="9"/>
  <c r="C47" i="9"/>
  <c r="D47" i="9"/>
  <c r="C46" i="9"/>
  <c r="D46" i="9"/>
  <c r="C45" i="9"/>
  <c r="D45" i="9"/>
  <c r="C44" i="9"/>
  <c r="D44" i="9"/>
  <c r="C43" i="9"/>
  <c r="D43" i="9"/>
  <c r="C42" i="9"/>
  <c r="D42" i="9"/>
  <c r="C41" i="9"/>
  <c r="D41" i="9"/>
  <c r="C40" i="9"/>
  <c r="D40" i="9"/>
  <c r="C39" i="9"/>
  <c r="D39" i="9"/>
  <c r="C38" i="9"/>
  <c r="D38" i="9"/>
  <c r="C37" i="9"/>
  <c r="D37" i="9"/>
  <c r="C36" i="9"/>
  <c r="D36" i="9"/>
  <c r="C35" i="9"/>
  <c r="D35" i="9"/>
  <c r="C34" i="9"/>
  <c r="D34" i="9"/>
  <c r="C33" i="9"/>
  <c r="D33" i="9"/>
  <c r="C32" i="9"/>
  <c r="D32" i="9"/>
  <c r="C31" i="9"/>
  <c r="D31" i="9"/>
  <c r="C30" i="9"/>
  <c r="D30" i="9"/>
  <c r="C29" i="9"/>
  <c r="D29" i="9"/>
  <c r="C28" i="9"/>
  <c r="D28" i="9"/>
  <c r="C27" i="9"/>
  <c r="D27" i="9"/>
  <c r="C26" i="9"/>
  <c r="D26" i="9"/>
  <c r="C25" i="9"/>
  <c r="D25" i="9"/>
  <c r="C24" i="9"/>
  <c r="D24" i="9"/>
  <c r="C23" i="9"/>
  <c r="D23" i="9"/>
  <c r="C22" i="9"/>
  <c r="D22" i="9"/>
  <c r="C21" i="9"/>
  <c r="D21" i="9"/>
  <c r="C20" i="9"/>
  <c r="D20" i="9"/>
  <c r="C19" i="9"/>
  <c r="D19" i="9"/>
  <c r="C18" i="9"/>
  <c r="D18" i="9"/>
  <c r="C17" i="9"/>
  <c r="D17" i="9"/>
  <c r="C16" i="9"/>
  <c r="D16" i="9"/>
  <c r="C15" i="9"/>
  <c r="D15" i="9"/>
  <c r="C14" i="9"/>
  <c r="D14" i="9"/>
  <c r="C13" i="9"/>
  <c r="D13" i="9"/>
  <c r="C12" i="9"/>
  <c r="D12" i="9"/>
  <c r="C11" i="9"/>
  <c r="D11" i="9"/>
  <c r="C10" i="9"/>
  <c r="D10" i="9"/>
  <c r="C9" i="9"/>
  <c r="D9" i="9"/>
  <c r="C8" i="9"/>
  <c r="D8" i="9"/>
  <c r="C7" i="9"/>
  <c r="D7" i="9"/>
  <c r="C6" i="9"/>
  <c r="D6" i="9"/>
  <c r="C5" i="9"/>
  <c r="D5" i="9"/>
  <c r="C4" i="9"/>
  <c r="D4" i="9"/>
  <c r="C3" i="9"/>
  <c r="D3" i="9"/>
  <c r="L53" i="14"/>
  <c r="M53" i="14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53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AG55" i="8"/>
  <c r="AF55" i="8"/>
  <c r="AE55" i="8"/>
  <c r="AD55" i="8"/>
  <c r="AC55" i="8"/>
  <c r="AB55" i="8"/>
  <c r="AA59" i="8"/>
  <c r="AH1" i="8"/>
  <c r="Y54" i="8"/>
  <c r="AA3" i="8"/>
  <c r="AH3" i="8"/>
  <c r="AA4" i="8"/>
  <c r="AH4" i="8"/>
  <c r="AA5" i="8"/>
  <c r="AH5" i="8"/>
  <c r="AA6" i="8"/>
  <c r="AH6" i="8"/>
  <c r="AA7" i="8"/>
  <c r="AH7" i="8"/>
  <c r="AA8" i="8"/>
  <c r="AH8" i="8"/>
  <c r="AA9" i="8"/>
  <c r="AH9" i="8"/>
  <c r="AA10" i="8"/>
  <c r="AH10" i="8"/>
  <c r="AA11" i="8"/>
  <c r="AH11" i="8"/>
  <c r="AA12" i="8"/>
  <c r="AH12" i="8"/>
  <c r="AA13" i="8"/>
  <c r="AH13" i="8"/>
  <c r="AA14" i="8"/>
  <c r="AH14" i="8"/>
  <c r="AA15" i="8"/>
  <c r="AH15" i="8"/>
  <c r="AA17" i="8"/>
  <c r="AH17" i="8"/>
  <c r="AA18" i="8"/>
  <c r="AH18" i="8"/>
  <c r="AA19" i="8"/>
  <c r="AH19" i="8"/>
  <c r="AA20" i="8"/>
  <c r="AH20" i="8"/>
  <c r="AA21" i="8"/>
  <c r="AH21" i="8"/>
  <c r="AA22" i="8"/>
  <c r="AH22" i="8"/>
  <c r="AA23" i="8"/>
  <c r="AH23" i="8"/>
  <c r="AA24" i="8"/>
  <c r="AH24" i="8"/>
  <c r="AA25" i="8"/>
  <c r="AH25" i="8"/>
  <c r="AA26" i="8"/>
  <c r="AH26" i="8"/>
  <c r="AA27" i="8"/>
  <c r="AH27" i="8"/>
  <c r="AA28" i="8"/>
  <c r="AH28" i="8"/>
  <c r="AA29" i="8"/>
  <c r="AH29" i="8"/>
  <c r="AA30" i="8"/>
  <c r="AH30" i="8"/>
  <c r="AA31" i="8"/>
  <c r="AH31" i="8"/>
  <c r="AA32" i="8"/>
  <c r="AH32" i="8"/>
  <c r="AA33" i="8"/>
  <c r="AH33" i="8"/>
  <c r="AA34" i="8"/>
  <c r="AH34" i="8"/>
  <c r="AA35" i="8"/>
  <c r="AH35" i="8"/>
  <c r="AA36" i="8"/>
  <c r="AH36" i="8"/>
  <c r="AA37" i="8"/>
  <c r="AH37" i="8"/>
  <c r="AA38" i="8"/>
  <c r="AH38" i="8"/>
  <c r="AA39" i="8"/>
  <c r="AH39" i="8"/>
  <c r="AA40" i="8"/>
  <c r="AH40" i="8"/>
  <c r="AA41" i="8"/>
  <c r="AH41" i="8"/>
  <c r="AA42" i="8"/>
  <c r="AH42" i="8"/>
  <c r="AA43" i="8"/>
  <c r="AH43" i="8"/>
  <c r="AA44" i="8"/>
  <c r="AH44" i="8"/>
  <c r="AA45" i="8"/>
  <c r="AH45" i="8"/>
  <c r="AA46" i="8"/>
  <c r="AH46" i="8"/>
  <c r="AA47" i="8"/>
  <c r="AH47" i="8"/>
  <c r="AA48" i="8"/>
  <c r="AH48" i="8"/>
  <c r="AA49" i="8"/>
  <c r="AH49" i="8"/>
  <c r="AA50" i="8"/>
  <c r="AH50" i="8"/>
  <c r="AA51" i="8"/>
  <c r="AH51" i="8"/>
  <c r="AA52" i="8"/>
  <c r="AH52" i="8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O24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N22" i="4"/>
  <c r="E53" i="4"/>
  <c r="F53" i="4"/>
  <c r="G53" i="4"/>
  <c r="N53" i="4"/>
  <c r="E52" i="4"/>
  <c r="F52" i="4"/>
  <c r="G52" i="4"/>
  <c r="N52" i="4"/>
  <c r="P52" i="4"/>
  <c r="Q52" i="4"/>
  <c r="E51" i="4"/>
  <c r="F51" i="4"/>
  <c r="G51" i="4"/>
  <c r="N51" i="4"/>
  <c r="E50" i="4"/>
  <c r="F50" i="4"/>
  <c r="G50" i="4"/>
  <c r="N50" i="4"/>
  <c r="P50" i="4"/>
  <c r="Q50" i="4"/>
  <c r="E49" i="4"/>
  <c r="F49" i="4"/>
  <c r="G49" i="4"/>
  <c r="N49" i="4"/>
  <c r="N48" i="4"/>
  <c r="E48" i="4"/>
  <c r="F48" i="4"/>
  <c r="G48" i="4"/>
  <c r="P48" i="4"/>
  <c r="Q48" i="4"/>
  <c r="E47" i="4"/>
  <c r="F47" i="4"/>
  <c r="G47" i="4"/>
  <c r="N47" i="4"/>
  <c r="E46" i="4"/>
  <c r="F46" i="4"/>
  <c r="G46" i="4"/>
  <c r="N46" i="4"/>
  <c r="P46" i="4"/>
  <c r="Q46" i="4"/>
  <c r="E45" i="4"/>
  <c r="F45" i="4"/>
  <c r="G45" i="4"/>
  <c r="N45" i="4"/>
  <c r="E44" i="4"/>
  <c r="F44" i="4"/>
  <c r="G44" i="4"/>
  <c r="N44" i="4"/>
  <c r="P44" i="4"/>
  <c r="Q44" i="4"/>
  <c r="E43" i="4"/>
  <c r="F43" i="4"/>
  <c r="G43" i="4"/>
  <c r="N43" i="4"/>
  <c r="E42" i="4"/>
  <c r="F42" i="4"/>
  <c r="G42" i="4"/>
  <c r="N42" i="4"/>
  <c r="P42" i="4"/>
  <c r="Q42" i="4"/>
  <c r="E41" i="4"/>
  <c r="F41" i="4"/>
  <c r="G41" i="4"/>
  <c r="N41" i="4"/>
  <c r="E40" i="4"/>
  <c r="F40" i="4"/>
  <c r="G40" i="4"/>
  <c r="N40" i="4"/>
  <c r="P40" i="4"/>
  <c r="Q40" i="4"/>
  <c r="E39" i="4"/>
  <c r="F39" i="4"/>
  <c r="G39" i="4"/>
  <c r="N39" i="4"/>
  <c r="E38" i="4"/>
  <c r="F38" i="4"/>
  <c r="G38" i="4"/>
  <c r="N38" i="4"/>
  <c r="P38" i="4"/>
  <c r="Q38" i="4"/>
  <c r="E37" i="4"/>
  <c r="F37" i="4"/>
  <c r="G37" i="4"/>
  <c r="N37" i="4"/>
  <c r="E36" i="4"/>
  <c r="F36" i="4"/>
  <c r="G36" i="4"/>
  <c r="N36" i="4"/>
  <c r="P36" i="4"/>
  <c r="Q36" i="4"/>
  <c r="E35" i="4"/>
  <c r="F35" i="4"/>
  <c r="G35" i="4"/>
  <c r="N35" i="4"/>
  <c r="E34" i="4"/>
  <c r="F34" i="4"/>
  <c r="G34" i="4"/>
  <c r="N34" i="4"/>
  <c r="P34" i="4"/>
  <c r="Q34" i="4"/>
  <c r="E33" i="4"/>
  <c r="F33" i="4"/>
  <c r="G33" i="4"/>
  <c r="N33" i="4"/>
  <c r="E32" i="4"/>
  <c r="F32" i="4"/>
  <c r="G32" i="4"/>
  <c r="N32" i="4"/>
  <c r="P32" i="4"/>
  <c r="Q32" i="4"/>
  <c r="E31" i="4"/>
  <c r="F31" i="4"/>
  <c r="G31" i="4"/>
  <c r="N31" i="4"/>
  <c r="E30" i="4"/>
  <c r="F30" i="4"/>
  <c r="G30" i="4"/>
  <c r="N30" i="4"/>
  <c r="P30" i="4"/>
  <c r="Q30" i="4"/>
  <c r="E29" i="4"/>
  <c r="F29" i="4"/>
  <c r="G29" i="4"/>
  <c r="N29" i="4"/>
  <c r="E28" i="4"/>
  <c r="F28" i="4"/>
  <c r="G28" i="4"/>
  <c r="N28" i="4"/>
  <c r="P28" i="4"/>
  <c r="Q28" i="4"/>
  <c r="E27" i="4"/>
  <c r="F27" i="4"/>
  <c r="G27" i="4"/>
  <c r="N27" i="4"/>
  <c r="E26" i="4"/>
  <c r="F26" i="4"/>
  <c r="G26" i="4"/>
  <c r="N26" i="4"/>
  <c r="P26" i="4"/>
  <c r="Q26" i="4"/>
  <c r="E25" i="4"/>
  <c r="F25" i="4"/>
  <c r="G25" i="4"/>
  <c r="N25" i="4"/>
  <c r="P25" i="4"/>
  <c r="Q25" i="4"/>
  <c r="E24" i="4"/>
  <c r="F24" i="4"/>
  <c r="G24" i="4"/>
  <c r="H24" i="4"/>
  <c r="K24" i="4"/>
  <c r="L24" i="4"/>
  <c r="N24" i="4"/>
  <c r="P24" i="4"/>
  <c r="Q24" i="4"/>
  <c r="E23" i="4"/>
  <c r="F23" i="4"/>
  <c r="G23" i="4"/>
  <c r="N23" i="4"/>
  <c r="P23" i="4"/>
  <c r="Q23" i="4"/>
  <c r="E22" i="4"/>
  <c r="F22" i="4"/>
  <c r="G22" i="4"/>
  <c r="P22" i="4"/>
  <c r="Q22" i="4"/>
  <c r="E21" i="4"/>
  <c r="F21" i="4"/>
  <c r="G21" i="4"/>
  <c r="N21" i="4"/>
  <c r="E20" i="4"/>
  <c r="F20" i="4"/>
  <c r="G20" i="4"/>
  <c r="N20" i="4"/>
  <c r="E19" i="4"/>
  <c r="F19" i="4"/>
  <c r="G19" i="4"/>
  <c r="N19" i="4"/>
  <c r="E18" i="4"/>
  <c r="F18" i="4"/>
  <c r="G18" i="4"/>
  <c r="N18" i="4"/>
  <c r="E17" i="4"/>
  <c r="F17" i="4"/>
  <c r="G17" i="4"/>
  <c r="N17" i="4"/>
  <c r="E16" i="4"/>
  <c r="F16" i="4"/>
  <c r="G16" i="4"/>
  <c r="O16" i="4"/>
  <c r="N16" i="4"/>
  <c r="P16" i="4"/>
  <c r="Q16" i="4"/>
  <c r="E15" i="4"/>
  <c r="F15" i="4"/>
  <c r="G15" i="4"/>
  <c r="N15" i="4"/>
  <c r="E14" i="4"/>
  <c r="F14" i="4"/>
  <c r="G14" i="4"/>
  <c r="N14" i="4"/>
  <c r="E13" i="4"/>
  <c r="F13" i="4"/>
  <c r="G13" i="4"/>
  <c r="N13" i="4"/>
  <c r="E12" i="4"/>
  <c r="F12" i="4"/>
  <c r="G12" i="4"/>
  <c r="N12" i="4"/>
  <c r="E11" i="4"/>
  <c r="F11" i="4"/>
  <c r="G11" i="4"/>
  <c r="N11" i="4"/>
  <c r="E10" i="4"/>
  <c r="F10" i="4"/>
  <c r="G10" i="4"/>
  <c r="N10" i="4"/>
  <c r="E9" i="4"/>
  <c r="F9" i="4"/>
  <c r="G9" i="4"/>
  <c r="N9" i="4"/>
  <c r="E8" i="4"/>
  <c r="F8" i="4"/>
  <c r="G8" i="4"/>
  <c r="N8" i="4"/>
  <c r="E7" i="4"/>
  <c r="F7" i="4"/>
  <c r="G7" i="4"/>
  <c r="N7" i="4"/>
  <c r="E6" i="4"/>
  <c r="F6" i="4"/>
  <c r="G6" i="4"/>
  <c r="N6" i="4"/>
  <c r="E5" i="4"/>
  <c r="F5" i="4"/>
  <c r="G5" i="4"/>
  <c r="N5" i="4"/>
  <c r="E4" i="4"/>
  <c r="F4" i="4"/>
  <c r="G4" i="4"/>
  <c r="N4" i="4"/>
  <c r="E3" i="4"/>
  <c r="F3" i="4"/>
  <c r="G3" i="4"/>
  <c r="N3" i="4"/>
  <c r="H53" i="4"/>
  <c r="H52" i="4"/>
  <c r="H51" i="4"/>
  <c r="H50" i="4"/>
  <c r="H49" i="4"/>
  <c r="H48" i="4"/>
  <c r="H47" i="4"/>
  <c r="H46" i="4"/>
  <c r="K46" i="4"/>
  <c r="L46" i="4"/>
  <c r="H45" i="4"/>
  <c r="H44" i="4"/>
  <c r="K44" i="4"/>
  <c r="L44" i="4"/>
  <c r="H43" i="4"/>
  <c r="H42" i="4"/>
  <c r="K42" i="4"/>
  <c r="L42" i="4"/>
  <c r="H41" i="4"/>
  <c r="H40" i="4"/>
  <c r="K40" i="4"/>
  <c r="L40" i="4"/>
  <c r="H39" i="4"/>
  <c r="H38" i="4"/>
  <c r="K38" i="4"/>
  <c r="L38" i="4"/>
  <c r="H37" i="4"/>
  <c r="H36" i="4"/>
  <c r="K36" i="4"/>
  <c r="L36" i="4"/>
  <c r="H35" i="4"/>
  <c r="H34" i="4"/>
  <c r="K34" i="4"/>
  <c r="L34" i="4"/>
  <c r="H33" i="4"/>
  <c r="H32" i="4"/>
  <c r="K32" i="4"/>
  <c r="L32" i="4"/>
  <c r="H31" i="4"/>
  <c r="H30" i="4"/>
  <c r="K30" i="4"/>
  <c r="L30" i="4"/>
  <c r="H29" i="4"/>
  <c r="H28" i="4"/>
  <c r="K28" i="4"/>
  <c r="L28" i="4"/>
  <c r="H27" i="4"/>
  <c r="H26" i="4"/>
  <c r="K26" i="4"/>
  <c r="L26" i="4"/>
  <c r="H25" i="4"/>
  <c r="H23" i="4"/>
  <c r="H22" i="4"/>
  <c r="H21" i="4"/>
  <c r="H20" i="4"/>
  <c r="K20" i="4"/>
  <c r="L20" i="4"/>
  <c r="H19" i="4"/>
  <c r="H18" i="4"/>
  <c r="K18" i="4"/>
  <c r="L18" i="4"/>
  <c r="H17" i="4"/>
  <c r="H16" i="4"/>
  <c r="K16" i="4"/>
  <c r="L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L2" i="4"/>
  <c r="E53" i="2"/>
  <c r="F53" i="2"/>
  <c r="G53" i="2"/>
  <c r="H53" i="2"/>
  <c r="K53" i="2"/>
  <c r="L53" i="2"/>
  <c r="N53" i="2"/>
  <c r="P53" i="2"/>
  <c r="Q53" i="2"/>
  <c r="E52" i="2"/>
  <c r="F52" i="2"/>
  <c r="G52" i="2"/>
  <c r="N52" i="2"/>
  <c r="P52" i="2"/>
  <c r="Q52" i="2"/>
  <c r="E51" i="2"/>
  <c r="F51" i="2"/>
  <c r="G51" i="2"/>
  <c r="H51" i="2"/>
  <c r="K51" i="2"/>
  <c r="L51" i="2"/>
  <c r="N51" i="2"/>
  <c r="P51" i="2"/>
  <c r="Q51" i="2"/>
  <c r="E50" i="2"/>
  <c r="F50" i="2"/>
  <c r="G50" i="2"/>
  <c r="O50" i="2"/>
  <c r="N50" i="2"/>
  <c r="E49" i="2"/>
  <c r="F49" i="2"/>
  <c r="G49" i="2"/>
  <c r="O49" i="2"/>
  <c r="N49" i="2"/>
  <c r="P49" i="2"/>
  <c r="Q49" i="2"/>
  <c r="E48" i="2"/>
  <c r="F48" i="2"/>
  <c r="G48" i="2"/>
  <c r="N48" i="2"/>
  <c r="E47" i="2"/>
  <c r="F47" i="2"/>
  <c r="G47" i="2"/>
  <c r="O47" i="2"/>
  <c r="N47" i="2"/>
  <c r="E46" i="2"/>
  <c r="F46" i="2"/>
  <c r="G46" i="2"/>
  <c r="N46" i="2"/>
  <c r="E45" i="2"/>
  <c r="F45" i="2"/>
  <c r="G45" i="2"/>
  <c r="N45" i="2"/>
  <c r="P45" i="2"/>
  <c r="Q45" i="2"/>
  <c r="E44" i="2"/>
  <c r="F44" i="2"/>
  <c r="G44" i="2"/>
  <c r="N44" i="2"/>
  <c r="E43" i="2"/>
  <c r="F43" i="2"/>
  <c r="G43" i="2"/>
  <c r="N43" i="2"/>
  <c r="P43" i="2"/>
  <c r="Q43" i="2"/>
  <c r="E42" i="2"/>
  <c r="F42" i="2"/>
  <c r="G42" i="2"/>
  <c r="N42" i="2"/>
  <c r="E41" i="2"/>
  <c r="F41" i="2"/>
  <c r="G41" i="2"/>
  <c r="N41" i="2"/>
  <c r="P41" i="2"/>
  <c r="Q41" i="2"/>
  <c r="E40" i="2"/>
  <c r="F40" i="2"/>
  <c r="G40" i="2"/>
  <c r="N40" i="2"/>
  <c r="E39" i="2"/>
  <c r="F39" i="2"/>
  <c r="G39" i="2"/>
  <c r="N39" i="2"/>
  <c r="P39" i="2"/>
  <c r="Q39" i="2"/>
  <c r="E38" i="2"/>
  <c r="F38" i="2"/>
  <c r="G38" i="2"/>
  <c r="N38" i="2"/>
  <c r="E37" i="2"/>
  <c r="F37" i="2"/>
  <c r="G37" i="2"/>
  <c r="N37" i="2"/>
  <c r="P37" i="2"/>
  <c r="Q37" i="2"/>
  <c r="E36" i="2"/>
  <c r="F36" i="2"/>
  <c r="G36" i="2"/>
  <c r="O36" i="2"/>
  <c r="N36" i="2"/>
  <c r="P36" i="2"/>
  <c r="Q36" i="2"/>
  <c r="E35" i="2"/>
  <c r="F35" i="2"/>
  <c r="G35" i="2"/>
  <c r="H35" i="2"/>
  <c r="K35" i="2"/>
  <c r="L35" i="2"/>
  <c r="N35" i="2"/>
  <c r="P35" i="2"/>
  <c r="Q35" i="2"/>
  <c r="E34" i="2"/>
  <c r="F34" i="2"/>
  <c r="G34" i="2"/>
  <c r="N34" i="2"/>
  <c r="P34" i="2"/>
  <c r="Q34" i="2"/>
  <c r="E33" i="2"/>
  <c r="F33" i="2"/>
  <c r="G33" i="2"/>
  <c r="O33" i="2"/>
  <c r="N33" i="2"/>
  <c r="P33" i="2"/>
  <c r="Q33" i="2"/>
  <c r="E32" i="2"/>
  <c r="F32" i="2"/>
  <c r="G32" i="2"/>
  <c r="N32" i="2"/>
  <c r="E31" i="2"/>
  <c r="F31" i="2"/>
  <c r="G31" i="2"/>
  <c r="N31" i="2"/>
  <c r="E30" i="2"/>
  <c r="F30" i="2"/>
  <c r="G30" i="2"/>
  <c r="N30" i="2"/>
  <c r="E29" i="2"/>
  <c r="F29" i="2"/>
  <c r="G29" i="2"/>
  <c r="N29" i="2"/>
  <c r="E28" i="2"/>
  <c r="F28" i="2"/>
  <c r="G28" i="2"/>
  <c r="N28" i="2"/>
  <c r="E27" i="2"/>
  <c r="F27" i="2"/>
  <c r="G27" i="2"/>
  <c r="N27" i="2"/>
  <c r="E26" i="2"/>
  <c r="F26" i="2"/>
  <c r="G26" i="2"/>
  <c r="O26" i="2"/>
  <c r="N26" i="2"/>
  <c r="P26" i="2"/>
  <c r="Q26" i="2"/>
  <c r="E25" i="2"/>
  <c r="F25" i="2"/>
  <c r="G25" i="2"/>
  <c r="N25" i="2"/>
  <c r="E24" i="2"/>
  <c r="F24" i="2"/>
  <c r="G24" i="2"/>
  <c r="N24" i="2"/>
  <c r="E23" i="2"/>
  <c r="F23" i="2"/>
  <c r="G23" i="2"/>
  <c r="N23" i="2"/>
  <c r="E22" i="2"/>
  <c r="F22" i="2"/>
  <c r="G22" i="2"/>
  <c r="N22" i="2"/>
  <c r="E21" i="2"/>
  <c r="F21" i="2"/>
  <c r="G21" i="2"/>
  <c r="N21" i="2"/>
  <c r="E20" i="2"/>
  <c r="F20" i="2"/>
  <c r="G20" i="2"/>
  <c r="N20" i="2"/>
  <c r="E19" i="2"/>
  <c r="F19" i="2"/>
  <c r="G19" i="2"/>
  <c r="N19" i="2"/>
  <c r="E18" i="2"/>
  <c r="F18" i="2"/>
  <c r="G18" i="2"/>
  <c r="N18" i="2"/>
  <c r="E17" i="2"/>
  <c r="F17" i="2"/>
  <c r="G17" i="2"/>
  <c r="N17" i="2"/>
  <c r="E16" i="2"/>
  <c r="F16" i="2"/>
  <c r="G16" i="2"/>
  <c r="N16" i="2"/>
  <c r="E15" i="2"/>
  <c r="F15" i="2"/>
  <c r="G15" i="2"/>
  <c r="N15" i="2"/>
  <c r="E14" i="2"/>
  <c r="F14" i="2"/>
  <c r="G14" i="2"/>
  <c r="N14" i="2"/>
  <c r="E13" i="2"/>
  <c r="F13" i="2"/>
  <c r="G13" i="2"/>
  <c r="O13" i="2"/>
  <c r="N13" i="2"/>
  <c r="E12" i="2"/>
  <c r="F12" i="2"/>
  <c r="G12" i="2"/>
  <c r="N12" i="2"/>
  <c r="E11" i="2"/>
  <c r="F11" i="2"/>
  <c r="G11" i="2"/>
  <c r="N11" i="2"/>
  <c r="P11" i="2"/>
  <c r="Q11" i="2"/>
  <c r="E10" i="2"/>
  <c r="F10" i="2"/>
  <c r="G10" i="2"/>
  <c r="O10" i="2"/>
  <c r="N10" i="2"/>
  <c r="P10" i="2"/>
  <c r="Q10" i="2"/>
  <c r="E9" i="2"/>
  <c r="F9" i="2"/>
  <c r="G9" i="2"/>
  <c r="O9" i="2"/>
  <c r="N9" i="2"/>
  <c r="E8" i="2"/>
  <c r="F8" i="2"/>
  <c r="G8" i="2"/>
  <c r="N8" i="2"/>
  <c r="E7" i="2"/>
  <c r="F7" i="2"/>
  <c r="G7" i="2"/>
  <c r="N7" i="2"/>
  <c r="E6" i="2"/>
  <c r="F6" i="2"/>
  <c r="G6" i="2"/>
  <c r="N6" i="2"/>
  <c r="E5" i="2"/>
  <c r="F5" i="2"/>
  <c r="G5" i="2"/>
  <c r="N5" i="2"/>
  <c r="E4" i="2"/>
  <c r="F4" i="2"/>
  <c r="G4" i="2"/>
  <c r="N4" i="2"/>
  <c r="E3" i="2"/>
  <c r="F3" i="2"/>
  <c r="G3" i="2"/>
  <c r="N3" i="2"/>
  <c r="H52" i="2"/>
  <c r="H50" i="2"/>
  <c r="H49" i="2"/>
  <c r="K49" i="2"/>
  <c r="L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4" i="2"/>
  <c r="H33" i="2"/>
  <c r="H32" i="2"/>
  <c r="H31" i="2"/>
  <c r="K31" i="2"/>
  <c r="L31" i="2"/>
  <c r="H30" i="2"/>
  <c r="H29" i="2"/>
  <c r="K29" i="2"/>
  <c r="L29" i="2"/>
  <c r="H28" i="2"/>
  <c r="H27" i="2"/>
  <c r="K27" i="2"/>
  <c r="L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K7" i="2"/>
  <c r="L7" i="2"/>
  <c r="H6" i="2"/>
  <c r="H5" i="2"/>
  <c r="K5" i="2"/>
  <c r="L5" i="2"/>
  <c r="H4" i="2"/>
  <c r="H3" i="2"/>
  <c r="K3" i="2"/>
  <c r="L3" i="2"/>
  <c r="L2" i="2"/>
  <c r="E23" i="1"/>
  <c r="F23" i="1"/>
  <c r="G23" i="1"/>
  <c r="N23" i="1"/>
  <c r="P23" i="1"/>
  <c r="Q23" i="1"/>
  <c r="E52" i="1"/>
  <c r="F52" i="1"/>
  <c r="G52" i="1"/>
  <c r="N52" i="1"/>
  <c r="E35" i="1"/>
  <c r="F35" i="1"/>
  <c r="G35" i="1"/>
  <c r="N35" i="1"/>
  <c r="E31" i="1"/>
  <c r="F31" i="1"/>
  <c r="G31" i="1"/>
  <c r="N31" i="1"/>
  <c r="E3" i="1"/>
  <c r="F3" i="1"/>
  <c r="G3" i="1"/>
  <c r="N3" i="1"/>
  <c r="E17" i="1"/>
  <c r="F17" i="1"/>
  <c r="G17" i="1"/>
  <c r="N17" i="1"/>
  <c r="E4" i="1"/>
  <c r="F4" i="1"/>
  <c r="G4" i="1"/>
  <c r="N4" i="1"/>
  <c r="E41" i="1"/>
  <c r="F41" i="1"/>
  <c r="G41" i="1"/>
  <c r="N41" i="1"/>
  <c r="E44" i="1"/>
  <c r="F44" i="1"/>
  <c r="G44" i="1"/>
  <c r="N44" i="1"/>
  <c r="E38" i="1"/>
  <c r="F38" i="1"/>
  <c r="G38" i="1"/>
  <c r="N38" i="1"/>
  <c r="E8" i="1"/>
  <c r="F8" i="1"/>
  <c r="G8" i="1"/>
  <c r="N8" i="1"/>
  <c r="E51" i="1"/>
  <c r="F51" i="1"/>
  <c r="G51" i="1"/>
  <c r="N51" i="1"/>
  <c r="E24" i="1"/>
  <c r="F24" i="1"/>
  <c r="G24" i="1"/>
  <c r="N24" i="1"/>
  <c r="E34" i="1"/>
  <c r="F34" i="1"/>
  <c r="G34" i="1"/>
  <c r="N34" i="1"/>
  <c r="E20" i="1"/>
  <c r="F20" i="1"/>
  <c r="G20" i="1"/>
  <c r="N20" i="1"/>
  <c r="E14" i="1"/>
  <c r="F14" i="1"/>
  <c r="G14" i="1"/>
  <c r="N14" i="1"/>
  <c r="E27" i="1"/>
  <c r="F27" i="1"/>
  <c r="G27" i="1"/>
  <c r="N27" i="1"/>
  <c r="E21" i="1"/>
  <c r="F21" i="1"/>
  <c r="G21" i="1"/>
  <c r="N21" i="1"/>
  <c r="E28" i="1"/>
  <c r="F28" i="1"/>
  <c r="G28" i="1"/>
  <c r="N28" i="1"/>
  <c r="E10" i="1"/>
  <c r="F10" i="1"/>
  <c r="G10" i="1"/>
  <c r="O10" i="1"/>
  <c r="N10" i="1"/>
  <c r="P10" i="1"/>
  <c r="Q10" i="1"/>
  <c r="E49" i="1"/>
  <c r="F49" i="1"/>
  <c r="G49" i="1"/>
  <c r="N49" i="1"/>
  <c r="E37" i="1"/>
  <c r="F37" i="1"/>
  <c r="G37" i="1"/>
  <c r="N37" i="1"/>
  <c r="E40" i="1"/>
  <c r="F40" i="1"/>
  <c r="G40" i="1"/>
  <c r="N40" i="1"/>
  <c r="E30" i="1"/>
  <c r="F30" i="1"/>
  <c r="G30" i="1"/>
  <c r="N30" i="1"/>
  <c r="E47" i="1"/>
  <c r="F47" i="1"/>
  <c r="G47" i="1"/>
  <c r="O47" i="1"/>
  <c r="N47" i="1"/>
  <c r="E9" i="1"/>
  <c r="F9" i="1"/>
  <c r="G9" i="1"/>
  <c r="O9" i="1"/>
  <c r="N9" i="1"/>
  <c r="P9" i="1"/>
  <c r="Q9" i="1"/>
  <c r="E18" i="1"/>
  <c r="F18" i="1"/>
  <c r="G18" i="1"/>
  <c r="N18" i="1"/>
  <c r="P18" i="1"/>
  <c r="Q18" i="1"/>
  <c r="E13" i="1"/>
  <c r="F13" i="1"/>
  <c r="G13" i="1"/>
  <c r="O13" i="1"/>
  <c r="N13" i="1"/>
  <c r="E39" i="1"/>
  <c r="F39" i="1"/>
  <c r="G39" i="1"/>
  <c r="N39" i="1"/>
  <c r="E42" i="1"/>
  <c r="F42" i="1"/>
  <c r="G42" i="1"/>
  <c r="N42" i="1"/>
  <c r="E45" i="1"/>
  <c r="F45" i="1"/>
  <c r="G45" i="1"/>
  <c r="N45" i="1"/>
  <c r="E36" i="1"/>
  <c r="F36" i="1"/>
  <c r="G36" i="1"/>
  <c r="O36" i="1"/>
  <c r="N36" i="1"/>
  <c r="P36" i="1"/>
  <c r="Q36" i="1"/>
  <c r="E7" i="1"/>
  <c r="F7" i="1"/>
  <c r="G7" i="1"/>
  <c r="N7" i="1"/>
  <c r="E53" i="1"/>
  <c r="F53" i="1"/>
  <c r="G53" i="1"/>
  <c r="N53" i="1"/>
  <c r="E12" i="1"/>
  <c r="F12" i="1"/>
  <c r="G12" i="1"/>
  <c r="N12" i="1"/>
  <c r="E6" i="1"/>
  <c r="F6" i="1"/>
  <c r="G6" i="1"/>
  <c r="N6" i="1"/>
  <c r="E15" i="1"/>
  <c r="F15" i="1"/>
  <c r="G15" i="1"/>
  <c r="N15" i="1"/>
  <c r="E43" i="1"/>
  <c r="F43" i="1"/>
  <c r="G43" i="1"/>
  <c r="N43" i="1"/>
  <c r="E22" i="1"/>
  <c r="F22" i="1"/>
  <c r="G22" i="1"/>
  <c r="N22" i="1"/>
  <c r="E48" i="1"/>
  <c r="F48" i="1"/>
  <c r="G48" i="1"/>
  <c r="N48" i="1"/>
  <c r="E46" i="1"/>
  <c r="F46" i="1"/>
  <c r="G46" i="1"/>
  <c r="N46" i="1"/>
  <c r="E16" i="1"/>
  <c r="F16" i="1"/>
  <c r="G16" i="1"/>
  <c r="N16" i="1"/>
  <c r="E29" i="1"/>
  <c r="F29" i="1"/>
  <c r="G29" i="1"/>
  <c r="N29" i="1"/>
  <c r="E11" i="1"/>
  <c r="F11" i="1"/>
  <c r="G11" i="1"/>
  <c r="N11" i="1"/>
  <c r="E5" i="1"/>
  <c r="F5" i="1"/>
  <c r="G5" i="1"/>
  <c r="N5" i="1"/>
  <c r="E32" i="1"/>
  <c r="F32" i="1"/>
  <c r="G32" i="1"/>
  <c r="N32" i="1"/>
  <c r="E25" i="1"/>
  <c r="F25" i="1"/>
  <c r="G25" i="1"/>
  <c r="N25" i="1"/>
  <c r="E33" i="1"/>
  <c r="F33" i="1"/>
  <c r="G33" i="1"/>
  <c r="O33" i="1"/>
  <c r="N33" i="1"/>
  <c r="E50" i="1"/>
  <c r="F50" i="1"/>
  <c r="G50" i="1"/>
  <c r="O50" i="1"/>
  <c r="N50" i="1"/>
  <c r="P50" i="1"/>
  <c r="Q50" i="1"/>
  <c r="E19" i="1"/>
  <c r="F19" i="1"/>
  <c r="G19" i="1"/>
  <c r="K19" i="1"/>
  <c r="L19" i="1"/>
  <c r="N19" i="1"/>
  <c r="E26" i="1"/>
  <c r="F26" i="1"/>
  <c r="G26" i="1"/>
  <c r="O26" i="1"/>
  <c r="N26" i="1"/>
  <c r="P26" i="1"/>
  <c r="Q26" i="1"/>
  <c r="Q2" i="1"/>
  <c r="K52" i="1"/>
  <c r="L52" i="1"/>
  <c r="K35" i="1"/>
  <c r="L35" i="1"/>
  <c r="K31" i="1"/>
  <c r="L31" i="1"/>
  <c r="K3" i="1"/>
  <c r="L3" i="1"/>
  <c r="K17" i="1"/>
  <c r="L17" i="1"/>
  <c r="K4" i="1"/>
  <c r="L4" i="1"/>
  <c r="K41" i="1"/>
  <c r="L41" i="1"/>
  <c r="K44" i="1"/>
  <c r="L44" i="1"/>
  <c r="K38" i="1"/>
  <c r="L38" i="1"/>
  <c r="K8" i="1"/>
  <c r="L8" i="1"/>
  <c r="K51" i="1"/>
  <c r="L51" i="1"/>
  <c r="K24" i="1"/>
  <c r="L24" i="1"/>
  <c r="K34" i="1"/>
  <c r="L34" i="1"/>
  <c r="K20" i="1"/>
  <c r="L20" i="1"/>
  <c r="K14" i="1"/>
  <c r="L14" i="1"/>
  <c r="K27" i="1"/>
  <c r="L27" i="1"/>
  <c r="K21" i="1"/>
  <c r="L21" i="1"/>
  <c r="K28" i="1"/>
  <c r="L28" i="1"/>
  <c r="K10" i="1"/>
  <c r="L10" i="1"/>
  <c r="K18" i="1"/>
  <c r="L18" i="1"/>
  <c r="K39" i="1"/>
  <c r="L39" i="1"/>
  <c r="K42" i="1"/>
  <c r="L42" i="1"/>
  <c r="K45" i="1"/>
  <c r="L45" i="1"/>
  <c r="K36" i="1"/>
  <c r="L36" i="1"/>
  <c r="K50" i="1"/>
  <c r="L50" i="1"/>
  <c r="K26" i="1"/>
  <c r="L26" i="1"/>
  <c r="L2" i="1"/>
  <c r="L51" i="16"/>
  <c r="M51" i="16"/>
  <c r="L51" i="15"/>
  <c r="M51" i="15"/>
  <c r="P33" i="1"/>
  <c r="Q33" i="1"/>
  <c r="K33" i="1"/>
  <c r="L33" i="1"/>
  <c r="K25" i="1"/>
  <c r="L25" i="1"/>
  <c r="P25" i="1"/>
  <c r="Q25" i="1"/>
  <c r="P32" i="1"/>
  <c r="Q32" i="1"/>
  <c r="K32" i="1"/>
  <c r="L32" i="1"/>
  <c r="P5" i="1"/>
  <c r="Q5" i="1"/>
  <c r="K5" i="1"/>
  <c r="L5" i="1"/>
  <c r="P11" i="1"/>
  <c r="Q11" i="1"/>
  <c r="K11" i="1"/>
  <c r="L11" i="1"/>
  <c r="P29" i="1"/>
  <c r="Q29" i="1"/>
  <c r="K29" i="1"/>
  <c r="L29" i="1"/>
  <c r="P16" i="1"/>
  <c r="Q16" i="1"/>
  <c r="K16" i="1"/>
  <c r="L16" i="1"/>
  <c r="K46" i="1"/>
  <c r="L46" i="1"/>
  <c r="P46" i="1"/>
  <c r="Q46" i="1"/>
  <c r="P48" i="1"/>
  <c r="Q48" i="1"/>
  <c r="K48" i="1"/>
  <c r="L48" i="1"/>
  <c r="P22" i="1"/>
  <c r="Q22" i="1"/>
  <c r="K22" i="1"/>
  <c r="L22" i="1"/>
  <c r="P43" i="1"/>
  <c r="Q43" i="1"/>
  <c r="K43" i="1"/>
  <c r="L43" i="1"/>
  <c r="K15" i="1"/>
  <c r="L15" i="1"/>
  <c r="P15" i="1"/>
  <c r="Q15" i="1"/>
  <c r="P6" i="1"/>
  <c r="Q6" i="1"/>
  <c r="K6" i="1"/>
  <c r="L6" i="1"/>
  <c r="P12" i="1"/>
  <c r="Q12" i="1"/>
  <c r="K12" i="1"/>
  <c r="L12" i="1"/>
  <c r="P53" i="1"/>
  <c r="Q53" i="1"/>
  <c r="K53" i="1"/>
  <c r="L53" i="1"/>
  <c r="K7" i="1"/>
  <c r="L7" i="1"/>
  <c r="P7" i="1"/>
  <c r="Q7" i="1"/>
  <c r="P47" i="1"/>
  <c r="Q47" i="1"/>
  <c r="K47" i="1"/>
  <c r="L47" i="1"/>
  <c r="P30" i="1"/>
  <c r="Q30" i="1"/>
  <c r="K30" i="1"/>
  <c r="L30" i="1"/>
  <c r="K40" i="1"/>
  <c r="L40" i="1"/>
  <c r="P40" i="1"/>
  <c r="Q40" i="1"/>
  <c r="P37" i="1"/>
  <c r="Q37" i="1"/>
  <c r="K37" i="1"/>
  <c r="L37" i="1"/>
  <c r="P49" i="1"/>
  <c r="Q49" i="1"/>
  <c r="K49" i="1"/>
  <c r="L49" i="1"/>
  <c r="P13" i="2"/>
  <c r="Q13" i="2"/>
  <c r="K13" i="2"/>
  <c r="L13" i="2"/>
  <c r="K14" i="2"/>
  <c r="L14" i="2"/>
  <c r="P14" i="2"/>
  <c r="Q14" i="2"/>
  <c r="P15" i="2"/>
  <c r="Q15" i="2"/>
  <c r="K15" i="2"/>
  <c r="L15" i="2"/>
  <c r="K16" i="2"/>
  <c r="L16" i="2"/>
  <c r="P16" i="2"/>
  <c r="Q16" i="2"/>
  <c r="P17" i="2"/>
  <c r="Q17" i="2"/>
  <c r="K17" i="2"/>
  <c r="L17" i="2"/>
  <c r="K18" i="2"/>
  <c r="L18" i="2"/>
  <c r="P18" i="2"/>
  <c r="Q18" i="2"/>
  <c r="P19" i="2"/>
  <c r="Q19" i="2"/>
  <c r="K19" i="2"/>
  <c r="L19" i="2"/>
  <c r="K20" i="2"/>
  <c r="L20" i="2"/>
  <c r="P20" i="2"/>
  <c r="Q20" i="2"/>
  <c r="P21" i="2"/>
  <c r="Q21" i="2"/>
  <c r="K21" i="2"/>
  <c r="L21" i="2"/>
  <c r="K22" i="2"/>
  <c r="L22" i="2"/>
  <c r="P22" i="2"/>
  <c r="Q22" i="2"/>
  <c r="P23" i="2"/>
  <c r="Q23" i="2"/>
  <c r="K23" i="2"/>
  <c r="L23" i="2"/>
  <c r="K24" i="2"/>
  <c r="L24" i="2"/>
  <c r="P24" i="2"/>
  <c r="Q24" i="2"/>
  <c r="P25" i="2"/>
  <c r="Q25" i="2"/>
  <c r="K25" i="2"/>
  <c r="L25" i="2"/>
  <c r="K3" i="4"/>
  <c r="L3" i="4"/>
  <c r="P3" i="4"/>
  <c r="Q3" i="4"/>
  <c r="P4" i="4"/>
  <c r="Q4" i="4"/>
  <c r="K4" i="4"/>
  <c r="L4" i="4"/>
  <c r="K5" i="4"/>
  <c r="L5" i="4"/>
  <c r="P5" i="4"/>
  <c r="Q5" i="4"/>
  <c r="P6" i="4"/>
  <c r="Q6" i="4"/>
  <c r="K6" i="4"/>
  <c r="L6" i="4"/>
  <c r="K7" i="4"/>
  <c r="L7" i="4"/>
  <c r="P7" i="4"/>
  <c r="Q7" i="4"/>
  <c r="P8" i="4"/>
  <c r="Q8" i="4"/>
  <c r="K8" i="4"/>
  <c r="L8" i="4"/>
  <c r="K9" i="4"/>
  <c r="L9" i="4"/>
  <c r="P9" i="4"/>
  <c r="Q9" i="4"/>
  <c r="P10" i="4"/>
  <c r="Q10" i="4"/>
  <c r="K10" i="4"/>
  <c r="L10" i="4"/>
  <c r="K11" i="4"/>
  <c r="L11" i="4"/>
  <c r="P11" i="4"/>
  <c r="Q11" i="4"/>
  <c r="P12" i="4"/>
  <c r="Q12" i="4"/>
  <c r="K12" i="4"/>
  <c r="L12" i="4"/>
  <c r="K13" i="4"/>
  <c r="L13" i="4"/>
  <c r="P13" i="4"/>
  <c r="Q13" i="4"/>
  <c r="P14" i="4"/>
  <c r="Q14" i="4"/>
  <c r="K14" i="4"/>
  <c r="L14" i="4"/>
  <c r="K15" i="4"/>
  <c r="L15" i="4"/>
  <c r="P15" i="4"/>
  <c r="Q15" i="4"/>
  <c r="P47" i="2"/>
  <c r="Q47" i="2"/>
  <c r="K47" i="2"/>
  <c r="L47" i="2"/>
  <c r="K48" i="2"/>
  <c r="L48" i="2"/>
  <c r="P48" i="2"/>
  <c r="Q48" i="2"/>
  <c r="P19" i="1"/>
  <c r="Q19" i="1"/>
  <c r="P13" i="1"/>
  <c r="Q13" i="1"/>
  <c r="P9" i="2"/>
  <c r="Q9" i="2"/>
  <c r="K10" i="2"/>
  <c r="L10" i="2"/>
  <c r="P12" i="2"/>
  <c r="Q12" i="2"/>
  <c r="K12" i="2"/>
  <c r="L12" i="2"/>
  <c r="K13" i="1"/>
  <c r="L13" i="1"/>
  <c r="K9" i="1"/>
  <c r="L9" i="1"/>
  <c r="P45" i="1"/>
  <c r="Q45" i="1"/>
  <c r="P42" i="1"/>
  <c r="Q42" i="1"/>
  <c r="P39" i="1"/>
  <c r="Q39" i="1"/>
  <c r="P28" i="1"/>
  <c r="Q28" i="1"/>
  <c r="P21" i="1"/>
  <c r="Q21" i="1"/>
  <c r="P27" i="1"/>
  <c r="Q27" i="1"/>
  <c r="P14" i="1"/>
  <c r="Q14" i="1"/>
  <c r="P20" i="1"/>
  <c r="Q20" i="1"/>
  <c r="P34" i="1"/>
  <c r="Q34" i="1"/>
  <c r="P24" i="1"/>
  <c r="Q24" i="1"/>
  <c r="P51" i="1"/>
  <c r="Q51" i="1"/>
  <c r="P8" i="1"/>
  <c r="Q8" i="1"/>
  <c r="P38" i="1"/>
  <c r="Q38" i="1"/>
  <c r="P44" i="1"/>
  <c r="Q44" i="1"/>
  <c r="P41" i="1"/>
  <c r="Q41" i="1"/>
  <c r="P4" i="1"/>
  <c r="Q4" i="1"/>
  <c r="P17" i="1"/>
  <c r="Q17" i="1"/>
  <c r="P3" i="1"/>
  <c r="Q3" i="1"/>
  <c r="P31" i="1"/>
  <c r="Q31" i="1"/>
  <c r="P35" i="1"/>
  <c r="Q35" i="1"/>
  <c r="P52" i="1"/>
  <c r="Q52" i="1"/>
  <c r="K23" i="1"/>
  <c r="L23" i="1"/>
  <c r="K9" i="2"/>
  <c r="L9" i="2"/>
  <c r="K11" i="2"/>
  <c r="L11" i="2"/>
  <c r="K33" i="2"/>
  <c r="L33" i="2"/>
  <c r="K37" i="2"/>
  <c r="L37" i="2"/>
  <c r="K39" i="2"/>
  <c r="L39" i="2"/>
  <c r="K41" i="2"/>
  <c r="L41" i="2"/>
  <c r="K43" i="2"/>
  <c r="L43" i="2"/>
  <c r="K45" i="2"/>
  <c r="L45" i="2"/>
  <c r="P3" i="2"/>
  <c r="Q3" i="2"/>
  <c r="P4" i="2"/>
  <c r="Q4" i="2"/>
  <c r="K4" i="2"/>
  <c r="L4" i="2"/>
  <c r="P5" i="2"/>
  <c r="Q5" i="2"/>
  <c r="P6" i="2"/>
  <c r="Q6" i="2"/>
  <c r="K6" i="2"/>
  <c r="L6" i="2"/>
  <c r="P7" i="2"/>
  <c r="Q7" i="2"/>
  <c r="P8" i="2"/>
  <c r="Q8" i="2"/>
  <c r="K8" i="2"/>
  <c r="L8" i="2"/>
  <c r="K26" i="2"/>
  <c r="L26" i="2"/>
  <c r="P27" i="2"/>
  <c r="Q27" i="2"/>
  <c r="P28" i="2"/>
  <c r="Q28" i="2"/>
  <c r="K28" i="2"/>
  <c r="L28" i="2"/>
  <c r="P29" i="2"/>
  <c r="Q29" i="2"/>
  <c r="P30" i="2"/>
  <c r="Q30" i="2"/>
  <c r="K30" i="2"/>
  <c r="L30" i="2"/>
  <c r="P31" i="2"/>
  <c r="Q31" i="2"/>
  <c r="P32" i="2"/>
  <c r="Q32" i="2"/>
  <c r="K32" i="2"/>
  <c r="L32" i="2"/>
  <c r="K22" i="4"/>
  <c r="L22" i="4"/>
  <c r="K48" i="4"/>
  <c r="L48" i="4"/>
  <c r="K50" i="4"/>
  <c r="L50" i="4"/>
  <c r="K52" i="4"/>
  <c r="L52" i="4"/>
  <c r="P17" i="4"/>
  <c r="Q17" i="4"/>
  <c r="K17" i="4"/>
  <c r="L17" i="4"/>
  <c r="P18" i="4"/>
  <c r="Q18" i="4"/>
  <c r="P19" i="4"/>
  <c r="Q19" i="4"/>
  <c r="K19" i="4"/>
  <c r="L19" i="4"/>
  <c r="P20" i="4"/>
  <c r="Q20" i="4"/>
  <c r="P21" i="4"/>
  <c r="Q21" i="4"/>
  <c r="K21" i="4"/>
  <c r="L21" i="4"/>
  <c r="K27" i="4"/>
  <c r="L27" i="4"/>
  <c r="P27" i="4"/>
  <c r="Q27" i="4"/>
  <c r="K29" i="4"/>
  <c r="L29" i="4"/>
  <c r="P29" i="4"/>
  <c r="Q29" i="4"/>
  <c r="K31" i="4"/>
  <c r="L31" i="4"/>
  <c r="P31" i="4"/>
  <c r="Q31" i="4"/>
  <c r="K33" i="4"/>
  <c r="L33" i="4"/>
  <c r="P33" i="4"/>
  <c r="Q33" i="4"/>
  <c r="K35" i="4"/>
  <c r="L35" i="4"/>
  <c r="P35" i="4"/>
  <c r="Q35" i="4"/>
  <c r="K37" i="4"/>
  <c r="L37" i="4"/>
  <c r="P37" i="4"/>
  <c r="Q37" i="4"/>
  <c r="K39" i="4"/>
  <c r="L39" i="4"/>
  <c r="P39" i="4"/>
  <c r="Q39" i="4"/>
  <c r="K41" i="4"/>
  <c r="L41" i="4"/>
  <c r="P41" i="4"/>
  <c r="Q41" i="4"/>
  <c r="K43" i="4"/>
  <c r="L43" i="4"/>
  <c r="P43" i="4"/>
  <c r="Q43" i="4"/>
  <c r="P45" i="4"/>
  <c r="Q45" i="4"/>
  <c r="K45" i="4"/>
  <c r="L45" i="4"/>
  <c r="K47" i="4"/>
  <c r="L47" i="4"/>
  <c r="P47" i="4"/>
  <c r="Q47" i="4"/>
  <c r="L52" i="7"/>
  <c r="M52" i="7"/>
  <c r="L50" i="7"/>
  <c r="M50" i="7"/>
  <c r="L48" i="7"/>
  <c r="M48" i="7"/>
  <c r="L46" i="7"/>
  <c r="M46" i="7"/>
  <c r="L44" i="7"/>
  <c r="M44" i="7"/>
  <c r="L42" i="7"/>
  <c r="M42" i="7"/>
  <c r="L40" i="7"/>
  <c r="M40" i="7"/>
  <c r="L38" i="7"/>
  <c r="M38" i="7"/>
  <c r="L36" i="7"/>
  <c r="M36" i="7"/>
  <c r="L34" i="7"/>
  <c r="M34" i="7"/>
  <c r="L32" i="7"/>
  <c r="M32" i="7"/>
  <c r="L30" i="7"/>
  <c r="M30" i="7"/>
  <c r="L28" i="7"/>
  <c r="M28" i="7"/>
  <c r="L26" i="7"/>
  <c r="M26" i="7"/>
  <c r="L24" i="7"/>
  <c r="M24" i="7"/>
  <c r="L22" i="7"/>
  <c r="M22" i="7"/>
  <c r="L20" i="7"/>
  <c r="M20" i="7"/>
  <c r="L18" i="7"/>
  <c r="M18" i="7"/>
  <c r="L16" i="7"/>
  <c r="M16" i="7"/>
  <c r="L14" i="7"/>
  <c r="M14" i="7"/>
  <c r="L12" i="7"/>
  <c r="M12" i="7"/>
  <c r="L10" i="7"/>
  <c r="M10" i="7"/>
  <c r="L8" i="7"/>
  <c r="M8" i="7"/>
  <c r="L6" i="7"/>
  <c r="M6" i="7"/>
  <c r="L4" i="7"/>
  <c r="M4" i="7"/>
  <c r="K34" i="2"/>
  <c r="L34" i="2"/>
  <c r="K36" i="2"/>
  <c r="L36" i="2"/>
  <c r="P38" i="2"/>
  <c r="Q38" i="2"/>
  <c r="K38" i="2"/>
  <c r="L38" i="2"/>
  <c r="P40" i="2"/>
  <c r="Q40" i="2"/>
  <c r="K40" i="2"/>
  <c r="L40" i="2"/>
  <c r="P42" i="2"/>
  <c r="Q42" i="2"/>
  <c r="K42" i="2"/>
  <c r="L42" i="2"/>
  <c r="P44" i="2"/>
  <c r="Q44" i="2"/>
  <c r="K44" i="2"/>
  <c r="L44" i="2"/>
  <c r="P46" i="2"/>
  <c r="Q46" i="2"/>
  <c r="K46" i="2"/>
  <c r="L46" i="2"/>
  <c r="P50" i="2"/>
  <c r="Q50" i="2"/>
  <c r="K50" i="2"/>
  <c r="L50" i="2"/>
  <c r="K52" i="2"/>
  <c r="L52" i="2"/>
  <c r="K23" i="4"/>
  <c r="L23" i="4"/>
  <c r="K25" i="4"/>
  <c r="L25" i="4"/>
  <c r="K49" i="4"/>
  <c r="L49" i="4"/>
  <c r="P49" i="4"/>
  <c r="Q49" i="4"/>
  <c r="K51" i="4"/>
  <c r="L51" i="4"/>
  <c r="P51" i="4"/>
  <c r="Q51" i="4"/>
  <c r="P53" i="4"/>
  <c r="Q53" i="4"/>
  <c r="K53" i="4"/>
  <c r="L53" i="4"/>
  <c r="L53" i="7"/>
  <c r="M53" i="7"/>
  <c r="L51" i="7"/>
  <c r="M51" i="7"/>
  <c r="L49" i="7"/>
  <c r="M49" i="7"/>
  <c r="L47" i="7"/>
  <c r="M47" i="7"/>
  <c r="L45" i="7"/>
  <c r="M45" i="7"/>
  <c r="L43" i="7"/>
  <c r="M43" i="7"/>
  <c r="L41" i="7"/>
  <c r="M41" i="7"/>
  <c r="L39" i="7"/>
  <c r="M39" i="7"/>
  <c r="L37" i="7"/>
  <c r="M37" i="7"/>
  <c r="L35" i="7"/>
  <c r="M35" i="7"/>
  <c r="L33" i="7"/>
  <c r="M33" i="7"/>
  <c r="L31" i="7"/>
  <c r="M31" i="7"/>
  <c r="L29" i="7"/>
  <c r="M29" i="7"/>
  <c r="L27" i="7"/>
  <c r="M27" i="7"/>
  <c r="L25" i="7"/>
  <c r="M25" i="7"/>
  <c r="L23" i="7"/>
  <c r="M23" i="7"/>
  <c r="L21" i="7"/>
  <c r="M21" i="7"/>
  <c r="L19" i="7"/>
  <c r="M19" i="7"/>
  <c r="L17" i="7"/>
  <c r="M17" i="7"/>
  <c r="L15" i="7"/>
  <c r="M15" i="7"/>
  <c r="L13" i="7"/>
  <c r="M13" i="7"/>
  <c r="L11" i="7"/>
  <c r="M11" i="7"/>
  <c r="L9" i="7"/>
  <c r="M9" i="7"/>
  <c r="L7" i="7"/>
  <c r="M7" i="7"/>
  <c r="L5" i="7"/>
  <c r="M5" i="7"/>
  <c r="AA60" i="8"/>
  <c r="L53" i="16"/>
  <c r="M53" i="16"/>
  <c r="L5" i="14"/>
  <c r="M5" i="14"/>
  <c r="L3" i="15"/>
  <c r="M3" i="15"/>
  <c r="L6" i="9"/>
  <c r="M6" i="9"/>
  <c r="L8" i="12"/>
  <c r="M8" i="12"/>
  <c r="L7" i="15"/>
  <c r="M7" i="15"/>
  <c r="L9" i="15"/>
  <c r="M9" i="15"/>
  <c r="L12" i="12"/>
  <c r="M12" i="12"/>
  <c r="L14" i="12"/>
  <c r="M14" i="12"/>
  <c r="L11" i="13"/>
  <c r="M11" i="13"/>
  <c r="L14" i="14"/>
  <c r="M14" i="14"/>
  <c r="L15" i="13"/>
  <c r="M15" i="13"/>
  <c r="L17" i="14"/>
  <c r="M17" i="14"/>
  <c r="L19" i="14"/>
  <c r="M19" i="14"/>
  <c r="L21" i="14"/>
  <c r="M21" i="14"/>
  <c r="L23" i="10"/>
  <c r="M23" i="10"/>
  <c r="L23" i="14"/>
  <c r="M23" i="14"/>
  <c r="L24" i="9"/>
  <c r="M24" i="9"/>
  <c r="L16" i="15"/>
  <c r="M16" i="15"/>
  <c r="L18" i="11"/>
  <c r="M18" i="11"/>
  <c r="L18" i="15"/>
  <c r="M18" i="15"/>
  <c r="L20" i="11"/>
  <c r="M20" i="11"/>
  <c r="L20" i="15"/>
  <c r="M20" i="15"/>
  <c r="L22" i="11"/>
  <c r="M22" i="11"/>
  <c r="L22" i="15"/>
  <c r="M22" i="15"/>
  <c r="L24" i="12"/>
  <c r="M24" i="12"/>
  <c r="L25" i="12"/>
  <c r="M25" i="12"/>
  <c r="L25" i="16"/>
  <c r="M25" i="16"/>
  <c r="L27" i="12"/>
  <c r="M27" i="12"/>
  <c r="L27" i="16"/>
  <c r="M27" i="16"/>
  <c r="L29" i="12"/>
  <c r="M29" i="12"/>
  <c r="L29" i="16"/>
  <c r="M29" i="16"/>
  <c r="L31" i="12"/>
  <c r="M31" i="12"/>
  <c r="L31" i="16"/>
  <c r="M31" i="16"/>
  <c r="L33" i="12"/>
  <c r="M33" i="12"/>
  <c r="L33" i="16"/>
  <c r="M33" i="16"/>
  <c r="L35" i="12"/>
  <c r="M35" i="12"/>
  <c r="L35" i="16"/>
  <c r="M35" i="16"/>
  <c r="L36" i="11"/>
  <c r="M36" i="11"/>
  <c r="L24" i="15"/>
  <c r="M24" i="15"/>
  <c r="L26" i="11"/>
  <c r="M26" i="11"/>
  <c r="L26" i="15"/>
  <c r="M26" i="15"/>
  <c r="L28" i="11"/>
  <c r="M28" i="11"/>
  <c r="L28" i="15"/>
  <c r="M28" i="15"/>
  <c r="L30" i="11"/>
  <c r="M30" i="11"/>
  <c r="L30" i="15"/>
  <c r="M30" i="15"/>
  <c r="L32" i="11"/>
  <c r="M32" i="11"/>
  <c r="L32" i="15"/>
  <c r="M32" i="15"/>
  <c r="L34" i="11"/>
  <c r="M34" i="11"/>
  <c r="L34" i="15"/>
  <c r="M34" i="15"/>
  <c r="L37" i="12"/>
  <c r="M37" i="12"/>
  <c r="L37" i="16"/>
  <c r="M37" i="16"/>
  <c r="L39" i="12"/>
  <c r="M39" i="12"/>
  <c r="L39" i="16"/>
  <c r="M39" i="16"/>
  <c r="L41" i="12"/>
  <c r="M41" i="12"/>
  <c r="L41" i="16"/>
  <c r="M41" i="16"/>
  <c r="L43" i="12"/>
  <c r="M43" i="12"/>
  <c r="L43" i="16"/>
  <c r="M43" i="16"/>
  <c r="L45" i="12"/>
  <c r="M45" i="12"/>
  <c r="L45" i="16"/>
  <c r="M45" i="16"/>
  <c r="L47" i="12"/>
  <c r="M47" i="12"/>
  <c r="L47" i="16"/>
  <c r="M47" i="16"/>
  <c r="L48" i="15"/>
  <c r="M48" i="15"/>
  <c r="L50" i="14"/>
  <c r="M50" i="14"/>
  <c r="L51" i="10"/>
  <c r="M51" i="10"/>
  <c r="L47" i="15"/>
  <c r="M47" i="15"/>
  <c r="L43" i="15"/>
  <c r="M43" i="15"/>
  <c r="L39" i="15"/>
  <c r="M39" i="15"/>
  <c r="L35" i="15"/>
  <c r="M35" i="15"/>
  <c r="L31" i="15"/>
  <c r="M31" i="15"/>
  <c r="L27" i="15"/>
  <c r="M27" i="15"/>
  <c r="L23" i="15"/>
  <c r="M23" i="15"/>
  <c r="L19" i="15"/>
  <c r="M19" i="15"/>
  <c r="L14" i="15"/>
  <c r="M14" i="15"/>
  <c r="L10" i="15"/>
  <c r="M10" i="15"/>
  <c r="L6" i="15"/>
  <c r="M6" i="15"/>
  <c r="L36" i="13"/>
  <c r="M36" i="13"/>
  <c r="L38" i="9"/>
  <c r="M38" i="9"/>
  <c r="L38" i="13"/>
  <c r="M38" i="13"/>
  <c r="L40" i="9"/>
  <c r="M40" i="9"/>
  <c r="L40" i="13"/>
  <c r="M40" i="13"/>
  <c r="L42" i="9"/>
  <c r="M42" i="9"/>
  <c r="L42" i="13"/>
  <c r="M42" i="13"/>
  <c r="L44" i="9"/>
  <c r="M44" i="9"/>
  <c r="L44" i="13"/>
  <c r="M44" i="13"/>
  <c r="L46" i="9"/>
  <c r="M46" i="9"/>
  <c r="L46" i="13"/>
  <c r="M46" i="13"/>
  <c r="L48" i="9"/>
  <c r="M48" i="9"/>
  <c r="L48" i="14"/>
  <c r="M48" i="14"/>
  <c r="L49" i="10"/>
  <c r="M49" i="10"/>
  <c r="L49" i="14"/>
  <c r="M49" i="14"/>
  <c r="L50" i="9"/>
  <c r="M50" i="9"/>
  <c r="L50" i="13"/>
  <c r="M50" i="13"/>
  <c r="L52" i="14"/>
  <c r="M52" i="14"/>
  <c r="L53" i="15"/>
  <c r="M53" i="15"/>
  <c r="L44" i="16"/>
  <c r="M44" i="16"/>
  <c r="L40" i="16"/>
  <c r="M40" i="16"/>
  <c r="L36" i="16"/>
  <c r="M36" i="16"/>
  <c r="L32" i="16"/>
  <c r="M32" i="16"/>
  <c r="L28" i="16"/>
  <c r="M28" i="16"/>
  <c r="L24" i="16"/>
  <c r="M24" i="16"/>
  <c r="L20" i="16"/>
  <c r="M20" i="16"/>
  <c r="L16" i="16"/>
  <c r="M16" i="16"/>
  <c r="L13" i="16"/>
  <c r="M13" i="16"/>
  <c r="L9" i="16"/>
  <c r="M9" i="16"/>
  <c r="L4" i="16"/>
  <c r="M4" i="16"/>
  <c r="L46" i="14"/>
  <c r="M46" i="14"/>
  <c r="L42" i="14"/>
  <c r="M42" i="14"/>
  <c r="L38" i="14"/>
  <c r="M38" i="14"/>
  <c r="L34" i="14"/>
  <c r="M34" i="14"/>
  <c r="L30" i="14"/>
  <c r="M30" i="14"/>
  <c r="L26" i="14"/>
  <c r="M26" i="14"/>
  <c r="L22" i="14"/>
  <c r="M22" i="14"/>
  <c r="L18" i="14"/>
  <c r="M18" i="14"/>
  <c r="L15" i="14"/>
  <c r="M15" i="14"/>
  <c r="L11" i="14"/>
  <c r="M11" i="14"/>
  <c r="L7" i="14"/>
  <c r="M7" i="14"/>
  <c r="L3" i="14"/>
  <c r="M3" i="14"/>
  <c r="L53" i="12"/>
  <c r="M53" i="12"/>
  <c r="L51" i="9"/>
  <c r="M51" i="9"/>
  <c r="L47" i="9"/>
  <c r="M47" i="9"/>
  <c r="L43" i="9"/>
  <c r="M43" i="9"/>
  <c r="L39" i="9"/>
  <c r="M39" i="9"/>
  <c r="L35" i="9"/>
  <c r="M35" i="9"/>
  <c r="L31" i="9"/>
  <c r="M31" i="9"/>
  <c r="L27" i="9"/>
  <c r="M27" i="9"/>
  <c r="L23" i="9"/>
  <c r="M23" i="9"/>
  <c r="L19" i="9"/>
  <c r="M19" i="9"/>
  <c r="L16" i="9"/>
  <c r="M16" i="9"/>
  <c r="L12" i="9"/>
  <c r="M12" i="9"/>
  <c r="L8" i="9"/>
  <c r="M8" i="9"/>
  <c r="L4" i="9"/>
  <c r="M4" i="9"/>
  <c r="L51" i="11"/>
  <c r="M51" i="11"/>
  <c r="L47" i="11"/>
  <c r="M47" i="11"/>
  <c r="L43" i="11"/>
  <c r="M43" i="11"/>
  <c r="L39" i="11"/>
  <c r="M39" i="11"/>
  <c r="L35" i="11"/>
  <c r="M35" i="11"/>
  <c r="L31" i="11"/>
  <c r="M31" i="11"/>
  <c r="L27" i="11"/>
  <c r="M27" i="11"/>
  <c r="L23" i="11"/>
  <c r="M23" i="11"/>
  <c r="L21" i="11"/>
  <c r="M21" i="11"/>
  <c r="L17" i="11"/>
  <c r="M17" i="11"/>
  <c r="L14" i="11"/>
  <c r="M14" i="11"/>
  <c r="L10" i="11"/>
  <c r="M10" i="11"/>
  <c r="L5" i="11"/>
  <c r="M5" i="11"/>
  <c r="L51" i="13"/>
  <c r="M51" i="13"/>
  <c r="L47" i="13"/>
  <c r="M47" i="13"/>
  <c r="L43" i="13"/>
  <c r="M43" i="13"/>
  <c r="L39" i="13"/>
  <c r="M39" i="13"/>
  <c r="L35" i="13"/>
  <c r="M35" i="13"/>
  <c r="L31" i="13"/>
  <c r="M31" i="13"/>
  <c r="L27" i="13"/>
  <c r="M27" i="13"/>
  <c r="L23" i="13"/>
  <c r="M23" i="13"/>
  <c r="L19" i="13"/>
  <c r="M19" i="13"/>
  <c r="L14" i="13"/>
  <c r="M14" i="13"/>
  <c r="L10" i="13"/>
  <c r="M10" i="13"/>
  <c r="L6" i="13"/>
  <c r="M6" i="13"/>
  <c r="L52" i="9"/>
  <c r="M52" i="9"/>
  <c r="L52" i="13"/>
  <c r="M52" i="13"/>
  <c r="L52" i="10"/>
  <c r="M52" i="10"/>
  <c r="L48" i="10"/>
  <c r="M48" i="10"/>
  <c r="L44" i="10"/>
  <c r="M44" i="10"/>
  <c r="L40" i="10"/>
  <c r="M40" i="10"/>
  <c r="L36" i="10"/>
  <c r="M36" i="10"/>
  <c r="L32" i="10"/>
  <c r="M32" i="10"/>
  <c r="L28" i="10"/>
  <c r="M28" i="10"/>
  <c r="L22" i="10"/>
  <c r="M22" i="10"/>
  <c r="L18" i="10"/>
  <c r="M18" i="10"/>
  <c r="L13" i="10"/>
  <c r="M13" i="10"/>
  <c r="L9" i="10"/>
  <c r="M9" i="10"/>
  <c r="L6" i="10"/>
  <c r="M6" i="10"/>
  <c r="L52" i="12"/>
  <c r="M52" i="12"/>
  <c r="L50" i="12"/>
  <c r="M50" i="12"/>
  <c r="L44" i="12"/>
  <c r="M44" i="12"/>
  <c r="L40" i="12"/>
  <c r="M40" i="12"/>
  <c r="L36" i="12"/>
  <c r="M36" i="12"/>
  <c r="L32" i="12"/>
  <c r="M32" i="12"/>
  <c r="L28" i="12"/>
  <c r="M28" i="12"/>
  <c r="L22" i="12"/>
  <c r="M22" i="12"/>
  <c r="L18" i="12"/>
  <c r="M18" i="12"/>
  <c r="L15" i="12"/>
  <c r="M15" i="12"/>
  <c r="L11" i="12"/>
  <c r="M11" i="12"/>
  <c r="L7" i="12"/>
  <c r="M7" i="12"/>
  <c r="L4" i="12"/>
  <c r="M4" i="12"/>
  <c r="L5" i="10"/>
  <c r="M5" i="10"/>
  <c r="L6" i="11"/>
  <c r="M6" i="11"/>
  <c r="L3" i="11"/>
  <c r="M3" i="11"/>
  <c r="L4" i="13"/>
  <c r="M4" i="13"/>
  <c r="L6" i="16"/>
  <c r="M6" i="16"/>
  <c r="L8" i="16"/>
  <c r="M8" i="16"/>
  <c r="L7" i="11"/>
  <c r="M7" i="11"/>
  <c r="L9" i="11"/>
  <c r="M9" i="11"/>
  <c r="L10" i="12"/>
  <c r="M10" i="12"/>
  <c r="L10" i="16"/>
  <c r="M10" i="16"/>
  <c r="L12" i="16"/>
  <c r="M12" i="16"/>
  <c r="L11" i="9"/>
  <c r="M11" i="9"/>
  <c r="L13" i="9"/>
  <c r="M13" i="9"/>
  <c r="L13" i="13"/>
  <c r="M13" i="13"/>
  <c r="L15" i="9"/>
  <c r="M15" i="9"/>
  <c r="L17" i="10"/>
  <c r="M17" i="10"/>
  <c r="L19" i="10"/>
  <c r="M19" i="10"/>
  <c r="L21" i="10"/>
  <c r="M21" i="10"/>
  <c r="L4" i="10"/>
  <c r="M4" i="10"/>
  <c r="L5" i="12"/>
  <c r="M5" i="12"/>
  <c r="L5" i="16"/>
  <c r="M5" i="16"/>
  <c r="L3" i="9"/>
  <c r="M3" i="9"/>
  <c r="L3" i="13"/>
  <c r="M3" i="13"/>
  <c r="L4" i="11"/>
  <c r="M4" i="11"/>
  <c r="L4" i="15"/>
  <c r="M4" i="15"/>
  <c r="L6" i="14"/>
  <c r="M6" i="14"/>
  <c r="L8" i="10"/>
  <c r="M8" i="10"/>
  <c r="L8" i="14"/>
  <c r="M8" i="14"/>
  <c r="L7" i="9"/>
  <c r="M7" i="9"/>
  <c r="L7" i="13"/>
  <c r="M7" i="13"/>
  <c r="L9" i="9"/>
  <c r="M9" i="9"/>
  <c r="L9" i="13"/>
  <c r="M9" i="13"/>
  <c r="L10" i="10"/>
  <c r="M10" i="10"/>
  <c r="L10" i="14"/>
  <c r="M10" i="14"/>
  <c r="L12" i="10"/>
  <c r="M12" i="10"/>
  <c r="L12" i="14"/>
  <c r="M12" i="14"/>
  <c r="L14" i="10"/>
  <c r="M14" i="10"/>
  <c r="L16" i="10"/>
  <c r="M16" i="10"/>
  <c r="L11" i="11"/>
  <c r="M11" i="11"/>
  <c r="L11" i="15"/>
  <c r="M11" i="15"/>
  <c r="L13" i="11"/>
  <c r="M13" i="11"/>
  <c r="L13" i="15"/>
  <c r="M13" i="15"/>
  <c r="L14" i="16"/>
  <c r="M14" i="16"/>
  <c r="L15" i="11"/>
  <c r="M15" i="11"/>
  <c r="L15" i="15"/>
  <c r="M15" i="15"/>
  <c r="L17" i="12"/>
  <c r="M17" i="12"/>
  <c r="L17" i="16"/>
  <c r="M17" i="16"/>
  <c r="L19" i="12"/>
  <c r="M19" i="12"/>
  <c r="L19" i="16"/>
  <c r="M19" i="16"/>
  <c r="L21" i="12"/>
  <c r="M21" i="12"/>
  <c r="L21" i="16"/>
  <c r="M21" i="16"/>
  <c r="L23" i="12"/>
  <c r="M23" i="12"/>
  <c r="L23" i="16"/>
  <c r="M23" i="16"/>
  <c r="L16" i="13"/>
  <c r="M16" i="13"/>
  <c r="L18" i="9"/>
  <c r="M18" i="9"/>
  <c r="L18" i="13"/>
  <c r="M18" i="13"/>
  <c r="L20" i="9"/>
  <c r="M20" i="9"/>
  <c r="L20" i="13"/>
  <c r="M20" i="13"/>
  <c r="L22" i="9"/>
  <c r="M22" i="9"/>
  <c r="L22" i="13"/>
  <c r="M22" i="13"/>
  <c r="L24" i="10"/>
  <c r="M24" i="10"/>
  <c r="L25" i="10"/>
  <c r="M25" i="10"/>
  <c r="L25" i="14"/>
  <c r="M25" i="14"/>
  <c r="L27" i="10"/>
  <c r="M27" i="10"/>
  <c r="L27" i="14"/>
  <c r="M27" i="14"/>
  <c r="L29" i="10"/>
  <c r="M29" i="10"/>
  <c r="L29" i="14"/>
  <c r="M29" i="14"/>
  <c r="L31" i="10"/>
  <c r="M31" i="10"/>
  <c r="L31" i="14"/>
  <c r="M31" i="14"/>
  <c r="L33" i="10"/>
  <c r="M33" i="10"/>
  <c r="L33" i="14"/>
  <c r="M33" i="14"/>
  <c r="L35" i="10"/>
  <c r="M35" i="10"/>
  <c r="L35" i="14"/>
  <c r="M35" i="14"/>
  <c r="L36" i="9"/>
  <c r="M36" i="9"/>
  <c r="L24" i="13"/>
  <c r="M24" i="13"/>
  <c r="L26" i="9"/>
  <c r="M26" i="9"/>
  <c r="L26" i="13"/>
  <c r="M26" i="13"/>
  <c r="L28" i="9"/>
  <c r="M28" i="9"/>
  <c r="L28" i="13"/>
  <c r="M28" i="13"/>
  <c r="L30" i="9"/>
  <c r="M30" i="9"/>
  <c r="L30" i="13"/>
  <c r="M30" i="13"/>
  <c r="L32" i="9"/>
  <c r="M32" i="9"/>
  <c r="L32" i="13"/>
  <c r="M32" i="13"/>
  <c r="L34" i="9"/>
  <c r="M34" i="9"/>
  <c r="L34" i="13"/>
  <c r="M34" i="13"/>
  <c r="L37" i="10"/>
  <c r="M37" i="10"/>
  <c r="L37" i="14"/>
  <c r="M37" i="14"/>
  <c r="L39" i="10"/>
  <c r="M39" i="10"/>
  <c r="L39" i="14"/>
  <c r="M39" i="14"/>
  <c r="L41" i="10"/>
  <c r="M41" i="10"/>
  <c r="L41" i="14"/>
  <c r="M41" i="14"/>
  <c r="L43" i="10"/>
  <c r="M43" i="10"/>
  <c r="L43" i="14"/>
  <c r="M43" i="14"/>
  <c r="L45" i="10"/>
  <c r="M45" i="10"/>
  <c r="L45" i="14"/>
  <c r="M45" i="14"/>
  <c r="L47" i="10"/>
  <c r="M47" i="10"/>
  <c r="L47" i="14"/>
  <c r="M47" i="14"/>
  <c r="L48" i="13"/>
  <c r="M48" i="13"/>
  <c r="L49" i="15"/>
  <c r="M49" i="15"/>
  <c r="L50" i="16"/>
  <c r="M50" i="16"/>
  <c r="L51" i="12"/>
  <c r="M51" i="12"/>
  <c r="L45" i="15"/>
  <c r="M45" i="15"/>
  <c r="L41" i="15"/>
  <c r="M41" i="15"/>
  <c r="L37" i="15"/>
  <c r="M37" i="15"/>
  <c r="L33" i="15"/>
  <c r="M33" i="15"/>
  <c r="L29" i="15"/>
  <c r="M29" i="15"/>
  <c r="L25" i="15"/>
  <c r="M25" i="15"/>
  <c r="L21" i="15"/>
  <c r="M21" i="15"/>
  <c r="L17" i="15"/>
  <c r="M17" i="15"/>
  <c r="L12" i="15"/>
  <c r="M12" i="15"/>
  <c r="L8" i="15"/>
  <c r="M8" i="15"/>
  <c r="L5" i="15"/>
  <c r="M5" i="15"/>
  <c r="L36" i="15"/>
  <c r="M36" i="15"/>
  <c r="L38" i="11"/>
  <c r="M38" i="11"/>
  <c r="L38" i="15"/>
  <c r="M38" i="15"/>
  <c r="L40" i="11"/>
  <c r="M40" i="11"/>
  <c r="L40" i="15"/>
  <c r="M40" i="15"/>
  <c r="L42" i="11"/>
  <c r="M42" i="11"/>
  <c r="L42" i="15"/>
  <c r="M42" i="15"/>
  <c r="L44" i="11"/>
  <c r="M44" i="11"/>
  <c r="L44" i="15"/>
  <c r="M44" i="15"/>
  <c r="L46" i="11"/>
  <c r="M46" i="11"/>
  <c r="L46" i="15"/>
  <c r="M46" i="15"/>
  <c r="L48" i="11"/>
  <c r="M48" i="11"/>
  <c r="L48" i="16"/>
  <c r="M48" i="16"/>
  <c r="L49" i="12"/>
  <c r="M49" i="12"/>
  <c r="L49" i="16"/>
  <c r="M49" i="16"/>
  <c r="L50" i="11"/>
  <c r="M50" i="11"/>
  <c r="L50" i="15"/>
  <c r="M50" i="15"/>
  <c r="L52" i="16"/>
  <c r="M52" i="16"/>
  <c r="L46" i="16"/>
  <c r="M46" i="16"/>
  <c r="L42" i="16"/>
  <c r="M42" i="16"/>
  <c r="L38" i="16"/>
  <c r="M38" i="16"/>
  <c r="L34" i="16"/>
  <c r="M34" i="16"/>
  <c r="L30" i="16"/>
  <c r="M30" i="16"/>
  <c r="L26" i="16"/>
  <c r="M26" i="16"/>
  <c r="L22" i="16"/>
  <c r="M22" i="16"/>
  <c r="L18" i="16"/>
  <c r="M18" i="16"/>
  <c r="L15" i="16"/>
  <c r="M15" i="16"/>
  <c r="L11" i="16"/>
  <c r="M11" i="16"/>
  <c r="L7" i="16"/>
  <c r="M7" i="16"/>
  <c r="L3" i="16"/>
  <c r="M3" i="16"/>
  <c r="L44" i="14"/>
  <c r="M44" i="14"/>
  <c r="L40" i="14"/>
  <c r="M40" i="14"/>
  <c r="L36" i="14"/>
  <c r="M36" i="14"/>
  <c r="L32" i="14"/>
  <c r="M32" i="14"/>
  <c r="L28" i="14"/>
  <c r="M28" i="14"/>
  <c r="L24" i="14"/>
  <c r="M24" i="14"/>
  <c r="L20" i="14"/>
  <c r="M20" i="14"/>
  <c r="L16" i="14"/>
  <c r="M16" i="14"/>
  <c r="L13" i="14"/>
  <c r="M13" i="14"/>
  <c r="L9" i="14"/>
  <c r="M9" i="14"/>
  <c r="L4" i="14"/>
  <c r="M4" i="14"/>
  <c r="L53" i="10"/>
  <c r="M53" i="10"/>
  <c r="L53" i="9"/>
  <c r="M53" i="9"/>
  <c r="L49" i="9"/>
  <c r="M49" i="9"/>
  <c r="L45" i="9"/>
  <c r="M45" i="9"/>
  <c r="L41" i="9"/>
  <c r="M41" i="9"/>
  <c r="L37" i="9"/>
  <c r="M37" i="9"/>
  <c r="L33" i="9"/>
  <c r="M33" i="9"/>
  <c r="L29" i="9"/>
  <c r="M29" i="9"/>
  <c r="L25" i="9"/>
  <c r="M25" i="9"/>
  <c r="L21" i="9"/>
  <c r="M21" i="9"/>
  <c r="L17" i="9"/>
  <c r="M17" i="9"/>
  <c r="L14" i="9"/>
  <c r="M14" i="9"/>
  <c r="L10" i="9"/>
  <c r="M10" i="9"/>
  <c r="L5" i="9"/>
  <c r="M5" i="9"/>
  <c r="L53" i="11"/>
  <c r="M53" i="11"/>
  <c r="L49" i="11"/>
  <c r="M49" i="11"/>
  <c r="L45" i="11"/>
  <c r="M45" i="11"/>
  <c r="L41" i="11"/>
  <c r="M41" i="11"/>
  <c r="L37" i="11"/>
  <c r="M37" i="11"/>
  <c r="L33" i="11"/>
  <c r="M33" i="11"/>
  <c r="L29" i="11"/>
  <c r="M29" i="11"/>
  <c r="L25" i="11"/>
  <c r="M25" i="11"/>
  <c r="L24" i="11"/>
  <c r="M24" i="11"/>
  <c r="L19" i="11"/>
  <c r="M19" i="11"/>
  <c r="L16" i="11"/>
  <c r="M16" i="11"/>
  <c r="L12" i="11"/>
  <c r="M12" i="11"/>
  <c r="L8" i="11"/>
  <c r="M8" i="11"/>
  <c r="L53" i="13"/>
  <c r="M53" i="13"/>
  <c r="L49" i="13"/>
  <c r="M49" i="13"/>
  <c r="L45" i="13"/>
  <c r="M45" i="13"/>
  <c r="L41" i="13"/>
  <c r="M41" i="13"/>
  <c r="L37" i="13"/>
  <c r="M37" i="13"/>
  <c r="L33" i="13"/>
  <c r="M33" i="13"/>
  <c r="L29" i="13"/>
  <c r="M29" i="13"/>
  <c r="L25" i="13"/>
  <c r="M25" i="13"/>
  <c r="L21" i="13"/>
  <c r="M21" i="13"/>
  <c r="L17" i="13"/>
  <c r="M17" i="13"/>
  <c r="L12" i="13"/>
  <c r="M12" i="13"/>
  <c r="L8" i="13"/>
  <c r="M8" i="13"/>
  <c r="L5" i="13"/>
  <c r="M5" i="13"/>
  <c r="L52" i="11"/>
  <c r="M52" i="11"/>
  <c r="AA61" i="8"/>
  <c r="L50" i="10"/>
  <c r="M50" i="10"/>
  <c r="L46" i="10"/>
  <c r="M46" i="10"/>
  <c r="L42" i="10"/>
  <c r="M42" i="10"/>
  <c r="L38" i="10"/>
  <c r="M38" i="10"/>
  <c r="L34" i="10"/>
  <c r="M34" i="10"/>
  <c r="L30" i="10"/>
  <c r="M30" i="10"/>
  <c r="L26" i="10"/>
  <c r="M26" i="10"/>
  <c r="L20" i="10"/>
  <c r="M20" i="10"/>
  <c r="L15" i="10"/>
  <c r="M15" i="10"/>
  <c r="L11" i="10"/>
  <c r="M11" i="10"/>
  <c r="L7" i="10"/>
  <c r="M7" i="10"/>
  <c r="L3" i="10"/>
  <c r="M3" i="10"/>
  <c r="L48" i="12"/>
  <c r="M48" i="12"/>
  <c r="L46" i="12"/>
  <c r="M46" i="12"/>
  <c r="L42" i="12"/>
  <c r="M42" i="12"/>
  <c r="L38" i="12"/>
  <c r="M38" i="12"/>
  <c r="L34" i="12"/>
  <c r="M34" i="12"/>
  <c r="L30" i="12"/>
  <c r="M30" i="12"/>
  <c r="L26" i="12"/>
  <c r="M26" i="12"/>
  <c r="L20" i="12"/>
  <c r="M20" i="12"/>
  <c r="L16" i="12"/>
  <c r="M16" i="12"/>
  <c r="L13" i="12"/>
  <c r="M13" i="12"/>
  <c r="L9" i="12"/>
  <c r="M9" i="12"/>
  <c r="L6" i="12"/>
  <c r="M6" i="12"/>
  <c r="L3" i="12"/>
  <c r="M3" i="12"/>
  <c r="AB60" i="8"/>
  <c r="AB57" i="8"/>
  <c r="AB56" i="8"/>
  <c r="AB58" i="8"/>
  <c r="AB59" i="8"/>
  <c r="AB61" i="8"/>
  <c r="AA62" i="8"/>
  <c r="W29" i="8"/>
  <c r="W30" i="8"/>
  <c r="W33" i="8"/>
  <c r="W46" i="8"/>
  <c r="W34" i="8"/>
  <c r="W38" i="8"/>
  <c r="W51" i="8"/>
  <c r="W42" i="8"/>
  <c r="W14" i="8"/>
  <c r="W48" i="8"/>
  <c r="W2" i="8"/>
  <c r="W3" i="8"/>
  <c r="W5" i="8"/>
  <c r="W6" i="8"/>
  <c r="W8" i="8"/>
  <c r="W9" i="8"/>
  <c r="W10" i="8"/>
  <c r="W12" i="8"/>
  <c r="W17" i="8"/>
  <c r="W13" i="8"/>
  <c r="W15" i="8"/>
  <c r="W18" i="8"/>
  <c r="W19" i="8"/>
  <c r="W21" i="8"/>
  <c r="W22" i="8"/>
  <c r="W25" i="8"/>
  <c r="W26" i="8"/>
  <c r="AC61" i="8"/>
  <c r="AF61" i="8"/>
  <c r="AD61" i="8"/>
  <c r="W27" i="8"/>
  <c r="W37" i="8"/>
  <c r="W41" i="8"/>
  <c r="W45" i="8"/>
  <c r="W23" i="8"/>
  <c r="W31" i="8"/>
  <c r="W47" i="8"/>
  <c r="W52" i="8"/>
  <c r="AE61" i="8"/>
  <c r="AG61" i="8"/>
  <c r="W50" i="8"/>
  <c r="W43" i="8"/>
  <c r="AD62" i="8"/>
  <c r="AF62" i="8"/>
  <c r="AE62" i="8"/>
  <c r="AA63" i="8"/>
  <c r="AC62" i="8"/>
  <c r="AG62" i="8"/>
  <c r="AB62" i="8"/>
  <c r="W24" i="8"/>
  <c r="W28" i="8"/>
  <c r="W32" i="8"/>
  <c r="W36" i="8"/>
  <c r="W40" i="8"/>
  <c r="W44" i="8"/>
  <c r="W39" i="8"/>
  <c r="W7" i="8"/>
  <c r="W11" i="8"/>
  <c r="AC57" i="8"/>
  <c r="AC58" i="8"/>
  <c r="AC56" i="8"/>
  <c r="AC59" i="8"/>
  <c r="AC60" i="8"/>
  <c r="AG57" i="8"/>
  <c r="AG58" i="8"/>
  <c r="AG56" i="8"/>
  <c r="AG59" i="8"/>
  <c r="AG60" i="8"/>
  <c r="AD58" i="8"/>
  <c r="AD56" i="8"/>
  <c r="AD57" i="8"/>
  <c r="AD59" i="8"/>
  <c r="AD60" i="8"/>
  <c r="AF58" i="8"/>
  <c r="AF57" i="8"/>
  <c r="AF56" i="8"/>
  <c r="AF59" i="8"/>
  <c r="AF60" i="8"/>
  <c r="W35" i="8"/>
  <c r="AE57" i="8"/>
  <c r="AE58" i="8"/>
  <c r="AE56" i="8"/>
  <c r="AE59" i="8"/>
  <c r="AE60" i="8"/>
  <c r="W4" i="8"/>
  <c r="W16" i="8"/>
  <c r="W20" i="8"/>
  <c r="W49" i="8"/>
  <c r="AC63" i="8"/>
  <c r="AE63" i="8"/>
  <c r="AG63" i="8"/>
  <c r="AD63" i="8"/>
  <c r="AB63" i="8"/>
  <c r="AF63" i="8"/>
  <c r="AA64" i="8"/>
  <c r="Z63" i="8"/>
  <c r="AH63" i="8"/>
  <c r="Z62" i="8"/>
  <c r="AH62" i="8"/>
  <c r="Z61" i="8"/>
  <c r="AH61" i="8"/>
  <c r="Z60" i="8"/>
  <c r="AH60" i="8"/>
  <c r="Z59" i="8"/>
  <c r="AH59" i="8"/>
  <c r="Z56" i="8"/>
  <c r="AH56" i="8"/>
  <c r="Z58" i="8"/>
  <c r="AH58" i="8"/>
  <c r="Z57" i="8"/>
  <c r="AH57" i="8"/>
  <c r="Z64" i="8"/>
  <c r="AH64" i="8"/>
  <c r="AD64" i="8"/>
  <c r="AF64" i="8"/>
  <c r="AC64" i="8"/>
  <c r="AG64" i="8"/>
  <c r="AA65" i="8"/>
  <c r="AE64" i="8"/>
  <c r="AB64" i="8"/>
  <c r="Z65" i="8"/>
  <c r="AH65" i="8"/>
  <c r="AC65" i="8"/>
  <c r="AE65" i="8"/>
  <c r="AG65" i="8"/>
  <c r="AF65" i="8"/>
  <c r="AB65" i="8"/>
  <c r="AD65" i="8"/>
  <c r="AA66" i="8"/>
  <c r="Z66" i="8"/>
  <c r="AH66" i="8"/>
  <c r="AD66" i="8"/>
  <c r="AF66" i="8"/>
  <c r="AE66" i="8"/>
  <c r="AA67" i="8"/>
  <c r="AC66" i="8"/>
  <c r="AG66" i="8"/>
  <c r="AB66" i="8"/>
  <c r="Z67" i="8"/>
  <c r="AH67" i="8"/>
  <c r="AC67" i="8"/>
  <c r="AE67" i="8"/>
  <c r="AG67" i="8"/>
  <c r="AD67" i="8"/>
  <c r="AB67" i="8"/>
  <c r="AF67" i="8"/>
  <c r="AA68" i="8"/>
  <c r="Z68" i="8"/>
  <c r="AH68" i="8"/>
  <c r="AD68" i="8"/>
  <c r="AF68" i="8"/>
  <c r="AC68" i="8"/>
  <c r="AG68" i="8"/>
  <c r="AA69" i="8"/>
  <c r="AE68" i="8"/>
  <c r="AB68" i="8"/>
  <c r="Z69" i="8"/>
  <c r="AH69" i="8"/>
  <c r="AC69" i="8"/>
  <c r="AE69" i="8"/>
  <c r="AG69" i="8"/>
  <c r="AF69" i="8"/>
  <c r="AB69" i="8"/>
  <c r="AD69" i="8"/>
  <c r="AA70" i="8"/>
  <c r="Z70" i="8"/>
  <c r="AH70" i="8"/>
  <c r="AD70" i="8"/>
  <c r="AF70" i="8"/>
  <c r="AE70" i="8"/>
  <c r="AA71" i="8"/>
  <c r="AC70" i="8"/>
  <c r="AG70" i="8"/>
  <c r="AB70" i="8"/>
  <c r="Z71" i="8"/>
  <c r="AH71" i="8"/>
  <c r="AC71" i="8"/>
  <c r="AE71" i="8"/>
  <c r="AG71" i="8"/>
  <c r="AD71" i="8"/>
  <c r="AB71" i="8"/>
  <c r="AF71" i="8"/>
  <c r="AA72" i="8"/>
  <c r="Z72" i="8"/>
  <c r="AH72" i="8"/>
  <c r="AD72" i="8"/>
  <c r="AF72" i="8"/>
  <c r="AC72" i="8"/>
  <c r="AG72" i="8"/>
  <c r="AA73" i="8"/>
  <c r="AE72" i="8"/>
  <c r="AB72" i="8"/>
  <c r="Z73" i="8"/>
  <c r="AH73" i="8"/>
  <c r="AC73" i="8"/>
  <c r="AE73" i="8"/>
  <c r="AG73" i="8"/>
  <c r="AF73" i="8"/>
  <c r="AB73" i="8"/>
  <c r="AD73" i="8"/>
  <c r="AA74" i="8"/>
  <c r="Z74" i="8"/>
  <c r="AH74" i="8"/>
  <c r="AD74" i="8"/>
  <c r="AF74" i="8"/>
  <c r="AE74" i="8"/>
  <c r="AA75" i="8"/>
  <c r="AC74" i="8"/>
  <c r="AG74" i="8"/>
  <c r="AB74" i="8"/>
  <c r="Z75" i="8"/>
  <c r="AH75" i="8"/>
  <c r="AC75" i="8"/>
  <c r="AE75" i="8"/>
  <c r="AG75" i="8"/>
  <c r="AD75" i="8"/>
  <c r="AB75" i="8"/>
  <c r="AF75" i="8"/>
  <c r="AA76" i="8"/>
  <c r="Z76" i="8"/>
  <c r="AH76" i="8"/>
  <c r="AD76" i="8"/>
  <c r="AF76" i="8"/>
  <c r="AC76" i="8"/>
  <c r="AG76" i="8"/>
  <c r="AA77" i="8"/>
  <c r="AE76" i="8"/>
  <c r="AB76" i="8"/>
  <c r="Z77" i="8"/>
  <c r="AH77" i="8"/>
  <c r="AC77" i="8"/>
  <c r="AE77" i="8"/>
  <c r="AG77" i="8"/>
  <c r="AF77" i="8"/>
  <c r="AB77" i="8"/>
  <c r="AD77" i="8"/>
  <c r="AA78" i="8"/>
  <c r="Z78" i="8"/>
  <c r="AH78" i="8"/>
  <c r="AD78" i="8"/>
  <c r="AF78" i="8"/>
  <c r="AE78" i="8"/>
  <c r="AA79" i="8"/>
  <c r="AC78" i="8"/>
  <c r="AG78" i="8"/>
  <c r="AB78" i="8"/>
  <c r="Z79" i="8"/>
  <c r="AH79" i="8"/>
  <c r="AC79" i="8"/>
  <c r="AE79" i="8"/>
  <c r="AG79" i="8"/>
  <c r="AD79" i="8"/>
  <c r="AB79" i="8"/>
  <c r="AF79" i="8"/>
  <c r="AA80" i="8"/>
  <c r="Z80" i="8"/>
  <c r="AH80" i="8"/>
  <c r="AD80" i="8"/>
  <c r="AF80" i="8"/>
  <c r="AC80" i="8"/>
  <c r="AG80" i="8"/>
  <c r="AA81" i="8"/>
  <c r="AE80" i="8"/>
  <c r="AB80" i="8"/>
  <c r="Z81" i="8"/>
  <c r="AH81" i="8"/>
  <c r="AC81" i="8"/>
  <c r="AE81" i="8"/>
  <c r="AG81" i="8"/>
  <c r="AF81" i="8"/>
  <c r="AB81" i="8"/>
  <c r="AD81" i="8"/>
  <c r="AA82" i="8"/>
  <c r="Z82" i="8"/>
  <c r="AH82" i="8"/>
  <c r="AD82" i="8"/>
  <c r="AF82" i="8"/>
  <c r="AE82" i="8"/>
  <c r="AA83" i="8"/>
  <c r="AC82" i="8"/>
  <c r="AG82" i="8"/>
  <c r="AB82" i="8"/>
  <c r="Z83" i="8"/>
  <c r="AH83" i="8"/>
  <c r="AC83" i="8"/>
  <c r="AE83" i="8"/>
  <c r="AG83" i="8"/>
  <c r="AD83" i="8"/>
  <c r="AB83" i="8"/>
  <c r="AF83" i="8"/>
  <c r="AA84" i="8"/>
  <c r="Z84" i="8"/>
  <c r="AH84" i="8"/>
  <c r="AD84" i="8"/>
  <c r="AF84" i="8"/>
  <c r="AC84" i="8"/>
  <c r="AG84" i="8"/>
  <c r="AA85" i="8"/>
  <c r="AE84" i="8"/>
  <c r="AB84" i="8"/>
  <c r="Z85" i="8"/>
  <c r="AH85" i="8"/>
  <c r="AC85" i="8"/>
  <c r="AE85" i="8"/>
  <c r="AG85" i="8"/>
  <c r="AF85" i="8"/>
  <c r="AB85" i="8"/>
  <c r="AD85" i="8"/>
  <c r="AA86" i="8"/>
  <c r="Z86" i="8"/>
  <c r="AH86" i="8"/>
  <c r="AD86" i="8"/>
  <c r="AF86" i="8"/>
  <c r="AE86" i="8"/>
  <c r="AA87" i="8"/>
  <c r="AC86" i="8"/>
  <c r="AG86" i="8"/>
  <c r="AB86" i="8"/>
  <c r="Z87" i="8"/>
  <c r="AH87" i="8"/>
  <c r="AC87" i="8"/>
  <c r="AE87" i="8"/>
  <c r="AG87" i="8"/>
  <c r="AD87" i="8"/>
  <c r="AB87" i="8"/>
  <c r="AF87" i="8"/>
  <c r="AA88" i="8"/>
  <c r="Z88" i="8"/>
  <c r="AH88" i="8"/>
  <c r="AD88" i="8"/>
  <c r="AF88" i="8"/>
  <c r="AC88" i="8"/>
  <c r="AG88" i="8"/>
  <c r="AA89" i="8"/>
  <c r="AE88" i="8"/>
  <c r="AB88" i="8"/>
  <c r="Z89" i="8"/>
  <c r="AH89" i="8"/>
  <c r="AC89" i="8"/>
  <c r="AE89" i="8"/>
  <c r="AG89" i="8"/>
  <c r="AF89" i="8"/>
  <c r="AB89" i="8"/>
  <c r="AD89" i="8"/>
  <c r="AA90" i="8"/>
  <c r="Z90" i="8"/>
  <c r="AH90" i="8"/>
  <c r="AD90" i="8"/>
  <c r="AF90" i="8"/>
  <c r="AE90" i="8"/>
  <c r="AA91" i="8"/>
  <c r="AC90" i="8"/>
  <c r="AG90" i="8"/>
  <c r="AB90" i="8"/>
  <c r="Z91" i="8"/>
  <c r="AH91" i="8"/>
  <c r="AC91" i="8"/>
  <c r="AE91" i="8"/>
  <c r="AG91" i="8"/>
  <c r="AD91" i="8"/>
  <c r="AB91" i="8"/>
  <c r="AF91" i="8"/>
  <c r="AA92" i="8"/>
  <c r="Z92" i="8"/>
  <c r="AH92" i="8"/>
  <c r="AD92" i="8"/>
  <c r="AF92" i="8"/>
  <c r="AC92" i="8"/>
  <c r="AG92" i="8"/>
  <c r="AA93" i="8"/>
  <c r="AE92" i="8"/>
  <c r="AB92" i="8"/>
  <c r="Z93" i="8"/>
  <c r="AH93" i="8"/>
  <c r="AC93" i="8"/>
  <c r="AE93" i="8"/>
  <c r="AG93" i="8"/>
  <c r="AF93" i="8"/>
  <c r="AB93" i="8"/>
  <c r="AD93" i="8"/>
  <c r="AA94" i="8"/>
  <c r="Z94" i="8"/>
  <c r="AH94" i="8"/>
  <c r="AD94" i="8"/>
  <c r="AF94" i="8"/>
  <c r="AE94" i="8"/>
  <c r="AA95" i="8"/>
  <c r="AC94" i="8"/>
  <c r="AG94" i="8"/>
  <c r="AB94" i="8"/>
  <c r="Z95" i="8"/>
  <c r="AH95" i="8"/>
  <c r="AC95" i="8"/>
  <c r="AE95" i="8"/>
  <c r="AG95" i="8"/>
  <c r="AD95" i="8"/>
  <c r="AB95" i="8"/>
  <c r="AF95" i="8"/>
  <c r="AA96" i="8"/>
  <c r="Z96" i="8"/>
  <c r="AH96" i="8"/>
  <c r="AD96" i="8"/>
  <c r="AF96" i="8"/>
  <c r="AC96" i="8"/>
  <c r="AG96" i="8"/>
  <c r="AA97" i="8"/>
  <c r="AE96" i="8"/>
  <c r="AB96" i="8"/>
  <c r="Z97" i="8"/>
  <c r="AH97" i="8"/>
  <c r="AC97" i="8"/>
  <c r="AE97" i="8"/>
  <c r="AG97" i="8"/>
  <c r="AF97" i="8"/>
  <c r="AB97" i="8"/>
  <c r="AD97" i="8"/>
  <c r="AA98" i="8"/>
  <c r="Z98" i="8"/>
  <c r="AH98" i="8"/>
  <c r="AD98" i="8"/>
  <c r="AF98" i="8"/>
  <c r="AE98" i="8"/>
  <c r="AA99" i="8"/>
  <c r="AC98" i="8"/>
  <c r="AG98" i="8"/>
  <c r="AB98" i="8"/>
  <c r="Z99" i="8"/>
  <c r="AH99" i="8"/>
  <c r="AC99" i="8"/>
  <c r="AE99" i="8"/>
  <c r="AG99" i="8"/>
  <c r="AD99" i="8"/>
  <c r="AB99" i="8"/>
  <c r="AF99" i="8"/>
  <c r="AA100" i="8"/>
  <c r="Z100" i="8"/>
  <c r="AH100" i="8"/>
  <c r="AD100" i="8"/>
  <c r="AF100" i="8"/>
  <c r="AC100" i="8"/>
  <c r="AG100" i="8"/>
  <c r="AA101" i="8"/>
  <c r="AE100" i="8"/>
  <c r="AB100" i="8"/>
  <c r="Z101" i="8"/>
  <c r="AH101" i="8"/>
  <c r="AC101" i="8"/>
  <c r="AE101" i="8"/>
  <c r="AG101" i="8"/>
  <c r="AF101" i="8"/>
  <c r="AB101" i="8"/>
  <c r="AD101" i="8"/>
  <c r="AA102" i="8"/>
  <c r="Z102" i="8"/>
  <c r="AH102" i="8"/>
  <c r="AD102" i="8"/>
  <c r="AF102" i="8"/>
  <c r="AA103" i="8"/>
  <c r="AC102" i="8"/>
  <c r="AE102" i="8"/>
  <c r="AG102" i="8"/>
  <c r="AB102" i="8"/>
  <c r="Z103" i="8"/>
  <c r="AH103" i="8"/>
  <c r="AC103" i="8"/>
  <c r="AE103" i="8"/>
  <c r="AG103" i="8"/>
  <c r="AB103" i="8"/>
  <c r="AD103" i="8"/>
  <c r="AF103" i="8"/>
  <c r="AA104" i="8"/>
  <c r="Z104" i="8"/>
  <c r="AH104" i="8"/>
  <c r="AD104" i="8"/>
  <c r="AF104" i="8"/>
  <c r="AA105" i="8"/>
  <c r="AC104" i="8"/>
  <c r="AE104" i="8"/>
  <c r="AG104" i="8"/>
  <c r="AB104" i="8"/>
  <c r="Z105" i="8"/>
  <c r="AH105" i="8"/>
  <c r="AC105" i="8"/>
  <c r="AE105" i="8"/>
  <c r="AG105" i="8"/>
  <c r="AB105" i="8"/>
  <c r="AD105" i="8"/>
  <c r="AF105" i="8"/>
</calcChain>
</file>

<file path=xl/sharedStrings.xml><?xml version="1.0" encoding="utf-8"?>
<sst xmlns="http://schemas.openxmlformats.org/spreadsheetml/2006/main" count="3855" uniqueCount="582">
  <si>
    <t>Network Speed (congested), Network Speed (freeflow), Population: TTI complete data 1982-2007 (calculated from 1990 values only)</t>
  </si>
  <si>
    <t>Employment: Census 1990, sum of responses to question P050. Travel Time to Work: Workers 16 years and over (American FactFinder)</t>
  </si>
  <si>
    <t>Inland Empire**</t>
    <phoneticPr fontId="21" type="noConversion"/>
  </si>
  <si>
    <t>San Jose**</t>
    <phoneticPr fontId="21" type="noConversion"/>
  </si>
  <si>
    <t>** Uses 1995 Employment</t>
    <phoneticPr fontId="21" type="noConversion"/>
  </si>
  <si>
    <t>Network Speed (congested), Network Speed (freeflow), Population: TTI complete data 1982-2007 (calculated from 2001 values only), FHWA data on highway usage in 2001</t>
  </si>
  <si>
    <t>Austin*</t>
  </si>
  <si>
    <t>Grand Rapids*</t>
  </si>
  <si>
    <t>Honolulu*</t>
  </si>
  <si>
    <t>Jacksonville*</t>
  </si>
  <si>
    <t>Las Vegas*</t>
  </si>
  <si>
    <t>Louisville*</t>
  </si>
  <si>
    <t>Memphis*</t>
  </si>
  <si>
    <t>Nashville*</t>
  </si>
  <si>
    <t>Oklahoma City*</t>
  </si>
  <si>
    <t>Raleigh*</t>
  </si>
  <si>
    <t>Area</t>
  </si>
  <si>
    <t>S_a</t>
  </si>
  <si>
    <t>S_n</t>
  </si>
  <si>
    <t>R_a</t>
  </si>
  <si>
    <t>Airline Radius [km]</t>
  </si>
  <si>
    <t>Average Airline Speed [km/h]</t>
  </si>
  <si>
    <t>A_30</t>
  </si>
  <si>
    <r>
      <t>Area covered in 30 mins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</si>
  <si>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D_UA</t>
  </si>
  <si>
    <r>
      <t>Urbanized area density [people/km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</si>
  <si>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Atlanta</t>
  </si>
  <si>
    <t>Austin</t>
  </si>
  <si>
    <t>Baltimore</t>
  </si>
  <si>
    <t>Boston</t>
  </si>
  <si>
    <t>Buffalo</t>
  </si>
  <si>
    <t>Charlotte</t>
  </si>
  <si>
    <t>Chicago</t>
  </si>
  <si>
    <t>Cincinnati</t>
  </si>
  <si>
    <t>Cleveland</t>
  </si>
  <si>
    <t>Columbus</t>
  </si>
  <si>
    <t>Denver</t>
  </si>
  <si>
    <t>Detroit</t>
  </si>
  <si>
    <t>Hartford</t>
  </si>
  <si>
    <t>Houston</t>
  </si>
  <si>
    <t>Indianapolis</t>
  </si>
  <si>
    <t>Jacksonville</t>
  </si>
  <si>
    <t>Louisville</t>
  </si>
  <si>
    <t>Memphis</t>
  </si>
  <si>
    <t>Milwaukee</t>
  </si>
  <si>
    <t>Minneapolis-St.Paul</t>
  </si>
  <si>
    <t>Nashville</t>
  </si>
  <si>
    <t>New Orleans</t>
  </si>
  <si>
    <t>Orlando</t>
  </si>
  <si>
    <t>Phoenix</t>
  </si>
  <si>
    <t>Pittsburgh</t>
  </si>
  <si>
    <t>Portland</t>
  </si>
  <si>
    <t>Providence</t>
  </si>
  <si>
    <t>Raleigh</t>
  </si>
  <si>
    <t>Sacramento</t>
  </si>
  <si>
    <t>Salt Lake City</t>
  </si>
  <si>
    <t>Seattle</t>
  </si>
  <si>
    <t>St. Louis</t>
  </si>
  <si>
    <t>Washington</t>
  </si>
  <si>
    <t>Network Speed (congested) [km/h]</t>
  </si>
  <si>
    <t>Network Speed (freeflow) [km/h]</t>
  </si>
  <si>
    <t>Dallas-Fort Worth</t>
  </si>
  <si>
    <t>Las Vegas</t>
  </si>
  <si>
    <t>Los Angeles</t>
  </si>
  <si>
    <t>New York</t>
  </si>
  <si>
    <t>Oklahoma City</t>
  </si>
  <si>
    <t>Philadelphia</t>
  </si>
  <si>
    <t>San Antonio</t>
  </si>
  <si>
    <t>San Diego</t>
  </si>
  <si>
    <t>San Francisco</t>
  </si>
  <si>
    <t>Tampa Bay</t>
  </si>
  <si>
    <r>
      <t>San Jose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</si>
  <si>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Inland Empire</t>
    </r>
    <r>
      <rPr>
        <vertAlign val="superscript"/>
        <sz val="11"/>
        <color theme="1"/>
        <rFont val="Calibri"/>
        <family val="2"/>
        <scheme val="minor"/>
      </rPr>
      <t>1</t>
    </r>
  </si>
  <si>
    <t>Notes:</t>
  </si>
  <si>
    <t>Kansas City</t>
  </si>
  <si>
    <t>South Florida</t>
  </si>
  <si>
    <t>Accessibility</t>
  </si>
  <si>
    <r>
      <t>C</t>
    </r>
    <r>
      <rPr>
        <vertAlign val="superscript"/>
        <sz val="11"/>
        <color theme="1"/>
        <rFont val="Calibri"/>
        <family val="2"/>
        <scheme val="minor"/>
      </rPr>
      <t>2</t>
    </r>
  </si>
  <si>
    <t>Population</t>
  </si>
  <si>
    <t>Grand Rapids</t>
  </si>
  <si>
    <t>Honolulu</t>
  </si>
  <si>
    <t>Rochester</t>
  </si>
  <si>
    <r>
      <t>Area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</si>
  <si>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Area [km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]</t>
    </r>
  </si>
  <si>
    <t>Inland Empire</t>
  </si>
  <si>
    <t>San Jose</t>
  </si>
  <si>
    <r>
      <t>C</t>
    </r>
    <r>
      <rPr>
        <vertAlign val="superscript"/>
        <sz val="11"/>
        <color theme="1"/>
        <rFont val="Calibri"/>
        <family val="2"/>
        <scheme val="minor"/>
      </rPr>
      <t>1</t>
    </r>
  </si>
  <si>
    <t>Employment</t>
  </si>
  <si>
    <t>Employment Accessibility</t>
  </si>
  <si>
    <t>Employment Density</t>
  </si>
  <si>
    <t>Circuity [ ]</t>
  </si>
  <si>
    <t>.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</si>
  <si>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Circuity is from a sample of OD points with network distance matched to average commute distance</t>
    </r>
  </si>
  <si>
    <r>
      <t>Urbanized Area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</si>
  <si>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Data Sources:</t>
  </si>
  <si>
    <t>Circuity: Networks are Census Tiger 2008 county-level shapefiles merged together, commute distances are from 1990 NPTS</t>
  </si>
  <si>
    <t>* Circuity is based on either 1995 or 2001 commute distance; 1990 commute distance not available</t>
  </si>
  <si>
    <t>Providence*</t>
  </si>
  <si>
    <t>* Circuitry is from 2001 commute distance; 1995 commute distance unavailable</t>
  </si>
  <si>
    <r>
      <t>Honolulu*</t>
    </r>
    <r>
      <rPr>
        <vertAlign val="superscript"/>
        <sz val="11"/>
        <color theme="1"/>
        <rFont val="Calibri"/>
        <family val="2"/>
        <scheme val="minor"/>
      </rPr>
      <t>2</t>
    </r>
  </si>
  <si>
    <r>
      <t>Grand Rapids*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</si>
  <si>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Population from 1990 Census</t>
    </r>
  </si>
  <si>
    <t>Min EA, E</t>
    <phoneticPr fontId="21" type="noConversion"/>
  </si>
  <si>
    <t>MinPA,P</t>
    <phoneticPr fontId="21" type="noConversion"/>
  </si>
  <si>
    <t>Urbanized Area: Census 1990 Population and Housing Unit Counts (census.gov)</t>
  </si>
  <si>
    <t>Network Speed (congested), Network Speed (freeflow), Population: TTI complete data 1982-2007 (calculated from 1995 values only)</t>
  </si>
  <si>
    <t>Circuity: Networks are Census Tiger 2008 county-level shapefiles merged together, commute distances are from 1995 NPTS</t>
  </si>
  <si>
    <t>Employment: 1998 MSA Business Patterns (NAICS - from Censtats)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</si>
  <si>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Los Angeles-Inland Empire and San Francisco-San Jose were combined for the circuity analysis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</si>
  <si>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Circuity is from a sample of OD points with network distance matched to average commute distance</t>
    </r>
  </si>
  <si>
    <t>Circuity: Networks are Census Tiger 2008 county-level shapefiles merged together, commute distances are from 2001 NHTS</t>
  </si>
  <si>
    <t>Urbanized Area: Census 2000 Urbanized Area (census.gov)</t>
  </si>
  <si>
    <t>Employment: 2001 MSA Business Patterns (NAICS - from Censtats)</t>
  </si>
  <si>
    <r>
      <t>San Francisco</t>
    </r>
    <r>
      <rPr>
        <vertAlign val="superscript"/>
        <sz val="11"/>
        <color theme="1"/>
        <rFont val="Calibri"/>
        <family val="2"/>
        <scheme val="minor"/>
      </rPr>
      <t>1</t>
    </r>
  </si>
  <si>
    <r>
      <t>C</t>
    </r>
    <r>
      <rPr>
        <vertAlign val="superscript"/>
        <sz val="11"/>
        <color theme="1"/>
        <rFont val="Calibri"/>
        <family val="2"/>
        <scheme val="minor"/>
      </rPr>
      <t>3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</si>
  <si>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Los Angeles-Inland Empire and Baltimore-Washington used the same average commute distance, as they were grouped together in the NHTS data</t>
    </r>
  </si>
  <si>
    <r>
      <t>Washington</t>
    </r>
    <r>
      <rPr>
        <vertAlign val="superscript"/>
        <sz val="11"/>
        <color theme="1"/>
        <rFont val="Calibri"/>
        <family val="2"/>
        <scheme val="minor"/>
      </rPr>
      <t>2</t>
    </r>
  </si>
  <si>
    <r>
      <t>Baltimore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</si>
  <si>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Inland Empire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</si>
  <si>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Los Angeles</t>
    </r>
    <r>
      <rPr>
        <vertAlign val="superscript"/>
        <sz val="11"/>
        <color theme="1"/>
        <rFont val="Calibri"/>
        <family val="2"/>
        <scheme val="minor"/>
      </rPr>
      <t>2</t>
    </r>
  </si>
  <si>
    <t>S_f</t>
  </si>
  <si>
    <t>Pop</t>
  </si>
  <si>
    <t>MinA_P</t>
  </si>
  <si>
    <t>D_Emp</t>
  </si>
  <si>
    <t>Emp</t>
  </si>
  <si>
    <t>MinA_E</t>
  </si>
  <si>
    <t>A_E</t>
  </si>
  <si>
    <t>A_P</t>
  </si>
  <si>
    <t>Rank</t>
  </si>
  <si>
    <r>
      <t>Area covered in $A$1$ hrs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</si>
  <si>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A_X</t>
  </si>
  <si>
    <t>MinA_E(10)</t>
  </si>
  <si>
    <t>MinA_E(20)</t>
  </si>
  <si>
    <t>MinA_E(30)</t>
  </si>
  <si>
    <t>MinA_E(40)</t>
  </si>
  <si>
    <t>MinA_E(50)</t>
  </si>
  <si>
    <t>MinA_E(60)</t>
  </si>
  <si>
    <t>MinA_E(20-10)</t>
  </si>
  <si>
    <t>MinA_E(30-20)</t>
  </si>
  <si>
    <t>MinA_E(40-30)</t>
  </si>
  <si>
    <t>MinA_E(50-40)</t>
  </si>
  <si>
    <t>MinA_E(60-50)</t>
  </si>
  <si>
    <t>SUM</t>
  </si>
  <si>
    <t>Beta</t>
  </si>
  <si>
    <t>Weighted Employment Accessibility</t>
  </si>
  <si>
    <t>Source of Beta: Levinson, David and Ajay Kumar (1995) A Multi-modal Trip Distribution Model. Transportation Research Record #1466: 124-131.</t>
  </si>
  <si>
    <t>TIME COHORT</t>
  </si>
  <si>
    <t>Weighted Average</t>
  </si>
  <si>
    <t>MinA_E(70)</t>
  </si>
  <si>
    <t>MinA_E(80)</t>
  </si>
  <si>
    <t>MinA_E(90)</t>
  </si>
  <si>
    <t>MinA_E(70-60)</t>
  </si>
  <si>
    <t>MinA_E(80-70)</t>
  </si>
  <si>
    <t>MinA_E(90-80)</t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</si>
  <si>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Circuitry is from a sample of OD points </t>
    </r>
    <r>
      <rPr>
        <strike/>
        <sz val="11"/>
        <color theme="1"/>
        <rFont val="Calibri"/>
        <family val="2"/>
        <scheme val="minor"/>
      </rPr>
      <t xml:space="preserve">with network distance matched to average commute distance </t>
    </r>
    <r>
      <rPr>
        <u/>
        <sz val="11"/>
        <color theme="1"/>
        <rFont val="Calibri"/>
        <family val="2"/>
        <scheme val="minor"/>
      </rPr>
      <t>with circuity weighted by matching network distance to each work commute distance interval</t>
    </r>
  </si>
  <si>
    <r>
      <t xml:space="preserve">Circuity: Networks are Census Tiger </t>
    </r>
    <r>
      <rPr>
        <strike/>
        <sz val="11"/>
        <color theme="1"/>
        <rFont val="Calibri"/>
        <family val="2"/>
        <scheme val="minor"/>
      </rPr>
      <t>2008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2010</t>
    </r>
    <r>
      <rPr>
        <sz val="11"/>
        <color theme="1"/>
        <rFont val="Calibri"/>
        <family val="2"/>
        <scheme val="minor"/>
      </rPr>
      <t xml:space="preserve"> county-level shapefiles merged together, commute distances are from 2009 NHTS</t>
    </r>
  </si>
  <si>
    <r>
      <t xml:space="preserve">Urbanized Area: Census </t>
    </r>
    <r>
      <rPr>
        <strike/>
        <sz val="11"/>
        <color theme="1"/>
        <rFont val="Calibri"/>
        <family val="2"/>
        <scheme val="minor"/>
      </rPr>
      <t>2000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2010</t>
    </r>
    <r>
      <rPr>
        <sz val="11"/>
        <color theme="1"/>
        <rFont val="Calibri"/>
        <family val="2"/>
        <scheme val="minor"/>
      </rPr>
      <t xml:space="preserve"> Urbanized Area (census.gov)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</si>
  <si>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San Francisco-San Jose </t>
    </r>
    <r>
      <rPr>
        <strike/>
        <sz val="11"/>
        <color theme="1"/>
        <rFont val="Calibri"/>
        <family val="2"/>
        <scheme val="minor"/>
      </rPr>
      <t>were combined for the circuity analysis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used the same commute distance for cicuity</t>
    </r>
  </si>
  <si>
    <t>Rochester, NY</t>
  </si>
  <si>
    <t>20 Minute Distance</t>
  </si>
  <si>
    <t>20 Minute Circuity [ ]</t>
  </si>
  <si>
    <t>10 Minute Distance</t>
  </si>
  <si>
    <t>30 Minute Distance</t>
  </si>
  <si>
    <t>40 Minute Distance</t>
  </si>
  <si>
    <t>50 Minute Distance</t>
  </si>
  <si>
    <t>60 Minute Distance</t>
  </si>
  <si>
    <t>70 Minute Distance</t>
  </si>
  <si>
    <t>80 Minute Distance</t>
  </si>
  <si>
    <t>90 Minute Distance</t>
  </si>
  <si>
    <t>Time Threshold Circuities</t>
  </si>
  <si>
    <t>Zeta</t>
  </si>
  <si>
    <t>ln(Time Threshold Circuities)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</si>
  <si>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</si>
  <si>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Mean rsq</t>
  </si>
  <si>
    <t>Y-Intercept</t>
  </si>
  <si>
    <t>ln(C)-ln(t)</t>
  </si>
  <si>
    <t>C-ln(t)</t>
  </si>
  <si>
    <t>ln(C)-t</t>
  </si>
  <si>
    <t>C-t</t>
  </si>
  <si>
    <r>
      <t>Baltimore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</si>
  <si>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Los Angeles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</si>
  <si>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San Francisco</t>
    </r>
    <r>
      <rPr>
        <vertAlign val="superscript"/>
        <sz val="11"/>
        <color rgb="FF000000"/>
        <rFont val="Calibri"/>
        <family val="2"/>
        <scheme val="minor"/>
      </rPr>
      <t>1</t>
    </r>
  </si>
  <si>
    <r>
      <t>San Jose</t>
    </r>
    <r>
      <rPr>
        <vertAlign val="superscript"/>
        <sz val="11"/>
        <color rgb="FF000000"/>
        <rFont val="Calibri"/>
        <family val="2"/>
        <scheme val="minor"/>
      </rPr>
      <t>1</t>
    </r>
  </si>
  <si>
    <r>
      <t>Washington</t>
    </r>
    <r>
      <rPr>
        <vertAlign val="superscript"/>
        <sz val="11"/>
        <color rgb="FF000000"/>
        <rFont val="Calibri"/>
        <family val="2"/>
        <scheme val="minor"/>
      </rPr>
      <t>2</t>
    </r>
  </si>
  <si>
    <t>Arterial Peak</t>
  </si>
  <si>
    <t>Arterial Freeflow</t>
  </si>
  <si>
    <t>Table A8 in http://d2dtl5nnlpfr0r.cloudfront.net/tti.tamu.edu/documents/mobility-report-2012-appx-a.pdf</t>
  </si>
  <si>
    <t>Appendix A</t>
  </si>
  <si>
    <t xml:space="preserve">Methodology for the 2012 Urban Mobility Report </t>
  </si>
  <si>
    <t>MEDIAN</t>
  </si>
  <si>
    <t>WEIGHT</t>
  </si>
  <si>
    <t>PEAK</t>
  </si>
  <si>
    <t>FFS</t>
  </si>
  <si>
    <t>Peak Speed Km/H</t>
  </si>
  <si>
    <t>FFS Km/h</t>
  </si>
  <si>
    <t>Freeway Speed</t>
  </si>
  <si>
    <t>Freeway km/h</t>
  </si>
  <si>
    <t>Arterial Speed</t>
  </si>
  <si>
    <t>Arterial km/h</t>
  </si>
  <si>
    <t>Metro area</t>
    <phoneticPr fontId="2" type="noConversion"/>
  </si>
  <si>
    <t>Miami</t>
    <phoneticPr fontId="2" type="noConversion"/>
  </si>
  <si>
    <t>Freeway Peak MPH</t>
  </si>
  <si>
    <t>Freeway Freeflow MPH</t>
  </si>
  <si>
    <t>Urban Area</t>
  </si>
  <si>
    <t>Peak Period</t>
  </si>
  <si>
    <t>Commuters</t>
  </si>
  <si>
    <t>Freeway</t>
  </si>
  <si>
    <t>Arterial Street</t>
  </si>
  <si>
    <t>Public Transportation</t>
  </si>
  <si>
    <t>Cost Components</t>
  </si>
  <si>
    <t>Congested</t>
  </si>
  <si>
    <t xml:space="preserve">Congested </t>
  </si>
  <si>
    <t>Number of Rush</t>
  </si>
  <si>
    <t>Annual Excess Fuel Consumed</t>
  </si>
  <si>
    <t>Annual Hours of Delay</t>
  </si>
  <si>
    <t>Travel Time Index</t>
  </si>
  <si>
    <t>Commuter Stress Index</t>
  </si>
  <si>
    <t>Freeway Planning Time Index</t>
  </si>
  <si>
    <t>Excess CO2 Due to Congestion</t>
  </si>
  <si>
    <t>Truck</t>
  </si>
  <si>
    <t>Annual Congestion Cost</t>
  </si>
  <si>
    <t>Annual Effects of Operations Treatments</t>
  </si>
  <si>
    <t>Condition if Public Transportation Service were Discontinued</t>
  </si>
  <si>
    <t xml:space="preserve">Roadway </t>
  </si>
  <si>
    <t>Group</t>
  </si>
  <si>
    <t>Year</t>
  </si>
  <si>
    <t>(000)</t>
  </si>
  <si>
    <t>Travelers</t>
  </si>
  <si>
    <t>Daily Vehicle-</t>
  </si>
  <si>
    <t>Lane-miles</t>
  </si>
  <si>
    <t>Annual</t>
  </si>
  <si>
    <t>Annual Unlinked</t>
  </si>
  <si>
    <t>Value of Time</t>
  </si>
  <si>
    <t>Commercial</t>
  </si>
  <si>
    <t>Average State</t>
  </si>
  <si>
    <t>Travel</t>
  </si>
  <si>
    <t>System</t>
  </si>
  <si>
    <t xml:space="preserve">Hours (time when </t>
  </si>
  <si>
    <t>Total Gallons</t>
  </si>
  <si>
    <t xml:space="preserve">Gallons per </t>
  </si>
  <si>
    <t>Total Delay</t>
  </si>
  <si>
    <t>per Auto</t>
  </si>
  <si>
    <t>95th Percentile</t>
  </si>
  <si>
    <t>80th Percentile</t>
  </si>
  <si>
    <t>Congested CO2</t>
  </si>
  <si>
    <t xml:space="preserve">CO2 per Peak </t>
  </si>
  <si>
    <t>Congestion</t>
  </si>
  <si>
    <t>Commodity</t>
  </si>
  <si>
    <t>Total Dollars</t>
  </si>
  <si>
    <t>Delay Reduction</t>
  </si>
  <si>
    <t>Congestion Cost</t>
  </si>
  <si>
    <t>Annual Delay</t>
  </si>
  <si>
    <t>Annual Congestion</t>
  </si>
  <si>
    <t>Miles of Travel</t>
  </si>
  <si>
    <t>Passenger-miles</t>
  </si>
  <si>
    <t>Passenger Trips</t>
  </si>
  <si>
    <t>($/hour)</t>
  </si>
  <si>
    <t>Gasoline Cost</t>
  </si>
  <si>
    <t>Diesel Cost</t>
  </si>
  <si>
    <t>(% of Peak VMT)</t>
  </si>
  <si>
    <t>(% of lane-miles)</t>
  </si>
  <si>
    <t>system may be</t>
  </si>
  <si>
    <t>Auto Commuter</t>
  </si>
  <si>
    <t>Commuter</t>
  </si>
  <si>
    <t>Value</t>
  </si>
  <si>
    <t>Pounds (million)</t>
  </si>
  <si>
    <t>Cost ($mil)</t>
  </si>
  <si>
    <t>Value ($mil)</t>
  </si>
  <si>
    <t>(million)</t>
  </si>
  <si>
    <t>Commuter ($)</t>
  </si>
  <si>
    <t>(1000 hours)</t>
  </si>
  <si>
    <t>per Auto Commuter</t>
  </si>
  <si>
    <t>Savings ($million)</t>
  </si>
  <si>
    <t>Increase</t>
  </si>
  <si>
    <t>Increase per Auto</t>
  </si>
  <si>
    <t>Cost Increase</t>
  </si>
  <si>
    <t>Index</t>
  </si>
  <si>
    <t>($/gallon)</t>
  </si>
  <si>
    <t>congested)</t>
  </si>
  <si>
    <t>(pounds)</t>
  </si>
  <si>
    <t>(hours)</t>
  </si>
  <si>
    <t>Commuter (hours)</t>
  </si>
  <si>
    <t>($million)</t>
  </si>
  <si>
    <t>All 498 Area Average</t>
  </si>
  <si>
    <t>498</t>
  </si>
  <si>
    <t>2011</t>
  </si>
  <si>
    <t>101 Area Average</t>
  </si>
  <si>
    <t>101</t>
  </si>
  <si>
    <t>Very Large Area Average</t>
  </si>
  <si>
    <t>Vlg</t>
  </si>
  <si>
    <t>Large Area Average</t>
  </si>
  <si>
    <t>Lrg</t>
  </si>
  <si>
    <t>Medium Area Average</t>
  </si>
  <si>
    <t>Med</t>
  </si>
  <si>
    <t>Small Area Average</t>
  </si>
  <si>
    <t>Sml</t>
  </si>
  <si>
    <t>Akron OH</t>
  </si>
  <si>
    <t>Albany NY</t>
  </si>
  <si>
    <t>Albuquerque NM</t>
  </si>
  <si>
    <t>Allentown-Bethlehem PA-NJ</t>
  </si>
  <si>
    <t>Anchorage AK</t>
  </si>
  <si>
    <t>Atlanta GA</t>
  </si>
  <si>
    <t>Austin TX</t>
  </si>
  <si>
    <t>Bakersfield CA</t>
  </si>
  <si>
    <t>Baltimore MD</t>
  </si>
  <si>
    <t>Baton Rouge LA</t>
  </si>
  <si>
    <t>Beaumont TX</t>
  </si>
  <si>
    <t>Birmingham AL</t>
  </si>
  <si>
    <t>Boise ID</t>
  </si>
  <si>
    <t>Boston MA-NH-RI</t>
  </si>
  <si>
    <t>Boulder CO</t>
  </si>
  <si>
    <t>Bridgeport-Stamford CT-NY</t>
  </si>
  <si>
    <t>Brownsville TX</t>
  </si>
  <si>
    <t>Buffalo NY</t>
  </si>
  <si>
    <t>Cape Coral FL</t>
  </si>
  <si>
    <t>Charleston-North Charleston SC</t>
  </si>
  <si>
    <t>Charlotte NC-SC</t>
  </si>
  <si>
    <t>Chicago IL-IN</t>
  </si>
  <si>
    <t>Cincinnati OH-KY-IN</t>
  </si>
  <si>
    <t>Cleveland OH</t>
  </si>
  <si>
    <t>Colorado Springs CO</t>
  </si>
  <si>
    <t>Columbia SC</t>
  </si>
  <si>
    <t>Columbus OH</t>
  </si>
  <si>
    <t>Corpus Christi TX</t>
  </si>
  <si>
    <t>Dallas-Fort Worth-Arlington TX</t>
  </si>
  <si>
    <t>Dayton OH</t>
  </si>
  <si>
    <t>Denver-Aurora CO</t>
  </si>
  <si>
    <t>Detroit MI</t>
  </si>
  <si>
    <t>El Paso TX-NM</t>
  </si>
  <si>
    <t>Eugene OR</t>
  </si>
  <si>
    <t>Fresno CA</t>
  </si>
  <si>
    <t>Grand Rapids MI</t>
  </si>
  <si>
    <t>Greensboro NC</t>
  </si>
  <si>
    <t>Hartford CT</t>
  </si>
  <si>
    <t>Honolulu HI</t>
  </si>
  <si>
    <t>Houston TX</t>
  </si>
  <si>
    <t>Indianapolis IN</t>
  </si>
  <si>
    <t>Indio-Cathedral City-Palm Springs CA</t>
  </si>
  <si>
    <t>Jackson MS</t>
  </si>
  <si>
    <t>Jacksonville FL</t>
  </si>
  <si>
    <t>Kansas City MO-KS</t>
  </si>
  <si>
    <t>Knoxville TN</t>
  </si>
  <si>
    <t>Lancaster-Palmdale CA</t>
  </si>
  <si>
    <t>Laredo TX</t>
  </si>
  <si>
    <t>Las Vegas NV</t>
  </si>
  <si>
    <t>Little Rock AR</t>
  </si>
  <si>
    <t>Los Angeles-Long Beach-Santa Ana CA</t>
  </si>
  <si>
    <t>Louisville KY-IN</t>
  </si>
  <si>
    <t>Madison WI</t>
  </si>
  <si>
    <t>McAllen TX</t>
  </si>
  <si>
    <t>Memphis TN-MS-AR</t>
  </si>
  <si>
    <t>Miami FL</t>
  </si>
  <si>
    <t>Milwaukee WI</t>
  </si>
  <si>
    <t>Minneapolis-St. Paul MN</t>
  </si>
  <si>
    <t>Nashville-Davidson TN</t>
  </si>
  <si>
    <t>New Haven CT</t>
  </si>
  <si>
    <t>New Orleans LA</t>
  </si>
  <si>
    <t>New York-Newark NY-NJ-CT</t>
  </si>
  <si>
    <t>Oklahoma City OK</t>
  </si>
  <si>
    <t>Omaha NE-IA</t>
  </si>
  <si>
    <t>Orlando FL</t>
  </si>
  <si>
    <t>Oxnard CA</t>
  </si>
  <si>
    <t>Pensacola FL-AL</t>
  </si>
  <si>
    <t>Philadelphia PA-NJ-DE-MD</t>
  </si>
  <si>
    <t>Phoenix-Mesa AZ</t>
  </si>
  <si>
    <t>Pittsburgh PA</t>
  </si>
  <si>
    <t>Portland OR-WA</t>
  </si>
  <si>
    <t>Poughkeepsie-Newburgh NY</t>
  </si>
  <si>
    <t>Providence RI-MA</t>
  </si>
  <si>
    <t>Provo-Orem UT</t>
  </si>
  <si>
    <t>Raleigh-Durham NC</t>
  </si>
  <si>
    <t>Richmond VA</t>
  </si>
  <si>
    <t>Riverside-San Bernardino CA</t>
  </si>
  <si>
    <t>Rochester NY</t>
  </si>
  <si>
    <t>Sacramento CA</t>
  </si>
  <si>
    <t>Salem OR</t>
  </si>
  <si>
    <t>Salt Lake City UT</t>
  </si>
  <si>
    <t>San Antonio TX</t>
  </si>
  <si>
    <t>San Diego CA</t>
  </si>
  <si>
    <t>San Francisco-Oakland CA</t>
  </si>
  <si>
    <t>San Jose CA</t>
  </si>
  <si>
    <t>Sarasota-Bradenton FL</t>
  </si>
  <si>
    <t>Seattle WA</t>
  </si>
  <si>
    <t>Spokane WA-ID</t>
  </si>
  <si>
    <t>Springfield MA-CT</t>
  </si>
  <si>
    <t>St. Louis MO-IL</t>
  </si>
  <si>
    <t>Stockton CA</t>
  </si>
  <si>
    <t>Tampa-St. Petersburg FL</t>
  </si>
  <si>
    <t>Toledo OH-MI</t>
  </si>
  <si>
    <t>Tucson AZ</t>
  </si>
  <si>
    <t>Tulsa OK</t>
  </si>
  <si>
    <t>Virginia Beach VA</t>
  </si>
  <si>
    <t>Washington DC-VA-MD</t>
  </si>
  <si>
    <t>Wichita KS</t>
  </si>
  <si>
    <t>Winston-Salem NC</t>
  </si>
  <si>
    <t>Worcester MA-CT</t>
  </si>
  <si>
    <t>LEFT</t>
  </si>
  <si>
    <t>Miami</t>
  </si>
  <si>
    <t>km/h</t>
  </si>
  <si>
    <t>25%Wgt Average Speed</t>
  </si>
  <si>
    <t>2010 Rank</t>
  </si>
  <si>
    <t>1990 Rank</t>
  </si>
  <si>
    <t>Difference in Rank</t>
  </si>
  <si>
    <t>Rank of Gain in Rank</t>
  </si>
  <si>
    <t>2000 Rank</t>
  </si>
  <si>
    <t>Rank of Change in  Rank (Positive Change in Rank, Bad) Low Numbers for Rank Bad.</t>
  </si>
  <si>
    <t>Weighted Average Speed (VMT/VHT) MPH</t>
  </si>
  <si>
    <t>Speeds - 2012 Urban Mobility Report, Exhibit A-8. Composite Freeway and Arterial (25% Freeway, 75% Arterial), VMT/VHT -&gt; converted to km/h</t>
  </si>
  <si>
    <t>Employment: 2010 MSA Business Patterns (NAICS - from Censtats)</t>
  </si>
  <si>
    <t>Baltimore-Towson, MD</t>
  </si>
  <si>
    <t>Austin-Round Rock, TX</t>
  </si>
  <si>
    <t>Atlanta-Sandy Springs-Marietta, GA</t>
  </si>
  <si>
    <t>Boston-Cambridge-Quincy, MA-NH</t>
  </si>
  <si>
    <t>Buffalo-Niagara Falls, NY</t>
  </si>
  <si>
    <t>Charlotte-Gastonia-Concord, NC-SC</t>
  </si>
  <si>
    <t>Chicago-Naperville-Joliet, IL-IN-WI</t>
  </si>
  <si>
    <t>Cincinnati-Middletown, OH-KY-IN</t>
  </si>
  <si>
    <t>Cleveland-Elyria-Mentor, OH</t>
  </si>
  <si>
    <t>Columbus, OH</t>
  </si>
  <si>
    <t>Dallas-Fort Worth-Arlington, TX</t>
  </si>
  <si>
    <t>Denver-Aurora, CO</t>
  </si>
  <si>
    <t>Detroit-Warren-Livonia, MI</t>
  </si>
  <si>
    <t>Grand Rapids-Wyoming, MI</t>
  </si>
  <si>
    <t>Virginia Beach-Norfolk-Newport News, VA-NC</t>
  </si>
  <si>
    <t>Hartford-West Hartford-East Hartford, CT</t>
  </si>
  <si>
    <t>Honolulu, HI</t>
  </si>
  <si>
    <t>Houston-Sugar Land-Baytown, TX</t>
  </si>
  <si>
    <t>Indianapolis-Carmel, IN</t>
  </si>
  <si>
    <t>Riverside-San Bernardino-Ontario, CA</t>
  </si>
  <si>
    <t xml:space="preserve">Jacksonville, FL </t>
  </si>
  <si>
    <t>Kansas City, MO-KS</t>
  </si>
  <si>
    <t>Las Vegas-Paradise, NV</t>
  </si>
  <si>
    <t>Los Angeles-Long Beach-Santa Ana, CA</t>
  </si>
  <si>
    <t>Louisville/Jefferson County, KY-IN</t>
  </si>
  <si>
    <t>Memphis, TN-MS-AR</t>
  </si>
  <si>
    <t>Milwaukee-Waukesha-West Allis, WI</t>
  </si>
  <si>
    <t>Minneapolis-St. Paul-Bloomington, MN-WI</t>
  </si>
  <si>
    <t>Nashville-Davidson--Murfreesboro--Franklin, TN</t>
  </si>
  <si>
    <t>New Orleans-Metairie-Kenner, LA</t>
  </si>
  <si>
    <t>New York-Northern New Jersey-Long Island, NY-NJ-PA</t>
  </si>
  <si>
    <t xml:space="preserve">Oklahoma City, OK </t>
  </si>
  <si>
    <t>Orlando-Kissimmee, FL</t>
  </si>
  <si>
    <t>Philadelphia-Camden-Wilmington, PA-NJ-DE-MD</t>
  </si>
  <si>
    <t>Phoenix-Mesa-Scottsdale, AZ</t>
  </si>
  <si>
    <t>Paid employees for pay period including March 12 (number)</t>
  </si>
  <si>
    <t>Total for all sectors</t>
  </si>
  <si>
    <t>Pittsburgh, PA</t>
  </si>
  <si>
    <t>Portland-Vancouver-Beaverton, OR-WA</t>
  </si>
  <si>
    <t>Providence-New Bedford-Fall River, RI-MA</t>
  </si>
  <si>
    <t>Raleigh-Cary, NC</t>
  </si>
  <si>
    <t>Sacramento--Arden-Arcade--Roseville, CA</t>
  </si>
  <si>
    <t>Salt Lake City, UT</t>
  </si>
  <si>
    <t>San Antonio, TX</t>
  </si>
  <si>
    <t>San Diego-Carlsbad-San Marcos, CA</t>
  </si>
  <si>
    <t>San Francisco-Oakland-Fremont, CA</t>
  </si>
  <si>
    <t>San Jose-Sunnyvale-Santa Clara, CA</t>
  </si>
  <si>
    <t>Seattle-Tacoma-Bellevue, WA</t>
  </si>
  <si>
    <t>Miami-Fort Lauderdale-Pompano Beach, FL</t>
  </si>
  <si>
    <t>St. Louis, MO-IL</t>
  </si>
  <si>
    <t>Tampa-St. Petersburg-Clearwater, FL</t>
  </si>
  <si>
    <t>Washington-Arlington-Alexandria, DC-VA-MD-WV</t>
  </si>
  <si>
    <t>http://censtats.census.gov/cgi-bin/msanaic/msasect.pl</t>
  </si>
  <si>
    <t>EDERAL-AID URBANIZED AREA 1/</t>
  </si>
  <si>
    <t>STATE LOCATION</t>
  </si>
  <si>
    <t>2000 CENSUS POPULATION</t>
  </si>
  <si>
    <t>MILES</t>
  </si>
  <si>
    <t>DAILY VEHICLE-MILES OF TRAVEL (THOUSANDS) 2/</t>
  </si>
  <si>
    <t>INTERSTATE</t>
  </si>
  <si>
    <t>OTHER FREEWAYS AND EXPRESSWAYS</t>
  </si>
  <si>
    <t>OTHER PRINCIPAL ARTERIAL</t>
  </si>
  <si>
    <t>MINOR ARTERIAL</t>
  </si>
  <si>
    <t>MAJOR COLLECTOR</t>
  </si>
  <si>
    <t>MINOR COLLECTOR</t>
  </si>
  <si>
    <t>LOCAL</t>
  </si>
  <si>
    <t>TOTAL</t>
  </si>
  <si>
    <t>PRI- MARY</t>
  </si>
  <si>
    <t>OTHER(S)</t>
  </si>
  <si>
    <t>New York--Newark</t>
  </si>
  <si>
    <t>NY</t>
  </si>
  <si>
    <t>NJ,CT</t>
  </si>
  <si>
    <t>-</t>
  </si>
  <si>
    <t>Los Angeles--Long Beach--Santa Ana</t>
  </si>
  <si>
    <t>CA</t>
  </si>
  <si>
    <t>IL</t>
  </si>
  <si>
    <t>IN</t>
  </si>
  <si>
    <t>PA</t>
  </si>
  <si>
    <t>NJ,DE,MD</t>
  </si>
  <si>
    <t>FL</t>
  </si>
  <si>
    <t>Dallas--Fort Worth--Arlington</t>
  </si>
  <si>
    <t>TX</t>
  </si>
  <si>
    <t>MA</t>
  </si>
  <si>
    <t>NH,RI</t>
  </si>
  <si>
    <t>DC</t>
  </si>
  <si>
    <t>VA,MD</t>
  </si>
  <si>
    <t>MI</t>
  </si>
  <si>
    <t>GA</t>
  </si>
  <si>
    <t>San Francisco--Oakland</t>
  </si>
  <si>
    <t>Phoenix--Mesa</t>
  </si>
  <si>
    <t>AZ</t>
  </si>
  <si>
    <t>WA</t>
  </si>
  <si>
    <t>Minneapolis--St. Paul</t>
  </si>
  <si>
    <t>MN</t>
  </si>
  <si>
    <t>MO</t>
  </si>
  <si>
    <t>MD</t>
  </si>
  <si>
    <t>Tampa--St. Petersburg</t>
  </si>
  <si>
    <t>Denver--Aurora</t>
  </si>
  <si>
    <t>CO</t>
  </si>
  <si>
    <t>OH</t>
  </si>
  <si>
    <t>OR</t>
  </si>
  <si>
    <t>Riverside--San Bernardino</t>
  </si>
  <si>
    <t>KY,IN</t>
  </si>
  <si>
    <t>Virginia Beach</t>
  </si>
  <si>
    <t>VA</t>
  </si>
  <si>
    <t>KS</t>
  </si>
  <si>
    <t>NV</t>
  </si>
  <si>
    <t>WI</t>
  </si>
  <si>
    <t>RI</t>
  </si>
  <si>
    <t>LA</t>
  </si>
  <si>
    <t>TN</t>
  </si>
  <si>
    <t>MS,AR</t>
  </si>
  <si>
    <t>Bridgeport--Stamford</t>
  </si>
  <si>
    <t>CT</t>
  </si>
  <si>
    <t>UT</t>
  </si>
  <si>
    <t>KY</t>
  </si>
  <si>
    <t>Richmond</t>
  </si>
  <si>
    <t>NC</t>
  </si>
  <si>
    <t>SC</t>
  </si>
  <si>
    <t>Nashville-Davidson</t>
  </si>
  <si>
    <t>OK</t>
  </si>
  <si>
    <t>Tucson</t>
  </si>
  <si>
    <t>HI</t>
  </si>
  <si>
    <t>Dayton</t>
  </si>
  <si>
    <t>El Paso</t>
  </si>
  <si>
    <t>NM</t>
  </si>
  <si>
    <t>Birmingham</t>
  </si>
  <si>
    <t>AL</t>
  </si>
  <si>
    <t>Omaha</t>
  </si>
  <si>
    <t>NE</t>
  </si>
  <si>
    <t>IA</t>
  </si>
  <si>
    <t>Albuquerque</t>
  </si>
  <si>
    <t>Allentown--Bethlehem</t>
  </si>
  <si>
    <t>NJ</t>
  </si>
  <si>
    <t>Springfield</t>
  </si>
  <si>
    <t>Akron</t>
  </si>
  <si>
    <t>Sarasota--Bradenton</t>
  </si>
  <si>
    <t>Albany</t>
  </si>
  <si>
    <t>Tulsa</t>
  </si>
  <si>
    <t>Fresno</t>
  </si>
  <si>
    <t>Concord</t>
  </si>
  <si>
    <t>Mission Viejo</t>
  </si>
  <si>
    <t>Parse</t>
  </si>
  <si>
    <t>TOTAL VMT</t>
  </si>
  <si>
    <t>http://www.fhwa.dot.gov/policyinformation/statistics/2010/hm71.cfm</t>
  </si>
  <si>
    <t>Non-Fwy VMT</t>
  </si>
  <si>
    <t>FFS km/h</t>
  </si>
  <si>
    <t>Metro Total VMT from</t>
  </si>
  <si>
    <t>HMPS Fwy VMT</t>
  </si>
  <si>
    <t>TTI Freeway VMT</t>
  </si>
  <si>
    <t>TTI Arterial VMT</t>
  </si>
  <si>
    <t>Riverside</t>
  </si>
  <si>
    <t>2010 Accessibility Table</t>
  </si>
  <si>
    <t>Number of Jobs Reachable in __Minutes</t>
  </si>
  <si>
    <t>10</t>
  </si>
  <si>
    <t>20</t>
  </si>
  <si>
    <t>30</t>
  </si>
  <si>
    <t>40</t>
  </si>
  <si>
    <t>50</t>
  </si>
  <si>
    <t>60</t>
  </si>
  <si>
    <t>Minneapolis</t>
  </si>
  <si>
    <t>Dallas</t>
  </si>
  <si>
    <t>Total</t>
  </si>
  <si>
    <t>Hampton Roads</t>
  </si>
  <si>
    <t>2010-1990</t>
  </si>
  <si>
    <t>2010-2000</t>
  </si>
  <si>
    <t>10 minute circuity numbers</t>
  </si>
  <si>
    <t>Average</t>
  </si>
  <si>
    <t>Boston Big</t>
  </si>
  <si>
    <t>Boston Small</t>
  </si>
  <si>
    <t>PERCENTAGE CHANGES</t>
  </si>
  <si>
    <t>Accessibility Ratio</t>
  </si>
  <si>
    <t>R=A_E/A_P</t>
  </si>
  <si>
    <t>WEIGHTED AVERAGE ACROSS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</si>
</sst>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0.0000"/>
    <numFmt numFmtId="165" formatCode="0.000"/>
    <numFmt numFmtId="166" formatCode="0.00000"/>
    <numFmt numFmtId="167" formatCode="_(* #,##0_);_(* \(#,##0\);_(* &quot;-&quot;??_);_(@_)"/>
    <numFmt numFmtId="168" formatCode="_(* #,##0.0_);_(* \(#,##0.0\);_(* &quot;-&quot;??_);_(@_)"/>
    <numFmt numFmtId="169" formatCode="0.0"/>
    <numFmt numFmtId="170" formatCode="_(* #,##0.000_);_(* \(#,##0.000\);_(* &quot;-&quot;??_);_(@_)"/>
  </numFmts>
  <fonts count="51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rgb="FF275E94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vertAlign val="superscript"/>
      <sz val="11"/>
      <color rgb="FF000000"/>
      <name val="Calibri"/>
      <family val="2"/>
      <scheme val="minor"/>
    </font>
    <font>
      <b/>
      <sz val="14"/>
      <color theme="1"/>
      <name val="Calibri"/>
      <scheme val="minor"/>
    </font>
    <font>
      <sz val="13"/>
      <color theme="1"/>
      <name val="Calibri"/>
    </font>
    <font>
      <b/>
      <sz val="10"/>
      <name val="Arial"/>
      <family val="2"/>
    </font>
    <font>
      <b/>
      <sz val="11"/>
      <color rgb="FF00000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rgb="FF000000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23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36" borderId="0" applyNumberFormat="0" applyBorder="0" applyAlignment="0" applyProtection="0"/>
    <xf numFmtId="0" fontId="30" fillId="39" borderId="0" applyNumberFormat="0" applyBorder="0" applyAlignment="0" applyProtection="0"/>
    <xf numFmtId="0" fontId="30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50" borderId="0" applyNumberFormat="0" applyBorder="0" applyAlignment="0" applyProtection="0"/>
    <xf numFmtId="0" fontId="32" fillId="34" borderId="0" applyNumberFormat="0" applyBorder="0" applyAlignment="0" applyProtection="0"/>
    <xf numFmtId="0" fontId="33" fillId="51" borderId="10" applyNumberFormat="0" applyAlignment="0" applyProtection="0"/>
    <xf numFmtId="0" fontId="34" fillId="52" borderId="11" applyNumberFormat="0" applyAlignment="0" applyProtection="0"/>
    <xf numFmtId="0" fontId="35" fillId="0" borderId="0" applyNumberFormat="0" applyFill="0" applyBorder="0" applyAlignment="0" applyProtection="0"/>
    <xf numFmtId="0" fontId="36" fillId="35" borderId="0" applyNumberFormat="0" applyBorder="0" applyAlignment="0" applyProtection="0"/>
    <xf numFmtId="0" fontId="37" fillId="0" borderId="12" applyNumberFormat="0" applyFill="0" applyAlignment="0" applyProtection="0"/>
    <xf numFmtId="0" fontId="38" fillId="0" borderId="13" applyNumberFormat="0" applyFill="0" applyAlignment="0" applyProtection="0"/>
    <xf numFmtId="0" fontId="39" fillId="0" borderId="14" applyNumberFormat="0" applyFill="0" applyAlignment="0" applyProtection="0"/>
    <xf numFmtId="0" fontId="39" fillId="0" borderId="0" applyNumberFormat="0" applyFill="0" applyBorder="0" applyAlignment="0" applyProtection="0"/>
    <xf numFmtId="0" fontId="40" fillId="38" borderId="10" applyNumberFormat="0" applyAlignment="0" applyProtection="0"/>
    <xf numFmtId="0" fontId="41" fillId="0" borderId="15" applyNumberFormat="0" applyFill="0" applyAlignment="0" applyProtection="0"/>
    <xf numFmtId="0" fontId="42" fillId="53" borderId="0" applyNumberFormat="0" applyBorder="0" applyAlignment="0" applyProtection="0"/>
    <xf numFmtId="0" fontId="2" fillId="54" borderId="16" applyNumberFormat="0" applyFont="0" applyAlignment="0" applyProtection="0"/>
    <xf numFmtId="0" fontId="43" fillId="51" borderId="17" applyNumberFormat="0" applyAlignment="0" applyProtection="0"/>
    <xf numFmtId="0" fontId="44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Border="1"/>
    <xf numFmtId="0" fontId="0" fillId="0" borderId="0" xfId="0" applyBorder="1"/>
    <xf numFmtId="2" fontId="0" fillId="0" borderId="0" xfId="0" applyNumberFormat="1"/>
    <xf numFmtId="1" fontId="0" fillId="0" borderId="0" xfId="0" applyNumberFormat="1"/>
    <xf numFmtId="2" fontId="0" fillId="0" borderId="0" xfId="0" applyNumberFormat="1" applyFill="1"/>
    <xf numFmtId="0" fontId="0" fillId="0" borderId="0" xfId="0" applyBorder="1" applyAlignment="1">
      <alignment wrapText="1"/>
    </xf>
    <xf numFmtId="1" fontId="2" fillId="0" borderId="0" xfId="0" applyNumberFormat="1" applyFont="1"/>
    <xf numFmtId="1" fontId="0" fillId="0" borderId="0" xfId="0" applyNumberFormat="1" applyFont="1"/>
    <xf numFmtId="0" fontId="0" fillId="0" borderId="0" xfId="0" applyFont="1"/>
    <xf numFmtId="2" fontId="0" fillId="0" borderId="0" xfId="0" applyNumberFormat="1" applyAlignment="1">
      <alignment wrapText="1"/>
    </xf>
    <xf numFmtId="3" fontId="0" fillId="0" borderId="0" xfId="0" applyNumberFormat="1" applyFont="1"/>
    <xf numFmtId="3" fontId="0" fillId="0" borderId="0" xfId="0" applyNumberFormat="1"/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" fontId="19" fillId="0" borderId="0" xfId="0" applyNumberFormat="1" applyFont="1" applyAlignment="1">
      <alignment wrapText="1"/>
    </xf>
    <xf numFmtId="3" fontId="19" fillId="0" borderId="0" xfId="0" applyNumberFormat="1" applyFont="1"/>
    <xf numFmtId="3" fontId="0" fillId="0" borderId="0" xfId="0" applyNumberFormat="1" applyAlignment="1">
      <alignment wrapText="1"/>
    </xf>
    <xf numFmtId="2" fontId="0" fillId="0" borderId="0" xfId="0" quotePrefix="1" applyNumberFormat="1" applyAlignment="1">
      <alignment horizontal="right"/>
    </xf>
    <xf numFmtId="2" fontId="0" fillId="0" borderId="0" xfId="0" applyNumberFormat="1" applyAlignment="1">
      <alignment horizontal="right"/>
    </xf>
    <xf numFmtId="3" fontId="0" fillId="0" borderId="0" xfId="0" quotePrefix="1" applyNumberFormat="1" applyAlignment="1">
      <alignment horizontal="right"/>
    </xf>
    <xf numFmtId="3" fontId="22" fillId="0" borderId="0" xfId="0" applyNumberFormat="1" applyFont="1" applyAlignment="1">
      <alignment wrapText="1"/>
    </xf>
    <xf numFmtId="43" fontId="0" fillId="0" borderId="0" xfId="80" applyFont="1"/>
    <xf numFmtId="0" fontId="19" fillId="0" borderId="0" xfId="0" applyFont="1"/>
    <xf numFmtId="0" fontId="26" fillId="0" borderId="0" xfId="0" applyFont="1" applyAlignment="1">
      <alignment vertical="center"/>
    </xf>
    <xf numFmtId="3" fontId="27" fillId="0" borderId="0" xfId="0" applyNumberFormat="1" applyFont="1" applyAlignment="1">
      <alignment vertical="center"/>
    </xf>
    <xf numFmtId="164" fontId="0" fillId="0" borderId="0" xfId="0" applyNumberFormat="1"/>
    <xf numFmtId="0" fontId="27" fillId="0" borderId="0" xfId="0" applyFont="1" applyAlignment="1">
      <alignment vertical="center"/>
    </xf>
    <xf numFmtId="165" fontId="0" fillId="0" borderId="0" xfId="0" applyNumberFormat="1" applyBorder="1"/>
    <xf numFmtId="165" fontId="0" fillId="0" borderId="19" xfId="0" applyNumberFormat="1" applyBorder="1"/>
    <xf numFmtId="165" fontId="0" fillId="0" borderId="20" xfId="0" applyNumberFormat="1" applyBorder="1"/>
    <xf numFmtId="0" fontId="0" fillId="0" borderId="22" xfId="0" applyBorder="1"/>
    <xf numFmtId="0" fontId="0" fillId="0" borderId="26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Fill="1" applyBorder="1"/>
    <xf numFmtId="0" fontId="0" fillId="0" borderId="28" xfId="0" applyFill="1" applyBorder="1"/>
    <xf numFmtId="165" fontId="0" fillId="0" borderId="29" xfId="0" applyNumberFormat="1" applyFill="1" applyBorder="1"/>
    <xf numFmtId="0" fontId="0" fillId="0" borderId="30" xfId="0" applyFill="1" applyBorder="1"/>
    <xf numFmtId="165" fontId="0" fillId="0" borderId="31" xfId="0" applyNumberFormat="1" applyBorder="1"/>
    <xf numFmtId="165" fontId="0" fillId="0" borderId="31" xfId="0" applyNumberFormat="1" applyFill="1" applyBorder="1"/>
    <xf numFmtId="165" fontId="0" fillId="0" borderId="32" xfId="0" applyNumberFormat="1" applyBorder="1"/>
    <xf numFmtId="165" fontId="0" fillId="0" borderId="33" xfId="0" applyNumberFormat="1" applyBorder="1"/>
    <xf numFmtId="165" fontId="0" fillId="0" borderId="34" xfId="0" applyNumberFormat="1" applyBorder="1"/>
    <xf numFmtId="165" fontId="0" fillId="0" borderId="34" xfId="0" applyNumberFormat="1" applyFill="1" applyBorder="1"/>
    <xf numFmtId="165" fontId="0" fillId="0" borderId="35" xfId="0" applyNumberFormat="1" applyFill="1" applyBorder="1"/>
    <xf numFmtId="165" fontId="0" fillId="0" borderId="36" xfId="0" applyNumberFormat="1" applyFill="1" applyBorder="1"/>
    <xf numFmtId="0" fontId="0" fillId="0" borderId="37" xfId="0" applyBorder="1" applyAlignment="1">
      <alignment horizontal="center"/>
    </xf>
    <xf numFmtId="165" fontId="0" fillId="0" borderId="39" xfId="0" applyNumberFormat="1" applyBorder="1"/>
    <xf numFmtId="165" fontId="0" fillId="0" borderId="38" xfId="0" applyNumberFormat="1" applyBorder="1"/>
    <xf numFmtId="165" fontId="0" fillId="0" borderId="40" xfId="0" applyNumberFormat="1" applyBorder="1"/>
    <xf numFmtId="165" fontId="0" fillId="0" borderId="41" xfId="0" applyNumberFormat="1" applyBorder="1"/>
    <xf numFmtId="165" fontId="0" fillId="0" borderId="42" xfId="0" applyNumberFormat="1" applyBorder="1"/>
    <xf numFmtId="165" fontId="0" fillId="0" borderId="29" xfId="0" applyNumberFormat="1" applyBorder="1"/>
    <xf numFmtId="165" fontId="0" fillId="0" borderId="43" xfId="0" applyNumberFormat="1" applyBorder="1"/>
    <xf numFmtId="165" fontId="0" fillId="0" borderId="44" xfId="0" applyNumberFormat="1" applyBorder="1"/>
    <xf numFmtId="165" fontId="0" fillId="0" borderId="21" xfId="0" applyNumberFormat="1" applyBorder="1"/>
    <xf numFmtId="166" fontId="0" fillId="0" borderId="0" xfId="0" applyNumberFormat="1"/>
    <xf numFmtId="165" fontId="0" fillId="0" borderId="45" xfId="0" applyNumberFormat="1" applyBorder="1"/>
    <xf numFmtId="0" fontId="0" fillId="0" borderId="46" xfId="0" applyBorder="1" applyAlignment="1">
      <alignment horizontal="center"/>
    </xf>
    <xf numFmtId="0" fontId="0" fillId="0" borderId="47" xfId="0" applyBorder="1"/>
    <xf numFmtId="0" fontId="0" fillId="0" borderId="46" xfId="0" applyBorder="1"/>
    <xf numFmtId="165" fontId="0" fillId="0" borderId="0" xfId="0" applyNumberFormat="1"/>
    <xf numFmtId="0" fontId="0" fillId="0" borderId="0" xfId="0" applyAlignment="1">
      <alignment horizontal="right"/>
    </xf>
    <xf numFmtId="165" fontId="19" fillId="0" borderId="0" xfId="0" applyNumberFormat="1" applyFont="1"/>
    <xf numFmtId="0" fontId="27" fillId="0" borderId="0" xfId="0" applyFont="1"/>
    <xf numFmtId="0" fontId="47" fillId="0" borderId="0" xfId="0" applyFont="1"/>
    <xf numFmtId="0" fontId="48" fillId="0" borderId="0" xfId="0" applyFont="1" applyAlignment="1">
      <alignment vertical="center"/>
    </xf>
    <xf numFmtId="0" fontId="48" fillId="0" borderId="46" xfId="0" applyFont="1" applyBorder="1" applyAlignment="1">
      <alignment vertical="center" wrapText="1"/>
    </xf>
    <xf numFmtId="0" fontId="48" fillId="0" borderId="51" xfId="0" applyFont="1" applyBorder="1" applyAlignment="1">
      <alignment vertical="center" wrapText="1"/>
    </xf>
    <xf numFmtId="1" fontId="49" fillId="0" borderId="0" xfId="0" applyNumberFormat="1" applyFont="1"/>
    <xf numFmtId="1" fontId="49" fillId="0" borderId="52" xfId="0" applyNumberFormat="1" applyFont="1" applyBorder="1"/>
    <xf numFmtId="167" fontId="49" fillId="0" borderId="53" xfId="80" applyNumberFormat="1" applyFont="1" applyBorder="1"/>
    <xf numFmtId="167" fontId="49" fillId="0" borderId="0" xfId="80" applyNumberFormat="1" applyFont="1"/>
    <xf numFmtId="167" fontId="49" fillId="0" borderId="52" xfId="80" applyNumberFormat="1" applyFont="1" applyBorder="1"/>
    <xf numFmtId="168" fontId="49" fillId="0" borderId="53" xfId="80" applyNumberFormat="1" applyFont="1" applyBorder="1"/>
    <xf numFmtId="168" fontId="49" fillId="0" borderId="0" xfId="80" applyNumberFormat="1" applyFont="1"/>
    <xf numFmtId="43" fontId="49" fillId="0" borderId="53" xfId="80" applyFont="1" applyBorder="1"/>
    <xf numFmtId="43" fontId="49" fillId="0" borderId="0" xfId="80" applyFont="1"/>
    <xf numFmtId="43" fontId="49" fillId="0" borderId="0" xfId="80" applyFont="1" applyBorder="1"/>
    <xf numFmtId="43" fontId="49" fillId="0" borderId="54" xfId="80" applyFont="1" applyBorder="1"/>
    <xf numFmtId="43" fontId="49" fillId="0" borderId="52" xfId="80" applyFont="1" applyBorder="1"/>
    <xf numFmtId="167" fontId="49" fillId="0" borderId="54" xfId="80" applyNumberFormat="1" applyFont="1" applyBorder="1"/>
    <xf numFmtId="167" fontId="49" fillId="0" borderId="0" xfId="80" applyNumberFormat="1" applyFont="1" applyBorder="1"/>
    <xf numFmtId="1" fontId="49" fillId="0" borderId="0" xfId="0" applyNumberFormat="1" applyFont="1" applyAlignment="1">
      <alignment horizontal="center"/>
    </xf>
    <xf numFmtId="1" fontId="49" fillId="0" borderId="52" xfId="0" applyNumberFormat="1" applyFont="1" applyBorder="1" applyAlignment="1">
      <alignment horizontal="center"/>
    </xf>
    <xf numFmtId="167" fontId="49" fillId="0" borderId="53" xfId="80" applyNumberFormat="1" applyFont="1" applyBorder="1" applyAlignment="1">
      <alignment horizontal="centerContinuous"/>
    </xf>
    <xf numFmtId="167" fontId="49" fillId="0" borderId="0" xfId="80" applyNumberFormat="1" applyFont="1" applyAlignment="1">
      <alignment horizontal="centerContinuous"/>
    </xf>
    <xf numFmtId="167" fontId="49" fillId="0" borderId="52" xfId="80" applyNumberFormat="1" applyFont="1" applyBorder="1" applyAlignment="1">
      <alignment horizontal="center"/>
    </xf>
    <xf numFmtId="168" fontId="49" fillId="0" borderId="53" xfId="80" applyNumberFormat="1" applyFont="1" applyBorder="1" applyAlignment="1">
      <alignment horizontal="centerContinuous"/>
    </xf>
    <xf numFmtId="168" fontId="49" fillId="0" borderId="0" xfId="80" applyNumberFormat="1" applyFont="1" applyAlignment="1">
      <alignment horizontal="centerContinuous"/>
    </xf>
    <xf numFmtId="167" fontId="49" fillId="0" borderId="0" xfId="80" applyNumberFormat="1" applyFont="1" applyAlignment="1">
      <alignment horizontal="center"/>
    </xf>
    <xf numFmtId="43" fontId="49" fillId="0" borderId="52" xfId="80" applyFont="1" applyBorder="1" applyAlignment="1">
      <alignment horizontal="center"/>
    </xf>
    <xf numFmtId="167" fontId="49" fillId="0" borderId="54" xfId="80" applyNumberFormat="1" applyFont="1" applyBorder="1" applyAlignment="1">
      <alignment horizontal="centerContinuous"/>
    </xf>
    <xf numFmtId="167" fontId="49" fillId="0" borderId="53" xfId="80" applyNumberFormat="1" applyFont="1" applyBorder="1" applyAlignment="1">
      <alignment horizontal="center"/>
    </xf>
    <xf numFmtId="167" fontId="49" fillId="0" borderId="0" xfId="80" applyNumberFormat="1" applyFont="1" applyBorder="1" applyAlignment="1">
      <alignment horizontal="center"/>
    </xf>
    <xf numFmtId="167" fontId="49" fillId="0" borderId="0" xfId="80" applyNumberFormat="1" applyFont="1" applyBorder="1" applyAlignment="1">
      <alignment horizontal="centerContinuous"/>
    </xf>
    <xf numFmtId="167" fontId="49" fillId="0" borderId="53" xfId="80" quotePrefix="1" applyNumberFormat="1" applyFont="1" applyBorder="1" applyAlignment="1">
      <alignment horizontal="center"/>
    </xf>
    <xf numFmtId="167" fontId="49" fillId="0" borderId="52" xfId="80" quotePrefix="1" applyNumberFormat="1" applyFont="1" applyBorder="1" applyAlignment="1">
      <alignment horizontal="center"/>
    </xf>
    <xf numFmtId="168" fontId="49" fillId="0" borderId="53" xfId="80" applyNumberFormat="1" applyFont="1" applyBorder="1" applyAlignment="1">
      <alignment horizontal="center"/>
    </xf>
    <xf numFmtId="168" fontId="49" fillId="0" borderId="0" xfId="80" applyNumberFormat="1" applyFont="1" applyAlignment="1">
      <alignment horizontal="center"/>
    </xf>
    <xf numFmtId="43" fontId="49" fillId="0" borderId="53" xfId="80" applyFont="1" applyBorder="1" applyAlignment="1">
      <alignment horizontal="center"/>
    </xf>
    <xf numFmtId="43" fontId="49" fillId="0" borderId="0" xfId="80" applyFont="1" applyAlignment="1">
      <alignment horizontal="center"/>
    </xf>
    <xf numFmtId="43" fontId="49" fillId="0" borderId="0" xfId="80" applyFont="1" applyBorder="1" applyAlignment="1">
      <alignment horizontal="center"/>
    </xf>
    <xf numFmtId="167" fontId="49" fillId="0" borderId="54" xfId="80" applyNumberFormat="1" applyFont="1" applyBorder="1" applyAlignment="1">
      <alignment horizontal="center"/>
    </xf>
    <xf numFmtId="43" fontId="49" fillId="0" borderId="53" xfId="80" quotePrefix="1" applyFont="1" applyBorder="1" applyAlignment="1">
      <alignment horizontal="center"/>
    </xf>
    <xf numFmtId="167" fontId="49" fillId="0" borderId="0" xfId="80" quotePrefix="1" applyNumberFormat="1" applyFont="1" applyAlignment="1">
      <alignment horizontal="center"/>
    </xf>
    <xf numFmtId="1" fontId="49" fillId="0" borderId="49" xfId="0" applyNumberFormat="1" applyFont="1" applyBorder="1"/>
    <xf numFmtId="1" fontId="49" fillId="0" borderId="26" xfId="0" applyNumberFormat="1" applyFont="1" applyBorder="1"/>
    <xf numFmtId="167" fontId="49" fillId="0" borderId="48" xfId="80" applyNumberFormat="1" applyFont="1" applyBorder="1"/>
    <xf numFmtId="167" fontId="49" fillId="0" borderId="49" xfId="80" applyNumberFormat="1" applyFont="1" applyBorder="1"/>
    <xf numFmtId="167" fontId="49" fillId="0" borderId="26" xfId="80" applyNumberFormat="1" applyFont="1" applyBorder="1"/>
    <xf numFmtId="167" fontId="49" fillId="0" borderId="49" xfId="80" quotePrefix="1" applyNumberFormat="1" applyFont="1" applyBorder="1" applyAlignment="1">
      <alignment horizontal="center"/>
    </xf>
    <xf numFmtId="167" fontId="49" fillId="0" borderId="49" xfId="80" applyNumberFormat="1" applyFont="1" applyBorder="1" applyAlignment="1">
      <alignment horizontal="center"/>
    </xf>
    <xf numFmtId="167" fontId="49" fillId="0" borderId="48" xfId="80" quotePrefix="1" applyNumberFormat="1" applyFont="1" applyBorder="1" applyAlignment="1">
      <alignment horizontal="center"/>
    </xf>
    <xf numFmtId="168" fontId="49" fillId="0" borderId="48" xfId="80" quotePrefix="1" applyNumberFormat="1" applyFont="1" applyBorder="1" applyAlignment="1">
      <alignment horizontal="center"/>
    </xf>
    <xf numFmtId="168" fontId="49" fillId="0" borderId="49" xfId="80" quotePrefix="1" applyNumberFormat="1" applyFont="1" applyBorder="1" applyAlignment="1">
      <alignment horizontal="center"/>
    </xf>
    <xf numFmtId="43" fontId="49" fillId="0" borderId="48" xfId="80" applyFont="1" applyBorder="1" applyAlignment="1">
      <alignment horizontal="center"/>
    </xf>
    <xf numFmtId="43" fontId="49" fillId="0" borderId="49" xfId="80" quotePrefix="1" applyFont="1" applyBorder="1" applyAlignment="1">
      <alignment horizontal="center"/>
    </xf>
    <xf numFmtId="167" fontId="49" fillId="0" borderId="26" xfId="80" applyNumberFormat="1" applyFont="1" applyBorder="1" applyAlignment="1">
      <alignment horizontal="center"/>
    </xf>
    <xf numFmtId="43" fontId="49" fillId="0" borderId="26" xfId="80" applyFont="1" applyBorder="1" applyAlignment="1">
      <alignment horizontal="center"/>
    </xf>
    <xf numFmtId="167" fontId="49" fillId="0" borderId="55" xfId="80" applyNumberFormat="1" applyFont="1" applyBorder="1"/>
    <xf numFmtId="43" fontId="49" fillId="0" borderId="48" xfId="80" applyFont="1" applyBorder="1"/>
    <xf numFmtId="43" fontId="49" fillId="0" borderId="49" xfId="80" applyFont="1" applyBorder="1"/>
    <xf numFmtId="167" fontId="49" fillId="0" borderId="48" xfId="80" applyNumberFormat="1" applyFont="1" applyBorder="1" applyAlignment="1">
      <alignment horizontal="center"/>
    </xf>
    <xf numFmtId="167" fontId="49" fillId="0" borderId="55" xfId="80" applyNumberFormat="1" applyFont="1" applyBorder="1" applyAlignment="1">
      <alignment horizontal="center"/>
    </xf>
    <xf numFmtId="167" fontId="49" fillId="0" borderId="55" xfId="80" quotePrefix="1" applyNumberFormat="1" applyFont="1" applyBorder="1" applyAlignment="1">
      <alignment horizontal="center"/>
    </xf>
    <xf numFmtId="43" fontId="49" fillId="0" borderId="26" xfId="80" applyFont="1" applyBorder="1"/>
    <xf numFmtId="167" fontId="0" fillId="0" borderId="0" xfId="80" applyNumberFormat="1" applyFont="1"/>
    <xf numFmtId="168" fontId="0" fillId="0" borderId="0" xfId="80" applyNumberFormat="1" applyFont="1"/>
    <xf numFmtId="0" fontId="0" fillId="0" borderId="0" xfId="0" quotePrefix="1"/>
    <xf numFmtId="0" fontId="50" fillId="0" borderId="0" xfId="0" applyFont="1"/>
    <xf numFmtId="3" fontId="27" fillId="0" borderId="0" xfId="0" applyNumberFormat="1" applyFont="1"/>
    <xf numFmtId="43" fontId="27" fillId="0" borderId="0" xfId="0" applyNumberFormat="1" applyFont="1"/>
    <xf numFmtId="9" fontId="0" fillId="0" borderId="0" xfId="0" applyNumberFormat="1"/>
    <xf numFmtId="169" fontId="0" fillId="0" borderId="0" xfId="0" applyNumberFormat="1"/>
    <xf numFmtId="0" fontId="0" fillId="55" borderId="0" xfId="0" applyFill="1" applyAlignment="1">
      <alignment wrapText="1"/>
    </xf>
    <xf numFmtId="0" fontId="0" fillId="55" borderId="0" xfId="0" applyFill="1"/>
    <xf numFmtId="3" fontId="0" fillId="55" borderId="0" xfId="0" applyNumberFormat="1" applyFill="1"/>
    <xf numFmtId="0" fontId="48" fillId="0" borderId="0" xfId="0" applyFont="1" applyBorder="1" applyAlignment="1">
      <alignment vertical="center" wrapText="1"/>
    </xf>
    <xf numFmtId="0" fontId="27" fillId="56" borderId="0" xfId="0" applyFont="1" applyFill="1"/>
    <xf numFmtId="170" fontId="0" fillId="0" borderId="0" xfId="80" applyNumberFormat="1" applyFont="1"/>
    <xf numFmtId="167" fontId="27" fillId="56" borderId="0" xfId="80" applyNumberFormat="1" applyFont="1" applyFill="1"/>
    <xf numFmtId="167" fontId="19" fillId="0" borderId="0" xfId="80" applyNumberFormat="1" applyFont="1"/>
    <xf numFmtId="1" fontId="27" fillId="0" borderId="0" xfId="0" applyNumberFormat="1" applyFont="1" applyAlignment="1">
      <alignment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167" fontId="49" fillId="0" borderId="0" xfId="80" applyNumberFormat="1" applyFont="1" applyBorder="1" applyAlignment="1">
      <alignment horizontal="center"/>
    </xf>
    <xf numFmtId="167" fontId="49" fillId="0" borderId="54" xfId="80" applyNumberFormat="1" applyFont="1" applyBorder="1" applyAlignment="1">
      <alignment horizontal="center"/>
    </xf>
    <xf numFmtId="43" fontId="49" fillId="0" borderId="53" xfId="80" applyFont="1" applyBorder="1" applyAlignment="1">
      <alignment horizontal="center"/>
    </xf>
    <xf numFmtId="43" fontId="49" fillId="0" borderId="0" xfId="80" applyFont="1" applyBorder="1" applyAlignment="1">
      <alignment horizontal="center"/>
    </xf>
    <xf numFmtId="43" fontId="49" fillId="0" borderId="54" xfId="80" applyFont="1" applyBorder="1" applyAlignment="1">
      <alignment horizontal="center"/>
    </xf>
    <xf numFmtId="2" fontId="49" fillId="0" borderId="53" xfId="0" applyNumberFormat="1" applyFont="1" applyBorder="1" applyAlignment="1">
      <alignment horizontal="center"/>
    </xf>
    <xf numFmtId="2" fontId="49" fillId="0" borderId="0" xfId="0" applyNumberFormat="1" applyFont="1" applyBorder="1" applyAlignment="1">
      <alignment horizontal="center"/>
    </xf>
    <xf numFmtId="2" fontId="49" fillId="0" borderId="54" xfId="0" applyNumberFormat="1" applyFont="1" applyBorder="1" applyAlignment="1">
      <alignment horizontal="center"/>
    </xf>
    <xf numFmtId="167" fontId="49" fillId="0" borderId="53" xfId="80" applyNumberFormat="1" applyFont="1" applyBorder="1" applyAlignment="1">
      <alignment horizontal="center"/>
    </xf>
  </cellXfs>
  <cellStyles count="323">
    <cellStyle name="20% - Accent1" xfId="19" builtinId="30" customBuiltin="1"/>
    <cellStyle name="20% - Accent1 2" xfId="210"/>
    <cellStyle name="20% - Accent2" xfId="23" builtinId="34" customBuiltin="1"/>
    <cellStyle name="20% - Accent2 2" xfId="211"/>
    <cellStyle name="20% - Accent3" xfId="27" builtinId="38" customBuiltin="1"/>
    <cellStyle name="20% - Accent3 2" xfId="212"/>
    <cellStyle name="20% - Accent4" xfId="31" builtinId="42" customBuiltin="1"/>
    <cellStyle name="20% - Accent4 2" xfId="213"/>
    <cellStyle name="20% - Accent5" xfId="35" builtinId="46" customBuiltin="1"/>
    <cellStyle name="20% - Accent5 2" xfId="214"/>
    <cellStyle name="20% - Accent6" xfId="39" builtinId="50" customBuiltin="1"/>
    <cellStyle name="20% - Accent6 2" xfId="215"/>
    <cellStyle name="40% - Accent1" xfId="20" builtinId="31" customBuiltin="1"/>
    <cellStyle name="40% - Accent1 2" xfId="216"/>
    <cellStyle name="40% - Accent2" xfId="24" builtinId="35" customBuiltin="1"/>
    <cellStyle name="40% - Accent2 2" xfId="217"/>
    <cellStyle name="40% - Accent3" xfId="28" builtinId="39" customBuiltin="1"/>
    <cellStyle name="40% - Accent3 2" xfId="218"/>
    <cellStyle name="40% - Accent4" xfId="32" builtinId="43" customBuiltin="1"/>
    <cellStyle name="40% - Accent4 2" xfId="219"/>
    <cellStyle name="40% - Accent5" xfId="36" builtinId="47" customBuiltin="1"/>
    <cellStyle name="40% - Accent5 2" xfId="220"/>
    <cellStyle name="40% - Accent6" xfId="40" builtinId="51" customBuiltin="1"/>
    <cellStyle name="40% - Accent6 2" xfId="221"/>
    <cellStyle name="60% - Accent1" xfId="21" builtinId="32" customBuiltin="1"/>
    <cellStyle name="60% - Accent1 2" xfId="222"/>
    <cellStyle name="60% - Accent2" xfId="25" builtinId="36" customBuiltin="1"/>
    <cellStyle name="60% - Accent2 2" xfId="223"/>
    <cellStyle name="60% - Accent3" xfId="29" builtinId="40" customBuiltin="1"/>
    <cellStyle name="60% - Accent3 2" xfId="224"/>
    <cellStyle name="60% - Accent4" xfId="33" builtinId="44" customBuiltin="1"/>
    <cellStyle name="60% - Accent4 2" xfId="225"/>
    <cellStyle name="60% - Accent5" xfId="37" builtinId="48" customBuiltin="1"/>
    <cellStyle name="60% - Accent5 2" xfId="226"/>
    <cellStyle name="60% - Accent6" xfId="41" builtinId="52" customBuiltin="1"/>
    <cellStyle name="60% - Accent6 2" xfId="227"/>
    <cellStyle name="Accent1" xfId="18" builtinId="29" customBuiltin="1"/>
    <cellStyle name="Accent1 2" xfId="228"/>
    <cellStyle name="Accent2" xfId="22" builtinId="33" customBuiltin="1"/>
    <cellStyle name="Accent2 2" xfId="229"/>
    <cellStyle name="Accent3" xfId="26" builtinId="37" customBuiltin="1"/>
    <cellStyle name="Accent3 2" xfId="230"/>
    <cellStyle name="Accent4" xfId="30" builtinId="41" customBuiltin="1"/>
    <cellStyle name="Accent4 2" xfId="231"/>
    <cellStyle name="Accent5" xfId="34" builtinId="45" customBuiltin="1"/>
    <cellStyle name="Accent5 2" xfId="232"/>
    <cellStyle name="Accent6" xfId="38" builtinId="49" customBuiltin="1"/>
    <cellStyle name="Accent6 2" xfId="233"/>
    <cellStyle name="Bad" xfId="7" builtinId="27" customBuiltin="1"/>
    <cellStyle name="Bad 2" xfId="234"/>
    <cellStyle name="Calculation" xfId="11" builtinId="22" customBuiltin="1"/>
    <cellStyle name="Calculation 2" xfId="235"/>
    <cellStyle name="Check Cell" xfId="13" builtinId="23" customBuiltin="1"/>
    <cellStyle name="Check Cell 2" xfId="236"/>
    <cellStyle name="Comma" xfId="80" builtinId="3"/>
    <cellStyle name="Explanatory Text" xfId="16" builtinId="53" customBuiltin="1"/>
    <cellStyle name="Explanatory Text 2" xfId="237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customBuiltin="1"/>
    <cellStyle name="Followed Hyperlink 2" xfId="204" hidden="1"/>
    <cellStyle name="Followed Hyperlink 2" xfId="190" hidden="1"/>
    <cellStyle name="Followed Hyperlink 2" xfId="193" hidden="1"/>
    <cellStyle name="Followed Hyperlink 2" xfId="264" hidden="1"/>
    <cellStyle name="Followed Hyperlink 2" xfId="258" hidden="1"/>
    <cellStyle name="Followed Hyperlink 2" xfId="261" hidden="1"/>
    <cellStyle name="Followed Hyperlink 2" xfId="286" hidden="1"/>
    <cellStyle name="Followed Hyperlink 2" xfId="280" hidden="1"/>
    <cellStyle name="Followed Hyperlink 2" xfId="283" hidden="1"/>
    <cellStyle name="Followed Hyperlink 2" xfId="302" hidden="1"/>
    <cellStyle name="Followed Hyperlink 2" xfId="296" hidden="1"/>
    <cellStyle name="Followed Hyperlink 2" xfId="299" hidden="1"/>
    <cellStyle name="Followed Hyperlink 2" xfId="318" hidden="1"/>
    <cellStyle name="Followed Hyperlink 2" xfId="312" hidden="1"/>
    <cellStyle name="Followed Hyperlink 2" xfId="315" hidden="1"/>
    <cellStyle name="Followed Hyperlink 3" xfId="206" hidden="1"/>
    <cellStyle name="Followed Hyperlink 3" xfId="188" hidden="1"/>
    <cellStyle name="Followed Hyperlink 3" xfId="194" hidden="1"/>
    <cellStyle name="Followed Hyperlink 3" xfId="266" hidden="1"/>
    <cellStyle name="Followed Hyperlink 3" xfId="256" hidden="1"/>
    <cellStyle name="Followed Hyperlink 3" xfId="262" hidden="1"/>
    <cellStyle name="Followed Hyperlink 3" xfId="288" hidden="1"/>
    <cellStyle name="Followed Hyperlink 3" xfId="278" hidden="1"/>
    <cellStyle name="Followed Hyperlink 3" xfId="284" hidden="1"/>
    <cellStyle name="Followed Hyperlink 3" xfId="304" hidden="1"/>
    <cellStyle name="Followed Hyperlink 3" xfId="294" hidden="1"/>
    <cellStyle name="Followed Hyperlink 3" xfId="300" hidden="1"/>
    <cellStyle name="Followed Hyperlink 3" xfId="320" hidden="1"/>
    <cellStyle name="Followed Hyperlink 3" xfId="310" hidden="1"/>
    <cellStyle name="Followed Hyperlink 3" xfId="316" hidden="1"/>
    <cellStyle name="Followed Hyperlink 4" xfId="208" hidden="1"/>
    <cellStyle name="Followed Hyperlink 4" xfId="192" hidden="1"/>
    <cellStyle name="Followed Hyperlink 4" xfId="187" hidden="1"/>
    <cellStyle name="Followed Hyperlink 4" xfId="268" hidden="1"/>
    <cellStyle name="Followed Hyperlink 4" xfId="260" hidden="1"/>
    <cellStyle name="Followed Hyperlink 4" xfId="255" hidden="1"/>
    <cellStyle name="Followed Hyperlink 4" xfId="290" hidden="1"/>
    <cellStyle name="Followed Hyperlink 4" xfId="282" hidden="1"/>
    <cellStyle name="Followed Hyperlink 4" xfId="277" hidden="1"/>
    <cellStyle name="Followed Hyperlink 4" xfId="306" hidden="1"/>
    <cellStyle name="Followed Hyperlink 4" xfId="298" hidden="1"/>
    <cellStyle name="Followed Hyperlink 4" xfId="293" hidden="1"/>
    <cellStyle name="Followed Hyperlink 4" xfId="322" hidden="1"/>
    <cellStyle name="Followed Hyperlink 4" xfId="314" hidden="1"/>
    <cellStyle name="Followed Hyperlink 4" xfId="309" hidden="1"/>
    <cellStyle name="Good" xfId="6" builtinId="26" customBuiltin="1"/>
    <cellStyle name="Good 2" xfId="238"/>
    <cellStyle name="Heading 1" xfId="2" builtinId="16" customBuiltin="1"/>
    <cellStyle name="Heading 1 2" xfId="239"/>
    <cellStyle name="Heading 2" xfId="3" builtinId="17" customBuiltin="1"/>
    <cellStyle name="Heading 2 2" xfId="240"/>
    <cellStyle name="Heading 3" xfId="4" builtinId="18" customBuiltin="1"/>
    <cellStyle name="Heading 3 2" xfId="241"/>
    <cellStyle name="Heading 4" xfId="5" builtinId="19" customBuiltin="1"/>
    <cellStyle name="Heading 4 2" xfId="242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customBuiltin="1"/>
    <cellStyle name="Hyperlink 2" xfId="203" hidden="1"/>
    <cellStyle name="Hyperlink 2" xfId="186" hidden="1"/>
    <cellStyle name="Hyperlink 2" xfId="183" hidden="1"/>
    <cellStyle name="Hyperlink 2" xfId="263" hidden="1"/>
    <cellStyle name="Hyperlink 2" xfId="254" hidden="1"/>
    <cellStyle name="Hyperlink 2" xfId="251" hidden="1"/>
    <cellStyle name="Hyperlink 2" xfId="285" hidden="1"/>
    <cellStyle name="Hyperlink 2" xfId="276" hidden="1"/>
    <cellStyle name="Hyperlink 2" xfId="273" hidden="1"/>
    <cellStyle name="Hyperlink 2" xfId="301" hidden="1"/>
    <cellStyle name="Hyperlink 2" xfId="292" hidden="1"/>
    <cellStyle name="Hyperlink 2" xfId="271" hidden="1"/>
    <cellStyle name="Hyperlink 2" xfId="317" hidden="1"/>
    <cellStyle name="Hyperlink 2" xfId="308" hidden="1"/>
    <cellStyle name="Hyperlink 2" xfId="270" hidden="1"/>
    <cellStyle name="Hyperlink 3" xfId="205" hidden="1"/>
    <cellStyle name="Hyperlink 3" xfId="184" hidden="1"/>
    <cellStyle name="Hyperlink 3" xfId="185" hidden="1"/>
    <cellStyle name="Hyperlink 3" xfId="265" hidden="1"/>
    <cellStyle name="Hyperlink 3" xfId="252" hidden="1"/>
    <cellStyle name="Hyperlink 3" xfId="253" hidden="1"/>
    <cellStyle name="Hyperlink 3" xfId="287" hidden="1"/>
    <cellStyle name="Hyperlink 3" xfId="274" hidden="1"/>
    <cellStyle name="Hyperlink 3" xfId="275" hidden="1"/>
    <cellStyle name="Hyperlink 3" xfId="303" hidden="1"/>
    <cellStyle name="Hyperlink 3" xfId="269" hidden="1"/>
    <cellStyle name="Hyperlink 3" xfId="291" hidden="1"/>
    <cellStyle name="Hyperlink 3" xfId="319" hidden="1"/>
    <cellStyle name="Hyperlink 3" xfId="272" hidden="1"/>
    <cellStyle name="Hyperlink 3" xfId="307" hidden="1"/>
    <cellStyle name="Hyperlink 4" xfId="207" hidden="1"/>
    <cellStyle name="Hyperlink 4" xfId="189" hidden="1"/>
    <cellStyle name="Hyperlink 4" xfId="191" hidden="1"/>
    <cellStyle name="Hyperlink 4" xfId="267" hidden="1"/>
    <cellStyle name="Hyperlink 4" xfId="257" hidden="1"/>
    <cellStyle name="Hyperlink 4" xfId="259" hidden="1"/>
    <cellStyle name="Hyperlink 4" xfId="289" hidden="1"/>
    <cellStyle name="Hyperlink 4" xfId="279" hidden="1"/>
    <cellStyle name="Hyperlink 4" xfId="281" hidden="1"/>
    <cellStyle name="Hyperlink 4" xfId="305" hidden="1"/>
    <cellStyle name="Hyperlink 4" xfId="295" hidden="1"/>
    <cellStyle name="Hyperlink 4" xfId="297" hidden="1"/>
    <cellStyle name="Hyperlink 4" xfId="321" hidden="1"/>
    <cellStyle name="Hyperlink 4" xfId="311" hidden="1"/>
    <cellStyle name="Hyperlink 4" xfId="313" hidden="1"/>
    <cellStyle name="Input" xfId="9" builtinId="20" customBuiltin="1"/>
    <cellStyle name="Input 2" xfId="243"/>
    <cellStyle name="Linked Cell" xfId="12" builtinId="24" customBuiltin="1"/>
    <cellStyle name="Linked Cell 2" xfId="244"/>
    <cellStyle name="Neutral" xfId="8" builtinId="28" customBuiltin="1"/>
    <cellStyle name="Neutral 2" xfId="245"/>
    <cellStyle name="Normal" xfId="0" builtinId="0"/>
    <cellStyle name="Normal 2" xfId="209"/>
    <cellStyle name="Note" xfId="15" builtinId="10" customBuiltin="1"/>
    <cellStyle name="Note 2" xfId="246"/>
    <cellStyle name="Output" xfId="10" builtinId="21" customBuiltin="1"/>
    <cellStyle name="Output 2" xfId="247"/>
    <cellStyle name="Title" xfId="1" builtinId="15" customBuiltin="1"/>
    <cellStyle name="Title 2" xfId="248"/>
    <cellStyle name="Total" xfId="17" builtinId="25" customBuiltin="1"/>
    <cellStyle name="Total 2" xfId="249"/>
    <cellStyle name="Warning Text" xfId="14" builtinId="11" customBuiltin="1"/>
    <cellStyle name="Warning Text 2" xfId="250"/>
  </cellStyles>
  <dxfs count="6"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chartsheet" Target="chartsheets/sheet1.xml"/><Relationship Id="rId32" Type="http://schemas.openxmlformats.org/officeDocument/2006/relationships/worksheet" Target="worksheets/sheet3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US Average</a:t>
            </a:r>
            <a:r>
              <a:rPr lang="en-US" baseline="0"/>
              <a:t> Accessibility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27482454849671"/>
          <c:y val="0.0927616046307076"/>
          <c:w val="0.788383463056024"/>
          <c:h val="0.8019635242620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'US AVERAGE TRENDS'!$A$2</c:f>
              <c:strCache>
                <c:ptCount val="1"/>
                <c:pt idx="0">
                  <c:v>1990</c:v>
                </c:pt>
              </c:strCache>
            </c:strRef>
          </c:tx>
          <c:xVal>
            <c:numRef>
              <c:f>'US AVERAGE TRENDS'!$B$1:$J$1</c:f>
              <c:numCache>
                <c:formatCode>General</c:formatCode>
                <c:ptCount val="9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</c:numCache>
            </c:numRef>
          </c:xVal>
          <c:yVal>
            <c:numRef>
              <c:f>'US AVERAGE TRENDS'!$B$2:$J$2</c:f>
              <c:numCache>
                <c:formatCode>_(* #,##0_);_(* \(#,##0\);_(* "-"??_);_(@_)</c:formatCode>
                <c:ptCount val="9"/>
                <c:pt idx="0">
                  <c:v>145571.939865226</c:v>
                </c:pt>
                <c:pt idx="1">
                  <c:v>596250.6023908964</c:v>
                </c:pt>
                <c:pt idx="2">
                  <c:v>1.21421130636477E6</c:v>
                </c:pt>
                <c:pt idx="3">
                  <c:v>1.81903364556447E6</c:v>
                </c:pt>
                <c:pt idx="4">
                  <c:v>2.27501841985992E6</c:v>
                </c:pt>
                <c:pt idx="5">
                  <c:v>2.77617743189692E6</c:v>
                </c:pt>
                <c:pt idx="6">
                  <c:v>2.87225094291507E6</c:v>
                </c:pt>
                <c:pt idx="7">
                  <c:v>2.87225094291507E6</c:v>
                </c:pt>
                <c:pt idx="8">
                  <c:v>2.87225094291507E6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'US AVERAGE TRENDS'!$A$3</c:f>
              <c:strCache>
                <c:ptCount val="1"/>
                <c:pt idx="0">
                  <c:v>2000</c:v>
                </c:pt>
              </c:strCache>
            </c:strRef>
          </c:tx>
          <c:xVal>
            <c:numRef>
              <c:f>'US AVERAGE TRENDS'!$B$1:$J$1</c:f>
              <c:numCache>
                <c:formatCode>General</c:formatCode>
                <c:ptCount val="9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</c:numCache>
            </c:numRef>
          </c:xVal>
          <c:yVal>
            <c:numRef>
              <c:f>'US AVERAGE TRENDS'!$B$3:$J$3</c:f>
              <c:numCache>
                <c:formatCode>_(* #,##0_);_(* \(#,##0\);_(* "-"??_);_(@_)</c:formatCode>
                <c:ptCount val="9"/>
                <c:pt idx="0">
                  <c:v>103265.263782158</c:v>
                </c:pt>
                <c:pt idx="1">
                  <c:v>437600.9646231851</c:v>
                </c:pt>
                <c:pt idx="2">
                  <c:v>937494.7522103171</c:v>
                </c:pt>
                <c:pt idx="3">
                  <c:v>1.45278236685849E6</c:v>
                </c:pt>
                <c:pt idx="4">
                  <c:v>1.93587831089066E6</c:v>
                </c:pt>
                <c:pt idx="5">
                  <c:v>2.31475573302441E6</c:v>
                </c:pt>
                <c:pt idx="6">
                  <c:v>2.56417041348407E6</c:v>
                </c:pt>
                <c:pt idx="7">
                  <c:v>2.66164308659328E6</c:v>
                </c:pt>
                <c:pt idx="8">
                  <c:v>2.66164308659328E6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'US AVERAGE TRENDS'!$A$4</c:f>
              <c:strCache>
                <c:ptCount val="1"/>
                <c:pt idx="0">
                  <c:v>2010</c:v>
                </c:pt>
              </c:strCache>
            </c:strRef>
          </c:tx>
          <c:xVal>
            <c:numRef>
              <c:f>'US AVERAGE TRENDS'!$B$1:$J$1</c:f>
              <c:numCache>
                <c:formatCode>General</c:formatCode>
                <c:ptCount val="9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</c:numCache>
            </c:numRef>
          </c:xVal>
          <c:yVal>
            <c:numRef>
              <c:f>'US AVERAGE TRENDS'!$B$4:$J$4</c:f>
              <c:numCache>
                <c:formatCode>_(* #,##0_);_(* \(#,##0\);_(* "-"??_);_(@_)</c:formatCode>
                <c:ptCount val="9"/>
                <c:pt idx="0">
                  <c:v>122131.5327602883</c:v>
                </c:pt>
                <c:pt idx="1">
                  <c:v>524030.1612125532</c:v>
                </c:pt>
                <c:pt idx="2">
                  <c:v>1.09736160344263E6</c:v>
                </c:pt>
                <c:pt idx="3">
                  <c:v>1.70809045333367E6</c:v>
                </c:pt>
                <c:pt idx="4">
                  <c:v>2.12549419814063E6</c:v>
                </c:pt>
                <c:pt idx="5">
                  <c:v>2.36710608028807E6</c:v>
                </c:pt>
                <c:pt idx="6">
                  <c:v>2.45954454610678E6</c:v>
                </c:pt>
                <c:pt idx="7">
                  <c:v>2.45954454610678E6</c:v>
                </c:pt>
                <c:pt idx="8">
                  <c:v>2.45954454610678E6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156808"/>
        <c:axId val="2139153752"/>
      </c:scatterChart>
      <c:valAx>
        <c:axId val="2139156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39153752"/>
        <c:crosses val="autoZero"/>
        <c:crossBetween val="midCat"/>
      </c:valAx>
      <c:valAx>
        <c:axId val="21391537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Jobs reached by automobile</a:t>
                </a:r>
              </a:p>
            </c:rich>
          </c:tx>
          <c:layout>
            <c:manualLayout>
              <c:xMode val="edge"/>
              <c:yMode val="edge"/>
              <c:x val="0.00444210537606677"/>
              <c:y val="0.0517103681693719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21391568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211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7014" cy="583237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1" name="Table1" displayName="Table1" ref="A9:G60" totalsRowShown="0">
  <autoFilter ref="A9:G60"/>
  <tableColumns count="7">
    <tableColumn id="1" name="Area"/>
    <tableColumn id="2" name="10" dataDxfId="5" dataCellStyle="Comma"/>
    <tableColumn id="3" name="20" dataDxfId="4" dataCellStyle="Comma"/>
    <tableColumn id="4" name="30" dataDxfId="3" dataCellStyle="Comma"/>
    <tableColumn id="5" name="40" dataDxfId="2" dataCellStyle="Comma"/>
    <tableColumn id="6" name="50" dataDxfId="1" dataCellStyle="Comma"/>
    <tableColumn id="7" name="60" dataDxfId="0" dataCellStyle="Comm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90" zoomScaleNormal="90" zoomScalePageLayoutView="90" workbookViewId="0">
      <selection sqref="A1:Q53"/>
    </sheetView>
  </sheetViews>
  <sheetFormatPr baseColWidth="10" defaultColWidth="8.83203125" defaultRowHeight="14" x14ac:dyDescent="0"/>
  <cols>
    <col min="1" max="1" width="26" bestFit="1" customWidth="1"/>
    <col min="2" max="2" width="18.5" customWidth="1"/>
    <col min="3" max="3" width="17" customWidth="1"/>
    <col min="4" max="4" width="10.6640625" style="3" customWidth="1"/>
    <col min="5" max="5" width="15.33203125" customWidth="1"/>
    <col min="6" max="6" width="17.6640625" customWidth="1"/>
    <col min="7" max="7" width="27.6640625" customWidth="1"/>
    <col min="8" max="8" width="34" customWidth="1"/>
    <col min="9" max="9" width="11.5" customWidth="1"/>
    <col min="10" max="10" width="10.83203125" style="13" customWidth="1"/>
    <col min="11" max="11" width="12" style="22" customWidth="1"/>
    <col min="12" max="12" width="12.6640625" style="22" customWidth="1"/>
    <col min="13" max="13" width="12.33203125" style="20" customWidth="1"/>
    <col min="14" max="14" width="12.33203125" customWidth="1"/>
    <col min="15" max="15" width="12" customWidth="1"/>
    <col min="16" max="16" width="12.5" style="22" customWidth="1"/>
    <col min="17" max="17" width="8.83203125" style="18"/>
  </cols>
  <sheetData>
    <row r="1" spans="1:17" ht="30.75" customHeight="1">
      <c r="B1" s="1" t="s">
        <v>59</v>
      </c>
      <c r="C1" s="1" t="s">
        <v>60</v>
      </c>
      <c r="D1" s="7" t="s">
        <v>90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93</v>
      </c>
      <c r="J1" s="23" t="s">
        <v>78</v>
      </c>
      <c r="K1" s="21" t="s">
        <v>76</v>
      </c>
      <c r="L1" s="27" t="s">
        <v>103</v>
      </c>
      <c r="M1" s="19" t="s">
        <v>91</v>
      </c>
      <c r="N1" s="1" t="s">
        <v>89</v>
      </c>
      <c r="O1" s="1" t="s">
        <v>87</v>
      </c>
      <c r="P1" s="21" t="s">
        <v>88</v>
      </c>
      <c r="Q1" s="18" t="s">
        <v>102</v>
      </c>
    </row>
    <row r="2" spans="1:17" ht="16">
      <c r="A2" t="s">
        <v>16</v>
      </c>
      <c r="B2" s="18" t="s">
        <v>18</v>
      </c>
      <c r="C2" s="18"/>
      <c r="D2" s="3" t="s">
        <v>86</v>
      </c>
      <c r="E2" s="18" t="s">
        <v>17</v>
      </c>
      <c r="F2" s="18" t="s">
        <v>19</v>
      </c>
      <c r="G2" s="18" t="s">
        <v>22</v>
      </c>
      <c r="H2" s="18" t="s">
        <v>24</v>
      </c>
      <c r="L2" s="22">
        <f t="shared" ref="L2:L33" si="0">MIN(J2,K2)</f>
        <v>0</v>
      </c>
      <c r="M2" s="19" t="s">
        <v>91</v>
      </c>
      <c r="O2" s="18"/>
      <c r="Q2" s="13"/>
    </row>
    <row r="3" spans="1:17">
      <c r="A3" t="s">
        <v>26</v>
      </c>
      <c r="B3" s="4">
        <v>60.37546801014345</v>
      </c>
      <c r="C3" s="4">
        <v>63.997996090752061</v>
      </c>
      <c r="D3" s="2">
        <v>1.2804195867064025</v>
      </c>
      <c r="E3" s="4">
        <f t="shared" ref="E3:E34" si="1">B3/D3</f>
        <v>47.152877569958179</v>
      </c>
      <c r="F3" s="4">
        <f t="shared" ref="F3:F34" si="2">E3*0.5</f>
        <v>23.576438784979089</v>
      </c>
      <c r="G3" s="4">
        <f t="shared" ref="G3:G34" si="3">PI()*F3^2</f>
        <v>1746.2494566094686</v>
      </c>
      <c r="H3" s="4">
        <f t="shared" ref="H3:H34" si="4">J3/I3</f>
        <v>964.67391304347825</v>
      </c>
      <c r="I3" s="15">
        <v>2944</v>
      </c>
      <c r="J3" s="13">
        <v>2840000</v>
      </c>
      <c r="K3" s="22">
        <f t="shared" ref="K3:K34" si="5">G3*H3</f>
        <v>1684561.2964575037</v>
      </c>
      <c r="L3" s="22">
        <f t="shared" si="0"/>
        <v>1684561.2964575037</v>
      </c>
      <c r="M3" s="19" t="s">
        <v>91</v>
      </c>
      <c r="N3" s="18">
        <f t="shared" ref="N3:N34" si="6">O3/I3</f>
        <v>503.32235054347825</v>
      </c>
      <c r="O3" s="12">
        <v>1481781</v>
      </c>
      <c r="P3" s="22">
        <f t="shared" ref="P3:P34" si="7">G3*N3</f>
        <v>878926.3811359494</v>
      </c>
      <c r="Q3" s="13">
        <f t="shared" ref="Q3:Q34" si="8">MIN(P3,O3)</f>
        <v>878926.3811359494</v>
      </c>
    </row>
    <row r="4" spans="1:17">
      <c r="A4" s="18" t="s">
        <v>6</v>
      </c>
      <c r="B4" s="4">
        <v>63.478689145973746</v>
      </c>
      <c r="C4" s="4">
        <v>67.922197386191925</v>
      </c>
      <c r="D4" s="2">
        <v>1.3588386571923918</v>
      </c>
      <c r="E4" s="4">
        <f t="shared" si="1"/>
        <v>46.715398336644526</v>
      </c>
      <c r="F4" s="4">
        <f t="shared" si="2"/>
        <v>23.357699168322263</v>
      </c>
      <c r="G4" s="4">
        <f t="shared" si="3"/>
        <v>1713.9967500815412</v>
      </c>
      <c r="H4" s="4">
        <f t="shared" si="4"/>
        <v>932.86219081272088</v>
      </c>
      <c r="I4" s="15">
        <v>707.5</v>
      </c>
      <c r="J4" s="13">
        <v>660000</v>
      </c>
      <c r="K4" s="22">
        <f t="shared" si="5"/>
        <v>1598922.7633269501</v>
      </c>
      <c r="L4" s="22">
        <f t="shared" si="0"/>
        <v>660000</v>
      </c>
      <c r="M4" s="19" t="s">
        <v>91</v>
      </c>
      <c r="N4" s="18">
        <f t="shared" si="6"/>
        <v>571.04734982332161</v>
      </c>
      <c r="O4" s="12">
        <v>404016</v>
      </c>
      <c r="P4" s="22">
        <f t="shared" si="7"/>
        <v>978773.3017398502</v>
      </c>
      <c r="Q4" s="13">
        <f t="shared" si="8"/>
        <v>404016</v>
      </c>
    </row>
    <row r="5" spans="1:17">
      <c r="A5" t="s">
        <v>28</v>
      </c>
      <c r="B5" s="4">
        <v>60.37745029626894</v>
      </c>
      <c r="C5" s="4">
        <v>64.603871817007771</v>
      </c>
      <c r="D5" s="2">
        <v>1.2525850225273614</v>
      </c>
      <c r="E5" s="4">
        <f t="shared" si="1"/>
        <v>48.202277059360306</v>
      </c>
      <c r="F5" s="4">
        <f t="shared" si="2"/>
        <v>24.101138529680153</v>
      </c>
      <c r="G5" s="4">
        <f t="shared" si="3"/>
        <v>1824.8408347940676</v>
      </c>
      <c r="H5" s="4">
        <f t="shared" si="4"/>
        <v>1296.8393613554904</v>
      </c>
      <c r="I5" s="15">
        <v>1534.5</v>
      </c>
      <c r="J5" s="13">
        <v>1990000</v>
      </c>
      <c r="K5" s="22">
        <f t="shared" si="5"/>
        <v>2366525.4227697584</v>
      </c>
      <c r="L5" s="22">
        <f t="shared" si="0"/>
        <v>1990000</v>
      </c>
      <c r="M5" s="19" t="s">
        <v>91</v>
      </c>
      <c r="N5" s="18">
        <f t="shared" si="6"/>
        <v>776.67839687194521</v>
      </c>
      <c r="O5" s="12">
        <v>1191813</v>
      </c>
      <c r="P5" s="22">
        <f t="shared" si="7"/>
        <v>1417314.4541143186</v>
      </c>
      <c r="Q5" s="13">
        <f t="shared" si="8"/>
        <v>1191813</v>
      </c>
    </row>
    <row r="6" spans="1:17">
      <c r="A6" t="s">
        <v>29</v>
      </c>
      <c r="B6" s="4">
        <v>61.541690600746875</v>
      </c>
      <c r="C6" s="4">
        <v>67.695859660821569</v>
      </c>
      <c r="D6" s="2">
        <v>1.2423920941272546</v>
      </c>
      <c r="E6" s="4">
        <f t="shared" si="1"/>
        <v>49.534837586018426</v>
      </c>
      <c r="F6" s="4">
        <f t="shared" si="2"/>
        <v>24.767418793009213</v>
      </c>
      <c r="G6" s="4">
        <f t="shared" si="3"/>
        <v>1927.1315793004212</v>
      </c>
      <c r="H6" s="4">
        <f t="shared" si="4"/>
        <v>1563.9892556970801</v>
      </c>
      <c r="I6" s="15">
        <v>2308.1999999999998</v>
      </c>
      <c r="J6" s="13">
        <v>3610000</v>
      </c>
      <c r="K6" s="22">
        <f t="shared" si="5"/>
        <v>3014013.0843404043</v>
      </c>
      <c r="L6" s="22">
        <f t="shared" si="0"/>
        <v>3014013.0843404043</v>
      </c>
      <c r="M6" s="19" t="s">
        <v>91</v>
      </c>
      <c r="N6" s="18">
        <f t="shared" si="6"/>
        <v>927.87323455506464</v>
      </c>
      <c r="O6" s="12">
        <v>2141717</v>
      </c>
      <c r="P6" s="22">
        <f t="shared" si="7"/>
        <v>1788133.8118986918</v>
      </c>
      <c r="Q6" s="13">
        <f t="shared" si="8"/>
        <v>1788133.8118986918</v>
      </c>
    </row>
    <row r="7" spans="1:17">
      <c r="A7" t="s">
        <v>30</v>
      </c>
      <c r="B7" s="4">
        <v>73.27659816495958</v>
      </c>
      <c r="C7" s="4">
        <v>76.207662091557978</v>
      </c>
      <c r="D7" s="2">
        <v>1.2197720965912831</v>
      </c>
      <c r="E7" s="4">
        <f t="shared" si="1"/>
        <v>60.074007570541141</v>
      </c>
      <c r="F7" s="4">
        <f t="shared" si="2"/>
        <v>30.037003785270571</v>
      </c>
      <c r="G7" s="4">
        <f t="shared" si="3"/>
        <v>2834.4127391488555</v>
      </c>
      <c r="H7" s="4">
        <f t="shared" si="4"/>
        <v>1440.1622718052738</v>
      </c>
      <c r="I7" s="15">
        <v>739.5</v>
      </c>
      <c r="J7" s="13">
        <v>1065000</v>
      </c>
      <c r="K7" s="22">
        <f t="shared" si="5"/>
        <v>4082014.2896464248</v>
      </c>
      <c r="L7" s="22">
        <f t="shared" si="0"/>
        <v>1065000</v>
      </c>
      <c r="M7" s="19" t="s">
        <v>91</v>
      </c>
      <c r="N7" s="18">
        <f t="shared" si="6"/>
        <v>718.21771467207577</v>
      </c>
      <c r="O7" s="12">
        <v>531122</v>
      </c>
      <c r="P7" s="22">
        <f t="shared" si="7"/>
        <v>2035725.4399489095</v>
      </c>
      <c r="Q7" s="13">
        <f t="shared" si="8"/>
        <v>531122</v>
      </c>
    </row>
    <row r="8" spans="1:17">
      <c r="A8" t="s">
        <v>31</v>
      </c>
      <c r="B8" s="4">
        <v>66.908176577055386</v>
      </c>
      <c r="C8" s="4">
        <v>71.591748937449267</v>
      </c>
      <c r="D8" s="2">
        <v>1.2963499404090038</v>
      </c>
      <c r="E8" s="4">
        <f t="shared" si="1"/>
        <v>51.612743204157958</v>
      </c>
      <c r="F8" s="4">
        <f t="shared" si="2"/>
        <v>25.806371602078979</v>
      </c>
      <c r="G8" s="4">
        <f t="shared" si="3"/>
        <v>2092.2027375551288</v>
      </c>
      <c r="H8" s="4">
        <f t="shared" si="4"/>
        <v>862.48203162434118</v>
      </c>
      <c r="I8" s="15">
        <v>626.1</v>
      </c>
      <c r="J8" s="13">
        <v>540000</v>
      </c>
      <c r="K8" s="22">
        <f t="shared" si="5"/>
        <v>1804487.2676565559</v>
      </c>
      <c r="L8" s="22">
        <f t="shared" si="0"/>
        <v>540000</v>
      </c>
      <c r="M8" s="19" t="s">
        <v>91</v>
      </c>
      <c r="N8" s="18">
        <f t="shared" si="6"/>
        <v>966.06931800031941</v>
      </c>
      <c r="O8" s="12">
        <v>604856</v>
      </c>
      <c r="P8" s="22">
        <f t="shared" si="7"/>
        <v>2021212.8717882845</v>
      </c>
      <c r="Q8" s="13">
        <f t="shared" si="8"/>
        <v>604856</v>
      </c>
    </row>
    <row r="9" spans="1:17">
      <c r="A9" t="s">
        <v>32</v>
      </c>
      <c r="B9" s="4">
        <v>59.830534500000006</v>
      </c>
      <c r="C9" s="4">
        <v>64.616977260000013</v>
      </c>
      <c r="D9" s="2">
        <v>1.230649613698569</v>
      </c>
      <c r="E9" s="4">
        <f t="shared" si="1"/>
        <v>48.617034315873674</v>
      </c>
      <c r="F9" s="4">
        <f t="shared" si="2"/>
        <v>24.308517157936837</v>
      </c>
      <c r="G9" s="4">
        <f t="shared" si="3"/>
        <v>1856.3796855386527</v>
      </c>
      <c r="H9" s="4">
        <f t="shared" si="4"/>
        <v>1830.0112091232515</v>
      </c>
      <c r="I9" s="18">
        <v>4103.8</v>
      </c>
      <c r="J9" s="13">
        <v>7510000</v>
      </c>
      <c r="K9" s="22">
        <f t="shared" si="5"/>
        <v>3397195.6329244315</v>
      </c>
      <c r="L9" s="22">
        <f t="shared" si="0"/>
        <v>3397195.6329244315</v>
      </c>
      <c r="M9" s="19" t="s">
        <v>91</v>
      </c>
      <c r="N9" s="18">
        <f t="shared" si="6"/>
        <v>936.04391052195524</v>
      </c>
      <c r="O9" s="12">
        <v>3841337</v>
      </c>
      <c r="P9" s="22">
        <f t="shared" si="7"/>
        <v>1737652.9002651181</v>
      </c>
      <c r="Q9" s="13">
        <f t="shared" si="8"/>
        <v>1737652.9002651181</v>
      </c>
    </row>
    <row r="10" spans="1:17">
      <c r="A10" t="s">
        <v>33</v>
      </c>
      <c r="B10" s="4">
        <v>67.518821168909824</v>
      </c>
      <c r="C10" s="4">
        <v>74.270703285800806</v>
      </c>
      <c r="D10" s="2">
        <v>1.3292592058969801</v>
      </c>
      <c r="E10" s="4">
        <f t="shared" si="1"/>
        <v>50.794322784733566</v>
      </c>
      <c r="F10" s="4">
        <f t="shared" si="2"/>
        <v>25.397161392366783</v>
      </c>
      <c r="G10" s="4">
        <f t="shared" si="3"/>
        <v>2026.3769200605248</v>
      </c>
      <c r="H10" s="4">
        <f t="shared" si="4"/>
        <v>860.24750980984004</v>
      </c>
      <c r="I10" s="15">
        <v>1325.2</v>
      </c>
      <c r="J10" s="13">
        <v>1140000</v>
      </c>
      <c r="K10" s="22">
        <f t="shared" si="5"/>
        <v>1743185.6994181997</v>
      </c>
      <c r="L10" s="22">
        <f t="shared" si="0"/>
        <v>1140000</v>
      </c>
      <c r="M10" s="19" t="s">
        <v>91</v>
      </c>
      <c r="N10" s="18">
        <f t="shared" si="6"/>
        <v>613.31572592816178</v>
      </c>
      <c r="O10" s="12">
        <v>812766</v>
      </c>
      <c r="P10" s="22">
        <f t="shared" si="7"/>
        <v>1242808.8317309935</v>
      </c>
      <c r="Q10" s="13">
        <f t="shared" si="8"/>
        <v>812766</v>
      </c>
    </row>
    <row r="11" spans="1:17">
      <c r="A11" t="s">
        <v>34</v>
      </c>
      <c r="B11" s="4">
        <v>70.270147843682068</v>
      </c>
      <c r="C11" s="4">
        <v>77.297162628050287</v>
      </c>
      <c r="D11" s="2">
        <v>1.2049847148423478</v>
      </c>
      <c r="E11" s="4">
        <f t="shared" si="1"/>
        <v>58.316215117198183</v>
      </c>
      <c r="F11" s="4">
        <f t="shared" si="2"/>
        <v>29.158107558599092</v>
      </c>
      <c r="G11" s="4">
        <f t="shared" si="3"/>
        <v>2670.9671087876127</v>
      </c>
      <c r="H11" s="4">
        <f t="shared" si="4"/>
        <v>1068.6095931997572</v>
      </c>
      <c r="I11" s="15">
        <v>1647</v>
      </c>
      <c r="J11" s="13">
        <v>1760000</v>
      </c>
      <c r="K11" s="22">
        <f t="shared" si="5"/>
        <v>2854221.0755714625</v>
      </c>
      <c r="L11" s="22">
        <f t="shared" si="0"/>
        <v>1760000</v>
      </c>
      <c r="M11" s="19" t="s">
        <v>91</v>
      </c>
      <c r="N11" s="18">
        <f t="shared" si="6"/>
        <v>754.15846994535514</v>
      </c>
      <c r="O11" s="12">
        <v>1242099</v>
      </c>
      <c r="P11" s="22">
        <f t="shared" si="7"/>
        <v>2014332.4680376349</v>
      </c>
      <c r="Q11" s="13">
        <f t="shared" si="8"/>
        <v>1242099</v>
      </c>
    </row>
    <row r="12" spans="1:17">
      <c r="A12" t="s">
        <v>35</v>
      </c>
      <c r="B12" s="4">
        <v>67.725932932724078</v>
      </c>
      <c r="C12" s="4">
        <v>77.20756354330544</v>
      </c>
      <c r="D12" s="2">
        <v>1.2627799319268018</v>
      </c>
      <c r="E12" s="4">
        <f t="shared" si="1"/>
        <v>53.632411491830609</v>
      </c>
      <c r="F12" s="4">
        <f t="shared" si="2"/>
        <v>26.816205745915305</v>
      </c>
      <c r="G12" s="4">
        <f t="shared" si="3"/>
        <v>2259.1472078628776</v>
      </c>
      <c r="H12" s="4">
        <f t="shared" si="4"/>
        <v>973.91693719914929</v>
      </c>
      <c r="I12" s="15">
        <v>893.3</v>
      </c>
      <c r="J12" s="13">
        <v>870000</v>
      </c>
      <c r="K12" s="22">
        <f t="shared" si="5"/>
        <v>2200221.7293638238</v>
      </c>
      <c r="L12" s="22">
        <f t="shared" si="0"/>
        <v>870000</v>
      </c>
      <c r="M12" s="19" t="s">
        <v>91</v>
      </c>
      <c r="N12" s="18">
        <f t="shared" si="6"/>
        <v>758.82570245158411</v>
      </c>
      <c r="O12" s="12">
        <v>677859</v>
      </c>
      <c r="P12" s="22">
        <f t="shared" si="7"/>
        <v>1714298.9669480829</v>
      </c>
      <c r="Q12" s="13">
        <f t="shared" si="8"/>
        <v>677859</v>
      </c>
    </row>
    <row r="13" spans="1:17">
      <c r="A13" t="s">
        <v>61</v>
      </c>
      <c r="B13" s="4">
        <v>66.03146949483623</v>
      </c>
      <c r="C13" s="4">
        <v>76.596504614010016</v>
      </c>
      <c r="D13" s="2">
        <v>1.3065070711215105</v>
      </c>
      <c r="E13" s="4">
        <f t="shared" si="1"/>
        <v>50.540460862683716</v>
      </c>
      <c r="F13" s="4">
        <f t="shared" si="2"/>
        <v>25.270230431341858</v>
      </c>
      <c r="G13" s="4">
        <f t="shared" si="3"/>
        <v>2006.1725185764426</v>
      </c>
      <c r="H13" s="4">
        <f t="shared" si="4"/>
        <v>869.56521739130437</v>
      </c>
      <c r="I13" s="15">
        <v>3737.5</v>
      </c>
      <c r="J13" s="13">
        <v>3250000</v>
      </c>
      <c r="K13" s="22">
        <f t="shared" si="5"/>
        <v>1744497.842240385</v>
      </c>
      <c r="L13" s="22">
        <f t="shared" si="0"/>
        <v>1744497.842240385</v>
      </c>
      <c r="M13" s="19" t="s">
        <v>91</v>
      </c>
      <c r="N13" s="18">
        <f t="shared" si="6"/>
        <v>528.85779264214045</v>
      </c>
      <c r="O13" s="12">
        <v>1976606</v>
      </c>
      <c r="P13" s="22">
        <f t="shared" si="7"/>
        <v>1060979.9698336609</v>
      </c>
      <c r="Q13" s="13">
        <f t="shared" si="8"/>
        <v>1060979.9698336609</v>
      </c>
    </row>
    <row r="14" spans="1:17">
      <c r="A14" s="18" t="s">
        <v>36</v>
      </c>
      <c r="B14" s="4">
        <v>65.002140793217592</v>
      </c>
      <c r="C14" s="4">
        <v>76.052504728064577</v>
      </c>
      <c r="D14" s="2">
        <v>1.3654162762477409</v>
      </c>
      <c r="E14" s="4">
        <f t="shared" si="1"/>
        <v>47.606097806192857</v>
      </c>
      <c r="F14" s="4">
        <f t="shared" si="2"/>
        <v>23.803048903096428</v>
      </c>
      <c r="G14" s="4">
        <f t="shared" si="3"/>
        <v>1779.9797042937471</v>
      </c>
      <c r="H14" s="4">
        <f t="shared" si="4"/>
        <v>1329.5186805789297</v>
      </c>
      <c r="I14" s="15">
        <v>1188.4000000000001</v>
      </c>
      <c r="J14" s="13">
        <v>1580000</v>
      </c>
      <c r="K14" s="22">
        <f t="shared" si="5"/>
        <v>2366516.2679098961</v>
      </c>
      <c r="L14" s="22">
        <f t="shared" si="0"/>
        <v>1580000</v>
      </c>
      <c r="M14" s="19" t="s">
        <v>91</v>
      </c>
      <c r="N14" s="18">
        <f t="shared" si="6"/>
        <v>811.94210703466842</v>
      </c>
      <c r="O14" s="12">
        <v>964912</v>
      </c>
      <c r="P14" s="22">
        <f t="shared" si="7"/>
        <v>1445240.4715832111</v>
      </c>
      <c r="Q14" s="13">
        <f t="shared" si="8"/>
        <v>964912</v>
      </c>
    </row>
    <row r="15" spans="1:17">
      <c r="A15" t="s">
        <v>37</v>
      </c>
      <c r="B15" s="4">
        <v>59.740126684000487</v>
      </c>
      <c r="C15" s="4">
        <v>69.895948220280573</v>
      </c>
      <c r="D15" s="2">
        <v>1.2288145856552757</v>
      </c>
      <c r="E15" s="4">
        <f t="shared" si="1"/>
        <v>48.616062489316533</v>
      </c>
      <c r="F15" s="4">
        <f t="shared" si="2"/>
        <v>24.308031244658267</v>
      </c>
      <c r="G15" s="4">
        <f t="shared" si="3"/>
        <v>1856.3054703557366</v>
      </c>
      <c r="H15" s="4">
        <f t="shared" si="4"/>
        <v>1369.2488100986411</v>
      </c>
      <c r="I15" s="15">
        <v>2899.4</v>
      </c>
      <c r="J15" s="13">
        <v>3970000</v>
      </c>
      <c r="K15" s="22">
        <f t="shared" si="5"/>
        <v>2541744.0564641906</v>
      </c>
      <c r="L15" s="22">
        <f t="shared" si="0"/>
        <v>2541744.0564641906</v>
      </c>
      <c r="M15" s="19" t="s">
        <v>91</v>
      </c>
      <c r="N15" s="18">
        <f t="shared" si="6"/>
        <v>717.34841691384418</v>
      </c>
      <c r="O15" s="12">
        <v>2079880</v>
      </c>
      <c r="P15" s="22">
        <f t="shared" si="7"/>
        <v>1331617.7904681966</v>
      </c>
      <c r="Q15" s="13">
        <f t="shared" si="8"/>
        <v>1331617.7904681966</v>
      </c>
    </row>
    <row r="16" spans="1:17" ht="16">
      <c r="A16" s="18" t="s">
        <v>100</v>
      </c>
      <c r="B16" s="24">
        <v>70.939381203745498</v>
      </c>
      <c r="C16" s="24">
        <v>83.70846982041968</v>
      </c>
      <c r="D16" s="2">
        <v>1.2825248470877721</v>
      </c>
      <c r="E16" s="4">
        <f t="shared" si="1"/>
        <v>55.312286046408751</v>
      </c>
      <c r="F16" s="4">
        <f t="shared" si="2"/>
        <v>27.656143023204375</v>
      </c>
      <c r="G16" s="4">
        <f t="shared" si="3"/>
        <v>2402.8856159318534</v>
      </c>
      <c r="H16" s="4">
        <f t="shared" si="4"/>
        <v>1190.58976132826</v>
      </c>
      <c r="I16" s="15">
        <v>578.20000000000005</v>
      </c>
      <c r="J16" s="26">
        <v>688399</v>
      </c>
      <c r="K16" s="22">
        <f t="shared" si="5"/>
        <v>2860851.0119714146</v>
      </c>
      <c r="L16" s="22">
        <f t="shared" si="0"/>
        <v>688399</v>
      </c>
      <c r="M16" s="19" t="s">
        <v>91</v>
      </c>
      <c r="N16" s="18">
        <f t="shared" si="6"/>
        <v>693.86025596679349</v>
      </c>
      <c r="O16" s="12">
        <f>337335+63855</f>
        <v>401190</v>
      </c>
      <c r="P16" s="22">
        <f t="shared" si="7"/>
        <v>1667266.8285294021</v>
      </c>
      <c r="Q16" s="13">
        <f t="shared" si="8"/>
        <v>401190</v>
      </c>
    </row>
    <row r="17" spans="1:17">
      <c r="A17" t="s">
        <v>511</v>
      </c>
      <c r="B17" s="4">
        <v>64.898649256812377</v>
      </c>
      <c r="C17" s="4">
        <v>85.666217018992342</v>
      </c>
      <c r="D17" s="2">
        <v>1.3571400798530551</v>
      </c>
      <c r="E17" s="4">
        <f t="shared" si="1"/>
        <v>47.820155207441303</v>
      </c>
      <c r="F17" s="4">
        <f t="shared" si="2"/>
        <v>23.910077603720651</v>
      </c>
      <c r="G17" s="4">
        <f t="shared" si="3"/>
        <v>1796.0227936051338</v>
      </c>
      <c r="H17" s="4">
        <f t="shared" si="4"/>
        <v>770.84181744138687</v>
      </c>
      <c r="I17" s="14">
        <v>1718.9</v>
      </c>
      <c r="J17" s="13">
        <v>1325000</v>
      </c>
      <c r="K17" s="22">
        <f t="shared" si="5"/>
        <v>1384449.4743887382</v>
      </c>
      <c r="L17" s="22">
        <f t="shared" si="0"/>
        <v>1325000</v>
      </c>
      <c r="M17" s="19" t="s">
        <v>91</v>
      </c>
      <c r="N17" s="18">
        <f t="shared" si="6"/>
        <v>406.65483739600904</v>
      </c>
      <c r="O17" s="12">
        <v>698999</v>
      </c>
      <c r="P17" s="22">
        <f t="shared" si="7"/>
        <v>730361.35709302162</v>
      </c>
      <c r="Q17" s="13">
        <f t="shared" si="8"/>
        <v>698999</v>
      </c>
    </row>
    <row r="18" spans="1:17">
      <c r="A18" t="s">
        <v>38</v>
      </c>
      <c r="B18" s="4">
        <v>70.550117521710789</v>
      </c>
      <c r="C18" s="4">
        <v>84.660141026052941</v>
      </c>
      <c r="D18" s="2">
        <v>1.3223701939914507</v>
      </c>
      <c r="E18" s="4">
        <f t="shared" si="1"/>
        <v>53.351261123605532</v>
      </c>
      <c r="F18" s="4">
        <f t="shared" si="2"/>
        <v>26.675630561802766</v>
      </c>
      <c r="G18" s="4">
        <f t="shared" si="3"/>
        <v>2235.523610029873</v>
      </c>
      <c r="H18" s="4">
        <f t="shared" si="4"/>
        <v>1320.2112337974077</v>
      </c>
      <c r="I18" s="14">
        <v>624.9</v>
      </c>
      <c r="J18" s="13">
        <v>825000</v>
      </c>
      <c r="K18" s="22">
        <f t="shared" si="5"/>
        <v>2951363.3833807735</v>
      </c>
      <c r="L18" s="22">
        <f t="shared" si="0"/>
        <v>825000</v>
      </c>
      <c r="M18" s="19" t="s">
        <v>91</v>
      </c>
      <c r="N18" s="18">
        <f t="shared" si="6"/>
        <v>899.29428708593377</v>
      </c>
      <c r="O18" s="12">
        <v>561969</v>
      </c>
      <c r="P18" s="22">
        <f t="shared" si="7"/>
        <v>2010393.6111455876</v>
      </c>
      <c r="Q18" s="13">
        <f t="shared" si="8"/>
        <v>561969</v>
      </c>
    </row>
    <row r="19" spans="1:17" ht="16">
      <c r="A19" s="18" t="s">
        <v>99</v>
      </c>
      <c r="B19" s="24">
        <v>61.851770964117151</v>
      </c>
      <c r="C19" s="24">
        <v>73.60360744729941</v>
      </c>
      <c r="D19" s="2">
        <v>1.3847021462356206</v>
      </c>
      <c r="E19" s="4">
        <f t="shared" si="1"/>
        <v>44.667924529664496</v>
      </c>
      <c r="F19" s="4">
        <f t="shared" si="2"/>
        <v>22.333962264832248</v>
      </c>
      <c r="G19" s="4">
        <f t="shared" si="3"/>
        <v>1567.0448581636026</v>
      </c>
      <c r="H19" s="4">
        <f t="shared" si="4"/>
        <v>2328.0373051224947</v>
      </c>
      <c r="I19" s="14">
        <v>359.2</v>
      </c>
      <c r="J19" s="26">
        <v>836231</v>
      </c>
      <c r="K19" s="22">
        <f t="shared" si="5"/>
        <v>3648138.8886052552</v>
      </c>
      <c r="L19" s="22">
        <f t="shared" si="0"/>
        <v>836231</v>
      </c>
      <c r="M19" s="19" t="s">
        <v>91</v>
      </c>
      <c r="N19" s="18">
        <f t="shared" si="6"/>
        <v>1218.0345211581291</v>
      </c>
      <c r="O19" s="12">
        <v>437518</v>
      </c>
      <c r="P19" s="22">
        <f t="shared" si="7"/>
        <v>1908714.733446612</v>
      </c>
      <c r="Q19" s="13">
        <f t="shared" si="8"/>
        <v>437518</v>
      </c>
    </row>
    <row r="20" spans="1:17">
      <c r="A20" t="s">
        <v>39</v>
      </c>
      <c r="B20" s="25">
        <v>61.865929871835121</v>
      </c>
      <c r="C20" s="25">
        <v>73.620456547483784</v>
      </c>
      <c r="D20" s="2">
        <v>1.3197846089200058</v>
      </c>
      <c r="E20" s="4">
        <f t="shared" si="1"/>
        <v>46.875777648642746</v>
      </c>
      <c r="F20" s="4">
        <f t="shared" si="2"/>
        <v>23.437888824321373</v>
      </c>
      <c r="G20" s="4">
        <f t="shared" si="3"/>
        <v>1725.7856459540355</v>
      </c>
      <c r="H20" s="4">
        <f t="shared" si="4"/>
        <v>951.03794313448986</v>
      </c>
      <c r="I20" s="14">
        <v>3049.3</v>
      </c>
      <c r="J20" s="13">
        <v>2900000</v>
      </c>
      <c r="K20" s="22">
        <f t="shared" si="5"/>
        <v>1641287.6310191529</v>
      </c>
      <c r="L20" s="22">
        <f t="shared" si="0"/>
        <v>1641287.6310191529</v>
      </c>
      <c r="M20" s="19" t="s">
        <v>91</v>
      </c>
      <c r="N20" s="18">
        <f t="shared" si="6"/>
        <v>577.11474764700097</v>
      </c>
      <c r="O20" s="12">
        <v>1759796</v>
      </c>
      <c r="P20" s="22">
        <f t="shared" si="7"/>
        <v>995976.34755757975</v>
      </c>
      <c r="Q20" s="13">
        <f t="shared" si="8"/>
        <v>995976.34755757975</v>
      </c>
    </row>
    <row r="21" spans="1:17">
      <c r="A21" t="s">
        <v>40</v>
      </c>
      <c r="B21" s="25">
        <v>66.181816591922129</v>
      </c>
      <c r="C21" s="25">
        <v>78.094543578468105</v>
      </c>
      <c r="D21" s="2">
        <v>1.2722485093794627</v>
      </c>
      <c r="E21" s="4">
        <f t="shared" si="1"/>
        <v>52.019567013839314</v>
      </c>
      <c r="F21" s="4">
        <f t="shared" si="2"/>
        <v>26.009783506919657</v>
      </c>
      <c r="G21" s="4">
        <f t="shared" si="3"/>
        <v>2125.3151957907353</v>
      </c>
      <c r="H21" s="4">
        <f t="shared" si="4"/>
        <v>778.16205533596838</v>
      </c>
      <c r="I21" s="14">
        <v>1214.4000000000001</v>
      </c>
      <c r="J21" s="13">
        <v>945000</v>
      </c>
      <c r="K21" s="22">
        <f t="shared" si="5"/>
        <v>1653839.6409932845</v>
      </c>
      <c r="L21" s="22">
        <f t="shared" si="0"/>
        <v>945000</v>
      </c>
      <c r="M21" s="19" t="s">
        <v>91</v>
      </c>
      <c r="N21" s="18">
        <f t="shared" si="6"/>
        <v>514.63356389986825</v>
      </c>
      <c r="O21" s="12">
        <v>624971</v>
      </c>
      <c r="P21" s="22">
        <f t="shared" si="7"/>
        <v>1093758.5336203324</v>
      </c>
      <c r="Q21" s="13">
        <f t="shared" si="8"/>
        <v>624971</v>
      </c>
    </row>
    <row r="22" spans="1:17">
      <c r="A22" s="18" t="s">
        <v>2</v>
      </c>
      <c r="B22" s="25">
        <v>65.10221093956217</v>
      </c>
      <c r="C22" s="25">
        <v>72.914476252309626</v>
      </c>
      <c r="D22" s="2">
        <v>1.3359338217910093</v>
      </c>
      <c r="E22" s="4">
        <f t="shared" si="1"/>
        <v>48.73161370544792</v>
      </c>
      <c r="F22" s="4">
        <f t="shared" si="2"/>
        <v>24.36580685272396</v>
      </c>
      <c r="G22" s="4">
        <f t="shared" si="3"/>
        <v>1865.1401334153175</v>
      </c>
      <c r="H22" s="4">
        <f t="shared" si="4"/>
        <v>1078.3820073850286</v>
      </c>
      <c r="I22" s="14">
        <v>1191.5999999999999</v>
      </c>
      <c r="J22" s="13">
        <v>1285000</v>
      </c>
      <c r="K22" s="22">
        <f t="shared" si="5"/>
        <v>2011333.56112679</v>
      </c>
      <c r="L22" s="22">
        <f t="shared" si="0"/>
        <v>1285000</v>
      </c>
      <c r="M22" s="19" t="s">
        <v>91</v>
      </c>
      <c r="N22" s="18">
        <f t="shared" si="6"/>
        <v>643.63293051359517</v>
      </c>
      <c r="O22" s="13">
        <v>766953</v>
      </c>
      <c r="P22" s="22">
        <f t="shared" si="7"/>
        <v>1200465.6098886186</v>
      </c>
      <c r="Q22" s="13">
        <f t="shared" si="8"/>
        <v>766953</v>
      </c>
    </row>
    <row r="23" spans="1:17">
      <c r="A23" s="18" t="s">
        <v>9</v>
      </c>
      <c r="B23" s="24">
        <v>55.540281389808555</v>
      </c>
      <c r="C23" s="24">
        <v>57.206489831502807</v>
      </c>
      <c r="D23" s="2">
        <v>1.367147891752108</v>
      </c>
      <c r="E23" s="4">
        <f t="shared" si="1"/>
        <v>40.6249256023277</v>
      </c>
      <c r="F23" s="4">
        <f t="shared" si="2"/>
        <v>20.31246280116385</v>
      </c>
      <c r="G23" s="4">
        <f t="shared" si="3"/>
        <v>1296.2090181843553</v>
      </c>
      <c r="H23" s="4">
        <f t="shared" si="4"/>
        <v>547.57015742642022</v>
      </c>
      <c r="I23" s="14">
        <v>1314.9</v>
      </c>
      <c r="J23" s="13">
        <v>720000</v>
      </c>
      <c r="K23" s="22">
        <f t="shared" si="5"/>
        <v>709765.37614475295</v>
      </c>
      <c r="L23" s="22">
        <f t="shared" si="0"/>
        <v>709765.37614475295</v>
      </c>
      <c r="M23" s="19" t="s">
        <v>91</v>
      </c>
      <c r="N23" s="18">
        <f t="shared" si="6"/>
        <v>337.57852308160312</v>
      </c>
      <c r="O23" s="12">
        <v>443882</v>
      </c>
      <c r="P23" s="22">
        <f t="shared" si="7"/>
        <v>437572.32596372953</v>
      </c>
      <c r="Q23" s="13">
        <f t="shared" si="8"/>
        <v>437572.32596372953</v>
      </c>
    </row>
    <row r="24" spans="1:17">
      <c r="A24" t="s">
        <v>74</v>
      </c>
      <c r="B24" s="25">
        <v>63.219918440805898</v>
      </c>
      <c r="C24" s="25">
        <v>65.116515994030081</v>
      </c>
      <c r="D24" s="2">
        <v>1.2881189492290259</v>
      </c>
      <c r="E24" s="4">
        <f t="shared" si="1"/>
        <v>49.079255047559649</v>
      </c>
      <c r="F24" s="4">
        <f t="shared" si="2"/>
        <v>24.539627523779824</v>
      </c>
      <c r="G24" s="4">
        <f t="shared" si="3"/>
        <v>1891.8461070296405</v>
      </c>
      <c r="H24" s="4">
        <f t="shared" si="4"/>
        <v>587.90735391009071</v>
      </c>
      <c r="I24" s="14">
        <v>1973.1</v>
      </c>
      <c r="J24" s="13">
        <v>1160000</v>
      </c>
      <c r="K24" s="22">
        <f t="shared" si="5"/>
        <v>1112230.2387889023</v>
      </c>
      <c r="L24" s="22">
        <f t="shared" si="0"/>
        <v>1112230.2387889023</v>
      </c>
      <c r="M24" s="19" t="s">
        <v>91</v>
      </c>
      <c r="N24" s="18">
        <f t="shared" si="6"/>
        <v>390.91227003192949</v>
      </c>
      <c r="O24" s="12">
        <v>771309</v>
      </c>
      <c r="P24" s="22">
        <f t="shared" si="7"/>
        <v>739545.85625002545</v>
      </c>
      <c r="Q24" s="13">
        <f t="shared" si="8"/>
        <v>739545.85625002545</v>
      </c>
    </row>
    <row r="25" spans="1:17">
      <c r="A25" s="18" t="s">
        <v>10</v>
      </c>
      <c r="B25" s="24">
        <v>58.291697709553844</v>
      </c>
      <c r="C25" s="24">
        <v>60.040448640840452</v>
      </c>
      <c r="D25" s="2">
        <v>1.3334070755044698</v>
      </c>
      <c r="E25" s="4">
        <f t="shared" si="1"/>
        <v>43.716355477940049</v>
      </c>
      <c r="F25" s="4">
        <f t="shared" si="2"/>
        <v>21.858177738970024</v>
      </c>
      <c r="G25" s="4">
        <f t="shared" si="3"/>
        <v>1500.9899309019161</v>
      </c>
      <c r="H25" s="4">
        <f t="shared" si="4"/>
        <v>1175.4827875734677</v>
      </c>
      <c r="I25" s="14">
        <v>595.5</v>
      </c>
      <c r="J25" s="13">
        <v>700000</v>
      </c>
      <c r="K25" s="22">
        <f t="shared" si="5"/>
        <v>1764387.8280962911</v>
      </c>
      <c r="L25" s="22">
        <f t="shared" si="0"/>
        <v>700000</v>
      </c>
      <c r="M25" s="19" t="s">
        <v>91</v>
      </c>
      <c r="N25" s="18">
        <f t="shared" si="6"/>
        <v>623.22082283795135</v>
      </c>
      <c r="O25" s="12">
        <v>371128</v>
      </c>
      <c r="P25" s="22">
        <f t="shared" si="7"/>
        <v>935448.17980817182</v>
      </c>
      <c r="Q25" s="13">
        <f t="shared" si="8"/>
        <v>371128</v>
      </c>
    </row>
    <row r="26" spans="1:17">
      <c r="A26" t="s">
        <v>63</v>
      </c>
      <c r="B26" s="25">
        <v>48.116227796764051</v>
      </c>
      <c r="C26" s="25">
        <v>49.559714630666974</v>
      </c>
      <c r="D26" s="2">
        <v>1.2467601620257738</v>
      </c>
      <c r="E26" s="4">
        <f t="shared" si="1"/>
        <v>38.593010317704845</v>
      </c>
      <c r="F26" s="4">
        <f t="shared" si="2"/>
        <v>19.296505158852423</v>
      </c>
      <c r="G26" s="4">
        <f t="shared" si="3"/>
        <v>1169.7880823300036</v>
      </c>
      <c r="H26" s="4">
        <f t="shared" si="4"/>
        <v>2243.0420521281399</v>
      </c>
      <c r="I26" s="14">
        <v>5091.3</v>
      </c>
      <c r="J26" s="13">
        <v>11420000</v>
      </c>
      <c r="K26" s="22">
        <f t="shared" si="5"/>
        <v>2623883.8607445327</v>
      </c>
      <c r="L26" s="22">
        <f t="shared" si="0"/>
        <v>2623883.8607445327</v>
      </c>
      <c r="M26" s="19" t="s">
        <v>91</v>
      </c>
      <c r="N26" s="18">
        <f t="shared" si="6"/>
        <v>1337.3878970007659</v>
      </c>
      <c r="O26" s="12">
        <v>6809043</v>
      </c>
      <c r="P26" s="22">
        <f t="shared" si="7"/>
        <v>1564460.4233638823</v>
      </c>
      <c r="Q26" s="13">
        <f t="shared" si="8"/>
        <v>1564460.4233638823</v>
      </c>
    </row>
    <row r="27" spans="1:17">
      <c r="A27" s="18" t="s">
        <v>11</v>
      </c>
      <c r="B27" s="24">
        <v>62.487212851553508</v>
      </c>
      <c r="C27" s="24">
        <v>64.986701365615659</v>
      </c>
      <c r="D27" s="2">
        <v>1.3589321966589822</v>
      </c>
      <c r="E27" s="4">
        <f t="shared" si="1"/>
        <v>45.982583240857885</v>
      </c>
      <c r="F27" s="4">
        <f t="shared" si="2"/>
        <v>22.991291620428942</v>
      </c>
      <c r="G27" s="4">
        <f t="shared" si="3"/>
        <v>1660.6442756553129</v>
      </c>
      <c r="H27" s="4">
        <f t="shared" si="4"/>
        <v>1106.8597977589507</v>
      </c>
      <c r="I27" s="14">
        <v>731.8</v>
      </c>
      <c r="J27" s="13">
        <v>810000</v>
      </c>
      <c r="K27" s="22">
        <f t="shared" si="5"/>
        <v>1838100.3871013988</v>
      </c>
      <c r="L27" s="22">
        <f t="shared" si="0"/>
        <v>810000</v>
      </c>
      <c r="M27" s="19" t="s">
        <v>91</v>
      </c>
      <c r="N27" s="18">
        <f t="shared" si="6"/>
        <v>610.65318393003554</v>
      </c>
      <c r="O27" s="12">
        <v>446876</v>
      </c>
      <c r="P27" s="22">
        <f t="shared" si="7"/>
        <v>1014077.7143041044</v>
      </c>
      <c r="Q27" s="13">
        <f t="shared" si="8"/>
        <v>446876</v>
      </c>
    </row>
    <row r="28" spans="1:17">
      <c r="A28" s="18" t="s">
        <v>12</v>
      </c>
      <c r="B28" s="24">
        <v>65.308032205055966</v>
      </c>
      <c r="C28" s="24">
        <v>67.920353493258204</v>
      </c>
      <c r="D28" s="2">
        <v>1.3312259917708142</v>
      </c>
      <c r="E28" s="4">
        <f t="shared" si="1"/>
        <v>49.058561513047358</v>
      </c>
      <c r="F28" s="4">
        <f t="shared" si="2"/>
        <v>24.529280756523679</v>
      </c>
      <c r="G28" s="4">
        <f t="shared" si="3"/>
        <v>1890.2511060713719</v>
      </c>
      <c r="H28" s="4">
        <f t="shared" si="4"/>
        <v>973.62164609985291</v>
      </c>
      <c r="I28" s="14">
        <v>883.3</v>
      </c>
      <c r="J28" s="13">
        <v>860000</v>
      </c>
      <c r="K28" s="22">
        <f t="shared" si="5"/>
        <v>1840389.3934352768</v>
      </c>
      <c r="L28" s="22">
        <f t="shared" si="0"/>
        <v>860000</v>
      </c>
      <c r="M28" s="19" t="s">
        <v>91</v>
      </c>
      <c r="N28" s="18">
        <f t="shared" si="6"/>
        <v>507.45726253820902</v>
      </c>
      <c r="O28" s="12">
        <v>448237</v>
      </c>
      <c r="P28" s="22">
        <f t="shared" si="7"/>
        <v>959221.65179680008</v>
      </c>
      <c r="Q28" s="13">
        <f t="shared" si="8"/>
        <v>448237</v>
      </c>
    </row>
    <row r="29" spans="1:17">
      <c r="A29" t="s">
        <v>44</v>
      </c>
      <c r="B29" s="25">
        <v>64.485521071986952</v>
      </c>
      <c r="C29" s="25">
        <v>67.064941914866438</v>
      </c>
      <c r="D29" s="2">
        <v>1.2176020802066099</v>
      </c>
      <c r="E29" s="4">
        <f t="shared" si="1"/>
        <v>52.961079912942225</v>
      </c>
      <c r="F29" s="4">
        <f t="shared" si="2"/>
        <v>26.480539956471112</v>
      </c>
      <c r="G29" s="4">
        <f t="shared" si="3"/>
        <v>2202.944447604692</v>
      </c>
      <c r="H29" s="4">
        <f t="shared" si="4"/>
        <v>927.60180995475116</v>
      </c>
      <c r="I29" s="14">
        <v>1326</v>
      </c>
      <c r="J29" s="13">
        <v>1230000</v>
      </c>
      <c r="K29" s="22">
        <f t="shared" si="5"/>
        <v>2043455.2568278818</v>
      </c>
      <c r="L29" s="22">
        <f t="shared" si="0"/>
        <v>1230000</v>
      </c>
      <c r="M29" s="19" t="s">
        <v>91</v>
      </c>
      <c r="N29" s="18">
        <f t="shared" si="6"/>
        <v>582.76923076923072</v>
      </c>
      <c r="O29" s="12">
        <v>772752</v>
      </c>
      <c r="P29" s="22">
        <f t="shared" si="7"/>
        <v>1283808.2411579343</v>
      </c>
      <c r="Q29" s="13">
        <f t="shared" si="8"/>
        <v>772752</v>
      </c>
    </row>
    <row r="30" spans="1:17">
      <c r="A30" t="s">
        <v>45</v>
      </c>
      <c r="B30" s="25">
        <v>63.564185114523426</v>
      </c>
      <c r="C30" s="25">
        <v>66.106752519104361</v>
      </c>
      <c r="D30" s="2">
        <v>1.2446763567855696</v>
      </c>
      <c r="E30" s="4">
        <f t="shared" si="1"/>
        <v>51.068845943760572</v>
      </c>
      <c r="F30" s="4">
        <f t="shared" si="2"/>
        <v>25.534422971880286</v>
      </c>
      <c r="G30" s="4">
        <f t="shared" si="3"/>
        <v>2048.3396363329475</v>
      </c>
      <c r="H30" s="4">
        <f t="shared" si="4"/>
        <v>730.08608477716029</v>
      </c>
      <c r="I30" s="14">
        <v>2753.1</v>
      </c>
      <c r="J30" s="13">
        <v>2010000</v>
      </c>
      <c r="K30" s="22">
        <f t="shared" si="5"/>
        <v>1495464.265384194</v>
      </c>
      <c r="L30" s="22">
        <f t="shared" si="0"/>
        <v>1495464.265384194</v>
      </c>
      <c r="M30" s="19" t="s">
        <v>91</v>
      </c>
      <c r="N30" s="18">
        <f t="shared" si="6"/>
        <v>474.96422214957687</v>
      </c>
      <c r="O30" s="12">
        <v>1307624</v>
      </c>
      <c r="P30" s="22">
        <f t="shared" si="7"/>
        <v>972888.04206902557</v>
      </c>
      <c r="Q30" s="13">
        <f t="shared" si="8"/>
        <v>972888.04206902557</v>
      </c>
    </row>
    <row r="31" spans="1:17">
      <c r="A31" s="18" t="s">
        <v>13</v>
      </c>
      <c r="B31" s="24">
        <v>63.734436519319452</v>
      </c>
      <c r="C31" s="24">
        <v>66.283813980092233</v>
      </c>
      <c r="D31" s="2">
        <v>1.353332701277282</v>
      </c>
      <c r="E31" s="4">
        <f t="shared" si="1"/>
        <v>47.094433215990847</v>
      </c>
      <c r="F31" s="4">
        <f t="shared" si="2"/>
        <v>23.547216607995423</v>
      </c>
      <c r="G31" s="4">
        <f t="shared" si="3"/>
        <v>1741.9233082308549</v>
      </c>
      <c r="H31" s="4">
        <f t="shared" si="4"/>
        <v>451.20587765532662</v>
      </c>
      <c r="I31" s="14">
        <v>1252.2</v>
      </c>
      <c r="J31" s="13">
        <v>565000</v>
      </c>
      <c r="K31" s="22">
        <f t="shared" si="5"/>
        <v>785966.03509857296</v>
      </c>
      <c r="L31" s="22">
        <f t="shared" si="0"/>
        <v>565000</v>
      </c>
      <c r="M31" s="19" t="s">
        <v>91</v>
      </c>
      <c r="N31" s="18">
        <f t="shared" si="6"/>
        <v>395.8768567321514</v>
      </c>
      <c r="O31" s="12">
        <v>495717</v>
      </c>
      <c r="P31" s="22">
        <f t="shared" si="7"/>
        <v>689587.12393090129</v>
      </c>
      <c r="Q31" s="13">
        <f t="shared" si="8"/>
        <v>495717</v>
      </c>
    </row>
    <row r="32" spans="1:17">
      <c r="A32" t="s">
        <v>47</v>
      </c>
      <c r="B32" s="25">
        <v>62.636693012318808</v>
      </c>
      <c r="C32" s="25">
        <v>65.142160732811561</v>
      </c>
      <c r="D32" s="2">
        <v>1.3461921883034873</v>
      </c>
      <c r="E32" s="4">
        <f t="shared" si="1"/>
        <v>46.528789541748488</v>
      </c>
      <c r="F32" s="4">
        <f t="shared" si="2"/>
        <v>23.264394770874244</v>
      </c>
      <c r="G32" s="4">
        <f t="shared" si="3"/>
        <v>1700.3306763226824</v>
      </c>
      <c r="H32" s="4">
        <f t="shared" si="4"/>
        <v>1501.072194424589</v>
      </c>
      <c r="I32" s="14">
        <v>699.5</v>
      </c>
      <c r="J32" s="13">
        <v>1050000</v>
      </c>
      <c r="K32" s="22">
        <f t="shared" si="5"/>
        <v>2552319.0995551343</v>
      </c>
      <c r="L32" s="22">
        <f t="shared" si="0"/>
        <v>1050000</v>
      </c>
      <c r="M32" s="19" t="s">
        <v>91</v>
      </c>
      <c r="N32" s="18">
        <f t="shared" si="6"/>
        <v>735.84846318799146</v>
      </c>
      <c r="O32" s="12">
        <v>514726</v>
      </c>
      <c r="P32" s="22">
        <f t="shared" si="7"/>
        <v>1251185.715083444</v>
      </c>
      <c r="Q32" s="13">
        <f t="shared" si="8"/>
        <v>514726</v>
      </c>
    </row>
    <row r="33" spans="1:17">
      <c r="A33" t="s">
        <v>64</v>
      </c>
      <c r="B33" s="25">
        <v>59.42988867805861</v>
      </c>
      <c r="C33" s="25">
        <v>62.40138311196155</v>
      </c>
      <c r="D33" s="2">
        <v>1.2603547141344449</v>
      </c>
      <c r="E33" s="4">
        <f t="shared" si="1"/>
        <v>47.153303757722199</v>
      </c>
      <c r="F33" s="4">
        <f t="shared" si="2"/>
        <v>23.576651878861099</v>
      </c>
      <c r="G33" s="4">
        <f t="shared" si="3"/>
        <v>1746.2810234428421</v>
      </c>
      <c r="H33" s="4">
        <f t="shared" si="4"/>
        <v>2072.7310590777161</v>
      </c>
      <c r="I33" s="14">
        <v>7683.1</v>
      </c>
      <c r="J33" s="13">
        <v>15925000</v>
      </c>
      <c r="K33" s="22">
        <f t="shared" si="5"/>
        <v>3619570.9151679999</v>
      </c>
      <c r="L33" s="22">
        <f t="shared" si="0"/>
        <v>3619570.9151679999</v>
      </c>
      <c r="M33" s="19" t="s">
        <v>91</v>
      </c>
      <c r="N33" s="18">
        <f t="shared" si="6"/>
        <v>1112.8936236675299</v>
      </c>
      <c r="O33" s="12">
        <v>8550473</v>
      </c>
      <c r="P33" s="22">
        <f t="shared" si="7"/>
        <v>1943425.0161211472</v>
      </c>
      <c r="Q33" s="13">
        <f t="shared" si="8"/>
        <v>1943425.0161211472</v>
      </c>
    </row>
    <row r="34" spans="1:17">
      <c r="A34" s="18" t="s">
        <v>14</v>
      </c>
      <c r="B34" s="24">
        <v>69.714425398287744</v>
      </c>
      <c r="C34" s="24">
        <v>72.503002414219253</v>
      </c>
      <c r="D34" s="2">
        <v>1.2964577542802127</v>
      </c>
      <c r="E34" s="4">
        <f t="shared" si="1"/>
        <v>53.773001988015309</v>
      </c>
      <c r="F34" s="4">
        <f t="shared" si="2"/>
        <v>26.886500994007655</v>
      </c>
      <c r="G34" s="4">
        <f t="shared" si="3"/>
        <v>2271.0068617956299</v>
      </c>
      <c r="H34" s="4">
        <f t="shared" si="4"/>
        <v>411.8665313675163</v>
      </c>
      <c r="I34" s="14">
        <v>1675.3</v>
      </c>
      <c r="J34" s="13">
        <v>690000</v>
      </c>
      <c r="K34" s="22">
        <f t="shared" si="5"/>
        <v>935351.71887959458</v>
      </c>
      <c r="L34" s="22">
        <f t="shared" ref="L34:L53" si="9">MIN(J34,K34)</f>
        <v>690000</v>
      </c>
      <c r="M34" s="19" t="s">
        <v>91</v>
      </c>
      <c r="N34" s="18">
        <f t="shared" si="6"/>
        <v>268.68143019160749</v>
      </c>
      <c r="O34" s="12">
        <v>450122</v>
      </c>
      <c r="P34" s="22">
        <f t="shared" si="7"/>
        <v>610177.37160220416</v>
      </c>
      <c r="Q34" s="13">
        <f t="shared" si="8"/>
        <v>450122</v>
      </c>
    </row>
    <row r="35" spans="1:17">
      <c r="A35" t="s">
        <v>48</v>
      </c>
      <c r="B35" s="25">
        <v>58.78311324728174</v>
      </c>
      <c r="C35" s="25">
        <v>61.722268909645827</v>
      </c>
      <c r="D35" s="2">
        <v>1.3350685041643267</v>
      </c>
      <c r="E35" s="4">
        <f t="shared" ref="E35:E53" si="10">B35/D35</f>
        <v>44.030035210872171</v>
      </c>
      <c r="F35" s="4">
        <f t="shared" ref="F35:F53" si="11">E35*0.5</f>
        <v>22.015017605436086</v>
      </c>
      <c r="G35" s="4">
        <f t="shared" ref="G35:G53" si="12">PI()*F35^2</f>
        <v>1522.6074376082047</v>
      </c>
      <c r="H35" s="4">
        <f t="shared" ref="H35:H53" si="13">J35/I35</f>
        <v>841.40495059191858</v>
      </c>
      <c r="I35" s="14">
        <v>1022.1</v>
      </c>
      <c r="J35" s="13">
        <v>860000</v>
      </c>
      <c r="K35" s="22">
        <f t="shared" ref="K35:K53" si="14">G35*H35</f>
        <v>1281129.4358116193</v>
      </c>
      <c r="L35" s="22">
        <f t="shared" si="9"/>
        <v>860000</v>
      </c>
      <c r="M35" s="19" t="s">
        <v>91</v>
      </c>
      <c r="N35" s="18">
        <f t="shared" ref="N35:N53" si="15">O35/I35</f>
        <v>545.39477546228352</v>
      </c>
      <c r="O35" s="12">
        <v>557448</v>
      </c>
      <c r="P35" s="22">
        <f t="shared" ref="P35:P53" si="16">G35*N35</f>
        <v>830422.14155152964</v>
      </c>
      <c r="Q35" s="13">
        <f t="shared" ref="Q35:Q53" si="17">MIN(P35,O35)</f>
        <v>557448</v>
      </c>
    </row>
    <row r="36" spans="1:17">
      <c r="A36" t="s">
        <v>66</v>
      </c>
      <c r="B36" s="25">
        <v>63.176257053555211</v>
      </c>
      <c r="C36" s="25">
        <v>66.966832476768531</v>
      </c>
      <c r="D36" s="2">
        <v>1.21284552512981</v>
      </c>
      <c r="E36" s="4">
        <f t="shared" si="10"/>
        <v>52.089285687716497</v>
      </c>
      <c r="F36" s="4">
        <f t="shared" si="11"/>
        <v>26.044642843858249</v>
      </c>
      <c r="G36" s="4">
        <f t="shared" si="12"/>
        <v>2131.0158757446693</v>
      </c>
      <c r="H36" s="4">
        <f t="shared" si="13"/>
        <v>1518.9201737803867</v>
      </c>
      <c r="I36" s="14">
        <v>3015.3</v>
      </c>
      <c r="J36" s="13">
        <v>4580000</v>
      </c>
      <c r="K36" s="22">
        <f t="shared" si="14"/>
        <v>3236843.0043148561</v>
      </c>
      <c r="L36" s="22">
        <f t="shared" si="9"/>
        <v>3236843.0043148561</v>
      </c>
      <c r="M36" s="19" t="s">
        <v>91</v>
      </c>
      <c r="N36" s="18">
        <f t="shared" si="15"/>
        <v>926.91175007461936</v>
      </c>
      <c r="O36" s="12">
        <v>2794917</v>
      </c>
      <c r="P36" s="22">
        <f t="shared" si="16"/>
        <v>1975263.654823289</v>
      </c>
      <c r="Q36" s="13">
        <f t="shared" si="17"/>
        <v>1975263.654823289</v>
      </c>
    </row>
    <row r="37" spans="1:17">
      <c r="A37" t="s">
        <v>49</v>
      </c>
      <c r="B37" s="25">
        <v>62.02920484038443</v>
      </c>
      <c r="C37" s="25">
        <v>65.130665082403652</v>
      </c>
      <c r="D37" s="2">
        <v>1.3720086617819869</v>
      </c>
      <c r="E37" s="4">
        <f t="shared" si="10"/>
        <v>45.210505274667803</v>
      </c>
      <c r="F37" s="4">
        <f t="shared" si="11"/>
        <v>22.605252637333901</v>
      </c>
      <c r="G37" s="4">
        <f t="shared" si="12"/>
        <v>1605.345824862768</v>
      </c>
      <c r="H37" s="4">
        <f t="shared" si="13"/>
        <v>987.28769407106381</v>
      </c>
      <c r="I37" s="14">
        <v>1919.4</v>
      </c>
      <c r="J37" s="13">
        <v>1895000</v>
      </c>
      <c r="K37" s="22">
        <f t="shared" si="14"/>
        <v>1584938.1776153722</v>
      </c>
      <c r="L37" s="22">
        <f t="shared" si="9"/>
        <v>1584938.1776153722</v>
      </c>
      <c r="M37" s="19" t="s">
        <v>91</v>
      </c>
      <c r="N37" s="18">
        <f t="shared" si="15"/>
        <v>519.17005314160667</v>
      </c>
      <c r="O37" s="12">
        <v>996495</v>
      </c>
      <c r="P37" s="22">
        <f t="shared" si="16"/>
        <v>833447.47720465972</v>
      </c>
      <c r="Q37" s="13">
        <f t="shared" si="17"/>
        <v>833447.47720465972</v>
      </c>
    </row>
    <row r="38" spans="1:17">
      <c r="A38" t="s">
        <v>50</v>
      </c>
      <c r="B38" s="25">
        <v>65.42916793409438</v>
      </c>
      <c r="C38" s="25">
        <v>68.700626330799111</v>
      </c>
      <c r="D38" s="2">
        <v>1.3164731695748204</v>
      </c>
      <c r="E38" s="4">
        <f t="shared" si="10"/>
        <v>49.700342890562631</v>
      </c>
      <c r="F38" s="4">
        <f t="shared" si="11"/>
        <v>24.850171445281315</v>
      </c>
      <c r="G38" s="4">
        <f t="shared" si="12"/>
        <v>1940.0309184971882</v>
      </c>
      <c r="H38" s="4">
        <f t="shared" si="13"/>
        <v>883.28701865819767</v>
      </c>
      <c r="I38" s="14">
        <v>2015.2</v>
      </c>
      <c r="J38" s="13">
        <v>1780000</v>
      </c>
      <c r="K38" s="22">
        <f t="shared" si="14"/>
        <v>1713604.1261041062</v>
      </c>
      <c r="L38" s="22">
        <f t="shared" si="9"/>
        <v>1713604.1261041062</v>
      </c>
      <c r="M38" s="19" t="s">
        <v>91</v>
      </c>
      <c r="N38" s="18">
        <f t="shared" si="15"/>
        <v>474.4710202461294</v>
      </c>
      <c r="O38" s="12">
        <v>956154</v>
      </c>
      <c r="P38" s="22">
        <f t="shared" si="16"/>
        <v>920488.44920839637</v>
      </c>
      <c r="Q38" s="13">
        <f t="shared" si="17"/>
        <v>920488.44920839637</v>
      </c>
    </row>
    <row r="39" spans="1:17">
      <c r="A39" t="s">
        <v>51</v>
      </c>
      <c r="B39" s="25">
        <v>65.140770915733583</v>
      </c>
      <c r="C39" s="25">
        <v>68.397809461520268</v>
      </c>
      <c r="D39" s="2">
        <v>1.3968132005592373</v>
      </c>
      <c r="E39" s="4">
        <f t="shared" si="10"/>
        <v>46.635277279491198</v>
      </c>
      <c r="F39" s="4">
        <f t="shared" si="11"/>
        <v>23.317638639745599</v>
      </c>
      <c r="G39" s="4">
        <f t="shared" si="12"/>
        <v>1708.1224785453883</v>
      </c>
      <c r="H39" s="4">
        <f t="shared" si="13"/>
        <v>1184.1974325803562</v>
      </c>
      <c r="I39" s="14">
        <v>1004.9</v>
      </c>
      <c r="J39" s="13">
        <v>1190000</v>
      </c>
      <c r="K39" s="22">
        <f t="shared" si="14"/>
        <v>2022754.2536262434</v>
      </c>
      <c r="L39" s="22">
        <f t="shared" si="9"/>
        <v>1190000</v>
      </c>
      <c r="M39" s="19" t="s">
        <v>91</v>
      </c>
      <c r="N39" s="18">
        <f t="shared" si="15"/>
        <v>720.99910438849633</v>
      </c>
      <c r="O39" s="12">
        <v>724532</v>
      </c>
      <c r="P39" s="22">
        <f t="shared" si="16"/>
        <v>1231554.7772170834</v>
      </c>
      <c r="Q39" s="13">
        <f t="shared" si="17"/>
        <v>724532</v>
      </c>
    </row>
    <row r="40" spans="1:17">
      <c r="A40" t="s">
        <v>52</v>
      </c>
      <c r="B40" s="25">
        <v>70.338872065042395</v>
      </c>
      <c r="C40" s="25">
        <v>75.262593109595372</v>
      </c>
      <c r="D40" s="2">
        <v>1.2487404330931191</v>
      </c>
      <c r="E40" s="4">
        <f t="shared" si="10"/>
        <v>56.327856615336486</v>
      </c>
      <c r="F40" s="4">
        <f t="shared" si="11"/>
        <v>28.163928307668243</v>
      </c>
      <c r="G40" s="4">
        <f t="shared" si="12"/>
        <v>2491.932836988552</v>
      </c>
      <c r="H40" s="4">
        <f t="shared" si="13"/>
        <v>1415.4601861427093</v>
      </c>
      <c r="I40" s="14">
        <v>773.6</v>
      </c>
      <c r="J40" s="13">
        <v>1095000</v>
      </c>
      <c r="K40" s="22">
        <f t="shared" si="14"/>
        <v>3527231.7172989454</v>
      </c>
      <c r="L40" s="22">
        <f t="shared" si="9"/>
        <v>1095000</v>
      </c>
      <c r="M40" s="19" t="s">
        <v>91</v>
      </c>
      <c r="N40" s="18">
        <f t="shared" si="15"/>
        <v>704.06928645294727</v>
      </c>
      <c r="O40" s="12">
        <v>544668</v>
      </c>
      <c r="P40" s="22">
        <f t="shared" si="16"/>
        <v>1754493.3744271984</v>
      </c>
      <c r="Q40" s="13">
        <f t="shared" si="17"/>
        <v>544668</v>
      </c>
    </row>
    <row r="41" spans="1:17">
      <c r="A41" s="18" t="s">
        <v>15</v>
      </c>
      <c r="B41" s="24">
        <v>68.778714095226661</v>
      </c>
      <c r="C41" s="24">
        <v>74.281011222844796</v>
      </c>
      <c r="D41" s="2">
        <v>1.2413603862790981</v>
      </c>
      <c r="E41" s="4">
        <f t="shared" si="10"/>
        <v>55.405919872621887</v>
      </c>
      <c r="F41" s="4">
        <f t="shared" si="11"/>
        <v>27.702959936310943</v>
      </c>
      <c r="G41" s="4">
        <f t="shared" si="12"/>
        <v>2411.0278145420993</v>
      </c>
      <c r="H41" s="4">
        <f t="shared" si="13"/>
        <v>1097.213078779899</v>
      </c>
      <c r="I41" s="14">
        <v>455.7</v>
      </c>
      <c r="J41" s="13">
        <v>500000</v>
      </c>
      <c r="K41" s="22">
        <f t="shared" si="14"/>
        <v>2645411.2514177081</v>
      </c>
      <c r="L41" s="22">
        <f t="shared" si="9"/>
        <v>500000</v>
      </c>
      <c r="M41" s="19" t="s">
        <v>91</v>
      </c>
      <c r="N41" s="18">
        <f t="shared" si="15"/>
        <v>877.11432960280888</v>
      </c>
      <c r="O41" s="12">
        <v>399701</v>
      </c>
      <c r="P41" s="22">
        <f t="shared" si="16"/>
        <v>2114747.045205819</v>
      </c>
      <c r="Q41" s="13">
        <f t="shared" si="17"/>
        <v>399701</v>
      </c>
    </row>
    <row r="42" spans="1:17">
      <c r="A42" t="s">
        <v>81</v>
      </c>
      <c r="B42" s="25">
        <v>70.514936537683639</v>
      </c>
      <c r="C42" s="25">
        <v>78.27157955682884</v>
      </c>
      <c r="D42" s="2">
        <v>1.2523823469090467</v>
      </c>
      <c r="E42" s="4">
        <f t="shared" si="10"/>
        <v>56.304639483076912</v>
      </c>
      <c r="F42" s="4">
        <f t="shared" si="11"/>
        <v>28.152319741538456</v>
      </c>
      <c r="G42" s="4">
        <f t="shared" si="12"/>
        <v>2489.8790179963162</v>
      </c>
      <c r="H42" s="4">
        <f t="shared" si="13"/>
        <v>1079.1366906474821</v>
      </c>
      <c r="I42" s="14">
        <v>569.9</v>
      </c>
      <c r="J42" s="13">
        <v>615000</v>
      </c>
      <c r="K42" s="22">
        <f t="shared" si="14"/>
        <v>2686919.8035931471</v>
      </c>
      <c r="L42" s="22">
        <f t="shared" si="9"/>
        <v>615000</v>
      </c>
      <c r="M42" s="19" t="s">
        <v>91</v>
      </c>
      <c r="N42" s="18">
        <f t="shared" si="15"/>
        <v>844.82716266011585</v>
      </c>
      <c r="O42" s="12">
        <v>481467</v>
      </c>
      <c r="P42" s="22">
        <f t="shared" si="16"/>
        <v>2103517.4261407834</v>
      </c>
      <c r="Q42" s="13">
        <f t="shared" si="17"/>
        <v>481467</v>
      </c>
    </row>
    <row r="43" spans="1:17">
      <c r="A43" t="s">
        <v>54</v>
      </c>
      <c r="B43" s="25">
        <v>61.557786724693997</v>
      </c>
      <c r="C43" s="25">
        <v>68.329143264410348</v>
      </c>
      <c r="D43" s="2">
        <v>1.420419999904208</v>
      </c>
      <c r="E43" s="4">
        <f t="shared" si="10"/>
        <v>43.337735830842576</v>
      </c>
      <c r="F43" s="4">
        <f t="shared" si="11"/>
        <v>21.668867915421288</v>
      </c>
      <c r="G43" s="4">
        <f t="shared" si="12"/>
        <v>1475.1029016574871</v>
      </c>
      <c r="H43" s="4">
        <f t="shared" si="13"/>
        <v>1272.1174973979414</v>
      </c>
      <c r="I43" s="14">
        <v>864.7</v>
      </c>
      <c r="J43" s="13">
        <v>1100000</v>
      </c>
      <c r="K43" s="22">
        <f t="shared" si="14"/>
        <v>1876504.2116609642</v>
      </c>
      <c r="L43" s="22">
        <f t="shared" si="9"/>
        <v>1100000</v>
      </c>
      <c r="M43" s="19" t="s">
        <v>91</v>
      </c>
      <c r="N43" s="18">
        <f t="shared" si="15"/>
        <v>793.27512432057358</v>
      </c>
      <c r="O43" s="12">
        <v>685945</v>
      </c>
      <c r="P43" s="22">
        <f t="shared" si="16"/>
        <v>1170162.4376979819</v>
      </c>
      <c r="Q43" s="13">
        <f t="shared" si="17"/>
        <v>685945</v>
      </c>
    </row>
    <row r="44" spans="1:17">
      <c r="A44" t="s">
        <v>55</v>
      </c>
      <c r="B44" s="4">
        <v>65.143959367039756</v>
      </c>
      <c r="C44" s="4">
        <v>73.612674084754914</v>
      </c>
      <c r="D44" s="2">
        <v>1.3900559399069428</v>
      </c>
      <c r="E44" s="4">
        <f t="shared" si="10"/>
        <v>46.864271787077008</v>
      </c>
      <c r="F44" s="4">
        <f t="shared" si="11"/>
        <v>23.432135893538504</v>
      </c>
      <c r="G44" s="4">
        <f t="shared" si="12"/>
        <v>1724.93854688581</v>
      </c>
      <c r="H44" s="4">
        <f t="shared" si="13"/>
        <v>1215.620726333384</v>
      </c>
      <c r="I44" s="14">
        <v>658.1</v>
      </c>
      <c r="J44" s="13">
        <v>800000</v>
      </c>
      <c r="K44" s="22">
        <f t="shared" si="14"/>
        <v>2096871.0492457803</v>
      </c>
      <c r="L44" s="22">
        <f t="shared" si="9"/>
        <v>800000</v>
      </c>
      <c r="M44" s="19" t="s">
        <v>91</v>
      </c>
      <c r="N44" s="18">
        <f t="shared" si="15"/>
        <v>728.36650964898945</v>
      </c>
      <c r="O44" s="12">
        <v>479338</v>
      </c>
      <c r="P44" s="22">
        <f t="shared" si="16"/>
        <v>1256387.468754217</v>
      </c>
      <c r="Q44" s="13">
        <f t="shared" si="17"/>
        <v>479338</v>
      </c>
    </row>
    <row r="45" spans="1:17">
      <c r="A45" t="s">
        <v>67</v>
      </c>
      <c r="B45" s="4">
        <v>68.131157212250471</v>
      </c>
      <c r="C45" s="4">
        <v>77.66951922196553</v>
      </c>
      <c r="D45" s="2">
        <v>1.3944576902357904</v>
      </c>
      <c r="E45" s="4">
        <f t="shared" si="10"/>
        <v>48.858533098074922</v>
      </c>
      <c r="F45" s="4">
        <f t="shared" si="11"/>
        <v>24.429266549037461</v>
      </c>
      <c r="G45" s="4">
        <f t="shared" si="12"/>
        <v>1874.868139594437</v>
      </c>
      <c r="H45" s="4">
        <f t="shared" si="13"/>
        <v>1031.2913177611283</v>
      </c>
      <c r="I45" s="14">
        <v>1134.5</v>
      </c>
      <c r="J45" s="13">
        <v>1170000</v>
      </c>
      <c r="K45" s="22">
        <f t="shared" si="14"/>
        <v>1933535.234310702</v>
      </c>
      <c r="L45" s="22">
        <f t="shared" si="9"/>
        <v>1170000</v>
      </c>
      <c r="M45" s="19" t="s">
        <v>91</v>
      </c>
      <c r="N45" s="18">
        <f t="shared" si="15"/>
        <v>501.67386513882769</v>
      </c>
      <c r="O45" s="12">
        <v>569149</v>
      </c>
      <c r="P45" s="22">
        <f t="shared" si="16"/>
        <v>940572.34621598432</v>
      </c>
      <c r="Q45" s="13">
        <f t="shared" si="17"/>
        <v>569149</v>
      </c>
    </row>
    <row r="46" spans="1:17">
      <c r="A46" t="s">
        <v>68</v>
      </c>
      <c r="B46" s="4">
        <v>59.330043396898148</v>
      </c>
      <c r="C46" s="4">
        <v>68.229549906432865</v>
      </c>
      <c r="D46" s="2">
        <v>1.3769556631897848</v>
      </c>
      <c r="E46" s="4">
        <f t="shared" si="10"/>
        <v>43.087838615992339</v>
      </c>
      <c r="F46" s="4">
        <f t="shared" si="11"/>
        <v>21.54391930799617</v>
      </c>
      <c r="G46" s="4">
        <f t="shared" si="12"/>
        <v>1458.1402566977063</v>
      </c>
      <c r="H46" s="4">
        <f t="shared" si="13"/>
        <v>1283.9160839160838</v>
      </c>
      <c r="I46" s="14">
        <v>1787.5</v>
      </c>
      <c r="J46" s="13">
        <v>2295000</v>
      </c>
      <c r="K46" s="22">
        <f t="shared" si="14"/>
        <v>1872129.7281797123</v>
      </c>
      <c r="L46" s="22">
        <f t="shared" si="9"/>
        <v>1872129.7281797123</v>
      </c>
      <c r="M46" s="19" t="s">
        <v>91</v>
      </c>
      <c r="N46" s="18">
        <f t="shared" si="15"/>
        <v>688.36139860139861</v>
      </c>
      <c r="O46" s="12">
        <v>1230446</v>
      </c>
      <c r="P46" s="22">
        <f t="shared" si="16"/>
        <v>1003727.4664574355</v>
      </c>
      <c r="Q46" s="13">
        <f t="shared" si="17"/>
        <v>1003727.4664574355</v>
      </c>
    </row>
    <row r="47" spans="1:17">
      <c r="A47" t="s">
        <v>69</v>
      </c>
      <c r="B47" s="4">
        <v>53.936325276944842</v>
      </c>
      <c r="C47" s="4">
        <v>62.026774068486567</v>
      </c>
      <c r="D47" s="2">
        <v>1.4057476356909797</v>
      </c>
      <c r="E47" s="4">
        <f t="shared" si="10"/>
        <v>38.368426812564429</v>
      </c>
      <c r="F47" s="4">
        <f t="shared" si="11"/>
        <v>19.184213406282215</v>
      </c>
      <c r="G47" s="4">
        <f t="shared" si="12"/>
        <v>1156.2130489571946</v>
      </c>
      <c r="H47" s="4">
        <f t="shared" si="13"/>
        <v>1623.3049162948894</v>
      </c>
      <c r="I47" s="14">
        <v>2263.9</v>
      </c>
      <c r="J47" s="13">
        <v>3675000</v>
      </c>
      <c r="K47" s="22">
        <f t="shared" si="14"/>
        <v>1876886.3266565176</v>
      </c>
      <c r="L47" s="22">
        <f t="shared" si="9"/>
        <v>1876886.3266565176</v>
      </c>
      <c r="M47" s="19" t="s">
        <v>91</v>
      </c>
      <c r="N47" s="18">
        <f t="shared" si="15"/>
        <v>1413.8579442554883</v>
      </c>
      <c r="O47" s="12">
        <v>3200833</v>
      </c>
      <c r="P47" s="22">
        <f t="shared" si="16"/>
        <v>1634721.0045199895</v>
      </c>
      <c r="Q47" s="13">
        <f t="shared" si="17"/>
        <v>1634721.0045199895</v>
      </c>
    </row>
    <row r="48" spans="1:17">
      <c r="A48" s="18" t="s">
        <v>3</v>
      </c>
      <c r="B48" s="4">
        <v>57.58663731743308</v>
      </c>
      <c r="C48" s="4">
        <v>66.800499288222369</v>
      </c>
      <c r="D48" s="2">
        <v>1.415239926121528</v>
      </c>
      <c r="E48" s="4">
        <f t="shared" si="10"/>
        <v>40.690370766495789</v>
      </c>
      <c r="F48" s="4">
        <f t="shared" si="11"/>
        <v>20.345185383247895</v>
      </c>
      <c r="G48" s="4">
        <f t="shared" si="12"/>
        <v>1300.3886660300725</v>
      </c>
      <c r="H48" s="4">
        <f t="shared" si="13"/>
        <v>1608.4873374401095</v>
      </c>
      <c r="I48" s="14">
        <v>876.6</v>
      </c>
      <c r="J48" s="13">
        <v>1410000</v>
      </c>
      <c r="K48" s="22">
        <f t="shared" si="14"/>
        <v>2091658.7030600072</v>
      </c>
      <c r="L48" s="22">
        <f t="shared" si="9"/>
        <v>1410000</v>
      </c>
      <c r="M48" s="19" t="s">
        <v>91</v>
      </c>
      <c r="N48" s="18">
        <f t="shared" si="15"/>
        <v>1079.5836185261237</v>
      </c>
      <c r="O48" s="13">
        <v>946363</v>
      </c>
      <c r="P48" s="22">
        <f t="shared" si="16"/>
        <v>1403878.3015631046</v>
      </c>
      <c r="Q48" s="13">
        <f t="shared" si="17"/>
        <v>946363</v>
      </c>
    </row>
    <row r="49" spans="1:17">
      <c r="A49" t="s">
        <v>56</v>
      </c>
      <c r="B49" s="4">
        <v>57.751551670614234</v>
      </c>
      <c r="C49" s="4">
        <v>67.569315454618646</v>
      </c>
      <c r="D49" s="2">
        <v>1.407578059972719</v>
      </c>
      <c r="E49" s="4">
        <f t="shared" si="10"/>
        <v>41.029022341917965</v>
      </c>
      <c r="F49" s="4">
        <f t="shared" si="11"/>
        <v>20.514511170958983</v>
      </c>
      <c r="G49" s="4">
        <f t="shared" si="12"/>
        <v>1322.1240899203704</v>
      </c>
      <c r="H49" s="4">
        <f t="shared" si="13"/>
        <v>1477.6384054639784</v>
      </c>
      <c r="I49" s="14">
        <v>1522.7</v>
      </c>
      <c r="J49" s="13">
        <v>2250000</v>
      </c>
      <c r="K49" s="22">
        <f t="shared" si="14"/>
        <v>1953621.3320554497</v>
      </c>
      <c r="L49" s="22">
        <f t="shared" si="9"/>
        <v>1953621.3320554497</v>
      </c>
      <c r="M49" s="19" t="s">
        <v>91</v>
      </c>
      <c r="N49" s="18">
        <f t="shared" si="15"/>
        <v>859.22243383463581</v>
      </c>
      <c r="O49" s="12">
        <v>1308338</v>
      </c>
      <c r="P49" s="22">
        <f t="shared" si="16"/>
        <v>1135998.6783727836</v>
      </c>
      <c r="Q49" s="13">
        <f t="shared" si="17"/>
        <v>1135998.6783727836</v>
      </c>
    </row>
    <row r="50" spans="1:17">
      <c r="A50" t="s">
        <v>75</v>
      </c>
      <c r="B50" s="4">
        <v>57.267086544288581</v>
      </c>
      <c r="C50" s="4">
        <v>59.557770006060125</v>
      </c>
      <c r="D50" s="2">
        <v>1.2731889571575705</v>
      </c>
      <c r="E50" s="4">
        <f t="shared" si="10"/>
        <v>44.97925168322142</v>
      </c>
      <c r="F50" s="4">
        <f t="shared" si="11"/>
        <v>22.48962584161071</v>
      </c>
      <c r="G50" s="4">
        <f t="shared" si="12"/>
        <v>1588.9650068977351</v>
      </c>
      <c r="H50" s="4">
        <f t="shared" si="13"/>
        <v>4280.7094372673528</v>
      </c>
      <c r="I50" s="14">
        <v>913.4</v>
      </c>
      <c r="J50" s="13">
        <v>3910000</v>
      </c>
      <c r="K50" s="22">
        <f t="shared" si="14"/>
        <v>6801897.5005147187</v>
      </c>
      <c r="L50" s="22">
        <f t="shared" si="9"/>
        <v>3910000</v>
      </c>
      <c r="M50" s="19" t="s">
        <v>91</v>
      </c>
      <c r="N50" s="18">
        <f t="shared" si="15"/>
        <v>1616.0335012042917</v>
      </c>
      <c r="O50" s="12">
        <v>1476085</v>
      </c>
      <c r="P50" s="22">
        <f t="shared" si="16"/>
        <v>2567820.6833880483</v>
      </c>
      <c r="Q50" s="13">
        <f t="shared" si="17"/>
        <v>1476085</v>
      </c>
    </row>
    <row r="51" spans="1:17">
      <c r="A51" t="s">
        <v>57</v>
      </c>
      <c r="B51" s="4">
        <v>65.029165523454452</v>
      </c>
      <c r="C51" s="4">
        <v>79.985873593848979</v>
      </c>
      <c r="D51" s="2">
        <v>1.3708884625275919</v>
      </c>
      <c r="E51" s="4">
        <f t="shared" si="10"/>
        <v>47.435781466536056</v>
      </c>
      <c r="F51" s="4">
        <f t="shared" si="11"/>
        <v>23.717890733268028</v>
      </c>
      <c r="G51" s="4">
        <f t="shared" si="12"/>
        <v>1767.2663189305856</v>
      </c>
      <c r="H51" s="4">
        <f t="shared" si="13"/>
        <v>1039.2364793213148</v>
      </c>
      <c r="I51" s="14">
        <v>1886</v>
      </c>
      <c r="J51" s="13">
        <v>1960000</v>
      </c>
      <c r="K51" s="22">
        <f t="shared" si="14"/>
        <v>1836607.6273085617</v>
      </c>
      <c r="L51" s="22">
        <f t="shared" si="9"/>
        <v>1836607.6273085617</v>
      </c>
      <c r="M51" s="19" t="s">
        <v>91</v>
      </c>
      <c r="N51" s="18">
        <f t="shared" si="15"/>
        <v>606.75291622481438</v>
      </c>
      <c r="O51" s="12">
        <v>1144336</v>
      </c>
      <c r="P51" s="22">
        <f t="shared" si="16"/>
        <v>1072293.9927570256</v>
      </c>
      <c r="Q51" s="13">
        <f t="shared" si="17"/>
        <v>1072293.9927570256</v>
      </c>
    </row>
    <row r="52" spans="1:17">
      <c r="A52" t="s">
        <v>70</v>
      </c>
      <c r="B52" s="4">
        <v>57.772652523705723</v>
      </c>
      <c r="C52" s="4">
        <v>71.060362604158044</v>
      </c>
      <c r="D52" s="2">
        <v>1.3211983424123821</v>
      </c>
      <c r="E52" s="4">
        <f t="shared" si="10"/>
        <v>43.727463673787518</v>
      </c>
      <c r="F52" s="4">
        <f t="shared" si="11"/>
        <v>21.863731836893759</v>
      </c>
      <c r="G52" s="4">
        <f t="shared" si="12"/>
        <v>1501.7528219641711</v>
      </c>
      <c r="H52" s="4">
        <f t="shared" si="13"/>
        <v>1022.1667558091162</v>
      </c>
      <c r="I52" s="14">
        <v>1682.7</v>
      </c>
      <c r="J52" s="13">
        <v>1720000</v>
      </c>
      <c r="K52" s="22">
        <f t="shared" si="14"/>
        <v>1535041.810054302</v>
      </c>
      <c r="L52" s="22">
        <f t="shared" si="9"/>
        <v>1535041.810054302</v>
      </c>
      <c r="M52" s="19" t="s">
        <v>91</v>
      </c>
      <c r="N52" s="18">
        <f t="shared" si="15"/>
        <v>543.59719498425147</v>
      </c>
      <c r="O52" s="12">
        <v>914711</v>
      </c>
      <c r="P52" s="22">
        <f t="shared" si="16"/>
        <v>816348.62157940737</v>
      </c>
      <c r="Q52" s="13">
        <f t="shared" si="17"/>
        <v>816348.62157940737</v>
      </c>
    </row>
    <row r="53" spans="1:17">
      <c r="A53" t="s">
        <v>58</v>
      </c>
      <c r="B53" s="4">
        <v>57.166397237881569</v>
      </c>
      <c r="C53" s="4">
        <v>76.031308326382486</v>
      </c>
      <c r="D53" s="2">
        <v>1.3152548048696464</v>
      </c>
      <c r="E53" s="4">
        <f t="shared" si="10"/>
        <v>43.464123473433936</v>
      </c>
      <c r="F53" s="4">
        <f t="shared" si="11"/>
        <v>21.732061736716968</v>
      </c>
      <c r="G53" s="4">
        <f t="shared" si="12"/>
        <v>1483.7192554421133</v>
      </c>
      <c r="H53" s="4">
        <f t="shared" si="13"/>
        <v>1267.0644976702363</v>
      </c>
      <c r="I53" s="14">
        <v>2446.6</v>
      </c>
      <c r="J53" s="13">
        <v>3100000</v>
      </c>
      <c r="K53" s="22">
        <f t="shared" si="14"/>
        <v>1879967.9930804183</v>
      </c>
      <c r="L53" s="22">
        <f t="shared" si="9"/>
        <v>1879967.9930804183</v>
      </c>
      <c r="M53" s="19" t="s">
        <v>91</v>
      </c>
      <c r="N53" s="18">
        <f t="shared" si="15"/>
        <v>905.07234529551215</v>
      </c>
      <c r="O53" s="12">
        <v>2214350</v>
      </c>
      <c r="P53" s="22">
        <f t="shared" si="16"/>
        <v>1342873.2662831047</v>
      </c>
      <c r="Q53" s="13">
        <f t="shared" si="17"/>
        <v>1342873.2662831047</v>
      </c>
    </row>
    <row r="54" spans="1:17">
      <c r="D54" s="2"/>
    </row>
    <row r="55" spans="1:17">
      <c r="A55" t="s">
        <v>73</v>
      </c>
      <c r="D55"/>
    </row>
    <row r="56" spans="1:17" ht="16">
      <c r="A56" s="18" t="s">
        <v>92</v>
      </c>
      <c r="D56"/>
    </row>
    <row r="57" spans="1:17" s="18" customFormat="1" ht="16">
      <c r="A57" s="18" t="s">
        <v>101</v>
      </c>
      <c r="J57" s="13"/>
      <c r="K57" s="22"/>
      <c r="L57" s="22"/>
      <c r="M57" s="20"/>
      <c r="P57" s="22"/>
    </row>
    <row r="58" spans="1:17">
      <c r="A58" s="18" t="s">
        <v>96</v>
      </c>
    </row>
    <row r="59" spans="1:17">
      <c r="A59" s="18" t="s">
        <v>4</v>
      </c>
    </row>
    <row r="60" spans="1:17">
      <c r="A60" s="18" t="s">
        <v>94</v>
      </c>
    </row>
    <row r="61" spans="1:17">
      <c r="A61" s="18" t="s">
        <v>0</v>
      </c>
    </row>
    <row r="62" spans="1:17">
      <c r="A62" s="18" t="s">
        <v>95</v>
      </c>
    </row>
    <row r="63" spans="1:17">
      <c r="A63" s="18" t="s">
        <v>104</v>
      </c>
    </row>
    <row r="64" spans="1:17">
      <c r="A64" s="18" t="s">
        <v>1</v>
      </c>
    </row>
  </sheetData>
  <sortState ref="A4:XFD53">
    <sortCondition ref="A4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zoomScale="90" zoomScaleNormal="90" zoomScalePageLayoutView="90" workbookViewId="0">
      <selection activeCell="K1" sqref="K1:Q1048576"/>
    </sheetView>
  </sheetViews>
  <sheetFormatPr baseColWidth="10" defaultColWidth="8.83203125" defaultRowHeight="14" x14ac:dyDescent="0"/>
  <cols>
    <col min="1" max="1" width="26" bestFit="1" customWidth="1"/>
    <col min="2" max="2" width="18.5" customWidth="1"/>
    <col min="3" max="3" width="17" customWidth="1"/>
    <col min="4" max="4" width="10.6640625" style="3" customWidth="1"/>
    <col min="5" max="5" width="15.33203125" customWidth="1"/>
    <col min="6" max="6" width="17.6640625" customWidth="1"/>
    <col min="7" max="7" width="27.6640625" customWidth="1"/>
    <col min="8" max="8" width="34" customWidth="1"/>
    <col min="9" max="9" width="10.5" customWidth="1"/>
    <col min="10" max="10" width="10.83203125" style="13" customWidth="1"/>
    <col min="11" max="11" width="12" style="22" customWidth="1"/>
    <col min="12" max="12" width="12.6640625" style="22" customWidth="1"/>
    <col min="14" max="14" width="12.6640625" customWidth="1"/>
    <col min="15" max="15" width="12.1640625" customWidth="1"/>
    <col min="16" max="16" width="13" style="22" customWidth="1"/>
    <col min="17" max="17" width="8.83203125" style="18"/>
  </cols>
  <sheetData>
    <row r="1" spans="1:17" ht="30.75" customHeight="1">
      <c r="B1" s="1" t="s">
        <v>59</v>
      </c>
      <c r="C1" s="1" t="s">
        <v>60</v>
      </c>
      <c r="D1" s="7" t="s">
        <v>90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82</v>
      </c>
      <c r="J1" s="23" t="s">
        <v>78</v>
      </c>
      <c r="K1" s="21" t="s">
        <v>76</v>
      </c>
      <c r="L1" s="27" t="s">
        <v>103</v>
      </c>
      <c r="M1" s="19" t="s">
        <v>91</v>
      </c>
      <c r="N1" s="1" t="s">
        <v>89</v>
      </c>
      <c r="O1" s="1" t="s">
        <v>87</v>
      </c>
      <c r="P1" s="21" t="s">
        <v>88</v>
      </c>
      <c r="Q1" s="18" t="s">
        <v>102</v>
      </c>
    </row>
    <row r="2" spans="1:17" ht="16">
      <c r="A2" t="s">
        <v>16</v>
      </c>
      <c r="B2" s="18" t="s">
        <v>18</v>
      </c>
      <c r="C2" s="18"/>
      <c r="D2" s="3" t="s">
        <v>86</v>
      </c>
      <c r="E2" s="18" t="s">
        <v>17</v>
      </c>
      <c r="F2" s="18" t="s">
        <v>19</v>
      </c>
      <c r="G2" s="18" t="s">
        <v>22</v>
      </c>
      <c r="H2" s="18" t="s">
        <v>24</v>
      </c>
      <c r="L2" s="22">
        <f t="shared" ref="L2:L33" si="0">MIN(J2,K2)</f>
        <v>0</v>
      </c>
      <c r="M2" s="20" t="s">
        <v>91</v>
      </c>
      <c r="O2" s="18"/>
      <c r="Q2" s="13"/>
    </row>
    <row r="3" spans="1:17">
      <c r="A3" t="s">
        <v>26</v>
      </c>
      <c r="B3" s="4">
        <v>57.036474214306388</v>
      </c>
      <c r="C3" s="4">
        <v>70.725228025739924</v>
      </c>
      <c r="D3" s="2">
        <v>1.2545032030514984</v>
      </c>
      <c r="E3" s="4">
        <f t="shared" ref="E3:E34" si="1">B3/D3</f>
        <v>45.465387474156167</v>
      </c>
      <c r="F3" s="4">
        <f t="shared" ref="F3:F34" si="2">E3*0.5</f>
        <v>22.732693737078083</v>
      </c>
      <c r="G3" s="4">
        <f t="shared" ref="G3:G34" si="3">PI()*F3^2</f>
        <v>1623.4976888069552</v>
      </c>
      <c r="H3" s="4">
        <f t="shared" ref="H3:H34" si="4">J3/I3</f>
        <v>1103.9402173913043</v>
      </c>
      <c r="I3" s="17">
        <v>2944</v>
      </c>
      <c r="J3" s="13">
        <v>3250000</v>
      </c>
      <c r="K3" s="22">
        <f t="shared" ref="K3:K34" si="5">G3*H3</f>
        <v>1792244.3915158303</v>
      </c>
      <c r="L3" s="22">
        <f t="shared" si="0"/>
        <v>1792244.3915158303</v>
      </c>
      <c r="M3" s="19" t="s">
        <v>91</v>
      </c>
      <c r="N3">
        <f t="shared" ref="N3:N34" si="6">O3/I3</f>
        <v>643.62635869565213</v>
      </c>
      <c r="O3" s="13">
        <v>1894836</v>
      </c>
      <c r="P3" s="22">
        <f t="shared" ref="P3:P34" si="7">G3*N3</f>
        <v>1044925.9057976276</v>
      </c>
      <c r="Q3" s="13">
        <f t="shared" ref="Q3:Q34" si="8">MIN(P3,O3)</f>
        <v>1044925.9057976276</v>
      </c>
    </row>
    <row r="4" spans="1:17">
      <c r="A4" s="18" t="s">
        <v>6</v>
      </c>
      <c r="B4" s="4">
        <v>62.912832549243973</v>
      </c>
      <c r="C4" s="4">
        <v>73.608014082615441</v>
      </c>
      <c r="D4" s="2">
        <v>1.3588386571923918</v>
      </c>
      <c r="E4" s="4">
        <f t="shared" si="1"/>
        <v>46.298971711059018</v>
      </c>
      <c r="F4" s="4">
        <f t="shared" si="2"/>
        <v>23.149485855529509</v>
      </c>
      <c r="G4" s="4">
        <f t="shared" si="3"/>
        <v>1683.5754044595881</v>
      </c>
      <c r="H4" s="4">
        <f t="shared" si="4"/>
        <v>1074.2049469964663</v>
      </c>
      <c r="I4" s="17">
        <v>707.5</v>
      </c>
      <c r="J4" s="13">
        <v>760000</v>
      </c>
      <c r="K4" s="22">
        <f t="shared" si="5"/>
        <v>1808505.0281120662</v>
      </c>
      <c r="L4" s="22">
        <f t="shared" si="0"/>
        <v>760000</v>
      </c>
      <c r="M4" s="20" t="s">
        <v>91</v>
      </c>
      <c r="N4">
        <f t="shared" si="6"/>
        <v>678.06501766784447</v>
      </c>
      <c r="O4" s="13">
        <v>479731</v>
      </c>
      <c r="P4" s="22">
        <f t="shared" si="7"/>
        <v>1141573.586370039</v>
      </c>
      <c r="Q4" s="13">
        <f t="shared" si="8"/>
        <v>479731</v>
      </c>
    </row>
    <row r="5" spans="1:17">
      <c r="A5" t="s">
        <v>28</v>
      </c>
      <c r="B5" s="4">
        <v>60.83258633343933</v>
      </c>
      <c r="C5" s="4">
        <v>72.390777736792799</v>
      </c>
      <c r="D5" s="2">
        <v>1.2525850225273614</v>
      </c>
      <c r="E5" s="4">
        <f t="shared" si="1"/>
        <v>48.565634459444851</v>
      </c>
      <c r="F5" s="4">
        <f t="shared" si="2"/>
        <v>24.282817229722426</v>
      </c>
      <c r="G5" s="4">
        <f t="shared" si="3"/>
        <v>1852.4564840931143</v>
      </c>
      <c r="H5" s="4">
        <f t="shared" si="4"/>
        <v>1394.5910720104268</v>
      </c>
      <c r="I5" s="17">
        <v>1534.5</v>
      </c>
      <c r="J5" s="13">
        <v>2140000</v>
      </c>
      <c r="K5" s="22">
        <f t="shared" si="5"/>
        <v>2583419.2740040827</v>
      </c>
      <c r="L5" s="22">
        <f t="shared" si="0"/>
        <v>2140000</v>
      </c>
      <c r="M5" s="19" t="s">
        <v>91</v>
      </c>
      <c r="N5">
        <f t="shared" si="6"/>
        <v>646.30107526881716</v>
      </c>
      <c r="O5" s="13">
        <v>991749</v>
      </c>
      <c r="P5" s="22">
        <f t="shared" si="7"/>
        <v>1197244.6175580723</v>
      </c>
      <c r="Q5" s="13">
        <f t="shared" si="8"/>
        <v>991749</v>
      </c>
    </row>
    <row r="6" spans="1:17">
      <c r="A6" t="s">
        <v>29</v>
      </c>
      <c r="B6" s="4">
        <v>59.830798901249047</v>
      </c>
      <c r="C6" s="4">
        <v>71.198650692486353</v>
      </c>
      <c r="D6" s="2">
        <v>1.225722635583782</v>
      </c>
      <c r="E6" s="4">
        <f t="shared" si="1"/>
        <v>48.81267357255998</v>
      </c>
      <c r="F6" s="4">
        <f t="shared" si="2"/>
        <v>24.40633678627999</v>
      </c>
      <c r="G6" s="4">
        <f t="shared" si="3"/>
        <v>1871.3502193311931</v>
      </c>
      <c r="H6" s="4">
        <f t="shared" si="4"/>
        <v>1594.3159171648906</v>
      </c>
      <c r="I6" s="17">
        <v>2308.1999999999998</v>
      </c>
      <c r="J6" s="13">
        <v>3680000</v>
      </c>
      <c r="K6" s="22">
        <f t="shared" si="5"/>
        <v>2983523.4412697302</v>
      </c>
      <c r="L6" s="22">
        <f t="shared" si="0"/>
        <v>2983523.4412697302</v>
      </c>
      <c r="M6" s="20" t="s">
        <v>91</v>
      </c>
      <c r="N6">
        <f t="shared" si="6"/>
        <v>1247.093839355342</v>
      </c>
      <c r="O6" s="13">
        <v>2878542</v>
      </c>
      <c r="P6" s="22">
        <f t="shared" si="7"/>
        <v>2333749.3298041988</v>
      </c>
      <c r="Q6" s="13">
        <f t="shared" si="8"/>
        <v>2333749.3298041988</v>
      </c>
    </row>
    <row r="7" spans="1:17">
      <c r="A7" t="s">
        <v>30</v>
      </c>
      <c r="B7" s="4">
        <v>66.307400044704906</v>
      </c>
      <c r="C7" s="4">
        <v>68.959696046493107</v>
      </c>
      <c r="D7" s="2">
        <v>1.2376013427301835</v>
      </c>
      <c r="E7" s="4">
        <f t="shared" si="1"/>
        <v>53.577349793778431</v>
      </c>
      <c r="F7" s="4">
        <f t="shared" si="2"/>
        <v>26.788674896889216</v>
      </c>
      <c r="G7" s="4">
        <f t="shared" si="3"/>
        <v>2254.5108835132573</v>
      </c>
      <c r="H7" s="4">
        <f t="shared" si="4"/>
        <v>1446.923597025017</v>
      </c>
      <c r="I7" s="17">
        <v>739.5</v>
      </c>
      <c r="J7" s="13">
        <v>1070000</v>
      </c>
      <c r="K7" s="22">
        <f t="shared" si="5"/>
        <v>3262104.9971050513</v>
      </c>
      <c r="L7" s="22">
        <f t="shared" si="0"/>
        <v>1070000</v>
      </c>
      <c r="M7" s="19" t="s">
        <v>91</v>
      </c>
      <c r="N7">
        <f t="shared" si="6"/>
        <v>630.65584854631504</v>
      </c>
      <c r="O7" s="13">
        <v>466370</v>
      </c>
      <c r="P7" s="22">
        <f t="shared" si="7"/>
        <v>1421820.4742989556</v>
      </c>
      <c r="Q7" s="13">
        <f t="shared" si="8"/>
        <v>466370</v>
      </c>
    </row>
    <row r="8" spans="1:17">
      <c r="A8" t="s">
        <v>31</v>
      </c>
      <c r="B8" s="4">
        <v>61.905551177743639</v>
      </c>
      <c r="C8" s="4">
        <v>69.95327283085031</v>
      </c>
      <c r="D8" s="2">
        <v>1.2806694088372974</v>
      </c>
      <c r="E8" s="4">
        <f t="shared" si="1"/>
        <v>48.338432034498943</v>
      </c>
      <c r="F8" s="4">
        <f t="shared" si="2"/>
        <v>24.169216017249472</v>
      </c>
      <c r="G8" s="4">
        <f t="shared" si="3"/>
        <v>1835.1644992615222</v>
      </c>
      <c r="H8" s="4">
        <f t="shared" si="4"/>
        <v>1054.1447053186391</v>
      </c>
      <c r="I8" s="17">
        <v>626.1</v>
      </c>
      <c r="J8" s="13">
        <v>660000</v>
      </c>
      <c r="K8" s="22">
        <f t="shared" si="5"/>
        <v>1934528.9402852652</v>
      </c>
      <c r="L8" s="22">
        <f t="shared" si="0"/>
        <v>660000</v>
      </c>
      <c r="M8" s="20" t="s">
        <v>91</v>
      </c>
      <c r="N8">
        <f t="shared" si="6"/>
        <v>1161.0174093595272</v>
      </c>
      <c r="O8" s="13">
        <v>726913</v>
      </c>
      <c r="P8" s="22">
        <f t="shared" si="7"/>
        <v>2130657.9326811866</v>
      </c>
      <c r="Q8" s="13">
        <f t="shared" si="8"/>
        <v>726913</v>
      </c>
    </row>
    <row r="9" spans="1:17">
      <c r="A9" t="s">
        <v>32</v>
      </c>
      <c r="B9" s="4">
        <v>54.907110357721741</v>
      </c>
      <c r="C9" s="4">
        <v>71.379243465038257</v>
      </c>
      <c r="D9" s="2">
        <v>1.230649613698569</v>
      </c>
      <c r="E9" s="4">
        <f t="shared" si="1"/>
        <v>44.616363379585394</v>
      </c>
      <c r="F9" s="4">
        <f t="shared" si="2"/>
        <v>22.308181689792697</v>
      </c>
      <c r="G9" s="4">
        <f t="shared" si="3"/>
        <v>1563.429198732013</v>
      </c>
      <c r="H9" s="4">
        <f t="shared" si="4"/>
        <v>1887.2752083434864</v>
      </c>
      <c r="I9" s="17">
        <v>4103.8</v>
      </c>
      <c r="J9" s="13">
        <v>7745000</v>
      </c>
      <c r="K9" s="22">
        <f t="shared" si="5"/>
        <v>2950621.1667672498</v>
      </c>
      <c r="L9" s="22">
        <f t="shared" si="0"/>
        <v>2950621.1667672498</v>
      </c>
      <c r="M9" s="19" t="s">
        <v>91</v>
      </c>
      <c r="N9">
        <f t="shared" si="6"/>
        <v>977.85272186753741</v>
      </c>
      <c r="O9" s="13">
        <f>3741075+224929+46908</f>
        <v>4012912</v>
      </c>
      <c r="P9" s="22">
        <f t="shared" si="7"/>
        <v>1528803.4974272819</v>
      </c>
      <c r="Q9" s="13">
        <f t="shared" si="8"/>
        <v>1528803.4974272819</v>
      </c>
    </row>
    <row r="10" spans="1:17">
      <c r="A10" t="s">
        <v>33</v>
      </c>
      <c r="B10" s="4">
        <v>64.694239445714103</v>
      </c>
      <c r="C10" s="4">
        <v>75.045317757028357</v>
      </c>
      <c r="D10" s="2">
        <v>1.3292592058969801</v>
      </c>
      <c r="E10" s="4">
        <f t="shared" si="1"/>
        <v>48.669393568020183</v>
      </c>
      <c r="F10" s="4">
        <f t="shared" si="2"/>
        <v>24.334696784010092</v>
      </c>
      <c r="G10" s="4">
        <f t="shared" si="3"/>
        <v>1860.3803817384123</v>
      </c>
      <c r="H10" s="4">
        <f t="shared" si="4"/>
        <v>980.98400241472984</v>
      </c>
      <c r="I10" s="17">
        <v>1325.2</v>
      </c>
      <c r="J10" s="13">
        <v>1300000</v>
      </c>
      <c r="K10" s="22">
        <f t="shared" si="5"/>
        <v>1825003.3928915907</v>
      </c>
      <c r="L10" s="22">
        <f t="shared" si="0"/>
        <v>1300000</v>
      </c>
      <c r="M10" s="20" t="s">
        <v>91</v>
      </c>
      <c r="N10">
        <f t="shared" si="6"/>
        <v>673.15801388469663</v>
      </c>
      <c r="O10" s="13">
        <f>789795+102274</f>
        <v>892069</v>
      </c>
      <c r="P10" s="22">
        <f t="shared" si="7"/>
        <v>1252329.9628410833</v>
      </c>
      <c r="Q10" s="13">
        <f t="shared" si="8"/>
        <v>892069</v>
      </c>
    </row>
    <row r="11" spans="1:17">
      <c r="A11" t="s">
        <v>34</v>
      </c>
      <c r="B11" s="4">
        <v>68.272477468286837</v>
      </c>
      <c r="C11" s="4">
        <v>75.782449989798394</v>
      </c>
      <c r="D11" s="2">
        <v>1.2227035028236048</v>
      </c>
      <c r="E11" s="4">
        <f t="shared" si="1"/>
        <v>55.837312406993462</v>
      </c>
      <c r="F11" s="4">
        <f t="shared" si="2"/>
        <v>27.918656203496731</v>
      </c>
      <c r="G11" s="4">
        <f t="shared" si="3"/>
        <v>2448.7186796296824</v>
      </c>
      <c r="H11" s="4">
        <f t="shared" si="4"/>
        <v>1074.6812386156648</v>
      </c>
      <c r="I11" s="17">
        <v>1647</v>
      </c>
      <c r="J11" s="13">
        <v>1770000</v>
      </c>
      <c r="K11" s="22">
        <f t="shared" si="5"/>
        <v>2631592.0236457423</v>
      </c>
      <c r="L11" s="22">
        <f t="shared" si="0"/>
        <v>1770000</v>
      </c>
      <c r="M11" s="19" t="s">
        <v>91</v>
      </c>
      <c r="N11">
        <f t="shared" si="6"/>
        <v>633.32847601700064</v>
      </c>
      <c r="O11" s="13">
        <v>1043092</v>
      </c>
      <c r="P11" s="22">
        <f t="shared" si="7"/>
        <v>1550843.2695642288</v>
      </c>
      <c r="Q11" s="13">
        <f t="shared" si="8"/>
        <v>1043092</v>
      </c>
    </row>
    <row r="12" spans="1:17">
      <c r="A12" t="s">
        <v>35</v>
      </c>
      <c r="B12" s="4">
        <v>64.211989973812706</v>
      </c>
      <c r="C12" s="4">
        <v>73.843788469884601</v>
      </c>
      <c r="D12" s="2">
        <v>1.2387291911244029</v>
      </c>
      <c r="E12" s="4">
        <f t="shared" si="1"/>
        <v>51.836987804838152</v>
      </c>
      <c r="F12" s="4">
        <f t="shared" si="2"/>
        <v>25.918493902419076</v>
      </c>
      <c r="G12" s="4">
        <f t="shared" si="3"/>
        <v>2110.4224384091508</v>
      </c>
      <c r="H12" s="4">
        <f t="shared" si="4"/>
        <v>1130.6392029553342</v>
      </c>
      <c r="I12" s="17">
        <v>893.3</v>
      </c>
      <c r="J12" s="13">
        <v>1010000</v>
      </c>
      <c r="K12" s="22">
        <f t="shared" si="5"/>
        <v>2386126.3436619751</v>
      </c>
      <c r="L12" s="22">
        <f t="shared" si="0"/>
        <v>1010000</v>
      </c>
      <c r="M12" s="20" t="s">
        <v>91</v>
      </c>
      <c r="N12">
        <f t="shared" si="6"/>
        <v>810.52949736930486</v>
      </c>
      <c r="O12" s="13">
        <v>724046</v>
      </c>
      <c r="P12" s="22">
        <f t="shared" si="7"/>
        <v>1710559.6382406717</v>
      </c>
      <c r="Q12" s="13">
        <f t="shared" si="8"/>
        <v>724046</v>
      </c>
    </row>
    <row r="13" spans="1:17">
      <c r="A13" t="s">
        <v>61</v>
      </c>
      <c r="B13" s="4">
        <v>62.831555497974001</v>
      </c>
      <c r="C13" s="4">
        <v>72.884604377649836</v>
      </c>
      <c r="D13" s="2">
        <v>1.2669462965142195</v>
      </c>
      <c r="E13" s="4">
        <f t="shared" si="1"/>
        <v>49.592911452398575</v>
      </c>
      <c r="F13" s="4">
        <f t="shared" si="2"/>
        <v>24.796455726199287</v>
      </c>
      <c r="G13" s="4">
        <f t="shared" si="3"/>
        <v>1931.6529057672485</v>
      </c>
      <c r="H13" s="4">
        <f t="shared" si="4"/>
        <v>936.4548494983278</v>
      </c>
      <c r="I13" s="17">
        <v>3737.5</v>
      </c>
      <c r="J13" s="13">
        <v>3500000</v>
      </c>
      <c r="K13" s="22">
        <f t="shared" si="5"/>
        <v>1808905.7311532763</v>
      </c>
      <c r="L13" s="22">
        <f t="shared" si="0"/>
        <v>1808905.7311532763</v>
      </c>
      <c r="M13" s="19" t="s">
        <v>91</v>
      </c>
      <c r="N13">
        <f t="shared" si="6"/>
        <v>638.19745819397997</v>
      </c>
      <c r="O13" s="13">
        <f>1747902+637361</f>
        <v>2385263</v>
      </c>
      <c r="P13" s="22">
        <f t="shared" si="7"/>
        <v>1232775.9745736734</v>
      </c>
      <c r="Q13" s="13">
        <f t="shared" si="8"/>
        <v>1232775.9745736734</v>
      </c>
    </row>
    <row r="14" spans="1:17">
      <c r="A14" t="s">
        <v>36</v>
      </c>
      <c r="B14" s="4">
        <v>57.288367544824013</v>
      </c>
      <c r="C14" s="4">
        <v>69.891808404685293</v>
      </c>
      <c r="D14" s="2">
        <v>1.3381636172769695</v>
      </c>
      <c r="E14" s="4">
        <f t="shared" si="1"/>
        <v>42.811183031115561</v>
      </c>
      <c r="F14" s="4">
        <f t="shared" si="2"/>
        <v>21.405591515557781</v>
      </c>
      <c r="G14" s="4">
        <f t="shared" si="3"/>
        <v>1439.4757059677281</v>
      </c>
      <c r="H14" s="4">
        <f t="shared" si="4"/>
        <v>1455.7388084819925</v>
      </c>
      <c r="I14" s="17">
        <v>1188.4000000000001</v>
      </c>
      <c r="J14" s="13">
        <v>1730000</v>
      </c>
      <c r="K14" s="22">
        <f t="shared" si="5"/>
        <v>2095500.6490442355</v>
      </c>
      <c r="L14" s="22">
        <f t="shared" si="0"/>
        <v>1730000</v>
      </c>
      <c r="M14" s="20" t="s">
        <v>91</v>
      </c>
      <c r="N14">
        <f t="shared" si="6"/>
        <v>816.15112756647591</v>
      </c>
      <c r="O14" s="13">
        <v>969914</v>
      </c>
      <c r="P14" s="22">
        <f t="shared" si="7"/>
        <v>1174829.7205301102</v>
      </c>
      <c r="Q14" s="13">
        <f t="shared" si="8"/>
        <v>969914</v>
      </c>
    </row>
    <row r="15" spans="1:17">
      <c r="A15" t="s">
        <v>37</v>
      </c>
      <c r="B15" s="4">
        <v>53.475546269365232</v>
      </c>
      <c r="C15" s="4">
        <v>67.379188299400198</v>
      </c>
      <c r="D15" s="2">
        <v>1.2390009620459046</v>
      </c>
      <c r="E15" s="4">
        <f t="shared" si="1"/>
        <v>43.160213678174671</v>
      </c>
      <c r="F15" s="4">
        <f t="shared" si="2"/>
        <v>21.580106839087335</v>
      </c>
      <c r="G15" s="4">
        <f t="shared" si="3"/>
        <v>1463.0428755126077</v>
      </c>
      <c r="H15" s="4">
        <f t="shared" si="4"/>
        <v>1384.7692626060564</v>
      </c>
      <c r="I15" s="17">
        <v>2899.4</v>
      </c>
      <c r="J15" s="13">
        <v>4015000</v>
      </c>
      <c r="K15" s="22">
        <f t="shared" si="5"/>
        <v>2025976.803884638</v>
      </c>
      <c r="L15" s="22">
        <f t="shared" si="0"/>
        <v>2025976.803884638</v>
      </c>
      <c r="M15" s="19" t="s">
        <v>91</v>
      </c>
      <c r="N15">
        <f t="shared" si="6"/>
        <v>664.66199903428299</v>
      </c>
      <c r="O15" s="13">
        <v>1927121</v>
      </c>
      <c r="P15" s="22">
        <f t="shared" si="7"/>
        <v>972429.00231107546</v>
      </c>
      <c r="Q15" s="13">
        <f t="shared" si="8"/>
        <v>972429.00231107546</v>
      </c>
    </row>
    <row r="16" spans="1:17">
      <c r="A16" s="18" t="s">
        <v>7</v>
      </c>
      <c r="B16" s="4">
        <v>60.555305265855225</v>
      </c>
      <c r="C16" s="4">
        <v>66.005282739782203</v>
      </c>
      <c r="D16" s="2">
        <v>1.2825248470877721</v>
      </c>
      <c r="E16" s="4">
        <f t="shared" si="1"/>
        <v>47.215697538615409</v>
      </c>
      <c r="F16" s="4">
        <f t="shared" si="2"/>
        <v>23.607848769307704</v>
      </c>
      <c r="G16" s="4">
        <f t="shared" si="3"/>
        <v>1750.905478294517</v>
      </c>
      <c r="H16" s="4">
        <f t="shared" si="4"/>
        <v>830.1625735039778</v>
      </c>
      <c r="I16" s="17">
        <v>578.20000000000005</v>
      </c>
      <c r="J16" s="13">
        <v>480000</v>
      </c>
      <c r="K16" s="22">
        <f t="shared" si="5"/>
        <v>1453536.1978231894</v>
      </c>
      <c r="L16" s="22">
        <f t="shared" si="0"/>
        <v>480000</v>
      </c>
      <c r="M16" s="20" t="s">
        <v>91</v>
      </c>
      <c r="N16">
        <f t="shared" si="6"/>
        <v>892.03389830508468</v>
      </c>
      <c r="O16" s="13">
        <v>515774</v>
      </c>
      <c r="P16" s="22">
        <f t="shared" si="7"/>
        <v>1561867.0393667868</v>
      </c>
      <c r="Q16" s="13">
        <f t="shared" si="8"/>
        <v>515774</v>
      </c>
    </row>
    <row r="17" spans="1:17">
      <c r="A17" t="s">
        <v>511</v>
      </c>
      <c r="B17" s="4">
        <v>59.158544620573359</v>
      </c>
      <c r="C17" s="4">
        <v>68.032326313659354</v>
      </c>
      <c r="D17" s="2">
        <v>1.3437942504267779</v>
      </c>
      <c r="E17" s="4">
        <f t="shared" si="1"/>
        <v>44.023513720039432</v>
      </c>
      <c r="F17" s="4">
        <f t="shared" si="2"/>
        <v>22.011756860019716</v>
      </c>
      <c r="G17" s="4">
        <f t="shared" si="3"/>
        <v>1522.1564302431589</v>
      </c>
      <c r="H17" s="4">
        <f t="shared" si="4"/>
        <v>823.20088428646227</v>
      </c>
      <c r="I17" s="18">
        <v>1718.9</v>
      </c>
      <c r="J17" s="13">
        <v>1415000</v>
      </c>
      <c r="K17" s="22">
        <f t="shared" si="5"/>
        <v>1253040.519398493</v>
      </c>
      <c r="L17" s="22">
        <f t="shared" si="0"/>
        <v>1253040.519398493</v>
      </c>
      <c r="M17" s="19" t="s">
        <v>91</v>
      </c>
      <c r="N17">
        <f t="shared" si="6"/>
        <v>318.17034149746928</v>
      </c>
      <c r="O17" s="13">
        <v>546903</v>
      </c>
      <c r="P17" s="22">
        <f t="shared" si="7"/>
        <v>484305.03122303466</v>
      </c>
      <c r="Q17" s="13">
        <f t="shared" si="8"/>
        <v>484305.03122303466</v>
      </c>
    </row>
    <row r="18" spans="1:17">
      <c r="A18" t="s">
        <v>38</v>
      </c>
      <c r="B18" s="4">
        <v>70.476777328237517</v>
      </c>
      <c r="C18" s="4">
        <v>76.114919514496535</v>
      </c>
      <c r="D18" s="2">
        <v>1.3223701939914507</v>
      </c>
      <c r="E18" s="4">
        <f t="shared" si="1"/>
        <v>53.295799957128466</v>
      </c>
      <c r="F18" s="4">
        <f t="shared" si="2"/>
        <v>26.647899978564233</v>
      </c>
      <c r="G18" s="4">
        <f t="shared" si="3"/>
        <v>2230.8781602138142</v>
      </c>
      <c r="H18" s="4">
        <f t="shared" si="4"/>
        <v>1344.215074411906</v>
      </c>
      <c r="I18" s="18">
        <v>624.9</v>
      </c>
      <c r="J18" s="13">
        <v>840000</v>
      </c>
      <c r="K18" s="22">
        <f t="shared" si="5"/>
        <v>2998780.0521357083</v>
      </c>
      <c r="L18" s="22">
        <f t="shared" si="0"/>
        <v>840000</v>
      </c>
      <c r="M18" s="20" t="s">
        <v>91</v>
      </c>
      <c r="N18">
        <f t="shared" si="6"/>
        <v>872.5332053128501</v>
      </c>
      <c r="O18" s="13">
        <v>545246</v>
      </c>
      <c r="P18" s="22">
        <f t="shared" si="7"/>
        <v>1946515.2717937932</v>
      </c>
      <c r="Q18" s="13">
        <f t="shared" si="8"/>
        <v>545246</v>
      </c>
    </row>
    <row r="19" spans="1:17">
      <c r="A19" s="18" t="s">
        <v>8</v>
      </c>
      <c r="B19" s="4">
        <v>62.589105491586352</v>
      </c>
      <c r="C19" s="4">
        <v>75.732817644819477</v>
      </c>
      <c r="D19" s="2">
        <v>1.3847021462356206</v>
      </c>
      <c r="E19" s="4">
        <f t="shared" si="1"/>
        <v>45.200410544417693</v>
      </c>
      <c r="F19" s="4">
        <f t="shared" si="2"/>
        <v>22.600205272208846</v>
      </c>
      <c r="G19" s="4">
        <f t="shared" si="3"/>
        <v>1604.6290125310802</v>
      </c>
      <c r="H19" s="4">
        <f t="shared" si="4"/>
        <v>1948.7750556792873</v>
      </c>
      <c r="I19" s="18">
        <v>359.2</v>
      </c>
      <c r="J19" s="13">
        <v>700000</v>
      </c>
      <c r="K19" s="22">
        <f t="shared" si="5"/>
        <v>3127060.9932398559</v>
      </c>
      <c r="L19" s="22">
        <f t="shared" si="0"/>
        <v>700000</v>
      </c>
      <c r="M19" s="19" t="s">
        <v>91</v>
      </c>
      <c r="N19">
        <f t="shared" si="6"/>
        <v>861.60077951002233</v>
      </c>
      <c r="O19" s="13">
        <v>309487</v>
      </c>
      <c r="P19" s="22">
        <f t="shared" si="7"/>
        <v>1382549.6080211762</v>
      </c>
      <c r="Q19" s="13">
        <f t="shared" si="8"/>
        <v>309487</v>
      </c>
    </row>
    <row r="20" spans="1:17">
      <c r="A20" t="s">
        <v>39</v>
      </c>
      <c r="B20" s="4">
        <v>61.721940346898506</v>
      </c>
      <c r="C20" s="4">
        <v>73.449109012809217</v>
      </c>
      <c r="D20" s="2">
        <v>1.3274915886326069</v>
      </c>
      <c r="E20" s="4">
        <f t="shared" si="1"/>
        <v>46.495164922646083</v>
      </c>
      <c r="F20" s="4">
        <f t="shared" si="2"/>
        <v>23.247582461323042</v>
      </c>
      <c r="G20" s="4">
        <f t="shared" si="3"/>
        <v>1697.8740333059</v>
      </c>
      <c r="H20" s="4">
        <f t="shared" si="4"/>
        <v>996.95011969960308</v>
      </c>
      <c r="I20" s="18">
        <v>3049.3</v>
      </c>
      <c r="J20" s="13">
        <v>3040000</v>
      </c>
      <c r="K20" s="22">
        <f t="shared" si="5"/>
        <v>1692695.7207391649</v>
      </c>
      <c r="L20" s="22">
        <f t="shared" si="0"/>
        <v>1692695.7207391649</v>
      </c>
      <c r="M20" s="20" t="s">
        <v>91</v>
      </c>
      <c r="N20">
        <f t="shared" si="6"/>
        <v>577.52172629783877</v>
      </c>
      <c r="O20" s="13">
        <v>1761037</v>
      </c>
      <c r="P20" s="22">
        <f t="shared" si="7"/>
        <v>980559.14275109756</v>
      </c>
      <c r="Q20" s="13">
        <f t="shared" si="8"/>
        <v>980559.14275109756</v>
      </c>
    </row>
    <row r="21" spans="1:17">
      <c r="A21" t="s">
        <v>40</v>
      </c>
      <c r="B21" s="4">
        <v>56.481833278971671</v>
      </c>
      <c r="C21" s="4">
        <v>70.037473265924874</v>
      </c>
      <c r="D21" s="2">
        <v>1.2722485093794627</v>
      </c>
      <c r="E21" s="4">
        <f t="shared" si="1"/>
        <v>44.395283517777983</v>
      </c>
      <c r="F21" s="4">
        <f t="shared" si="2"/>
        <v>22.197641758888992</v>
      </c>
      <c r="G21" s="4">
        <f t="shared" si="3"/>
        <v>1547.9735975635681</v>
      </c>
      <c r="H21" s="4">
        <f t="shared" si="4"/>
        <v>811.10013175230563</v>
      </c>
      <c r="I21" s="18">
        <v>1214.4000000000001</v>
      </c>
      <c r="J21" s="13">
        <v>985000</v>
      </c>
      <c r="K21" s="22">
        <f t="shared" si="5"/>
        <v>1255561.5889329007</v>
      </c>
      <c r="L21" s="22">
        <f t="shared" si="0"/>
        <v>985000</v>
      </c>
      <c r="M21" s="19" t="s">
        <v>91</v>
      </c>
      <c r="N21">
        <f t="shared" si="6"/>
        <v>628.129117259552</v>
      </c>
      <c r="O21" s="13">
        <v>762800</v>
      </c>
      <c r="P21" s="22">
        <f t="shared" si="7"/>
        <v>972327.28937869705</v>
      </c>
      <c r="Q21" s="13">
        <f t="shared" si="8"/>
        <v>762800</v>
      </c>
    </row>
    <row r="22" spans="1:17">
      <c r="A22" t="s">
        <v>84</v>
      </c>
      <c r="B22" s="4">
        <v>63.440181483124732</v>
      </c>
      <c r="C22" s="4">
        <v>74.22501233525594</v>
      </c>
      <c r="D22" s="2">
        <v>1.3453291884115326</v>
      </c>
      <c r="E22" s="4">
        <f t="shared" si="1"/>
        <v>47.15587978733317</v>
      </c>
      <c r="F22" s="4">
        <f t="shared" si="2"/>
        <v>23.577939893666585</v>
      </c>
      <c r="G22" s="4">
        <f t="shared" si="3"/>
        <v>1746.4718306247296</v>
      </c>
      <c r="H22" s="4">
        <f t="shared" si="4"/>
        <v>1191.6750587445451</v>
      </c>
      <c r="I22" s="18">
        <v>1191.5999999999999</v>
      </c>
      <c r="J22" s="13">
        <v>1420000</v>
      </c>
      <c r="K22" s="22">
        <f t="shared" si="5"/>
        <v>2081226.9213554179</v>
      </c>
      <c r="L22" s="22">
        <f t="shared" si="0"/>
        <v>1420000</v>
      </c>
      <c r="M22" s="20" t="s">
        <v>91</v>
      </c>
      <c r="N22">
        <f t="shared" si="6"/>
        <v>643.63293051359517</v>
      </c>
      <c r="O22" s="13">
        <v>766953</v>
      </c>
      <c r="P22" s="22">
        <f t="shared" si="7"/>
        <v>1124086.7824044379</v>
      </c>
      <c r="Q22" s="13">
        <f t="shared" si="8"/>
        <v>766953</v>
      </c>
    </row>
    <row r="23" spans="1:17">
      <c r="A23" s="18" t="s">
        <v>9</v>
      </c>
      <c r="B23" s="4">
        <v>57.215795069462693</v>
      </c>
      <c r="C23" s="4">
        <v>68.658954083355226</v>
      </c>
      <c r="D23" s="2">
        <v>1.367147891752108</v>
      </c>
      <c r="E23" s="4">
        <f t="shared" si="1"/>
        <v>41.850479684488363</v>
      </c>
      <c r="F23" s="4">
        <f t="shared" si="2"/>
        <v>20.925239842244181</v>
      </c>
      <c r="G23" s="4">
        <f t="shared" si="3"/>
        <v>1375.5955484292488</v>
      </c>
      <c r="H23" s="4">
        <f t="shared" si="4"/>
        <v>612.21385656703933</v>
      </c>
      <c r="I23" s="18">
        <v>1314.9</v>
      </c>
      <c r="J23" s="13">
        <v>805000</v>
      </c>
      <c r="K23" s="22">
        <f t="shared" si="5"/>
        <v>842158.65578032192</v>
      </c>
      <c r="L23" s="22">
        <f t="shared" si="0"/>
        <v>805000</v>
      </c>
      <c r="M23" s="19" t="s">
        <v>91</v>
      </c>
      <c r="N23">
        <f t="shared" si="6"/>
        <v>349.42505133470223</v>
      </c>
      <c r="O23" s="13">
        <v>459459</v>
      </c>
      <c r="P23" s="22">
        <f t="shared" si="7"/>
        <v>480667.54512567812</v>
      </c>
      <c r="Q23" s="13">
        <f t="shared" si="8"/>
        <v>459459</v>
      </c>
    </row>
    <row r="24" spans="1:17">
      <c r="A24" t="s">
        <v>74</v>
      </c>
      <c r="B24" s="4">
        <v>68.436669108333987</v>
      </c>
      <c r="C24" s="4">
        <v>73.227235945917371</v>
      </c>
      <c r="D24" s="2">
        <v>1.2826649786157569</v>
      </c>
      <c r="E24" s="4">
        <f t="shared" si="1"/>
        <v>53.355061726399022</v>
      </c>
      <c r="F24" s="4">
        <f t="shared" si="2"/>
        <v>26.677530863199511</v>
      </c>
      <c r="G24" s="4">
        <f t="shared" si="3"/>
        <v>2235.8421269581163</v>
      </c>
      <c r="H24" s="4">
        <f t="shared" si="4"/>
        <v>674.0661902589834</v>
      </c>
      <c r="I24" s="18">
        <v>1973.1</v>
      </c>
      <c r="J24" s="13">
        <v>1330000</v>
      </c>
      <c r="K24" s="22">
        <f t="shared" si="5"/>
        <v>1507105.5845391997</v>
      </c>
      <c r="L24" s="22">
        <f t="shared" si="0"/>
        <v>1330000</v>
      </c>
      <c r="M24" s="20" t="s">
        <v>91</v>
      </c>
      <c r="N24">
        <f t="shared" si="6"/>
        <v>418.47397496325578</v>
      </c>
      <c r="O24" s="13">
        <v>825691</v>
      </c>
      <c r="P24" s="22">
        <f t="shared" si="7"/>
        <v>935641.74225846329</v>
      </c>
      <c r="Q24" s="13">
        <f t="shared" si="8"/>
        <v>825691</v>
      </c>
    </row>
    <row r="25" spans="1:17">
      <c r="A25" t="s">
        <v>62</v>
      </c>
      <c r="B25" s="4">
        <v>52.889872194354147</v>
      </c>
      <c r="C25" s="4">
        <v>65.583441520999145</v>
      </c>
      <c r="D25" s="2">
        <v>1.3334070755044698</v>
      </c>
      <c r="E25" s="4">
        <f t="shared" si="1"/>
        <v>39.665210396715679</v>
      </c>
      <c r="F25" s="4">
        <f t="shared" si="2"/>
        <v>19.83260519835784</v>
      </c>
      <c r="G25" s="4">
        <f t="shared" si="3"/>
        <v>1235.6896409017661</v>
      </c>
      <c r="H25" s="4">
        <f t="shared" si="4"/>
        <v>1595.2980688497062</v>
      </c>
      <c r="I25" s="18">
        <v>595.5</v>
      </c>
      <c r="J25" s="13">
        <v>950000</v>
      </c>
      <c r="K25" s="22">
        <f t="shared" si="5"/>
        <v>1971293.2978281744</v>
      </c>
      <c r="L25" s="22">
        <f t="shared" si="0"/>
        <v>950000</v>
      </c>
      <c r="M25" s="19" t="s">
        <v>91</v>
      </c>
      <c r="N25">
        <f t="shared" si="6"/>
        <v>983.45256087321582</v>
      </c>
      <c r="O25" s="13">
        <v>585646</v>
      </c>
      <c r="P25" s="22">
        <f t="shared" si="7"/>
        <v>1215242.1417893462</v>
      </c>
      <c r="Q25" s="13">
        <f t="shared" si="8"/>
        <v>585646</v>
      </c>
    </row>
    <row r="26" spans="1:17">
      <c r="A26" t="s">
        <v>63</v>
      </c>
      <c r="B26" s="4">
        <v>50.562416792101601</v>
      </c>
      <c r="C26" s="4">
        <v>71.798631844784268</v>
      </c>
      <c r="D26" s="2">
        <v>1.2409046304531934</v>
      </c>
      <c r="E26" s="4">
        <f t="shared" si="1"/>
        <v>40.746416405614987</v>
      </c>
      <c r="F26" s="4">
        <f t="shared" si="2"/>
        <v>20.373208202807493</v>
      </c>
      <c r="G26" s="4">
        <f t="shared" si="3"/>
        <v>1303.9733620943348</v>
      </c>
      <c r="H26" s="4">
        <f t="shared" si="4"/>
        <v>2374.6390902127159</v>
      </c>
      <c r="I26" s="18">
        <v>5091.3</v>
      </c>
      <c r="J26" s="13">
        <v>12090000</v>
      </c>
      <c r="K26" s="22">
        <f t="shared" si="5"/>
        <v>3096466.1182253077</v>
      </c>
      <c r="L26" s="22">
        <f t="shared" si="0"/>
        <v>3096466.1182253077</v>
      </c>
      <c r="M26" s="20" t="s">
        <v>91</v>
      </c>
      <c r="N26">
        <f t="shared" si="6"/>
        <v>975.7058118751595</v>
      </c>
      <c r="O26" s="13">
        <f>3693537+1274074</f>
        <v>4967611</v>
      </c>
      <c r="P26" s="22">
        <f t="shared" si="7"/>
        <v>1272294.3879258342</v>
      </c>
      <c r="Q26" s="13">
        <f t="shared" si="8"/>
        <v>1272294.3879258342</v>
      </c>
    </row>
    <row r="27" spans="1:17">
      <c r="A27" s="18" t="s">
        <v>11</v>
      </c>
      <c r="B27" s="4">
        <v>61.3104985606684</v>
      </c>
      <c r="C27" s="4">
        <v>71.120178330375339</v>
      </c>
      <c r="D27" s="2">
        <v>1.3589321966589822</v>
      </c>
      <c r="E27" s="4">
        <f t="shared" si="1"/>
        <v>45.116672275043598</v>
      </c>
      <c r="F27" s="4">
        <f t="shared" si="2"/>
        <v>22.558336137521799</v>
      </c>
      <c r="G27" s="4">
        <f t="shared" si="3"/>
        <v>1598.6890491977927</v>
      </c>
      <c r="H27" s="4">
        <f t="shared" si="4"/>
        <v>1127.3572014211534</v>
      </c>
      <c r="I27" s="18">
        <v>731.8</v>
      </c>
      <c r="J27" s="13">
        <v>825000</v>
      </c>
      <c r="K27" s="22">
        <f t="shared" si="5"/>
        <v>1802293.6124462681</v>
      </c>
      <c r="L27" s="22">
        <f t="shared" si="0"/>
        <v>825000</v>
      </c>
      <c r="M27" s="19" t="s">
        <v>91</v>
      </c>
      <c r="N27">
        <f t="shared" si="6"/>
        <v>674.68843946433458</v>
      </c>
      <c r="O27" s="13">
        <v>493737</v>
      </c>
      <c r="P27" s="22">
        <f t="shared" si="7"/>
        <v>1078617.0197919796</v>
      </c>
      <c r="Q27" s="13">
        <f t="shared" si="8"/>
        <v>493737</v>
      </c>
    </row>
    <row r="28" spans="1:17">
      <c r="A28" t="s">
        <v>43</v>
      </c>
      <c r="B28" s="4">
        <v>58.655633023171944</v>
      </c>
      <c r="C28" s="4">
        <v>65.107752655720873</v>
      </c>
      <c r="D28" s="2">
        <v>1.3312259917708142</v>
      </c>
      <c r="E28" s="4">
        <f t="shared" si="1"/>
        <v>44.06136402516259</v>
      </c>
      <c r="F28" s="4">
        <f t="shared" si="2"/>
        <v>22.030682012581295</v>
      </c>
      <c r="G28" s="4">
        <f t="shared" si="3"/>
        <v>1524.774978742676</v>
      </c>
      <c r="H28" s="4">
        <f t="shared" si="4"/>
        <v>1052.8699196196083</v>
      </c>
      <c r="I28" s="18">
        <v>883.3</v>
      </c>
      <c r="J28" s="13">
        <v>930000</v>
      </c>
      <c r="K28" s="22">
        <f t="shared" si="5"/>
        <v>1605389.7093067912</v>
      </c>
      <c r="L28" s="22">
        <f t="shared" si="0"/>
        <v>930000</v>
      </c>
      <c r="M28" s="20" t="s">
        <v>91</v>
      </c>
      <c r="N28">
        <f t="shared" si="6"/>
        <v>578.7274991509114</v>
      </c>
      <c r="O28" s="13">
        <v>511190</v>
      </c>
      <c r="P28" s="22">
        <f t="shared" si="7"/>
        <v>882429.21021563292</v>
      </c>
      <c r="Q28" s="13">
        <f t="shared" si="8"/>
        <v>511190</v>
      </c>
    </row>
    <row r="29" spans="1:17">
      <c r="A29" t="s">
        <v>44</v>
      </c>
      <c r="B29" s="4">
        <v>59.418221467206827</v>
      </c>
      <c r="C29" s="4">
        <v>67.142590257943709</v>
      </c>
      <c r="D29" s="2">
        <v>1.2176020802066099</v>
      </c>
      <c r="E29" s="4">
        <f t="shared" si="1"/>
        <v>48.799375783855751</v>
      </c>
      <c r="F29" s="4">
        <f t="shared" si="2"/>
        <v>24.399687891927876</v>
      </c>
      <c r="G29" s="4">
        <f t="shared" si="3"/>
        <v>1870.3307533456325</v>
      </c>
      <c r="H29" s="4">
        <f t="shared" si="4"/>
        <v>942.68476621417801</v>
      </c>
      <c r="I29" s="18">
        <v>1326</v>
      </c>
      <c r="J29" s="13">
        <v>1250000</v>
      </c>
      <c r="K29" s="22">
        <f t="shared" si="5"/>
        <v>1763132.308960815</v>
      </c>
      <c r="L29" s="22">
        <f t="shared" si="0"/>
        <v>1250000</v>
      </c>
      <c r="M29" s="19" t="s">
        <v>91</v>
      </c>
      <c r="N29">
        <f t="shared" si="6"/>
        <v>580.19758672699845</v>
      </c>
      <c r="O29" s="13">
        <v>769342</v>
      </c>
      <c r="P29" s="22">
        <f t="shared" si="7"/>
        <v>1085161.389472425</v>
      </c>
      <c r="Q29" s="13">
        <f t="shared" si="8"/>
        <v>769342</v>
      </c>
    </row>
    <row r="30" spans="1:17">
      <c r="A30" t="s">
        <v>45</v>
      </c>
      <c r="B30" s="4">
        <v>61.666324994769361</v>
      </c>
      <c r="C30" s="4">
        <v>72.149600243880144</v>
      </c>
      <c r="D30" s="2">
        <v>1.2383391032002451</v>
      </c>
      <c r="E30" s="4">
        <f t="shared" si="1"/>
        <v>49.797607808236705</v>
      </c>
      <c r="F30" s="4">
        <f t="shared" si="2"/>
        <v>24.898803904118353</v>
      </c>
      <c r="G30" s="4">
        <f t="shared" si="3"/>
        <v>1947.6317348741809</v>
      </c>
      <c r="H30" s="4">
        <f t="shared" si="4"/>
        <v>806.3637354255203</v>
      </c>
      <c r="I30" s="18">
        <v>2753.1</v>
      </c>
      <c r="J30" s="13">
        <v>2220000</v>
      </c>
      <c r="K30" s="22">
        <f t="shared" si="5"/>
        <v>1570499.6009664312</v>
      </c>
      <c r="L30" s="22">
        <f t="shared" si="0"/>
        <v>1570499.6009664312</v>
      </c>
      <c r="M30" s="20" t="s">
        <v>91</v>
      </c>
      <c r="N30">
        <f t="shared" si="6"/>
        <v>558.9905924230867</v>
      </c>
      <c r="O30" s="13">
        <v>1538957</v>
      </c>
      <c r="P30" s="22">
        <f t="shared" si="7"/>
        <v>1088707.8172993225</v>
      </c>
      <c r="Q30" s="13">
        <f t="shared" si="8"/>
        <v>1088707.8172993225</v>
      </c>
    </row>
    <row r="31" spans="1:17">
      <c r="A31" t="s">
        <v>46</v>
      </c>
      <c r="B31" s="4">
        <v>63.17399629918647</v>
      </c>
      <c r="C31" s="4">
        <v>71.386615818080699</v>
      </c>
      <c r="D31" s="2">
        <v>1.353332701277282</v>
      </c>
      <c r="E31" s="4">
        <f t="shared" si="1"/>
        <v>46.680314633321537</v>
      </c>
      <c r="F31" s="4">
        <f t="shared" si="2"/>
        <v>23.340157316660768</v>
      </c>
      <c r="G31" s="4">
        <f t="shared" si="3"/>
        <v>1711.4232614563832</v>
      </c>
      <c r="H31" s="4">
        <f t="shared" si="4"/>
        <v>511.10046318479476</v>
      </c>
      <c r="I31" s="18">
        <v>1252.2</v>
      </c>
      <c r="J31" s="13">
        <v>640000</v>
      </c>
      <c r="K31" s="22">
        <f t="shared" si="5"/>
        <v>874709.22163558961</v>
      </c>
      <c r="L31" s="22">
        <f t="shared" si="0"/>
        <v>640000</v>
      </c>
      <c r="M31" s="19" t="s">
        <v>91</v>
      </c>
      <c r="N31">
        <f t="shared" si="6"/>
        <v>488.76776872704039</v>
      </c>
      <c r="O31" s="13">
        <v>612035</v>
      </c>
      <c r="P31" s="22">
        <f t="shared" si="7"/>
        <v>836488.52884959069</v>
      </c>
      <c r="Q31" s="13">
        <f t="shared" si="8"/>
        <v>612035</v>
      </c>
    </row>
    <row r="32" spans="1:17">
      <c r="A32" t="s">
        <v>47</v>
      </c>
      <c r="B32" s="4">
        <v>58.965101588658143</v>
      </c>
      <c r="C32" s="4">
        <v>67.809866826956863</v>
      </c>
      <c r="D32" s="2">
        <v>1.3763525807002821</v>
      </c>
      <c r="E32" s="4">
        <f t="shared" si="1"/>
        <v>42.841567208496066</v>
      </c>
      <c r="F32" s="4">
        <f t="shared" si="2"/>
        <v>21.420783604248033</v>
      </c>
      <c r="G32" s="4">
        <f t="shared" si="3"/>
        <v>1441.5196955431145</v>
      </c>
      <c r="H32" s="4">
        <f t="shared" si="4"/>
        <v>1551.107934238742</v>
      </c>
      <c r="I32" s="18">
        <v>699.5</v>
      </c>
      <c r="J32" s="13">
        <v>1085000</v>
      </c>
      <c r="K32" s="22">
        <f t="shared" si="5"/>
        <v>2235952.6371183405</v>
      </c>
      <c r="L32" s="22">
        <f t="shared" si="0"/>
        <v>1085000</v>
      </c>
      <c r="M32" s="20" t="s">
        <v>91</v>
      </c>
      <c r="N32">
        <f t="shared" si="6"/>
        <v>763.52537526804861</v>
      </c>
      <c r="O32" s="13">
        <v>534086</v>
      </c>
      <c r="P32" s="22">
        <f t="shared" si="7"/>
        <v>1100636.8664958396</v>
      </c>
      <c r="Q32" s="13">
        <f t="shared" si="8"/>
        <v>534086</v>
      </c>
    </row>
    <row r="33" spans="1:17">
      <c r="A33" t="s">
        <v>64</v>
      </c>
      <c r="B33" s="4">
        <v>58.66228344563627</v>
      </c>
      <c r="C33" s="4">
        <v>72.154608638132601</v>
      </c>
      <c r="D33" s="2">
        <v>1.2603547141344449</v>
      </c>
      <c r="E33" s="4">
        <f t="shared" si="1"/>
        <v>46.544264711956821</v>
      </c>
      <c r="F33" s="4">
        <f t="shared" si="2"/>
        <v>23.27213235597841</v>
      </c>
      <c r="G33" s="4">
        <f t="shared" si="3"/>
        <v>1701.4619020706896</v>
      </c>
      <c r="H33" s="4">
        <f t="shared" si="4"/>
        <v>2117.6348088662126</v>
      </c>
      <c r="I33" s="18">
        <v>7683.1</v>
      </c>
      <c r="J33" s="13">
        <v>16270000</v>
      </c>
      <c r="K33" s="22">
        <f t="shared" si="5"/>
        <v>3603074.9497846072</v>
      </c>
      <c r="L33" s="22">
        <f t="shared" si="0"/>
        <v>3603074.9497846072</v>
      </c>
      <c r="M33" s="19" t="s">
        <v>91</v>
      </c>
      <c r="N33">
        <f t="shared" si="6"/>
        <v>958.84916244744954</v>
      </c>
      <c r="O33" s="13">
        <f>3557965+617736+210152+305726+1019809+895963+759583</f>
        <v>7366934</v>
      </c>
      <c r="P33" s="22">
        <f t="shared" si="7"/>
        <v>1631445.3197367252</v>
      </c>
      <c r="Q33" s="13">
        <f t="shared" si="8"/>
        <v>1631445.3197367252</v>
      </c>
    </row>
    <row r="34" spans="1:17">
      <c r="A34" t="s">
        <v>65</v>
      </c>
      <c r="B34" s="4">
        <v>65.428155552656733</v>
      </c>
      <c r="C34" s="4">
        <v>70.008126441342696</v>
      </c>
      <c r="D34" s="2">
        <v>1.2964577542802127</v>
      </c>
      <c r="E34" s="4">
        <f t="shared" si="1"/>
        <v>50.466862754800786</v>
      </c>
      <c r="F34" s="4">
        <f t="shared" si="2"/>
        <v>25.233431377400393</v>
      </c>
      <c r="G34" s="4">
        <f t="shared" si="3"/>
        <v>2000.333909548546</v>
      </c>
      <c r="H34" s="4">
        <f t="shared" si="4"/>
        <v>447.68101235599596</v>
      </c>
      <c r="I34" s="18">
        <v>1675.3</v>
      </c>
      <c r="J34" s="13">
        <v>750000</v>
      </c>
      <c r="K34" s="22">
        <f t="shared" si="5"/>
        <v>895511.50967672036</v>
      </c>
      <c r="L34" s="22">
        <f t="shared" ref="L34:L53" si="9">MIN(J34,K34)</f>
        <v>750000</v>
      </c>
      <c r="M34" s="20" t="s">
        <v>91</v>
      </c>
      <c r="N34">
        <f t="shared" si="6"/>
        <v>254.53650092520743</v>
      </c>
      <c r="O34" s="13">
        <v>426425</v>
      </c>
      <c r="P34" s="22">
        <f t="shared" si="7"/>
        <v>509157.99401852727</v>
      </c>
      <c r="Q34" s="13">
        <f t="shared" si="8"/>
        <v>426425</v>
      </c>
    </row>
    <row r="35" spans="1:17">
      <c r="A35" t="s">
        <v>48</v>
      </c>
      <c r="B35" s="4">
        <v>51.610670589502462</v>
      </c>
      <c r="C35" s="4">
        <v>65.029444942773097</v>
      </c>
      <c r="D35" s="2">
        <v>1.3247335867180841</v>
      </c>
      <c r="E35" s="4">
        <f t="shared" ref="E35:E53" si="10">B35/D35</f>
        <v>38.959282913150524</v>
      </c>
      <c r="F35" s="4">
        <f t="shared" ref="F35:F53" si="11">E35*0.5</f>
        <v>19.479641456575262</v>
      </c>
      <c r="G35" s="4">
        <f t="shared" ref="G35:G53" si="12">PI()*F35^2</f>
        <v>1192.0975368563613</v>
      </c>
      <c r="H35" s="4">
        <f t="shared" ref="H35:H53" si="13">J35/I35</f>
        <v>1012.6210742588787</v>
      </c>
      <c r="I35" s="18">
        <v>1022.1</v>
      </c>
      <c r="J35" s="13">
        <v>1035000</v>
      </c>
      <c r="K35" s="22">
        <f t="shared" ref="K35:K53" si="14">G35*H35</f>
        <v>1207143.0883928519</v>
      </c>
      <c r="L35" s="22">
        <f t="shared" si="9"/>
        <v>1035000</v>
      </c>
      <c r="M35" s="19" t="s">
        <v>91</v>
      </c>
      <c r="N35">
        <f t="shared" ref="N35:N53" si="15">O35/I35</f>
        <v>729.77692985030819</v>
      </c>
      <c r="O35" s="13">
        <v>745905</v>
      </c>
      <c r="P35" s="22">
        <f t="shared" ref="P35:P53" si="16">G35*N35</f>
        <v>869965.28052915004</v>
      </c>
      <c r="Q35" s="13">
        <f t="shared" ref="Q35:Q53" si="17">MIN(P35,O35)</f>
        <v>745905</v>
      </c>
    </row>
    <row r="36" spans="1:17">
      <c r="A36" t="s">
        <v>66</v>
      </c>
      <c r="B36" s="4">
        <v>57.527407508030159</v>
      </c>
      <c r="C36" s="4">
        <v>67.307066784395289</v>
      </c>
      <c r="D36" s="2">
        <v>1.2151792961844514</v>
      </c>
      <c r="E36" s="4">
        <f t="shared" si="10"/>
        <v>47.340674490308388</v>
      </c>
      <c r="F36" s="4">
        <f t="shared" si="11"/>
        <v>23.670337245154194</v>
      </c>
      <c r="G36" s="4">
        <f t="shared" si="12"/>
        <v>1760.1868167419339</v>
      </c>
      <c r="H36" s="4">
        <f t="shared" si="13"/>
        <v>1548.7679501210491</v>
      </c>
      <c r="I36" s="18">
        <v>3015.3</v>
      </c>
      <c r="J36" s="13">
        <v>4670000</v>
      </c>
      <c r="K36" s="22">
        <f t="shared" si="14"/>
        <v>2726120.9279954997</v>
      </c>
      <c r="L36" s="22">
        <f t="shared" si="9"/>
        <v>2726120.9279954997</v>
      </c>
      <c r="M36" s="20" t="s">
        <v>91</v>
      </c>
      <c r="N36">
        <f t="shared" si="15"/>
        <v>794.65194176367186</v>
      </c>
      <c r="O36" s="13">
        <f>2112593+283521</f>
        <v>2396114</v>
      </c>
      <c r="P36" s="22">
        <f t="shared" si="16"/>
        <v>1398735.8717907942</v>
      </c>
      <c r="Q36" s="13">
        <f t="shared" si="17"/>
        <v>1398735.8717907942</v>
      </c>
    </row>
    <row r="37" spans="1:17">
      <c r="A37" t="s">
        <v>49</v>
      </c>
      <c r="B37" s="4">
        <v>55.217531420841681</v>
      </c>
      <c r="C37" s="4">
        <v>64.60451176238476</v>
      </c>
      <c r="D37" s="2">
        <v>1.3855038567192821</v>
      </c>
      <c r="E37" s="4">
        <f t="shared" si="10"/>
        <v>39.853755118077125</v>
      </c>
      <c r="F37" s="4">
        <f t="shared" si="11"/>
        <v>19.926877559038562</v>
      </c>
      <c r="G37" s="4">
        <f t="shared" si="12"/>
        <v>1247.4650222570913</v>
      </c>
      <c r="H37" s="4">
        <f t="shared" si="13"/>
        <v>1156.611441075336</v>
      </c>
      <c r="I37" s="18">
        <v>1919.4</v>
      </c>
      <c r="J37" s="13">
        <v>2220000</v>
      </c>
      <c r="K37" s="22">
        <f t="shared" si="14"/>
        <v>1442832.3170838505</v>
      </c>
      <c r="L37" s="22">
        <f t="shared" si="9"/>
        <v>1442832.3170838505</v>
      </c>
      <c r="M37" s="19" t="s">
        <v>91</v>
      </c>
      <c r="N37">
        <f t="shared" si="15"/>
        <v>663.9048661039908</v>
      </c>
      <c r="O37" s="13">
        <v>1274299</v>
      </c>
      <c r="P37" s="22">
        <f t="shared" si="16"/>
        <v>828198.09857100609</v>
      </c>
      <c r="Q37" s="13">
        <f t="shared" si="17"/>
        <v>828198.09857100609</v>
      </c>
    </row>
    <row r="38" spans="1:17">
      <c r="A38" t="s">
        <v>50</v>
      </c>
      <c r="B38" s="4">
        <v>60.206377885131687</v>
      </c>
      <c r="C38" s="4">
        <v>66.227015673644857</v>
      </c>
      <c r="D38" s="2">
        <v>1.3073565469845398</v>
      </c>
      <c r="E38" s="4">
        <f t="shared" si="10"/>
        <v>46.051995550869151</v>
      </c>
      <c r="F38" s="4">
        <f t="shared" si="11"/>
        <v>23.025997775434575</v>
      </c>
      <c r="G38" s="4">
        <f t="shared" si="12"/>
        <v>1665.6616604367257</v>
      </c>
      <c r="H38" s="4">
        <f t="shared" si="13"/>
        <v>880.80587534736003</v>
      </c>
      <c r="I38" s="18">
        <v>2015.2</v>
      </c>
      <c r="J38" s="13">
        <v>1775000</v>
      </c>
      <c r="K38" s="22">
        <f t="shared" si="14"/>
        <v>1467124.5768535074</v>
      </c>
      <c r="L38" s="22">
        <f t="shared" si="9"/>
        <v>1467124.5768535074</v>
      </c>
      <c r="M38" s="20" t="s">
        <v>91</v>
      </c>
      <c r="N38">
        <f t="shared" si="15"/>
        <v>499.64370782056369</v>
      </c>
      <c r="O38" s="13">
        <v>1006882</v>
      </c>
      <c r="P38" s="22">
        <f t="shared" si="16"/>
        <v>832237.36799516238</v>
      </c>
      <c r="Q38" s="13">
        <f t="shared" si="17"/>
        <v>832237.36799516238</v>
      </c>
    </row>
    <row r="39" spans="1:17">
      <c r="A39" t="s">
        <v>51</v>
      </c>
      <c r="B39" s="4">
        <v>60.024289113865244</v>
      </c>
      <c r="C39" s="4">
        <v>72.029146936638284</v>
      </c>
      <c r="D39" s="2">
        <v>1.4034944459182461</v>
      </c>
      <c r="E39" s="4">
        <f t="shared" si="10"/>
        <v>42.767742536090999</v>
      </c>
      <c r="F39" s="4">
        <f t="shared" si="11"/>
        <v>21.3838712680455</v>
      </c>
      <c r="G39" s="4">
        <f t="shared" si="12"/>
        <v>1436.5559169102157</v>
      </c>
      <c r="H39" s="4">
        <f t="shared" si="13"/>
        <v>1323.5147775898099</v>
      </c>
      <c r="I39" s="18">
        <v>1004.9</v>
      </c>
      <c r="J39" s="13">
        <v>1330000</v>
      </c>
      <c r="K39" s="22">
        <f t="shared" si="14"/>
        <v>1901302.9848647497</v>
      </c>
      <c r="L39" s="22">
        <f t="shared" si="9"/>
        <v>1330000</v>
      </c>
      <c r="M39" s="19" t="s">
        <v>91</v>
      </c>
      <c r="N39">
        <f t="shared" si="15"/>
        <v>831.47477360931441</v>
      </c>
      <c r="O39" s="13">
        <v>835549</v>
      </c>
      <c r="P39" s="22">
        <f t="shared" si="16"/>
        <v>1194460.0057900427</v>
      </c>
      <c r="Q39" s="13">
        <f t="shared" si="17"/>
        <v>835549</v>
      </c>
    </row>
    <row r="40" spans="1:17">
      <c r="A40" s="18" t="s">
        <v>97</v>
      </c>
      <c r="B40" s="4">
        <v>67.445743119538108</v>
      </c>
      <c r="C40" s="4">
        <v>72.841402569101163</v>
      </c>
      <c r="D40" s="2">
        <v>1.2391400975948115</v>
      </c>
      <c r="E40" s="4">
        <f t="shared" si="10"/>
        <v>54.429473511874285</v>
      </c>
      <c r="F40" s="4">
        <f t="shared" si="11"/>
        <v>27.214736755937142</v>
      </c>
      <c r="G40" s="4">
        <f t="shared" si="12"/>
        <v>2326.7951415976845</v>
      </c>
      <c r="H40" s="4">
        <f t="shared" si="13"/>
        <v>1480.0930713547052</v>
      </c>
      <c r="I40" s="18">
        <v>773.6</v>
      </c>
      <c r="J40" s="13">
        <v>1145000</v>
      </c>
      <c r="K40" s="22">
        <f t="shared" si="14"/>
        <v>3443873.3675405229</v>
      </c>
      <c r="L40" s="22">
        <f t="shared" si="9"/>
        <v>1145000</v>
      </c>
      <c r="M40" s="20" t="s">
        <v>91</v>
      </c>
      <c r="N40">
        <f t="shared" si="15"/>
        <v>485.89451913133399</v>
      </c>
      <c r="O40" s="13">
        <v>375888</v>
      </c>
      <c r="P40" s="22">
        <f t="shared" si="16"/>
        <v>1130577.006443731</v>
      </c>
      <c r="Q40" s="13">
        <f t="shared" si="17"/>
        <v>375888</v>
      </c>
    </row>
    <row r="41" spans="1:17">
      <c r="A41" s="18" t="s">
        <v>15</v>
      </c>
      <c r="B41" s="4">
        <v>61.558627513996477</v>
      </c>
      <c r="C41" s="4">
        <v>68.330076540536098</v>
      </c>
      <c r="D41" s="2">
        <v>1.2413603862790981</v>
      </c>
      <c r="E41" s="4">
        <f t="shared" si="10"/>
        <v>49.589650350060474</v>
      </c>
      <c r="F41" s="4">
        <f t="shared" si="11"/>
        <v>24.794825175030237</v>
      </c>
      <c r="G41" s="4">
        <f t="shared" si="12"/>
        <v>1931.3988730634026</v>
      </c>
      <c r="H41" s="4">
        <f t="shared" si="13"/>
        <v>1338.5999561114768</v>
      </c>
      <c r="I41" s="18">
        <v>455.7</v>
      </c>
      <c r="J41" s="13">
        <v>610000</v>
      </c>
      <c r="K41" s="22">
        <f t="shared" si="14"/>
        <v>2585370.4467164264</v>
      </c>
      <c r="L41" s="22">
        <f t="shared" si="9"/>
        <v>610000</v>
      </c>
      <c r="M41" s="19" t="s">
        <v>91</v>
      </c>
      <c r="N41">
        <f t="shared" si="15"/>
        <v>1185.32367785824</v>
      </c>
      <c r="O41" s="13">
        <v>540152</v>
      </c>
      <c r="P41" s="22">
        <f t="shared" si="16"/>
        <v>2289332.8156307722</v>
      </c>
      <c r="Q41" s="13">
        <f t="shared" si="17"/>
        <v>540152</v>
      </c>
    </row>
    <row r="42" spans="1:17">
      <c r="A42" t="s">
        <v>81</v>
      </c>
      <c r="B42" s="4">
        <v>71.963113135234551</v>
      </c>
      <c r="C42" s="4">
        <v>75.561268791996284</v>
      </c>
      <c r="D42" s="2">
        <v>1.2570037934255704</v>
      </c>
      <c r="E42" s="4">
        <f t="shared" si="10"/>
        <v>57.249718347405782</v>
      </c>
      <c r="F42" s="4">
        <f t="shared" si="11"/>
        <v>28.624859173702891</v>
      </c>
      <c r="G42" s="4">
        <f t="shared" si="12"/>
        <v>2574.1662395028939</v>
      </c>
      <c r="H42" s="4">
        <f t="shared" si="13"/>
        <v>1096.6836287067906</v>
      </c>
      <c r="I42" s="18">
        <v>569.9</v>
      </c>
      <c r="J42" s="13">
        <v>625000</v>
      </c>
      <c r="K42" s="22">
        <f t="shared" si="14"/>
        <v>2823045.9724325472</v>
      </c>
      <c r="L42" s="22">
        <f t="shared" si="9"/>
        <v>625000</v>
      </c>
      <c r="M42" s="20" t="s">
        <v>91</v>
      </c>
      <c r="N42">
        <f t="shared" si="15"/>
        <v>799.00333391823131</v>
      </c>
      <c r="O42" s="13">
        <v>455352</v>
      </c>
      <c r="P42" s="22">
        <f t="shared" si="16"/>
        <v>2056767.4074225684</v>
      </c>
      <c r="Q42" s="13">
        <f t="shared" si="17"/>
        <v>455352</v>
      </c>
    </row>
    <row r="43" spans="1:17">
      <c r="A43" t="s">
        <v>54</v>
      </c>
      <c r="B43" s="4">
        <v>57.718158557678407</v>
      </c>
      <c r="C43" s="4">
        <v>69.261790269214089</v>
      </c>
      <c r="D43" s="2">
        <v>1.4511940967956416</v>
      </c>
      <c r="E43" s="4">
        <f t="shared" si="10"/>
        <v>39.772873032714884</v>
      </c>
      <c r="F43" s="4">
        <f t="shared" si="11"/>
        <v>19.886436516357442</v>
      </c>
      <c r="G43" s="4">
        <f t="shared" si="12"/>
        <v>1242.4067692662613</v>
      </c>
      <c r="H43" s="4">
        <f t="shared" si="13"/>
        <v>1434.0233607031339</v>
      </c>
      <c r="I43" s="18">
        <v>864.7</v>
      </c>
      <c r="J43" s="13">
        <v>1240000</v>
      </c>
      <c r="K43" s="22">
        <f t="shared" si="14"/>
        <v>1781640.3306235271</v>
      </c>
      <c r="L43" s="22">
        <f t="shared" si="9"/>
        <v>1240000</v>
      </c>
      <c r="M43" s="19" t="s">
        <v>91</v>
      </c>
      <c r="N43">
        <f t="shared" si="15"/>
        <v>583.35492078177401</v>
      </c>
      <c r="O43" s="13">
        <v>504427</v>
      </c>
      <c r="P43" s="22">
        <f t="shared" si="16"/>
        <v>724764.10246405972</v>
      </c>
      <c r="Q43" s="13">
        <f t="shared" si="17"/>
        <v>504427</v>
      </c>
    </row>
    <row r="44" spans="1:17">
      <c r="A44" t="s">
        <v>55</v>
      </c>
      <c r="B44" s="4">
        <v>58.26615155396771</v>
      </c>
      <c r="C44" s="4">
        <v>69.336720349221579</v>
      </c>
      <c r="D44" s="2">
        <v>1.3833656311611033</v>
      </c>
      <c r="E44" s="4">
        <f t="shared" si="10"/>
        <v>42.119126167001163</v>
      </c>
      <c r="F44" s="4">
        <f t="shared" si="11"/>
        <v>21.059563083500581</v>
      </c>
      <c r="G44" s="4">
        <f t="shared" si="12"/>
        <v>1393.3126695658539</v>
      </c>
      <c r="H44" s="4">
        <f t="shared" si="13"/>
        <v>1268.8041331104696</v>
      </c>
      <c r="I44" s="18">
        <v>658.1</v>
      </c>
      <c r="J44" s="13">
        <v>835000</v>
      </c>
      <c r="K44" s="22">
        <f t="shared" si="14"/>
        <v>1767840.8738603373</v>
      </c>
      <c r="L44" s="22">
        <f t="shared" si="9"/>
        <v>835000</v>
      </c>
      <c r="M44" s="20" t="s">
        <v>91</v>
      </c>
      <c r="N44">
        <f t="shared" si="15"/>
        <v>896.24677100744566</v>
      </c>
      <c r="O44" s="13">
        <v>589820</v>
      </c>
      <c r="P44" s="22">
        <f t="shared" si="16"/>
        <v>1248751.9811021606</v>
      </c>
      <c r="Q44" s="13">
        <f t="shared" si="17"/>
        <v>589820</v>
      </c>
    </row>
    <row r="45" spans="1:17">
      <c r="A45" t="s">
        <v>67</v>
      </c>
      <c r="B45" s="4">
        <v>68.258757949361893</v>
      </c>
      <c r="C45" s="4">
        <v>75.084633744298088</v>
      </c>
      <c r="D45" s="2">
        <v>1.3944576902357904</v>
      </c>
      <c r="E45" s="4">
        <f t="shared" si="10"/>
        <v>48.9500387335667</v>
      </c>
      <c r="F45" s="4">
        <f t="shared" si="11"/>
        <v>24.47501936678335</v>
      </c>
      <c r="G45" s="4">
        <f t="shared" si="12"/>
        <v>1881.8974810557559</v>
      </c>
      <c r="H45" s="4">
        <f t="shared" si="13"/>
        <v>1075.3635962979286</v>
      </c>
      <c r="I45" s="18">
        <v>1134.5</v>
      </c>
      <c r="J45" s="13">
        <v>1220000</v>
      </c>
      <c r="K45" s="22">
        <f t="shared" si="14"/>
        <v>2023724.0430921305</v>
      </c>
      <c r="L45" s="22">
        <f t="shared" si="9"/>
        <v>1220000</v>
      </c>
      <c r="M45" s="19" t="s">
        <v>91</v>
      </c>
      <c r="N45">
        <f t="shared" si="15"/>
        <v>504.97752313794621</v>
      </c>
      <c r="O45" s="13">
        <v>572897</v>
      </c>
      <c r="P45" s="22">
        <f t="shared" si="16"/>
        <v>950315.92878307565</v>
      </c>
      <c r="Q45" s="13">
        <f t="shared" si="17"/>
        <v>572897</v>
      </c>
    </row>
    <row r="46" spans="1:17">
      <c r="A46" t="s">
        <v>68</v>
      </c>
      <c r="B46" s="4">
        <v>61.114708084337522</v>
      </c>
      <c r="C46" s="4">
        <v>73.948796782048404</v>
      </c>
      <c r="D46" s="2">
        <v>1.4004144662812563</v>
      </c>
      <c r="E46" s="4">
        <f t="shared" si="10"/>
        <v>43.640443280070613</v>
      </c>
      <c r="F46" s="4">
        <f t="shared" si="11"/>
        <v>21.820221640035307</v>
      </c>
      <c r="G46" s="4">
        <f t="shared" si="12"/>
        <v>1495.7816049274522</v>
      </c>
      <c r="H46" s="4">
        <f t="shared" si="13"/>
        <v>1429.3706293706293</v>
      </c>
      <c r="I46" s="18">
        <v>1787.5</v>
      </c>
      <c r="J46" s="13">
        <v>2555000</v>
      </c>
      <c r="K46" s="22">
        <f t="shared" si="14"/>
        <v>2138026.2940361626</v>
      </c>
      <c r="L46" s="22">
        <f t="shared" si="9"/>
        <v>2138026.2940361626</v>
      </c>
      <c r="M46" s="20" t="s">
        <v>91</v>
      </c>
      <c r="N46">
        <f t="shared" si="15"/>
        <v>537.63020979020985</v>
      </c>
      <c r="O46" s="13">
        <v>961014</v>
      </c>
      <c r="P46" s="22">
        <f t="shared" si="16"/>
        <v>804177.37805748289</v>
      </c>
      <c r="Q46" s="13">
        <f t="shared" si="17"/>
        <v>804177.37805748289</v>
      </c>
    </row>
    <row r="47" spans="1:17">
      <c r="A47" t="s">
        <v>69</v>
      </c>
      <c r="B47" s="4">
        <v>56.191337145660896</v>
      </c>
      <c r="C47" s="4">
        <v>74.172565032272388</v>
      </c>
      <c r="D47" s="2">
        <v>1.4169328618734882</v>
      </c>
      <c r="E47" s="4">
        <f t="shared" si="10"/>
        <v>39.657021625826317</v>
      </c>
      <c r="F47" s="4">
        <f t="shared" si="11"/>
        <v>19.828510812913159</v>
      </c>
      <c r="G47" s="4">
        <f t="shared" si="12"/>
        <v>1235.1794842802951</v>
      </c>
      <c r="H47" s="4">
        <f t="shared" si="13"/>
        <v>1713.8566191086179</v>
      </c>
      <c r="I47" s="18">
        <v>2263.9</v>
      </c>
      <c r="J47" s="13">
        <v>3880000</v>
      </c>
      <c r="K47" s="22">
        <f t="shared" si="14"/>
        <v>2116920.5349209527</v>
      </c>
      <c r="L47" s="22">
        <f t="shared" si="9"/>
        <v>2116920.5349209527</v>
      </c>
      <c r="M47" s="19" t="s">
        <v>91</v>
      </c>
      <c r="N47">
        <f t="shared" si="15"/>
        <v>816.73395467997705</v>
      </c>
      <c r="O47" s="13">
        <f>962037+886967</f>
        <v>1849004</v>
      </c>
      <c r="P47" s="22">
        <f t="shared" si="16"/>
        <v>1008813.02493582</v>
      </c>
      <c r="Q47" s="13">
        <f t="shared" si="17"/>
        <v>1008813.02493582</v>
      </c>
    </row>
    <row r="48" spans="1:17">
      <c r="A48" t="s">
        <v>85</v>
      </c>
      <c r="B48" s="4">
        <v>57.512041270506913</v>
      </c>
      <c r="C48" s="4">
        <v>71.314931175428569</v>
      </c>
      <c r="D48" s="2">
        <v>1.415239926121528</v>
      </c>
      <c r="E48" s="4">
        <f t="shared" si="10"/>
        <v>40.63766164944127</v>
      </c>
      <c r="F48" s="4">
        <f t="shared" si="11"/>
        <v>20.318830824720635</v>
      </c>
      <c r="G48" s="4">
        <f t="shared" si="12"/>
        <v>1297.0218771189434</v>
      </c>
      <c r="H48" s="4">
        <f t="shared" si="13"/>
        <v>1768.1953000228154</v>
      </c>
      <c r="I48" s="18">
        <v>876.6</v>
      </c>
      <c r="J48" s="13">
        <v>1550000</v>
      </c>
      <c r="K48" s="22">
        <f t="shared" si="14"/>
        <v>2293387.9871484856</v>
      </c>
      <c r="L48" s="22">
        <f t="shared" si="9"/>
        <v>1550000</v>
      </c>
      <c r="M48" s="20" t="s">
        <v>91</v>
      </c>
      <c r="N48">
        <f t="shared" si="15"/>
        <v>1079.5836185261237</v>
      </c>
      <c r="O48" s="13">
        <v>946363</v>
      </c>
      <c r="P48" s="22">
        <f t="shared" si="16"/>
        <v>1400243.5714076143</v>
      </c>
      <c r="Q48" s="13">
        <f t="shared" si="17"/>
        <v>946363</v>
      </c>
    </row>
    <row r="49" spans="1:17">
      <c r="A49" t="s">
        <v>56</v>
      </c>
      <c r="B49" s="4">
        <v>56.598098982887286</v>
      </c>
      <c r="C49" s="4">
        <v>73.01154768792459</v>
      </c>
      <c r="D49" s="2">
        <v>1.407578059972719</v>
      </c>
      <c r="E49" s="4">
        <f t="shared" si="10"/>
        <v>40.209563215260857</v>
      </c>
      <c r="F49" s="4">
        <f t="shared" si="11"/>
        <v>20.104781607630429</v>
      </c>
      <c r="G49" s="4">
        <f t="shared" si="12"/>
        <v>1269.838798714314</v>
      </c>
      <c r="H49" s="4">
        <f t="shared" si="13"/>
        <v>1664.8059368227491</v>
      </c>
      <c r="I49" s="18">
        <v>1522.7</v>
      </c>
      <c r="J49" s="13">
        <v>2535000</v>
      </c>
      <c r="K49" s="22">
        <f t="shared" si="14"/>
        <v>2114035.1709074578</v>
      </c>
      <c r="L49" s="22">
        <f t="shared" si="9"/>
        <v>2114035.1709074578</v>
      </c>
      <c r="M49" s="19" t="s">
        <v>91</v>
      </c>
      <c r="N49">
        <f t="shared" si="15"/>
        <v>892.9066789255927</v>
      </c>
      <c r="O49" s="13">
        <f>1169062  +190567</f>
        <v>1359629</v>
      </c>
      <c r="P49" s="22">
        <f t="shared" si="16"/>
        <v>1133847.5445308622</v>
      </c>
      <c r="Q49" s="13">
        <f t="shared" si="17"/>
        <v>1133847.5445308622</v>
      </c>
    </row>
    <row r="50" spans="1:17">
      <c r="A50" t="s">
        <v>75</v>
      </c>
      <c r="B50" s="4">
        <v>55.648504040584811</v>
      </c>
      <c r="C50" s="4">
        <v>69.560630050731021</v>
      </c>
      <c r="D50" s="2">
        <v>1.2685017433180505</v>
      </c>
      <c r="E50" s="4">
        <f t="shared" si="10"/>
        <v>43.869473836924875</v>
      </c>
      <c r="F50" s="4">
        <f t="shared" si="11"/>
        <v>21.934736918462438</v>
      </c>
      <c r="G50" s="4">
        <f t="shared" si="12"/>
        <v>1511.5229044578125</v>
      </c>
      <c r="H50" s="4">
        <f t="shared" si="13"/>
        <v>4685.7893584409894</v>
      </c>
      <c r="I50" s="18">
        <v>913.4</v>
      </c>
      <c r="J50" s="13">
        <v>4280000</v>
      </c>
      <c r="K50" s="22">
        <f t="shared" si="14"/>
        <v>7082677.9407482343</v>
      </c>
      <c r="L50" s="22">
        <f t="shared" si="9"/>
        <v>4280000</v>
      </c>
      <c r="M50" s="20" t="s">
        <v>91</v>
      </c>
      <c r="N50">
        <f t="shared" si="15"/>
        <v>1556.3509962776441</v>
      </c>
      <c r="O50" s="13">
        <f>835903+585668</f>
        <v>1421571</v>
      </c>
      <c r="P50" s="22">
        <f t="shared" si="16"/>
        <v>2352460.1782493945</v>
      </c>
      <c r="Q50" s="13">
        <f t="shared" si="17"/>
        <v>1421571</v>
      </c>
    </row>
    <row r="51" spans="1:17">
      <c r="A51" t="s">
        <v>57</v>
      </c>
      <c r="B51" s="4">
        <v>61.481089948215072</v>
      </c>
      <c r="C51" s="4">
        <v>72.547686138893781</v>
      </c>
      <c r="D51" s="2">
        <v>1.3586289847100899</v>
      </c>
      <c r="E51" s="4">
        <f t="shared" si="10"/>
        <v>45.252302608084115</v>
      </c>
      <c r="F51" s="4">
        <f t="shared" si="11"/>
        <v>22.626151304042057</v>
      </c>
      <c r="G51" s="4">
        <f t="shared" si="12"/>
        <v>1608.315497112178</v>
      </c>
      <c r="H51" s="4">
        <f t="shared" si="13"/>
        <v>1057.7942735949098</v>
      </c>
      <c r="I51" s="18">
        <v>1886</v>
      </c>
      <c r="J51" s="13">
        <v>1995000</v>
      </c>
      <c r="K51" s="22">
        <f t="shared" si="14"/>
        <v>1701266.9229792126</v>
      </c>
      <c r="L51" s="22">
        <f t="shared" si="9"/>
        <v>1701266.9229792126</v>
      </c>
      <c r="M51" s="19" t="s">
        <v>91</v>
      </c>
      <c r="N51">
        <f t="shared" si="15"/>
        <v>632.73117709437963</v>
      </c>
      <c r="O51" s="13">
        <v>1193331</v>
      </c>
      <c r="P51" s="22">
        <f t="shared" si="16"/>
        <v>1017631.3576269207</v>
      </c>
      <c r="Q51" s="13">
        <f t="shared" si="17"/>
        <v>1017631.3576269207</v>
      </c>
    </row>
    <row r="52" spans="1:17">
      <c r="A52" t="s">
        <v>70</v>
      </c>
      <c r="B52" s="4">
        <v>49.70438535125249</v>
      </c>
      <c r="C52" s="4">
        <v>64.118657103115709</v>
      </c>
      <c r="D52" s="2">
        <v>1.274255931913912</v>
      </c>
      <c r="E52" s="4">
        <f t="shared" si="10"/>
        <v>39.006595226594158</v>
      </c>
      <c r="F52" s="4">
        <f t="shared" si="11"/>
        <v>19.503297613297079</v>
      </c>
      <c r="G52" s="4">
        <f t="shared" si="12"/>
        <v>1194.9946712406245</v>
      </c>
      <c r="H52" s="4">
        <f t="shared" si="13"/>
        <v>1087.5378855410947</v>
      </c>
      <c r="I52" s="18">
        <v>1682.7</v>
      </c>
      <c r="J52" s="13">
        <v>1830000</v>
      </c>
      <c r="K52" s="22">
        <f t="shared" si="14"/>
        <v>1299601.9779939044</v>
      </c>
      <c r="L52" s="22">
        <f t="shared" si="9"/>
        <v>1299601.9779939044</v>
      </c>
      <c r="M52" s="20" t="s">
        <v>91</v>
      </c>
      <c r="N52">
        <f t="shared" si="15"/>
        <v>580.54495750876561</v>
      </c>
      <c r="O52" s="13">
        <v>976883</v>
      </c>
      <c r="P52" s="22">
        <f t="shared" si="16"/>
        <v>693748.13063858962</v>
      </c>
      <c r="Q52" s="13">
        <f t="shared" si="17"/>
        <v>693748.13063858962</v>
      </c>
    </row>
    <row r="53" spans="1:17">
      <c r="A53" t="s">
        <v>58</v>
      </c>
      <c r="B53" s="4">
        <v>53.455408362533667</v>
      </c>
      <c r="C53" s="4">
        <v>69.492030871293764</v>
      </c>
      <c r="D53" s="2">
        <v>1.2938832051765461</v>
      </c>
      <c r="E53" s="4">
        <f t="shared" si="10"/>
        <v>41.313936334183929</v>
      </c>
      <c r="F53" s="4">
        <f t="shared" si="11"/>
        <v>20.656968167091964</v>
      </c>
      <c r="G53" s="4">
        <f t="shared" si="12"/>
        <v>1340.5500500536455</v>
      </c>
      <c r="H53" s="4">
        <f t="shared" si="13"/>
        <v>1434.643995749203</v>
      </c>
      <c r="I53" s="18">
        <v>2446.6</v>
      </c>
      <c r="J53" s="13">
        <v>3510000</v>
      </c>
      <c r="K53" s="22">
        <f t="shared" si="14"/>
        <v>1923212.0803107561</v>
      </c>
      <c r="L53" s="22">
        <f t="shared" si="9"/>
        <v>1923212.0803107561</v>
      </c>
      <c r="M53" s="19" t="s">
        <v>91</v>
      </c>
      <c r="N53">
        <f t="shared" si="15"/>
        <v>840.12875010218261</v>
      </c>
      <c r="O53" s="13">
        <v>2055459</v>
      </c>
      <c r="P53" s="22">
        <f t="shared" si="16"/>
        <v>1126234.6380009875</v>
      </c>
      <c r="Q53" s="13">
        <f t="shared" si="17"/>
        <v>1126234.6380009875</v>
      </c>
    </row>
    <row r="54" spans="1:17">
      <c r="D54" s="2"/>
    </row>
    <row r="55" spans="1:17">
      <c r="A55" t="s">
        <v>73</v>
      </c>
      <c r="D55"/>
    </row>
    <row r="56" spans="1:17" ht="16">
      <c r="A56" s="18" t="s">
        <v>92</v>
      </c>
      <c r="D56"/>
    </row>
    <row r="57" spans="1:17">
      <c r="A57" s="18" t="s">
        <v>98</v>
      </c>
    </row>
    <row r="59" spans="1:17">
      <c r="A59" s="18" t="s">
        <v>94</v>
      </c>
    </row>
    <row r="60" spans="1:17">
      <c r="A60" s="18" t="s">
        <v>105</v>
      </c>
    </row>
    <row r="61" spans="1:17">
      <c r="A61" s="18" t="s">
        <v>106</v>
      </c>
    </row>
    <row r="62" spans="1:17">
      <c r="A62" s="18" t="s">
        <v>104</v>
      </c>
    </row>
    <row r="63" spans="1:17">
      <c r="A63" s="18" t="s">
        <v>107</v>
      </c>
    </row>
  </sheetData>
  <sortState ref="A3:XFD53">
    <sortCondition ref="A3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90" zoomScaleNormal="90" zoomScalePageLayoutView="90" workbookViewId="0">
      <selection activeCell="B76" sqref="B76"/>
    </sheetView>
  </sheetViews>
  <sheetFormatPr baseColWidth="10" defaultColWidth="8.83203125" defaultRowHeight="14" x14ac:dyDescent="0"/>
  <cols>
    <col min="1" max="1" width="27.6640625" bestFit="1" customWidth="1"/>
    <col min="2" max="2" width="19.6640625" customWidth="1"/>
    <col min="3" max="3" width="19.1640625" customWidth="1"/>
    <col min="4" max="4" width="10.6640625" bestFit="1" customWidth="1"/>
    <col min="5" max="5" width="18.1640625" bestFit="1" customWidth="1"/>
    <col min="6" max="6" width="18.6640625" customWidth="1"/>
    <col min="7" max="7" width="28.33203125" customWidth="1"/>
    <col min="8" max="8" width="21.6640625" customWidth="1"/>
    <col min="9" max="9" width="10.6640625" customWidth="1"/>
    <col min="10" max="10" width="10.6640625" style="13" customWidth="1"/>
    <col min="11" max="11" width="11.83203125" style="22" customWidth="1"/>
    <col min="12" max="12" width="12.6640625" style="22" customWidth="1"/>
    <col min="14" max="14" width="12.5" customWidth="1"/>
    <col min="15" max="15" width="12.6640625" customWidth="1"/>
    <col min="16" max="16" width="12.83203125" style="22" customWidth="1"/>
    <col min="17" max="17" width="8.83203125" style="18"/>
  </cols>
  <sheetData>
    <row r="1" spans="1:17" ht="30">
      <c r="B1" s="1" t="s">
        <v>59</v>
      </c>
      <c r="C1" s="1" t="s">
        <v>60</v>
      </c>
      <c r="D1" s="7" t="s">
        <v>90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93</v>
      </c>
      <c r="J1" s="23" t="s">
        <v>78</v>
      </c>
      <c r="K1" s="21" t="s">
        <v>76</v>
      </c>
      <c r="L1" s="27" t="s">
        <v>103</v>
      </c>
      <c r="M1" s="19" t="s">
        <v>91</v>
      </c>
      <c r="N1" s="1" t="s">
        <v>89</v>
      </c>
      <c r="O1" s="1" t="s">
        <v>87</v>
      </c>
      <c r="P1" s="21" t="s">
        <v>88</v>
      </c>
      <c r="Q1" s="18" t="s">
        <v>102</v>
      </c>
    </row>
    <row r="2" spans="1:17" ht="16">
      <c r="A2" t="s">
        <v>16</v>
      </c>
      <c r="B2" s="18" t="s">
        <v>18</v>
      </c>
      <c r="C2" s="18"/>
      <c r="D2" s="18" t="s">
        <v>77</v>
      </c>
      <c r="E2" s="18" t="s">
        <v>17</v>
      </c>
      <c r="F2" s="18" t="s">
        <v>19</v>
      </c>
      <c r="G2" s="18" t="s">
        <v>22</v>
      </c>
      <c r="H2" s="18" t="s">
        <v>24</v>
      </c>
      <c r="I2" s="18"/>
      <c r="L2" s="22">
        <f t="shared" ref="L2:L33" si="0">MIN(J2,K2)</f>
        <v>0</v>
      </c>
      <c r="M2" s="19"/>
      <c r="N2" s="18"/>
      <c r="O2" s="18"/>
      <c r="Q2" s="13">
        <f t="shared" ref="Q2:Q33" si="1">MIN(P2,O2)</f>
        <v>0</v>
      </c>
    </row>
    <row r="3" spans="1:17">
      <c r="A3" t="s">
        <v>26</v>
      </c>
      <c r="B3" s="4">
        <v>52.316789999999997</v>
      </c>
      <c r="C3" s="4">
        <v>68.534989999999993</v>
      </c>
      <c r="D3" s="2">
        <v>1.2545032030514984</v>
      </c>
      <c r="E3" s="4">
        <f t="shared" ref="E3:E34" si="2">B3/D3</f>
        <v>41.703193640911216</v>
      </c>
      <c r="F3" s="4">
        <f t="shared" ref="F3:F34" si="3">E3*0.5</f>
        <v>20.851596820455608</v>
      </c>
      <c r="G3" s="4">
        <f t="shared" ref="G3:G34" si="4">PI()*F3^2</f>
        <v>1365.9302108882323</v>
      </c>
      <c r="H3" s="4">
        <v>540.54300000000001</v>
      </c>
      <c r="I3" s="16">
        <v>5083.0589090000003</v>
      </c>
      <c r="J3" s="13">
        <v>3850000</v>
      </c>
      <c r="K3" s="22">
        <f t="shared" ref="K3:K34" si="5">G3*H3</f>
        <v>738344.0139841577</v>
      </c>
      <c r="L3" s="22">
        <f t="shared" si="0"/>
        <v>738344.0139841577</v>
      </c>
      <c r="M3" s="19" t="s">
        <v>91</v>
      </c>
      <c r="N3" s="4">
        <f t="shared" ref="N3:N34" si="6">O3/I3</f>
        <v>418.87926898310906</v>
      </c>
      <c r="O3" s="13">
        <v>2129188</v>
      </c>
      <c r="P3" s="22">
        <f t="shared" ref="P3:P34" si="7">G3*N3</f>
        <v>572159.84821880679</v>
      </c>
      <c r="Q3" s="13">
        <f t="shared" si="1"/>
        <v>572159.84821880679</v>
      </c>
    </row>
    <row r="4" spans="1:17">
      <c r="A4" t="s">
        <v>27</v>
      </c>
      <c r="B4" s="4">
        <v>53.198880000000003</v>
      </c>
      <c r="C4" s="4">
        <v>67.562579999999997</v>
      </c>
      <c r="D4" s="2">
        <v>1.3588386571923918</v>
      </c>
      <c r="E4" s="4">
        <f t="shared" si="2"/>
        <v>39.150255049351173</v>
      </c>
      <c r="F4" s="4">
        <f t="shared" si="3"/>
        <v>19.575127524675587</v>
      </c>
      <c r="G4" s="4">
        <f t="shared" si="4"/>
        <v>1203.8131212363983</v>
      </c>
      <c r="H4" s="4">
        <v>741.31619999999998</v>
      </c>
      <c r="I4" s="16">
        <v>823.94448499999999</v>
      </c>
      <c r="J4" s="13">
        <v>960000</v>
      </c>
      <c r="K4" s="22">
        <f t="shared" si="5"/>
        <v>892406.16854510608</v>
      </c>
      <c r="L4" s="22">
        <f t="shared" si="0"/>
        <v>892406.16854510608</v>
      </c>
      <c r="M4" s="19" t="s">
        <v>91</v>
      </c>
      <c r="N4" s="4">
        <f t="shared" si="6"/>
        <v>704.5195526735032</v>
      </c>
      <c r="O4" s="13">
        <v>580485</v>
      </c>
      <c r="P4" s="22">
        <f t="shared" si="7"/>
        <v>848109.88167596096</v>
      </c>
      <c r="Q4" s="13">
        <f t="shared" si="1"/>
        <v>580485</v>
      </c>
    </row>
    <row r="5" spans="1:17">
      <c r="A5" t="s">
        <v>28</v>
      </c>
      <c r="B5" s="4">
        <v>57.562600000000003</v>
      </c>
      <c r="C5" s="4">
        <v>71.377619999999993</v>
      </c>
      <c r="D5" s="2">
        <v>1.2525850225273614</v>
      </c>
      <c r="E5" s="4">
        <f t="shared" si="2"/>
        <v>45.955044140520698</v>
      </c>
      <c r="F5" s="4">
        <f t="shared" si="3"/>
        <v>22.977522070260349</v>
      </c>
      <c r="G5" s="4">
        <f t="shared" si="4"/>
        <v>1658.6557421105542</v>
      </c>
      <c r="H5" s="4">
        <v>1130.18</v>
      </c>
      <c r="I5" s="16">
        <v>1768.260718</v>
      </c>
      <c r="J5" s="13">
        <v>2210000</v>
      </c>
      <c r="K5" s="22">
        <f t="shared" si="5"/>
        <v>1874579.5466185063</v>
      </c>
      <c r="L5" s="22">
        <f t="shared" si="0"/>
        <v>1874579.5466185063</v>
      </c>
      <c r="M5" s="19" t="s">
        <v>91</v>
      </c>
      <c r="N5" s="4">
        <f t="shared" si="6"/>
        <v>601.54251529326802</v>
      </c>
      <c r="O5" s="13">
        <v>1063684</v>
      </c>
      <c r="P5" s="22">
        <f t="shared" si="7"/>
        <v>997751.94711480488</v>
      </c>
      <c r="Q5" s="13">
        <f t="shared" si="1"/>
        <v>997751.94711480488</v>
      </c>
    </row>
    <row r="6" spans="1:17">
      <c r="A6" t="s">
        <v>29</v>
      </c>
      <c r="B6" s="4">
        <v>60.288020000000003</v>
      </c>
      <c r="C6" s="4">
        <v>74.154269999999997</v>
      </c>
      <c r="D6" s="2">
        <v>1.2192840999182406</v>
      </c>
      <c r="E6" s="4">
        <f t="shared" si="2"/>
        <v>49.445424576636924</v>
      </c>
      <c r="F6" s="4">
        <f t="shared" si="3"/>
        <v>24.722712288318462</v>
      </c>
      <c r="G6" s="4">
        <f t="shared" si="4"/>
        <v>1920.1807088645101</v>
      </c>
      <c r="H6" s="4">
        <v>780.12429999999995</v>
      </c>
      <c r="I6" s="16">
        <v>4496.6740900000004</v>
      </c>
      <c r="J6" s="13">
        <v>3940000</v>
      </c>
      <c r="K6" s="22">
        <f t="shared" si="5"/>
        <v>1497979.6313764297</v>
      </c>
      <c r="L6" s="22">
        <f t="shared" si="0"/>
        <v>1497979.6313764297</v>
      </c>
      <c r="M6" s="19" t="s">
        <v>91</v>
      </c>
      <c r="N6" s="4">
        <f t="shared" si="6"/>
        <v>683.91236243674484</v>
      </c>
      <c r="O6" s="13">
        <v>3075331</v>
      </c>
      <c r="P6" s="22">
        <f t="shared" si="7"/>
        <v>1313235.3249049904</v>
      </c>
      <c r="Q6" s="13">
        <f t="shared" si="1"/>
        <v>1313235.3249049904</v>
      </c>
    </row>
    <row r="7" spans="1:17">
      <c r="A7" t="s">
        <v>30</v>
      </c>
      <c r="B7" s="4">
        <v>60.075479999999999</v>
      </c>
      <c r="C7" s="4">
        <v>64.280760000000001</v>
      </c>
      <c r="D7" s="2">
        <v>1.2197720965912831</v>
      </c>
      <c r="E7" s="4">
        <f t="shared" si="2"/>
        <v>49.251397181394843</v>
      </c>
      <c r="F7" s="4">
        <f t="shared" si="3"/>
        <v>24.625698590697422</v>
      </c>
      <c r="G7" s="4">
        <f t="shared" si="4"/>
        <v>1905.1404225935032</v>
      </c>
      <c r="H7" s="4">
        <v>742.24810000000002</v>
      </c>
      <c r="I7" s="16">
        <v>949.73302000000001</v>
      </c>
      <c r="J7" s="13">
        <v>1115000</v>
      </c>
      <c r="K7" s="22">
        <f t="shared" si="5"/>
        <v>1414086.8589032248</v>
      </c>
      <c r="L7" s="22">
        <f t="shared" si="0"/>
        <v>1115000</v>
      </c>
      <c r="M7" s="19" t="s">
        <v>91</v>
      </c>
      <c r="N7" s="4">
        <f t="shared" si="6"/>
        <v>500.80074082293146</v>
      </c>
      <c r="O7" s="13">
        <v>475627</v>
      </c>
      <c r="P7" s="22">
        <f t="shared" si="7"/>
        <v>954095.73500653915</v>
      </c>
      <c r="Q7" s="13">
        <f t="shared" si="1"/>
        <v>475627</v>
      </c>
    </row>
    <row r="8" spans="1:17">
      <c r="A8" t="s">
        <v>31</v>
      </c>
      <c r="B8" s="4">
        <v>54.739370000000001</v>
      </c>
      <c r="C8" s="4">
        <v>66.782039999999995</v>
      </c>
      <c r="D8" s="2">
        <v>1.2324990260921265</v>
      </c>
      <c r="E8" s="4">
        <f t="shared" si="2"/>
        <v>44.413317042173759</v>
      </c>
      <c r="F8" s="4">
        <f t="shared" si="3"/>
        <v>22.206658521086879</v>
      </c>
      <c r="G8" s="4">
        <f t="shared" si="4"/>
        <v>1549.2314379058469</v>
      </c>
      <c r="H8" s="4">
        <v>612.80430000000001</v>
      </c>
      <c r="I8" s="16">
        <v>1126.4161240000001</v>
      </c>
      <c r="J8" s="13">
        <v>865000</v>
      </c>
      <c r="K8" s="22">
        <f t="shared" si="5"/>
        <v>949375.68684388592</v>
      </c>
      <c r="L8" s="22">
        <f t="shared" si="0"/>
        <v>865000</v>
      </c>
      <c r="M8" s="19" t="s">
        <v>91</v>
      </c>
      <c r="N8" s="4">
        <f t="shared" si="6"/>
        <v>720.43269153345318</v>
      </c>
      <c r="O8" s="13">
        <v>811507</v>
      </c>
      <c r="P8" s="22">
        <f t="shared" si="7"/>
        <v>1116116.9746187511</v>
      </c>
      <c r="Q8" s="13">
        <f t="shared" si="1"/>
        <v>811507</v>
      </c>
    </row>
    <row r="9" spans="1:17">
      <c r="A9" t="s">
        <v>32</v>
      </c>
      <c r="B9" s="4">
        <v>47.502769999999998</v>
      </c>
      <c r="C9" s="4">
        <v>64.128739999999993</v>
      </c>
      <c r="D9" s="2">
        <v>1.2285083022797185</v>
      </c>
      <c r="E9" s="4">
        <f t="shared" si="2"/>
        <v>38.667032133075573</v>
      </c>
      <c r="F9" s="4">
        <f t="shared" si="3"/>
        <v>19.333516066537786</v>
      </c>
      <c r="G9" s="4">
        <f t="shared" si="4"/>
        <v>1174.2797183473374</v>
      </c>
      <c r="H9" s="4">
        <v>1111.92</v>
      </c>
      <c r="I9" s="16">
        <v>5498.0569649999998</v>
      </c>
      <c r="J9" s="13">
        <v>8150000</v>
      </c>
      <c r="K9" s="22">
        <f t="shared" si="5"/>
        <v>1305705.1044247714</v>
      </c>
      <c r="L9" s="22">
        <f t="shared" si="0"/>
        <v>1305705.1044247714</v>
      </c>
      <c r="M9" s="19" t="s">
        <v>91</v>
      </c>
      <c r="N9" s="4">
        <f t="shared" si="6"/>
        <v>762.04903417183857</v>
      </c>
      <c r="O9" s="13">
        <f>3915405+225650+48734</f>
        <v>4189789</v>
      </c>
      <c r="P9" s="22">
        <f t="shared" si="7"/>
        <v>894858.72521416703</v>
      </c>
      <c r="Q9" s="13">
        <f t="shared" si="1"/>
        <v>894858.72521416703</v>
      </c>
    </row>
    <row r="10" spans="1:17">
      <c r="A10" t="s">
        <v>33</v>
      </c>
      <c r="B10" s="4">
        <v>59.701340000000002</v>
      </c>
      <c r="C10" s="4">
        <v>70.447580000000002</v>
      </c>
      <c r="D10" s="2">
        <v>1.3292592058969801</v>
      </c>
      <c r="E10" s="4">
        <f t="shared" si="2"/>
        <v>44.913241702707424</v>
      </c>
      <c r="F10" s="4">
        <f t="shared" si="3"/>
        <v>22.456620851353712</v>
      </c>
      <c r="G10" s="4">
        <f t="shared" si="4"/>
        <v>1584.3046099117196</v>
      </c>
      <c r="H10" s="4">
        <v>725.11869999999999</v>
      </c>
      <c r="I10" s="16">
        <v>1739.864863</v>
      </c>
      <c r="J10" s="13">
        <v>1540000</v>
      </c>
      <c r="K10" s="22">
        <f t="shared" si="5"/>
        <v>1148808.8991431931</v>
      </c>
      <c r="L10" s="22">
        <f t="shared" si="0"/>
        <v>1148808.8991431931</v>
      </c>
      <c r="M10" s="19" t="s">
        <v>91</v>
      </c>
      <c r="N10" s="4">
        <f t="shared" si="6"/>
        <v>537.37104523617245</v>
      </c>
      <c r="O10" s="13">
        <f>820201+114752</f>
        <v>934953</v>
      </c>
      <c r="P10" s="22">
        <f t="shared" si="7"/>
        <v>851359.42420074716</v>
      </c>
      <c r="Q10" s="13">
        <f t="shared" si="1"/>
        <v>851359.42420074716</v>
      </c>
    </row>
    <row r="11" spans="1:17">
      <c r="A11" t="s">
        <v>34</v>
      </c>
      <c r="B11" s="4">
        <v>62.775539999999999</v>
      </c>
      <c r="C11" s="4">
        <v>69.053089999999997</v>
      </c>
      <c r="D11" s="2">
        <v>1.1958825048225283</v>
      </c>
      <c r="E11" s="4">
        <f t="shared" si="2"/>
        <v>52.493066623895487</v>
      </c>
      <c r="F11" s="4">
        <f t="shared" si="3"/>
        <v>26.246533311947744</v>
      </c>
      <c r="G11" s="4">
        <f t="shared" si="4"/>
        <v>2164.1819522294891</v>
      </c>
      <c r="H11" s="4">
        <v>820.46699999999998</v>
      </c>
      <c r="I11" s="16">
        <v>1675.7263399999999</v>
      </c>
      <c r="J11" s="13">
        <v>1785000</v>
      </c>
      <c r="K11" s="22">
        <f t="shared" si="5"/>
        <v>1775639.8737998721</v>
      </c>
      <c r="L11" s="22">
        <f t="shared" si="0"/>
        <v>1775639.8737998721</v>
      </c>
      <c r="M11" s="19" t="s">
        <v>91</v>
      </c>
      <c r="N11" s="4">
        <f t="shared" si="6"/>
        <v>643.10978127848728</v>
      </c>
      <c r="O11" s="13">
        <v>1077676</v>
      </c>
      <c r="P11" s="22">
        <f t="shared" si="7"/>
        <v>1391806.5819451562</v>
      </c>
      <c r="Q11" s="13">
        <f t="shared" si="1"/>
        <v>1077676</v>
      </c>
    </row>
    <row r="12" spans="1:17">
      <c r="A12" t="s">
        <v>35</v>
      </c>
      <c r="B12" s="4">
        <v>60.796750000000003</v>
      </c>
      <c r="C12" s="4">
        <v>71.132189999999994</v>
      </c>
      <c r="D12" s="2">
        <v>1.2517998202968643</v>
      </c>
      <c r="E12" s="4">
        <f t="shared" si="2"/>
        <v>48.567469825632386</v>
      </c>
      <c r="F12" s="4">
        <f t="shared" si="3"/>
        <v>24.283734912816193</v>
      </c>
      <c r="G12" s="4">
        <f t="shared" si="4"/>
        <v>1852.5965008056273</v>
      </c>
      <c r="H12" s="4">
        <v>793.07470000000001</v>
      </c>
      <c r="I12" s="16">
        <v>1030.0578399999999</v>
      </c>
      <c r="J12" s="13">
        <v>1140000</v>
      </c>
      <c r="K12" s="22">
        <f t="shared" si="5"/>
        <v>1469247.4140974726</v>
      </c>
      <c r="L12" s="22">
        <f t="shared" si="0"/>
        <v>1140000</v>
      </c>
      <c r="M12" s="19" t="s">
        <v>91</v>
      </c>
      <c r="N12" s="4">
        <f t="shared" si="6"/>
        <v>750.9364716839591</v>
      </c>
      <c r="O12" s="13">
        <v>773508</v>
      </c>
      <c r="P12" s="22">
        <f t="shared" si="7"/>
        <v>1391182.2797690267</v>
      </c>
      <c r="Q12" s="13">
        <f t="shared" si="1"/>
        <v>773508</v>
      </c>
    </row>
    <row r="13" spans="1:17">
      <c r="A13" t="s">
        <v>61</v>
      </c>
      <c r="B13" s="4">
        <v>56.964039999999997</v>
      </c>
      <c r="C13" s="4">
        <v>70.065770000000001</v>
      </c>
      <c r="D13" s="2">
        <v>1.2688044572054789</v>
      </c>
      <c r="E13" s="4">
        <f t="shared" si="2"/>
        <v>44.895838500963627</v>
      </c>
      <c r="F13" s="4">
        <f t="shared" si="3"/>
        <v>22.447919250481814</v>
      </c>
      <c r="G13" s="4">
        <f t="shared" si="4"/>
        <v>1583.0770596462</v>
      </c>
      <c r="H13" s="4">
        <v>831.13570000000004</v>
      </c>
      <c r="I13" s="16">
        <v>3644.2179059999999</v>
      </c>
      <c r="J13" s="13">
        <v>4090000</v>
      </c>
      <c r="K13" s="22">
        <f t="shared" si="5"/>
        <v>1315751.8601229864</v>
      </c>
      <c r="L13" s="22">
        <f t="shared" si="0"/>
        <v>1315751.8601229864</v>
      </c>
      <c r="M13" s="19" t="s">
        <v>91</v>
      </c>
      <c r="N13" s="4">
        <f t="shared" si="6"/>
        <v>713.75616582023349</v>
      </c>
      <c r="O13" s="13">
        <f>1915132+685951</f>
        <v>2601083</v>
      </c>
      <c r="P13" s="22">
        <f t="shared" si="7"/>
        <v>1129931.0122910407</v>
      </c>
      <c r="Q13" s="13">
        <f t="shared" si="1"/>
        <v>1129931.0122910407</v>
      </c>
    </row>
    <row r="14" spans="1:17">
      <c r="A14" t="s">
        <v>36</v>
      </c>
      <c r="B14" s="4">
        <v>50.872790000000002</v>
      </c>
      <c r="C14" s="4">
        <v>67.152079999999998</v>
      </c>
      <c r="D14" s="2">
        <v>1.3463143949767653</v>
      </c>
      <c r="E14" s="4">
        <f t="shared" si="2"/>
        <v>37.786708802796369</v>
      </c>
      <c r="F14" s="4">
        <f t="shared" si="3"/>
        <v>18.893354401398184</v>
      </c>
      <c r="G14" s="4">
        <f t="shared" si="4"/>
        <v>1121.4192710644425</v>
      </c>
      <c r="H14" s="4">
        <v>919.83150000000001</v>
      </c>
      <c r="I14" s="16">
        <v>1291.9059970000001</v>
      </c>
      <c r="J14" s="13">
        <v>2025000</v>
      </c>
      <c r="K14" s="22">
        <f t="shared" si="5"/>
        <v>1031516.7702321127</v>
      </c>
      <c r="L14" s="22">
        <f t="shared" si="0"/>
        <v>1031516.7702321127</v>
      </c>
      <c r="M14" s="19" t="s">
        <v>91</v>
      </c>
      <c r="N14" s="4">
        <f t="shared" si="6"/>
        <v>836.3681277965303</v>
      </c>
      <c r="O14" s="13">
        <v>1080509</v>
      </c>
      <c r="P14" s="22">
        <f t="shared" si="7"/>
        <v>937919.33621511748</v>
      </c>
      <c r="Q14" s="13">
        <f t="shared" si="1"/>
        <v>937919.33621511748</v>
      </c>
    </row>
    <row r="15" spans="1:17">
      <c r="A15" t="s">
        <v>37</v>
      </c>
      <c r="B15" s="4">
        <v>50.514110000000002</v>
      </c>
      <c r="C15" s="4">
        <v>65.163210000000007</v>
      </c>
      <c r="D15" s="2">
        <v>1.2231188399031905</v>
      </c>
      <c r="E15" s="4">
        <f t="shared" si="2"/>
        <v>41.299429255785299</v>
      </c>
      <c r="F15" s="4">
        <f t="shared" si="3"/>
        <v>20.649714627892649</v>
      </c>
      <c r="G15" s="4">
        <f t="shared" si="4"/>
        <v>1339.6087671848056</v>
      </c>
      <c r="H15" s="4">
        <v>1127.53</v>
      </c>
      <c r="I15" s="16">
        <v>3267.1408769999998</v>
      </c>
      <c r="J15" s="13">
        <v>4030000</v>
      </c>
      <c r="K15" s="22">
        <f t="shared" si="5"/>
        <v>1510449.0732638838</v>
      </c>
      <c r="L15" s="22">
        <f t="shared" si="0"/>
        <v>1510449.0732638838</v>
      </c>
      <c r="M15" s="19" t="s">
        <v>91</v>
      </c>
      <c r="N15" s="4">
        <f t="shared" si="6"/>
        <v>597.85239557639068</v>
      </c>
      <c r="O15" s="13">
        <v>1953268</v>
      </c>
      <c r="P15" s="22">
        <f t="shared" si="7"/>
        <v>800888.31059657142</v>
      </c>
      <c r="Q15" s="13">
        <f t="shared" si="1"/>
        <v>800888.31059657142</v>
      </c>
    </row>
    <row r="16" spans="1:17">
      <c r="A16" t="s">
        <v>79</v>
      </c>
      <c r="B16" s="6">
        <v>56.839145642340362</v>
      </c>
      <c r="C16" s="6">
        <v>63.091451662997805</v>
      </c>
      <c r="D16" s="2">
        <v>1.2876333382733918</v>
      </c>
      <c r="E16" s="4">
        <f t="shared" si="2"/>
        <v>44.142337692620544</v>
      </c>
      <c r="F16" s="4">
        <f t="shared" si="3"/>
        <v>22.071168846310272</v>
      </c>
      <c r="G16" s="4">
        <f t="shared" si="4"/>
        <v>1530.3844316072127</v>
      </c>
      <c r="H16" s="4">
        <v>1048.9459499999998</v>
      </c>
      <c r="I16" s="16">
        <v>666.54415200000005</v>
      </c>
      <c r="J16" s="13">
        <v>555000</v>
      </c>
      <c r="K16" s="22">
        <f t="shared" si="5"/>
        <v>1605290.5514774374</v>
      </c>
      <c r="L16" s="22">
        <f t="shared" si="0"/>
        <v>555000</v>
      </c>
      <c r="M16" s="19" t="s">
        <v>91</v>
      </c>
      <c r="N16" s="4">
        <f t="shared" si="6"/>
        <v>796.59389165265668</v>
      </c>
      <c r="O16" s="13">
        <v>530965</v>
      </c>
      <c r="P16" s="22">
        <f t="shared" si="7"/>
        <v>1219094.8900986286</v>
      </c>
      <c r="Q16" s="13">
        <f t="shared" si="1"/>
        <v>530965</v>
      </c>
    </row>
    <row r="17" spans="1:17">
      <c r="A17" t="s">
        <v>511</v>
      </c>
      <c r="B17" s="4">
        <v>54.516030000000001</v>
      </c>
      <c r="C17" s="4">
        <v>64.328909999999993</v>
      </c>
      <c r="D17" s="2">
        <v>1.314972166684313</v>
      </c>
      <c r="E17" s="4">
        <f t="shared" si="2"/>
        <v>41.457934533672706</v>
      </c>
      <c r="F17" s="4">
        <f t="shared" si="3"/>
        <v>20.728967266836353</v>
      </c>
      <c r="G17" s="4">
        <f t="shared" si="4"/>
        <v>1349.9112110563599</v>
      </c>
      <c r="H17" s="4">
        <v>595.8125</v>
      </c>
      <c r="I17" s="5">
        <v>1364.4098799999999</v>
      </c>
      <c r="J17" s="13">
        <v>1520000</v>
      </c>
      <c r="K17" s="22">
        <f t="shared" si="5"/>
        <v>804293.97343751742</v>
      </c>
      <c r="L17" s="22">
        <f t="shared" si="0"/>
        <v>804293.97343751742</v>
      </c>
      <c r="M17" s="19" t="s">
        <v>91</v>
      </c>
      <c r="N17" s="4">
        <f t="shared" si="6"/>
        <v>420.42644839247282</v>
      </c>
      <c r="O17" s="13">
        <v>573634</v>
      </c>
      <c r="P17" s="22">
        <f t="shared" si="7"/>
        <v>567538.37610960717</v>
      </c>
      <c r="Q17" s="13">
        <f t="shared" si="1"/>
        <v>567538.37610960717</v>
      </c>
    </row>
    <row r="18" spans="1:17">
      <c r="A18" t="s">
        <v>38</v>
      </c>
      <c r="B18" s="4">
        <v>68.568569999999994</v>
      </c>
      <c r="C18" s="4">
        <v>75.425430000000006</v>
      </c>
      <c r="D18" s="2">
        <v>1.3186049657057692</v>
      </c>
      <c r="E18" s="4">
        <f t="shared" si="2"/>
        <v>52.000843151155131</v>
      </c>
      <c r="F18" s="4">
        <f t="shared" si="3"/>
        <v>26.000421575577565</v>
      </c>
      <c r="G18" s="4">
        <f t="shared" si="4"/>
        <v>2123.785504159388</v>
      </c>
      <c r="H18" s="4">
        <v>616.34659999999997</v>
      </c>
      <c r="I18" s="5">
        <v>1215.591516</v>
      </c>
      <c r="J18" s="13">
        <v>870000</v>
      </c>
      <c r="K18" s="22">
        <f t="shared" si="5"/>
        <v>1308987.9746179245</v>
      </c>
      <c r="L18" s="22">
        <f t="shared" si="0"/>
        <v>870000</v>
      </c>
      <c r="M18" s="19" t="s">
        <v>91</v>
      </c>
      <c r="N18" s="4">
        <f t="shared" si="6"/>
        <v>467.19723897776862</v>
      </c>
      <c r="O18" s="13">
        <v>567921</v>
      </c>
      <c r="P18" s="22">
        <f t="shared" si="7"/>
        <v>992226.72372427443</v>
      </c>
      <c r="Q18" s="13">
        <f t="shared" si="1"/>
        <v>567921</v>
      </c>
    </row>
    <row r="19" spans="1:17">
      <c r="A19" t="s">
        <v>80</v>
      </c>
      <c r="B19" s="4">
        <v>58.403202946946948</v>
      </c>
      <c r="C19" s="4">
        <v>68.915779477397393</v>
      </c>
      <c r="D19" s="2">
        <v>1.5656730917026238</v>
      </c>
      <c r="E19" s="4">
        <f t="shared" si="2"/>
        <v>37.30229717586522</v>
      </c>
      <c r="F19" s="4">
        <f t="shared" si="3"/>
        <v>18.65114858793261</v>
      </c>
      <c r="G19" s="4">
        <f t="shared" si="4"/>
        <v>1092.8512080466289</v>
      </c>
      <c r="H19" s="4">
        <v>1930.5093842061167</v>
      </c>
      <c r="I19" s="5">
        <v>399.17985599999997</v>
      </c>
      <c r="J19" s="13">
        <v>700000</v>
      </c>
      <c r="K19" s="22">
        <f t="shared" si="5"/>
        <v>2109759.5126750083</v>
      </c>
      <c r="L19" s="22">
        <f t="shared" si="0"/>
        <v>700000</v>
      </c>
      <c r="M19" s="19" t="s">
        <v>91</v>
      </c>
      <c r="N19" s="4">
        <f t="shared" si="6"/>
        <v>802.79852598574018</v>
      </c>
      <c r="O19" s="13">
        <v>320461</v>
      </c>
      <c r="P19" s="22">
        <f t="shared" si="7"/>
        <v>877339.33894156921</v>
      </c>
      <c r="Q19" s="13">
        <f t="shared" si="1"/>
        <v>320461</v>
      </c>
    </row>
    <row r="20" spans="1:17">
      <c r="A20" t="s">
        <v>39</v>
      </c>
      <c r="B20" s="4">
        <v>53.767299999999999</v>
      </c>
      <c r="C20" s="4">
        <v>68.822140000000005</v>
      </c>
      <c r="D20" s="2">
        <v>1.3120577300131484</v>
      </c>
      <c r="E20" s="4">
        <f t="shared" si="2"/>
        <v>40.979370625301058</v>
      </c>
      <c r="F20" s="4">
        <f t="shared" si="3"/>
        <v>20.489685312650529</v>
      </c>
      <c r="G20" s="4">
        <f t="shared" si="4"/>
        <v>1318.9260605278232</v>
      </c>
      <c r="H20" s="4">
        <v>778.63930000000005</v>
      </c>
      <c r="I20" s="5">
        <v>3354.7213320000001</v>
      </c>
      <c r="J20" s="13">
        <v>3630000</v>
      </c>
      <c r="K20" s="22">
        <f t="shared" si="5"/>
        <v>1026967.6645211419</v>
      </c>
      <c r="L20" s="22">
        <f t="shared" si="0"/>
        <v>1026967.6645211419</v>
      </c>
      <c r="M20" s="19" t="s">
        <v>91</v>
      </c>
      <c r="N20" s="4">
        <f t="shared" si="6"/>
        <v>557.65585718104592</v>
      </c>
      <c r="O20" s="13">
        <v>1870780</v>
      </c>
      <c r="P20" s="22">
        <f t="shared" si="7"/>
        <v>735506.84284206328</v>
      </c>
      <c r="Q20" s="13">
        <f t="shared" si="1"/>
        <v>735506.84284206328</v>
      </c>
    </row>
    <row r="21" spans="1:17">
      <c r="A21" t="s">
        <v>40</v>
      </c>
      <c r="B21" s="4">
        <v>53.336190000000002</v>
      </c>
      <c r="C21" s="4">
        <v>65.070160000000001</v>
      </c>
      <c r="D21" s="2">
        <v>1.2553195423470496</v>
      </c>
      <c r="E21" s="4">
        <f t="shared" si="2"/>
        <v>42.488138040357626</v>
      </c>
      <c r="F21" s="4">
        <f t="shared" si="3"/>
        <v>21.244069020178813</v>
      </c>
      <c r="G21" s="4">
        <f t="shared" si="4"/>
        <v>1417.8336524349627</v>
      </c>
      <c r="H21" s="4">
        <v>795.37049999999999</v>
      </c>
      <c r="I21" s="5">
        <v>1432.0576000000001</v>
      </c>
      <c r="J21" s="13">
        <v>1030000</v>
      </c>
      <c r="K21" s="22">
        <f t="shared" si="5"/>
        <v>1127703.0610540225</v>
      </c>
      <c r="L21" s="22">
        <f t="shared" si="0"/>
        <v>1030000</v>
      </c>
      <c r="M21" s="19" t="s">
        <v>91</v>
      </c>
      <c r="N21" s="4">
        <f t="shared" si="6"/>
        <v>568.03930232973869</v>
      </c>
      <c r="O21" s="13">
        <v>813465</v>
      </c>
      <c r="P21" s="22">
        <f t="shared" si="7"/>
        <v>805385.23874878138</v>
      </c>
      <c r="Q21" s="13">
        <f t="shared" si="1"/>
        <v>805385.23874878138</v>
      </c>
    </row>
    <row r="22" spans="1:17" ht="16">
      <c r="A22" t="s">
        <v>72</v>
      </c>
      <c r="B22" s="4">
        <v>57.819749999999999</v>
      </c>
      <c r="C22" s="4">
        <v>71.696479999999994</v>
      </c>
      <c r="D22" s="2">
        <v>1.3322187706081068</v>
      </c>
      <c r="E22" s="4">
        <f t="shared" si="2"/>
        <v>43.401092429892351</v>
      </c>
      <c r="F22" s="4">
        <f t="shared" si="3"/>
        <v>21.700546214946176</v>
      </c>
      <c r="G22" s="4">
        <f t="shared" si="4"/>
        <v>1479.4190393292131</v>
      </c>
      <c r="H22" s="4">
        <v>1048.9110000000001</v>
      </c>
      <c r="I22" s="5">
        <v>1136.422783</v>
      </c>
      <c r="J22" s="13">
        <v>1630000</v>
      </c>
      <c r="K22" s="22">
        <f t="shared" si="5"/>
        <v>1551778.9039618443</v>
      </c>
      <c r="L22" s="22">
        <f t="shared" si="0"/>
        <v>1551778.9039618443</v>
      </c>
      <c r="M22" s="19" t="s">
        <v>91</v>
      </c>
      <c r="N22" s="4">
        <f t="shared" si="6"/>
        <v>772.15541005217597</v>
      </c>
      <c r="O22" s="13">
        <v>877495</v>
      </c>
      <c r="P22" s="22">
        <f t="shared" si="7"/>
        <v>1142341.4149522448</v>
      </c>
      <c r="Q22" s="13">
        <f t="shared" si="1"/>
        <v>877495</v>
      </c>
    </row>
    <row r="23" spans="1:17">
      <c r="A23" t="s">
        <v>41</v>
      </c>
      <c r="B23" s="4">
        <v>54.3979</v>
      </c>
      <c r="C23" s="4">
        <v>63.645539999999997</v>
      </c>
      <c r="D23" s="2">
        <v>1.367147891752108</v>
      </c>
      <c r="E23" s="4">
        <f t="shared" si="2"/>
        <v>39.789331006673166</v>
      </c>
      <c r="F23" s="4">
        <f t="shared" si="3"/>
        <v>19.894665503336583</v>
      </c>
      <c r="G23" s="4">
        <f t="shared" si="4"/>
        <v>1243.4351952899096</v>
      </c>
      <c r="H23" s="4">
        <v>464.36610000000002</v>
      </c>
      <c r="I23" s="16">
        <v>1063.231603</v>
      </c>
      <c r="J23" s="13">
        <v>890000</v>
      </c>
      <c r="K23" s="22">
        <f t="shared" si="5"/>
        <v>577409.1522395137</v>
      </c>
      <c r="L23" s="22">
        <f t="shared" si="0"/>
        <v>577409.1522395137</v>
      </c>
      <c r="M23" s="19" t="s">
        <v>91</v>
      </c>
      <c r="N23" s="4">
        <f t="shared" si="6"/>
        <v>467.6516373262844</v>
      </c>
      <c r="O23" s="13">
        <v>497222</v>
      </c>
      <c r="P23" s="22">
        <f t="shared" si="7"/>
        <v>581494.5049864545</v>
      </c>
      <c r="Q23" s="13">
        <f t="shared" si="1"/>
        <v>497222</v>
      </c>
    </row>
    <row r="24" spans="1:17">
      <c r="A24" t="s">
        <v>74</v>
      </c>
      <c r="B24" s="4">
        <v>63.341059999999999</v>
      </c>
      <c r="C24" s="4">
        <v>69.041749999999993</v>
      </c>
      <c r="D24" s="2">
        <v>1.3058059031530165</v>
      </c>
      <c r="E24" s="4">
        <f t="shared" si="2"/>
        <v>48.507255057628264</v>
      </c>
      <c r="F24" s="4">
        <f t="shared" si="3"/>
        <v>24.253627528814132</v>
      </c>
      <c r="G24" s="4">
        <f t="shared" si="4"/>
        <v>1848.0055877586046</v>
      </c>
      <c r="H24" s="4">
        <v>534.17049999999995</v>
      </c>
      <c r="I24" s="5">
        <v>1513.6270480000001</v>
      </c>
      <c r="J24" s="13">
        <v>1425000</v>
      </c>
      <c r="K24" s="22">
        <f t="shared" si="5"/>
        <v>987150.06881580758</v>
      </c>
      <c r="L24" s="22">
        <f t="shared" si="0"/>
        <v>987150.06881580758</v>
      </c>
      <c r="M24" s="19" t="s">
        <v>91</v>
      </c>
      <c r="N24" s="4">
        <f t="shared" si="6"/>
        <v>588.92446536143029</v>
      </c>
      <c r="O24" s="13">
        <v>891412</v>
      </c>
      <c r="P24" s="22">
        <f t="shared" si="7"/>
        <v>1088335.7027556719</v>
      </c>
      <c r="Q24" s="13">
        <f t="shared" si="1"/>
        <v>891412</v>
      </c>
    </row>
    <row r="25" spans="1:17">
      <c r="A25" t="s">
        <v>62</v>
      </c>
      <c r="B25" s="4">
        <v>50.764740000000003</v>
      </c>
      <c r="C25" s="4">
        <v>64.471209999999999</v>
      </c>
      <c r="D25" s="2">
        <v>1.3395992902648739</v>
      </c>
      <c r="E25" s="4">
        <f t="shared" si="2"/>
        <v>37.895466479354795</v>
      </c>
      <c r="F25" s="4">
        <f t="shared" si="3"/>
        <v>18.947733239677397</v>
      </c>
      <c r="G25" s="4">
        <f t="shared" si="4"/>
        <v>1127.8838971237014</v>
      </c>
      <c r="H25" s="4">
        <v>1701.4670000000001</v>
      </c>
      <c r="I25" s="5">
        <v>740.49811399999999</v>
      </c>
      <c r="J25" s="13">
        <v>1300000</v>
      </c>
      <c r="K25" s="22">
        <f t="shared" si="5"/>
        <v>1919057.2307873731</v>
      </c>
      <c r="L25" s="22">
        <f t="shared" si="0"/>
        <v>1300000</v>
      </c>
      <c r="M25" s="19" t="s">
        <v>91</v>
      </c>
      <c r="N25" s="4">
        <f t="shared" si="6"/>
        <v>934.33728853494426</v>
      </c>
      <c r="O25" s="13">
        <v>691875</v>
      </c>
      <c r="P25" s="22">
        <f t="shared" si="7"/>
        <v>1053823.9822207852</v>
      </c>
      <c r="Q25" s="13">
        <f t="shared" si="1"/>
        <v>691875</v>
      </c>
    </row>
    <row r="26" spans="1:17">
      <c r="A26" t="s">
        <v>63</v>
      </c>
      <c r="B26" s="4">
        <v>47.966560000000001</v>
      </c>
      <c r="C26" s="4">
        <v>70.990499999999997</v>
      </c>
      <c r="D26" s="2">
        <v>1.3322187706081068</v>
      </c>
      <c r="E26" s="4">
        <f t="shared" si="2"/>
        <v>36.00501738772612</v>
      </c>
      <c r="F26" s="4">
        <f t="shared" si="3"/>
        <v>18.00250869386306</v>
      </c>
      <c r="G26" s="4">
        <f t="shared" si="4"/>
        <v>1018.1597661264179</v>
      </c>
      <c r="H26" s="4">
        <v>2155.5929999999998</v>
      </c>
      <c r="I26" s="16">
        <v>4319.9303110000001</v>
      </c>
      <c r="J26" s="13">
        <v>12450000</v>
      </c>
      <c r="K26" s="22">
        <f t="shared" si="5"/>
        <v>2194738.0647437433</v>
      </c>
      <c r="L26" s="22">
        <f t="shared" si="0"/>
        <v>2194738.0647437433</v>
      </c>
      <c r="M26" s="19" t="s">
        <v>91</v>
      </c>
      <c r="N26" s="4">
        <f t="shared" si="6"/>
        <v>1226.6024260871461</v>
      </c>
      <c r="O26" s="13">
        <f>3889686+1409151</f>
        <v>5298837</v>
      </c>
      <c r="P26" s="22">
        <f t="shared" si="7"/>
        <v>1248877.2392749856</v>
      </c>
      <c r="Q26" s="13">
        <f t="shared" si="1"/>
        <v>1248877.2392749856</v>
      </c>
    </row>
    <row r="27" spans="1:17">
      <c r="A27" t="s">
        <v>42</v>
      </c>
      <c r="B27" s="4">
        <v>57.963749999999997</v>
      </c>
      <c r="C27" s="4">
        <v>68.976879999999994</v>
      </c>
      <c r="D27" s="2">
        <v>1.3589321966589822</v>
      </c>
      <c r="E27" s="4">
        <f t="shared" si="2"/>
        <v>42.65389409604645</v>
      </c>
      <c r="F27" s="4">
        <f t="shared" si="3"/>
        <v>21.326947048023225</v>
      </c>
      <c r="G27" s="4">
        <f t="shared" si="4"/>
        <v>1428.9178254632179</v>
      </c>
      <c r="H27" s="4">
        <v>763.32839999999999</v>
      </c>
      <c r="I27" s="5">
        <v>1013.455139</v>
      </c>
      <c r="J27" s="13">
        <v>860000</v>
      </c>
      <c r="K27" s="22">
        <f t="shared" si="5"/>
        <v>1090733.5574423175</v>
      </c>
      <c r="L27" s="22">
        <f t="shared" si="0"/>
        <v>860000</v>
      </c>
      <c r="M27" s="19" t="s">
        <v>91</v>
      </c>
      <c r="N27" s="4">
        <f t="shared" si="6"/>
        <v>509.17497987051996</v>
      </c>
      <c r="O27" s="13">
        <v>516026</v>
      </c>
      <c r="P27" s="22">
        <f t="shared" si="7"/>
        <v>727569.20501686109</v>
      </c>
      <c r="Q27" s="13">
        <f t="shared" si="1"/>
        <v>516026</v>
      </c>
    </row>
    <row r="28" spans="1:17">
      <c r="A28" t="s">
        <v>43</v>
      </c>
      <c r="B28" s="4">
        <v>57.321390000000001</v>
      </c>
      <c r="C28" s="4">
        <v>64.773169999999993</v>
      </c>
      <c r="D28" s="2">
        <v>1.3251323609388206</v>
      </c>
      <c r="E28" s="4">
        <f t="shared" si="2"/>
        <v>43.257105244482403</v>
      </c>
      <c r="F28" s="4">
        <f t="shared" si="3"/>
        <v>21.628552622241202</v>
      </c>
      <c r="G28" s="4">
        <f t="shared" si="4"/>
        <v>1469.6191002467151</v>
      </c>
      <c r="H28" s="4">
        <v>772.20429999999999</v>
      </c>
      <c r="I28" s="5">
        <v>1035.5225359999999</v>
      </c>
      <c r="J28" s="13">
        <v>980000</v>
      </c>
      <c r="K28" s="22">
        <f t="shared" si="5"/>
        <v>1134846.1885726445</v>
      </c>
      <c r="L28" s="22">
        <f t="shared" si="0"/>
        <v>980000</v>
      </c>
      <c r="M28" s="19" t="s">
        <v>91</v>
      </c>
      <c r="N28" s="4">
        <f t="shared" si="6"/>
        <v>519.02878142673273</v>
      </c>
      <c r="O28" s="13">
        <v>537466</v>
      </c>
      <c r="P28" s="22">
        <f t="shared" si="7"/>
        <v>762774.61076250393</v>
      </c>
      <c r="Q28" s="13">
        <f t="shared" si="1"/>
        <v>537466</v>
      </c>
    </row>
    <row r="29" spans="1:17">
      <c r="A29" t="s">
        <v>44</v>
      </c>
      <c r="B29" s="4">
        <v>57.256279999999997</v>
      </c>
      <c r="C29" s="4">
        <v>65.844710000000006</v>
      </c>
      <c r="D29" s="2">
        <v>1.214710869220379</v>
      </c>
      <c r="E29" s="4">
        <f t="shared" si="2"/>
        <v>47.135727069560183</v>
      </c>
      <c r="F29" s="4">
        <f t="shared" si="3"/>
        <v>23.567863534780091</v>
      </c>
      <c r="G29" s="4">
        <f t="shared" si="4"/>
        <v>1744.979391790886</v>
      </c>
      <c r="H29" s="4">
        <v>931.97069999999997</v>
      </c>
      <c r="I29" s="5">
        <v>1261.4411789999999</v>
      </c>
      <c r="J29" s="13">
        <v>1400000</v>
      </c>
      <c r="K29" s="22">
        <f t="shared" si="5"/>
        <v>1626269.6652529263</v>
      </c>
      <c r="L29" s="22">
        <f t="shared" si="0"/>
        <v>1400000</v>
      </c>
      <c r="M29" s="19" t="s">
        <v>91</v>
      </c>
      <c r="N29" s="4">
        <f t="shared" si="6"/>
        <v>619.65949186759508</v>
      </c>
      <c r="O29" s="13">
        <v>781664</v>
      </c>
      <c r="P29" s="22">
        <f t="shared" si="7"/>
        <v>1081293.0432365655</v>
      </c>
      <c r="Q29" s="13">
        <f t="shared" si="1"/>
        <v>781664</v>
      </c>
    </row>
    <row r="30" spans="1:17">
      <c r="A30" t="s">
        <v>45</v>
      </c>
      <c r="B30" s="4">
        <v>55.30265</v>
      </c>
      <c r="C30" s="4">
        <v>69.681340000000006</v>
      </c>
      <c r="D30" s="2">
        <v>1.2298334736957186</v>
      </c>
      <c r="E30" s="4">
        <f t="shared" si="2"/>
        <v>44.967592103191365</v>
      </c>
      <c r="F30" s="4">
        <f t="shared" si="3"/>
        <v>22.483796051595682</v>
      </c>
      <c r="G30" s="4">
        <f t="shared" si="4"/>
        <v>1588.1413265243796</v>
      </c>
      <c r="H30" s="4">
        <v>756.63570000000004</v>
      </c>
      <c r="I30" s="5">
        <v>2316.0155599999998</v>
      </c>
      <c r="J30" s="13">
        <v>2430000</v>
      </c>
      <c r="K30" s="22">
        <f t="shared" si="5"/>
        <v>1201644.4242937025</v>
      </c>
      <c r="L30" s="22">
        <f t="shared" si="0"/>
        <v>1201644.4242937025</v>
      </c>
      <c r="M30" s="19" t="s">
        <v>91</v>
      </c>
      <c r="N30" s="4">
        <f t="shared" si="6"/>
        <v>709.14808534360634</v>
      </c>
      <c r="O30" s="13">
        <v>1642398</v>
      </c>
      <c r="P30" s="22">
        <f t="shared" si="7"/>
        <v>1126227.3809598188</v>
      </c>
      <c r="Q30" s="13">
        <f t="shared" si="1"/>
        <v>1126227.3809598188</v>
      </c>
    </row>
    <row r="31" spans="1:17">
      <c r="A31" t="s">
        <v>46</v>
      </c>
      <c r="B31" s="4">
        <v>60.804580000000001</v>
      </c>
      <c r="C31" s="4">
        <v>70.533320000000003</v>
      </c>
      <c r="D31" s="2">
        <v>1.3726075001048517</v>
      </c>
      <c r="E31" s="4">
        <f t="shared" si="2"/>
        <v>44.298592274452254</v>
      </c>
      <c r="F31" s="4">
        <f t="shared" si="3"/>
        <v>22.149296137226127</v>
      </c>
      <c r="G31" s="4">
        <f t="shared" si="4"/>
        <v>1541.2380848619794</v>
      </c>
      <c r="H31" s="4">
        <v>455.81509999999997</v>
      </c>
      <c r="I31" s="5">
        <v>1115.688349</v>
      </c>
      <c r="J31" s="13">
        <v>850000</v>
      </c>
      <c r="K31" s="22">
        <f t="shared" si="5"/>
        <v>702519.59177517158</v>
      </c>
      <c r="L31" s="22">
        <f t="shared" si="0"/>
        <v>702519.59177517158</v>
      </c>
      <c r="M31" s="19" t="s">
        <v>91</v>
      </c>
      <c r="N31" s="4">
        <f t="shared" si="6"/>
        <v>568.95099834012876</v>
      </c>
      <c r="O31" s="13">
        <v>634772</v>
      </c>
      <c r="P31" s="22">
        <f t="shared" si="7"/>
        <v>876888.94706205127</v>
      </c>
      <c r="Q31" s="13">
        <f t="shared" si="1"/>
        <v>634772</v>
      </c>
    </row>
    <row r="32" spans="1:17">
      <c r="A32" t="s">
        <v>47</v>
      </c>
      <c r="B32" s="4">
        <v>56.712069999999997</v>
      </c>
      <c r="C32" s="4">
        <v>65.218879999999999</v>
      </c>
      <c r="D32" s="2">
        <v>1.3418186143651714</v>
      </c>
      <c r="E32" s="4">
        <f t="shared" si="2"/>
        <v>42.265079193905116</v>
      </c>
      <c r="F32" s="4">
        <f t="shared" si="3"/>
        <v>21.132539596952558</v>
      </c>
      <c r="G32" s="4">
        <f t="shared" si="4"/>
        <v>1402.9857356014136</v>
      </c>
      <c r="H32" s="4">
        <v>1342.165</v>
      </c>
      <c r="I32" s="5">
        <v>512.39265599999999</v>
      </c>
      <c r="J32" s="13">
        <v>1095000</v>
      </c>
      <c r="K32" s="22">
        <f t="shared" si="5"/>
        <v>1883038.3498234712</v>
      </c>
      <c r="L32" s="22">
        <f t="shared" si="0"/>
        <v>1095000</v>
      </c>
      <c r="M32" s="19" t="s">
        <v>91</v>
      </c>
      <c r="N32" s="4">
        <f t="shared" si="6"/>
        <v>1056.4398097071867</v>
      </c>
      <c r="O32" s="13">
        <v>541312</v>
      </c>
      <c r="P32" s="22">
        <f t="shared" si="7"/>
        <v>1482169.9835406546</v>
      </c>
      <c r="Q32" s="13">
        <f t="shared" si="1"/>
        <v>541312</v>
      </c>
    </row>
    <row r="33" spans="1:17">
      <c r="A33" t="s">
        <v>64</v>
      </c>
      <c r="B33" s="4">
        <v>51.868699999999997</v>
      </c>
      <c r="C33" s="4">
        <v>66.910629999999998</v>
      </c>
      <c r="D33" s="2">
        <v>1.2505759301052708</v>
      </c>
      <c r="E33" s="4">
        <f t="shared" si="2"/>
        <v>41.475850247360668</v>
      </c>
      <c r="F33" s="4">
        <f t="shared" si="3"/>
        <v>20.737925123680334</v>
      </c>
      <c r="G33" s="4">
        <f t="shared" si="4"/>
        <v>1351.0781697400892</v>
      </c>
      <c r="H33" s="4">
        <v>1475.768</v>
      </c>
      <c r="I33" s="5">
        <v>8683.2032749999998</v>
      </c>
      <c r="J33" s="13">
        <v>17200000</v>
      </c>
      <c r="K33" s="22">
        <f t="shared" si="5"/>
        <v>1993877.928400992</v>
      </c>
      <c r="L33" s="22">
        <f t="shared" si="0"/>
        <v>1993877.928400992</v>
      </c>
      <c r="M33" s="19" t="s">
        <v>91</v>
      </c>
      <c r="N33" s="4">
        <f t="shared" si="6"/>
        <v>908.02319723420271</v>
      </c>
      <c r="O33" s="13">
        <f>3845734+647143+223496+331771+1100827+943220+792359</f>
        <v>7884550</v>
      </c>
      <c r="P33" s="22">
        <f t="shared" si="7"/>
        <v>1226810.3194007305</v>
      </c>
      <c r="Q33" s="13">
        <f t="shared" si="1"/>
        <v>1226810.3194007305</v>
      </c>
    </row>
    <row r="34" spans="1:17">
      <c r="A34" t="s">
        <v>65</v>
      </c>
      <c r="B34" s="4">
        <v>59.517719999999997</v>
      </c>
      <c r="C34" s="4">
        <v>65.469489999999993</v>
      </c>
      <c r="D34" s="2">
        <v>1.2823721019197429</v>
      </c>
      <c r="E34" s="4">
        <f t="shared" si="2"/>
        <v>46.412207432538878</v>
      </c>
      <c r="F34" s="4">
        <f t="shared" si="3"/>
        <v>23.206103716269439</v>
      </c>
      <c r="G34" s="4">
        <f t="shared" si="4"/>
        <v>1691.8206850142046</v>
      </c>
      <c r="H34" s="4">
        <v>584.56590000000006</v>
      </c>
      <c r="I34" s="5">
        <v>834.88804500000003</v>
      </c>
      <c r="J34" s="13">
        <v>810000</v>
      </c>
      <c r="K34" s="22">
        <f t="shared" si="5"/>
        <v>988980.68137394509</v>
      </c>
      <c r="L34" s="22">
        <f t="shared" ref="L34:L53" si="8">MIN(J34,K34)</f>
        <v>810000</v>
      </c>
      <c r="M34" s="19" t="s">
        <v>91</v>
      </c>
      <c r="N34" s="4">
        <f t="shared" si="6"/>
        <v>528.7128048407975</v>
      </c>
      <c r="O34" s="13">
        <v>441416</v>
      </c>
      <c r="P34" s="22">
        <f t="shared" si="7"/>
        <v>894487.25966153957</v>
      </c>
      <c r="Q34" s="13">
        <f t="shared" ref="Q34:Q53" si="9">MIN(P34,O34)</f>
        <v>441416</v>
      </c>
    </row>
    <row r="35" spans="1:17">
      <c r="A35" t="s">
        <v>48</v>
      </c>
      <c r="B35" s="4">
        <v>45.740690000000001</v>
      </c>
      <c r="C35" s="4">
        <v>60.835120000000003</v>
      </c>
      <c r="D35" s="2">
        <v>1.3238129951233164</v>
      </c>
      <c r="E35" s="4">
        <f t="shared" ref="E35:E53" si="10">B35/D35</f>
        <v>34.552229180783307</v>
      </c>
      <c r="F35" s="4">
        <f t="shared" ref="F35:F53" si="11">E35*0.5</f>
        <v>17.276114590391654</v>
      </c>
      <c r="G35" s="4">
        <f t="shared" ref="G35:G53" si="12">PI()*F35^2</f>
        <v>937.65273494525252</v>
      </c>
      <c r="H35" s="4">
        <v>708.81449999999995</v>
      </c>
      <c r="I35" s="5">
        <v>1173.7604550000001</v>
      </c>
      <c r="J35" s="13">
        <v>1230000</v>
      </c>
      <c r="K35" s="22">
        <f t="shared" ref="K35:K53" si="13">G35*H35</f>
        <v>664621.85449385166</v>
      </c>
      <c r="L35" s="22">
        <f t="shared" si="8"/>
        <v>664621.85449385166</v>
      </c>
      <c r="M35" s="19" t="s">
        <v>91</v>
      </c>
      <c r="N35" s="4">
        <f t="shared" ref="N35:N53" si="14">O35/I35</f>
        <v>697.01274780125379</v>
      </c>
      <c r="O35" s="13">
        <v>818126</v>
      </c>
      <c r="P35" s="22">
        <f t="shared" ref="P35:P53" si="15">G35*N35</f>
        <v>653555.90926755115</v>
      </c>
      <c r="Q35" s="13">
        <f t="shared" si="9"/>
        <v>653555.90926755115</v>
      </c>
    </row>
    <row r="36" spans="1:17">
      <c r="A36" t="s">
        <v>66</v>
      </c>
      <c r="B36" s="4">
        <v>52.865879999999997</v>
      </c>
      <c r="C36" s="4">
        <v>66.611009999999993</v>
      </c>
      <c r="D36" s="2">
        <v>1.2151792961844514</v>
      </c>
      <c r="E36" s="4">
        <f t="shared" si="10"/>
        <v>43.504592421870484</v>
      </c>
      <c r="F36" s="4">
        <f t="shared" si="11"/>
        <v>21.752296210935242</v>
      </c>
      <c r="G36" s="4">
        <f t="shared" si="12"/>
        <v>1486.4834897872631</v>
      </c>
      <c r="H36" s="4">
        <v>942.2731</v>
      </c>
      <c r="I36" s="5">
        <v>4660.7165379999997</v>
      </c>
      <c r="J36" s="13">
        <v>5125000</v>
      </c>
      <c r="K36" s="22">
        <f t="shared" si="13"/>
        <v>1400673.4060206627</v>
      </c>
      <c r="L36" s="22">
        <f t="shared" si="8"/>
        <v>1400673.4060206627</v>
      </c>
      <c r="M36" s="19" t="s">
        <v>91</v>
      </c>
      <c r="N36" s="4">
        <f t="shared" si="14"/>
        <v>547.27078534034638</v>
      </c>
      <c r="O36" s="13">
        <f>2237898+312776</f>
        <v>2550674</v>
      </c>
      <c r="P36" s="22">
        <f t="shared" si="15"/>
        <v>813508.98685133422</v>
      </c>
      <c r="Q36" s="13">
        <f t="shared" si="9"/>
        <v>813508.98685133422</v>
      </c>
    </row>
    <row r="37" spans="1:17">
      <c r="A37" t="s">
        <v>49</v>
      </c>
      <c r="B37" s="4">
        <v>52.44265</v>
      </c>
      <c r="C37" s="4">
        <v>67.126589999999993</v>
      </c>
      <c r="D37" s="2">
        <v>1.3591592167670952</v>
      </c>
      <c r="E37" s="4">
        <f t="shared" si="10"/>
        <v>38.584625960702695</v>
      </c>
      <c r="F37" s="4">
        <f t="shared" si="11"/>
        <v>19.292312980351348</v>
      </c>
      <c r="G37" s="4">
        <f t="shared" si="12"/>
        <v>1169.2798630732141</v>
      </c>
      <c r="H37" s="4">
        <v>990.88170000000002</v>
      </c>
      <c r="I37" s="5">
        <v>2069.418674</v>
      </c>
      <c r="J37" s="13">
        <v>2900000</v>
      </c>
      <c r="K37" s="22">
        <f t="shared" si="13"/>
        <v>1158618.0184977537</v>
      </c>
      <c r="L37" s="22">
        <f t="shared" si="8"/>
        <v>1158618.0184977537</v>
      </c>
      <c r="M37" s="19" t="s">
        <v>91</v>
      </c>
      <c r="N37" s="4">
        <f t="shared" si="14"/>
        <v>677.88602549355369</v>
      </c>
      <c r="O37" s="13">
        <v>1402830</v>
      </c>
      <c r="P37" s="22">
        <f t="shared" si="15"/>
        <v>792638.47906834772</v>
      </c>
      <c r="Q37" s="13">
        <f t="shared" si="9"/>
        <v>792638.47906834772</v>
      </c>
    </row>
    <row r="38" spans="1:17">
      <c r="A38" t="s">
        <v>50</v>
      </c>
      <c r="B38" s="4">
        <v>58.551130000000001</v>
      </c>
      <c r="C38" s="4">
        <v>64.406239999999997</v>
      </c>
      <c r="D38" s="2">
        <v>1.3100772449532365</v>
      </c>
      <c r="E38" s="4">
        <f t="shared" si="10"/>
        <v>44.692883740675917</v>
      </c>
      <c r="F38" s="4">
        <f t="shared" si="11"/>
        <v>22.346441870337959</v>
      </c>
      <c r="G38" s="4">
        <f t="shared" si="12"/>
        <v>1568.7965908041676</v>
      </c>
      <c r="H38" s="4">
        <v>603.0711</v>
      </c>
      <c r="I38" s="5">
        <v>2207.6965749999999</v>
      </c>
      <c r="J38" s="13">
        <v>1765000</v>
      </c>
      <c r="K38" s="22">
        <f t="shared" si="13"/>
        <v>946095.88569251925</v>
      </c>
      <c r="L38" s="22">
        <f t="shared" si="8"/>
        <v>946095.88569251925</v>
      </c>
      <c r="M38" s="19" t="s">
        <v>91</v>
      </c>
      <c r="N38" s="4">
        <f t="shared" si="14"/>
        <v>470.46365508810919</v>
      </c>
      <c r="O38" s="13">
        <v>1038641</v>
      </c>
      <c r="P38" s="22">
        <f t="shared" si="15"/>
        <v>738061.77819949354</v>
      </c>
      <c r="Q38" s="13">
        <f t="shared" si="9"/>
        <v>738061.77819949354</v>
      </c>
    </row>
    <row r="39" spans="1:17">
      <c r="A39" t="s">
        <v>51</v>
      </c>
      <c r="B39" s="4">
        <v>53.087949999999999</v>
      </c>
      <c r="C39" s="4">
        <v>67.952579999999998</v>
      </c>
      <c r="D39" s="2">
        <v>1.39177069888646</v>
      </c>
      <c r="E39" s="4">
        <f t="shared" si="10"/>
        <v>38.144178521990057</v>
      </c>
      <c r="F39" s="4">
        <f t="shared" si="11"/>
        <v>19.072089260995028</v>
      </c>
      <c r="G39" s="4">
        <f t="shared" si="12"/>
        <v>1142.7373278922837</v>
      </c>
      <c r="H39" s="4">
        <v>1192.0440000000001</v>
      </c>
      <c r="I39" s="5">
        <v>1227.5103140000001</v>
      </c>
      <c r="J39" s="13">
        <v>1590000</v>
      </c>
      <c r="K39" s="22">
        <f t="shared" si="13"/>
        <v>1362193.1752900295</v>
      </c>
      <c r="L39" s="22">
        <f t="shared" si="8"/>
        <v>1362193.1752900295</v>
      </c>
      <c r="M39" s="19" t="s">
        <v>91</v>
      </c>
      <c r="N39" s="4">
        <f t="shared" si="14"/>
        <v>714.74674387135121</v>
      </c>
      <c r="O39" s="13">
        <v>877359</v>
      </c>
      <c r="P39" s="22">
        <f t="shared" si="15"/>
        <v>816767.7842112584</v>
      </c>
      <c r="Q39" s="13">
        <f t="shared" si="9"/>
        <v>816767.7842112584</v>
      </c>
    </row>
    <row r="40" spans="1:17">
      <c r="A40" t="s">
        <v>52</v>
      </c>
      <c r="B40" s="4">
        <v>62.482399999999998</v>
      </c>
      <c r="C40" s="4">
        <v>71.229929999999996</v>
      </c>
      <c r="D40" s="2">
        <v>1.2391400975948115</v>
      </c>
      <c r="E40" s="4">
        <f t="shared" si="10"/>
        <v>50.423999773132373</v>
      </c>
      <c r="F40" s="4">
        <f t="shared" si="11"/>
        <v>25.211999886566186</v>
      </c>
      <c r="G40" s="4">
        <f t="shared" si="12"/>
        <v>1996.937468392656</v>
      </c>
      <c r="H40" s="4">
        <v>595.13840000000005</v>
      </c>
      <c r="I40" s="5">
        <v>1304.4012620000001</v>
      </c>
      <c r="J40" s="13">
        <v>1210000</v>
      </c>
      <c r="K40" s="22">
        <f t="shared" si="13"/>
        <v>1188454.169839256</v>
      </c>
      <c r="L40" s="22">
        <f t="shared" si="8"/>
        <v>1188454.169839256</v>
      </c>
      <c r="M40" s="19" t="s">
        <v>91</v>
      </c>
      <c r="N40" s="4">
        <f t="shared" si="14"/>
        <v>482.44740198664414</v>
      </c>
      <c r="O40" s="13">
        <v>629305</v>
      </c>
      <c r="P40" s="22">
        <f t="shared" si="15"/>
        <v>963417.29355582315</v>
      </c>
      <c r="Q40" s="13">
        <f t="shared" si="9"/>
        <v>629305</v>
      </c>
    </row>
    <row r="41" spans="1:17">
      <c r="A41" t="s">
        <v>53</v>
      </c>
      <c r="B41" s="4">
        <v>61.628950000000003</v>
      </c>
      <c r="C41" s="4">
        <v>70.257009999999994</v>
      </c>
      <c r="D41" s="2">
        <v>1.2413603862790981</v>
      </c>
      <c r="E41" s="4">
        <f t="shared" si="10"/>
        <v>49.646299882928453</v>
      </c>
      <c r="F41" s="4">
        <f t="shared" si="11"/>
        <v>24.823149941464226</v>
      </c>
      <c r="G41" s="4">
        <f t="shared" si="12"/>
        <v>1935.8141225328793</v>
      </c>
      <c r="H41" s="4">
        <v>484.15989999999999</v>
      </c>
      <c r="I41" s="5">
        <v>827.79291000000001</v>
      </c>
      <c r="J41" s="13">
        <v>790000</v>
      </c>
      <c r="K41" s="22">
        <f t="shared" si="13"/>
        <v>937243.57198410656</v>
      </c>
      <c r="L41" s="22">
        <f t="shared" si="8"/>
        <v>790000</v>
      </c>
      <c r="M41" s="19" t="s">
        <v>91</v>
      </c>
      <c r="N41" s="4">
        <f t="shared" si="14"/>
        <v>742.45018600123069</v>
      </c>
      <c r="O41" s="13">
        <v>614595</v>
      </c>
      <c r="P41" s="22">
        <f t="shared" si="15"/>
        <v>1437245.5553383455</v>
      </c>
      <c r="Q41" s="13">
        <f t="shared" si="9"/>
        <v>614595</v>
      </c>
    </row>
    <row r="42" spans="1:17">
      <c r="A42" t="s">
        <v>81</v>
      </c>
      <c r="B42" s="4">
        <v>62.089397559255026</v>
      </c>
      <c r="C42" s="4">
        <v>65.814761412810327</v>
      </c>
      <c r="D42" s="2">
        <v>1.2673100528512509</v>
      </c>
      <c r="E42" s="4">
        <f t="shared" si="10"/>
        <v>48.993060079941387</v>
      </c>
      <c r="F42" s="4">
        <f t="shared" si="11"/>
        <v>24.496530039970693</v>
      </c>
      <c r="G42" s="4">
        <f t="shared" si="12"/>
        <v>1885.206869298125</v>
      </c>
      <c r="H42" s="4">
        <v>723.26126225186908</v>
      </c>
      <c r="I42" s="5">
        <v>764.44365200000004</v>
      </c>
      <c r="J42" s="13">
        <v>665000</v>
      </c>
      <c r="K42" s="22">
        <f t="shared" si="13"/>
        <v>1363497.0998944563</v>
      </c>
      <c r="L42" s="22">
        <f t="shared" si="8"/>
        <v>665000</v>
      </c>
      <c r="M42" s="19" t="s">
        <v>91</v>
      </c>
      <c r="N42" s="4">
        <f t="shared" si="14"/>
        <v>595.44480330121178</v>
      </c>
      <c r="O42" s="13">
        <v>455184</v>
      </c>
      <c r="P42" s="22">
        <f t="shared" si="15"/>
        <v>1122536.6334713153</v>
      </c>
      <c r="Q42" s="13">
        <f t="shared" si="9"/>
        <v>455184</v>
      </c>
    </row>
    <row r="43" spans="1:17">
      <c r="A43" t="s">
        <v>54</v>
      </c>
      <c r="B43" s="4">
        <v>53.297409999999999</v>
      </c>
      <c r="C43" s="4">
        <v>67.687709999999996</v>
      </c>
      <c r="D43" s="2">
        <v>1.408746139914572</v>
      </c>
      <c r="E43" s="4">
        <f t="shared" si="10"/>
        <v>37.833225227670908</v>
      </c>
      <c r="F43" s="4">
        <f t="shared" si="11"/>
        <v>18.916612613835454</v>
      </c>
      <c r="G43" s="4">
        <f t="shared" si="12"/>
        <v>1124.1819632812299</v>
      </c>
      <c r="H43" s="4">
        <v>1367.6389999999999</v>
      </c>
      <c r="I43" s="16">
        <v>955.78454299999999</v>
      </c>
      <c r="J43" s="13">
        <v>1470000</v>
      </c>
      <c r="K43" s="22">
        <f t="shared" si="13"/>
        <v>1537475.0960799777</v>
      </c>
      <c r="L43" s="22">
        <f t="shared" si="8"/>
        <v>1470000</v>
      </c>
      <c r="M43" s="19" t="s">
        <v>91</v>
      </c>
      <c r="N43" s="4">
        <f t="shared" si="14"/>
        <v>612.25827963614597</v>
      </c>
      <c r="O43" s="13">
        <v>585187</v>
      </c>
      <c r="P43" s="22">
        <f t="shared" si="15"/>
        <v>688289.71483655076</v>
      </c>
      <c r="Q43" s="13">
        <f t="shared" si="9"/>
        <v>585187</v>
      </c>
    </row>
    <row r="44" spans="1:17">
      <c r="A44" t="s">
        <v>55</v>
      </c>
      <c r="B44" s="4">
        <v>52.234180000000002</v>
      </c>
      <c r="C44" s="4">
        <v>63.725700000000003</v>
      </c>
      <c r="D44" s="2">
        <v>1.4286295458510965</v>
      </c>
      <c r="E44" s="4">
        <f t="shared" si="10"/>
        <v>36.562438563372872</v>
      </c>
      <c r="F44" s="4">
        <f t="shared" si="11"/>
        <v>18.281219281686436</v>
      </c>
      <c r="G44" s="4">
        <f t="shared" si="12"/>
        <v>1049.9296218281347</v>
      </c>
      <c r="H44" s="4">
        <v>899.27589999999998</v>
      </c>
      <c r="I44" s="5">
        <v>597.56597799999997</v>
      </c>
      <c r="J44" s="13">
        <v>920000</v>
      </c>
      <c r="K44" s="22">
        <f t="shared" si="13"/>
        <v>944176.40560615552</v>
      </c>
      <c r="L44" s="22">
        <f t="shared" si="8"/>
        <v>920000</v>
      </c>
      <c r="M44" s="19" t="s">
        <v>91</v>
      </c>
      <c r="N44" s="4">
        <f t="shared" si="14"/>
        <v>1022.9581711561229</v>
      </c>
      <c r="O44" s="13">
        <v>611285</v>
      </c>
      <c r="P44" s="22">
        <f t="shared" si="15"/>
        <v>1074034.0857879485</v>
      </c>
      <c r="Q44" s="13">
        <f t="shared" si="9"/>
        <v>611285</v>
      </c>
    </row>
    <row r="45" spans="1:17">
      <c r="A45" t="s">
        <v>67</v>
      </c>
      <c r="B45" s="4">
        <v>59.60624</v>
      </c>
      <c r="C45" s="4">
        <v>71.52749</v>
      </c>
      <c r="D45" s="2">
        <v>1.3773596768934178</v>
      </c>
      <c r="E45" s="4">
        <f t="shared" si="10"/>
        <v>43.275726014020975</v>
      </c>
      <c r="F45" s="4">
        <f t="shared" si="11"/>
        <v>21.637863007010488</v>
      </c>
      <c r="G45" s="4">
        <f t="shared" si="12"/>
        <v>1470.8846185186283</v>
      </c>
      <c r="H45" s="4">
        <v>935.55520000000001</v>
      </c>
      <c r="I45" s="5">
        <v>1055.5735119999999</v>
      </c>
      <c r="J45" s="13">
        <v>1260000</v>
      </c>
      <c r="K45" s="22">
        <f t="shared" si="13"/>
        <v>1376093.753455119</v>
      </c>
      <c r="L45" s="22">
        <f t="shared" si="8"/>
        <v>1260000</v>
      </c>
      <c r="M45" s="19" t="s">
        <v>91</v>
      </c>
      <c r="N45" s="4">
        <f t="shared" si="14"/>
        <v>601.99786445569703</v>
      </c>
      <c r="O45" s="13">
        <v>635453</v>
      </c>
      <c r="P45" s="22">
        <f t="shared" si="15"/>
        <v>885469.39920894685</v>
      </c>
      <c r="Q45" s="13">
        <f t="shared" si="9"/>
        <v>635453</v>
      </c>
    </row>
    <row r="46" spans="1:17">
      <c r="A46" t="s">
        <v>68</v>
      </c>
      <c r="B46" s="4">
        <v>53.169829999999997</v>
      </c>
      <c r="C46" s="4">
        <v>70.715869999999995</v>
      </c>
      <c r="D46" s="2">
        <v>1.4004144662812563</v>
      </c>
      <c r="E46" s="4">
        <f t="shared" si="10"/>
        <v>37.967209908356857</v>
      </c>
      <c r="F46" s="4">
        <f t="shared" si="11"/>
        <v>18.983604954178428</v>
      </c>
      <c r="G46" s="4">
        <f t="shared" si="12"/>
        <v>1132.1585432889369</v>
      </c>
      <c r="H46" s="4">
        <v>1412.3209999999999</v>
      </c>
      <c r="I46" s="16">
        <v>2026.112024</v>
      </c>
      <c r="J46" s="13">
        <v>2780000</v>
      </c>
      <c r="K46" s="22">
        <f t="shared" si="13"/>
        <v>1598971.2860163746</v>
      </c>
      <c r="L46" s="22">
        <f t="shared" si="8"/>
        <v>1598971.2860163746</v>
      </c>
      <c r="M46" s="19" t="s">
        <v>91</v>
      </c>
      <c r="N46" s="4">
        <f t="shared" si="14"/>
        <v>533.91026122255516</v>
      </c>
      <c r="O46" s="13">
        <v>1081762</v>
      </c>
      <c r="P46" s="22">
        <f t="shared" si="15"/>
        <v>604471.06359274383</v>
      </c>
      <c r="Q46" s="13">
        <f t="shared" si="9"/>
        <v>604471.06359274383</v>
      </c>
    </row>
    <row r="47" spans="1:17">
      <c r="A47" t="s">
        <v>69</v>
      </c>
      <c r="B47" s="4">
        <v>53.325209999999998</v>
      </c>
      <c r="C47" s="4">
        <v>72.522279999999995</v>
      </c>
      <c r="D47" s="2">
        <v>1.4605972713753022</v>
      </c>
      <c r="E47" s="4">
        <f t="shared" si="10"/>
        <v>36.509180898160139</v>
      </c>
      <c r="F47" s="4">
        <f t="shared" si="11"/>
        <v>18.254590449080069</v>
      </c>
      <c r="G47" s="4">
        <f t="shared" si="12"/>
        <v>1046.8731476069825</v>
      </c>
      <c r="H47" s="4">
        <v>1233.7170000000001</v>
      </c>
      <c r="I47" s="5">
        <v>1107.747057</v>
      </c>
      <c r="J47" s="13">
        <v>4090000</v>
      </c>
      <c r="K47" s="22">
        <f t="shared" si="13"/>
        <v>1291545.1990462437</v>
      </c>
      <c r="L47" s="22">
        <f t="shared" si="8"/>
        <v>1291545.1990462437</v>
      </c>
      <c r="M47" s="19" t="s">
        <v>91</v>
      </c>
      <c r="N47" s="4">
        <f t="shared" si="14"/>
        <v>1849.2479732221034</v>
      </c>
      <c r="O47" s="13">
        <f>1048438+1000061</f>
        <v>2048499</v>
      </c>
      <c r="P47" s="22">
        <f t="shared" si="15"/>
        <v>1935928.0464328562</v>
      </c>
      <c r="Q47" s="13">
        <f t="shared" si="9"/>
        <v>1935928.0464328562</v>
      </c>
    </row>
    <row r="48" spans="1:17" ht="16">
      <c r="A48" t="s">
        <v>71</v>
      </c>
      <c r="B48" s="4">
        <v>50.663890000000002</v>
      </c>
      <c r="C48" s="4">
        <v>67.889619999999994</v>
      </c>
      <c r="D48" s="2">
        <v>1.4605972713753022</v>
      </c>
      <c r="E48" s="4">
        <f t="shared" si="10"/>
        <v>34.687104373606523</v>
      </c>
      <c r="F48" s="4">
        <f t="shared" si="11"/>
        <v>17.343552186803262</v>
      </c>
      <c r="G48" s="4">
        <f t="shared" si="12"/>
        <v>944.98730800553381</v>
      </c>
      <c r="H48" s="4">
        <v>1658.259</v>
      </c>
      <c r="I48" s="5">
        <v>673.68371100000002</v>
      </c>
      <c r="J48" s="13">
        <v>1675000</v>
      </c>
      <c r="K48" s="22">
        <f t="shared" si="13"/>
        <v>1567033.7083859486</v>
      </c>
      <c r="L48" s="22">
        <f t="shared" si="8"/>
        <v>1567033.7083859486</v>
      </c>
      <c r="M48" s="19" t="s">
        <v>91</v>
      </c>
      <c r="N48" s="4">
        <f t="shared" si="14"/>
        <v>1548.2013042170763</v>
      </c>
      <c r="O48" s="13">
        <v>1042998</v>
      </c>
      <c r="P48" s="22">
        <f t="shared" si="15"/>
        <v>1463030.5827227514</v>
      </c>
      <c r="Q48" s="13">
        <f t="shared" si="9"/>
        <v>1042998</v>
      </c>
    </row>
    <row r="49" spans="1:17">
      <c r="A49" t="s">
        <v>56</v>
      </c>
      <c r="B49" s="4">
        <v>58.18665</v>
      </c>
      <c r="C49" s="4">
        <v>73.897040000000004</v>
      </c>
      <c r="D49" s="2">
        <v>1.4023948619686526</v>
      </c>
      <c r="E49" s="4">
        <f t="shared" si="10"/>
        <v>41.4909178420112</v>
      </c>
      <c r="F49" s="4">
        <f t="shared" si="11"/>
        <v>20.7454589210056</v>
      </c>
      <c r="G49" s="4">
        <f t="shared" si="12"/>
        <v>1352.0600035483496</v>
      </c>
      <c r="H49" s="4">
        <v>856.61540000000002</v>
      </c>
      <c r="I49" s="5">
        <v>2469.8811369999999</v>
      </c>
      <c r="J49" s="13">
        <v>2740000</v>
      </c>
      <c r="K49" s="22">
        <f t="shared" si="13"/>
        <v>1158195.420763571</v>
      </c>
      <c r="L49" s="22">
        <f t="shared" si="8"/>
        <v>1158195.420763571</v>
      </c>
      <c r="M49" s="19" t="s">
        <v>91</v>
      </c>
      <c r="N49" s="4">
        <f t="shared" si="14"/>
        <v>599.91348482451292</v>
      </c>
      <c r="O49" s="13">
        <v>1481715</v>
      </c>
      <c r="P49" s="22">
        <f t="shared" si="15"/>
        <v>811119.02842053375</v>
      </c>
      <c r="Q49" s="13">
        <f t="shared" si="9"/>
        <v>811119.02842053375</v>
      </c>
    </row>
    <row r="50" spans="1:17">
      <c r="A50" t="s">
        <v>75</v>
      </c>
      <c r="B50" s="4">
        <v>59.829090000000001</v>
      </c>
      <c r="C50" s="4">
        <v>81.367570000000001</v>
      </c>
      <c r="D50" s="2">
        <v>1.2685017433180505</v>
      </c>
      <c r="E50" s="4">
        <f t="shared" si="10"/>
        <v>47.165161825874684</v>
      </c>
      <c r="F50" s="4">
        <f t="shared" si="11"/>
        <v>23.582580912937342</v>
      </c>
      <c r="G50" s="4">
        <f t="shared" si="12"/>
        <v>1747.1594400750878</v>
      </c>
      <c r="H50" s="4">
        <v>1147.902</v>
      </c>
      <c r="I50" s="16">
        <v>2890.6684540000001</v>
      </c>
      <c r="J50" s="13">
        <v>4965000</v>
      </c>
      <c r="K50" s="22">
        <f t="shared" si="13"/>
        <v>2005567.8155810735</v>
      </c>
      <c r="L50" s="22">
        <f t="shared" si="8"/>
        <v>2005567.8155810735</v>
      </c>
      <c r="M50" s="19" t="s">
        <v>91</v>
      </c>
      <c r="N50" s="4">
        <f t="shared" si="14"/>
        <v>514.0451157391708</v>
      </c>
      <c r="O50" s="13">
        <f>845720+640214</f>
        <v>1485934</v>
      </c>
      <c r="P50" s="22">
        <f t="shared" si="15"/>
        <v>898118.77658818336</v>
      </c>
      <c r="Q50" s="13">
        <f t="shared" si="9"/>
        <v>898118.77658818336</v>
      </c>
    </row>
    <row r="51" spans="1:17">
      <c r="A51" t="s">
        <v>57</v>
      </c>
      <c r="B51" s="4">
        <v>56.502479999999998</v>
      </c>
      <c r="C51" s="4">
        <v>66.672929999999994</v>
      </c>
      <c r="D51" s="2">
        <v>1.3553298397239786</v>
      </c>
      <c r="E51" s="4">
        <f t="shared" si="10"/>
        <v>41.689099098937483</v>
      </c>
      <c r="F51" s="4">
        <f t="shared" si="11"/>
        <v>20.844549549468741</v>
      </c>
      <c r="G51" s="4">
        <f t="shared" si="12"/>
        <v>1365.0070726027716</v>
      </c>
      <c r="H51" s="4">
        <v>699.06600000000003</v>
      </c>
      <c r="I51" s="5">
        <v>2146.9741009999998</v>
      </c>
      <c r="J51" s="13">
        <v>2055000</v>
      </c>
      <c r="K51" s="22">
        <f t="shared" si="13"/>
        <v>954230.03421612922</v>
      </c>
      <c r="L51" s="22">
        <f t="shared" si="8"/>
        <v>954230.03421612922</v>
      </c>
      <c r="M51" s="19" t="s">
        <v>91</v>
      </c>
      <c r="N51" s="4">
        <f t="shared" si="14"/>
        <v>568.5308450770176</v>
      </c>
      <c r="O51" s="13">
        <v>1220621</v>
      </c>
      <c r="P51" s="22">
        <f t="shared" si="15"/>
        <v>776048.6245229597</v>
      </c>
      <c r="Q51" s="13">
        <f t="shared" si="9"/>
        <v>776048.6245229597</v>
      </c>
    </row>
    <row r="52" spans="1:17">
      <c r="A52" t="s">
        <v>70</v>
      </c>
      <c r="B52" s="4">
        <v>47.580840000000002</v>
      </c>
      <c r="C52" s="4">
        <v>59.951860000000003</v>
      </c>
      <c r="D52" s="3">
        <v>1.29</v>
      </c>
      <c r="E52" s="4">
        <f t="shared" si="10"/>
        <v>36.884372093023259</v>
      </c>
      <c r="F52" s="4">
        <f t="shared" si="11"/>
        <v>18.44218604651163</v>
      </c>
      <c r="G52" s="4">
        <f t="shared" si="12"/>
        <v>1068.5003543300816</v>
      </c>
      <c r="H52" s="4">
        <v>576.27189999999996</v>
      </c>
      <c r="I52" s="5">
        <v>2077.87444</v>
      </c>
      <c r="J52" s="13">
        <v>2000000</v>
      </c>
      <c r="K52" s="22">
        <f t="shared" si="13"/>
        <v>615746.72934046923</v>
      </c>
      <c r="L52" s="22">
        <f t="shared" si="8"/>
        <v>615746.72934046923</v>
      </c>
      <c r="M52" s="19" t="s">
        <v>91</v>
      </c>
      <c r="N52" s="4">
        <f t="shared" si="14"/>
        <v>501.91290672982143</v>
      </c>
      <c r="O52" s="13">
        <v>1042912</v>
      </c>
      <c r="P52" s="22">
        <f t="shared" si="15"/>
        <v>536294.1186836554</v>
      </c>
      <c r="Q52" s="13">
        <f t="shared" si="9"/>
        <v>536294.1186836554</v>
      </c>
    </row>
    <row r="53" spans="1:17">
      <c r="A53" t="s">
        <v>58</v>
      </c>
      <c r="B53" s="4">
        <v>49.556579999999997</v>
      </c>
      <c r="C53" s="4">
        <v>67.396950000000004</v>
      </c>
      <c r="D53" s="2">
        <v>1.3045455771997856</v>
      </c>
      <c r="E53" s="4">
        <f t="shared" si="10"/>
        <v>37.987618728027485</v>
      </c>
      <c r="F53" s="4">
        <f t="shared" si="11"/>
        <v>18.993809364013742</v>
      </c>
      <c r="G53" s="4">
        <f t="shared" si="12"/>
        <v>1133.3760269958821</v>
      </c>
      <c r="H53" s="4">
        <v>1265.0340000000001</v>
      </c>
      <c r="I53" s="16">
        <v>2996.0093400000001</v>
      </c>
      <c r="J53" s="13">
        <v>4030000</v>
      </c>
      <c r="K53" s="22">
        <f t="shared" si="13"/>
        <v>1433759.2089347087</v>
      </c>
      <c r="L53" s="22">
        <f t="shared" si="8"/>
        <v>1433759.2089347087</v>
      </c>
      <c r="M53" s="19" t="s">
        <v>91</v>
      </c>
      <c r="N53" s="4">
        <f t="shared" si="14"/>
        <v>760.55704152110548</v>
      </c>
      <c r="O53" s="13">
        <v>2278636</v>
      </c>
      <c r="P53" s="22">
        <f t="shared" si="15"/>
        <v>861997.11802293267</v>
      </c>
      <c r="Q53" s="13">
        <f t="shared" si="9"/>
        <v>861997.11802293267</v>
      </c>
    </row>
    <row r="56" spans="1:17">
      <c r="A56" t="s">
        <v>73</v>
      </c>
      <c r="B56" s="18"/>
      <c r="C56" s="18"/>
      <c r="D56" s="18"/>
      <c r="E56" s="18"/>
      <c r="F56" s="18"/>
      <c r="G56" s="18"/>
      <c r="H56" s="18"/>
      <c r="I56" s="18"/>
      <c r="M56" s="18"/>
      <c r="N56" s="18"/>
      <c r="O56" s="18"/>
    </row>
    <row r="57" spans="1:17" ht="16">
      <c r="A57" s="18" t="s">
        <v>108</v>
      </c>
      <c r="B57" s="18"/>
      <c r="C57" s="18"/>
      <c r="D57" s="18"/>
      <c r="E57" s="18"/>
      <c r="F57" s="18"/>
      <c r="G57" s="18"/>
      <c r="H57" s="18"/>
      <c r="I57" s="18"/>
      <c r="M57" s="18"/>
      <c r="N57" s="18"/>
      <c r="O57" s="18"/>
    </row>
    <row r="58" spans="1:17" ht="16">
      <c r="A58" s="18" t="s">
        <v>109</v>
      </c>
      <c r="B58" s="18"/>
      <c r="C58" s="18"/>
      <c r="D58" s="18"/>
      <c r="E58" s="18"/>
      <c r="F58" s="18"/>
      <c r="G58" s="18"/>
      <c r="H58" s="18"/>
      <c r="I58" s="18"/>
      <c r="M58" s="18"/>
      <c r="N58" s="18"/>
      <c r="O58" s="18"/>
    </row>
    <row r="60" spans="1:17">
      <c r="A60" s="18" t="s">
        <v>94</v>
      </c>
    </row>
    <row r="61" spans="1:17">
      <c r="A61" s="18" t="s">
        <v>5</v>
      </c>
    </row>
    <row r="62" spans="1:17">
      <c r="A62" s="18" t="s">
        <v>110</v>
      </c>
    </row>
    <row r="63" spans="1:17">
      <c r="A63" s="18" t="s">
        <v>111</v>
      </c>
    </row>
    <row r="64" spans="1:17">
      <c r="A64" s="18" t="s">
        <v>112</v>
      </c>
    </row>
  </sheetData>
  <sortState ref="A3:XFD53">
    <sortCondition ref="A3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"/>
  <sheetViews>
    <sheetView topLeftCell="A47" workbookViewId="0">
      <selection activeCell="A74" sqref="A74"/>
    </sheetView>
  </sheetViews>
  <sheetFormatPr baseColWidth="10" defaultRowHeight="14" x14ac:dyDescent="0"/>
  <cols>
    <col min="1" max="1" width="10.83203125" style="18"/>
  </cols>
  <sheetData>
    <row r="1" spans="1:21">
      <c r="B1" t="s">
        <v>462</v>
      </c>
      <c r="C1" t="s">
        <v>463</v>
      </c>
      <c r="E1" t="s">
        <v>464</v>
      </c>
      <c r="F1" t="s">
        <v>465</v>
      </c>
      <c r="N1" t="s">
        <v>466</v>
      </c>
    </row>
    <row r="2" spans="1:21">
      <c r="F2" t="s">
        <v>467</v>
      </c>
      <c r="G2" t="s">
        <v>468</v>
      </c>
      <c r="H2" t="s">
        <v>469</v>
      </c>
      <c r="I2" t="s">
        <v>470</v>
      </c>
      <c r="J2" t="s">
        <v>471</v>
      </c>
      <c r="K2" t="s">
        <v>472</v>
      </c>
      <c r="L2" t="s">
        <v>473</v>
      </c>
      <c r="M2" t="s">
        <v>474</v>
      </c>
      <c r="N2" t="s">
        <v>467</v>
      </c>
      <c r="O2" t="s">
        <v>468</v>
      </c>
      <c r="P2" t="s">
        <v>469</v>
      </c>
      <c r="Q2" t="s">
        <v>470</v>
      </c>
      <c r="R2" t="s">
        <v>471</v>
      </c>
      <c r="S2" t="s">
        <v>472</v>
      </c>
      <c r="T2" t="s">
        <v>473</v>
      </c>
      <c r="U2" t="s">
        <v>474</v>
      </c>
    </row>
    <row r="3" spans="1:21">
      <c r="A3" s="18" t="s">
        <v>550</v>
      </c>
      <c r="B3" t="s">
        <v>475</v>
      </c>
      <c r="C3" t="s">
        <v>476</v>
      </c>
    </row>
    <row r="4" spans="1:21">
      <c r="A4" s="18" t="str">
        <f>LEFT(B4,5)</f>
        <v>Akron</v>
      </c>
      <c r="B4" t="s">
        <v>543</v>
      </c>
      <c r="C4" t="s">
        <v>507</v>
      </c>
      <c r="E4" s="13">
        <v>570215</v>
      </c>
      <c r="F4">
        <v>61</v>
      </c>
      <c r="G4">
        <v>26</v>
      </c>
      <c r="H4" s="18">
        <v>167</v>
      </c>
      <c r="I4" s="18">
        <v>257</v>
      </c>
      <c r="J4" s="18">
        <v>288</v>
      </c>
      <c r="K4" t="s">
        <v>480</v>
      </c>
      <c r="L4" s="13">
        <v>2586</v>
      </c>
      <c r="M4" s="13">
        <v>3385</v>
      </c>
      <c r="N4" s="13">
        <v>4170</v>
      </c>
      <c r="O4" s="13">
        <v>1354</v>
      </c>
      <c r="P4" s="13">
        <v>2310</v>
      </c>
      <c r="Q4" s="13">
        <v>2397</v>
      </c>
      <c r="R4" s="13">
        <v>1355</v>
      </c>
      <c r="S4" t="s">
        <v>480</v>
      </c>
      <c r="T4" s="13">
        <v>3127</v>
      </c>
      <c r="U4" s="13">
        <v>14713</v>
      </c>
    </row>
    <row r="5" spans="1:21">
      <c r="A5" s="18" t="str">
        <f t="shared" ref="A5:A67" si="0">LEFT(B5,5)</f>
        <v>Alban</v>
      </c>
      <c r="B5" t="s">
        <v>545</v>
      </c>
      <c r="C5" t="s">
        <v>478</v>
      </c>
      <c r="E5" s="13">
        <v>558947</v>
      </c>
      <c r="F5">
        <v>95</v>
      </c>
      <c r="G5">
        <v>24</v>
      </c>
      <c r="H5" s="18">
        <v>204</v>
      </c>
      <c r="I5" s="18">
        <v>247</v>
      </c>
      <c r="J5" s="18">
        <v>349</v>
      </c>
      <c r="K5" t="s">
        <v>480</v>
      </c>
      <c r="L5" s="13">
        <v>2159</v>
      </c>
      <c r="M5" s="13">
        <v>3078</v>
      </c>
      <c r="N5" s="13">
        <v>6239</v>
      </c>
      <c r="O5" s="18">
        <v>806</v>
      </c>
      <c r="P5" s="13">
        <v>3441</v>
      </c>
      <c r="Q5" s="13">
        <v>2041</v>
      </c>
      <c r="R5" s="13">
        <v>1292</v>
      </c>
      <c r="S5" t="s">
        <v>480</v>
      </c>
      <c r="T5" s="13">
        <v>2007</v>
      </c>
      <c r="U5" s="13">
        <v>15826</v>
      </c>
    </row>
    <row r="6" spans="1:21">
      <c r="A6" s="18" t="str">
        <f t="shared" si="0"/>
        <v>Albuq</v>
      </c>
      <c r="B6" t="s">
        <v>539</v>
      </c>
      <c r="C6" t="s">
        <v>533</v>
      </c>
      <c r="E6" s="13">
        <v>598191</v>
      </c>
      <c r="F6">
        <v>59</v>
      </c>
      <c r="G6">
        <v>5</v>
      </c>
      <c r="H6" s="18">
        <v>250</v>
      </c>
      <c r="I6" s="18">
        <v>201</v>
      </c>
      <c r="J6" s="18" t="s">
        <v>480</v>
      </c>
      <c r="K6">
        <v>253</v>
      </c>
      <c r="L6" s="13">
        <v>1814</v>
      </c>
      <c r="M6" s="13">
        <v>2582</v>
      </c>
      <c r="N6" s="13">
        <v>4990</v>
      </c>
      <c r="O6" s="18">
        <v>58</v>
      </c>
      <c r="P6" s="13">
        <v>5450</v>
      </c>
      <c r="Q6" s="13">
        <v>2116</v>
      </c>
      <c r="R6" s="18" t="s">
        <v>480</v>
      </c>
      <c r="S6" s="13">
        <v>1227</v>
      </c>
      <c r="T6" s="13">
        <v>1592</v>
      </c>
      <c r="U6" s="13">
        <v>15433</v>
      </c>
    </row>
    <row r="7" spans="1:21">
      <c r="A7" s="18" t="str">
        <f t="shared" si="0"/>
        <v>Allen</v>
      </c>
      <c r="B7" t="s">
        <v>540</v>
      </c>
      <c r="C7" t="s">
        <v>485</v>
      </c>
      <c r="D7" t="s">
        <v>541</v>
      </c>
      <c r="E7" s="13">
        <v>576408</v>
      </c>
      <c r="F7">
        <v>61</v>
      </c>
      <c r="G7">
        <v>36</v>
      </c>
      <c r="H7" s="18">
        <v>185</v>
      </c>
      <c r="I7" s="18">
        <v>203</v>
      </c>
      <c r="J7" s="18">
        <v>406</v>
      </c>
      <c r="K7" t="s">
        <v>480</v>
      </c>
      <c r="L7" s="13">
        <v>2166</v>
      </c>
      <c r="M7" s="13">
        <v>3058</v>
      </c>
      <c r="N7" s="13">
        <v>3093</v>
      </c>
      <c r="O7" s="13">
        <v>1923</v>
      </c>
      <c r="P7" s="13">
        <v>3316</v>
      </c>
      <c r="Q7" s="13">
        <v>2064</v>
      </c>
      <c r="R7" s="13">
        <v>1679</v>
      </c>
      <c r="S7" t="s">
        <v>480</v>
      </c>
      <c r="T7" s="13">
        <v>1471</v>
      </c>
      <c r="U7" s="13">
        <v>13546</v>
      </c>
    </row>
    <row r="8" spans="1:21">
      <c r="A8" s="18" t="str">
        <f t="shared" si="0"/>
        <v>Atlan</v>
      </c>
      <c r="B8" t="s">
        <v>26</v>
      </c>
      <c r="C8" t="s">
        <v>495</v>
      </c>
      <c r="E8" s="13">
        <v>3499840</v>
      </c>
      <c r="F8">
        <v>303</v>
      </c>
      <c r="G8">
        <v>71</v>
      </c>
      <c r="H8">
        <v>587</v>
      </c>
      <c r="I8" s="13">
        <v>2056</v>
      </c>
      <c r="J8" s="13">
        <v>1356</v>
      </c>
      <c r="K8" t="s">
        <v>480</v>
      </c>
      <c r="L8" s="13">
        <v>16526</v>
      </c>
      <c r="M8" s="13">
        <v>20899</v>
      </c>
      <c r="N8" s="13">
        <v>40605</v>
      </c>
      <c r="O8" s="13">
        <v>6181</v>
      </c>
      <c r="P8" s="13">
        <v>15236</v>
      </c>
      <c r="Q8" s="13">
        <v>27361</v>
      </c>
      <c r="R8" s="13">
        <v>9213</v>
      </c>
      <c r="S8" t="s">
        <v>480</v>
      </c>
      <c r="T8" s="13">
        <v>36183</v>
      </c>
      <c r="U8" s="13">
        <v>134780</v>
      </c>
    </row>
    <row r="9" spans="1:21">
      <c r="A9" s="18" t="str">
        <f t="shared" si="0"/>
        <v>Austi</v>
      </c>
      <c r="B9" t="s">
        <v>27</v>
      </c>
      <c r="C9" t="s">
        <v>489</v>
      </c>
      <c r="E9" s="13">
        <v>901920</v>
      </c>
      <c r="F9">
        <v>41</v>
      </c>
      <c r="G9">
        <v>135</v>
      </c>
      <c r="H9" s="18">
        <v>311</v>
      </c>
      <c r="I9" s="18">
        <v>271</v>
      </c>
      <c r="J9" s="18">
        <v>669</v>
      </c>
      <c r="K9" t="s">
        <v>480</v>
      </c>
      <c r="L9" s="13">
        <v>3498</v>
      </c>
      <c r="M9" s="13">
        <v>4926</v>
      </c>
      <c r="N9" s="13">
        <v>5507</v>
      </c>
      <c r="O9" s="13">
        <v>6767</v>
      </c>
      <c r="P9" s="13">
        <v>7641</v>
      </c>
      <c r="Q9" s="13">
        <v>3036</v>
      </c>
      <c r="R9" s="13">
        <v>4320</v>
      </c>
      <c r="S9" t="s">
        <v>480</v>
      </c>
      <c r="T9" s="13">
        <v>2002</v>
      </c>
      <c r="U9" s="13">
        <v>29272</v>
      </c>
    </row>
    <row r="10" spans="1:21">
      <c r="A10" s="18" t="str">
        <f t="shared" si="0"/>
        <v>Balti</v>
      </c>
      <c r="B10" t="s">
        <v>28</v>
      </c>
      <c r="C10" t="s">
        <v>503</v>
      </c>
      <c r="E10" s="13">
        <v>2076354</v>
      </c>
      <c r="F10">
        <v>141</v>
      </c>
      <c r="G10">
        <v>150</v>
      </c>
      <c r="H10" s="18">
        <v>392</v>
      </c>
      <c r="I10" s="18">
        <v>664</v>
      </c>
      <c r="J10" s="18">
        <v>726</v>
      </c>
      <c r="K10" t="s">
        <v>480</v>
      </c>
      <c r="L10" s="13">
        <v>5157</v>
      </c>
      <c r="M10" s="13">
        <v>7231</v>
      </c>
      <c r="N10" s="13">
        <v>17747</v>
      </c>
      <c r="O10" s="13">
        <v>8931</v>
      </c>
      <c r="P10" s="13">
        <v>9884</v>
      </c>
      <c r="Q10" s="13">
        <v>8367</v>
      </c>
      <c r="R10" s="13">
        <v>3872</v>
      </c>
      <c r="S10" t="s">
        <v>480</v>
      </c>
      <c r="T10" s="13">
        <v>3784</v>
      </c>
      <c r="U10" s="13">
        <v>52585</v>
      </c>
    </row>
    <row r="11" spans="1:21">
      <c r="A11" s="18" t="str">
        <f t="shared" si="0"/>
        <v>Birmi</v>
      </c>
      <c r="B11" t="s">
        <v>534</v>
      </c>
      <c r="C11" t="s">
        <v>535</v>
      </c>
      <c r="E11" s="13">
        <v>663615</v>
      </c>
      <c r="F11">
        <v>124</v>
      </c>
      <c r="G11">
        <v>3</v>
      </c>
      <c r="H11">
        <v>135</v>
      </c>
      <c r="I11" s="18">
        <v>390</v>
      </c>
      <c r="J11" s="18">
        <v>468</v>
      </c>
      <c r="K11" t="s">
        <v>480</v>
      </c>
      <c r="L11" s="13">
        <v>3862</v>
      </c>
      <c r="M11" s="13">
        <v>4981</v>
      </c>
      <c r="N11" s="13">
        <v>9314</v>
      </c>
      <c r="O11" s="18">
        <v>189</v>
      </c>
      <c r="P11" s="13">
        <v>3819</v>
      </c>
      <c r="Q11" s="13">
        <v>4105</v>
      </c>
      <c r="R11" s="13">
        <v>2229</v>
      </c>
      <c r="S11" t="s">
        <v>480</v>
      </c>
      <c r="T11" s="13">
        <v>6116</v>
      </c>
      <c r="U11" s="13">
        <v>25773</v>
      </c>
    </row>
    <row r="12" spans="1:21">
      <c r="A12" s="18" t="str">
        <f t="shared" si="0"/>
        <v>Bosto</v>
      </c>
      <c r="B12" t="s">
        <v>29</v>
      </c>
      <c r="C12" t="s">
        <v>490</v>
      </c>
      <c r="D12" t="s">
        <v>491</v>
      </c>
      <c r="E12" s="13">
        <v>4032484</v>
      </c>
      <c r="F12">
        <v>278</v>
      </c>
      <c r="G12">
        <v>175</v>
      </c>
      <c r="H12" s="13">
        <v>1123</v>
      </c>
      <c r="I12" s="13">
        <v>2102</v>
      </c>
      <c r="J12" s="13">
        <v>1832</v>
      </c>
      <c r="K12" t="s">
        <v>480</v>
      </c>
      <c r="L12" s="13">
        <v>11551</v>
      </c>
      <c r="M12" s="13">
        <v>17062</v>
      </c>
      <c r="N12" s="13">
        <v>29555</v>
      </c>
      <c r="O12" s="13">
        <v>10541</v>
      </c>
      <c r="P12" s="13">
        <v>20102</v>
      </c>
      <c r="Q12" s="13">
        <v>14630</v>
      </c>
      <c r="R12" s="13">
        <v>5140</v>
      </c>
      <c r="S12" t="s">
        <v>480</v>
      </c>
      <c r="T12" s="13">
        <v>12956</v>
      </c>
      <c r="U12" s="13">
        <v>92923</v>
      </c>
    </row>
    <row r="13" spans="1:21">
      <c r="A13" s="18" t="str">
        <f t="shared" si="0"/>
        <v>Bridg</v>
      </c>
      <c r="B13" t="s">
        <v>520</v>
      </c>
      <c r="C13" t="s">
        <v>521</v>
      </c>
      <c r="D13" t="s">
        <v>478</v>
      </c>
      <c r="E13" s="13">
        <v>888890</v>
      </c>
      <c r="F13">
        <v>51</v>
      </c>
      <c r="G13">
        <v>71</v>
      </c>
      <c r="H13">
        <v>139</v>
      </c>
      <c r="I13" s="18">
        <v>433</v>
      </c>
      <c r="J13" s="18">
        <v>421</v>
      </c>
      <c r="K13">
        <v>7</v>
      </c>
      <c r="L13" s="13">
        <v>2836</v>
      </c>
      <c r="M13" s="13">
        <v>3957</v>
      </c>
      <c r="N13" s="13">
        <v>6165</v>
      </c>
      <c r="O13" s="13">
        <v>4127</v>
      </c>
      <c r="P13" s="13">
        <v>2270</v>
      </c>
      <c r="Q13" s="13">
        <v>3657</v>
      </c>
      <c r="R13" s="13">
        <v>1597</v>
      </c>
      <c r="S13">
        <v>14</v>
      </c>
      <c r="T13" s="13">
        <v>2169</v>
      </c>
      <c r="U13" s="13">
        <v>19999</v>
      </c>
    </row>
    <row r="14" spans="1:21">
      <c r="A14" s="18" t="str">
        <f t="shared" si="0"/>
        <v>Buffa</v>
      </c>
      <c r="B14" t="s">
        <v>30</v>
      </c>
      <c r="C14" t="s">
        <v>478</v>
      </c>
      <c r="E14" s="13">
        <v>976703</v>
      </c>
      <c r="F14">
        <v>74</v>
      </c>
      <c r="G14">
        <v>68</v>
      </c>
      <c r="H14">
        <v>322</v>
      </c>
      <c r="I14" s="18">
        <v>520</v>
      </c>
      <c r="J14" s="18">
        <v>452</v>
      </c>
      <c r="K14" t="s">
        <v>480</v>
      </c>
      <c r="L14" s="13">
        <v>2936</v>
      </c>
      <c r="M14" s="13">
        <v>4372</v>
      </c>
      <c r="N14" s="13">
        <v>4621</v>
      </c>
      <c r="O14" s="13">
        <v>2021</v>
      </c>
      <c r="P14" s="13">
        <v>5360</v>
      </c>
      <c r="Q14" s="13">
        <v>4252</v>
      </c>
      <c r="R14" s="13">
        <v>1518</v>
      </c>
      <c r="S14" t="s">
        <v>480</v>
      </c>
      <c r="T14" s="13">
        <v>2959</v>
      </c>
      <c r="U14" s="13">
        <v>20731</v>
      </c>
    </row>
    <row r="15" spans="1:21">
      <c r="A15" s="18" t="str">
        <f t="shared" si="0"/>
        <v>Charl</v>
      </c>
      <c r="B15" t="s">
        <v>31</v>
      </c>
      <c r="C15" t="s">
        <v>525</v>
      </c>
      <c r="D15" t="s">
        <v>526</v>
      </c>
      <c r="E15" s="13">
        <v>758927</v>
      </c>
      <c r="F15">
        <v>124</v>
      </c>
      <c r="G15">
        <v>26</v>
      </c>
      <c r="H15">
        <v>211</v>
      </c>
      <c r="I15">
        <v>295</v>
      </c>
      <c r="J15">
        <v>283</v>
      </c>
      <c r="K15">
        <v>0</v>
      </c>
      <c r="L15" s="13">
        <v>3482</v>
      </c>
      <c r="M15" s="13">
        <v>4421</v>
      </c>
      <c r="N15" s="13">
        <v>10629</v>
      </c>
      <c r="O15" s="13">
        <v>1180</v>
      </c>
      <c r="P15" s="13">
        <v>5216</v>
      </c>
      <c r="Q15" s="13">
        <v>4669</v>
      </c>
      <c r="R15" s="13">
        <v>2484</v>
      </c>
      <c r="S15">
        <v>0</v>
      </c>
      <c r="T15" s="13">
        <v>9309</v>
      </c>
      <c r="U15" s="13">
        <v>33487</v>
      </c>
    </row>
    <row r="16" spans="1:21">
      <c r="A16" s="18" t="str">
        <f t="shared" si="0"/>
        <v>Chica</v>
      </c>
      <c r="B16" t="s">
        <v>32</v>
      </c>
      <c r="C16" t="s">
        <v>483</v>
      </c>
      <c r="D16" t="s">
        <v>484</v>
      </c>
      <c r="E16" s="13">
        <v>8307904</v>
      </c>
      <c r="F16">
        <v>483</v>
      </c>
      <c r="G16">
        <v>51</v>
      </c>
      <c r="H16" s="13">
        <v>1921</v>
      </c>
      <c r="I16" s="13">
        <v>2634</v>
      </c>
      <c r="J16" s="13">
        <v>2781</v>
      </c>
      <c r="K16" t="s">
        <v>480</v>
      </c>
      <c r="L16" s="13">
        <v>18163</v>
      </c>
      <c r="M16" s="13">
        <v>26032</v>
      </c>
      <c r="N16" s="13">
        <v>54411</v>
      </c>
      <c r="O16" s="13">
        <v>2858</v>
      </c>
      <c r="P16" s="13">
        <v>44432</v>
      </c>
      <c r="Q16" s="13">
        <v>33337</v>
      </c>
      <c r="R16" s="13">
        <v>19573</v>
      </c>
      <c r="S16" t="s">
        <v>480</v>
      </c>
      <c r="T16" s="13">
        <v>23390</v>
      </c>
      <c r="U16" s="13">
        <v>178000</v>
      </c>
    </row>
    <row r="17" spans="1:21">
      <c r="A17" s="18" t="str">
        <f t="shared" si="0"/>
        <v>Cinci</v>
      </c>
      <c r="B17" t="s">
        <v>33</v>
      </c>
      <c r="C17" t="s">
        <v>507</v>
      </c>
      <c r="D17" t="s">
        <v>510</v>
      </c>
      <c r="E17" s="13">
        <v>1503262</v>
      </c>
      <c r="F17">
        <v>176</v>
      </c>
      <c r="G17">
        <v>39</v>
      </c>
      <c r="H17">
        <v>361</v>
      </c>
      <c r="I17" s="18">
        <v>566</v>
      </c>
      <c r="J17" s="18">
        <v>653</v>
      </c>
      <c r="K17" t="s">
        <v>480</v>
      </c>
      <c r="L17" s="13">
        <v>5153</v>
      </c>
      <c r="M17" s="13">
        <v>6949</v>
      </c>
      <c r="N17" s="13">
        <v>17099</v>
      </c>
      <c r="O17" s="13">
        <v>1501</v>
      </c>
      <c r="P17" s="13">
        <v>6671</v>
      </c>
      <c r="Q17" s="13">
        <v>6590</v>
      </c>
      <c r="R17" s="13">
        <v>4719</v>
      </c>
      <c r="S17" t="s">
        <v>480</v>
      </c>
      <c r="T17" s="13">
        <v>6962</v>
      </c>
      <c r="U17" s="13">
        <v>43543</v>
      </c>
    </row>
    <row r="18" spans="1:21">
      <c r="A18" s="18" t="str">
        <f t="shared" si="0"/>
        <v>Cleve</v>
      </c>
      <c r="B18" t="s">
        <v>34</v>
      </c>
      <c r="C18" t="s">
        <v>507</v>
      </c>
      <c r="E18" s="13">
        <v>1786647</v>
      </c>
      <c r="F18">
        <v>192</v>
      </c>
      <c r="G18">
        <v>52</v>
      </c>
      <c r="H18">
        <v>357</v>
      </c>
      <c r="I18">
        <v>643</v>
      </c>
      <c r="J18">
        <v>659</v>
      </c>
      <c r="K18" t="s">
        <v>480</v>
      </c>
      <c r="L18" s="13">
        <v>5357</v>
      </c>
      <c r="M18" s="13">
        <v>7259</v>
      </c>
      <c r="N18" s="13">
        <v>15090</v>
      </c>
      <c r="O18" s="13">
        <v>2444</v>
      </c>
      <c r="P18" s="13">
        <v>5497</v>
      </c>
      <c r="Q18" s="13">
        <v>6759</v>
      </c>
      <c r="R18" s="13">
        <v>3152</v>
      </c>
      <c r="S18" t="s">
        <v>480</v>
      </c>
      <c r="T18" s="13">
        <v>6280</v>
      </c>
      <c r="U18" s="13">
        <v>39222</v>
      </c>
    </row>
    <row r="19" spans="1:21">
      <c r="A19" s="18" t="str">
        <f t="shared" si="0"/>
        <v>Colum</v>
      </c>
      <c r="B19" t="s">
        <v>35</v>
      </c>
      <c r="C19" t="s">
        <v>507</v>
      </c>
      <c r="E19" s="13">
        <v>1133193</v>
      </c>
      <c r="F19">
        <v>127</v>
      </c>
      <c r="G19">
        <v>38</v>
      </c>
      <c r="H19">
        <v>198</v>
      </c>
      <c r="I19" s="18">
        <v>514</v>
      </c>
      <c r="J19" s="18">
        <v>418</v>
      </c>
      <c r="K19" t="s">
        <v>480</v>
      </c>
      <c r="L19" s="13">
        <v>4040</v>
      </c>
      <c r="M19" s="13">
        <v>5334</v>
      </c>
      <c r="N19" s="13">
        <v>12863</v>
      </c>
      <c r="O19" s="13">
        <v>2293</v>
      </c>
      <c r="P19" s="13">
        <v>4232</v>
      </c>
      <c r="Q19" s="13">
        <v>6524</v>
      </c>
      <c r="R19" s="13">
        <v>2562</v>
      </c>
      <c r="S19" t="s">
        <v>480</v>
      </c>
      <c r="T19" s="13">
        <v>3411</v>
      </c>
      <c r="U19" s="13">
        <v>31884</v>
      </c>
    </row>
    <row r="20" spans="1:21">
      <c r="A20" s="18" t="str">
        <f t="shared" si="0"/>
        <v>Conco</v>
      </c>
      <c r="B20" t="s">
        <v>548</v>
      </c>
      <c r="C20" t="s">
        <v>482</v>
      </c>
      <c r="E20" s="13">
        <v>552624</v>
      </c>
      <c r="F20">
        <v>37</v>
      </c>
      <c r="G20">
        <v>12</v>
      </c>
      <c r="H20">
        <v>102</v>
      </c>
      <c r="I20">
        <v>195</v>
      </c>
      <c r="J20">
        <v>175</v>
      </c>
      <c r="K20" t="s">
        <v>480</v>
      </c>
      <c r="L20" s="13">
        <v>1217</v>
      </c>
      <c r="M20" s="13">
        <v>1739</v>
      </c>
      <c r="N20" s="13">
        <v>6154</v>
      </c>
      <c r="O20" s="13">
        <v>1065</v>
      </c>
      <c r="P20" s="13">
        <v>2776</v>
      </c>
      <c r="Q20" s="13">
        <v>2556</v>
      </c>
      <c r="R20" s="18">
        <v>929</v>
      </c>
      <c r="S20" t="s">
        <v>480</v>
      </c>
      <c r="T20" s="13">
        <v>1169</v>
      </c>
      <c r="U20" s="13">
        <v>14649</v>
      </c>
    </row>
    <row r="21" spans="1:21">
      <c r="A21" s="18" t="str">
        <f t="shared" si="0"/>
        <v>Dalla</v>
      </c>
      <c r="B21" t="s">
        <v>488</v>
      </c>
      <c r="C21" t="s">
        <v>489</v>
      </c>
      <c r="E21" s="13">
        <v>4145659</v>
      </c>
      <c r="F21">
        <v>314</v>
      </c>
      <c r="G21">
        <v>299</v>
      </c>
      <c r="H21" s="13">
        <v>1063</v>
      </c>
      <c r="I21" s="13">
        <v>1660</v>
      </c>
      <c r="J21" s="13">
        <v>2887</v>
      </c>
      <c r="K21" t="s">
        <v>480</v>
      </c>
      <c r="L21" s="13">
        <v>14898</v>
      </c>
      <c r="M21" s="13">
        <v>21120</v>
      </c>
      <c r="N21" s="13">
        <v>35970</v>
      </c>
      <c r="O21" s="13">
        <v>25415</v>
      </c>
      <c r="P21" s="13">
        <v>22245</v>
      </c>
      <c r="Q21" s="13">
        <v>20914</v>
      </c>
      <c r="R21" s="13">
        <v>13346</v>
      </c>
      <c r="S21" t="s">
        <v>480</v>
      </c>
      <c r="T21" s="13">
        <v>5237</v>
      </c>
      <c r="U21" s="13">
        <v>123127</v>
      </c>
    </row>
    <row r="22" spans="1:21">
      <c r="A22" s="18" t="str">
        <f t="shared" si="0"/>
        <v>Dayto</v>
      </c>
      <c r="B22" t="s">
        <v>531</v>
      </c>
      <c r="C22" t="s">
        <v>507</v>
      </c>
      <c r="E22" s="13">
        <v>703444</v>
      </c>
      <c r="F22">
        <v>89</v>
      </c>
      <c r="G22">
        <v>24</v>
      </c>
      <c r="H22">
        <v>210</v>
      </c>
      <c r="I22">
        <v>260</v>
      </c>
      <c r="J22">
        <v>481</v>
      </c>
      <c r="K22" t="s">
        <v>480</v>
      </c>
      <c r="L22" s="13">
        <v>2762</v>
      </c>
      <c r="M22" s="13">
        <v>3825</v>
      </c>
      <c r="N22" s="13">
        <v>6062</v>
      </c>
      <c r="O22" s="18">
        <v>882</v>
      </c>
      <c r="P22" s="13">
        <v>3552</v>
      </c>
      <c r="Q22" s="13">
        <v>2753</v>
      </c>
      <c r="R22" s="13">
        <v>2737</v>
      </c>
      <c r="S22" t="s">
        <v>480</v>
      </c>
      <c r="T22" s="13">
        <v>3075</v>
      </c>
      <c r="U22" s="13">
        <v>19060</v>
      </c>
    </row>
    <row r="23" spans="1:21">
      <c r="A23" s="18" t="str">
        <f t="shared" si="0"/>
        <v>Denve</v>
      </c>
      <c r="B23" t="s">
        <v>505</v>
      </c>
      <c r="C23" t="s">
        <v>506</v>
      </c>
      <c r="E23" s="13">
        <v>1984887</v>
      </c>
      <c r="F23">
        <v>108</v>
      </c>
      <c r="G23">
        <v>143</v>
      </c>
      <c r="H23">
        <v>504</v>
      </c>
      <c r="I23">
        <v>597</v>
      </c>
      <c r="J23">
        <v>685</v>
      </c>
      <c r="K23" t="s">
        <v>480</v>
      </c>
      <c r="L23" s="13">
        <v>6358</v>
      </c>
      <c r="M23" s="13">
        <v>8394</v>
      </c>
      <c r="N23" s="13">
        <v>12864</v>
      </c>
      <c r="O23" s="13">
        <v>7548</v>
      </c>
      <c r="P23" s="13">
        <v>13821</v>
      </c>
      <c r="Q23" s="13">
        <v>7167</v>
      </c>
      <c r="R23" s="13">
        <v>4081</v>
      </c>
      <c r="S23" t="s">
        <v>480</v>
      </c>
      <c r="T23" s="13">
        <v>5053</v>
      </c>
      <c r="U23" s="13">
        <v>50534</v>
      </c>
    </row>
    <row r="24" spans="1:21">
      <c r="A24" s="18" t="str">
        <f t="shared" si="0"/>
        <v>Detro</v>
      </c>
      <c r="B24" t="s">
        <v>37</v>
      </c>
      <c r="C24" t="s">
        <v>494</v>
      </c>
      <c r="E24" s="13">
        <v>3903377</v>
      </c>
      <c r="F24">
        <v>220</v>
      </c>
      <c r="G24">
        <v>83</v>
      </c>
      <c r="H24" s="13">
        <v>1101</v>
      </c>
      <c r="I24" s="13">
        <v>1475</v>
      </c>
      <c r="J24" s="13">
        <v>1071</v>
      </c>
      <c r="K24" t="s">
        <v>480</v>
      </c>
      <c r="L24" s="13">
        <v>10836</v>
      </c>
      <c r="M24" s="13">
        <v>14786</v>
      </c>
      <c r="N24" s="13">
        <v>24208</v>
      </c>
      <c r="O24" s="13">
        <v>6236</v>
      </c>
      <c r="P24" s="13">
        <v>28608</v>
      </c>
      <c r="Q24" s="13">
        <v>18329</v>
      </c>
      <c r="R24" s="13">
        <v>5699</v>
      </c>
      <c r="S24" t="s">
        <v>480</v>
      </c>
      <c r="T24" s="13">
        <v>10097</v>
      </c>
      <c r="U24" s="13">
        <v>93177</v>
      </c>
    </row>
    <row r="25" spans="1:21">
      <c r="A25" s="18" t="str">
        <f t="shared" si="0"/>
        <v>El Pa</v>
      </c>
      <c r="B25" t="s">
        <v>532</v>
      </c>
      <c r="C25" t="s">
        <v>489</v>
      </c>
      <c r="D25" t="s">
        <v>533</v>
      </c>
      <c r="E25" s="13">
        <v>674801</v>
      </c>
      <c r="F25">
        <v>44</v>
      </c>
      <c r="G25">
        <v>60</v>
      </c>
      <c r="H25">
        <v>242</v>
      </c>
      <c r="I25">
        <v>201</v>
      </c>
      <c r="J25">
        <v>241</v>
      </c>
      <c r="K25">
        <v>1</v>
      </c>
      <c r="L25" s="13">
        <v>1740</v>
      </c>
      <c r="M25" s="13">
        <v>2529</v>
      </c>
      <c r="N25" s="13">
        <v>3892</v>
      </c>
      <c r="O25" s="13">
        <v>1676</v>
      </c>
      <c r="P25" s="13">
        <v>4382</v>
      </c>
      <c r="Q25" s="13">
        <v>1804</v>
      </c>
      <c r="R25" s="13">
        <v>1304</v>
      </c>
      <c r="S25">
        <v>4</v>
      </c>
      <c r="T25" s="18">
        <v>927</v>
      </c>
      <c r="U25" s="13">
        <v>13991</v>
      </c>
    </row>
    <row r="26" spans="1:21">
      <c r="A26" s="18" t="str">
        <f t="shared" si="0"/>
        <v>Fresn</v>
      </c>
      <c r="B26" t="s">
        <v>547</v>
      </c>
      <c r="C26" t="s">
        <v>482</v>
      </c>
      <c r="E26" s="13">
        <v>554923</v>
      </c>
      <c r="F26" t="s">
        <v>480</v>
      </c>
      <c r="G26">
        <v>48</v>
      </c>
      <c r="H26">
        <v>122</v>
      </c>
      <c r="I26">
        <v>315</v>
      </c>
      <c r="J26">
        <v>220</v>
      </c>
      <c r="K26" t="s">
        <v>480</v>
      </c>
      <c r="L26" s="13">
        <v>1714</v>
      </c>
      <c r="M26" s="13">
        <v>2419</v>
      </c>
      <c r="N26" s="18" t="s">
        <v>480</v>
      </c>
      <c r="O26" s="13">
        <v>3596</v>
      </c>
      <c r="P26" s="13">
        <v>2687</v>
      </c>
      <c r="Q26" s="13">
        <v>3594</v>
      </c>
      <c r="R26" s="18">
        <v>984</v>
      </c>
      <c r="S26" t="s">
        <v>480</v>
      </c>
      <c r="T26" s="13">
        <v>1610</v>
      </c>
      <c r="U26" s="13">
        <v>12471</v>
      </c>
    </row>
    <row r="27" spans="1:21">
      <c r="A27" s="18" t="str">
        <f t="shared" si="0"/>
        <v>Grand</v>
      </c>
      <c r="B27" t="s">
        <v>79</v>
      </c>
      <c r="C27" t="s">
        <v>494</v>
      </c>
      <c r="E27" s="13">
        <v>539080</v>
      </c>
      <c r="F27">
        <v>51</v>
      </c>
      <c r="G27">
        <v>50</v>
      </c>
      <c r="H27">
        <v>185</v>
      </c>
      <c r="I27">
        <v>403</v>
      </c>
      <c r="J27">
        <v>266</v>
      </c>
      <c r="K27" t="s">
        <v>480</v>
      </c>
      <c r="L27" s="13">
        <v>1786</v>
      </c>
      <c r="M27" s="13">
        <v>2741</v>
      </c>
      <c r="N27" s="13">
        <v>2579</v>
      </c>
      <c r="O27" s="13">
        <v>2664</v>
      </c>
      <c r="P27" s="13">
        <v>3950</v>
      </c>
      <c r="Q27" s="13">
        <v>3724</v>
      </c>
      <c r="R27" s="13">
        <v>1199</v>
      </c>
      <c r="S27" t="s">
        <v>480</v>
      </c>
      <c r="T27" s="13">
        <v>1266</v>
      </c>
      <c r="U27" s="13">
        <v>15382</v>
      </c>
    </row>
    <row r="28" spans="1:21">
      <c r="A28" s="18" t="str">
        <f t="shared" si="0"/>
        <v>Hartf</v>
      </c>
      <c r="B28" t="s">
        <v>38</v>
      </c>
      <c r="C28" t="s">
        <v>521</v>
      </c>
      <c r="E28" s="13">
        <v>851535</v>
      </c>
      <c r="F28">
        <v>80</v>
      </c>
      <c r="G28">
        <v>67</v>
      </c>
      <c r="H28">
        <v>211</v>
      </c>
      <c r="I28">
        <v>441</v>
      </c>
      <c r="J28">
        <v>533</v>
      </c>
      <c r="K28">
        <v>7</v>
      </c>
      <c r="L28" s="13">
        <v>2777</v>
      </c>
      <c r="M28" s="13">
        <v>4116</v>
      </c>
      <c r="N28" s="13">
        <v>7856</v>
      </c>
      <c r="O28" s="13">
        <v>2933</v>
      </c>
      <c r="P28" s="13">
        <v>3304</v>
      </c>
      <c r="Q28" s="13">
        <v>4100</v>
      </c>
      <c r="R28" s="13">
        <v>2203</v>
      </c>
      <c r="S28">
        <v>13</v>
      </c>
      <c r="T28" s="13">
        <v>1925</v>
      </c>
      <c r="U28" s="13">
        <v>22333</v>
      </c>
    </row>
    <row r="29" spans="1:21">
      <c r="A29" s="18" t="str">
        <f t="shared" si="0"/>
        <v>Honol</v>
      </c>
      <c r="B29" t="s">
        <v>80</v>
      </c>
      <c r="C29" t="s">
        <v>530</v>
      </c>
      <c r="E29" s="13">
        <v>718182</v>
      </c>
      <c r="F29">
        <v>41</v>
      </c>
      <c r="G29">
        <v>28</v>
      </c>
      <c r="H29">
        <v>64</v>
      </c>
      <c r="I29">
        <v>73</v>
      </c>
      <c r="J29">
        <v>143</v>
      </c>
      <c r="K29" t="s">
        <v>480</v>
      </c>
      <c r="L29" s="18">
        <v>768</v>
      </c>
      <c r="M29" s="13">
        <v>1116</v>
      </c>
      <c r="N29" s="13">
        <v>4600</v>
      </c>
      <c r="O29" s="13">
        <v>1195</v>
      </c>
      <c r="P29" s="13">
        <v>1895</v>
      </c>
      <c r="Q29" s="13">
        <v>1201</v>
      </c>
      <c r="R29" s="13">
        <v>1069</v>
      </c>
      <c r="S29" t="s">
        <v>480</v>
      </c>
      <c r="T29" s="13">
        <v>3016</v>
      </c>
      <c r="U29" s="13">
        <v>12977</v>
      </c>
    </row>
    <row r="30" spans="1:21">
      <c r="A30" s="18" t="str">
        <f t="shared" si="0"/>
        <v>Houst</v>
      </c>
      <c r="B30" t="s">
        <v>39</v>
      </c>
      <c r="C30" t="s">
        <v>489</v>
      </c>
      <c r="E30" s="13">
        <v>3822509</v>
      </c>
      <c r="F30">
        <v>151</v>
      </c>
      <c r="G30">
        <v>331</v>
      </c>
      <c r="H30">
        <v>837</v>
      </c>
      <c r="I30" s="13">
        <v>1685</v>
      </c>
      <c r="J30" s="13">
        <v>1737</v>
      </c>
      <c r="K30" t="s">
        <v>480</v>
      </c>
      <c r="L30" s="13">
        <v>13618</v>
      </c>
      <c r="M30" s="13">
        <v>18359</v>
      </c>
      <c r="N30" s="13">
        <v>25711</v>
      </c>
      <c r="O30" s="13">
        <v>26328</v>
      </c>
      <c r="P30" s="13">
        <v>18986</v>
      </c>
      <c r="Q30" s="13">
        <v>21061</v>
      </c>
      <c r="R30" s="13">
        <v>10164</v>
      </c>
      <c r="S30" t="s">
        <v>480</v>
      </c>
      <c r="T30" s="13">
        <v>4754</v>
      </c>
      <c r="U30" s="13">
        <v>107005</v>
      </c>
    </row>
    <row r="31" spans="1:21">
      <c r="A31" s="18" t="str">
        <f t="shared" si="0"/>
        <v>India</v>
      </c>
      <c r="B31" t="s">
        <v>40</v>
      </c>
      <c r="C31" t="s">
        <v>484</v>
      </c>
      <c r="E31" s="13">
        <v>1218919</v>
      </c>
      <c r="F31">
        <v>154</v>
      </c>
      <c r="G31">
        <v>24</v>
      </c>
      <c r="H31">
        <v>404</v>
      </c>
      <c r="I31">
        <v>623</v>
      </c>
      <c r="J31">
        <v>739</v>
      </c>
      <c r="K31" t="s">
        <v>480</v>
      </c>
      <c r="L31" s="13">
        <v>4842</v>
      </c>
      <c r="M31" s="13">
        <v>6786</v>
      </c>
      <c r="N31" s="13">
        <v>12422</v>
      </c>
      <c r="O31" s="18">
        <v>659</v>
      </c>
      <c r="P31" s="13">
        <v>8228</v>
      </c>
      <c r="Q31" s="13">
        <v>5928</v>
      </c>
      <c r="R31" s="13">
        <v>4437</v>
      </c>
      <c r="S31" t="s">
        <v>480</v>
      </c>
      <c r="T31" s="13">
        <v>12348</v>
      </c>
      <c r="U31" s="13">
        <v>44022</v>
      </c>
    </row>
    <row r="32" spans="1:21">
      <c r="A32" s="18" t="str">
        <f t="shared" si="0"/>
        <v>Jacks</v>
      </c>
      <c r="B32" t="s">
        <v>41</v>
      </c>
      <c r="C32" t="s">
        <v>487</v>
      </c>
      <c r="E32" s="13">
        <v>882295</v>
      </c>
      <c r="F32">
        <v>113</v>
      </c>
      <c r="G32">
        <v>48</v>
      </c>
      <c r="H32">
        <v>166</v>
      </c>
      <c r="I32">
        <v>254</v>
      </c>
      <c r="J32">
        <v>436</v>
      </c>
      <c r="K32" t="s">
        <v>480</v>
      </c>
      <c r="L32" s="13">
        <v>4411</v>
      </c>
      <c r="M32" s="13">
        <v>5428</v>
      </c>
      <c r="N32" s="13">
        <v>9309</v>
      </c>
      <c r="O32" s="13">
        <v>2234</v>
      </c>
      <c r="P32" s="13">
        <v>4733</v>
      </c>
      <c r="Q32" s="13">
        <v>4541</v>
      </c>
      <c r="R32" s="13">
        <v>3964</v>
      </c>
      <c r="S32" t="s">
        <v>480</v>
      </c>
      <c r="T32" s="13">
        <v>7761</v>
      </c>
      <c r="U32" s="13">
        <v>32542</v>
      </c>
    </row>
    <row r="33" spans="1:21">
      <c r="A33" s="18" t="str">
        <f t="shared" si="0"/>
        <v>Kansa</v>
      </c>
      <c r="B33" t="s">
        <v>74</v>
      </c>
      <c r="C33" t="s">
        <v>502</v>
      </c>
      <c r="D33" t="s">
        <v>513</v>
      </c>
      <c r="E33" s="13">
        <v>1361744</v>
      </c>
      <c r="F33">
        <v>217</v>
      </c>
      <c r="G33">
        <v>179</v>
      </c>
      <c r="H33">
        <v>359</v>
      </c>
      <c r="I33">
        <v>797</v>
      </c>
      <c r="J33">
        <v>619</v>
      </c>
      <c r="K33" t="s">
        <v>480</v>
      </c>
      <c r="L33" s="13">
        <v>7071</v>
      </c>
      <c r="M33" s="13">
        <v>9242</v>
      </c>
      <c r="N33" s="13">
        <v>14820</v>
      </c>
      <c r="O33" s="13">
        <v>5941</v>
      </c>
      <c r="P33" s="13">
        <v>5757</v>
      </c>
      <c r="Q33" s="13">
        <v>6322</v>
      </c>
      <c r="R33" s="13">
        <v>2370</v>
      </c>
      <c r="S33" t="s">
        <v>480</v>
      </c>
      <c r="T33" s="13">
        <v>8451</v>
      </c>
      <c r="U33" s="13">
        <v>43662</v>
      </c>
    </row>
    <row r="34" spans="1:21">
      <c r="A34" s="18" t="str">
        <f t="shared" si="0"/>
        <v>Las V</v>
      </c>
      <c r="B34" t="s">
        <v>62</v>
      </c>
      <c r="C34" t="s">
        <v>514</v>
      </c>
      <c r="E34" s="13">
        <v>1314357</v>
      </c>
      <c r="F34">
        <v>65</v>
      </c>
      <c r="G34">
        <v>41</v>
      </c>
      <c r="H34">
        <v>167</v>
      </c>
      <c r="I34">
        <v>535</v>
      </c>
      <c r="J34" t="s">
        <v>480</v>
      </c>
      <c r="K34">
        <v>585</v>
      </c>
      <c r="L34" s="13">
        <v>3163</v>
      </c>
      <c r="M34" s="13">
        <v>4557</v>
      </c>
      <c r="N34" s="13">
        <v>7391</v>
      </c>
      <c r="O34" s="13">
        <v>3414</v>
      </c>
      <c r="P34" s="13">
        <v>5133</v>
      </c>
      <c r="Q34" s="13">
        <v>9763</v>
      </c>
      <c r="R34" s="18" t="s">
        <v>480</v>
      </c>
      <c r="S34" s="13">
        <v>4274</v>
      </c>
      <c r="T34" s="13">
        <v>3877</v>
      </c>
      <c r="U34" s="13">
        <v>33852</v>
      </c>
    </row>
    <row r="35" spans="1:21">
      <c r="A35" s="18" t="str">
        <f t="shared" si="0"/>
        <v>Los A</v>
      </c>
      <c r="B35" t="s">
        <v>481</v>
      </c>
      <c r="C35" t="s">
        <v>482</v>
      </c>
      <c r="E35" s="13">
        <v>11789487</v>
      </c>
      <c r="F35">
        <v>351</v>
      </c>
      <c r="G35">
        <v>310</v>
      </c>
      <c r="H35" s="13">
        <v>2485</v>
      </c>
      <c r="I35" s="13">
        <v>3120</v>
      </c>
      <c r="J35" s="13">
        <v>2609</v>
      </c>
      <c r="K35" t="s">
        <v>480</v>
      </c>
      <c r="L35" s="13">
        <v>16016</v>
      </c>
      <c r="M35" s="13">
        <v>24890</v>
      </c>
      <c r="N35" s="13">
        <v>79552</v>
      </c>
      <c r="O35" s="13">
        <v>52443</v>
      </c>
      <c r="P35" s="13">
        <v>69247</v>
      </c>
      <c r="Q35" s="13">
        <v>46795</v>
      </c>
      <c r="R35" s="13">
        <v>11392</v>
      </c>
      <c r="S35" s="18" t="s">
        <v>480</v>
      </c>
      <c r="T35" s="13">
        <v>13887</v>
      </c>
      <c r="U35" s="13">
        <v>273316</v>
      </c>
    </row>
    <row r="36" spans="1:21">
      <c r="A36" s="18" t="str">
        <f t="shared" si="0"/>
        <v>Louis</v>
      </c>
      <c r="B36" t="s">
        <v>42</v>
      </c>
      <c r="C36" t="s">
        <v>523</v>
      </c>
      <c r="D36" t="s">
        <v>484</v>
      </c>
      <c r="E36" s="13">
        <v>863582</v>
      </c>
      <c r="F36">
        <v>136</v>
      </c>
      <c r="G36">
        <v>22</v>
      </c>
      <c r="H36">
        <v>255</v>
      </c>
      <c r="I36">
        <v>377</v>
      </c>
      <c r="J36">
        <v>343</v>
      </c>
      <c r="K36">
        <v>1</v>
      </c>
      <c r="L36" s="13">
        <v>3458</v>
      </c>
      <c r="M36" s="13">
        <v>4592</v>
      </c>
      <c r="N36" s="13">
        <v>11228</v>
      </c>
      <c r="O36" s="18">
        <v>793</v>
      </c>
      <c r="P36" s="13">
        <v>5498</v>
      </c>
      <c r="Q36" s="13">
        <v>3817</v>
      </c>
      <c r="R36" s="13">
        <v>1731</v>
      </c>
      <c r="S36">
        <v>3</v>
      </c>
      <c r="T36" s="13">
        <v>3262</v>
      </c>
      <c r="U36" s="13">
        <v>26332</v>
      </c>
    </row>
    <row r="37" spans="1:21">
      <c r="A37" s="18" t="str">
        <f t="shared" si="0"/>
        <v>Memph</v>
      </c>
      <c r="B37" t="s">
        <v>43</v>
      </c>
      <c r="C37" t="s">
        <v>518</v>
      </c>
      <c r="D37" t="s">
        <v>519</v>
      </c>
      <c r="E37" s="13">
        <v>972091</v>
      </c>
      <c r="F37">
        <v>84</v>
      </c>
      <c r="G37">
        <v>39</v>
      </c>
      <c r="H37">
        <v>271</v>
      </c>
      <c r="I37">
        <v>590</v>
      </c>
      <c r="J37">
        <v>437</v>
      </c>
      <c r="K37">
        <v>1</v>
      </c>
      <c r="L37" s="13">
        <v>2535</v>
      </c>
      <c r="M37" s="13">
        <v>3958</v>
      </c>
      <c r="N37" s="13">
        <v>6856</v>
      </c>
      <c r="O37" s="13">
        <v>1588</v>
      </c>
      <c r="P37" s="13">
        <v>6380</v>
      </c>
      <c r="Q37" s="13">
        <v>6379</v>
      </c>
      <c r="R37" s="13">
        <v>1775</v>
      </c>
      <c r="S37">
        <v>2</v>
      </c>
      <c r="T37" s="13">
        <v>2727</v>
      </c>
      <c r="U37" s="13">
        <v>25705</v>
      </c>
    </row>
    <row r="38" spans="1:21">
      <c r="A38" s="18" t="str">
        <f t="shared" si="0"/>
        <v>Miami</v>
      </c>
      <c r="B38" t="s">
        <v>397</v>
      </c>
      <c r="C38" t="s">
        <v>487</v>
      </c>
      <c r="E38" s="13">
        <v>4919036</v>
      </c>
      <c r="F38">
        <v>131</v>
      </c>
      <c r="G38">
        <v>207</v>
      </c>
      <c r="H38">
        <v>707</v>
      </c>
      <c r="I38">
        <v>966</v>
      </c>
      <c r="J38" s="13">
        <v>1334</v>
      </c>
      <c r="K38" t="s">
        <v>480</v>
      </c>
      <c r="L38" s="13">
        <v>12279</v>
      </c>
      <c r="M38" s="13">
        <v>15624</v>
      </c>
      <c r="N38" s="13">
        <v>22628</v>
      </c>
      <c r="O38" s="13">
        <v>17746</v>
      </c>
      <c r="P38" s="13">
        <v>27506</v>
      </c>
      <c r="Q38" s="13">
        <v>22460</v>
      </c>
      <c r="R38" s="13">
        <v>13350</v>
      </c>
      <c r="S38" t="s">
        <v>480</v>
      </c>
      <c r="T38" s="13">
        <v>22320</v>
      </c>
      <c r="U38" s="13">
        <v>126011</v>
      </c>
    </row>
    <row r="39" spans="1:21">
      <c r="A39" s="18" t="str">
        <f t="shared" si="0"/>
        <v>Milwa</v>
      </c>
      <c r="B39" t="s">
        <v>44</v>
      </c>
      <c r="C39" t="s">
        <v>515</v>
      </c>
      <c r="E39" s="13">
        <v>1308913</v>
      </c>
      <c r="F39">
        <v>95</v>
      </c>
      <c r="G39">
        <v>62</v>
      </c>
      <c r="H39">
        <v>653</v>
      </c>
      <c r="I39">
        <v>795</v>
      </c>
      <c r="J39">
        <v>493</v>
      </c>
      <c r="K39" t="s">
        <v>480</v>
      </c>
      <c r="L39" s="13">
        <v>4072</v>
      </c>
      <c r="M39" s="13">
        <v>6170</v>
      </c>
      <c r="N39" s="13">
        <v>8374</v>
      </c>
      <c r="O39" s="13">
        <v>2710</v>
      </c>
      <c r="P39" s="13">
        <v>10315</v>
      </c>
      <c r="Q39" s="13">
        <v>4713</v>
      </c>
      <c r="R39" s="13">
        <v>1203</v>
      </c>
      <c r="S39" t="s">
        <v>480</v>
      </c>
      <c r="T39" s="13">
        <v>1600</v>
      </c>
      <c r="U39" s="13">
        <v>28916</v>
      </c>
    </row>
    <row r="40" spans="1:21">
      <c r="A40" s="18" t="str">
        <f t="shared" si="0"/>
        <v>Minne</v>
      </c>
      <c r="B40" t="s">
        <v>500</v>
      </c>
      <c r="C40" t="s">
        <v>501</v>
      </c>
      <c r="E40" s="13">
        <v>2388593</v>
      </c>
      <c r="F40">
        <v>210</v>
      </c>
      <c r="G40">
        <v>133</v>
      </c>
      <c r="H40">
        <v>182</v>
      </c>
      <c r="I40" s="13">
        <v>1618</v>
      </c>
      <c r="J40" s="13">
        <v>1198</v>
      </c>
      <c r="K40" t="s">
        <v>480</v>
      </c>
      <c r="L40" s="13">
        <v>8869</v>
      </c>
      <c r="M40" s="13">
        <v>12209</v>
      </c>
      <c r="N40" s="13">
        <v>19885</v>
      </c>
      <c r="O40" s="13">
        <v>8643</v>
      </c>
      <c r="P40" s="13">
        <v>5664</v>
      </c>
      <c r="Q40" s="13">
        <v>17887</v>
      </c>
      <c r="R40" s="13">
        <v>4723</v>
      </c>
      <c r="S40" t="s">
        <v>480</v>
      </c>
      <c r="T40" s="13">
        <v>7890</v>
      </c>
      <c r="U40" s="13">
        <v>64692</v>
      </c>
    </row>
    <row r="41" spans="1:21">
      <c r="A41" s="18" t="str">
        <f t="shared" si="0"/>
        <v>Missi</v>
      </c>
      <c r="B41" t="s">
        <v>549</v>
      </c>
      <c r="C41" t="s">
        <v>482</v>
      </c>
      <c r="E41" s="13">
        <v>533015</v>
      </c>
      <c r="F41">
        <v>20</v>
      </c>
      <c r="G41">
        <v>15</v>
      </c>
      <c r="H41">
        <v>131</v>
      </c>
      <c r="I41">
        <v>119</v>
      </c>
      <c r="J41">
        <v>109</v>
      </c>
      <c r="K41" t="s">
        <v>480</v>
      </c>
      <c r="L41" s="13">
        <v>1153</v>
      </c>
      <c r="M41" s="13">
        <v>1546</v>
      </c>
      <c r="N41" s="13">
        <v>4902</v>
      </c>
      <c r="O41">
        <v>544</v>
      </c>
      <c r="P41" s="13">
        <v>3853</v>
      </c>
      <c r="Q41" s="13">
        <v>1660</v>
      </c>
      <c r="R41">
        <v>439</v>
      </c>
      <c r="S41" t="s">
        <v>480</v>
      </c>
      <c r="T41" s="13">
        <v>1058</v>
      </c>
      <c r="U41" s="13">
        <v>12456</v>
      </c>
    </row>
    <row r="42" spans="1:21">
      <c r="A42" s="18" t="str">
        <f t="shared" si="0"/>
        <v>Nashv</v>
      </c>
      <c r="B42" t="s">
        <v>527</v>
      </c>
      <c r="C42" t="s">
        <v>518</v>
      </c>
      <c r="E42" s="13">
        <v>749935</v>
      </c>
      <c r="F42">
        <v>129</v>
      </c>
      <c r="G42">
        <v>49</v>
      </c>
      <c r="H42">
        <v>276</v>
      </c>
      <c r="I42">
        <v>437</v>
      </c>
      <c r="J42">
        <v>458</v>
      </c>
      <c r="K42" t="s">
        <v>480</v>
      </c>
      <c r="L42" s="13">
        <v>4363</v>
      </c>
      <c r="M42" s="13">
        <v>5713</v>
      </c>
      <c r="N42" s="13">
        <v>12647</v>
      </c>
      <c r="O42" s="13">
        <v>2118</v>
      </c>
      <c r="P42" s="13">
        <v>5996</v>
      </c>
      <c r="Q42" s="13">
        <v>5250</v>
      </c>
      <c r="R42" s="13">
        <v>2403</v>
      </c>
      <c r="S42" t="s">
        <v>480</v>
      </c>
      <c r="T42" s="13">
        <v>5976</v>
      </c>
      <c r="U42" s="13">
        <v>34391</v>
      </c>
    </row>
    <row r="43" spans="1:21">
      <c r="A43" s="18" t="str">
        <f t="shared" si="0"/>
        <v>New O</v>
      </c>
      <c r="B43" t="s">
        <v>47</v>
      </c>
      <c r="C43" t="s">
        <v>517</v>
      </c>
      <c r="E43" s="13">
        <v>1009283</v>
      </c>
      <c r="F43">
        <v>58</v>
      </c>
      <c r="G43">
        <v>9</v>
      </c>
      <c r="H43">
        <v>211</v>
      </c>
      <c r="I43">
        <v>269</v>
      </c>
      <c r="J43">
        <v>211</v>
      </c>
      <c r="K43" t="s">
        <v>480</v>
      </c>
      <c r="L43" s="13">
        <v>2525</v>
      </c>
      <c r="M43" s="13">
        <v>3282</v>
      </c>
      <c r="N43" s="13">
        <v>4349</v>
      </c>
      <c r="O43" s="18">
        <v>347</v>
      </c>
      <c r="P43" s="13">
        <v>4838</v>
      </c>
      <c r="Q43" s="13">
        <v>2724</v>
      </c>
      <c r="R43" s="18">
        <v>948</v>
      </c>
      <c r="S43" t="s">
        <v>480</v>
      </c>
      <c r="T43" s="13">
        <v>1138</v>
      </c>
      <c r="U43" s="13">
        <v>14343</v>
      </c>
    </row>
    <row r="44" spans="1:21">
      <c r="A44" s="18" t="str">
        <f t="shared" si="0"/>
        <v>New Y</v>
      </c>
      <c r="B44" t="s">
        <v>477</v>
      </c>
      <c r="C44" t="s">
        <v>478</v>
      </c>
      <c r="D44" t="s">
        <v>479</v>
      </c>
      <c r="E44" s="13">
        <v>17799861</v>
      </c>
      <c r="F44">
        <v>507</v>
      </c>
      <c r="G44">
        <v>711</v>
      </c>
      <c r="H44" s="13">
        <v>2596</v>
      </c>
      <c r="I44" s="13">
        <v>4822</v>
      </c>
      <c r="J44" s="13">
        <v>3841</v>
      </c>
      <c r="K44" t="s">
        <v>480</v>
      </c>
      <c r="L44" s="13">
        <v>31410</v>
      </c>
      <c r="M44" s="13">
        <v>43887</v>
      </c>
      <c r="N44" s="13">
        <v>55740</v>
      </c>
      <c r="O44" s="13">
        <v>60784</v>
      </c>
      <c r="P44" s="13">
        <v>62817</v>
      </c>
      <c r="Q44" s="13">
        <v>48938</v>
      </c>
      <c r="R44" s="13">
        <v>19570</v>
      </c>
      <c r="S44" t="s">
        <v>480</v>
      </c>
      <c r="T44" s="13">
        <v>45537</v>
      </c>
      <c r="U44" s="13">
        <v>293385</v>
      </c>
    </row>
    <row r="45" spans="1:21">
      <c r="A45" s="18" t="str">
        <f t="shared" si="0"/>
        <v>Oklah</v>
      </c>
      <c r="B45" t="s">
        <v>65</v>
      </c>
      <c r="C45" t="s">
        <v>528</v>
      </c>
      <c r="E45" s="13">
        <v>747003</v>
      </c>
      <c r="F45">
        <v>106</v>
      </c>
      <c r="G45">
        <v>35</v>
      </c>
      <c r="H45">
        <v>285</v>
      </c>
      <c r="I45">
        <v>540</v>
      </c>
      <c r="J45">
        <v>355</v>
      </c>
      <c r="K45" t="s">
        <v>480</v>
      </c>
      <c r="L45" s="13">
        <v>3611</v>
      </c>
      <c r="M45" s="13">
        <v>4932</v>
      </c>
      <c r="N45" s="13">
        <v>8638</v>
      </c>
      <c r="O45" s="13">
        <v>1848</v>
      </c>
      <c r="P45" s="13">
        <v>6307</v>
      </c>
      <c r="Q45" s="13">
        <v>6542</v>
      </c>
      <c r="R45" s="13">
        <v>1862</v>
      </c>
      <c r="S45" t="s">
        <v>480</v>
      </c>
      <c r="T45" s="13">
        <v>6520</v>
      </c>
      <c r="U45" s="13">
        <v>31716</v>
      </c>
    </row>
    <row r="46" spans="1:21">
      <c r="A46" s="18" t="str">
        <f t="shared" si="0"/>
        <v>Omaha</v>
      </c>
      <c r="B46" t="s">
        <v>536</v>
      </c>
      <c r="C46" t="s">
        <v>537</v>
      </c>
      <c r="D46" t="s">
        <v>538</v>
      </c>
      <c r="E46" s="13">
        <v>626623</v>
      </c>
      <c r="F46">
        <v>47</v>
      </c>
      <c r="G46">
        <v>35</v>
      </c>
      <c r="H46">
        <v>181</v>
      </c>
      <c r="I46">
        <v>249</v>
      </c>
      <c r="J46">
        <v>218</v>
      </c>
      <c r="K46" t="s">
        <v>480</v>
      </c>
      <c r="L46" s="13">
        <v>2050</v>
      </c>
      <c r="M46" s="13">
        <v>2780</v>
      </c>
      <c r="N46" s="13">
        <v>3434</v>
      </c>
      <c r="O46" s="13">
        <v>1600</v>
      </c>
      <c r="P46" s="13">
        <v>3917</v>
      </c>
      <c r="Q46" s="13">
        <v>2745</v>
      </c>
      <c r="R46" s="18">
        <v>959</v>
      </c>
      <c r="S46" t="s">
        <v>480</v>
      </c>
      <c r="T46" s="13">
        <v>1697</v>
      </c>
      <c r="U46" s="13">
        <v>14352</v>
      </c>
    </row>
    <row r="47" spans="1:21">
      <c r="A47" s="18" t="str">
        <f t="shared" si="0"/>
        <v>Orlan</v>
      </c>
      <c r="B47" t="s">
        <v>48</v>
      </c>
      <c r="C47" t="s">
        <v>487</v>
      </c>
      <c r="E47" s="13">
        <v>1157431</v>
      </c>
      <c r="F47">
        <v>39</v>
      </c>
      <c r="G47">
        <v>148</v>
      </c>
      <c r="H47">
        <v>228</v>
      </c>
      <c r="I47">
        <v>361</v>
      </c>
      <c r="J47">
        <v>629</v>
      </c>
      <c r="K47" t="s">
        <v>480</v>
      </c>
      <c r="L47" s="13">
        <v>4367</v>
      </c>
      <c r="M47" s="13">
        <v>5771</v>
      </c>
      <c r="N47" s="13">
        <v>5613</v>
      </c>
      <c r="O47" s="13">
        <v>7142</v>
      </c>
      <c r="P47" s="13">
        <v>8207</v>
      </c>
      <c r="Q47" s="13">
        <v>8450</v>
      </c>
      <c r="R47" s="13">
        <v>6562</v>
      </c>
      <c r="S47" t="s">
        <v>480</v>
      </c>
      <c r="T47" s="13">
        <v>7908</v>
      </c>
      <c r="U47" s="13">
        <v>43883</v>
      </c>
    </row>
    <row r="48" spans="1:21">
      <c r="A48" s="18" t="str">
        <f t="shared" si="0"/>
        <v>Phila</v>
      </c>
      <c r="B48" t="s">
        <v>66</v>
      </c>
      <c r="C48" t="s">
        <v>485</v>
      </c>
      <c r="D48" t="s">
        <v>486</v>
      </c>
      <c r="E48" s="13">
        <v>5149079</v>
      </c>
      <c r="F48">
        <v>270</v>
      </c>
      <c r="G48">
        <v>208</v>
      </c>
      <c r="H48" s="13">
        <v>1338</v>
      </c>
      <c r="I48" s="13">
        <v>1715</v>
      </c>
      <c r="J48" s="13">
        <v>1965</v>
      </c>
      <c r="K48" t="s">
        <v>480</v>
      </c>
      <c r="L48" s="13">
        <v>14306</v>
      </c>
      <c r="M48" s="13">
        <v>19802</v>
      </c>
      <c r="N48" s="13">
        <v>22444</v>
      </c>
      <c r="O48" s="13">
        <v>10920</v>
      </c>
      <c r="P48" s="13">
        <v>28443</v>
      </c>
      <c r="Q48" s="13">
        <v>17187</v>
      </c>
      <c r="R48" s="13">
        <v>10186</v>
      </c>
      <c r="S48" t="s">
        <v>480</v>
      </c>
      <c r="T48" s="13">
        <v>38669</v>
      </c>
      <c r="U48" s="13">
        <v>127849</v>
      </c>
    </row>
    <row r="49" spans="1:21">
      <c r="A49" s="18" t="str">
        <f t="shared" si="0"/>
        <v>Phoen</v>
      </c>
      <c r="B49" t="s">
        <v>497</v>
      </c>
      <c r="C49" t="s">
        <v>498</v>
      </c>
      <c r="E49" s="13">
        <v>2907049</v>
      </c>
      <c r="F49">
        <v>53</v>
      </c>
      <c r="G49">
        <v>168</v>
      </c>
      <c r="H49">
        <v>872</v>
      </c>
      <c r="I49">
        <v>891</v>
      </c>
      <c r="J49">
        <v>564</v>
      </c>
      <c r="K49" t="s">
        <v>480</v>
      </c>
      <c r="L49" s="13">
        <v>10021</v>
      </c>
      <c r="M49" s="13">
        <v>12570</v>
      </c>
      <c r="N49" s="13">
        <v>9647</v>
      </c>
      <c r="O49" s="13">
        <v>19631</v>
      </c>
      <c r="P49" s="13">
        <v>21815</v>
      </c>
      <c r="Q49" s="13">
        <v>12983</v>
      </c>
      <c r="R49" s="13">
        <v>4687</v>
      </c>
      <c r="S49" t="s">
        <v>480</v>
      </c>
      <c r="T49" s="13">
        <v>9524</v>
      </c>
      <c r="U49" s="13">
        <v>78287</v>
      </c>
    </row>
    <row r="50" spans="1:21">
      <c r="A50" s="18" t="str">
        <f t="shared" si="0"/>
        <v>Pitts</v>
      </c>
      <c r="B50" t="s">
        <v>50</v>
      </c>
      <c r="C50" t="s">
        <v>485</v>
      </c>
      <c r="E50" s="13">
        <v>1753136</v>
      </c>
      <c r="F50">
        <v>210</v>
      </c>
      <c r="G50">
        <v>91</v>
      </c>
      <c r="H50">
        <v>550</v>
      </c>
      <c r="I50">
        <v>908</v>
      </c>
      <c r="J50">
        <v>873</v>
      </c>
      <c r="K50" t="s">
        <v>480</v>
      </c>
      <c r="L50" s="13">
        <v>6805</v>
      </c>
      <c r="M50" s="13">
        <v>9437</v>
      </c>
      <c r="N50" s="13">
        <v>7036</v>
      </c>
      <c r="O50" s="13">
        <v>1829</v>
      </c>
      <c r="P50" s="13">
        <v>8827</v>
      </c>
      <c r="Q50" s="13">
        <v>7344</v>
      </c>
      <c r="R50" s="13">
        <v>3704</v>
      </c>
      <c r="S50" t="s">
        <v>480</v>
      </c>
      <c r="T50" s="13">
        <v>5037</v>
      </c>
      <c r="U50" s="13">
        <v>33776</v>
      </c>
    </row>
    <row r="51" spans="1:21">
      <c r="A51" s="18" t="str">
        <f t="shared" si="0"/>
        <v>Portl</v>
      </c>
      <c r="B51" t="s">
        <v>51</v>
      </c>
      <c r="C51" t="s">
        <v>508</v>
      </c>
      <c r="D51" t="s">
        <v>499</v>
      </c>
      <c r="E51" s="13">
        <v>1583138</v>
      </c>
      <c r="F51">
        <v>91</v>
      </c>
      <c r="G51">
        <v>62</v>
      </c>
      <c r="H51">
        <v>314</v>
      </c>
      <c r="I51">
        <v>630</v>
      </c>
      <c r="J51">
        <v>913</v>
      </c>
      <c r="K51" t="s">
        <v>480</v>
      </c>
      <c r="L51" s="13">
        <v>5091</v>
      </c>
      <c r="M51" s="13">
        <v>7100</v>
      </c>
      <c r="N51" s="13">
        <v>9884</v>
      </c>
      <c r="O51" s="13">
        <v>3601</v>
      </c>
      <c r="P51" s="13">
        <v>7125</v>
      </c>
      <c r="Q51" s="13">
        <v>6564</v>
      </c>
      <c r="R51" s="13">
        <v>3964</v>
      </c>
      <c r="S51" t="s">
        <v>480</v>
      </c>
      <c r="T51" s="13">
        <v>3765</v>
      </c>
      <c r="U51" s="13">
        <v>34902</v>
      </c>
    </row>
    <row r="52" spans="1:21">
      <c r="A52" s="18" t="str">
        <f t="shared" si="0"/>
        <v>Provi</v>
      </c>
      <c r="B52" t="s">
        <v>52</v>
      </c>
      <c r="C52" t="s">
        <v>516</v>
      </c>
      <c r="D52" t="s">
        <v>490</v>
      </c>
      <c r="E52" s="13">
        <v>1174548</v>
      </c>
      <c r="F52">
        <v>83</v>
      </c>
      <c r="G52">
        <v>104</v>
      </c>
      <c r="H52">
        <v>399</v>
      </c>
      <c r="I52">
        <v>527</v>
      </c>
      <c r="J52">
        <v>715</v>
      </c>
      <c r="K52" t="s">
        <v>480</v>
      </c>
      <c r="L52" s="13">
        <v>4541</v>
      </c>
      <c r="M52" s="13">
        <v>6369</v>
      </c>
      <c r="N52" s="13">
        <v>7145</v>
      </c>
      <c r="O52" s="13">
        <v>3970</v>
      </c>
      <c r="P52" s="13">
        <v>6279</v>
      </c>
      <c r="Q52" s="13">
        <v>4150</v>
      </c>
      <c r="R52" s="13">
        <v>2968</v>
      </c>
      <c r="S52" t="s">
        <v>480</v>
      </c>
      <c r="T52" s="13">
        <v>1853</v>
      </c>
      <c r="U52" s="13">
        <v>26364</v>
      </c>
    </row>
    <row r="53" spans="1:21">
      <c r="A53" s="18" t="str">
        <f t="shared" si="0"/>
        <v>Ralei</v>
      </c>
      <c r="B53" t="s">
        <v>53</v>
      </c>
      <c r="C53" t="s">
        <v>525</v>
      </c>
      <c r="E53" s="13">
        <v>541527</v>
      </c>
      <c r="F53">
        <v>70</v>
      </c>
      <c r="G53">
        <v>31</v>
      </c>
      <c r="H53">
        <v>152</v>
      </c>
      <c r="I53">
        <v>344</v>
      </c>
      <c r="J53">
        <v>253</v>
      </c>
      <c r="K53">
        <v>1</v>
      </c>
      <c r="L53" s="13">
        <v>3422</v>
      </c>
      <c r="M53" s="13">
        <v>4272</v>
      </c>
      <c r="N53" s="13">
        <v>6281</v>
      </c>
      <c r="O53" s="13">
        <v>1276</v>
      </c>
      <c r="P53" s="13">
        <v>4235</v>
      </c>
      <c r="Q53" s="13">
        <v>4961</v>
      </c>
      <c r="R53" s="13">
        <v>1934</v>
      </c>
      <c r="S53">
        <v>5</v>
      </c>
      <c r="T53" s="13">
        <v>5632</v>
      </c>
      <c r="U53" s="13">
        <v>24323</v>
      </c>
    </row>
    <row r="54" spans="1:21">
      <c r="A54" s="18" t="str">
        <f t="shared" si="0"/>
        <v>Richm</v>
      </c>
      <c r="B54" t="s">
        <v>524</v>
      </c>
      <c r="C54" t="s">
        <v>512</v>
      </c>
      <c r="E54" s="13">
        <v>818836</v>
      </c>
      <c r="F54">
        <v>134</v>
      </c>
      <c r="G54">
        <v>65</v>
      </c>
      <c r="H54">
        <v>229</v>
      </c>
      <c r="I54">
        <v>467</v>
      </c>
      <c r="J54">
        <v>470</v>
      </c>
      <c r="K54" t="s">
        <v>480</v>
      </c>
      <c r="L54" s="13">
        <v>3645</v>
      </c>
      <c r="M54" s="13">
        <v>5010</v>
      </c>
      <c r="N54" s="13">
        <v>8999</v>
      </c>
      <c r="O54" s="13">
        <v>2556</v>
      </c>
      <c r="P54" s="13">
        <v>5475</v>
      </c>
      <c r="Q54" s="13">
        <v>4435</v>
      </c>
      <c r="R54" s="13">
        <v>1898</v>
      </c>
      <c r="S54" t="s">
        <v>480</v>
      </c>
      <c r="T54" s="13">
        <v>3223</v>
      </c>
      <c r="U54" s="13">
        <v>26586</v>
      </c>
    </row>
    <row r="55" spans="1:21">
      <c r="A55" s="18" t="str">
        <f t="shared" si="0"/>
        <v>River</v>
      </c>
      <c r="B55" t="s">
        <v>509</v>
      </c>
      <c r="C55" t="s">
        <v>482</v>
      </c>
      <c r="E55" s="13">
        <v>1506816</v>
      </c>
      <c r="F55">
        <v>105</v>
      </c>
      <c r="G55">
        <v>58</v>
      </c>
      <c r="H55">
        <v>225</v>
      </c>
      <c r="I55">
        <v>665</v>
      </c>
      <c r="J55">
        <v>739</v>
      </c>
      <c r="K55" t="s">
        <v>480</v>
      </c>
      <c r="L55" s="13">
        <v>3168</v>
      </c>
      <c r="M55" s="13">
        <v>4960</v>
      </c>
      <c r="N55" s="13">
        <v>14678</v>
      </c>
      <c r="O55" s="13">
        <v>7315</v>
      </c>
      <c r="P55" s="13">
        <v>5051</v>
      </c>
      <c r="Q55" s="13">
        <v>8747</v>
      </c>
      <c r="R55" s="13">
        <v>3477</v>
      </c>
      <c r="S55" t="s">
        <v>480</v>
      </c>
      <c r="T55" s="13">
        <v>2590</v>
      </c>
      <c r="U55" s="13">
        <v>41858</v>
      </c>
    </row>
    <row r="56" spans="1:21">
      <c r="A56" s="18" t="str">
        <f t="shared" si="0"/>
        <v>Roche</v>
      </c>
      <c r="B56" t="s">
        <v>81</v>
      </c>
      <c r="C56" t="s">
        <v>478</v>
      </c>
      <c r="E56" s="13">
        <v>694396</v>
      </c>
      <c r="F56">
        <v>65</v>
      </c>
      <c r="G56">
        <v>46</v>
      </c>
      <c r="H56">
        <v>98</v>
      </c>
      <c r="I56">
        <v>419</v>
      </c>
      <c r="J56">
        <v>301</v>
      </c>
      <c r="K56" t="s">
        <v>480</v>
      </c>
      <c r="L56" s="13">
        <v>2285</v>
      </c>
      <c r="M56" s="13">
        <v>3214</v>
      </c>
      <c r="N56" s="13">
        <v>3854</v>
      </c>
      <c r="O56" s="13">
        <v>2029</v>
      </c>
      <c r="P56" s="13">
        <v>1864</v>
      </c>
      <c r="Q56" s="13">
        <v>4645</v>
      </c>
      <c r="R56" s="13">
        <v>1458</v>
      </c>
      <c r="S56" t="s">
        <v>480</v>
      </c>
      <c r="T56" s="13">
        <v>2262</v>
      </c>
      <c r="U56" s="13">
        <v>16111</v>
      </c>
    </row>
    <row r="57" spans="1:21">
      <c r="A57" s="18" t="str">
        <f t="shared" si="0"/>
        <v>Sacra</v>
      </c>
      <c r="B57" t="s">
        <v>54</v>
      </c>
      <c r="C57" t="s">
        <v>482</v>
      </c>
      <c r="E57" s="13">
        <v>1393498</v>
      </c>
      <c r="F57">
        <v>64</v>
      </c>
      <c r="G57">
        <v>55</v>
      </c>
      <c r="H57">
        <v>363</v>
      </c>
      <c r="I57">
        <v>335</v>
      </c>
      <c r="J57">
        <v>547</v>
      </c>
      <c r="K57" t="s">
        <v>480</v>
      </c>
      <c r="L57" s="13">
        <v>3713</v>
      </c>
      <c r="M57" s="13">
        <v>5078</v>
      </c>
      <c r="N57" s="13">
        <v>8010</v>
      </c>
      <c r="O57" s="13">
        <v>7042</v>
      </c>
      <c r="P57" s="13">
        <v>10031</v>
      </c>
      <c r="Q57" s="13">
        <v>4202</v>
      </c>
      <c r="R57" s="13">
        <v>2854</v>
      </c>
      <c r="S57" t="s">
        <v>480</v>
      </c>
      <c r="T57" s="13">
        <v>2906</v>
      </c>
      <c r="U57" s="13">
        <v>35044</v>
      </c>
    </row>
    <row r="58" spans="1:21">
      <c r="A58" s="18" t="str">
        <f t="shared" si="0"/>
        <v xml:space="preserve">Salt </v>
      </c>
      <c r="B58" t="s">
        <v>55</v>
      </c>
      <c r="C58" t="s">
        <v>522</v>
      </c>
      <c r="E58" s="13">
        <v>887650</v>
      </c>
      <c r="F58">
        <v>66</v>
      </c>
      <c r="G58">
        <v>10</v>
      </c>
      <c r="H58">
        <v>127</v>
      </c>
      <c r="I58">
        <v>281</v>
      </c>
      <c r="J58">
        <v>248</v>
      </c>
      <c r="K58">
        <v>0</v>
      </c>
      <c r="L58" s="13">
        <v>2432</v>
      </c>
      <c r="M58" s="13">
        <v>3163</v>
      </c>
      <c r="N58" s="13">
        <v>7363</v>
      </c>
      <c r="O58" s="18">
        <v>609</v>
      </c>
      <c r="P58" s="13">
        <v>3648</v>
      </c>
      <c r="Q58" s="13">
        <v>4594</v>
      </c>
      <c r="R58" s="13">
        <v>1810</v>
      </c>
      <c r="S58">
        <v>0</v>
      </c>
      <c r="T58" s="13">
        <v>3730</v>
      </c>
      <c r="U58" s="13">
        <v>21755</v>
      </c>
    </row>
    <row r="59" spans="1:21">
      <c r="A59" s="18" t="str">
        <f t="shared" si="0"/>
        <v>San A</v>
      </c>
      <c r="B59" t="s">
        <v>67</v>
      </c>
      <c r="C59" t="s">
        <v>489</v>
      </c>
      <c r="E59" s="13">
        <v>1327554</v>
      </c>
      <c r="F59">
        <v>144</v>
      </c>
      <c r="G59">
        <v>86</v>
      </c>
      <c r="H59">
        <v>272</v>
      </c>
      <c r="I59">
        <v>649</v>
      </c>
      <c r="J59">
        <v>559</v>
      </c>
      <c r="K59" t="s">
        <v>480</v>
      </c>
      <c r="L59" s="13">
        <v>4325</v>
      </c>
      <c r="M59" s="13">
        <v>6035</v>
      </c>
      <c r="N59" s="13">
        <v>13189</v>
      </c>
      <c r="O59" s="13">
        <v>5569</v>
      </c>
      <c r="P59" s="13">
        <v>5561</v>
      </c>
      <c r="Q59" s="13">
        <v>7536</v>
      </c>
      <c r="R59" s="13">
        <v>2998</v>
      </c>
      <c r="S59" t="s">
        <v>480</v>
      </c>
      <c r="T59" s="13">
        <v>1682</v>
      </c>
      <c r="U59" s="13">
        <v>36535</v>
      </c>
    </row>
    <row r="60" spans="1:21">
      <c r="A60" s="18" t="str">
        <f t="shared" si="0"/>
        <v>San D</v>
      </c>
      <c r="B60" t="s">
        <v>68</v>
      </c>
      <c r="C60" t="s">
        <v>482</v>
      </c>
      <c r="E60" s="13">
        <v>2674436</v>
      </c>
      <c r="F60">
        <v>150</v>
      </c>
      <c r="G60">
        <v>117</v>
      </c>
      <c r="H60">
        <v>295</v>
      </c>
      <c r="I60">
        <v>732</v>
      </c>
      <c r="J60">
        <v>843</v>
      </c>
      <c r="K60" t="s">
        <v>480</v>
      </c>
      <c r="L60" s="13">
        <v>3117</v>
      </c>
      <c r="M60" s="13">
        <v>5254</v>
      </c>
      <c r="N60" s="13">
        <v>25728</v>
      </c>
      <c r="O60" s="13">
        <v>10809</v>
      </c>
      <c r="P60" s="13">
        <v>8738</v>
      </c>
      <c r="Q60" s="13">
        <v>13260</v>
      </c>
      <c r="R60" s="13">
        <v>5741</v>
      </c>
      <c r="S60" t="s">
        <v>480</v>
      </c>
      <c r="T60" s="13">
        <v>2571</v>
      </c>
      <c r="U60" s="13">
        <v>66848</v>
      </c>
    </row>
    <row r="61" spans="1:21">
      <c r="A61" s="18" t="str">
        <f t="shared" si="0"/>
        <v>San F</v>
      </c>
      <c r="B61" t="s">
        <v>496</v>
      </c>
      <c r="C61" t="s">
        <v>482</v>
      </c>
      <c r="E61" s="13">
        <v>2995769</v>
      </c>
      <c r="F61">
        <v>139</v>
      </c>
      <c r="G61">
        <v>124</v>
      </c>
      <c r="H61">
        <v>454</v>
      </c>
      <c r="I61">
        <v>858</v>
      </c>
      <c r="J61">
        <v>863</v>
      </c>
      <c r="K61" t="s">
        <v>480</v>
      </c>
      <c r="L61" s="13">
        <v>4725</v>
      </c>
      <c r="M61" s="13">
        <v>7162</v>
      </c>
      <c r="N61" s="13">
        <v>21107</v>
      </c>
      <c r="O61" s="13">
        <v>15258</v>
      </c>
      <c r="P61" s="13">
        <v>11280</v>
      </c>
      <c r="Q61" s="13">
        <v>11481</v>
      </c>
      <c r="R61" s="13">
        <v>4499</v>
      </c>
      <c r="S61" s="18" t="s">
        <v>480</v>
      </c>
      <c r="T61" s="13">
        <v>3889</v>
      </c>
      <c r="U61" s="13">
        <v>67514</v>
      </c>
    </row>
    <row r="62" spans="1:21">
      <c r="A62" s="18" t="str">
        <f t="shared" si="0"/>
        <v>San J</v>
      </c>
      <c r="B62" t="s">
        <v>85</v>
      </c>
      <c r="C62" t="s">
        <v>482</v>
      </c>
      <c r="E62" s="13">
        <v>1538312</v>
      </c>
      <c r="F62">
        <v>41</v>
      </c>
      <c r="G62">
        <v>85</v>
      </c>
      <c r="H62">
        <v>315</v>
      </c>
      <c r="I62">
        <v>391</v>
      </c>
      <c r="J62">
        <v>367</v>
      </c>
      <c r="K62" t="s">
        <v>480</v>
      </c>
      <c r="L62" s="13">
        <v>2556</v>
      </c>
      <c r="M62" s="13">
        <v>3754</v>
      </c>
      <c r="N62" s="13">
        <v>6531</v>
      </c>
      <c r="O62" s="13">
        <v>10391</v>
      </c>
      <c r="P62" s="13">
        <v>10256</v>
      </c>
      <c r="Q62" s="13">
        <v>6091</v>
      </c>
      <c r="R62" s="13">
        <v>1587</v>
      </c>
      <c r="S62" t="s">
        <v>480</v>
      </c>
      <c r="T62" s="13">
        <v>2134</v>
      </c>
      <c r="U62" s="13">
        <v>36990</v>
      </c>
    </row>
    <row r="63" spans="1:21">
      <c r="A63" s="18" t="str">
        <f t="shared" si="0"/>
        <v>Saras</v>
      </c>
      <c r="B63" t="s">
        <v>544</v>
      </c>
      <c r="C63" t="s">
        <v>487</v>
      </c>
      <c r="E63" s="13">
        <v>559229</v>
      </c>
      <c r="F63">
        <v>28</v>
      </c>
      <c r="G63" t="s">
        <v>480</v>
      </c>
      <c r="H63">
        <v>127</v>
      </c>
      <c r="I63">
        <v>115</v>
      </c>
      <c r="J63">
        <v>379</v>
      </c>
      <c r="K63" t="s">
        <v>480</v>
      </c>
      <c r="L63" s="13">
        <v>2728</v>
      </c>
      <c r="M63" s="13">
        <v>3377</v>
      </c>
      <c r="N63" s="13">
        <v>2380</v>
      </c>
      <c r="O63" s="18" t="s">
        <v>480</v>
      </c>
      <c r="P63" s="13">
        <v>4058</v>
      </c>
      <c r="Q63" s="13">
        <v>2186</v>
      </c>
      <c r="R63" s="13">
        <v>3112</v>
      </c>
      <c r="S63" t="s">
        <v>480</v>
      </c>
      <c r="T63" s="13">
        <v>4965</v>
      </c>
      <c r="U63" s="13">
        <v>16701</v>
      </c>
    </row>
    <row r="64" spans="1:21">
      <c r="A64" s="18" t="str">
        <f t="shared" si="0"/>
        <v>Seatt</v>
      </c>
      <c r="B64" t="s">
        <v>56</v>
      </c>
      <c r="C64" t="s">
        <v>499</v>
      </c>
      <c r="E64" s="13">
        <v>2712205</v>
      </c>
      <c r="F64">
        <v>139</v>
      </c>
      <c r="G64">
        <v>182</v>
      </c>
      <c r="H64">
        <v>737</v>
      </c>
      <c r="I64" s="13">
        <v>1271</v>
      </c>
      <c r="J64" s="13">
        <v>1252</v>
      </c>
      <c r="K64" t="s">
        <v>480</v>
      </c>
      <c r="L64" s="13">
        <v>8918</v>
      </c>
      <c r="M64" s="13">
        <v>12499</v>
      </c>
      <c r="N64" s="13">
        <v>20792</v>
      </c>
      <c r="O64" s="13">
        <v>9593</v>
      </c>
      <c r="P64" s="13">
        <v>14835</v>
      </c>
      <c r="Q64" s="13">
        <v>12540</v>
      </c>
      <c r="R64" s="13">
        <v>5278</v>
      </c>
      <c r="S64" t="s">
        <v>480</v>
      </c>
      <c r="T64" s="13">
        <v>7791</v>
      </c>
      <c r="U64" s="13">
        <v>70830</v>
      </c>
    </row>
    <row r="65" spans="1:21">
      <c r="A65" s="18" t="str">
        <f t="shared" si="0"/>
        <v>Sprin</v>
      </c>
      <c r="B65" t="s">
        <v>542</v>
      </c>
      <c r="C65" t="s">
        <v>490</v>
      </c>
      <c r="D65" t="s">
        <v>521</v>
      </c>
      <c r="E65" s="13">
        <v>573610</v>
      </c>
      <c r="F65">
        <v>81</v>
      </c>
      <c r="G65">
        <v>15</v>
      </c>
      <c r="H65">
        <v>217</v>
      </c>
      <c r="I65">
        <v>446</v>
      </c>
      <c r="J65">
        <v>329</v>
      </c>
      <c r="K65">
        <v>1</v>
      </c>
      <c r="L65" s="13">
        <v>2177</v>
      </c>
      <c r="M65" s="13">
        <v>3266</v>
      </c>
      <c r="N65" s="13">
        <v>4962</v>
      </c>
      <c r="O65">
        <v>402</v>
      </c>
      <c r="P65" s="13">
        <v>2859</v>
      </c>
      <c r="Q65" s="13">
        <v>3029</v>
      </c>
      <c r="R65" s="18">
        <v>982</v>
      </c>
      <c r="S65">
        <v>2</v>
      </c>
      <c r="T65" s="13">
        <v>1796</v>
      </c>
      <c r="U65" s="13">
        <v>14031</v>
      </c>
    </row>
    <row r="66" spans="1:21">
      <c r="A66" s="18" t="str">
        <f t="shared" si="0"/>
        <v>St. L</v>
      </c>
      <c r="B66" t="s">
        <v>57</v>
      </c>
      <c r="C66" t="s">
        <v>502</v>
      </c>
      <c r="D66" t="s">
        <v>483</v>
      </c>
      <c r="E66" s="13">
        <v>2077662</v>
      </c>
      <c r="F66">
        <v>281</v>
      </c>
      <c r="G66">
        <v>118</v>
      </c>
      <c r="H66">
        <v>631</v>
      </c>
      <c r="I66">
        <v>827</v>
      </c>
      <c r="J66" s="13">
        <v>1275</v>
      </c>
      <c r="K66" t="s">
        <v>480</v>
      </c>
      <c r="L66" s="13">
        <v>8339</v>
      </c>
      <c r="M66" s="13">
        <v>11471</v>
      </c>
      <c r="N66" s="13">
        <v>24582</v>
      </c>
      <c r="O66" s="13">
        <v>5107</v>
      </c>
      <c r="P66" s="13">
        <v>11741</v>
      </c>
      <c r="Q66" s="13">
        <v>7927</v>
      </c>
      <c r="R66" s="13">
        <v>5474</v>
      </c>
      <c r="S66" t="s">
        <v>480</v>
      </c>
      <c r="T66" s="13">
        <v>13455</v>
      </c>
      <c r="U66" s="13">
        <v>68286</v>
      </c>
    </row>
    <row r="67" spans="1:21">
      <c r="A67" s="18" t="str">
        <f t="shared" si="0"/>
        <v>Tampa</v>
      </c>
      <c r="B67" t="s">
        <v>504</v>
      </c>
      <c r="C67" t="s">
        <v>487</v>
      </c>
      <c r="E67" s="13">
        <v>2062339</v>
      </c>
      <c r="F67">
        <v>117</v>
      </c>
      <c r="G67">
        <v>52</v>
      </c>
      <c r="H67">
        <v>415</v>
      </c>
      <c r="I67">
        <v>546</v>
      </c>
      <c r="J67">
        <v>822</v>
      </c>
      <c r="K67" t="s">
        <v>480</v>
      </c>
      <c r="L67" s="13">
        <v>7720</v>
      </c>
      <c r="M67" s="13">
        <v>9673</v>
      </c>
      <c r="N67" s="13">
        <v>11672</v>
      </c>
      <c r="O67" s="13">
        <v>1877</v>
      </c>
      <c r="P67" s="13">
        <v>15815</v>
      </c>
      <c r="Q67" s="13">
        <v>12187</v>
      </c>
      <c r="R67" s="13">
        <v>7411</v>
      </c>
      <c r="S67" t="s">
        <v>480</v>
      </c>
      <c r="T67" s="13">
        <v>14049</v>
      </c>
      <c r="U67" s="13">
        <v>63010</v>
      </c>
    </row>
    <row r="68" spans="1:21">
      <c r="A68" s="18" t="str">
        <f t="shared" ref="A68:A71" si="1">LEFT(B68,5)</f>
        <v>Tucso</v>
      </c>
      <c r="B68" t="s">
        <v>529</v>
      </c>
      <c r="C68" t="s">
        <v>498</v>
      </c>
      <c r="E68" s="13">
        <v>720425</v>
      </c>
      <c r="F68">
        <v>39</v>
      </c>
      <c r="G68">
        <v>8</v>
      </c>
      <c r="H68">
        <v>239</v>
      </c>
      <c r="I68">
        <v>266</v>
      </c>
      <c r="J68">
        <v>327</v>
      </c>
      <c r="K68" t="s">
        <v>480</v>
      </c>
      <c r="L68" s="13">
        <v>2720</v>
      </c>
      <c r="M68" s="13">
        <v>3599</v>
      </c>
      <c r="N68" s="13">
        <v>3452</v>
      </c>
      <c r="O68" s="18">
        <v>310</v>
      </c>
      <c r="P68" s="13">
        <v>7174</v>
      </c>
      <c r="Q68" s="13">
        <v>3567</v>
      </c>
      <c r="R68" s="13">
        <v>1302</v>
      </c>
      <c r="S68" t="s">
        <v>480</v>
      </c>
      <c r="T68" s="13">
        <v>2381</v>
      </c>
      <c r="U68" s="13">
        <v>18186</v>
      </c>
    </row>
    <row r="69" spans="1:21">
      <c r="A69" s="18" t="str">
        <f t="shared" si="1"/>
        <v>Tulsa</v>
      </c>
      <c r="B69" t="s">
        <v>546</v>
      </c>
      <c r="C69" t="s">
        <v>528</v>
      </c>
      <c r="E69" s="13">
        <v>558329</v>
      </c>
      <c r="F69">
        <v>51</v>
      </c>
      <c r="G69">
        <v>101</v>
      </c>
      <c r="H69">
        <v>187</v>
      </c>
      <c r="I69">
        <v>488</v>
      </c>
      <c r="J69">
        <v>182</v>
      </c>
      <c r="K69" t="s">
        <v>480</v>
      </c>
      <c r="L69" s="13">
        <v>2540</v>
      </c>
      <c r="M69" s="13">
        <v>3549</v>
      </c>
      <c r="N69" s="13">
        <v>2677</v>
      </c>
      <c r="O69" s="13">
        <v>4905</v>
      </c>
      <c r="P69" s="13">
        <v>3452</v>
      </c>
      <c r="Q69" s="13">
        <v>4688</v>
      </c>
      <c r="R69" s="18">
        <v>558</v>
      </c>
      <c r="S69" t="s">
        <v>480</v>
      </c>
      <c r="T69" s="13">
        <v>4468</v>
      </c>
      <c r="U69" s="13">
        <v>20748</v>
      </c>
    </row>
    <row r="70" spans="1:21">
      <c r="A70" s="18" t="str">
        <f t="shared" si="1"/>
        <v>Virgi</v>
      </c>
      <c r="B70" t="s">
        <v>511</v>
      </c>
      <c r="C70" t="s">
        <v>512</v>
      </c>
      <c r="E70" s="13">
        <v>1394439</v>
      </c>
      <c r="F70">
        <v>114</v>
      </c>
      <c r="G70">
        <v>57</v>
      </c>
      <c r="H70">
        <v>366</v>
      </c>
      <c r="I70">
        <v>590</v>
      </c>
      <c r="J70">
        <v>628</v>
      </c>
      <c r="K70" t="s">
        <v>480</v>
      </c>
      <c r="L70" s="13">
        <v>4893</v>
      </c>
      <c r="M70" s="13">
        <v>6648</v>
      </c>
      <c r="N70" s="13">
        <v>10809</v>
      </c>
      <c r="O70" s="13">
        <v>2250</v>
      </c>
      <c r="P70" s="13">
        <v>9490</v>
      </c>
      <c r="Q70" s="13">
        <v>8628</v>
      </c>
      <c r="R70" s="13">
        <v>2477</v>
      </c>
      <c r="S70" t="s">
        <v>480</v>
      </c>
      <c r="T70" s="13">
        <v>4740</v>
      </c>
      <c r="U70" s="13">
        <v>38395</v>
      </c>
    </row>
    <row r="71" spans="1:21">
      <c r="A71" s="18" t="str">
        <f t="shared" si="1"/>
        <v>Washi</v>
      </c>
      <c r="B71" t="s">
        <v>58</v>
      </c>
      <c r="C71" t="s">
        <v>492</v>
      </c>
      <c r="D71" t="s">
        <v>493</v>
      </c>
      <c r="E71" s="13">
        <v>3933920</v>
      </c>
      <c r="F71">
        <v>185</v>
      </c>
      <c r="G71">
        <v>122</v>
      </c>
      <c r="H71">
        <v>730</v>
      </c>
      <c r="I71" s="13">
        <v>1093</v>
      </c>
      <c r="J71" s="13">
        <v>1160</v>
      </c>
      <c r="K71" t="s">
        <v>480</v>
      </c>
      <c r="L71" s="13">
        <v>8785</v>
      </c>
      <c r="M71" s="13">
        <v>12074</v>
      </c>
      <c r="N71" s="13">
        <v>29568</v>
      </c>
      <c r="O71" s="13">
        <v>7513</v>
      </c>
      <c r="P71" s="13">
        <v>26623</v>
      </c>
      <c r="Q71" s="13">
        <v>17518</v>
      </c>
      <c r="R71" s="13">
        <v>7672</v>
      </c>
      <c r="S71" t="s">
        <v>480</v>
      </c>
      <c r="T71" s="13">
        <v>8510</v>
      </c>
      <c r="U71" s="13">
        <v>97404</v>
      </c>
    </row>
    <row r="74" spans="1:21">
      <c r="A74" s="18" t="s">
        <v>552</v>
      </c>
    </row>
  </sheetData>
  <sortState ref="B4:U72">
    <sortCondition ref="B4:B7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8"/>
  <sheetViews>
    <sheetView workbookViewId="0">
      <selection activeCell="S2" sqref="S2"/>
    </sheetView>
  </sheetViews>
  <sheetFormatPr baseColWidth="10" defaultRowHeight="14" x14ac:dyDescent="0"/>
  <cols>
    <col min="15" max="15" width="10.83203125" style="18"/>
    <col min="18" max="18" width="10.83203125" style="18"/>
    <col min="19" max="19" width="11" bestFit="1" customWidth="1"/>
    <col min="21" max="21" width="11" bestFit="1" customWidth="1"/>
  </cols>
  <sheetData>
    <row r="1" spans="1:26">
      <c r="B1" t="s">
        <v>201</v>
      </c>
      <c r="C1" t="s">
        <v>202</v>
      </c>
      <c r="D1" t="s">
        <v>184</v>
      </c>
      <c r="E1" t="s">
        <v>185</v>
      </c>
      <c r="G1" t="s">
        <v>190</v>
      </c>
      <c r="H1" t="s">
        <v>191</v>
      </c>
      <c r="I1" t="s">
        <v>192</v>
      </c>
      <c r="K1" t="s">
        <v>193</v>
      </c>
      <c r="L1" t="s">
        <v>194</v>
      </c>
      <c r="N1" t="s">
        <v>557</v>
      </c>
      <c r="O1" s="18" t="s">
        <v>556</v>
      </c>
      <c r="P1" t="s">
        <v>558</v>
      </c>
      <c r="Q1" t="s">
        <v>551</v>
      </c>
      <c r="R1" s="18" t="s">
        <v>553</v>
      </c>
      <c r="S1" t="s">
        <v>406</v>
      </c>
      <c r="T1" s="140" t="s">
        <v>192</v>
      </c>
      <c r="U1" t="s">
        <v>398</v>
      </c>
      <c r="V1" t="s">
        <v>554</v>
      </c>
      <c r="W1">
        <f>A1</f>
        <v>0</v>
      </c>
      <c r="Z1" t="s">
        <v>128</v>
      </c>
    </row>
    <row r="2" spans="1:26">
      <c r="A2" s="71" t="s">
        <v>26</v>
      </c>
      <c r="B2">
        <v>56.5</v>
      </c>
      <c r="C2">
        <v>64.7</v>
      </c>
      <c r="D2">
        <v>36.299999999999997</v>
      </c>
      <c r="E2">
        <v>44.1</v>
      </c>
      <c r="G2">
        <v>0.25</v>
      </c>
      <c r="H2">
        <f>$G2*B2+(1-$G2)*D2</f>
        <v>41.349999999999994</v>
      </c>
      <c r="I2" s="18">
        <f>$G2*C2+(1-$G2)*E2</f>
        <v>49.25</v>
      </c>
      <c r="K2">
        <f>H2*1.609</f>
        <v>66.532149999999987</v>
      </c>
      <c r="L2" s="18">
        <f>I2*1.609</f>
        <v>79.243250000000003</v>
      </c>
      <c r="N2">
        <f>VLOOKUP(LEFT(A2,5),Complete2011!$14:$113,9)</f>
        <v>49501</v>
      </c>
      <c r="O2" s="18">
        <f>VLOOKUP(LEFT(A2,5),HPMS!$A$4:$U$71,14)+VLOOKUP(LEFT(A2,5),HPMS!$A$4:$U$71,15)</f>
        <v>46786</v>
      </c>
      <c r="P2" s="18">
        <f>VLOOKUP(LEFT(A2,5),Complete2011!$14:$113,11)</f>
        <v>43201</v>
      </c>
      <c r="Q2">
        <f>VLOOKUP(LEFT(A2,5),HPMS!$A$4:$U$71,21)</f>
        <v>134780</v>
      </c>
      <c r="R2" s="18">
        <f>Q2-O2</f>
        <v>87994</v>
      </c>
      <c r="S2" s="141">
        <f>(O2+R2)/((O2/B2)+(R2/D2))</f>
        <v>41.443379219239937</v>
      </c>
      <c r="T2" s="141">
        <f>(O2+R2)/((O2/C2)+(R2/E2))</f>
        <v>49.57970732166666</v>
      </c>
      <c r="U2" s="141">
        <f>S2*1.609</f>
        <v>66.682397163757059</v>
      </c>
      <c r="V2" s="141">
        <f>T2*1.609</f>
        <v>79.773749080561657</v>
      </c>
      <c r="W2" s="18" t="str">
        <f t="shared" ref="W2:W52" si="0">A2</f>
        <v>Atlanta</v>
      </c>
      <c r="Z2">
        <f>RANK(T2,$T$2:$T$52)</f>
        <v>9</v>
      </c>
    </row>
    <row r="3" spans="1:26">
      <c r="A3" s="71" t="s">
        <v>27</v>
      </c>
      <c r="B3">
        <v>52.9</v>
      </c>
      <c r="C3">
        <v>62.6</v>
      </c>
      <c r="D3">
        <v>36.200000000000003</v>
      </c>
      <c r="E3">
        <v>42.9</v>
      </c>
      <c r="G3" s="18">
        <v>0.25</v>
      </c>
      <c r="H3" s="18">
        <f t="shared" ref="H3:H52" si="1">$G3*B3+(1-$G3)*D3</f>
        <v>40.375</v>
      </c>
      <c r="I3" s="18">
        <f t="shared" ref="I3:I52" si="2">$G3*C3+(1-$G3)*E3</f>
        <v>47.824999999999996</v>
      </c>
      <c r="K3" s="18">
        <f t="shared" ref="K3:K52" si="3">H3*1.609</f>
        <v>64.963374999999999</v>
      </c>
      <c r="L3" s="18">
        <f t="shared" ref="L3:L52" si="4">I3*1.609</f>
        <v>76.950424999999996</v>
      </c>
      <c r="N3" s="18">
        <f>VLOOKUP(LEFT(A3,5),Complete2011!$14:$113,9)</f>
        <v>12650</v>
      </c>
      <c r="O3" s="18">
        <f>VLOOKUP(LEFT(A3,5),HPMS!$A$4:$U$71,14)+VLOOKUP(LEFT(A3,5),HPMS!$A$4:$U$71,15)</f>
        <v>12274</v>
      </c>
      <c r="P3" s="18">
        <f>VLOOKUP(LEFT(A3,5),Complete2011!$14:$113,11)</f>
        <v>11004</v>
      </c>
      <c r="Q3" s="18">
        <f>VLOOKUP(LEFT(A3,5),HPMS!$A$4:$U$71,21)</f>
        <v>29272</v>
      </c>
      <c r="R3" s="18">
        <f t="shared" ref="R3:R52" si="5">Q3-O3</f>
        <v>16998</v>
      </c>
      <c r="S3" s="141">
        <f t="shared" ref="S3:S52" si="6">(O3+R3)/((O3/B3)+(R3/D3))</f>
        <v>41.722926804578741</v>
      </c>
      <c r="T3" s="141">
        <f t="shared" ref="T3:T52" si="7">(O3+R3)/((O3/C3)+(R3/E3))</f>
        <v>49.421396888552422</v>
      </c>
      <c r="U3" s="141">
        <f t="shared" ref="U3:U52" si="8">S3*1.609</f>
        <v>67.132189228567199</v>
      </c>
      <c r="V3" s="141">
        <f t="shared" ref="V3:V52" si="9">T3*1.609</f>
        <v>79.519027593680846</v>
      </c>
      <c r="W3" s="18" t="str">
        <f t="shared" si="0"/>
        <v>Austin</v>
      </c>
      <c r="Z3" s="18">
        <f t="shared" ref="Z3:Z52" si="10">RANK(T3,$T$2:$T$52)</f>
        <v>10</v>
      </c>
    </row>
    <row r="4" spans="1:26" ht="16">
      <c r="A4" s="71" t="s">
        <v>179</v>
      </c>
      <c r="B4">
        <v>53.3</v>
      </c>
      <c r="C4">
        <v>62.7</v>
      </c>
      <c r="D4">
        <v>31.8</v>
      </c>
      <c r="E4">
        <v>38.6</v>
      </c>
      <c r="G4" s="18">
        <v>0.25</v>
      </c>
      <c r="H4" s="18">
        <f t="shared" si="1"/>
        <v>37.174999999999997</v>
      </c>
      <c r="I4" s="18">
        <f t="shared" si="2"/>
        <v>44.625</v>
      </c>
      <c r="K4" s="18">
        <f t="shared" si="3"/>
        <v>59.814574999999998</v>
      </c>
      <c r="L4" s="18">
        <f t="shared" si="4"/>
        <v>71.801625000000001</v>
      </c>
      <c r="N4" s="18">
        <f>VLOOKUP(LEFT(A4,5),Complete2011!$14:$113,9)</f>
        <v>26805</v>
      </c>
      <c r="O4" s="18">
        <f>VLOOKUP(LEFT(A4,5),HPMS!$A$4:$U$71,14)+VLOOKUP(LEFT(A4,5),HPMS!$A$4:$U$71,15)</f>
        <v>26678</v>
      </c>
      <c r="P4" s="18">
        <f>VLOOKUP(LEFT(A4,5),Complete2011!$14:$113,11)</f>
        <v>18338</v>
      </c>
      <c r="Q4" s="18">
        <f>VLOOKUP(LEFT(A4,5),HPMS!$A$4:$U$71,21)</f>
        <v>52585</v>
      </c>
      <c r="R4" s="18">
        <f t="shared" si="5"/>
        <v>25907</v>
      </c>
      <c r="S4" s="141">
        <f t="shared" si="6"/>
        <v>39.982181931797612</v>
      </c>
      <c r="T4" s="141">
        <f t="shared" si="7"/>
        <v>47.950478529822675</v>
      </c>
      <c r="U4" s="141">
        <f t="shared" si="8"/>
        <v>64.331330728262358</v>
      </c>
      <c r="V4" s="141">
        <f t="shared" si="9"/>
        <v>77.152319954484682</v>
      </c>
      <c r="W4" s="18" t="str">
        <f t="shared" si="0"/>
        <v>Baltimore2</v>
      </c>
      <c r="Z4" s="18">
        <f t="shared" si="10"/>
        <v>18</v>
      </c>
    </row>
    <row r="5" spans="1:26">
      <c r="A5" s="71" t="s">
        <v>29</v>
      </c>
      <c r="B5">
        <v>54.2</v>
      </c>
      <c r="C5">
        <v>63.4</v>
      </c>
      <c r="D5">
        <v>29.5</v>
      </c>
      <c r="E5">
        <v>36</v>
      </c>
      <c r="G5" s="18">
        <v>0.25</v>
      </c>
      <c r="H5" s="18">
        <f t="shared" si="1"/>
        <v>35.674999999999997</v>
      </c>
      <c r="I5" s="18">
        <f t="shared" si="2"/>
        <v>42.85</v>
      </c>
      <c r="K5" s="18">
        <f t="shared" si="3"/>
        <v>57.401074999999992</v>
      </c>
      <c r="L5" s="18">
        <f t="shared" si="4"/>
        <v>68.945650000000001</v>
      </c>
      <c r="N5" s="18">
        <f>VLOOKUP(LEFT(A5,5),Complete2011!$14:$113,9)</f>
        <v>42357</v>
      </c>
      <c r="O5" s="18">
        <f>VLOOKUP(LEFT(A5,5),HPMS!$A$4:$U$71,14)+VLOOKUP(LEFT(A5,5),HPMS!$A$4:$U$71,15)</f>
        <v>40096</v>
      </c>
      <c r="P5" s="18">
        <f>VLOOKUP(LEFT(A5,5),Complete2011!$14:$113,11)</f>
        <v>34942</v>
      </c>
      <c r="Q5" s="18">
        <f>VLOOKUP(LEFT(A5,5),HPMS!$A$4:$U$71,21)</f>
        <v>92923</v>
      </c>
      <c r="R5" s="18">
        <f t="shared" si="5"/>
        <v>52827</v>
      </c>
      <c r="S5" s="141">
        <f t="shared" si="6"/>
        <v>36.720847841084925</v>
      </c>
      <c r="T5" s="141">
        <f t="shared" si="7"/>
        <v>44.252299346517006</v>
      </c>
      <c r="U5" s="141">
        <f t="shared" si="8"/>
        <v>59.083844176305647</v>
      </c>
      <c r="V5" s="141">
        <f t="shared" si="9"/>
        <v>71.201949648545863</v>
      </c>
      <c r="W5" s="18" t="str">
        <f t="shared" si="0"/>
        <v>Boston</v>
      </c>
      <c r="Z5" s="18">
        <f t="shared" si="10"/>
        <v>42</v>
      </c>
    </row>
    <row r="6" spans="1:26">
      <c r="A6" s="71" t="s">
        <v>30</v>
      </c>
      <c r="B6">
        <v>55.2</v>
      </c>
      <c r="C6">
        <v>62</v>
      </c>
      <c r="D6">
        <v>33.4</v>
      </c>
      <c r="E6">
        <v>38.6</v>
      </c>
      <c r="G6" s="18">
        <v>0.25</v>
      </c>
      <c r="H6" s="18">
        <f t="shared" si="1"/>
        <v>38.849999999999994</v>
      </c>
      <c r="I6" s="18">
        <f t="shared" si="2"/>
        <v>44.45</v>
      </c>
      <c r="K6" s="18">
        <f t="shared" si="3"/>
        <v>62.509649999999993</v>
      </c>
      <c r="L6" s="18">
        <f t="shared" si="4"/>
        <v>71.520049999999998</v>
      </c>
      <c r="N6" s="18">
        <f>VLOOKUP(LEFT(A6,5),Complete2011!$14:$113,9)</f>
        <v>6931</v>
      </c>
      <c r="O6" s="18">
        <f>VLOOKUP(LEFT(A6,5),HPMS!$A$4:$U$71,14)+VLOOKUP(LEFT(A6,5),HPMS!$A$4:$U$71,15)</f>
        <v>6642</v>
      </c>
      <c r="P6" s="18">
        <f>VLOOKUP(LEFT(A6,5),Complete2011!$14:$113,11)</f>
        <v>9604</v>
      </c>
      <c r="Q6" s="18">
        <f>VLOOKUP(LEFT(A6,5),HPMS!$A$4:$U$71,21)</f>
        <v>20731</v>
      </c>
      <c r="R6" s="18">
        <f t="shared" si="5"/>
        <v>14089</v>
      </c>
      <c r="S6" s="141">
        <f t="shared" si="6"/>
        <v>38.238323190826009</v>
      </c>
      <c r="T6" s="141">
        <f t="shared" si="7"/>
        <v>43.909606449849683</v>
      </c>
      <c r="U6" s="141">
        <f t="shared" si="8"/>
        <v>61.52546201403905</v>
      </c>
      <c r="V6" s="141">
        <f t="shared" si="9"/>
        <v>70.650556777808134</v>
      </c>
      <c r="W6" s="18" t="str">
        <f t="shared" si="0"/>
        <v>Buffalo</v>
      </c>
      <c r="Z6" s="18">
        <f t="shared" si="10"/>
        <v>43</v>
      </c>
    </row>
    <row r="7" spans="1:26">
      <c r="A7" s="71" t="s">
        <v>31</v>
      </c>
      <c r="B7">
        <v>58</v>
      </c>
      <c r="C7">
        <v>62.9</v>
      </c>
      <c r="D7">
        <v>34</v>
      </c>
      <c r="E7">
        <v>41.4</v>
      </c>
      <c r="G7" s="18">
        <v>0.25</v>
      </c>
      <c r="H7" s="18">
        <f t="shared" si="1"/>
        <v>40</v>
      </c>
      <c r="I7" s="18">
        <f t="shared" si="2"/>
        <v>46.774999999999999</v>
      </c>
      <c r="K7" s="18">
        <f t="shared" si="3"/>
        <v>64.36</v>
      </c>
      <c r="L7" s="18">
        <f t="shared" si="4"/>
        <v>75.260975000000002</v>
      </c>
      <c r="N7" s="18">
        <f>VLOOKUP(LEFT(A7,5),Complete2011!$14:$113,9)</f>
        <v>12797</v>
      </c>
      <c r="O7" s="18">
        <f>VLOOKUP(LEFT(A7,5),HPMS!$A$4:$U$71,14)+VLOOKUP(LEFT(A7,5),HPMS!$A$4:$U$71,15)</f>
        <v>11809</v>
      </c>
      <c r="P7" s="18">
        <f>VLOOKUP(LEFT(A7,5),Complete2011!$14:$113,11)</f>
        <v>10066</v>
      </c>
      <c r="Q7" s="18">
        <f>VLOOKUP(LEFT(A7,5),HPMS!$A$4:$U$71,21)</f>
        <v>33487</v>
      </c>
      <c r="R7" s="18">
        <f t="shared" si="5"/>
        <v>21678</v>
      </c>
      <c r="S7" s="141">
        <f t="shared" si="6"/>
        <v>39.809000319502296</v>
      </c>
      <c r="T7" s="141">
        <f t="shared" si="7"/>
        <v>47.074244622818306</v>
      </c>
      <c r="U7" s="141">
        <f t="shared" si="8"/>
        <v>64.052681514079197</v>
      </c>
      <c r="V7" s="141">
        <f t="shared" si="9"/>
        <v>75.74245959811465</v>
      </c>
      <c r="W7" s="18" t="str">
        <f t="shared" si="0"/>
        <v>Charlotte</v>
      </c>
      <c r="Z7" s="18">
        <f t="shared" si="10"/>
        <v>22</v>
      </c>
    </row>
    <row r="8" spans="1:26">
      <c r="A8" s="71" t="s">
        <v>32</v>
      </c>
      <c r="B8">
        <v>53</v>
      </c>
      <c r="C8">
        <v>63.1</v>
      </c>
      <c r="D8">
        <v>34.299999999999997</v>
      </c>
      <c r="E8">
        <v>40.200000000000003</v>
      </c>
      <c r="G8" s="18">
        <v>0.25</v>
      </c>
      <c r="H8" s="18">
        <f t="shared" si="1"/>
        <v>38.974999999999994</v>
      </c>
      <c r="I8" s="18">
        <f t="shared" si="2"/>
        <v>45.925000000000004</v>
      </c>
      <c r="K8" s="18">
        <f t="shared" si="3"/>
        <v>62.710774999999991</v>
      </c>
      <c r="L8" s="18">
        <f t="shared" si="4"/>
        <v>73.893325000000004</v>
      </c>
      <c r="N8" s="18">
        <f>VLOOKUP(LEFT(A8,5),Complete2011!$14:$113,9)</f>
        <v>62791</v>
      </c>
      <c r="O8" s="18">
        <f>VLOOKUP(LEFT(A8,5),HPMS!$A$4:$U$71,14)+VLOOKUP(LEFT(A8,5),HPMS!$A$4:$U$71,15)</f>
        <v>57269</v>
      </c>
      <c r="P8" s="18">
        <f>VLOOKUP(LEFT(A8,5),Complete2011!$14:$113,11)</f>
        <v>51500</v>
      </c>
      <c r="Q8" s="18">
        <f>VLOOKUP(LEFT(A8,5),HPMS!$A$4:$U$71,21)</f>
        <v>178000</v>
      </c>
      <c r="R8" s="18">
        <f t="shared" si="5"/>
        <v>120731</v>
      </c>
      <c r="S8" s="141">
        <f t="shared" si="6"/>
        <v>38.69227587568713</v>
      </c>
      <c r="T8" s="141">
        <f t="shared" si="7"/>
        <v>45.514404198993226</v>
      </c>
      <c r="U8" s="141">
        <f t="shared" si="8"/>
        <v>62.255871883980589</v>
      </c>
      <c r="V8" s="141">
        <f t="shared" si="9"/>
        <v>73.232676356180107</v>
      </c>
      <c r="W8" s="18" t="str">
        <f t="shared" si="0"/>
        <v>Chicago</v>
      </c>
      <c r="Z8" s="18">
        <f t="shared" si="10"/>
        <v>34</v>
      </c>
    </row>
    <row r="9" spans="1:26">
      <c r="A9" s="71" t="s">
        <v>33</v>
      </c>
      <c r="B9">
        <v>56.3</v>
      </c>
      <c r="C9">
        <v>63.7</v>
      </c>
      <c r="D9">
        <v>32.5</v>
      </c>
      <c r="E9">
        <v>38.200000000000003</v>
      </c>
      <c r="G9" s="18">
        <v>0.25</v>
      </c>
      <c r="H9" s="18">
        <f t="shared" si="1"/>
        <v>38.450000000000003</v>
      </c>
      <c r="I9" s="18">
        <f t="shared" si="2"/>
        <v>44.575000000000003</v>
      </c>
      <c r="K9" s="18">
        <f t="shared" si="3"/>
        <v>61.866050000000001</v>
      </c>
      <c r="L9" s="18">
        <f t="shared" si="4"/>
        <v>71.721175000000002</v>
      </c>
      <c r="N9" s="18">
        <f>VLOOKUP(LEFT(A9,5),Complete2011!$14:$113,9)</f>
        <v>19370</v>
      </c>
      <c r="O9" s="18">
        <f>VLOOKUP(LEFT(A9,5),HPMS!$A$4:$U$71,14)+VLOOKUP(LEFT(A9,5),HPMS!$A$4:$U$71,15)</f>
        <v>18600</v>
      </c>
      <c r="P9" s="18">
        <f>VLOOKUP(LEFT(A9,5),Complete2011!$14:$113,11)</f>
        <v>13323</v>
      </c>
      <c r="Q9" s="18">
        <f>VLOOKUP(LEFT(A9,5),HPMS!$A$4:$U$71,21)</f>
        <v>43543</v>
      </c>
      <c r="R9" s="18">
        <f t="shared" si="5"/>
        <v>24943</v>
      </c>
      <c r="S9" s="141">
        <f t="shared" si="6"/>
        <v>39.662069481696676</v>
      </c>
      <c r="T9" s="141">
        <f t="shared" si="7"/>
        <v>46.079597237370571</v>
      </c>
      <c r="U9" s="141">
        <f t="shared" si="8"/>
        <v>63.816269796049951</v>
      </c>
      <c r="V9" s="141">
        <f t="shared" si="9"/>
        <v>74.14207195492925</v>
      </c>
      <c r="W9" s="18" t="str">
        <f t="shared" si="0"/>
        <v>Cincinnati</v>
      </c>
      <c r="Z9" s="18">
        <f t="shared" si="10"/>
        <v>30</v>
      </c>
    </row>
    <row r="10" spans="1:26">
      <c r="A10" s="71" t="s">
        <v>34</v>
      </c>
      <c r="B10">
        <v>56.8</v>
      </c>
      <c r="C10">
        <v>62.8</v>
      </c>
      <c r="D10">
        <v>29.6</v>
      </c>
      <c r="E10">
        <v>34.6</v>
      </c>
      <c r="G10" s="18">
        <v>0.25</v>
      </c>
      <c r="H10" s="18">
        <f t="shared" si="1"/>
        <v>36.400000000000006</v>
      </c>
      <c r="I10" s="18">
        <f t="shared" si="2"/>
        <v>41.650000000000006</v>
      </c>
      <c r="K10" s="18">
        <f t="shared" si="3"/>
        <v>58.567600000000006</v>
      </c>
      <c r="L10" s="18">
        <f t="shared" si="4"/>
        <v>67.01485000000001</v>
      </c>
      <c r="N10" s="18">
        <f>VLOOKUP(LEFT(A10,5),Complete2011!$14:$113,9)</f>
        <v>18569</v>
      </c>
      <c r="O10" s="18">
        <f>VLOOKUP(LEFT(A10,5),HPMS!$A$4:$U$71,14)+VLOOKUP(LEFT(A10,5),HPMS!$A$4:$U$71,15)</f>
        <v>17534</v>
      </c>
      <c r="P10" s="18">
        <f>VLOOKUP(LEFT(A10,5),Complete2011!$14:$113,11)</f>
        <v>12222</v>
      </c>
      <c r="Q10" s="18">
        <f>VLOOKUP(LEFT(A10,5),HPMS!$A$4:$U$71,21)</f>
        <v>39222</v>
      </c>
      <c r="R10" s="18">
        <f t="shared" si="5"/>
        <v>21688</v>
      </c>
      <c r="S10" s="141">
        <f t="shared" si="6"/>
        <v>37.662765797041587</v>
      </c>
      <c r="T10" s="141">
        <f t="shared" si="7"/>
        <v>43.290213822155607</v>
      </c>
      <c r="U10" s="141">
        <f t="shared" si="8"/>
        <v>60.599390167439914</v>
      </c>
      <c r="V10" s="141">
        <f t="shared" si="9"/>
        <v>69.653954039848372</v>
      </c>
      <c r="W10" s="18" t="str">
        <f t="shared" si="0"/>
        <v>Cleveland</v>
      </c>
      <c r="Z10" s="18">
        <f t="shared" si="10"/>
        <v>46</v>
      </c>
    </row>
    <row r="11" spans="1:26">
      <c r="A11" s="71" t="s">
        <v>35</v>
      </c>
      <c r="B11">
        <v>57.6</v>
      </c>
      <c r="C11">
        <v>64.099999999999994</v>
      </c>
      <c r="D11">
        <v>31.1</v>
      </c>
      <c r="E11">
        <v>37.299999999999997</v>
      </c>
      <c r="G11" s="18">
        <v>0.25</v>
      </c>
      <c r="H11" s="18">
        <f t="shared" si="1"/>
        <v>37.725000000000001</v>
      </c>
      <c r="I11" s="18">
        <f t="shared" si="2"/>
        <v>44</v>
      </c>
      <c r="K11" s="18">
        <f t="shared" si="3"/>
        <v>60.699525000000001</v>
      </c>
      <c r="L11" s="18">
        <f t="shared" si="4"/>
        <v>70.795999999999992</v>
      </c>
      <c r="N11" s="18">
        <f>VLOOKUP(LEFT(A11,5),Complete2011!$14:$113,9)</f>
        <v>16466</v>
      </c>
      <c r="O11" s="18">
        <f>VLOOKUP(LEFT(A11,5),HPMS!$A$4:$U$71,14)+VLOOKUP(LEFT(A11,5),HPMS!$A$4:$U$71,15)</f>
        <v>15156</v>
      </c>
      <c r="P11" s="18">
        <f>VLOOKUP(LEFT(A11,5),Complete2011!$14:$113,11)</f>
        <v>10872</v>
      </c>
      <c r="Q11" s="18">
        <f>VLOOKUP(LEFT(A11,5),HPMS!$A$4:$U$71,21)</f>
        <v>31884</v>
      </c>
      <c r="R11" s="18">
        <f t="shared" si="5"/>
        <v>16728</v>
      </c>
      <c r="S11" s="141">
        <f t="shared" si="6"/>
        <v>39.805103630647878</v>
      </c>
      <c r="T11" s="141">
        <f t="shared" si="7"/>
        <v>46.551768178430706</v>
      </c>
      <c r="U11" s="141">
        <f t="shared" si="8"/>
        <v>64.046411741712433</v>
      </c>
      <c r="V11" s="141">
        <f t="shared" si="9"/>
        <v>74.901794999095003</v>
      </c>
      <c r="W11" s="18" t="str">
        <f t="shared" si="0"/>
        <v>Columbus</v>
      </c>
      <c r="Z11" s="18">
        <f t="shared" si="10"/>
        <v>26</v>
      </c>
    </row>
    <row r="12" spans="1:26">
      <c r="A12" s="71" t="s">
        <v>61</v>
      </c>
      <c r="B12">
        <v>54</v>
      </c>
      <c r="C12">
        <v>64.099999999999994</v>
      </c>
      <c r="D12">
        <v>33.1</v>
      </c>
      <c r="E12">
        <v>39.1</v>
      </c>
      <c r="G12" s="18">
        <v>0.25</v>
      </c>
      <c r="H12" s="18">
        <f t="shared" si="1"/>
        <v>38.325000000000003</v>
      </c>
      <c r="I12" s="18">
        <f t="shared" si="2"/>
        <v>45.35</v>
      </c>
      <c r="K12" s="18">
        <f t="shared" si="3"/>
        <v>61.664925000000004</v>
      </c>
      <c r="L12" s="18">
        <f t="shared" si="4"/>
        <v>72.968150000000009</v>
      </c>
      <c r="N12" s="18">
        <f>VLOOKUP(LEFT(A12,5),Complete2011!$14:$113,9)</f>
        <v>62600</v>
      </c>
      <c r="O12" s="18">
        <f>VLOOKUP(LEFT(A12,5),HPMS!$A$4:$U$71,14)+VLOOKUP(LEFT(A12,5),HPMS!$A$4:$U$71,15)</f>
        <v>61385</v>
      </c>
      <c r="P12" s="18">
        <f>VLOOKUP(LEFT(A12,5),Complete2011!$14:$113,11)</f>
        <v>44012</v>
      </c>
      <c r="Q12" s="18">
        <f>VLOOKUP(LEFT(A12,5),HPMS!$A$4:$U$71,21)</f>
        <v>123127</v>
      </c>
      <c r="R12" s="18">
        <f t="shared" si="5"/>
        <v>61742</v>
      </c>
      <c r="S12" s="141">
        <f t="shared" si="6"/>
        <v>41.013945123768814</v>
      </c>
      <c r="T12" s="141">
        <f t="shared" si="7"/>
        <v>48.537806997142113</v>
      </c>
      <c r="U12" s="141">
        <f t="shared" si="8"/>
        <v>65.991437704144019</v>
      </c>
      <c r="V12" s="141">
        <f t="shared" si="9"/>
        <v>78.097331458401655</v>
      </c>
      <c r="W12" s="18" t="str">
        <f t="shared" si="0"/>
        <v>Dallas-Fort Worth</v>
      </c>
      <c r="Z12" s="18">
        <f t="shared" si="10"/>
        <v>17</v>
      </c>
    </row>
    <row r="13" spans="1:26">
      <c r="A13" s="71" t="s">
        <v>36</v>
      </c>
      <c r="B13">
        <v>50.9</v>
      </c>
      <c r="C13">
        <v>62.3</v>
      </c>
      <c r="D13">
        <v>32.1</v>
      </c>
      <c r="E13">
        <v>38</v>
      </c>
      <c r="G13" s="18">
        <v>0.25</v>
      </c>
      <c r="H13" s="18">
        <f t="shared" si="1"/>
        <v>36.800000000000004</v>
      </c>
      <c r="I13" s="18">
        <f t="shared" si="2"/>
        <v>44.075000000000003</v>
      </c>
      <c r="K13" s="18">
        <f t="shared" si="3"/>
        <v>59.211200000000005</v>
      </c>
      <c r="L13" s="18">
        <f t="shared" si="4"/>
        <v>70.916674999999998</v>
      </c>
      <c r="N13" s="18">
        <f>VLOOKUP(LEFT(A13,5),Complete2011!$14:$113,9)</f>
        <v>22205</v>
      </c>
      <c r="O13" s="18">
        <f>VLOOKUP(LEFT(A13,5),HPMS!$A$4:$U$71,14)+VLOOKUP(LEFT(A13,5),HPMS!$A$4:$U$71,15)</f>
        <v>20412</v>
      </c>
      <c r="P13" s="18">
        <f>VLOOKUP(LEFT(A13,5),Complete2011!$14:$113,11)</f>
        <v>21575</v>
      </c>
      <c r="Q13" s="18">
        <f>VLOOKUP(LEFT(A13,5),HPMS!$A$4:$U$71,21)</f>
        <v>50534</v>
      </c>
      <c r="R13" s="18">
        <f t="shared" si="5"/>
        <v>30122</v>
      </c>
      <c r="S13" s="141">
        <f t="shared" si="6"/>
        <v>37.728786671754015</v>
      </c>
      <c r="T13" s="141">
        <f t="shared" si="7"/>
        <v>45.106567592291029</v>
      </c>
      <c r="U13" s="141">
        <f t="shared" si="8"/>
        <v>60.705617754852213</v>
      </c>
      <c r="V13" s="141">
        <f t="shared" si="9"/>
        <v>72.576467255996263</v>
      </c>
      <c r="W13" s="18" t="str">
        <f t="shared" si="0"/>
        <v>Denver</v>
      </c>
      <c r="Z13" s="18">
        <f t="shared" si="10"/>
        <v>36</v>
      </c>
    </row>
    <row r="14" spans="1:26">
      <c r="A14" s="71" t="s">
        <v>37</v>
      </c>
      <c r="B14">
        <v>57</v>
      </c>
      <c r="C14">
        <v>64.3</v>
      </c>
      <c r="D14">
        <v>33.4</v>
      </c>
      <c r="E14">
        <v>38.700000000000003</v>
      </c>
      <c r="G14" s="18">
        <v>0.25</v>
      </c>
      <c r="H14" s="18">
        <f t="shared" si="1"/>
        <v>39.299999999999997</v>
      </c>
      <c r="I14" s="18">
        <f t="shared" si="2"/>
        <v>45.1</v>
      </c>
      <c r="K14" s="18">
        <f t="shared" si="3"/>
        <v>63.233699999999992</v>
      </c>
      <c r="L14" s="18">
        <f t="shared" si="4"/>
        <v>72.565899999999999</v>
      </c>
      <c r="N14" s="18">
        <f>VLOOKUP(LEFT(A14,5),Complete2011!$14:$113,9)</f>
        <v>32778</v>
      </c>
      <c r="O14" s="18">
        <f>VLOOKUP(LEFT(A14,5),HPMS!$A$4:$U$71,14)+VLOOKUP(LEFT(A14,5),HPMS!$A$4:$U$71,15)</f>
        <v>30444</v>
      </c>
      <c r="P14" s="18">
        <f>VLOOKUP(LEFT(A14,5),Complete2011!$14:$113,11)</f>
        <v>46953</v>
      </c>
      <c r="Q14" s="18">
        <f>VLOOKUP(LEFT(A14,5),HPMS!$A$4:$U$71,21)</f>
        <v>93177</v>
      </c>
      <c r="R14" s="18">
        <f t="shared" si="5"/>
        <v>62733</v>
      </c>
      <c r="S14" s="141">
        <f t="shared" si="6"/>
        <v>38.625171618077097</v>
      </c>
      <c r="T14" s="141">
        <f t="shared" si="7"/>
        <v>44.487024810670832</v>
      </c>
      <c r="U14" s="141">
        <f t="shared" si="8"/>
        <v>62.147901133486052</v>
      </c>
      <c r="V14" s="141">
        <f t="shared" si="9"/>
        <v>71.579622920369374</v>
      </c>
      <c r="W14" s="18" t="str">
        <f t="shared" si="0"/>
        <v>Detroit</v>
      </c>
      <c r="Z14" s="18">
        <f t="shared" si="10"/>
        <v>40</v>
      </c>
    </row>
    <row r="15" spans="1:26">
      <c r="A15" s="71" t="s">
        <v>79</v>
      </c>
      <c r="B15">
        <v>61.1</v>
      </c>
      <c r="C15">
        <v>63.9</v>
      </c>
      <c r="D15">
        <v>36.299999999999997</v>
      </c>
      <c r="E15">
        <v>39.799999999999997</v>
      </c>
      <c r="G15" s="18">
        <v>0.25</v>
      </c>
      <c r="H15" s="18">
        <f t="shared" si="1"/>
        <v>42.5</v>
      </c>
      <c r="I15" s="18">
        <f t="shared" si="2"/>
        <v>45.824999999999996</v>
      </c>
      <c r="K15" s="18">
        <f t="shared" si="3"/>
        <v>68.382499999999993</v>
      </c>
      <c r="L15" s="18">
        <f t="shared" si="4"/>
        <v>73.732424999999992</v>
      </c>
      <c r="N15" s="18">
        <f>VLOOKUP(LEFT(A15,5),Complete2011!$14:$113,9)</f>
        <v>5624</v>
      </c>
      <c r="O15" s="18">
        <f>VLOOKUP(LEFT(A15,5),HPMS!$A$4:$U$71,14)+VLOOKUP(LEFT(A15,5),HPMS!$A$4:$U$71,15)</f>
        <v>5243</v>
      </c>
      <c r="P15" s="18">
        <f>VLOOKUP(LEFT(A15,5),Complete2011!$14:$113,11)</f>
        <v>7725</v>
      </c>
      <c r="Q15" s="18">
        <f>VLOOKUP(LEFT(A15,5),HPMS!$A$4:$U$71,21)</f>
        <v>15382</v>
      </c>
      <c r="R15" s="18">
        <f t="shared" si="5"/>
        <v>10139</v>
      </c>
      <c r="S15" s="141">
        <f t="shared" si="6"/>
        <v>42.128448860713412</v>
      </c>
      <c r="T15" s="141">
        <f t="shared" si="7"/>
        <v>45.671181122953783</v>
      </c>
      <c r="U15" s="141">
        <f t="shared" si="8"/>
        <v>67.784674216887879</v>
      </c>
      <c r="V15" s="141">
        <f t="shared" si="9"/>
        <v>73.484930426832634</v>
      </c>
      <c r="W15" s="18" t="str">
        <f t="shared" si="0"/>
        <v>Grand Rapids</v>
      </c>
      <c r="Z15" s="18">
        <f t="shared" si="10"/>
        <v>33</v>
      </c>
    </row>
    <row r="16" spans="1:26">
      <c r="A16" s="71" t="s">
        <v>511</v>
      </c>
      <c r="B16">
        <v>56.1</v>
      </c>
      <c r="C16">
        <v>62.9</v>
      </c>
      <c r="D16">
        <v>35.1</v>
      </c>
      <c r="E16">
        <v>41.5</v>
      </c>
      <c r="G16" s="18">
        <v>0.25</v>
      </c>
      <c r="H16" s="18">
        <f t="shared" si="1"/>
        <v>40.35</v>
      </c>
      <c r="I16" s="18">
        <f t="shared" si="2"/>
        <v>46.85</v>
      </c>
      <c r="K16" s="18">
        <f t="shared" si="3"/>
        <v>64.923150000000007</v>
      </c>
      <c r="L16" s="18">
        <f t="shared" si="4"/>
        <v>75.381650000000008</v>
      </c>
      <c r="N16" s="18">
        <f>VLOOKUP(LEFT(A16,5),Complete2011!$14:$113,9)</f>
        <v>13144</v>
      </c>
      <c r="O16" s="18">
        <f>VLOOKUP(LEFT(A16,5),HPMS!$A$4:$U$71,14)+VLOOKUP(LEFT(A16,5),HPMS!$A$4:$U$71,15)</f>
        <v>13059</v>
      </c>
      <c r="P16" s="18">
        <f>VLOOKUP(LEFT(A16,5),Complete2011!$14:$113,11)</f>
        <v>18165</v>
      </c>
      <c r="Q16" s="18">
        <f>VLOOKUP(LEFT(A16,5),HPMS!$A$4:$U$71,21)</f>
        <v>38395</v>
      </c>
      <c r="R16" s="18">
        <f t="shared" si="5"/>
        <v>25336</v>
      </c>
      <c r="S16" s="141">
        <f t="shared" si="6"/>
        <v>40.220861798336514</v>
      </c>
      <c r="T16" s="141">
        <f t="shared" si="7"/>
        <v>46.930694308331461</v>
      </c>
      <c r="U16" s="141">
        <f t="shared" si="8"/>
        <v>64.715366633523445</v>
      </c>
      <c r="V16" s="141">
        <f t="shared" si="9"/>
        <v>75.511487142105324</v>
      </c>
      <c r="W16" s="18" t="str">
        <f t="shared" si="0"/>
        <v>Virginia Beach</v>
      </c>
      <c r="Z16" s="18">
        <f t="shared" si="10"/>
        <v>24</v>
      </c>
    </row>
    <row r="17" spans="1:26">
      <c r="A17" s="71" t="s">
        <v>38</v>
      </c>
      <c r="B17">
        <v>58.1</v>
      </c>
      <c r="C17">
        <v>63.3</v>
      </c>
      <c r="D17">
        <v>30.6</v>
      </c>
      <c r="E17">
        <v>37.200000000000003</v>
      </c>
      <c r="G17" s="18">
        <v>0.25</v>
      </c>
      <c r="H17" s="18">
        <f t="shared" si="1"/>
        <v>37.475000000000001</v>
      </c>
      <c r="I17" s="18">
        <f t="shared" si="2"/>
        <v>43.725000000000001</v>
      </c>
      <c r="K17" s="18">
        <f t="shared" si="3"/>
        <v>60.297274999999999</v>
      </c>
      <c r="L17" s="18">
        <f t="shared" si="4"/>
        <v>70.353525000000005</v>
      </c>
      <c r="N17" s="18">
        <f>VLOOKUP(LEFT(A17,5),Complete2011!$14:$113,9)</f>
        <v>11693</v>
      </c>
      <c r="O17" s="18">
        <f>VLOOKUP(LEFT(A17,5),HPMS!$A$4:$U$71,14)+VLOOKUP(LEFT(A17,5),HPMS!$A$4:$U$71,15)</f>
        <v>10789</v>
      </c>
      <c r="P17" s="18">
        <f>VLOOKUP(LEFT(A17,5),Complete2011!$14:$113,11)</f>
        <v>7428</v>
      </c>
      <c r="Q17" s="18">
        <f>VLOOKUP(LEFT(A17,5),HPMS!$A$4:$U$71,21)</f>
        <v>22333</v>
      </c>
      <c r="R17" s="18">
        <f t="shared" si="5"/>
        <v>11544</v>
      </c>
      <c r="S17" s="141">
        <f t="shared" si="6"/>
        <v>39.671234764696962</v>
      </c>
      <c r="T17" s="141">
        <f t="shared" si="7"/>
        <v>46.453056640573244</v>
      </c>
      <c r="U17" s="141">
        <f t="shared" si="8"/>
        <v>63.831016736397409</v>
      </c>
      <c r="V17" s="141">
        <f t="shared" si="9"/>
        <v>74.742968134682343</v>
      </c>
      <c r="W17" s="18" t="str">
        <f t="shared" si="0"/>
        <v>Hartford</v>
      </c>
      <c r="Z17" s="18">
        <f t="shared" si="10"/>
        <v>27</v>
      </c>
    </row>
    <row r="18" spans="1:26">
      <c r="A18" s="71" t="s">
        <v>80</v>
      </c>
      <c r="B18">
        <v>44.7</v>
      </c>
      <c r="C18">
        <v>57.2</v>
      </c>
      <c r="D18">
        <v>28.5</v>
      </c>
      <c r="E18">
        <v>34.799999999999997</v>
      </c>
      <c r="G18" s="18">
        <v>0.25</v>
      </c>
      <c r="H18" s="18">
        <f t="shared" si="1"/>
        <v>32.549999999999997</v>
      </c>
      <c r="I18" s="18">
        <f t="shared" si="2"/>
        <v>40.4</v>
      </c>
      <c r="K18" s="18">
        <f t="shared" si="3"/>
        <v>52.372949999999996</v>
      </c>
      <c r="L18" s="18">
        <f t="shared" si="4"/>
        <v>65.003599999999992</v>
      </c>
      <c r="N18" s="18">
        <f>VLOOKUP(LEFT(A18,5),Complete2011!$14:$113,9)</f>
        <v>6265</v>
      </c>
      <c r="O18" s="18">
        <f>VLOOKUP(LEFT(A18,5),HPMS!$A$4:$U$71,14)+VLOOKUP(LEFT(A18,5),HPMS!$A$4:$U$71,15)</f>
        <v>5795</v>
      </c>
      <c r="P18" s="18">
        <f>VLOOKUP(LEFT(A18,5),Complete2011!$14:$113,11)</f>
        <v>3148</v>
      </c>
      <c r="Q18" s="18">
        <f>VLOOKUP(LEFT(A18,5),HPMS!$A$4:$U$71,21)</f>
        <v>12977</v>
      </c>
      <c r="R18" s="18">
        <f t="shared" si="5"/>
        <v>7182</v>
      </c>
      <c r="S18" s="141">
        <f t="shared" si="6"/>
        <v>34.003065758467478</v>
      </c>
      <c r="T18" s="141">
        <f t="shared" si="7"/>
        <v>42.175497896735287</v>
      </c>
      <c r="U18" s="141">
        <f t="shared" si="8"/>
        <v>54.710932805374171</v>
      </c>
      <c r="V18" s="141">
        <f t="shared" si="9"/>
        <v>67.860376115847075</v>
      </c>
      <c r="W18" s="18" t="str">
        <f t="shared" si="0"/>
        <v>Honolulu</v>
      </c>
      <c r="Z18" s="18">
        <f t="shared" si="10"/>
        <v>50</v>
      </c>
    </row>
    <row r="19" spans="1:26">
      <c r="A19" s="71" t="s">
        <v>39</v>
      </c>
      <c r="B19">
        <v>54.2</v>
      </c>
      <c r="C19">
        <v>63.9</v>
      </c>
      <c r="D19">
        <v>33.9</v>
      </c>
      <c r="E19">
        <v>40.200000000000003</v>
      </c>
      <c r="G19" s="18">
        <v>0.25</v>
      </c>
      <c r="H19" s="18">
        <f t="shared" si="1"/>
        <v>38.974999999999994</v>
      </c>
      <c r="I19" s="18">
        <f t="shared" si="2"/>
        <v>46.125</v>
      </c>
      <c r="K19" s="18">
        <f t="shared" si="3"/>
        <v>62.710774999999991</v>
      </c>
      <c r="L19" s="18">
        <f t="shared" si="4"/>
        <v>74.215125</v>
      </c>
      <c r="N19" s="18">
        <f>VLOOKUP(LEFT(A19,5),Complete2011!$14:$113,9)</f>
        <v>54700</v>
      </c>
      <c r="O19" s="18">
        <f>VLOOKUP(LEFT(A19,5),HPMS!$A$4:$U$71,14)+VLOOKUP(LEFT(A19,5),HPMS!$A$4:$U$71,15)</f>
        <v>52039</v>
      </c>
      <c r="P19" s="18">
        <f>VLOOKUP(LEFT(A19,5),Complete2011!$14:$113,11)</f>
        <v>40768</v>
      </c>
      <c r="Q19" s="18">
        <f>VLOOKUP(LEFT(A19,5),HPMS!$A$4:$U$71,21)</f>
        <v>107005</v>
      </c>
      <c r="R19" s="18">
        <f t="shared" si="5"/>
        <v>54966</v>
      </c>
      <c r="S19" s="141">
        <f t="shared" si="6"/>
        <v>41.449983116111248</v>
      </c>
      <c r="T19" s="141">
        <f t="shared" si="7"/>
        <v>49.046721147023085</v>
      </c>
      <c r="U19" s="141">
        <f t="shared" si="8"/>
        <v>66.693022833822994</v>
      </c>
      <c r="V19" s="141">
        <f t="shared" si="9"/>
        <v>78.916174325560149</v>
      </c>
      <c r="W19" s="18" t="str">
        <f t="shared" si="0"/>
        <v>Houston</v>
      </c>
      <c r="Z19" s="18">
        <f t="shared" si="10"/>
        <v>12</v>
      </c>
    </row>
    <row r="20" spans="1:26">
      <c r="A20" s="71" t="s">
        <v>40</v>
      </c>
      <c r="B20">
        <v>55.4</v>
      </c>
      <c r="C20">
        <v>63</v>
      </c>
      <c r="D20">
        <v>34.6</v>
      </c>
      <c r="E20">
        <v>40.1</v>
      </c>
      <c r="G20" s="18">
        <v>0.25</v>
      </c>
      <c r="H20" s="18">
        <f t="shared" si="1"/>
        <v>39.800000000000004</v>
      </c>
      <c r="I20" s="18">
        <f t="shared" si="2"/>
        <v>45.825000000000003</v>
      </c>
      <c r="K20" s="18">
        <f t="shared" si="3"/>
        <v>64.038200000000003</v>
      </c>
      <c r="L20" s="18">
        <f t="shared" si="4"/>
        <v>73.732425000000006</v>
      </c>
      <c r="N20" s="18">
        <f>VLOOKUP(LEFT(A20,5),Complete2011!$14:$113,9)</f>
        <v>14205</v>
      </c>
      <c r="O20" s="18">
        <f>VLOOKUP(LEFT(A20,5),HPMS!$A$4:$U$71,14)+VLOOKUP(LEFT(A20,5),HPMS!$A$4:$U$71,15)</f>
        <v>13081</v>
      </c>
      <c r="P20" s="18">
        <f>VLOOKUP(LEFT(A20,5),Complete2011!$14:$113,11)</f>
        <v>14283</v>
      </c>
      <c r="Q20" s="18">
        <f>VLOOKUP(LEFT(A20,5),HPMS!$A$4:$U$71,21)</f>
        <v>44022</v>
      </c>
      <c r="R20" s="18">
        <f t="shared" si="5"/>
        <v>30941</v>
      </c>
      <c r="S20" s="141">
        <f t="shared" si="6"/>
        <v>38.944849935432771</v>
      </c>
      <c r="T20" s="141">
        <f t="shared" si="7"/>
        <v>44.955687799381295</v>
      </c>
      <c r="U20" s="141">
        <f t="shared" si="8"/>
        <v>62.662263546111326</v>
      </c>
      <c r="V20" s="141">
        <f t="shared" si="9"/>
        <v>72.333701669204501</v>
      </c>
      <c r="W20" s="18" t="str">
        <f t="shared" si="0"/>
        <v>Indianapolis</v>
      </c>
      <c r="Z20" s="18">
        <f t="shared" si="10"/>
        <v>37</v>
      </c>
    </row>
    <row r="21" spans="1:26">
      <c r="A21" s="18" t="s">
        <v>372</v>
      </c>
      <c r="B21">
        <v>54.4</v>
      </c>
      <c r="C21">
        <v>64.7</v>
      </c>
      <c r="D21">
        <v>37.5</v>
      </c>
      <c r="E21">
        <v>43.1</v>
      </c>
      <c r="G21" s="18">
        <v>0.25</v>
      </c>
      <c r="H21" s="18">
        <f t="shared" si="1"/>
        <v>41.725000000000001</v>
      </c>
      <c r="I21" s="18">
        <f t="shared" si="2"/>
        <v>48.5</v>
      </c>
      <c r="K21" s="18">
        <f t="shared" si="3"/>
        <v>67.135525000000001</v>
      </c>
      <c r="L21" s="18">
        <f t="shared" si="4"/>
        <v>78.036500000000004</v>
      </c>
      <c r="N21" s="18">
        <f>VLOOKUP(LEFT(A21,5),Complete2011!$14:$113,9)</f>
        <v>22302</v>
      </c>
      <c r="O21" s="18">
        <f>VLOOKUP(LEFT(A21,5),HPMS!$A$4:$U$71,14)+VLOOKUP(LEFT(A21,5),HPMS!$A$4:$U$71,15)</f>
        <v>21993</v>
      </c>
      <c r="P21" s="18">
        <f>VLOOKUP(LEFT(A21,5),Complete2011!$14:$113,11)</f>
        <v>14021</v>
      </c>
      <c r="Q21" s="18">
        <f>VLOOKUP(LEFT(A21,5),HPMS!$A$4:$U$71,21)</f>
        <v>41858</v>
      </c>
      <c r="R21" s="18">
        <f t="shared" si="5"/>
        <v>19865</v>
      </c>
      <c r="S21" s="141">
        <f t="shared" si="6"/>
        <v>44.815057886992896</v>
      </c>
      <c r="T21" s="141">
        <f t="shared" si="7"/>
        <v>52.268428791475131</v>
      </c>
      <c r="U21" s="141">
        <f t="shared" si="8"/>
        <v>72.107428140171564</v>
      </c>
      <c r="V21" s="141">
        <f t="shared" si="9"/>
        <v>84.099901925483479</v>
      </c>
      <c r="W21" s="18" t="str">
        <f t="shared" si="0"/>
        <v>Riverside-San Bernardino CA</v>
      </c>
      <c r="Z21" s="18">
        <f t="shared" si="10"/>
        <v>3</v>
      </c>
    </row>
    <row r="22" spans="1:26">
      <c r="A22" s="71" t="s">
        <v>41</v>
      </c>
      <c r="B22">
        <v>58.9</v>
      </c>
      <c r="C22">
        <v>63.4</v>
      </c>
      <c r="D22">
        <v>37.4</v>
      </c>
      <c r="E22">
        <v>43.3</v>
      </c>
      <c r="G22" s="18">
        <v>0.25</v>
      </c>
      <c r="H22" s="18">
        <f t="shared" si="1"/>
        <v>42.774999999999999</v>
      </c>
      <c r="I22" s="18">
        <f t="shared" si="2"/>
        <v>48.324999999999996</v>
      </c>
      <c r="K22" s="18">
        <f t="shared" si="3"/>
        <v>68.824974999999995</v>
      </c>
      <c r="L22" s="18">
        <f t="shared" si="4"/>
        <v>77.754924999999986</v>
      </c>
      <c r="N22" s="18">
        <f>VLOOKUP(LEFT(A22,5),Complete2011!$14:$113,9)</f>
        <v>12226</v>
      </c>
      <c r="O22" s="18">
        <f>VLOOKUP(LEFT(A22,5),HPMS!$A$4:$U$71,14)+VLOOKUP(LEFT(A22,5),HPMS!$A$4:$U$71,15)</f>
        <v>11543</v>
      </c>
      <c r="P22" s="18">
        <f>VLOOKUP(LEFT(A22,5),Complete2011!$14:$113,11)</f>
        <v>9360</v>
      </c>
      <c r="Q22" s="18">
        <f>VLOOKUP(LEFT(A22,5),HPMS!$A$4:$U$71,21)</f>
        <v>32542</v>
      </c>
      <c r="R22" s="18">
        <f t="shared" si="5"/>
        <v>20999</v>
      </c>
      <c r="S22" s="141">
        <f t="shared" si="6"/>
        <v>42.962752206362737</v>
      </c>
      <c r="T22" s="141">
        <f t="shared" si="7"/>
        <v>48.786294088109187</v>
      </c>
      <c r="U22" s="141">
        <f t="shared" si="8"/>
        <v>69.127068300037649</v>
      </c>
      <c r="V22" s="141">
        <f t="shared" si="9"/>
        <v>78.497147187767681</v>
      </c>
      <c r="W22" s="18" t="str">
        <f t="shared" si="0"/>
        <v>Jacksonville</v>
      </c>
      <c r="Z22" s="18">
        <f t="shared" si="10"/>
        <v>13</v>
      </c>
    </row>
    <row r="23" spans="1:26">
      <c r="A23" s="71" t="s">
        <v>74</v>
      </c>
      <c r="B23">
        <v>57.6</v>
      </c>
      <c r="C23">
        <v>62.7</v>
      </c>
      <c r="D23">
        <v>33.9</v>
      </c>
      <c r="E23">
        <v>37.5</v>
      </c>
      <c r="G23" s="18">
        <v>0.25</v>
      </c>
      <c r="H23" s="18">
        <f t="shared" si="1"/>
        <v>39.824999999999996</v>
      </c>
      <c r="I23" s="18">
        <f t="shared" si="2"/>
        <v>43.8</v>
      </c>
      <c r="K23" s="18">
        <f t="shared" si="3"/>
        <v>64.078424999999996</v>
      </c>
      <c r="L23" s="18">
        <f t="shared" si="4"/>
        <v>70.474199999999996</v>
      </c>
      <c r="N23" s="18">
        <f>VLOOKUP(LEFT(A23,5),Complete2011!$14:$113,9)</f>
        <v>21701</v>
      </c>
      <c r="O23" s="18">
        <f>VLOOKUP(LEFT(A23,5),HPMS!$A$4:$U$71,14)+VLOOKUP(LEFT(A23,5),HPMS!$A$4:$U$71,15)</f>
        <v>20761</v>
      </c>
      <c r="P23" s="18">
        <f>VLOOKUP(LEFT(A23,5),Complete2011!$14:$113,11)</f>
        <v>12242</v>
      </c>
      <c r="Q23" s="18">
        <f>VLOOKUP(LEFT(A23,5),HPMS!$A$4:$U$71,21)</f>
        <v>43662</v>
      </c>
      <c r="R23" s="18">
        <f t="shared" si="5"/>
        <v>22901</v>
      </c>
      <c r="S23" s="141">
        <f t="shared" si="6"/>
        <v>42.145611416902156</v>
      </c>
      <c r="T23" s="141">
        <f t="shared" si="7"/>
        <v>46.359680923787984</v>
      </c>
      <c r="U23" s="141">
        <f t="shared" si="8"/>
        <v>67.812288769795572</v>
      </c>
      <c r="V23" s="141">
        <f t="shared" si="9"/>
        <v>74.592726606374868</v>
      </c>
      <c r="W23" s="18" t="str">
        <f t="shared" si="0"/>
        <v>Kansas City</v>
      </c>
      <c r="Z23" s="18">
        <f t="shared" si="10"/>
        <v>28</v>
      </c>
    </row>
    <row r="24" spans="1:26">
      <c r="A24" s="71" t="s">
        <v>62</v>
      </c>
      <c r="B24">
        <v>57.4</v>
      </c>
      <c r="C24">
        <v>64.599999999999994</v>
      </c>
      <c r="D24">
        <v>33.700000000000003</v>
      </c>
      <c r="E24">
        <v>39.799999999999997</v>
      </c>
      <c r="G24" s="18">
        <v>0.25</v>
      </c>
      <c r="H24" s="18">
        <f t="shared" si="1"/>
        <v>39.625</v>
      </c>
      <c r="I24" s="18">
        <f t="shared" si="2"/>
        <v>46</v>
      </c>
      <c r="K24" s="18">
        <f t="shared" si="3"/>
        <v>63.756625</v>
      </c>
      <c r="L24" s="18">
        <f t="shared" si="4"/>
        <v>74.013999999999996</v>
      </c>
      <c r="N24" s="18">
        <f>VLOOKUP(LEFT(A24,5),Complete2011!$14:$113,9)</f>
        <v>11980</v>
      </c>
      <c r="O24" s="18">
        <f>VLOOKUP(LEFT(A24,5),HPMS!$A$4:$U$71,14)+VLOOKUP(LEFT(A24,5),HPMS!$A$4:$U$71,15)</f>
        <v>10805</v>
      </c>
      <c r="P24" s="18">
        <f>VLOOKUP(LEFT(A24,5),Complete2011!$14:$113,11)</f>
        <v>15145</v>
      </c>
      <c r="Q24" s="18">
        <f>VLOOKUP(LEFT(A24,5),HPMS!$A$4:$U$71,21)</f>
        <v>33852</v>
      </c>
      <c r="R24" s="18">
        <f t="shared" si="5"/>
        <v>23047</v>
      </c>
      <c r="S24" s="141">
        <f t="shared" si="6"/>
        <v>38.815418443684017</v>
      </c>
      <c r="T24" s="141">
        <f t="shared" si="7"/>
        <v>45.357926435236642</v>
      </c>
      <c r="U24" s="141">
        <f t="shared" si="8"/>
        <v>62.454008275887581</v>
      </c>
      <c r="V24" s="141">
        <f t="shared" si="9"/>
        <v>72.980903634295757</v>
      </c>
      <c r="W24" s="18" t="str">
        <f t="shared" si="0"/>
        <v>Las Vegas</v>
      </c>
      <c r="Z24" s="18">
        <f t="shared" si="10"/>
        <v>35</v>
      </c>
    </row>
    <row r="25" spans="1:26" ht="16">
      <c r="A25" s="71" t="s">
        <v>180</v>
      </c>
      <c r="B25">
        <v>48.6</v>
      </c>
      <c r="C25">
        <v>64.599999999999994</v>
      </c>
      <c r="D25">
        <v>37.4</v>
      </c>
      <c r="E25">
        <v>43.7</v>
      </c>
      <c r="G25" s="18">
        <v>0.25</v>
      </c>
      <c r="H25" s="18">
        <f t="shared" si="1"/>
        <v>40.199999999999996</v>
      </c>
      <c r="I25" s="18">
        <f t="shared" si="2"/>
        <v>48.925000000000004</v>
      </c>
      <c r="K25" s="18">
        <f t="shared" si="3"/>
        <v>64.681799999999996</v>
      </c>
      <c r="L25" s="18">
        <f t="shared" si="4"/>
        <v>78.720325000000003</v>
      </c>
      <c r="N25" s="18">
        <f>VLOOKUP(LEFT(A25,5),Complete2011!$14:$113,9)</f>
        <v>137813</v>
      </c>
      <c r="O25" s="18">
        <f>VLOOKUP(LEFT(A25,5),HPMS!$A$4:$U$71,14)+VLOOKUP(LEFT(A25,5),HPMS!$A$4:$U$71,15)</f>
        <v>131995</v>
      </c>
      <c r="P25" s="18">
        <f>VLOOKUP(LEFT(A25,5),Complete2011!$14:$113,11)</f>
        <v>116970</v>
      </c>
      <c r="Q25" s="18">
        <f>VLOOKUP(LEFT(A25,5),HPMS!$A$4:$U$71,21)</f>
        <v>273316</v>
      </c>
      <c r="R25" s="18">
        <f t="shared" si="5"/>
        <v>141321</v>
      </c>
      <c r="S25" s="141">
        <f t="shared" si="6"/>
        <v>42.083688152432998</v>
      </c>
      <c r="T25" s="141">
        <f t="shared" si="7"/>
        <v>51.792287087068551</v>
      </c>
      <c r="U25" s="141">
        <f t="shared" si="8"/>
        <v>67.712654237264687</v>
      </c>
      <c r="V25" s="141">
        <f t="shared" si="9"/>
        <v>83.333789923093292</v>
      </c>
      <c r="W25" s="18" t="str">
        <f t="shared" si="0"/>
        <v>Los Angeles2</v>
      </c>
      <c r="Z25" s="18">
        <f t="shared" si="10"/>
        <v>4</v>
      </c>
    </row>
    <row r="26" spans="1:26">
      <c r="A26" s="71" t="s">
        <v>42</v>
      </c>
      <c r="B26">
        <v>57</v>
      </c>
      <c r="C26">
        <v>63.7</v>
      </c>
      <c r="D26">
        <v>36.1</v>
      </c>
      <c r="E26">
        <v>42.5</v>
      </c>
      <c r="G26" s="18">
        <v>0.25</v>
      </c>
      <c r="H26" s="18">
        <f t="shared" si="1"/>
        <v>41.325000000000003</v>
      </c>
      <c r="I26" s="18">
        <f t="shared" si="2"/>
        <v>47.8</v>
      </c>
      <c r="K26" s="18">
        <f t="shared" si="3"/>
        <v>66.491925000000009</v>
      </c>
      <c r="L26" s="18">
        <f t="shared" si="4"/>
        <v>76.910199999999989</v>
      </c>
      <c r="N26" s="18">
        <f>VLOOKUP(LEFT(A26,5),Complete2011!$14:$113,9)</f>
        <v>12250</v>
      </c>
      <c r="O26" s="18">
        <f>VLOOKUP(LEFT(A26,5),HPMS!$A$4:$U$71,14)+VLOOKUP(LEFT(A26,5),HPMS!$A$4:$U$71,15)</f>
        <v>12021</v>
      </c>
      <c r="P26" s="18">
        <f>VLOOKUP(LEFT(A26,5),Complete2011!$14:$113,11)</f>
        <v>9384</v>
      </c>
      <c r="Q26" s="18">
        <f>VLOOKUP(LEFT(A26,5),HPMS!$A$4:$U$71,21)</f>
        <v>26332</v>
      </c>
      <c r="R26" s="18">
        <f t="shared" si="5"/>
        <v>14311</v>
      </c>
      <c r="S26" s="141">
        <f t="shared" si="6"/>
        <v>43.357607768549052</v>
      </c>
      <c r="T26" s="141">
        <f t="shared" si="7"/>
        <v>50.113987089800574</v>
      </c>
      <c r="U26" s="141">
        <f t="shared" si="8"/>
        <v>69.762390899595417</v>
      </c>
      <c r="V26" s="141">
        <f t="shared" si="9"/>
        <v>80.633405227489121</v>
      </c>
      <c r="W26" s="18" t="str">
        <f t="shared" si="0"/>
        <v>Louisville</v>
      </c>
      <c r="Z26" s="18">
        <f t="shared" si="10"/>
        <v>7</v>
      </c>
    </row>
    <row r="27" spans="1:26">
      <c r="A27" s="71" t="s">
        <v>43</v>
      </c>
      <c r="B27">
        <v>56.9</v>
      </c>
      <c r="C27">
        <v>64</v>
      </c>
      <c r="D27">
        <v>36.1</v>
      </c>
      <c r="E27">
        <v>42.5</v>
      </c>
      <c r="G27" s="18">
        <v>0.25</v>
      </c>
      <c r="H27" s="18">
        <f t="shared" si="1"/>
        <v>41.300000000000004</v>
      </c>
      <c r="I27" s="18">
        <f t="shared" si="2"/>
        <v>47.875</v>
      </c>
      <c r="K27" s="18">
        <f t="shared" si="3"/>
        <v>66.451700000000002</v>
      </c>
      <c r="L27" s="18">
        <f t="shared" si="4"/>
        <v>77.030874999999995</v>
      </c>
      <c r="N27" s="18">
        <f>VLOOKUP(LEFT(A27,5),Complete2011!$14:$113,9)</f>
        <v>8541</v>
      </c>
      <c r="O27" s="18">
        <f>VLOOKUP(LEFT(A27,5),HPMS!$A$4:$U$71,14)+VLOOKUP(LEFT(A27,5),HPMS!$A$4:$U$71,15)</f>
        <v>8444</v>
      </c>
      <c r="P27" s="18">
        <f>VLOOKUP(LEFT(A27,5),Complete2011!$14:$113,11)</f>
        <v>12832</v>
      </c>
      <c r="Q27" s="18">
        <f>VLOOKUP(LEFT(A27,5),HPMS!$A$4:$U$71,21)</f>
        <v>25705</v>
      </c>
      <c r="R27" s="18">
        <f t="shared" si="5"/>
        <v>17261</v>
      </c>
      <c r="S27" s="141">
        <f t="shared" si="6"/>
        <v>41.026598834961838</v>
      </c>
      <c r="T27" s="141">
        <f t="shared" si="7"/>
        <v>47.771824314998767</v>
      </c>
      <c r="U27" s="141">
        <f t="shared" si="8"/>
        <v>66.011797525453602</v>
      </c>
      <c r="V27" s="141">
        <f t="shared" si="9"/>
        <v>76.864865322833012</v>
      </c>
      <c r="W27" s="18" t="str">
        <f t="shared" si="0"/>
        <v>Memphis</v>
      </c>
      <c r="Z27" s="18">
        <f t="shared" si="10"/>
        <v>19</v>
      </c>
    </row>
    <row r="28" spans="1:26">
      <c r="A28" s="71" t="s">
        <v>44</v>
      </c>
      <c r="B28">
        <v>55.6</v>
      </c>
      <c r="C28">
        <v>62.5</v>
      </c>
      <c r="D28">
        <v>35.700000000000003</v>
      </c>
      <c r="E28">
        <v>39.299999999999997</v>
      </c>
      <c r="G28" s="18">
        <v>0.25</v>
      </c>
      <c r="H28" s="18">
        <f t="shared" si="1"/>
        <v>40.675000000000004</v>
      </c>
      <c r="I28" s="18">
        <f t="shared" si="2"/>
        <v>45.099999999999994</v>
      </c>
      <c r="K28" s="18">
        <f t="shared" si="3"/>
        <v>65.446075000000008</v>
      </c>
      <c r="L28" s="18">
        <f t="shared" si="4"/>
        <v>72.565899999999985</v>
      </c>
      <c r="N28" s="18">
        <f>VLOOKUP(LEFT(A28,5),Complete2011!$14:$113,9)</f>
        <v>11490</v>
      </c>
      <c r="O28" s="18">
        <f>VLOOKUP(LEFT(A28,5),HPMS!$A$4:$U$71,14)+VLOOKUP(LEFT(A28,5),HPMS!$A$4:$U$71,15)</f>
        <v>11084</v>
      </c>
      <c r="P28" s="18">
        <f>VLOOKUP(LEFT(A28,5),Complete2011!$14:$113,11)</f>
        <v>15200</v>
      </c>
      <c r="Q28" s="18">
        <f>VLOOKUP(LEFT(A28,5),HPMS!$A$4:$U$71,21)</f>
        <v>28916</v>
      </c>
      <c r="R28" s="18">
        <f t="shared" si="5"/>
        <v>17832</v>
      </c>
      <c r="S28" s="141">
        <f t="shared" si="6"/>
        <v>41.376646870796264</v>
      </c>
      <c r="T28" s="141">
        <f t="shared" si="7"/>
        <v>45.81954068547266</v>
      </c>
      <c r="U28" s="141">
        <f t="shared" si="8"/>
        <v>66.575024815111192</v>
      </c>
      <c r="V28" s="141">
        <f t="shared" si="9"/>
        <v>73.723640962925515</v>
      </c>
      <c r="W28" s="18" t="str">
        <f t="shared" si="0"/>
        <v>Milwaukee</v>
      </c>
      <c r="Z28" s="18">
        <f t="shared" si="10"/>
        <v>31</v>
      </c>
    </row>
    <row r="29" spans="1:26">
      <c r="A29" s="71" t="s">
        <v>45</v>
      </c>
      <c r="B29">
        <v>54.3</v>
      </c>
      <c r="C29">
        <v>63.8</v>
      </c>
      <c r="D29" s="29">
        <v>39.6</v>
      </c>
      <c r="E29">
        <v>43.1</v>
      </c>
      <c r="G29" s="18">
        <v>0.25</v>
      </c>
      <c r="H29" s="18">
        <f t="shared" si="1"/>
        <v>43.275000000000006</v>
      </c>
      <c r="I29" s="18">
        <f t="shared" si="2"/>
        <v>48.275000000000006</v>
      </c>
      <c r="K29" s="18">
        <f t="shared" si="3"/>
        <v>69.629475000000014</v>
      </c>
      <c r="L29" s="18">
        <f t="shared" si="4"/>
        <v>77.674475000000015</v>
      </c>
      <c r="N29" s="18">
        <f>VLOOKUP(LEFT(A29,5),Complete2011!$14:$113,9)</f>
        <v>30383</v>
      </c>
      <c r="O29" s="18">
        <f>VLOOKUP(LEFT(A29,5),HPMS!$A$4:$U$71,14)+VLOOKUP(LEFT(A29,5),HPMS!$A$4:$U$71,15)</f>
        <v>28528</v>
      </c>
      <c r="P29" s="18">
        <f>VLOOKUP(LEFT(A29,5),Complete2011!$14:$113,11)</f>
        <v>23919</v>
      </c>
      <c r="Q29" s="18">
        <f>VLOOKUP(LEFT(A29,5),HPMS!$A$4:$U$71,21)</f>
        <v>64692</v>
      </c>
      <c r="R29" s="18">
        <f t="shared" si="5"/>
        <v>36164</v>
      </c>
      <c r="S29" s="141">
        <f t="shared" si="6"/>
        <v>44.968411522027118</v>
      </c>
      <c r="T29" s="141">
        <f t="shared" si="7"/>
        <v>50.296245712249991</v>
      </c>
      <c r="U29" s="141">
        <f t="shared" si="8"/>
        <v>72.35417413894163</v>
      </c>
      <c r="V29" s="141">
        <f t="shared" si="9"/>
        <v>80.92665935101023</v>
      </c>
      <c r="W29" s="18" t="str">
        <f t="shared" si="0"/>
        <v>Minneapolis-St.Paul</v>
      </c>
      <c r="Z29" s="18">
        <f t="shared" si="10"/>
        <v>6</v>
      </c>
    </row>
    <row r="30" spans="1:26">
      <c r="A30" s="71" t="s">
        <v>46</v>
      </c>
      <c r="B30">
        <v>57.2</v>
      </c>
      <c r="C30">
        <v>64.099999999999994</v>
      </c>
      <c r="D30">
        <v>34.200000000000003</v>
      </c>
      <c r="E30">
        <v>41.9</v>
      </c>
      <c r="G30" s="18">
        <v>0.25</v>
      </c>
      <c r="H30" s="18">
        <f t="shared" si="1"/>
        <v>39.950000000000003</v>
      </c>
      <c r="I30" s="18">
        <f t="shared" si="2"/>
        <v>47.449999999999996</v>
      </c>
      <c r="K30" s="18">
        <f t="shared" si="3"/>
        <v>64.27955</v>
      </c>
      <c r="L30" s="18">
        <f t="shared" si="4"/>
        <v>76.347049999999996</v>
      </c>
      <c r="N30" s="18">
        <f>VLOOKUP(LEFT(A30,5),Complete2011!$14:$113,9)</f>
        <v>14974</v>
      </c>
      <c r="O30" s="18">
        <f>VLOOKUP(LEFT(A30,5),HPMS!$A$4:$U$71,14)+VLOOKUP(LEFT(A30,5),HPMS!$A$4:$U$71,15)</f>
        <v>14765</v>
      </c>
      <c r="P30" s="18">
        <f>VLOOKUP(LEFT(A30,5),Complete2011!$14:$113,11)</f>
        <v>11405</v>
      </c>
      <c r="Q30" s="18">
        <f>VLOOKUP(LEFT(A30,5),HPMS!$A$4:$U$71,21)</f>
        <v>34391</v>
      </c>
      <c r="R30" s="18">
        <f t="shared" si="5"/>
        <v>19626</v>
      </c>
      <c r="S30" s="141">
        <f t="shared" si="6"/>
        <v>41.335882065179121</v>
      </c>
      <c r="T30" s="141">
        <f t="shared" si="7"/>
        <v>49.218299853022366</v>
      </c>
      <c r="U30" s="141">
        <f t="shared" si="8"/>
        <v>66.509434242873198</v>
      </c>
      <c r="V30" s="141">
        <f t="shared" si="9"/>
        <v>79.192244463512992</v>
      </c>
      <c r="W30" s="18" t="str">
        <f t="shared" si="0"/>
        <v>Nashville</v>
      </c>
      <c r="Z30" s="18">
        <f t="shared" si="10"/>
        <v>11</v>
      </c>
    </row>
    <row r="31" spans="1:26">
      <c r="A31" s="71" t="s">
        <v>47</v>
      </c>
      <c r="B31">
        <v>54.9</v>
      </c>
      <c r="C31">
        <v>63.2</v>
      </c>
      <c r="D31">
        <v>39.6</v>
      </c>
      <c r="E31">
        <v>43.7</v>
      </c>
      <c r="G31" s="18">
        <v>0.25</v>
      </c>
      <c r="H31" s="18">
        <f t="shared" si="1"/>
        <v>43.425000000000004</v>
      </c>
      <c r="I31" s="18">
        <f t="shared" si="2"/>
        <v>48.575000000000003</v>
      </c>
      <c r="K31" s="18">
        <f t="shared" si="3"/>
        <v>69.870825000000011</v>
      </c>
      <c r="L31" s="18">
        <f t="shared" si="4"/>
        <v>78.157175000000009</v>
      </c>
      <c r="N31" s="18">
        <f>VLOOKUP(LEFT(A31,5),Complete2011!$14:$113,9)</f>
        <v>4763</v>
      </c>
      <c r="O31" s="18">
        <f>VLOOKUP(LEFT(A31,5),HPMS!$A$4:$U$71,14)+VLOOKUP(LEFT(A31,5),HPMS!$A$4:$U$71,15)</f>
        <v>4696</v>
      </c>
      <c r="P31" s="18">
        <f>VLOOKUP(LEFT(A31,5),Complete2011!$14:$113,11)</f>
        <v>7670</v>
      </c>
      <c r="Q31" s="18">
        <f>VLOOKUP(LEFT(A31,5),HPMS!$A$4:$U$71,21)</f>
        <v>14343</v>
      </c>
      <c r="R31" s="18">
        <f t="shared" si="5"/>
        <v>9647</v>
      </c>
      <c r="S31" s="141">
        <f t="shared" si="6"/>
        <v>43.576082234612137</v>
      </c>
      <c r="T31" s="141">
        <f t="shared" si="7"/>
        <v>48.610625721555969</v>
      </c>
      <c r="U31" s="141">
        <f t="shared" si="8"/>
        <v>70.113916315490926</v>
      </c>
      <c r="V31" s="141">
        <f t="shared" si="9"/>
        <v>78.214496785983556</v>
      </c>
      <c r="W31" s="18" t="str">
        <f t="shared" si="0"/>
        <v>New Orleans</v>
      </c>
      <c r="Z31" s="18">
        <f t="shared" si="10"/>
        <v>15</v>
      </c>
    </row>
    <row r="32" spans="1:26">
      <c r="A32" s="71" t="s">
        <v>64</v>
      </c>
      <c r="B32">
        <v>52</v>
      </c>
      <c r="C32">
        <v>62.2</v>
      </c>
      <c r="D32">
        <v>31.9</v>
      </c>
      <c r="E32">
        <v>40.5</v>
      </c>
      <c r="G32" s="18">
        <v>0.25</v>
      </c>
      <c r="H32" s="18">
        <f t="shared" si="1"/>
        <v>36.924999999999997</v>
      </c>
      <c r="I32" s="18">
        <f t="shared" si="2"/>
        <v>45.924999999999997</v>
      </c>
      <c r="K32" s="18">
        <f t="shared" si="3"/>
        <v>59.412324999999996</v>
      </c>
      <c r="L32" s="18">
        <f t="shared" si="4"/>
        <v>73.89332499999999</v>
      </c>
      <c r="N32" s="18">
        <f>VLOOKUP(LEFT(A32,5),Complete2011!$14:$113,9)</f>
        <v>117496</v>
      </c>
      <c r="O32" s="18">
        <f>VLOOKUP(LEFT(A32,5),HPMS!$A$4:$U$71,14)+VLOOKUP(LEFT(A32,5),HPMS!$A$4:$U$71,15)</f>
        <v>116524</v>
      </c>
      <c r="P32" s="18">
        <f>VLOOKUP(LEFT(A32,5),Complete2011!$14:$113,11)</f>
        <v>112322</v>
      </c>
      <c r="Q32" s="18">
        <f>VLOOKUP(LEFT(A32,5),HPMS!$A$4:$U$71,21)</f>
        <v>293385</v>
      </c>
      <c r="R32" s="18">
        <f t="shared" si="5"/>
        <v>176861</v>
      </c>
      <c r="S32" s="141">
        <f t="shared" si="6"/>
        <v>37.685556284383331</v>
      </c>
      <c r="T32" s="141">
        <f t="shared" si="7"/>
        <v>47.014457534611282</v>
      </c>
      <c r="U32" s="141">
        <f t="shared" si="8"/>
        <v>60.636060061572778</v>
      </c>
      <c r="V32" s="141">
        <f t="shared" si="9"/>
        <v>75.646262173189555</v>
      </c>
      <c r="W32" s="18" t="str">
        <f t="shared" si="0"/>
        <v>New York</v>
      </c>
      <c r="Z32" s="18">
        <f t="shared" si="10"/>
        <v>23</v>
      </c>
    </row>
    <row r="33" spans="1:26">
      <c r="A33" s="71" t="s">
        <v>65</v>
      </c>
      <c r="B33">
        <v>58.4</v>
      </c>
      <c r="C33">
        <v>64.599999999999994</v>
      </c>
      <c r="D33">
        <v>33.5</v>
      </c>
      <c r="E33">
        <v>37.700000000000003</v>
      </c>
      <c r="G33" s="18">
        <v>0.25</v>
      </c>
      <c r="H33" s="18">
        <f t="shared" si="1"/>
        <v>39.725000000000001</v>
      </c>
      <c r="I33" s="18">
        <f t="shared" si="2"/>
        <v>44.424999999999997</v>
      </c>
      <c r="K33" s="18">
        <f t="shared" si="3"/>
        <v>63.917525000000005</v>
      </c>
      <c r="L33" s="18">
        <f t="shared" si="4"/>
        <v>71.479824999999991</v>
      </c>
      <c r="N33" s="18">
        <f>VLOOKUP(LEFT(A33,5),Complete2011!$14:$113,9)</f>
        <v>10647</v>
      </c>
      <c r="O33" s="18">
        <f>VLOOKUP(LEFT(A33,5),HPMS!$A$4:$U$71,14)+VLOOKUP(LEFT(A33,5),HPMS!$A$4:$U$71,15)</f>
        <v>10486</v>
      </c>
      <c r="P33" s="18">
        <f>VLOOKUP(LEFT(A33,5),Complete2011!$14:$113,11)</f>
        <v>13048</v>
      </c>
      <c r="Q33" s="18">
        <f>VLOOKUP(LEFT(A33,5),HPMS!$A$4:$U$71,21)</f>
        <v>31716</v>
      </c>
      <c r="R33" s="18">
        <f t="shared" si="5"/>
        <v>21230</v>
      </c>
      <c r="S33" s="141">
        <f t="shared" si="6"/>
        <v>38.997344877453706</v>
      </c>
      <c r="T33" s="141">
        <f t="shared" si="7"/>
        <v>43.718953110296354</v>
      </c>
      <c r="U33" s="141">
        <f t="shared" si="8"/>
        <v>62.746727907823015</v>
      </c>
      <c r="V33" s="141">
        <f t="shared" si="9"/>
        <v>70.343795554466837</v>
      </c>
      <c r="W33" s="18" t="str">
        <f t="shared" si="0"/>
        <v>Oklahoma City</v>
      </c>
      <c r="Z33" s="18">
        <f t="shared" si="10"/>
        <v>44</v>
      </c>
    </row>
    <row r="34" spans="1:26">
      <c r="A34" s="71" t="s">
        <v>48</v>
      </c>
      <c r="B34">
        <v>58.8</v>
      </c>
      <c r="C34">
        <v>64.3</v>
      </c>
      <c r="D34">
        <v>34.9</v>
      </c>
      <c r="E34">
        <v>42.8</v>
      </c>
      <c r="G34" s="18">
        <v>0.25</v>
      </c>
      <c r="H34" s="18">
        <f t="shared" si="1"/>
        <v>40.875</v>
      </c>
      <c r="I34" s="18">
        <f t="shared" si="2"/>
        <v>48.174999999999997</v>
      </c>
      <c r="K34" s="18">
        <f t="shared" si="3"/>
        <v>65.767875000000004</v>
      </c>
      <c r="L34" s="18">
        <f t="shared" si="4"/>
        <v>77.513574999999989</v>
      </c>
      <c r="N34" s="18">
        <f>VLOOKUP(LEFT(A34,5),Complete2011!$14:$113,9)</f>
        <v>13353</v>
      </c>
      <c r="O34" s="18">
        <f>VLOOKUP(LEFT(A34,5),HPMS!$A$4:$U$71,14)+VLOOKUP(LEFT(A34,5),HPMS!$A$4:$U$71,15)</f>
        <v>12755</v>
      </c>
      <c r="P34" s="18">
        <f>VLOOKUP(LEFT(A34,5),Complete2011!$14:$113,11)</f>
        <v>16909</v>
      </c>
      <c r="Q34" s="18">
        <f>VLOOKUP(LEFT(A34,5),HPMS!$A$4:$U$71,21)</f>
        <v>43883</v>
      </c>
      <c r="R34" s="18">
        <f t="shared" si="5"/>
        <v>31128</v>
      </c>
      <c r="S34" s="141">
        <f t="shared" si="6"/>
        <v>39.57553756557035</v>
      </c>
      <c r="T34" s="141">
        <f t="shared" si="7"/>
        <v>47.407421853839089</v>
      </c>
      <c r="U34" s="141">
        <f t="shared" si="8"/>
        <v>63.67703994300269</v>
      </c>
      <c r="V34" s="141">
        <f t="shared" si="9"/>
        <v>76.278541762827089</v>
      </c>
      <c r="W34" s="18" t="str">
        <f t="shared" si="0"/>
        <v>Orlando</v>
      </c>
      <c r="Z34" s="18">
        <f t="shared" si="10"/>
        <v>20</v>
      </c>
    </row>
    <row r="35" spans="1:26">
      <c r="A35" s="71" t="s">
        <v>66</v>
      </c>
      <c r="B35">
        <v>55.5</v>
      </c>
      <c r="C35">
        <v>63.6</v>
      </c>
      <c r="D35">
        <v>31.8</v>
      </c>
      <c r="E35">
        <v>39.200000000000003</v>
      </c>
      <c r="G35" s="18">
        <v>0.25</v>
      </c>
      <c r="H35" s="18">
        <f t="shared" si="1"/>
        <v>37.725000000000001</v>
      </c>
      <c r="I35" s="18">
        <f t="shared" si="2"/>
        <v>45.300000000000004</v>
      </c>
      <c r="K35" s="18">
        <f t="shared" si="3"/>
        <v>60.699525000000001</v>
      </c>
      <c r="L35" s="18">
        <f t="shared" si="4"/>
        <v>72.887700000000009</v>
      </c>
      <c r="N35" s="18">
        <f>VLOOKUP(LEFT(A35,5),Complete2011!$14:$113,9)</f>
        <v>34246</v>
      </c>
      <c r="O35" s="18">
        <f>VLOOKUP(LEFT(A35,5),HPMS!$A$4:$U$71,14)+VLOOKUP(LEFT(A35,5),HPMS!$A$4:$U$71,15)</f>
        <v>33364</v>
      </c>
      <c r="P35" s="18">
        <f>VLOOKUP(LEFT(A35,5),Complete2011!$14:$113,11)</f>
        <v>45784</v>
      </c>
      <c r="Q35" s="18">
        <f>VLOOKUP(LEFT(A35,5),HPMS!$A$4:$U$71,21)</f>
        <v>127849</v>
      </c>
      <c r="R35" s="18">
        <f t="shared" si="5"/>
        <v>94485</v>
      </c>
      <c r="S35" s="141">
        <f t="shared" si="6"/>
        <v>35.788190352549535</v>
      </c>
      <c r="T35" s="141">
        <f t="shared" si="7"/>
        <v>43.561281678948106</v>
      </c>
      <c r="U35" s="141">
        <f t="shared" si="8"/>
        <v>57.583198277252201</v>
      </c>
      <c r="V35" s="141">
        <f t="shared" si="9"/>
        <v>70.0901022214275</v>
      </c>
      <c r="W35" s="18" t="str">
        <f t="shared" si="0"/>
        <v>Philadelphia</v>
      </c>
      <c r="Z35" s="18">
        <f t="shared" si="10"/>
        <v>45</v>
      </c>
    </row>
    <row r="36" spans="1:26">
      <c r="A36" s="71" t="s">
        <v>49</v>
      </c>
      <c r="B36">
        <v>57.4</v>
      </c>
      <c r="C36">
        <v>64.2</v>
      </c>
      <c r="D36">
        <v>34.700000000000003</v>
      </c>
      <c r="E36">
        <v>40.1</v>
      </c>
      <c r="G36" s="18">
        <v>0.25</v>
      </c>
      <c r="H36" s="18">
        <f t="shared" si="1"/>
        <v>40.375</v>
      </c>
      <c r="I36" s="18">
        <f t="shared" si="2"/>
        <v>46.125</v>
      </c>
      <c r="K36" s="18">
        <f t="shared" si="3"/>
        <v>64.963374999999999</v>
      </c>
      <c r="L36" s="18">
        <f t="shared" si="4"/>
        <v>74.215125</v>
      </c>
      <c r="N36" s="18">
        <f>VLOOKUP(LEFT(A36,5),Complete2011!$14:$113,9)</f>
        <v>29657</v>
      </c>
      <c r="O36" s="18">
        <f>VLOOKUP(LEFT(A36,5),HPMS!$A$4:$U$71,14)+VLOOKUP(LEFT(A36,5),HPMS!$A$4:$U$71,15)</f>
        <v>29278</v>
      </c>
      <c r="P36" s="18">
        <f>VLOOKUP(LEFT(A36,5),Complete2011!$14:$113,11)</f>
        <v>35248</v>
      </c>
      <c r="Q36" s="18">
        <f>VLOOKUP(LEFT(A36,5),HPMS!$A$4:$U$71,21)</f>
        <v>78287</v>
      </c>
      <c r="R36" s="18">
        <f t="shared" si="5"/>
        <v>49009</v>
      </c>
      <c r="S36" s="141">
        <f t="shared" si="6"/>
        <v>40.722879909634294</v>
      </c>
      <c r="T36" s="141">
        <f t="shared" si="7"/>
        <v>46.649019610475406</v>
      </c>
      <c r="U36" s="141">
        <f t="shared" si="8"/>
        <v>65.523113774601583</v>
      </c>
      <c r="V36" s="141">
        <f t="shared" si="9"/>
        <v>75.058272553254923</v>
      </c>
      <c r="W36" s="18" t="str">
        <f t="shared" si="0"/>
        <v>Phoenix</v>
      </c>
      <c r="Z36" s="18">
        <f t="shared" si="10"/>
        <v>25</v>
      </c>
    </row>
    <row r="37" spans="1:26">
      <c r="A37" s="71" t="s">
        <v>50</v>
      </c>
      <c r="B37">
        <v>55.2</v>
      </c>
      <c r="C37">
        <v>62.6</v>
      </c>
      <c r="D37">
        <v>33.299999999999997</v>
      </c>
      <c r="E37">
        <v>40.1</v>
      </c>
      <c r="G37" s="18">
        <v>0.25</v>
      </c>
      <c r="H37" s="18">
        <f t="shared" si="1"/>
        <v>38.774999999999999</v>
      </c>
      <c r="I37" s="18">
        <f t="shared" si="2"/>
        <v>45.725000000000001</v>
      </c>
      <c r="K37" s="18">
        <f t="shared" si="3"/>
        <v>62.388974999999995</v>
      </c>
      <c r="L37" s="18">
        <f t="shared" si="4"/>
        <v>73.571525000000008</v>
      </c>
      <c r="N37" s="18">
        <f>VLOOKUP(LEFT(A37,5),Complete2011!$14:$113,9)</f>
        <v>11431</v>
      </c>
      <c r="O37" s="18">
        <f>VLOOKUP(LEFT(A37,5),HPMS!$A$4:$U$71,14)+VLOOKUP(LEFT(A37,5),HPMS!$A$4:$U$71,15)</f>
        <v>8865</v>
      </c>
      <c r="P37" s="18">
        <f>VLOOKUP(LEFT(A37,5),Complete2011!$14:$113,11)</f>
        <v>16218</v>
      </c>
      <c r="Q37" s="18">
        <f>VLOOKUP(LEFT(A37,5),HPMS!$A$4:$U$71,21)</f>
        <v>33776</v>
      </c>
      <c r="R37" s="18">
        <f t="shared" si="5"/>
        <v>24911</v>
      </c>
      <c r="S37" s="141">
        <f t="shared" si="6"/>
        <v>37.170568565957666</v>
      </c>
      <c r="T37" s="141">
        <f t="shared" si="7"/>
        <v>44.276919514604074</v>
      </c>
      <c r="U37" s="141">
        <f t="shared" si="8"/>
        <v>59.807444822625882</v>
      </c>
      <c r="V37" s="141">
        <f t="shared" si="9"/>
        <v>71.241563498997948</v>
      </c>
      <c r="W37" s="18" t="str">
        <f t="shared" si="0"/>
        <v>Pittsburgh</v>
      </c>
      <c r="Z37" s="18">
        <f t="shared" si="10"/>
        <v>41</v>
      </c>
    </row>
    <row r="38" spans="1:26">
      <c r="A38" s="71" t="s">
        <v>51</v>
      </c>
      <c r="B38">
        <v>49.2</v>
      </c>
      <c r="C38">
        <v>60.3</v>
      </c>
      <c r="D38">
        <v>31.1</v>
      </c>
      <c r="E38">
        <v>36.5</v>
      </c>
      <c r="G38" s="18">
        <v>0.25</v>
      </c>
      <c r="H38" s="18">
        <f t="shared" si="1"/>
        <v>35.625</v>
      </c>
      <c r="I38" s="18">
        <f t="shared" si="2"/>
        <v>42.45</v>
      </c>
      <c r="K38" s="18">
        <f t="shared" si="3"/>
        <v>57.320625</v>
      </c>
      <c r="L38" s="18">
        <f t="shared" si="4"/>
        <v>68.302050000000008</v>
      </c>
      <c r="N38" s="18">
        <f>VLOOKUP(LEFT(A38,5),Complete2011!$14:$113,9)</f>
        <v>15084</v>
      </c>
      <c r="O38" s="18">
        <f>VLOOKUP(LEFT(A38,5),HPMS!$A$4:$U$71,14)+VLOOKUP(LEFT(A38,5),HPMS!$A$4:$U$71,15)</f>
        <v>13485</v>
      </c>
      <c r="P38" s="18">
        <f>VLOOKUP(LEFT(A38,5),Complete2011!$14:$113,11)</f>
        <v>14039</v>
      </c>
      <c r="Q38" s="18">
        <f>VLOOKUP(LEFT(A38,5),HPMS!$A$4:$U$71,21)</f>
        <v>34902</v>
      </c>
      <c r="R38" s="18">
        <f t="shared" si="5"/>
        <v>21417</v>
      </c>
      <c r="S38" s="141">
        <f t="shared" si="6"/>
        <v>36.252971193603365</v>
      </c>
      <c r="T38" s="141">
        <f t="shared" si="7"/>
        <v>43.067675980389851</v>
      </c>
      <c r="U38" s="141">
        <f t="shared" si="8"/>
        <v>58.331030650507813</v>
      </c>
      <c r="V38" s="141">
        <f t="shared" si="9"/>
        <v>69.29589065244727</v>
      </c>
      <c r="W38" s="18" t="str">
        <f t="shared" si="0"/>
        <v>Portland</v>
      </c>
      <c r="Z38" s="18">
        <f t="shared" si="10"/>
        <v>48</v>
      </c>
    </row>
    <row r="39" spans="1:26">
      <c r="A39" s="71" t="s">
        <v>52</v>
      </c>
      <c r="B39">
        <v>56.1</v>
      </c>
      <c r="C39">
        <v>61.9</v>
      </c>
      <c r="D39">
        <v>30.9</v>
      </c>
      <c r="E39">
        <v>35</v>
      </c>
      <c r="G39" s="18">
        <v>0.25</v>
      </c>
      <c r="H39" s="18">
        <f t="shared" si="1"/>
        <v>37.199999999999996</v>
      </c>
      <c r="I39" s="18">
        <f t="shared" si="2"/>
        <v>41.725000000000001</v>
      </c>
      <c r="K39" s="18">
        <f t="shared" si="3"/>
        <v>59.85479999999999</v>
      </c>
      <c r="L39" s="18">
        <f t="shared" si="4"/>
        <v>67.135525000000001</v>
      </c>
      <c r="N39" s="18">
        <f>VLOOKUP(LEFT(A39,5),Complete2011!$14:$113,9)</f>
        <v>11861</v>
      </c>
      <c r="O39" s="18">
        <f>VLOOKUP(LEFT(A39,5),HPMS!$A$4:$U$71,14)+VLOOKUP(LEFT(A39,5),HPMS!$A$4:$U$71,15)</f>
        <v>11115</v>
      </c>
      <c r="P39" s="18">
        <f>VLOOKUP(LEFT(A39,5),Complete2011!$14:$113,11)</f>
        <v>10431</v>
      </c>
      <c r="Q39" s="18">
        <f>VLOOKUP(LEFT(A39,5),HPMS!$A$4:$U$71,21)</f>
        <v>26364</v>
      </c>
      <c r="R39" s="18">
        <f t="shared" si="5"/>
        <v>15249</v>
      </c>
      <c r="S39" s="141">
        <f t="shared" si="6"/>
        <v>38.119006167538444</v>
      </c>
      <c r="T39" s="141">
        <f t="shared" si="7"/>
        <v>42.850906579982968</v>
      </c>
      <c r="U39" s="141">
        <f t="shared" si="8"/>
        <v>61.333480923569354</v>
      </c>
      <c r="V39" s="141">
        <f t="shared" si="9"/>
        <v>68.947108687192596</v>
      </c>
      <c r="W39" s="18" t="str">
        <f t="shared" si="0"/>
        <v>Providence</v>
      </c>
      <c r="Z39" s="18">
        <f t="shared" si="10"/>
        <v>49</v>
      </c>
    </row>
    <row r="40" spans="1:26">
      <c r="A40" s="71" t="s">
        <v>53</v>
      </c>
      <c r="B40">
        <v>61.3</v>
      </c>
      <c r="C40">
        <v>64.099999999999994</v>
      </c>
      <c r="D40">
        <v>39.1</v>
      </c>
      <c r="E40">
        <v>45.4</v>
      </c>
      <c r="G40" s="18">
        <v>0.25</v>
      </c>
      <c r="H40" s="18">
        <f t="shared" si="1"/>
        <v>44.650000000000006</v>
      </c>
      <c r="I40" s="18">
        <f t="shared" si="2"/>
        <v>50.074999999999996</v>
      </c>
      <c r="K40" s="18">
        <f t="shared" si="3"/>
        <v>71.841850000000008</v>
      </c>
      <c r="L40" s="18">
        <f t="shared" si="4"/>
        <v>80.570674999999994</v>
      </c>
      <c r="N40" s="18">
        <f>VLOOKUP(LEFT(A40,5),Complete2011!$14:$113,9)</f>
        <v>12738</v>
      </c>
      <c r="O40" s="18">
        <f>VLOOKUP(LEFT(A40,5),HPMS!$A$4:$U$71,14)+VLOOKUP(LEFT(A40,5),HPMS!$A$4:$U$71,15)</f>
        <v>7557</v>
      </c>
      <c r="P40" s="18">
        <f>VLOOKUP(LEFT(A40,5),Complete2011!$14:$113,11)</f>
        <v>12427</v>
      </c>
      <c r="Q40" s="18">
        <f>VLOOKUP(LEFT(A40,5),HPMS!$A$4:$U$71,21)</f>
        <v>24323</v>
      </c>
      <c r="R40" s="18">
        <f t="shared" si="5"/>
        <v>16766</v>
      </c>
      <c r="S40" s="141">
        <f t="shared" si="6"/>
        <v>44.057267317319798</v>
      </c>
      <c r="T40" s="141">
        <f t="shared" si="7"/>
        <v>49.925175872506777</v>
      </c>
      <c r="U40" s="141">
        <f t="shared" si="8"/>
        <v>70.888143113567551</v>
      </c>
      <c r="V40" s="141">
        <f t="shared" si="9"/>
        <v>80.329607978863407</v>
      </c>
      <c r="W40" s="18" t="str">
        <f t="shared" si="0"/>
        <v>Raleigh</v>
      </c>
      <c r="Z40" s="18">
        <f t="shared" si="10"/>
        <v>8</v>
      </c>
    </row>
    <row r="41" spans="1:26">
      <c r="A41" s="71" t="s">
        <v>158</v>
      </c>
      <c r="B41">
        <v>58.1</v>
      </c>
      <c r="C41">
        <v>61.2</v>
      </c>
      <c r="D41">
        <v>33.700000000000003</v>
      </c>
      <c r="E41">
        <v>38.9</v>
      </c>
      <c r="G41" s="18">
        <v>0.25</v>
      </c>
      <c r="H41" s="18">
        <f t="shared" si="1"/>
        <v>39.800000000000004</v>
      </c>
      <c r="I41" s="18">
        <f t="shared" si="2"/>
        <v>44.474999999999994</v>
      </c>
      <c r="K41" s="18">
        <f t="shared" si="3"/>
        <v>64.038200000000003</v>
      </c>
      <c r="L41" s="18">
        <f t="shared" si="4"/>
        <v>71.56027499999999</v>
      </c>
      <c r="N41" s="18">
        <f>VLOOKUP(LEFT(A41,5),Complete2011!$14:$113,9)</f>
        <v>6302</v>
      </c>
      <c r="O41" s="18">
        <f>VLOOKUP(LEFT(A41,5),HPMS!$A$4:$U$71,14)+VLOOKUP(LEFT(A41,5),HPMS!$A$4:$U$71,15)</f>
        <v>5883</v>
      </c>
      <c r="P41" s="18">
        <f>VLOOKUP(LEFT(A41,5),Complete2011!$14:$113,11)</f>
        <v>6588</v>
      </c>
      <c r="Q41" s="18">
        <f>VLOOKUP(LEFT(A41,5),HPMS!$A$4:$U$71,21)</f>
        <v>16111</v>
      </c>
      <c r="R41" s="18">
        <f t="shared" si="5"/>
        <v>10228</v>
      </c>
      <c r="S41" s="141">
        <f t="shared" si="6"/>
        <v>39.804037141015968</v>
      </c>
      <c r="T41" s="141">
        <f t="shared" si="7"/>
        <v>44.87018282473035</v>
      </c>
      <c r="U41" s="141">
        <f t="shared" si="8"/>
        <v>64.044695759894694</v>
      </c>
      <c r="V41" s="141">
        <f t="shared" si="9"/>
        <v>72.196124164991133</v>
      </c>
      <c r="W41" s="18" t="str">
        <f t="shared" si="0"/>
        <v>Rochester, NY</v>
      </c>
      <c r="Z41" s="18">
        <f t="shared" si="10"/>
        <v>38</v>
      </c>
    </row>
    <row r="42" spans="1:26">
      <c r="A42" s="71" t="s">
        <v>54</v>
      </c>
      <c r="B42">
        <v>55.2</v>
      </c>
      <c r="C42">
        <v>64.7</v>
      </c>
      <c r="D42">
        <v>37.4</v>
      </c>
      <c r="E42">
        <v>43.5</v>
      </c>
      <c r="G42" s="18">
        <v>0.25</v>
      </c>
      <c r="H42" s="18">
        <f t="shared" si="1"/>
        <v>41.849999999999994</v>
      </c>
      <c r="I42" s="18">
        <f t="shared" si="2"/>
        <v>48.8</v>
      </c>
      <c r="K42" s="18">
        <f t="shared" si="3"/>
        <v>67.336649999999992</v>
      </c>
      <c r="L42" s="18">
        <f t="shared" si="4"/>
        <v>78.519199999999998</v>
      </c>
      <c r="N42" s="18">
        <f>VLOOKUP(LEFT(A42,5),Complete2011!$14:$113,9)</f>
        <v>15556</v>
      </c>
      <c r="O42" s="18">
        <f>VLOOKUP(LEFT(A42,5),HPMS!$A$4:$U$71,14)+VLOOKUP(LEFT(A42,5),HPMS!$A$4:$U$71,15)</f>
        <v>15052</v>
      </c>
      <c r="P42" s="18">
        <f>VLOOKUP(LEFT(A42,5),Complete2011!$14:$113,11)</f>
        <v>14377</v>
      </c>
      <c r="Q42" s="18">
        <f>VLOOKUP(LEFT(A42,5),HPMS!$A$4:$U$71,21)</f>
        <v>35044</v>
      </c>
      <c r="R42" s="18">
        <f t="shared" si="5"/>
        <v>19992</v>
      </c>
      <c r="S42" s="141">
        <f t="shared" si="6"/>
        <v>43.412840203367139</v>
      </c>
      <c r="T42" s="141">
        <f t="shared" si="7"/>
        <v>50.624852713550723</v>
      </c>
      <c r="U42" s="141">
        <f t="shared" si="8"/>
        <v>69.851259887217722</v>
      </c>
      <c r="V42" s="141">
        <f t="shared" si="9"/>
        <v>81.455388016103115</v>
      </c>
      <c r="W42" s="18" t="str">
        <f t="shared" si="0"/>
        <v>Sacramento</v>
      </c>
      <c r="Z42" s="18">
        <f t="shared" si="10"/>
        <v>5</v>
      </c>
    </row>
    <row r="43" spans="1:26">
      <c r="A43" s="71" t="s">
        <v>55</v>
      </c>
      <c r="B43">
        <v>60.3</v>
      </c>
      <c r="C43">
        <v>64.400000000000006</v>
      </c>
      <c r="D43">
        <v>33.6</v>
      </c>
      <c r="E43">
        <v>39.200000000000003</v>
      </c>
      <c r="G43" s="18">
        <v>0.25</v>
      </c>
      <c r="H43" s="18">
        <f t="shared" si="1"/>
        <v>40.275000000000006</v>
      </c>
      <c r="I43" s="18">
        <f t="shared" si="2"/>
        <v>45.5</v>
      </c>
      <c r="K43" s="18">
        <f t="shared" si="3"/>
        <v>64.802475000000015</v>
      </c>
      <c r="L43" s="18">
        <f t="shared" si="4"/>
        <v>73.209500000000006</v>
      </c>
      <c r="N43" s="18">
        <f>VLOOKUP(LEFT(A43,5),Complete2011!$14:$113,9)</f>
        <v>8444</v>
      </c>
      <c r="O43" s="18">
        <f>VLOOKUP(LEFT(A43,5),HPMS!$A$4:$U$71,14)+VLOOKUP(LEFT(A43,5),HPMS!$A$4:$U$71,15)</f>
        <v>7972</v>
      </c>
      <c r="P43" s="18">
        <f>VLOOKUP(LEFT(A43,5),Complete2011!$14:$113,11)</f>
        <v>8403</v>
      </c>
      <c r="Q43" s="18">
        <f>VLOOKUP(LEFT(A43,5),HPMS!$A$4:$U$71,21)</f>
        <v>21755</v>
      </c>
      <c r="R43" s="18">
        <f t="shared" si="5"/>
        <v>13783</v>
      </c>
      <c r="S43" s="141">
        <f t="shared" si="6"/>
        <v>40.107742666546919</v>
      </c>
      <c r="T43" s="141">
        <f t="shared" si="7"/>
        <v>45.761852656334213</v>
      </c>
      <c r="U43" s="141">
        <f t="shared" si="8"/>
        <v>64.533357950473999</v>
      </c>
      <c r="V43" s="141">
        <f t="shared" si="9"/>
        <v>73.630820924041743</v>
      </c>
      <c r="W43" s="18" t="str">
        <f t="shared" si="0"/>
        <v>Salt Lake City</v>
      </c>
      <c r="Z43" s="18">
        <f t="shared" si="10"/>
        <v>32</v>
      </c>
    </row>
    <row r="44" spans="1:26">
      <c r="A44" s="71" t="s">
        <v>67</v>
      </c>
      <c r="B44">
        <v>57.2</v>
      </c>
      <c r="C44">
        <v>62.9</v>
      </c>
      <c r="D44">
        <v>35</v>
      </c>
      <c r="E44">
        <v>39.4</v>
      </c>
      <c r="G44" s="18">
        <v>0.25</v>
      </c>
      <c r="H44" s="18">
        <f t="shared" si="1"/>
        <v>40.549999999999997</v>
      </c>
      <c r="I44" s="18">
        <f t="shared" si="2"/>
        <v>45.274999999999999</v>
      </c>
      <c r="K44" s="18">
        <f t="shared" si="3"/>
        <v>65.244949999999989</v>
      </c>
      <c r="L44" s="18">
        <f t="shared" si="4"/>
        <v>72.847475000000003</v>
      </c>
      <c r="N44" s="18">
        <f>VLOOKUP(LEFT(A44,5),Complete2011!$14:$113,9)</f>
        <v>19114</v>
      </c>
      <c r="O44" s="18">
        <f>VLOOKUP(LEFT(A44,5),HPMS!$A$4:$U$71,14)+VLOOKUP(LEFT(A44,5),HPMS!$A$4:$U$71,15)</f>
        <v>18758</v>
      </c>
      <c r="P44" s="18">
        <f>VLOOKUP(LEFT(A44,5),Complete2011!$14:$113,11)</f>
        <v>13345</v>
      </c>
      <c r="Q44" s="18">
        <f>VLOOKUP(LEFT(A44,5),HPMS!$A$4:$U$71,21)</f>
        <v>36535</v>
      </c>
      <c r="R44" s="18">
        <f t="shared" si="5"/>
        <v>17777</v>
      </c>
      <c r="S44" s="141">
        <f t="shared" si="6"/>
        <v>43.709925286295764</v>
      </c>
      <c r="T44" s="141">
        <f t="shared" si="7"/>
        <v>48.751535734371217</v>
      </c>
      <c r="U44" s="141">
        <f t="shared" si="8"/>
        <v>70.329269785649885</v>
      </c>
      <c r="V44" s="141">
        <f t="shared" si="9"/>
        <v>78.441220996603292</v>
      </c>
      <c r="W44" s="18" t="str">
        <f t="shared" si="0"/>
        <v>San Antonio</v>
      </c>
      <c r="Z44" s="18">
        <f t="shared" si="10"/>
        <v>14</v>
      </c>
    </row>
    <row r="45" spans="1:26">
      <c r="A45" s="71" t="s">
        <v>68</v>
      </c>
      <c r="B45">
        <v>56.8</v>
      </c>
      <c r="C45">
        <v>64.5</v>
      </c>
      <c r="D45">
        <v>37.6</v>
      </c>
      <c r="E45">
        <v>43.7</v>
      </c>
      <c r="G45" s="18">
        <v>0.25</v>
      </c>
      <c r="H45" s="18">
        <f t="shared" si="1"/>
        <v>42.400000000000006</v>
      </c>
      <c r="I45" s="18">
        <f t="shared" si="2"/>
        <v>48.900000000000006</v>
      </c>
      <c r="K45" s="18">
        <f t="shared" si="3"/>
        <v>68.221600000000009</v>
      </c>
      <c r="L45" s="18">
        <f t="shared" si="4"/>
        <v>78.68010000000001</v>
      </c>
      <c r="N45" s="18">
        <f>VLOOKUP(LEFT(A45,5),Complete2011!$14:$113,9)</f>
        <v>37243</v>
      </c>
      <c r="O45" s="18">
        <f>VLOOKUP(LEFT(A45,5),HPMS!$A$4:$U$71,14)+VLOOKUP(LEFT(A45,5),HPMS!$A$4:$U$71,15)</f>
        <v>36537</v>
      </c>
      <c r="P45" s="18">
        <f>VLOOKUP(LEFT(A45,5),Complete2011!$14:$113,11)</f>
        <v>22240</v>
      </c>
      <c r="Q45" s="18">
        <f>VLOOKUP(LEFT(A45,5),HPMS!$A$4:$U$71,21)</f>
        <v>66848</v>
      </c>
      <c r="R45" s="18">
        <f t="shared" si="5"/>
        <v>30311</v>
      </c>
      <c r="S45" s="141">
        <f t="shared" si="6"/>
        <v>46.121132602110961</v>
      </c>
      <c r="T45" s="141">
        <f t="shared" si="7"/>
        <v>53.050571462937008</v>
      </c>
      <c r="U45" s="141">
        <f t="shared" si="8"/>
        <v>74.208902356796543</v>
      </c>
      <c r="V45" s="141">
        <f t="shared" si="9"/>
        <v>85.358369483865644</v>
      </c>
      <c r="W45" s="18" t="str">
        <f t="shared" si="0"/>
        <v>San Diego</v>
      </c>
      <c r="Z45" s="18">
        <f t="shared" si="10"/>
        <v>1</v>
      </c>
    </row>
    <row r="46" spans="1:26" ht="16">
      <c r="A46" s="71" t="s">
        <v>181</v>
      </c>
      <c r="B46">
        <v>54</v>
      </c>
      <c r="C46">
        <v>64.099999999999994</v>
      </c>
      <c r="D46">
        <v>37.799999999999997</v>
      </c>
      <c r="E46">
        <v>44</v>
      </c>
      <c r="G46" s="18">
        <v>0.25</v>
      </c>
      <c r="H46" s="18">
        <f t="shared" si="1"/>
        <v>41.849999999999994</v>
      </c>
      <c r="I46" s="18">
        <f t="shared" si="2"/>
        <v>49.024999999999999</v>
      </c>
      <c r="K46" s="18">
        <f t="shared" si="3"/>
        <v>67.336649999999992</v>
      </c>
      <c r="L46" s="18">
        <f t="shared" si="4"/>
        <v>78.881225000000001</v>
      </c>
      <c r="N46" s="18">
        <f>VLOOKUP(LEFT(A46,5),Complete2011!$14:$113,9)</f>
        <v>51843</v>
      </c>
      <c r="O46" s="18">
        <f>VLOOKUP(LEFT(A46,5),HPMS!$A$4:$U$71,14)+VLOOKUP(LEFT(A46,5),HPMS!$A$4:$U$71,15)</f>
        <v>36365</v>
      </c>
      <c r="P46" s="18">
        <f>VLOOKUP(LEFT(A46,5),Complete2011!$14:$113,11)</f>
        <v>30467</v>
      </c>
      <c r="Q46" s="18">
        <f>VLOOKUP(LEFT(A46,5),HPMS!$A$4:$U$71,21)</f>
        <v>67514</v>
      </c>
      <c r="R46" s="18">
        <f t="shared" si="5"/>
        <v>31149</v>
      </c>
      <c r="S46" s="141">
        <f t="shared" si="6"/>
        <v>45.085270605693886</v>
      </c>
      <c r="T46" s="141">
        <f t="shared" si="7"/>
        <v>52.941837944217319</v>
      </c>
      <c r="U46" s="141">
        <f t="shared" si="8"/>
        <v>72.542200404561456</v>
      </c>
      <c r="V46" s="141">
        <f t="shared" si="9"/>
        <v>85.183417252245661</v>
      </c>
      <c r="W46" s="18" t="str">
        <f t="shared" si="0"/>
        <v>San Francisco1</v>
      </c>
      <c r="Z46" s="18">
        <f t="shared" si="10"/>
        <v>2</v>
      </c>
    </row>
    <row r="47" spans="1:26" ht="16">
      <c r="A47" s="71" t="s">
        <v>182</v>
      </c>
      <c r="B47">
        <v>57.1</v>
      </c>
      <c r="C47">
        <v>64</v>
      </c>
      <c r="D47">
        <v>34.6</v>
      </c>
      <c r="E47">
        <v>40.4</v>
      </c>
      <c r="G47" s="18">
        <v>0.25</v>
      </c>
      <c r="H47" s="18">
        <f t="shared" si="1"/>
        <v>40.225000000000001</v>
      </c>
      <c r="I47" s="18">
        <f t="shared" si="2"/>
        <v>46.3</v>
      </c>
      <c r="K47" s="18">
        <f t="shared" si="3"/>
        <v>64.722025000000002</v>
      </c>
      <c r="L47" s="18">
        <f t="shared" si="4"/>
        <v>74.49669999999999</v>
      </c>
      <c r="N47" s="18">
        <f>VLOOKUP(LEFT(A47,5),Complete2011!$14:$113,9)</f>
        <v>17146</v>
      </c>
      <c r="O47" s="18">
        <f>VLOOKUP(LEFT(A47,5),HPMS!$A$4:$U$71,14)+VLOOKUP(LEFT(A47,5),HPMS!$A$4:$U$71,15)</f>
        <v>16922</v>
      </c>
      <c r="P47" s="18">
        <f>VLOOKUP(LEFT(A47,5),Complete2011!$14:$113,11)</f>
        <v>16563</v>
      </c>
      <c r="Q47" s="18">
        <f>VLOOKUP(LEFT(A47,5),HPMS!$A$4:$U$71,21)</f>
        <v>36990</v>
      </c>
      <c r="R47" s="18">
        <f t="shared" si="5"/>
        <v>20068</v>
      </c>
      <c r="S47" s="141">
        <f t="shared" si="6"/>
        <v>42.20881294964029</v>
      </c>
      <c r="T47" s="141">
        <f t="shared" si="7"/>
        <v>48.598224147063355</v>
      </c>
      <c r="U47" s="141">
        <f t="shared" si="8"/>
        <v>67.913980035971221</v>
      </c>
      <c r="V47" s="141">
        <f t="shared" si="9"/>
        <v>78.194542652624932</v>
      </c>
      <c r="W47" s="18" t="str">
        <f t="shared" si="0"/>
        <v>San Jose1</v>
      </c>
      <c r="Z47" s="18">
        <f t="shared" si="10"/>
        <v>16</v>
      </c>
    </row>
    <row r="48" spans="1:26">
      <c r="A48" s="71" t="s">
        <v>56</v>
      </c>
      <c r="B48">
        <v>51.2</v>
      </c>
      <c r="C48">
        <v>62</v>
      </c>
      <c r="D48">
        <v>30.4</v>
      </c>
      <c r="E48">
        <v>35.200000000000003</v>
      </c>
      <c r="G48" s="18">
        <v>0.25</v>
      </c>
      <c r="H48" s="18">
        <f t="shared" si="1"/>
        <v>35.599999999999994</v>
      </c>
      <c r="I48" s="18">
        <f t="shared" si="2"/>
        <v>41.900000000000006</v>
      </c>
      <c r="K48" s="18">
        <f t="shared" si="3"/>
        <v>57.280399999999993</v>
      </c>
      <c r="L48" s="18">
        <f t="shared" si="4"/>
        <v>67.417100000000005</v>
      </c>
      <c r="N48" s="18">
        <f>VLOOKUP(LEFT(A48,5),Complete2011!$14:$113,9)</f>
        <v>33207</v>
      </c>
      <c r="O48" s="18">
        <f>VLOOKUP(LEFT(A48,5),HPMS!$A$4:$U$71,14)+VLOOKUP(LEFT(A48,5),HPMS!$A$4:$U$71,15)</f>
        <v>30385</v>
      </c>
      <c r="P48" s="18">
        <f>VLOOKUP(LEFT(A48,5),Complete2011!$14:$113,11)</f>
        <v>27828</v>
      </c>
      <c r="Q48" s="18">
        <f>VLOOKUP(LEFT(A48,5),HPMS!$A$4:$U$71,21)</f>
        <v>70830</v>
      </c>
      <c r="R48" s="18">
        <f t="shared" si="5"/>
        <v>40445</v>
      </c>
      <c r="S48" s="141">
        <f t="shared" si="6"/>
        <v>36.816136314455086</v>
      </c>
      <c r="T48" s="141">
        <f t="shared" si="7"/>
        <v>43.213099172467857</v>
      </c>
      <c r="U48" s="141">
        <f t="shared" si="8"/>
        <v>59.237163329958236</v>
      </c>
      <c r="V48" s="141">
        <f t="shared" si="9"/>
        <v>69.529876568500782</v>
      </c>
      <c r="W48" s="18" t="str">
        <f t="shared" si="0"/>
        <v>Seattle</v>
      </c>
      <c r="Z48" s="18">
        <f t="shared" si="10"/>
        <v>47</v>
      </c>
    </row>
    <row r="49" spans="1:26">
      <c r="A49" s="71" t="s">
        <v>397</v>
      </c>
      <c r="B49">
        <v>56.7</v>
      </c>
      <c r="C49">
        <v>64</v>
      </c>
      <c r="D49">
        <v>31.7</v>
      </c>
      <c r="E49">
        <v>39.200000000000003</v>
      </c>
      <c r="G49" s="18">
        <v>0.25</v>
      </c>
      <c r="H49" s="18">
        <f t="shared" si="1"/>
        <v>37.950000000000003</v>
      </c>
      <c r="I49" s="18">
        <f t="shared" si="2"/>
        <v>45.400000000000006</v>
      </c>
      <c r="K49" s="18">
        <f t="shared" si="3"/>
        <v>61.061550000000004</v>
      </c>
      <c r="L49" s="18">
        <f t="shared" si="4"/>
        <v>73.048600000000008</v>
      </c>
      <c r="N49" s="18">
        <f>VLOOKUP(LEFT(A49,5),Complete2011!$14:$113,9)</f>
        <v>43452</v>
      </c>
      <c r="O49" s="18">
        <f>VLOOKUP(LEFT(A49,5),HPMS!$A$4:$U$71,14)+VLOOKUP(LEFT(A49,5),HPMS!$A$4:$U$71,15)</f>
        <v>40374</v>
      </c>
      <c r="P49" s="18">
        <f>VLOOKUP(LEFT(A49,5),Complete2011!$14:$113,11)</f>
        <v>50848</v>
      </c>
      <c r="Q49" s="18">
        <f>VLOOKUP(LEFT(A49,5),HPMS!$A$4:$U$71,21)</f>
        <v>126011</v>
      </c>
      <c r="R49" s="18">
        <f t="shared" si="5"/>
        <v>85637</v>
      </c>
      <c r="S49" s="141">
        <f t="shared" si="6"/>
        <v>36.914983645028094</v>
      </c>
      <c r="T49" s="141">
        <f t="shared" si="7"/>
        <v>44.756789620361147</v>
      </c>
      <c r="U49" s="141">
        <f t="shared" si="8"/>
        <v>59.396208684850201</v>
      </c>
      <c r="V49" s="141">
        <f t="shared" si="9"/>
        <v>72.013674499161084</v>
      </c>
      <c r="W49" s="18" t="str">
        <f t="shared" si="0"/>
        <v>Miami</v>
      </c>
      <c r="Z49" s="18">
        <f t="shared" si="10"/>
        <v>39</v>
      </c>
    </row>
    <row r="50" spans="1:26">
      <c r="A50" s="71" t="s">
        <v>57</v>
      </c>
      <c r="B50">
        <v>44.4</v>
      </c>
      <c r="C50">
        <v>56</v>
      </c>
      <c r="D50">
        <v>29.8</v>
      </c>
      <c r="E50">
        <v>34.9</v>
      </c>
      <c r="G50" s="18">
        <v>0.25</v>
      </c>
      <c r="H50" s="18">
        <f t="shared" si="1"/>
        <v>33.450000000000003</v>
      </c>
      <c r="I50" s="18">
        <f t="shared" si="2"/>
        <v>40.174999999999997</v>
      </c>
      <c r="K50" s="18">
        <f t="shared" si="3"/>
        <v>53.821050000000007</v>
      </c>
      <c r="L50" s="18">
        <f t="shared" si="4"/>
        <v>64.641574999999989</v>
      </c>
      <c r="N50" s="18">
        <f>VLOOKUP(LEFT(A50,5),Complete2011!$14:$113,9)</f>
        <v>30207</v>
      </c>
      <c r="O50" s="18">
        <f>VLOOKUP(LEFT(A50,5),HPMS!$A$4:$U$71,14)+VLOOKUP(LEFT(A50,5),HPMS!$A$4:$U$71,15)</f>
        <v>29689</v>
      </c>
      <c r="P50" s="18">
        <f>VLOOKUP(LEFT(A50,5),Complete2011!$14:$113,11)</f>
        <v>19743</v>
      </c>
      <c r="Q50" s="18">
        <f>VLOOKUP(LEFT(A50,5),HPMS!$A$4:$U$71,21)</f>
        <v>68286</v>
      </c>
      <c r="R50" s="18">
        <f t="shared" si="5"/>
        <v>38597</v>
      </c>
      <c r="S50" s="141">
        <f t="shared" si="6"/>
        <v>34.771096154268008</v>
      </c>
      <c r="T50" s="141">
        <f t="shared" si="7"/>
        <v>41.737263086709284</v>
      </c>
      <c r="U50" s="141">
        <f t="shared" si="8"/>
        <v>55.946693712217225</v>
      </c>
      <c r="V50" s="141">
        <f t="shared" si="9"/>
        <v>67.155256306515241</v>
      </c>
      <c r="W50" s="18" t="str">
        <f t="shared" si="0"/>
        <v>St. Louis</v>
      </c>
      <c r="Z50" s="18">
        <f t="shared" si="10"/>
        <v>51</v>
      </c>
    </row>
    <row r="51" spans="1:26">
      <c r="A51" s="71" t="s">
        <v>70</v>
      </c>
      <c r="B51">
        <v>59.1</v>
      </c>
      <c r="C51">
        <v>64.2</v>
      </c>
      <c r="D51">
        <v>37.200000000000003</v>
      </c>
      <c r="E51">
        <v>44.2</v>
      </c>
      <c r="G51" s="18">
        <v>0.25</v>
      </c>
      <c r="H51" s="18">
        <f t="shared" si="1"/>
        <v>42.675000000000004</v>
      </c>
      <c r="I51" s="18">
        <f t="shared" si="2"/>
        <v>49.2</v>
      </c>
      <c r="K51" s="18">
        <f t="shared" si="3"/>
        <v>68.664075000000011</v>
      </c>
      <c r="L51" s="18">
        <f t="shared" si="4"/>
        <v>79.162800000000004</v>
      </c>
      <c r="N51" s="18">
        <f>VLOOKUP(LEFT(A51,5),Complete2011!$14:$113,9)</f>
        <v>14360</v>
      </c>
      <c r="O51" s="18">
        <f>VLOOKUP(LEFT(A51,5),HPMS!$A$4:$U$71,14)+VLOOKUP(LEFT(A51,5),HPMS!$A$4:$U$71,15)</f>
        <v>13549</v>
      </c>
      <c r="P51" s="18">
        <f>VLOOKUP(LEFT(A51,5),Complete2011!$14:$113,11)</f>
        <v>28370</v>
      </c>
      <c r="Q51" s="18">
        <f>VLOOKUP(LEFT(A51,5),HPMS!$A$4:$U$71,21)</f>
        <v>63010</v>
      </c>
      <c r="R51" s="18">
        <f t="shared" si="5"/>
        <v>49461</v>
      </c>
      <c r="S51" s="141">
        <f t="shared" si="6"/>
        <v>40.420764095041854</v>
      </c>
      <c r="T51" s="141">
        <f t="shared" si="7"/>
        <v>47.373419333369014</v>
      </c>
      <c r="U51" s="141">
        <f t="shared" si="8"/>
        <v>65.037009428922346</v>
      </c>
      <c r="V51" s="141">
        <f t="shared" si="9"/>
        <v>76.223831707390744</v>
      </c>
      <c r="W51" s="18" t="str">
        <f t="shared" si="0"/>
        <v>Tampa Bay</v>
      </c>
      <c r="Z51" s="18">
        <f t="shared" si="10"/>
        <v>21</v>
      </c>
    </row>
    <row r="52" spans="1:26" ht="16">
      <c r="A52" s="71" t="s">
        <v>183</v>
      </c>
      <c r="B52">
        <v>49.4</v>
      </c>
      <c r="C52">
        <v>62</v>
      </c>
      <c r="D52">
        <v>32.9</v>
      </c>
      <c r="E52">
        <v>40.1</v>
      </c>
      <c r="G52" s="18">
        <v>0.25</v>
      </c>
      <c r="H52" s="18">
        <f t="shared" si="1"/>
        <v>37.024999999999999</v>
      </c>
      <c r="I52" s="18">
        <f t="shared" si="2"/>
        <v>45.575000000000003</v>
      </c>
      <c r="K52" s="18">
        <f t="shared" si="3"/>
        <v>59.573224999999994</v>
      </c>
      <c r="L52" s="18">
        <f t="shared" si="4"/>
        <v>73.330174999999997</v>
      </c>
      <c r="N52" s="18">
        <f>VLOOKUP(LEFT(A52,5),Complete2011!$14:$113,9)</f>
        <v>40082</v>
      </c>
      <c r="O52" s="18">
        <f>VLOOKUP(LEFT(A52,5),HPMS!$A$4:$U$71,14)+VLOOKUP(LEFT(A52,5),HPMS!$A$4:$U$71,15)</f>
        <v>37081</v>
      </c>
      <c r="P52" s="18">
        <f>VLOOKUP(LEFT(A52,5),Complete2011!$14:$113,11)</f>
        <v>49729</v>
      </c>
      <c r="Q52" s="18">
        <f>VLOOKUP(LEFT(A52,5),HPMS!$A$4:$U$71,21)</f>
        <v>97404</v>
      </c>
      <c r="R52" s="18">
        <f t="shared" si="5"/>
        <v>60323</v>
      </c>
      <c r="S52" s="141">
        <f t="shared" si="6"/>
        <v>37.692809286345877</v>
      </c>
      <c r="T52" s="141">
        <f t="shared" si="7"/>
        <v>46.330021952854139</v>
      </c>
      <c r="U52" s="141">
        <f t="shared" si="8"/>
        <v>60.647730141730513</v>
      </c>
      <c r="V52" s="141">
        <f t="shared" si="9"/>
        <v>74.545005322142316</v>
      </c>
      <c r="W52" s="18" t="str">
        <f t="shared" si="0"/>
        <v>Washington2</v>
      </c>
      <c r="Z52" s="18">
        <f t="shared" si="10"/>
        <v>29</v>
      </c>
    </row>
    <row r="53" spans="1:26">
      <c r="A53" s="71" t="s">
        <v>189</v>
      </c>
      <c r="B53">
        <f>MEDIAN(B2:B52)</f>
        <v>56.1</v>
      </c>
      <c r="C53" s="18">
        <f t="shared" ref="C53:E53" si="11">MEDIAN(C2:C52)</f>
        <v>63.6</v>
      </c>
      <c r="D53" s="18">
        <f t="shared" si="11"/>
        <v>33.9</v>
      </c>
      <c r="E53" s="18">
        <f t="shared" si="11"/>
        <v>40.1</v>
      </c>
      <c r="G53" s="18"/>
      <c r="S53" s="141"/>
      <c r="T53" s="141"/>
      <c r="U53" s="141"/>
      <c r="V53" s="141"/>
    </row>
    <row r="54" spans="1:26">
      <c r="S54" s="141">
        <f>AVERAGE(S2:S52)</f>
        <v>40.184781418152582</v>
      </c>
      <c r="T54" s="141"/>
      <c r="U54" s="141">
        <f>AVERAGE(U2:U52)</f>
        <v>64.657313301807491</v>
      </c>
      <c r="V54" s="141"/>
    </row>
    <row r="57" spans="1:26">
      <c r="B57" t="s">
        <v>186</v>
      </c>
    </row>
    <row r="58" spans="1:26" ht="18">
      <c r="B58" s="72" t="s">
        <v>187</v>
      </c>
    </row>
    <row r="59" spans="1:26" ht="18">
      <c r="B59" s="72" t="s">
        <v>188</v>
      </c>
    </row>
    <row r="61" spans="1:26">
      <c r="B61" t="s">
        <v>555</v>
      </c>
    </row>
    <row r="62" spans="1:26">
      <c r="B62" t="s">
        <v>552</v>
      </c>
    </row>
    <row r="94" spans="1:25">
      <c r="A94">
        <v>56.5</v>
      </c>
      <c r="B94">
        <v>64.7</v>
      </c>
      <c r="C94">
        <v>54.2</v>
      </c>
      <c r="D94">
        <v>63.4</v>
      </c>
      <c r="E94">
        <v>53</v>
      </c>
      <c r="F94">
        <v>63.1</v>
      </c>
      <c r="G94">
        <v>54</v>
      </c>
      <c r="H94">
        <v>64.099999999999994</v>
      </c>
      <c r="I94">
        <v>57</v>
      </c>
      <c r="J94">
        <v>64.3</v>
      </c>
      <c r="K94">
        <v>54.2</v>
      </c>
      <c r="L94">
        <v>63.9</v>
      </c>
      <c r="M94">
        <v>48.6</v>
      </c>
      <c r="N94">
        <v>64.599999999999994</v>
      </c>
      <c r="P94">
        <v>56.7</v>
      </c>
      <c r="Q94">
        <v>64</v>
      </c>
      <c r="S94">
        <v>52</v>
      </c>
      <c r="T94">
        <v>62.2</v>
      </c>
      <c r="U94">
        <v>55.5</v>
      </c>
      <c r="V94">
        <v>63.6</v>
      </c>
      <c r="W94">
        <v>62</v>
      </c>
      <c r="X94">
        <v>49.4</v>
      </c>
      <c r="Y94">
        <v>62</v>
      </c>
    </row>
    <row r="98" spans="1:29" ht="15" thickBot="1"/>
    <row r="99" spans="1:29" ht="17" thickBot="1">
      <c r="A99" s="74">
        <v>36.299999999999997</v>
      </c>
      <c r="B99" s="75">
        <v>44.1</v>
      </c>
      <c r="C99" s="75">
        <v>29.5</v>
      </c>
      <c r="D99" s="75">
        <v>36</v>
      </c>
      <c r="E99" s="75">
        <v>34.299999999999997</v>
      </c>
      <c r="F99" s="75">
        <v>40.200000000000003</v>
      </c>
      <c r="G99" s="75">
        <v>33.1</v>
      </c>
      <c r="H99" s="75">
        <v>39.1</v>
      </c>
      <c r="I99" s="75">
        <v>33.4</v>
      </c>
      <c r="J99" s="75">
        <v>38.700000000000003</v>
      </c>
      <c r="K99" s="75">
        <v>33.9</v>
      </c>
      <c r="L99" s="75">
        <v>40.200000000000003</v>
      </c>
      <c r="M99" s="75">
        <v>37.4</v>
      </c>
      <c r="N99" s="75">
        <v>43.7</v>
      </c>
      <c r="O99" s="75"/>
      <c r="P99" s="75">
        <v>31.7</v>
      </c>
      <c r="Q99" s="75">
        <v>39.200000000000003</v>
      </c>
      <c r="R99" s="75"/>
      <c r="S99" s="75">
        <v>31.9</v>
      </c>
      <c r="T99" s="75">
        <v>40.5</v>
      </c>
      <c r="U99" s="75">
        <v>31.8</v>
      </c>
      <c r="V99" s="75">
        <v>39.200000000000003</v>
      </c>
      <c r="W99" s="75">
        <v>35.200000000000003</v>
      </c>
      <c r="X99" s="75">
        <v>32.9</v>
      </c>
      <c r="Y99" s="75">
        <v>40.1</v>
      </c>
    </row>
    <row r="102" spans="1:29" ht="15" thickBot="1"/>
    <row r="103" spans="1:29" ht="17" thickBot="1">
      <c r="A103" s="74">
        <v>54.3</v>
      </c>
      <c r="B103" s="75">
        <v>63.8</v>
      </c>
      <c r="C103" s="75">
        <v>57.2</v>
      </c>
      <c r="D103" s="75">
        <v>64.099999999999994</v>
      </c>
      <c r="E103" s="75">
        <v>54.9</v>
      </c>
      <c r="F103" s="75">
        <v>63.2</v>
      </c>
      <c r="G103" s="75">
        <v>58.8</v>
      </c>
      <c r="H103" s="75">
        <v>64.3</v>
      </c>
      <c r="I103" s="75">
        <v>55.2</v>
      </c>
      <c r="J103" s="75">
        <v>62.6</v>
      </c>
      <c r="K103" s="75">
        <v>49.2</v>
      </c>
      <c r="L103" s="75">
        <v>60.3</v>
      </c>
      <c r="M103" s="75">
        <v>56.1</v>
      </c>
      <c r="N103" s="75">
        <v>61.9</v>
      </c>
      <c r="O103" s="75"/>
      <c r="P103" s="75">
        <v>61.3</v>
      </c>
      <c r="Q103" s="75">
        <v>64.099999999999994</v>
      </c>
      <c r="R103" s="75"/>
      <c r="S103" s="75">
        <v>54.4</v>
      </c>
      <c r="T103" s="75">
        <v>64.7</v>
      </c>
      <c r="U103" s="75">
        <v>55.2</v>
      </c>
      <c r="V103" s="75">
        <v>64.7</v>
      </c>
      <c r="W103" s="75">
        <v>64.7</v>
      </c>
      <c r="X103" s="75">
        <v>44.4</v>
      </c>
      <c r="Y103" s="75">
        <v>56</v>
      </c>
      <c r="Z103" s="75">
        <v>59.1</v>
      </c>
      <c r="AA103" s="75">
        <v>64.2</v>
      </c>
      <c r="AB103" s="75">
        <v>56.1</v>
      </c>
      <c r="AC103" s="75">
        <v>62.9</v>
      </c>
    </row>
    <row r="106" spans="1:29" ht="15" thickBot="1"/>
    <row r="107" spans="1:29" ht="17" thickBot="1">
      <c r="A107" s="74">
        <v>39.6</v>
      </c>
      <c r="B107" s="75">
        <v>43.1</v>
      </c>
      <c r="C107" s="75">
        <v>34.200000000000003</v>
      </c>
      <c r="D107" s="75">
        <v>41.9</v>
      </c>
      <c r="E107" s="75">
        <v>39.6</v>
      </c>
      <c r="F107" s="75">
        <v>43.7</v>
      </c>
      <c r="G107" s="75">
        <v>34.9</v>
      </c>
      <c r="H107" s="75">
        <v>42.8</v>
      </c>
      <c r="I107" s="75">
        <v>33.299999999999997</v>
      </c>
      <c r="J107" s="75">
        <v>40.1</v>
      </c>
      <c r="K107" s="75">
        <v>31.1</v>
      </c>
      <c r="L107" s="75">
        <v>36.5</v>
      </c>
      <c r="M107" s="75">
        <v>30.9</v>
      </c>
      <c r="N107" s="75">
        <v>35</v>
      </c>
      <c r="O107" s="75"/>
      <c r="P107" s="75">
        <v>39.1</v>
      </c>
      <c r="Q107" s="75">
        <v>45.4</v>
      </c>
      <c r="R107" s="75"/>
      <c r="S107" s="75">
        <v>37.5</v>
      </c>
      <c r="T107" s="75">
        <v>43.1</v>
      </c>
      <c r="U107" s="75">
        <v>37.4</v>
      </c>
      <c r="V107" s="75">
        <v>43.5</v>
      </c>
      <c r="W107" s="75">
        <v>46.1</v>
      </c>
      <c r="X107" s="75">
        <v>29.8</v>
      </c>
      <c r="Y107" s="75">
        <v>34.9</v>
      </c>
      <c r="Z107" s="75">
        <v>37.200000000000003</v>
      </c>
      <c r="AA107" s="75">
        <v>44.2</v>
      </c>
      <c r="AB107" s="75">
        <v>35.1</v>
      </c>
      <c r="AC107" s="75">
        <v>41.5</v>
      </c>
    </row>
    <row r="111" spans="1:29" ht="15" thickBot="1"/>
    <row r="112" spans="1:29" ht="17" thickBot="1">
      <c r="A112" s="74">
        <v>52.9</v>
      </c>
      <c r="B112" s="75">
        <v>62.6</v>
      </c>
      <c r="C112" s="75">
        <v>53.3</v>
      </c>
      <c r="D112" s="75">
        <v>62.7</v>
      </c>
      <c r="E112" s="75">
        <v>55.2</v>
      </c>
      <c r="F112" s="75">
        <v>62</v>
      </c>
      <c r="G112" s="75">
        <v>58</v>
      </c>
      <c r="H112" s="75">
        <v>62.9</v>
      </c>
      <c r="I112" s="75">
        <v>56.3</v>
      </c>
      <c r="J112" s="75">
        <v>63.7</v>
      </c>
      <c r="K112" s="75">
        <v>56.8</v>
      </c>
      <c r="L112" s="75">
        <v>62.8</v>
      </c>
      <c r="M112" s="75">
        <v>57.6</v>
      </c>
      <c r="N112" s="75">
        <v>64.099999999999994</v>
      </c>
      <c r="O112" s="75"/>
      <c r="P112" s="75">
        <v>50.9</v>
      </c>
      <c r="Q112" s="75">
        <v>62.3</v>
      </c>
      <c r="R112" s="75"/>
      <c r="S112" s="75">
        <v>55.4</v>
      </c>
      <c r="T112" s="75">
        <v>63</v>
      </c>
      <c r="U112" s="75">
        <v>58.9</v>
      </c>
      <c r="V112" s="75">
        <v>63.4</v>
      </c>
      <c r="W112" s="75">
        <v>64</v>
      </c>
      <c r="X112" s="75">
        <v>55.6</v>
      </c>
      <c r="Y112" s="75">
        <v>62.5</v>
      </c>
    </row>
    <row r="113" spans="1:25" ht="17" thickBot="1">
      <c r="A113" s="73"/>
    </row>
    <row r="114" spans="1:25" ht="17" thickBot="1">
      <c r="A114" s="74">
        <v>36.200000000000003</v>
      </c>
      <c r="B114" s="75">
        <v>42.9</v>
      </c>
      <c r="C114" s="75">
        <v>31.8</v>
      </c>
      <c r="D114" s="75">
        <v>38.6</v>
      </c>
      <c r="E114" s="75">
        <v>33.4</v>
      </c>
      <c r="F114" s="75">
        <v>38.6</v>
      </c>
      <c r="G114" s="75">
        <v>34</v>
      </c>
      <c r="H114" s="75">
        <v>41.4</v>
      </c>
      <c r="I114" s="75">
        <v>32.5</v>
      </c>
      <c r="J114" s="75">
        <v>38.200000000000003</v>
      </c>
      <c r="K114" s="75">
        <v>29.6</v>
      </c>
      <c r="L114" s="75">
        <v>34.6</v>
      </c>
      <c r="M114" s="75">
        <v>31.1</v>
      </c>
      <c r="N114" s="75">
        <v>37.299999999999997</v>
      </c>
      <c r="O114" s="75"/>
      <c r="P114" s="75">
        <v>32.1</v>
      </c>
      <c r="Q114" s="75">
        <v>38</v>
      </c>
      <c r="R114" s="75"/>
      <c r="S114" s="75">
        <v>34.6</v>
      </c>
      <c r="T114" s="75">
        <v>40.1</v>
      </c>
      <c r="U114" s="75">
        <v>37.4</v>
      </c>
      <c r="V114" s="75">
        <v>43.3</v>
      </c>
      <c r="W114" s="75">
        <v>42.5</v>
      </c>
      <c r="X114" s="75">
        <v>35.700000000000003</v>
      </c>
      <c r="Y114" s="75">
        <v>39.299999999999997</v>
      </c>
    </row>
    <row r="124" spans="1:25" ht="15" thickBot="1"/>
    <row r="125" spans="1:25" ht="17" thickBot="1">
      <c r="A125" s="18">
        <v>56.5</v>
      </c>
      <c r="B125" s="18"/>
      <c r="C125" s="18"/>
      <c r="D125" s="18"/>
      <c r="E125" s="18"/>
      <c r="F125" s="74">
        <v>36.299999999999997</v>
      </c>
      <c r="G125" s="18"/>
      <c r="H125" s="18"/>
      <c r="I125" s="18"/>
      <c r="J125" s="74">
        <v>54.3</v>
      </c>
      <c r="K125" s="18"/>
      <c r="L125" s="18"/>
      <c r="M125" s="18"/>
      <c r="N125" s="74">
        <v>39.6</v>
      </c>
      <c r="O125" s="145"/>
      <c r="P125" s="18"/>
      <c r="Q125" s="18"/>
      <c r="S125" s="18"/>
      <c r="T125" s="18"/>
      <c r="U125" s="74">
        <v>52.9</v>
      </c>
      <c r="V125" s="73"/>
    </row>
    <row r="126" spans="1:25" ht="17" thickBot="1">
      <c r="A126" s="18">
        <v>64.7</v>
      </c>
      <c r="B126" s="18"/>
      <c r="C126" s="18"/>
      <c r="D126" s="18"/>
      <c r="E126" s="18"/>
      <c r="F126" s="75">
        <v>44.1</v>
      </c>
      <c r="G126" s="18"/>
      <c r="H126" s="18"/>
      <c r="I126" s="18"/>
      <c r="J126" s="75">
        <v>63.8</v>
      </c>
      <c r="K126" s="18"/>
      <c r="L126" s="18"/>
      <c r="M126" s="18"/>
      <c r="N126" s="75">
        <v>43.1</v>
      </c>
      <c r="O126" s="145"/>
      <c r="P126" s="18"/>
      <c r="Q126" s="18"/>
      <c r="S126" s="18"/>
      <c r="T126" s="18"/>
      <c r="U126" s="75">
        <v>62.6</v>
      </c>
      <c r="V126" s="18"/>
    </row>
    <row r="127" spans="1:25" ht="17" thickBot="1">
      <c r="A127" s="18">
        <v>54.2</v>
      </c>
      <c r="B127" s="18"/>
      <c r="C127" s="18"/>
      <c r="D127" s="18"/>
      <c r="E127" s="18"/>
      <c r="F127" s="75">
        <v>29.5</v>
      </c>
      <c r="G127" s="18"/>
      <c r="H127" s="18"/>
      <c r="I127" s="18"/>
      <c r="J127" s="75">
        <v>57.2</v>
      </c>
      <c r="K127" s="18"/>
      <c r="L127" s="18"/>
      <c r="M127" s="18"/>
      <c r="N127" s="75">
        <v>34.200000000000003</v>
      </c>
      <c r="O127" s="145"/>
      <c r="P127" s="18"/>
      <c r="Q127" s="18"/>
      <c r="S127" s="18"/>
      <c r="T127" s="18"/>
      <c r="U127" s="75">
        <v>53.3</v>
      </c>
      <c r="V127" s="18"/>
    </row>
    <row r="128" spans="1:25" ht="17" thickBot="1">
      <c r="A128" s="18">
        <v>63.4</v>
      </c>
      <c r="B128" s="18"/>
      <c r="C128" s="18"/>
      <c r="D128" s="18"/>
      <c r="E128" s="18"/>
      <c r="F128" s="75">
        <v>36</v>
      </c>
      <c r="G128" s="18"/>
      <c r="H128" s="18"/>
      <c r="I128" s="18"/>
      <c r="J128" s="75">
        <v>64.099999999999994</v>
      </c>
      <c r="K128" s="18"/>
      <c r="L128" s="18"/>
      <c r="M128" s="18"/>
      <c r="N128" s="75">
        <v>41.9</v>
      </c>
      <c r="O128" s="145"/>
      <c r="P128" s="18"/>
      <c r="Q128" s="18"/>
      <c r="S128" s="18"/>
      <c r="T128" s="18"/>
      <c r="U128" s="75">
        <v>62.7</v>
      </c>
      <c r="V128" s="18"/>
    </row>
    <row r="129" spans="1:22" ht="17" thickBot="1">
      <c r="A129" s="18">
        <v>53</v>
      </c>
      <c r="B129" s="18"/>
      <c r="C129" s="18"/>
      <c r="D129" s="18"/>
      <c r="E129" s="18"/>
      <c r="F129" s="75">
        <v>34.299999999999997</v>
      </c>
      <c r="G129" s="18"/>
      <c r="H129" s="18"/>
      <c r="I129" s="18"/>
      <c r="J129" s="75">
        <v>54.9</v>
      </c>
      <c r="K129" s="18"/>
      <c r="L129" s="18"/>
      <c r="M129" s="18"/>
      <c r="N129" s="75">
        <v>39.6</v>
      </c>
      <c r="O129" s="145"/>
      <c r="P129" s="18"/>
      <c r="Q129" s="18"/>
      <c r="S129" s="18"/>
      <c r="T129" s="18"/>
      <c r="U129" s="75">
        <v>55.2</v>
      </c>
      <c r="V129" s="18"/>
    </row>
    <row r="130" spans="1:22" ht="17" thickBot="1">
      <c r="A130" s="18">
        <v>63.1</v>
      </c>
      <c r="B130" s="18"/>
      <c r="C130" s="18"/>
      <c r="D130" s="18"/>
      <c r="E130" s="18"/>
      <c r="F130" s="75">
        <v>40.200000000000003</v>
      </c>
      <c r="G130" s="18"/>
      <c r="H130" s="18"/>
      <c r="I130" s="18"/>
      <c r="J130" s="75">
        <v>63.2</v>
      </c>
      <c r="K130" s="18"/>
      <c r="L130" s="18"/>
      <c r="M130" s="18"/>
      <c r="N130" s="75">
        <v>43.7</v>
      </c>
      <c r="O130" s="145"/>
      <c r="P130" s="18"/>
      <c r="Q130" s="18"/>
      <c r="S130" s="18"/>
      <c r="T130" s="18"/>
      <c r="U130" s="75">
        <v>62</v>
      </c>
      <c r="V130" s="18"/>
    </row>
    <row r="131" spans="1:22" ht="17" thickBot="1">
      <c r="A131" s="18">
        <v>54</v>
      </c>
      <c r="B131" s="18"/>
      <c r="C131" s="18"/>
      <c r="D131" s="18"/>
      <c r="E131" s="18"/>
      <c r="F131" s="75">
        <v>33.1</v>
      </c>
      <c r="G131" s="18"/>
      <c r="H131" s="18"/>
      <c r="I131" s="18"/>
      <c r="J131" s="75">
        <v>58.8</v>
      </c>
      <c r="K131" s="18"/>
      <c r="L131" s="18"/>
      <c r="M131" s="18"/>
      <c r="N131" s="75">
        <v>34.9</v>
      </c>
      <c r="O131" s="145"/>
      <c r="P131" s="18"/>
      <c r="Q131" s="18"/>
      <c r="S131" s="18"/>
      <c r="T131" s="18"/>
      <c r="U131" s="75">
        <v>58</v>
      </c>
      <c r="V131" s="18"/>
    </row>
    <row r="132" spans="1:22" ht="17" thickBot="1">
      <c r="A132" s="18">
        <v>64.099999999999994</v>
      </c>
      <c r="B132" s="18"/>
      <c r="C132" s="18"/>
      <c r="D132" s="18"/>
      <c r="E132" s="18"/>
      <c r="F132" s="75">
        <v>39.1</v>
      </c>
      <c r="G132" s="18"/>
      <c r="H132" s="18"/>
      <c r="I132" s="18"/>
      <c r="J132" s="75">
        <v>64.3</v>
      </c>
      <c r="K132" s="18"/>
      <c r="L132" s="18"/>
      <c r="M132" s="18"/>
      <c r="N132" s="75">
        <v>42.8</v>
      </c>
      <c r="O132" s="145"/>
      <c r="P132" s="18"/>
      <c r="Q132" s="18"/>
      <c r="S132" s="18"/>
      <c r="T132" s="18"/>
      <c r="U132" s="75">
        <v>62.9</v>
      </c>
      <c r="V132" s="18"/>
    </row>
    <row r="133" spans="1:22" ht="17" thickBot="1">
      <c r="A133" s="18">
        <v>57</v>
      </c>
      <c r="B133" s="18"/>
      <c r="C133" s="18"/>
      <c r="D133" s="18"/>
      <c r="E133" s="18"/>
      <c r="F133" s="75">
        <v>33.4</v>
      </c>
      <c r="G133" s="18"/>
      <c r="H133" s="18"/>
      <c r="I133" s="18"/>
      <c r="J133" s="75">
        <v>55.2</v>
      </c>
      <c r="K133" s="18"/>
      <c r="L133" s="18"/>
      <c r="M133" s="18"/>
      <c r="N133" s="75">
        <v>33.299999999999997</v>
      </c>
      <c r="O133" s="145"/>
      <c r="P133" s="18"/>
      <c r="Q133" s="18"/>
      <c r="S133" s="18"/>
      <c r="T133" s="18"/>
      <c r="U133" s="75">
        <v>56.3</v>
      </c>
      <c r="V133" s="18"/>
    </row>
    <row r="134" spans="1:22" ht="17" thickBot="1">
      <c r="A134" s="18">
        <v>64.3</v>
      </c>
      <c r="B134" s="18"/>
      <c r="C134" s="18"/>
      <c r="D134" s="18"/>
      <c r="E134" s="18"/>
      <c r="F134" s="75">
        <v>38.700000000000003</v>
      </c>
      <c r="G134" s="18"/>
      <c r="H134" s="18"/>
      <c r="I134" s="18"/>
      <c r="J134" s="75">
        <v>62.6</v>
      </c>
      <c r="K134" s="18"/>
      <c r="L134" s="18"/>
      <c r="M134" s="18"/>
      <c r="N134" s="75">
        <v>40.1</v>
      </c>
      <c r="O134" s="145"/>
      <c r="P134" s="18"/>
      <c r="Q134" s="18"/>
      <c r="S134" s="18"/>
      <c r="T134" s="18"/>
      <c r="U134" s="75">
        <v>63.7</v>
      </c>
      <c r="V134" s="18"/>
    </row>
    <row r="135" spans="1:22" ht="17" thickBot="1">
      <c r="A135" s="18">
        <v>54.2</v>
      </c>
      <c r="B135" s="18"/>
      <c r="C135" s="18"/>
      <c r="D135" s="18"/>
      <c r="E135" s="18"/>
      <c r="F135" s="75">
        <v>33.9</v>
      </c>
      <c r="G135" s="18"/>
      <c r="H135" s="18"/>
      <c r="I135" s="18"/>
      <c r="J135" s="75">
        <v>49.2</v>
      </c>
      <c r="K135" s="18"/>
      <c r="L135" s="18"/>
      <c r="M135" s="18"/>
      <c r="N135" s="75">
        <v>31.1</v>
      </c>
      <c r="O135" s="145"/>
      <c r="P135" s="18"/>
      <c r="Q135" s="18"/>
      <c r="S135" s="18"/>
      <c r="T135" s="18"/>
      <c r="U135" s="75">
        <v>56.8</v>
      </c>
      <c r="V135" s="18"/>
    </row>
    <row r="136" spans="1:22" ht="17" thickBot="1">
      <c r="A136" s="18">
        <v>63.9</v>
      </c>
      <c r="B136" s="18"/>
      <c r="C136" s="18"/>
      <c r="D136" s="18"/>
      <c r="E136" s="18"/>
      <c r="F136" s="75">
        <v>40.200000000000003</v>
      </c>
      <c r="G136" s="18"/>
      <c r="H136" s="18"/>
      <c r="I136" s="18"/>
      <c r="J136" s="75">
        <v>60.3</v>
      </c>
      <c r="K136" s="18"/>
      <c r="L136" s="18"/>
      <c r="M136" s="18"/>
      <c r="N136" s="75">
        <v>36.5</v>
      </c>
      <c r="O136" s="145"/>
      <c r="P136" s="18"/>
      <c r="Q136" s="18"/>
      <c r="S136" s="18"/>
      <c r="T136" s="18"/>
      <c r="U136" s="75">
        <v>62.8</v>
      </c>
      <c r="V136" s="18"/>
    </row>
    <row r="137" spans="1:22" ht="17" thickBot="1">
      <c r="A137" s="18">
        <v>48.6</v>
      </c>
      <c r="B137" s="18"/>
      <c r="C137" s="18"/>
      <c r="D137" s="18"/>
      <c r="E137" s="18"/>
      <c r="F137" s="75">
        <v>37.4</v>
      </c>
      <c r="G137" s="18"/>
      <c r="H137" s="18"/>
      <c r="I137" s="18"/>
      <c r="J137" s="75">
        <v>56.1</v>
      </c>
      <c r="K137" s="18"/>
      <c r="L137" s="18"/>
      <c r="M137" s="18"/>
      <c r="N137" s="75">
        <v>30.9</v>
      </c>
      <c r="O137" s="145"/>
      <c r="P137" s="18"/>
      <c r="Q137" s="18"/>
      <c r="S137" s="18"/>
      <c r="T137" s="18"/>
      <c r="U137" s="75">
        <v>57.6</v>
      </c>
      <c r="V137" s="18"/>
    </row>
    <row r="138" spans="1:22" ht="17" thickBot="1">
      <c r="A138" s="18">
        <v>64.599999999999994</v>
      </c>
      <c r="B138" s="18"/>
      <c r="C138" s="18"/>
      <c r="D138" s="18"/>
      <c r="E138" s="18"/>
      <c r="F138" s="75">
        <v>43.7</v>
      </c>
      <c r="G138" s="18"/>
      <c r="H138" s="18"/>
      <c r="I138" s="18"/>
      <c r="J138" s="75">
        <v>61.9</v>
      </c>
      <c r="K138" s="18"/>
      <c r="L138" s="18"/>
      <c r="M138" s="18"/>
      <c r="N138" s="75">
        <v>35</v>
      </c>
      <c r="O138" s="145"/>
      <c r="P138" s="18"/>
      <c r="Q138" s="18"/>
      <c r="S138" s="18"/>
      <c r="T138" s="18"/>
      <c r="U138" s="75">
        <v>64.099999999999994</v>
      </c>
      <c r="V138" s="18"/>
    </row>
    <row r="139" spans="1:22" ht="17" thickBot="1">
      <c r="A139" s="18">
        <v>56.7</v>
      </c>
      <c r="B139" s="18"/>
      <c r="C139" s="18"/>
      <c r="D139" s="18"/>
      <c r="E139" s="18"/>
      <c r="F139" s="75">
        <v>31.7</v>
      </c>
      <c r="G139" s="18"/>
      <c r="H139" s="18"/>
      <c r="I139" s="18"/>
      <c r="J139" s="75">
        <v>61.3</v>
      </c>
      <c r="K139" s="18"/>
      <c r="L139" s="18"/>
      <c r="M139" s="18"/>
      <c r="N139" s="75">
        <v>39.1</v>
      </c>
      <c r="O139" s="145"/>
      <c r="P139" s="18"/>
      <c r="Q139" s="18"/>
      <c r="S139" s="18"/>
      <c r="T139" s="18"/>
      <c r="U139" s="75">
        <v>50.9</v>
      </c>
      <c r="V139" s="18"/>
    </row>
    <row r="140" spans="1:22" ht="17" thickBot="1">
      <c r="A140" s="18">
        <v>64</v>
      </c>
      <c r="B140" s="18"/>
      <c r="C140" s="18"/>
      <c r="D140" s="18"/>
      <c r="E140" s="18"/>
      <c r="F140" s="75">
        <v>39.200000000000003</v>
      </c>
      <c r="G140" s="18"/>
      <c r="H140" s="18"/>
      <c r="I140" s="18"/>
      <c r="J140" s="75">
        <v>64.099999999999994</v>
      </c>
      <c r="K140" s="18"/>
      <c r="L140" s="18"/>
      <c r="M140" s="18"/>
      <c r="N140" s="75">
        <v>45.4</v>
      </c>
      <c r="O140" s="145"/>
      <c r="P140" s="18"/>
      <c r="Q140" s="18"/>
      <c r="S140" s="18"/>
      <c r="T140" s="18"/>
      <c r="U140" s="75">
        <v>62.3</v>
      </c>
      <c r="V140" s="18"/>
    </row>
    <row r="141" spans="1:22" ht="17" thickBot="1">
      <c r="A141" s="18">
        <v>52</v>
      </c>
      <c r="B141" s="18"/>
      <c r="C141" s="18"/>
      <c r="D141" s="18"/>
      <c r="E141" s="18"/>
      <c r="F141" s="75">
        <v>31.9</v>
      </c>
      <c r="G141" s="18"/>
      <c r="H141" s="18"/>
      <c r="I141" s="18"/>
      <c r="J141" s="75">
        <v>54.4</v>
      </c>
      <c r="K141" s="18"/>
      <c r="L141" s="18"/>
      <c r="M141" s="18"/>
      <c r="N141" s="75">
        <v>37.5</v>
      </c>
      <c r="O141" s="145"/>
      <c r="P141" s="18"/>
      <c r="Q141" s="18"/>
      <c r="S141" s="18"/>
      <c r="T141" s="18"/>
      <c r="U141" s="75">
        <v>55.4</v>
      </c>
      <c r="V141" s="18"/>
    </row>
    <row r="142" spans="1:22" ht="17" thickBot="1">
      <c r="A142" s="18">
        <v>62.2</v>
      </c>
      <c r="B142" s="18"/>
      <c r="C142" s="18"/>
      <c r="D142" s="18"/>
      <c r="E142" s="18"/>
      <c r="F142" s="75">
        <v>40.5</v>
      </c>
      <c r="G142" s="18"/>
      <c r="H142" s="18"/>
      <c r="I142" s="18"/>
      <c r="J142" s="75">
        <v>64.7</v>
      </c>
      <c r="K142" s="18"/>
      <c r="L142" s="18"/>
      <c r="M142" s="18"/>
      <c r="N142" s="75">
        <v>43.1</v>
      </c>
      <c r="O142" s="145"/>
      <c r="P142" s="18"/>
      <c r="Q142" s="18"/>
      <c r="S142" s="18"/>
      <c r="T142" s="18"/>
      <c r="U142" s="75">
        <v>63</v>
      </c>
      <c r="V142" s="18"/>
    </row>
    <row r="143" spans="1:22" ht="17" thickBot="1">
      <c r="A143" s="18">
        <v>55.5</v>
      </c>
      <c r="B143" s="18"/>
      <c r="C143" s="18"/>
      <c r="D143" s="18"/>
      <c r="E143" s="18"/>
      <c r="F143" s="75">
        <v>31.8</v>
      </c>
      <c r="G143" s="18"/>
      <c r="H143" s="18"/>
      <c r="I143" s="18"/>
      <c r="J143" s="75">
        <v>55.2</v>
      </c>
      <c r="K143" s="18"/>
      <c r="L143" s="18"/>
      <c r="M143" s="18"/>
      <c r="N143" s="75">
        <v>37.4</v>
      </c>
      <c r="O143" s="145"/>
      <c r="P143" s="18"/>
      <c r="Q143" s="18"/>
      <c r="S143" s="18"/>
      <c r="T143" s="18"/>
      <c r="U143" s="75">
        <v>58.9</v>
      </c>
      <c r="V143" s="18"/>
    </row>
    <row r="144" spans="1:22" ht="17" thickBot="1">
      <c r="A144" s="18">
        <v>63.6</v>
      </c>
      <c r="B144" s="18"/>
      <c r="C144" s="18"/>
      <c r="D144" s="18"/>
      <c r="E144" s="18"/>
      <c r="F144" s="75">
        <v>39.200000000000003</v>
      </c>
      <c r="G144" s="18"/>
      <c r="H144" s="18"/>
      <c r="I144" s="18"/>
      <c r="J144" s="75">
        <v>64.7</v>
      </c>
      <c r="K144" s="18"/>
      <c r="L144" s="18"/>
      <c r="M144" s="18"/>
      <c r="N144" s="75">
        <v>43.5</v>
      </c>
      <c r="O144" s="145"/>
      <c r="P144" s="18"/>
      <c r="Q144" s="18"/>
      <c r="S144" s="18"/>
      <c r="T144" s="18"/>
      <c r="U144" s="75">
        <v>63.4</v>
      </c>
      <c r="V144" s="18"/>
    </row>
    <row r="145" spans="1:22" ht="17" thickBot="1">
      <c r="A145" s="18">
        <v>57.4</v>
      </c>
      <c r="B145" s="18"/>
      <c r="C145" s="18"/>
      <c r="D145" s="18"/>
      <c r="E145" s="18"/>
      <c r="F145" s="75">
        <v>34.700000000000003</v>
      </c>
      <c r="G145" s="18"/>
      <c r="H145" s="18"/>
      <c r="I145" s="18"/>
      <c r="J145" s="75">
        <v>57.2</v>
      </c>
      <c r="K145" s="18"/>
      <c r="L145" s="18"/>
      <c r="M145" s="18"/>
      <c r="N145" s="75">
        <v>35</v>
      </c>
      <c r="O145" s="145"/>
      <c r="P145" s="18"/>
      <c r="Q145" s="18"/>
      <c r="S145" s="18"/>
      <c r="T145" s="18"/>
      <c r="U145" s="75">
        <v>57.6</v>
      </c>
      <c r="V145" s="18"/>
    </row>
    <row r="146" spans="1:22" ht="17" thickBot="1">
      <c r="A146" s="18">
        <v>64.2</v>
      </c>
      <c r="B146" s="18"/>
      <c r="C146" s="18"/>
      <c r="D146" s="18"/>
      <c r="E146" s="18"/>
      <c r="F146" s="75">
        <v>40.1</v>
      </c>
      <c r="G146" s="18"/>
      <c r="H146" s="18"/>
      <c r="I146" s="18"/>
      <c r="J146" s="75">
        <v>62.9</v>
      </c>
      <c r="K146" s="18"/>
      <c r="L146" s="18"/>
      <c r="M146" s="18"/>
      <c r="N146" s="75">
        <v>39.4</v>
      </c>
      <c r="O146" s="145"/>
      <c r="P146" s="18"/>
      <c r="Q146" s="18"/>
      <c r="S146" s="18"/>
      <c r="T146" s="18"/>
      <c r="U146" s="75">
        <v>62.7</v>
      </c>
      <c r="V146" s="18"/>
    </row>
    <row r="147" spans="1:22" ht="17" thickBot="1">
      <c r="A147" s="18">
        <v>56.8</v>
      </c>
      <c r="B147" s="18"/>
      <c r="C147" s="18"/>
      <c r="D147" s="18"/>
      <c r="E147" s="18"/>
      <c r="F147" s="75">
        <v>37.6</v>
      </c>
      <c r="G147" s="18"/>
      <c r="H147" s="18"/>
      <c r="I147" s="18"/>
      <c r="J147" s="75">
        <v>60.3</v>
      </c>
      <c r="K147" s="18"/>
      <c r="L147" s="18"/>
      <c r="M147" s="18"/>
      <c r="N147" s="75">
        <v>33.6</v>
      </c>
      <c r="O147" s="145"/>
      <c r="P147" s="18"/>
      <c r="Q147" s="18"/>
      <c r="S147" s="18"/>
      <c r="T147" s="18"/>
      <c r="U147" s="75">
        <v>57.4</v>
      </c>
      <c r="V147" s="18"/>
    </row>
    <row r="148" spans="1:22" ht="17" thickBot="1">
      <c r="A148" s="18">
        <v>64.5</v>
      </c>
      <c r="B148" s="18"/>
      <c r="C148" s="18"/>
      <c r="D148" s="18"/>
      <c r="E148" s="18"/>
      <c r="F148" s="75">
        <v>43.7</v>
      </c>
      <c r="G148" s="18"/>
      <c r="H148" s="18"/>
      <c r="I148" s="18"/>
      <c r="J148" s="75">
        <v>64.400000000000006</v>
      </c>
      <c r="K148" s="18"/>
      <c r="L148" s="18"/>
      <c r="M148" s="18"/>
      <c r="N148" s="75">
        <v>39.200000000000003</v>
      </c>
      <c r="O148" s="145"/>
      <c r="P148" s="18"/>
      <c r="Q148" s="18"/>
      <c r="S148" s="18"/>
      <c r="T148" s="18"/>
      <c r="U148" s="75">
        <v>64.599999999999994</v>
      </c>
      <c r="V148" s="18"/>
    </row>
    <row r="149" spans="1:22" ht="17" thickBot="1">
      <c r="A149" s="18">
        <v>54</v>
      </c>
      <c r="B149" s="18"/>
      <c r="C149" s="18"/>
      <c r="D149" s="18"/>
      <c r="E149" s="18"/>
      <c r="F149" s="75">
        <v>37.799999999999997</v>
      </c>
      <c r="G149" s="18"/>
      <c r="H149" s="18"/>
      <c r="I149" s="18"/>
      <c r="J149" s="75">
        <v>57.1</v>
      </c>
      <c r="K149" s="18"/>
      <c r="L149" s="18"/>
      <c r="M149" s="18"/>
      <c r="N149" s="75">
        <v>34.6</v>
      </c>
      <c r="O149" s="145"/>
      <c r="P149" s="18"/>
      <c r="Q149" s="18"/>
      <c r="S149" s="18"/>
      <c r="T149" s="18"/>
      <c r="U149" s="75">
        <v>57</v>
      </c>
      <c r="V149" s="18"/>
    </row>
    <row r="150" spans="1:22" ht="17" thickBot="1">
      <c r="A150" s="18">
        <v>64.099999999999994</v>
      </c>
      <c r="B150" s="18"/>
      <c r="C150" s="18"/>
      <c r="D150" s="18"/>
      <c r="E150" s="18"/>
      <c r="F150" s="75">
        <v>44</v>
      </c>
      <c r="G150" s="18"/>
      <c r="H150" s="18"/>
      <c r="I150" s="18"/>
      <c r="J150" s="75">
        <v>64</v>
      </c>
      <c r="K150" s="18"/>
      <c r="L150" s="18"/>
      <c r="M150" s="18"/>
      <c r="N150" s="75">
        <v>40.4</v>
      </c>
      <c r="O150" s="145"/>
      <c r="P150" s="18"/>
      <c r="Q150" s="18"/>
      <c r="S150" s="18"/>
      <c r="T150" s="18"/>
      <c r="U150" s="75">
        <v>63.7</v>
      </c>
      <c r="V150" s="18"/>
    </row>
    <row r="151" spans="1:22" ht="17" thickBot="1">
      <c r="A151" s="18">
        <v>51.2</v>
      </c>
      <c r="B151" s="18"/>
      <c r="C151" s="18"/>
      <c r="D151" s="18"/>
      <c r="E151" s="18"/>
      <c r="F151" s="75">
        <v>30.4</v>
      </c>
      <c r="G151" s="18"/>
      <c r="H151" s="18"/>
      <c r="I151" s="18"/>
      <c r="J151" s="75">
        <v>54.5</v>
      </c>
      <c r="K151" s="18"/>
      <c r="L151" s="18"/>
      <c r="M151" s="18"/>
      <c r="N151" s="75">
        <v>39.5</v>
      </c>
      <c r="O151" s="145"/>
      <c r="P151" s="18"/>
      <c r="Q151" s="18"/>
      <c r="S151" s="18"/>
      <c r="T151" s="18"/>
      <c r="U151" s="75">
        <v>56.9</v>
      </c>
      <c r="V151" s="18"/>
    </row>
    <row r="152" spans="1:22" ht="17" thickBot="1">
      <c r="A152" s="18">
        <v>62</v>
      </c>
      <c r="B152" s="18"/>
      <c r="C152" s="18"/>
      <c r="D152" s="18"/>
      <c r="E152" s="18"/>
      <c r="F152" s="75">
        <v>35.200000000000003</v>
      </c>
      <c r="G152" s="18"/>
      <c r="H152" s="18"/>
      <c r="I152" s="18"/>
      <c r="J152" s="75">
        <v>64.7</v>
      </c>
      <c r="K152" s="18"/>
      <c r="L152" s="18"/>
      <c r="M152" s="18"/>
      <c r="N152" s="75">
        <v>46.1</v>
      </c>
      <c r="O152" s="145"/>
      <c r="P152" s="18"/>
      <c r="Q152" s="18"/>
      <c r="S152" s="18"/>
      <c r="T152" s="18"/>
      <c r="U152" s="75">
        <v>64</v>
      </c>
      <c r="V152" s="18"/>
    </row>
    <row r="153" spans="1:22" ht="17" thickBot="1">
      <c r="A153" s="18">
        <v>49.4</v>
      </c>
      <c r="B153" s="18"/>
      <c r="C153" s="18"/>
      <c r="D153" s="18"/>
      <c r="E153" s="18"/>
      <c r="F153" s="75">
        <v>32.9</v>
      </c>
      <c r="G153" s="18"/>
      <c r="H153" s="18"/>
      <c r="I153" s="18"/>
      <c r="J153" s="75">
        <v>44.4</v>
      </c>
      <c r="K153" s="18"/>
      <c r="L153" s="18"/>
      <c r="M153" s="18"/>
      <c r="N153" s="75">
        <v>29.8</v>
      </c>
      <c r="O153" s="145"/>
      <c r="P153" s="18"/>
      <c r="Q153" s="18"/>
      <c r="S153" s="18"/>
      <c r="T153" s="18"/>
      <c r="U153" s="75">
        <v>55.6</v>
      </c>
      <c r="V153" s="18"/>
    </row>
    <row r="154" spans="1:22" ht="17" thickBot="1">
      <c r="A154" s="18">
        <v>62</v>
      </c>
      <c r="B154" s="18"/>
      <c r="C154" s="18"/>
      <c r="D154" s="18"/>
      <c r="E154" s="18"/>
      <c r="F154" s="75">
        <v>40.1</v>
      </c>
      <c r="G154" s="18"/>
      <c r="H154" s="18"/>
      <c r="I154" s="18"/>
      <c r="J154" s="75">
        <v>56</v>
      </c>
      <c r="K154" s="18"/>
      <c r="L154" s="18"/>
      <c r="M154" s="18"/>
      <c r="N154" s="75">
        <v>34.9</v>
      </c>
      <c r="O154" s="145"/>
      <c r="P154" s="18"/>
      <c r="Q154" s="18"/>
      <c r="S154" s="18"/>
      <c r="T154" s="18"/>
      <c r="U154" s="75">
        <v>62.5</v>
      </c>
      <c r="V154" s="18"/>
    </row>
    <row r="155" spans="1:22" ht="17" thickBot="1">
      <c r="A155" s="18"/>
      <c r="B155" s="18"/>
      <c r="C155" s="18"/>
      <c r="D155" s="18"/>
      <c r="E155" s="18"/>
      <c r="F155" s="18"/>
      <c r="G155" s="18"/>
      <c r="H155" s="18"/>
      <c r="I155" s="18"/>
      <c r="J155" s="75">
        <v>59.1</v>
      </c>
      <c r="K155" s="18"/>
      <c r="L155" s="18"/>
      <c r="M155" s="18"/>
      <c r="N155" s="75">
        <v>37.200000000000003</v>
      </c>
      <c r="O155" s="145"/>
      <c r="P155" s="18"/>
      <c r="Q155" s="18"/>
      <c r="S155" s="18"/>
      <c r="T155" s="18"/>
      <c r="U155" s="18"/>
      <c r="V155" s="18"/>
    </row>
    <row r="156" spans="1:22" ht="17" thickBot="1">
      <c r="A156" s="18"/>
      <c r="B156" s="18"/>
      <c r="C156" s="18"/>
      <c r="D156" s="18"/>
      <c r="E156" s="18"/>
      <c r="F156" s="18"/>
      <c r="G156" s="18"/>
      <c r="H156" s="18"/>
      <c r="I156" s="18"/>
      <c r="J156" s="75">
        <v>64.2</v>
      </c>
      <c r="K156" s="18"/>
      <c r="L156" s="18"/>
      <c r="M156" s="18"/>
      <c r="N156" s="75">
        <v>44.2</v>
      </c>
      <c r="O156" s="145"/>
      <c r="P156" s="18"/>
      <c r="Q156" s="18"/>
      <c r="S156" s="18"/>
      <c r="T156" s="18"/>
      <c r="U156" s="18"/>
      <c r="V156" s="18"/>
    </row>
    <row r="157" spans="1:22" ht="17" thickBot="1">
      <c r="A157" s="18"/>
      <c r="B157" s="18"/>
      <c r="C157" s="18"/>
      <c r="D157" s="18"/>
      <c r="E157" s="18"/>
      <c r="F157" s="18"/>
      <c r="G157" s="18"/>
      <c r="H157" s="18"/>
      <c r="I157" s="18"/>
      <c r="J157" s="75">
        <v>56.1</v>
      </c>
      <c r="K157" s="18"/>
      <c r="L157" s="18"/>
      <c r="M157" s="18"/>
      <c r="N157" s="75">
        <v>35.1</v>
      </c>
      <c r="O157" s="145"/>
      <c r="P157" s="18"/>
      <c r="Q157" s="18"/>
      <c r="S157" s="18"/>
      <c r="T157" s="18"/>
      <c r="U157" s="18"/>
      <c r="V157" s="18"/>
    </row>
    <row r="158" spans="1:22" ht="17" thickBot="1">
      <c r="A158" s="18"/>
      <c r="B158" s="18"/>
      <c r="C158" s="18"/>
      <c r="D158" s="18"/>
      <c r="E158" s="18"/>
      <c r="F158" s="18"/>
      <c r="G158" s="18"/>
      <c r="H158" s="18"/>
      <c r="I158" s="18"/>
      <c r="J158" s="75">
        <v>62.9</v>
      </c>
      <c r="K158" s="18"/>
      <c r="L158" s="18"/>
      <c r="M158" s="18"/>
      <c r="N158" s="75">
        <v>41.5</v>
      </c>
      <c r="O158" s="145"/>
      <c r="P158" s="18"/>
      <c r="Q158" s="18"/>
      <c r="S158" s="18"/>
      <c r="T158" s="18"/>
      <c r="U158" s="18"/>
      <c r="V158" s="1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selection activeCell="I2" sqref="I2"/>
    </sheetView>
  </sheetViews>
  <sheetFormatPr baseColWidth="10" defaultRowHeight="14" x14ac:dyDescent="0"/>
  <cols>
    <col min="1" max="7" width="10.83203125" style="18"/>
  </cols>
  <sheetData>
    <row r="1" spans="1:9" ht="56">
      <c r="A1" s="18" t="s">
        <v>195</v>
      </c>
      <c r="B1" s="18" t="s">
        <v>196</v>
      </c>
      <c r="C1" s="18" t="s">
        <v>197</v>
      </c>
      <c r="D1" s="18" t="s">
        <v>198</v>
      </c>
      <c r="E1" s="18" t="s">
        <v>199</v>
      </c>
      <c r="F1" s="1" t="s">
        <v>59</v>
      </c>
      <c r="G1" s="1" t="s">
        <v>60</v>
      </c>
      <c r="I1" t="s">
        <v>399</v>
      </c>
    </row>
    <row r="2" spans="1:9">
      <c r="A2" s="18">
        <v>41.9</v>
      </c>
      <c r="B2" s="18">
        <v>67.040000000000006</v>
      </c>
      <c r="C2" s="18">
        <v>26.7</v>
      </c>
      <c r="D2" s="18">
        <v>42.72</v>
      </c>
      <c r="E2" s="18" t="s">
        <v>26</v>
      </c>
      <c r="F2" s="4">
        <v>52.316789999999997</v>
      </c>
      <c r="G2" s="4">
        <v>68.534989999999993</v>
      </c>
      <c r="I2">
        <f t="shared" ref="I2:I49" si="0">(0.25*A2+0.75*C2)*1.6</f>
        <v>48.800000000000004</v>
      </c>
    </row>
    <row r="3" spans="1:9">
      <c r="A3" s="18">
        <v>46.1</v>
      </c>
      <c r="B3" s="18">
        <v>73.760000000000005</v>
      </c>
      <c r="C3" s="18">
        <v>26.6</v>
      </c>
      <c r="D3" s="18">
        <v>42.56</v>
      </c>
      <c r="E3" s="18" t="s">
        <v>27</v>
      </c>
      <c r="F3" s="4">
        <v>53.198880000000003</v>
      </c>
      <c r="G3" s="4">
        <v>67.562579999999997</v>
      </c>
      <c r="I3" s="18">
        <f t="shared" si="0"/>
        <v>50.360000000000007</v>
      </c>
    </row>
    <row r="4" spans="1:9">
      <c r="A4" s="18">
        <v>43.9</v>
      </c>
      <c r="B4" s="18">
        <v>70.239999999999995</v>
      </c>
      <c r="C4" s="18">
        <v>27.7</v>
      </c>
      <c r="D4" s="18">
        <v>44.32</v>
      </c>
      <c r="E4" s="18" t="s">
        <v>28</v>
      </c>
      <c r="F4" s="4">
        <v>57.562600000000003</v>
      </c>
      <c r="G4" s="4">
        <v>71.377619999999993</v>
      </c>
      <c r="I4" s="18">
        <f t="shared" si="0"/>
        <v>50.800000000000004</v>
      </c>
    </row>
    <row r="5" spans="1:9">
      <c r="A5" s="18">
        <v>45.7</v>
      </c>
      <c r="B5" s="18">
        <v>73.12</v>
      </c>
      <c r="C5" s="18">
        <v>28.4</v>
      </c>
      <c r="D5" s="18">
        <v>45.44</v>
      </c>
      <c r="E5" s="18" t="s">
        <v>29</v>
      </c>
      <c r="F5" s="4">
        <v>60.288020000000003</v>
      </c>
      <c r="G5" s="4">
        <v>74.154269999999997</v>
      </c>
      <c r="I5" s="18">
        <f t="shared" si="0"/>
        <v>52.359999999999992</v>
      </c>
    </row>
    <row r="6" spans="1:9">
      <c r="A6" s="18">
        <v>56.2</v>
      </c>
      <c r="B6" s="18">
        <v>89.92</v>
      </c>
      <c r="C6" s="18">
        <v>32.5</v>
      </c>
      <c r="D6" s="18">
        <v>52</v>
      </c>
      <c r="E6" s="18" t="s">
        <v>30</v>
      </c>
      <c r="F6" s="4">
        <v>60.075479999999999</v>
      </c>
      <c r="G6" s="4">
        <v>64.280760000000001</v>
      </c>
      <c r="I6" s="18">
        <f t="shared" si="0"/>
        <v>61.48</v>
      </c>
    </row>
    <row r="7" spans="1:9">
      <c r="A7" s="18">
        <v>49.6</v>
      </c>
      <c r="B7" s="18">
        <v>79.36</v>
      </c>
      <c r="C7" s="18">
        <v>26.7</v>
      </c>
      <c r="D7" s="18">
        <v>42.72</v>
      </c>
      <c r="E7" s="18" t="s">
        <v>31</v>
      </c>
      <c r="F7" s="4">
        <v>54.739370000000001</v>
      </c>
      <c r="G7" s="4">
        <v>66.782039999999995</v>
      </c>
      <c r="I7" s="18">
        <f t="shared" si="0"/>
        <v>51.879999999999995</v>
      </c>
    </row>
    <row r="8" spans="1:9">
      <c r="A8" s="18">
        <v>41</v>
      </c>
      <c r="B8" s="18">
        <v>65.599999999999994</v>
      </c>
      <c r="C8" s="18">
        <v>24.7</v>
      </c>
      <c r="D8" s="18">
        <v>39.520000000000003</v>
      </c>
      <c r="E8" s="18" t="s">
        <v>32</v>
      </c>
      <c r="F8" s="4">
        <v>47.502769999999998</v>
      </c>
      <c r="G8" s="4">
        <v>64.128739999999993</v>
      </c>
      <c r="I8" s="18">
        <f t="shared" si="0"/>
        <v>46.04</v>
      </c>
    </row>
    <row r="9" spans="1:9">
      <c r="A9" s="18">
        <v>50.3</v>
      </c>
      <c r="B9" s="18">
        <v>80.48</v>
      </c>
      <c r="C9" s="18">
        <v>30.1</v>
      </c>
      <c r="D9" s="18">
        <v>48.16</v>
      </c>
      <c r="E9" s="18" t="s">
        <v>33</v>
      </c>
      <c r="F9" s="4">
        <v>59.701340000000002</v>
      </c>
      <c r="G9" s="4">
        <v>70.447580000000002</v>
      </c>
      <c r="I9" s="18">
        <f t="shared" si="0"/>
        <v>56.240000000000009</v>
      </c>
    </row>
    <row r="10" spans="1:9">
      <c r="A10" s="18">
        <v>55.6</v>
      </c>
      <c r="B10" s="18">
        <v>88.96</v>
      </c>
      <c r="C10" s="18">
        <v>32</v>
      </c>
      <c r="D10" s="18">
        <v>51.2</v>
      </c>
      <c r="E10" s="18" t="s">
        <v>34</v>
      </c>
      <c r="F10" s="4">
        <v>62.775539999999999</v>
      </c>
      <c r="G10" s="4">
        <v>69.053089999999997</v>
      </c>
      <c r="I10" s="18">
        <f t="shared" si="0"/>
        <v>60.64</v>
      </c>
    </row>
    <row r="11" spans="1:9">
      <c r="A11" s="18">
        <v>50.5</v>
      </c>
      <c r="B11" s="18">
        <v>80.8</v>
      </c>
      <c r="C11" s="18">
        <v>29.3</v>
      </c>
      <c r="D11" s="18">
        <v>46.88</v>
      </c>
      <c r="E11" s="18" t="s">
        <v>35</v>
      </c>
      <c r="F11" s="4">
        <v>60.796750000000003</v>
      </c>
      <c r="G11" s="4">
        <v>71.132189999999994</v>
      </c>
      <c r="I11" s="18">
        <f t="shared" si="0"/>
        <v>55.360000000000007</v>
      </c>
    </row>
    <row r="12" spans="1:9">
      <c r="A12" s="18">
        <v>42.5</v>
      </c>
      <c r="B12" s="18">
        <v>68</v>
      </c>
      <c r="C12" s="18">
        <v>27.9</v>
      </c>
      <c r="D12" s="18">
        <v>44.64</v>
      </c>
      <c r="E12" s="18" t="s">
        <v>61</v>
      </c>
      <c r="F12" s="4">
        <v>56.964039999999997</v>
      </c>
      <c r="G12" s="4">
        <v>70.065770000000001</v>
      </c>
      <c r="I12" s="18">
        <f t="shared" si="0"/>
        <v>50.48</v>
      </c>
    </row>
    <row r="13" spans="1:9">
      <c r="A13" s="18">
        <v>45.1</v>
      </c>
      <c r="B13" s="18">
        <v>72.16</v>
      </c>
      <c r="C13" s="18">
        <v>26.5</v>
      </c>
      <c r="D13" s="18">
        <v>42.4</v>
      </c>
      <c r="E13" s="18" t="s">
        <v>36</v>
      </c>
      <c r="F13" s="4">
        <v>50.872790000000002</v>
      </c>
      <c r="G13" s="4">
        <v>67.152079999999998</v>
      </c>
      <c r="I13" s="18">
        <f t="shared" si="0"/>
        <v>49.84</v>
      </c>
    </row>
    <row r="14" spans="1:9">
      <c r="A14" s="18">
        <v>47.5</v>
      </c>
      <c r="B14" s="18">
        <v>76</v>
      </c>
      <c r="C14" s="18">
        <v>26.4</v>
      </c>
      <c r="D14" s="18">
        <v>42.24</v>
      </c>
      <c r="E14" s="18" t="s">
        <v>37</v>
      </c>
      <c r="F14" s="4">
        <v>50.514110000000002</v>
      </c>
      <c r="G14" s="4">
        <v>65.163210000000007</v>
      </c>
      <c r="I14" s="18">
        <f t="shared" si="0"/>
        <v>50.68</v>
      </c>
    </row>
    <row r="15" spans="1:9">
      <c r="A15" s="18">
        <v>51.3</v>
      </c>
      <c r="B15" s="18">
        <v>82.08</v>
      </c>
      <c r="C15" s="18">
        <v>28.9</v>
      </c>
      <c r="D15" s="18">
        <v>46.24</v>
      </c>
      <c r="E15" s="18" t="s">
        <v>511</v>
      </c>
      <c r="F15" s="4">
        <v>54.516030000000001</v>
      </c>
      <c r="G15" s="4">
        <v>64.328909999999993</v>
      </c>
      <c r="I15" s="18">
        <f t="shared" si="0"/>
        <v>55.2</v>
      </c>
    </row>
    <row r="16" spans="1:9">
      <c r="A16" s="18">
        <v>53.7</v>
      </c>
      <c r="B16" s="18">
        <v>85.92</v>
      </c>
      <c r="C16" s="18">
        <v>30.8</v>
      </c>
      <c r="D16" s="18">
        <v>49.28</v>
      </c>
      <c r="E16" s="18" t="s">
        <v>38</v>
      </c>
      <c r="F16" s="4">
        <v>68.568569999999994</v>
      </c>
      <c r="G16" s="4">
        <v>75.425430000000006</v>
      </c>
      <c r="I16" s="18">
        <f t="shared" si="0"/>
        <v>58.440000000000012</v>
      </c>
    </row>
    <row r="17" spans="1:9">
      <c r="A17" s="18">
        <v>41.6</v>
      </c>
      <c r="B17" s="18">
        <v>66.56</v>
      </c>
      <c r="C17" s="18">
        <v>27.3</v>
      </c>
      <c r="D17" s="18">
        <v>43.68</v>
      </c>
      <c r="E17" s="18" t="s">
        <v>39</v>
      </c>
      <c r="F17" s="4">
        <v>53.767299999999999</v>
      </c>
      <c r="G17" s="4">
        <v>68.822140000000005</v>
      </c>
      <c r="I17" s="18">
        <f t="shared" si="0"/>
        <v>49.400000000000006</v>
      </c>
    </row>
    <row r="18" spans="1:9">
      <c r="A18" s="18">
        <v>51.6</v>
      </c>
      <c r="B18" s="18">
        <v>82.56</v>
      </c>
      <c r="C18" s="18">
        <v>27.7</v>
      </c>
      <c r="D18" s="18">
        <v>44.32</v>
      </c>
      <c r="E18" s="18" t="s">
        <v>40</v>
      </c>
      <c r="F18" s="4">
        <v>53.336190000000002</v>
      </c>
      <c r="G18" s="4">
        <v>65.070160000000001</v>
      </c>
      <c r="I18" s="18">
        <f t="shared" si="0"/>
        <v>53.879999999999995</v>
      </c>
    </row>
    <row r="19" spans="1:9" ht="16">
      <c r="A19" s="18">
        <v>39.9</v>
      </c>
      <c r="B19" s="18">
        <v>63.84</v>
      </c>
      <c r="C19" s="18">
        <v>28.8</v>
      </c>
      <c r="D19" s="18">
        <v>46.08</v>
      </c>
      <c r="E19" s="18" t="s">
        <v>72</v>
      </c>
      <c r="F19" s="4">
        <v>57.819749999999999</v>
      </c>
      <c r="G19" s="4">
        <v>71.696479999999994</v>
      </c>
      <c r="I19" s="18">
        <f t="shared" si="0"/>
        <v>50.52000000000001</v>
      </c>
    </row>
    <row r="20" spans="1:9">
      <c r="A20" s="18">
        <v>50.1</v>
      </c>
      <c r="B20" s="18">
        <v>80.16</v>
      </c>
      <c r="C20" s="18">
        <v>26.9</v>
      </c>
      <c r="D20" s="18">
        <v>43.04</v>
      </c>
      <c r="E20" s="18" t="s">
        <v>41</v>
      </c>
      <c r="F20" s="4">
        <v>54.3979</v>
      </c>
      <c r="G20" s="4">
        <v>63.645539999999997</v>
      </c>
      <c r="I20" s="18">
        <f t="shared" si="0"/>
        <v>52.319999999999993</v>
      </c>
    </row>
    <row r="21" spans="1:9">
      <c r="A21" s="18">
        <v>56.4</v>
      </c>
      <c r="B21" s="18">
        <v>90.24</v>
      </c>
      <c r="C21" s="18">
        <v>32.299999999999997</v>
      </c>
      <c r="D21" s="18">
        <v>51.68</v>
      </c>
      <c r="E21" s="18" t="s">
        <v>74</v>
      </c>
      <c r="F21" s="4">
        <v>63.341059999999999</v>
      </c>
      <c r="G21" s="4">
        <v>69.041749999999993</v>
      </c>
      <c r="I21" s="18">
        <f t="shared" si="0"/>
        <v>61.319999999999993</v>
      </c>
    </row>
    <row r="22" spans="1:9">
      <c r="A22" s="18">
        <v>44.8</v>
      </c>
      <c r="B22" s="18">
        <v>71.680000000000007</v>
      </c>
      <c r="C22" s="18">
        <v>27.1</v>
      </c>
      <c r="D22" s="18">
        <v>43.36</v>
      </c>
      <c r="E22" s="18" t="s">
        <v>62</v>
      </c>
      <c r="F22" s="4">
        <v>50.764740000000003</v>
      </c>
      <c r="G22" s="4">
        <v>64.471209999999999</v>
      </c>
      <c r="I22" s="18">
        <f t="shared" si="0"/>
        <v>50.440000000000005</v>
      </c>
    </row>
    <row r="23" spans="1:9">
      <c r="A23" s="18">
        <v>34.6</v>
      </c>
      <c r="B23" s="18">
        <v>55.36</v>
      </c>
      <c r="C23" s="18">
        <v>25.8</v>
      </c>
      <c r="D23" s="18">
        <v>41.28</v>
      </c>
      <c r="E23" s="18" t="s">
        <v>63</v>
      </c>
      <c r="F23" s="4">
        <v>47.966560000000001</v>
      </c>
      <c r="G23" s="4">
        <v>70.990499999999997</v>
      </c>
      <c r="I23" s="18">
        <f t="shared" si="0"/>
        <v>44.800000000000004</v>
      </c>
    </row>
    <row r="24" spans="1:9">
      <c r="A24" s="18">
        <v>50.6</v>
      </c>
      <c r="B24" s="18">
        <v>80.959999999999994</v>
      </c>
      <c r="C24" s="18">
        <v>28.3</v>
      </c>
      <c r="D24" s="18">
        <v>45.28</v>
      </c>
      <c r="E24" s="18" t="s">
        <v>42</v>
      </c>
      <c r="F24" s="4">
        <v>57.963749999999997</v>
      </c>
      <c r="G24" s="4">
        <v>68.976879999999994</v>
      </c>
      <c r="I24" s="18">
        <f t="shared" si="0"/>
        <v>54.2</v>
      </c>
    </row>
    <row r="25" spans="1:9">
      <c r="A25" s="18">
        <v>50.9</v>
      </c>
      <c r="B25" s="18">
        <v>81.44</v>
      </c>
      <c r="C25" s="18">
        <v>31.8</v>
      </c>
      <c r="D25" s="18">
        <v>50.88</v>
      </c>
      <c r="E25" s="18" t="s">
        <v>43</v>
      </c>
      <c r="F25" s="4">
        <v>57.321390000000001</v>
      </c>
      <c r="G25" s="4">
        <v>64.773169999999993</v>
      </c>
      <c r="I25" s="18">
        <f t="shared" si="0"/>
        <v>58.52000000000001</v>
      </c>
    </row>
    <row r="26" spans="1:9">
      <c r="A26" s="18">
        <v>41.6</v>
      </c>
      <c r="B26" s="18">
        <v>66.56</v>
      </c>
      <c r="C26" s="18">
        <v>25.5</v>
      </c>
      <c r="D26" s="18">
        <v>40.799999999999997</v>
      </c>
      <c r="E26" s="18" t="s">
        <v>200</v>
      </c>
      <c r="F26" s="4">
        <v>59.829090000000001</v>
      </c>
      <c r="G26" s="4">
        <v>81.367570000000001</v>
      </c>
      <c r="I26" s="18">
        <f t="shared" si="0"/>
        <v>47.24</v>
      </c>
    </row>
    <row r="27" spans="1:9">
      <c r="A27" s="18">
        <v>49.6</v>
      </c>
      <c r="B27" s="18">
        <v>79.36</v>
      </c>
      <c r="C27" s="18">
        <v>32.200000000000003</v>
      </c>
      <c r="D27" s="18">
        <v>51.52</v>
      </c>
      <c r="E27" s="18" t="s">
        <v>44</v>
      </c>
      <c r="F27" s="4">
        <v>57.256279999999997</v>
      </c>
      <c r="G27" s="4">
        <v>65.844710000000006</v>
      </c>
      <c r="I27" s="18">
        <f t="shared" si="0"/>
        <v>58.480000000000011</v>
      </c>
    </row>
    <row r="28" spans="1:9">
      <c r="A28" s="18">
        <v>45.6</v>
      </c>
      <c r="B28" s="18">
        <v>72.959999999999994</v>
      </c>
      <c r="C28" s="18">
        <v>29.4</v>
      </c>
      <c r="D28" s="18">
        <v>47.04</v>
      </c>
      <c r="E28" s="18" t="s">
        <v>45</v>
      </c>
      <c r="F28" s="4">
        <v>55.30265</v>
      </c>
      <c r="G28" s="4">
        <v>69.681340000000006</v>
      </c>
      <c r="I28" s="18">
        <f t="shared" si="0"/>
        <v>53.519999999999996</v>
      </c>
    </row>
    <row r="29" spans="1:9">
      <c r="A29" s="18">
        <v>53.8</v>
      </c>
      <c r="B29" s="18">
        <v>86.08</v>
      </c>
      <c r="C29" s="18">
        <v>29.1</v>
      </c>
      <c r="D29" s="18">
        <v>46.56</v>
      </c>
      <c r="E29" s="18" t="s">
        <v>46</v>
      </c>
      <c r="F29" s="4">
        <v>60.804580000000001</v>
      </c>
      <c r="G29" s="4">
        <v>70.533320000000003</v>
      </c>
      <c r="I29" s="18">
        <f t="shared" si="0"/>
        <v>56.440000000000012</v>
      </c>
    </row>
    <row r="30" spans="1:9">
      <c r="A30" s="18">
        <v>52.6</v>
      </c>
      <c r="B30" s="18">
        <v>84.16</v>
      </c>
      <c r="C30" s="18">
        <v>29.3</v>
      </c>
      <c r="D30" s="18">
        <v>46.88</v>
      </c>
      <c r="E30" s="18" t="s">
        <v>47</v>
      </c>
      <c r="F30" s="4">
        <v>56.712069999999997</v>
      </c>
      <c r="G30" s="4">
        <v>65.218879999999999</v>
      </c>
      <c r="I30" s="18">
        <f t="shared" si="0"/>
        <v>56.2</v>
      </c>
    </row>
    <row r="31" spans="1:9">
      <c r="A31" s="18">
        <v>41.5</v>
      </c>
      <c r="B31" s="18">
        <v>66.400000000000006</v>
      </c>
      <c r="C31" s="18">
        <v>26.1</v>
      </c>
      <c r="D31" s="18">
        <v>41.76</v>
      </c>
      <c r="E31" s="18" t="s">
        <v>64</v>
      </c>
      <c r="F31" s="4">
        <v>51.868699999999997</v>
      </c>
      <c r="G31" s="4">
        <v>66.910629999999998</v>
      </c>
      <c r="I31" s="18">
        <f t="shared" si="0"/>
        <v>47.920000000000009</v>
      </c>
    </row>
    <row r="32" spans="1:9">
      <c r="A32" s="18">
        <v>55.6</v>
      </c>
      <c r="B32" s="18">
        <v>88.96</v>
      </c>
      <c r="C32" s="18">
        <v>30.5</v>
      </c>
      <c r="D32" s="18">
        <v>48.8</v>
      </c>
      <c r="E32" s="18" t="s">
        <v>65</v>
      </c>
      <c r="F32" s="4">
        <v>59.517719999999997</v>
      </c>
      <c r="G32" s="4">
        <v>65.469489999999993</v>
      </c>
      <c r="I32" s="18">
        <f t="shared" si="0"/>
        <v>58.84</v>
      </c>
    </row>
    <row r="33" spans="1:9">
      <c r="A33" s="18">
        <v>48.6</v>
      </c>
      <c r="B33" s="18">
        <v>77.760000000000005</v>
      </c>
      <c r="C33" s="18">
        <v>25.2</v>
      </c>
      <c r="D33" s="18">
        <v>40.32</v>
      </c>
      <c r="E33" s="18" t="s">
        <v>48</v>
      </c>
      <c r="F33" s="4">
        <v>45.740690000000001</v>
      </c>
      <c r="G33" s="4">
        <v>60.835120000000003</v>
      </c>
      <c r="I33" s="18">
        <f t="shared" si="0"/>
        <v>49.68</v>
      </c>
    </row>
    <row r="34" spans="1:9">
      <c r="A34" s="18">
        <v>45.2</v>
      </c>
      <c r="B34" s="18">
        <v>72.319999999999993</v>
      </c>
      <c r="C34" s="18">
        <v>27.6</v>
      </c>
      <c r="D34" s="18">
        <v>44.16</v>
      </c>
      <c r="E34" s="18" t="s">
        <v>66</v>
      </c>
      <c r="F34" s="4">
        <v>52.865879999999997</v>
      </c>
      <c r="G34" s="4">
        <v>66.611009999999993</v>
      </c>
      <c r="I34" s="18">
        <f t="shared" si="0"/>
        <v>51.2</v>
      </c>
    </row>
    <row r="35" spans="1:9">
      <c r="A35" s="18">
        <v>42.2</v>
      </c>
      <c r="B35" s="18">
        <v>67.52</v>
      </c>
      <c r="C35" s="18">
        <v>28.5</v>
      </c>
      <c r="D35" s="18">
        <v>45.6</v>
      </c>
      <c r="E35" s="18" t="s">
        <v>49</v>
      </c>
      <c r="F35" s="4">
        <v>52.44265</v>
      </c>
      <c r="G35" s="4">
        <v>67.126589999999993</v>
      </c>
      <c r="I35" s="18">
        <f t="shared" si="0"/>
        <v>51.080000000000005</v>
      </c>
    </row>
    <row r="36" spans="1:9">
      <c r="A36" s="18">
        <v>56.2</v>
      </c>
      <c r="B36" s="18">
        <v>89.92</v>
      </c>
      <c r="C36" s="18">
        <v>31.6</v>
      </c>
      <c r="D36" s="18">
        <v>50.56</v>
      </c>
      <c r="E36" s="18" t="s">
        <v>50</v>
      </c>
      <c r="F36" s="4">
        <v>58.551130000000001</v>
      </c>
      <c r="G36" s="4">
        <v>64.406239999999997</v>
      </c>
      <c r="I36" s="18">
        <f t="shared" si="0"/>
        <v>60.400000000000006</v>
      </c>
    </row>
    <row r="37" spans="1:9">
      <c r="A37" s="18">
        <v>44.6</v>
      </c>
      <c r="B37" s="18">
        <v>71.36</v>
      </c>
      <c r="C37" s="18">
        <v>27.4</v>
      </c>
      <c r="D37" s="18">
        <v>43.84</v>
      </c>
      <c r="E37" s="18" t="s">
        <v>51</v>
      </c>
      <c r="F37" s="4">
        <v>53.087949999999999</v>
      </c>
      <c r="G37" s="4">
        <v>67.952579999999998</v>
      </c>
      <c r="I37" s="18">
        <f t="shared" si="0"/>
        <v>50.72</v>
      </c>
    </row>
    <row r="38" spans="1:9">
      <c r="A38" s="18">
        <v>51.6</v>
      </c>
      <c r="B38" s="18">
        <v>82.56</v>
      </c>
      <c r="C38" s="18">
        <v>29.8</v>
      </c>
      <c r="D38" s="18">
        <v>47.68</v>
      </c>
      <c r="E38" s="18" t="s">
        <v>52</v>
      </c>
      <c r="F38" s="4">
        <v>62.482399999999998</v>
      </c>
      <c r="G38" s="4">
        <v>71.229929999999996</v>
      </c>
      <c r="I38" s="18">
        <f t="shared" si="0"/>
        <v>56.400000000000006</v>
      </c>
    </row>
    <row r="39" spans="1:9">
      <c r="A39" s="18">
        <v>53.4</v>
      </c>
      <c r="B39" s="18">
        <v>85.44</v>
      </c>
      <c r="C39" s="18">
        <v>28.7</v>
      </c>
      <c r="D39" s="18">
        <v>45.92</v>
      </c>
      <c r="E39" s="18" t="s">
        <v>53</v>
      </c>
      <c r="F39" s="4">
        <v>61.628950000000003</v>
      </c>
      <c r="G39" s="4">
        <v>70.257009999999994</v>
      </c>
      <c r="I39" s="18">
        <f t="shared" si="0"/>
        <v>55.800000000000004</v>
      </c>
    </row>
    <row r="40" spans="1:9">
      <c r="A40" s="18">
        <v>43.4</v>
      </c>
      <c r="B40" s="18">
        <v>69.44</v>
      </c>
      <c r="C40" s="18">
        <v>26.8</v>
      </c>
      <c r="D40" s="18">
        <v>42.88</v>
      </c>
      <c r="E40" s="18" t="s">
        <v>54</v>
      </c>
      <c r="F40" s="4">
        <v>53.297409999999999</v>
      </c>
      <c r="G40" s="4">
        <v>67.687709999999996</v>
      </c>
      <c r="I40" s="18">
        <f t="shared" si="0"/>
        <v>49.52000000000001</v>
      </c>
    </row>
    <row r="41" spans="1:9">
      <c r="A41" s="18">
        <v>54</v>
      </c>
      <c r="B41" s="18">
        <v>86.4</v>
      </c>
      <c r="C41" s="18">
        <v>27.4</v>
      </c>
      <c r="D41" s="18">
        <v>43.84</v>
      </c>
      <c r="E41" s="18" t="s">
        <v>55</v>
      </c>
      <c r="F41" s="4">
        <v>52.234180000000002</v>
      </c>
      <c r="G41" s="4">
        <v>63.725700000000003</v>
      </c>
      <c r="I41" s="18">
        <f t="shared" si="0"/>
        <v>54.48</v>
      </c>
    </row>
    <row r="42" spans="1:9">
      <c r="A42" s="18">
        <v>48.8</v>
      </c>
      <c r="B42" s="18">
        <v>78.08</v>
      </c>
      <c r="C42" s="18">
        <v>27.7</v>
      </c>
      <c r="D42" s="18">
        <v>44.32</v>
      </c>
      <c r="E42" s="18" t="s">
        <v>67</v>
      </c>
      <c r="F42" s="4">
        <v>59.60624</v>
      </c>
      <c r="G42" s="4">
        <v>71.52749</v>
      </c>
      <c r="I42" s="18">
        <f t="shared" si="0"/>
        <v>52.759999999999991</v>
      </c>
    </row>
    <row r="43" spans="1:9">
      <c r="A43" s="18">
        <v>42.1</v>
      </c>
      <c r="B43" s="18">
        <v>67.36</v>
      </c>
      <c r="C43" s="18">
        <v>25.7</v>
      </c>
      <c r="D43" s="18">
        <v>41.12</v>
      </c>
      <c r="E43" s="18" t="s">
        <v>68</v>
      </c>
      <c r="F43" s="4">
        <v>53.169829999999997</v>
      </c>
      <c r="G43" s="4">
        <v>70.715869999999995</v>
      </c>
      <c r="I43" s="18">
        <f t="shared" si="0"/>
        <v>47.68</v>
      </c>
    </row>
    <row r="44" spans="1:9">
      <c r="A44" s="18">
        <v>38.5</v>
      </c>
      <c r="B44" s="18">
        <v>61.6</v>
      </c>
      <c r="C44" s="18">
        <v>26</v>
      </c>
      <c r="D44" s="18">
        <v>41.6</v>
      </c>
      <c r="E44" s="18" t="s">
        <v>69</v>
      </c>
      <c r="F44" s="4">
        <v>53.325209999999998</v>
      </c>
      <c r="G44" s="4">
        <v>72.522279999999995</v>
      </c>
      <c r="I44" s="18">
        <f t="shared" si="0"/>
        <v>46.6</v>
      </c>
    </row>
    <row r="45" spans="1:9" ht="16">
      <c r="A45" s="18">
        <v>43.7</v>
      </c>
      <c r="B45" s="18">
        <v>69.92</v>
      </c>
      <c r="C45" s="18">
        <v>25.1</v>
      </c>
      <c r="D45" s="18">
        <v>40.159999999999997</v>
      </c>
      <c r="E45" s="18" t="s">
        <v>71</v>
      </c>
      <c r="F45" s="4">
        <v>50.663890000000002</v>
      </c>
      <c r="G45" s="4">
        <v>67.889619999999994</v>
      </c>
      <c r="I45" s="18">
        <f t="shared" si="0"/>
        <v>47.600000000000009</v>
      </c>
    </row>
    <row r="46" spans="1:9">
      <c r="A46" s="18">
        <v>43.8</v>
      </c>
      <c r="B46" s="18">
        <v>70.08</v>
      </c>
      <c r="C46" s="18">
        <v>27.9</v>
      </c>
      <c r="D46" s="18">
        <v>44.64</v>
      </c>
      <c r="E46" s="18" t="s">
        <v>56</v>
      </c>
      <c r="F46" s="4">
        <v>58.18665</v>
      </c>
      <c r="G46" s="4">
        <v>73.897040000000004</v>
      </c>
      <c r="I46" s="18">
        <f t="shared" si="0"/>
        <v>51</v>
      </c>
    </row>
    <row r="47" spans="1:9">
      <c r="A47" s="18">
        <v>53.4</v>
      </c>
      <c r="B47" s="18">
        <v>85.44</v>
      </c>
      <c r="C47" s="18">
        <v>30.1</v>
      </c>
      <c r="D47" s="18">
        <v>48.16</v>
      </c>
      <c r="E47" s="18" t="s">
        <v>57</v>
      </c>
      <c r="F47" s="4">
        <v>56.502479999999998</v>
      </c>
      <c r="G47" s="4">
        <v>66.672929999999994</v>
      </c>
      <c r="I47" s="18">
        <f t="shared" si="0"/>
        <v>57.480000000000011</v>
      </c>
    </row>
    <row r="48" spans="1:9">
      <c r="A48" s="18">
        <v>49.4</v>
      </c>
      <c r="B48" s="18">
        <v>79.040000000000006</v>
      </c>
      <c r="C48" s="18">
        <v>25.3</v>
      </c>
      <c r="D48" s="18">
        <v>40.479999999999997</v>
      </c>
      <c r="E48" s="18" t="s">
        <v>70</v>
      </c>
      <c r="F48" s="4">
        <v>47.580840000000002</v>
      </c>
      <c r="G48" s="4">
        <v>59.951860000000003</v>
      </c>
      <c r="I48" s="18">
        <f t="shared" si="0"/>
        <v>50.120000000000005</v>
      </c>
    </row>
    <row r="49" spans="1:9">
      <c r="A49" s="18">
        <v>41.5</v>
      </c>
      <c r="B49" s="18">
        <v>66.400000000000006</v>
      </c>
      <c r="C49" s="18">
        <v>25.1</v>
      </c>
      <c r="D49" s="18">
        <v>40.159999999999997</v>
      </c>
      <c r="E49" s="18" t="s">
        <v>58</v>
      </c>
      <c r="F49" s="4">
        <v>49.556579999999997</v>
      </c>
      <c r="G49" s="4">
        <v>67.396950000000004</v>
      </c>
      <c r="I49" s="18">
        <f t="shared" si="0"/>
        <v>46.720000000000006</v>
      </c>
    </row>
  </sheetData>
  <sortState ref="A2:I49">
    <sortCondition ref="E2:E4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"/>
  <sheetViews>
    <sheetView topLeftCell="A2" workbookViewId="0">
      <selection activeCell="W1" sqref="W1:W53"/>
    </sheetView>
  </sheetViews>
  <sheetFormatPr baseColWidth="10" defaultColWidth="11.5" defaultRowHeight="14" x14ac:dyDescent="0"/>
  <cols>
    <col min="4" max="4" width="11.5" style="18"/>
    <col min="11" max="11" width="12.6640625" bestFit="1" customWidth="1"/>
    <col min="16" max="16" width="12.1640625" bestFit="1" customWidth="1"/>
  </cols>
  <sheetData>
    <row r="1" spans="1:23" ht="56">
      <c r="A1" s="18">
        <f>1/6</f>
        <v>0.16666666666666666</v>
      </c>
      <c r="B1" s="1" t="s">
        <v>59</v>
      </c>
      <c r="C1" s="1" t="s">
        <v>60</v>
      </c>
      <c r="D1" s="1" t="s">
        <v>161</v>
      </c>
      <c r="E1" s="7" t="s">
        <v>90</v>
      </c>
      <c r="F1" s="1" t="s">
        <v>21</v>
      </c>
      <c r="G1" s="1" t="s">
        <v>20</v>
      </c>
      <c r="H1" s="1" t="s">
        <v>129</v>
      </c>
      <c r="I1" s="1" t="s">
        <v>25</v>
      </c>
      <c r="J1" s="8" t="s">
        <v>83</v>
      </c>
      <c r="K1" s="23" t="s">
        <v>78</v>
      </c>
      <c r="L1" s="21" t="s">
        <v>76</v>
      </c>
      <c r="M1" s="27" t="s">
        <v>103</v>
      </c>
      <c r="N1" s="19" t="s">
        <v>91</v>
      </c>
      <c r="O1" s="1" t="s">
        <v>89</v>
      </c>
      <c r="P1" s="142" t="s">
        <v>87</v>
      </c>
      <c r="Q1" s="21" t="s">
        <v>88</v>
      </c>
      <c r="R1" s="18" t="s">
        <v>102</v>
      </c>
      <c r="S1" s="8"/>
      <c r="W1" t="s">
        <v>579</v>
      </c>
    </row>
    <row r="2" spans="1:23" ht="16">
      <c r="A2" s="18" t="s">
        <v>16</v>
      </c>
      <c r="B2" s="18" t="s">
        <v>18</v>
      </c>
      <c r="C2" s="18" t="s">
        <v>120</v>
      </c>
      <c r="E2" s="18" t="s">
        <v>114</v>
      </c>
      <c r="F2" s="18" t="s">
        <v>17</v>
      </c>
      <c r="G2" s="18" t="s">
        <v>19</v>
      </c>
      <c r="H2" s="18" t="s">
        <v>130</v>
      </c>
      <c r="I2" s="18" t="s">
        <v>24</v>
      </c>
      <c r="J2" s="9" t="s">
        <v>16</v>
      </c>
      <c r="K2" s="13" t="s">
        <v>121</v>
      </c>
      <c r="L2" s="22" t="s">
        <v>127</v>
      </c>
      <c r="M2" s="22" t="s">
        <v>122</v>
      </c>
      <c r="N2" s="19" t="s">
        <v>91</v>
      </c>
      <c r="O2" s="18" t="s">
        <v>123</v>
      </c>
      <c r="P2" s="143" t="s">
        <v>124</v>
      </c>
      <c r="Q2" s="22" t="s">
        <v>126</v>
      </c>
      <c r="R2" s="18" t="s">
        <v>125</v>
      </c>
      <c r="W2" t="s">
        <v>580</v>
      </c>
    </row>
    <row r="3" spans="1:23">
      <c r="A3" s="18" t="s">
        <v>411</v>
      </c>
      <c r="B3" s="4">
        <f>Speeds!U2</f>
        <v>66.682397163757059</v>
      </c>
      <c r="C3" s="4">
        <f>Speeds!V2</f>
        <v>79.773749080561657</v>
      </c>
      <c r="D3" s="16">
        <f>C3*$A$1*1000</f>
        <v>13295.624846760276</v>
      </c>
      <c r="E3" s="34">
        <f>'Interval Circuities'!B3</f>
        <v>1.3810679080102386</v>
      </c>
      <c r="F3" s="4">
        <f>B3/E3</f>
        <v>48.283213864428383</v>
      </c>
      <c r="G3" s="4">
        <f>F3*$A$1</f>
        <v>8.0472023107380632</v>
      </c>
      <c r="H3" s="4">
        <f>PI()*G3^2</f>
        <v>203.44157640318264</v>
      </c>
      <c r="I3" s="4">
        <f>K3/J3</f>
        <v>659.04777089359266</v>
      </c>
      <c r="J3" s="150">
        <v>6851.4289849999996</v>
      </c>
      <c r="K3" s="31">
        <v>4515419</v>
      </c>
      <c r="L3" s="22">
        <f>H3*I3</f>
        <v>134077.71743559605</v>
      </c>
      <c r="M3" s="22">
        <f>MIN(K3,L3)</f>
        <v>134077.71743559605</v>
      </c>
      <c r="N3" s="19" t="s">
        <v>91</v>
      </c>
      <c r="O3" s="4">
        <f t="shared" ref="O3:O34" si="0">P3/J3</f>
        <v>292.35463206074525</v>
      </c>
      <c r="P3" s="144">
        <v>2003047</v>
      </c>
      <c r="Q3" s="22">
        <f>H3*O3</f>
        <v>59477.087215210449</v>
      </c>
      <c r="R3" s="13">
        <f>MIN(Q3,P3)</f>
        <v>59477.087215210449</v>
      </c>
      <c r="S3" s="33"/>
      <c r="W3">
        <f>Q3/L3</f>
        <v>0.44360157938831368</v>
      </c>
    </row>
    <row r="4" spans="1:23">
      <c r="A4" s="18" t="s">
        <v>410</v>
      </c>
      <c r="B4" s="4">
        <f>Speeds!U3</f>
        <v>67.132189228567199</v>
      </c>
      <c r="C4" s="4">
        <f>Speeds!V3</f>
        <v>79.519027593680846</v>
      </c>
      <c r="D4" s="16">
        <f t="shared" ref="D4:D53" si="1">C4*$A$1*1000</f>
        <v>13253.171265613475</v>
      </c>
      <c r="E4" s="34">
        <f>'Interval Circuities'!B4</f>
        <v>1.4404458654112589</v>
      </c>
      <c r="F4" s="4">
        <f t="shared" ref="F4:F34" si="2">B4/E4</f>
        <v>46.605145559844011</v>
      </c>
      <c r="G4" s="4">
        <f t="shared" ref="G4:G34" si="3">F4*$A$1</f>
        <v>7.7675242599740013</v>
      </c>
      <c r="H4" s="4">
        <f t="shared" ref="H4:H34" si="4">PI()*G4^2</f>
        <v>189.54621187746531</v>
      </c>
      <c r="I4" s="4">
        <f t="shared" ref="I4:I34" si="5">K4/J4</f>
        <v>1005.7320851324054</v>
      </c>
      <c r="J4" s="150">
        <v>1354.6510249999999</v>
      </c>
      <c r="K4" s="31">
        <v>1362416</v>
      </c>
      <c r="L4" s="22">
        <f t="shared" ref="L4:L34" si="6">H4*I4</f>
        <v>190632.70690047188</v>
      </c>
      <c r="M4" s="22">
        <f t="shared" ref="M4:M34" si="7">MIN(K4,L4)</f>
        <v>190632.70690047188</v>
      </c>
      <c r="N4" s="19" t="s">
        <v>91</v>
      </c>
      <c r="O4" s="4">
        <f t="shared" si="0"/>
        <v>472.86200517952591</v>
      </c>
      <c r="P4" s="144">
        <v>640563</v>
      </c>
      <c r="Q4" s="22">
        <f t="shared" ref="Q4:Q34" si="8">H4*O4</f>
        <v>89629.201822561517</v>
      </c>
      <c r="R4" s="13">
        <f t="shared" ref="R4:R34" si="9">MIN(Q4,P4)</f>
        <v>89629.201822561517</v>
      </c>
      <c r="S4" s="33"/>
      <c r="W4" s="18">
        <f t="shared" ref="W4:W53" si="10">Q4/L4</f>
        <v>0.47016696809197778</v>
      </c>
    </row>
    <row r="5" spans="1:23">
      <c r="A5" s="18" t="s">
        <v>409</v>
      </c>
      <c r="B5" s="4">
        <f>Speeds!U4</f>
        <v>64.331330728262358</v>
      </c>
      <c r="C5" s="4">
        <f>Speeds!V4</f>
        <v>77.152319954484682</v>
      </c>
      <c r="D5" s="16">
        <f t="shared" si="1"/>
        <v>12858.719992414113</v>
      </c>
      <c r="E5" s="34">
        <f>'Interval Circuities'!B5</f>
        <v>1.3822949804670155</v>
      </c>
      <c r="F5" s="4">
        <f t="shared" si="2"/>
        <v>46.539509755383534</v>
      </c>
      <c r="G5" s="4">
        <f t="shared" si="3"/>
        <v>7.7565849592305884</v>
      </c>
      <c r="H5" s="4">
        <f t="shared" si="4"/>
        <v>189.01269750391421</v>
      </c>
      <c r="I5" s="4">
        <f t="shared" si="5"/>
        <v>1186.6066340855928</v>
      </c>
      <c r="J5" s="150">
        <v>1857.1133319999999</v>
      </c>
      <c r="K5" s="31">
        <v>2203663</v>
      </c>
      <c r="L5" s="22">
        <f t="shared" si="6"/>
        <v>224283.72078455795</v>
      </c>
      <c r="M5" s="22">
        <f t="shared" si="7"/>
        <v>224283.72078455795</v>
      </c>
      <c r="N5" s="19" t="s">
        <v>91</v>
      </c>
      <c r="O5" s="4">
        <f t="shared" si="0"/>
        <v>570.56830175187179</v>
      </c>
      <c r="P5" s="144">
        <v>1059610</v>
      </c>
      <c r="Q5" s="22">
        <f t="shared" si="8"/>
        <v>107844.65382434858</v>
      </c>
      <c r="R5" s="13">
        <f t="shared" si="9"/>
        <v>107844.65382434858</v>
      </c>
      <c r="S5" s="33"/>
      <c r="T5" t="s">
        <v>576</v>
      </c>
      <c r="U5" t="s">
        <v>577</v>
      </c>
      <c r="W5" s="18">
        <f t="shared" si="10"/>
        <v>0.48084030997480109</v>
      </c>
    </row>
    <row r="6" spans="1:23">
      <c r="A6" s="29" t="s">
        <v>412</v>
      </c>
      <c r="B6" s="4">
        <f>Speeds!U5</f>
        <v>59.083844176305647</v>
      </c>
      <c r="C6" s="4">
        <f>Speeds!V5</f>
        <v>71.201949648545863</v>
      </c>
      <c r="D6" s="16">
        <f t="shared" si="1"/>
        <v>11866.991608090977</v>
      </c>
      <c r="E6" s="34">
        <f>'Interval Circuities'!B6</f>
        <v>1.3221707933341669</v>
      </c>
      <c r="F6" s="4">
        <f t="shared" si="2"/>
        <v>44.686998437858193</v>
      </c>
      <c r="G6" s="4">
        <f t="shared" si="3"/>
        <v>7.4478330729763655</v>
      </c>
      <c r="H6" s="4">
        <f t="shared" si="4"/>
        <v>174.26482773737138</v>
      </c>
      <c r="I6" s="4">
        <f t="shared" si="5"/>
        <v>861.67001828332229</v>
      </c>
      <c r="J6" s="150">
        <v>4852.2275479999998</v>
      </c>
      <c r="K6" s="31">
        <v>4181019</v>
      </c>
      <c r="L6" s="22">
        <f t="shared" si="6"/>
        <v>150158.77730260079</v>
      </c>
      <c r="M6" s="22">
        <f t="shared" si="7"/>
        <v>150158.77730260079</v>
      </c>
      <c r="N6" s="19" t="s">
        <v>91</v>
      </c>
      <c r="O6" s="4">
        <f t="shared" si="0"/>
        <v>598.22977617701781</v>
      </c>
      <c r="P6" s="134">
        <f>2341938+286024+61431+22699+190655</f>
        <v>2902747</v>
      </c>
      <c r="Q6" s="22">
        <f t="shared" si="8"/>
        <v>104250.40889285425</v>
      </c>
      <c r="R6" s="13">
        <f t="shared" si="9"/>
        <v>104250.40889285425</v>
      </c>
      <c r="S6" s="33"/>
      <c r="T6">
        <f>2341938+286024+61431+22699+190655</f>
        <v>2902747</v>
      </c>
      <c r="U6" s="144">
        <v>2224822</v>
      </c>
      <c r="W6" s="18">
        <f t="shared" si="10"/>
        <v>0.69426783279387161</v>
      </c>
    </row>
    <row r="7" spans="1:23">
      <c r="A7" s="18" t="s">
        <v>413</v>
      </c>
      <c r="B7" s="4">
        <f>Speeds!U6</f>
        <v>61.52546201403905</v>
      </c>
      <c r="C7" s="4">
        <f>Speeds!V6</f>
        <v>70.650556777808134</v>
      </c>
      <c r="D7" s="16">
        <f t="shared" si="1"/>
        <v>11775.092796301355</v>
      </c>
      <c r="E7" s="34">
        <f>'Interval Circuities'!B7</f>
        <v>1.2726128167623416</v>
      </c>
      <c r="F7" s="4">
        <f t="shared" si="2"/>
        <v>48.345782160646614</v>
      </c>
      <c r="G7" s="4">
        <f t="shared" si="3"/>
        <v>8.057630360107769</v>
      </c>
      <c r="H7" s="4">
        <f t="shared" si="4"/>
        <v>203.969181725769</v>
      </c>
      <c r="I7" s="4">
        <f t="shared" si="5"/>
        <v>951.10925507842603</v>
      </c>
      <c r="J7" s="150">
        <v>984.01523799999995</v>
      </c>
      <c r="K7" s="31">
        <v>935906</v>
      </c>
      <c r="L7" s="22">
        <f t="shared" si="6"/>
        <v>193996.97649015227</v>
      </c>
      <c r="M7" s="22">
        <f t="shared" si="7"/>
        <v>193996.97649015227</v>
      </c>
      <c r="N7" s="19" t="s">
        <v>91</v>
      </c>
      <c r="O7" s="4">
        <f t="shared" si="0"/>
        <v>463.10664957405874</v>
      </c>
      <c r="P7" s="144">
        <v>455704</v>
      </c>
      <c r="Q7" s="22">
        <f t="shared" si="8"/>
        <v>94459.484365383207</v>
      </c>
      <c r="R7" s="13">
        <f t="shared" si="9"/>
        <v>94459.484365383207</v>
      </c>
      <c r="S7" s="33"/>
      <c r="W7" s="18">
        <f t="shared" si="10"/>
        <v>0.48691214716007797</v>
      </c>
    </row>
    <row r="8" spans="1:23">
      <c r="A8" s="18" t="s">
        <v>414</v>
      </c>
      <c r="B8" s="4">
        <f>Speeds!U7</f>
        <v>64.052681514079197</v>
      </c>
      <c r="C8" s="4">
        <f>Speeds!V7</f>
        <v>75.74245959811465</v>
      </c>
      <c r="D8" s="16">
        <f t="shared" si="1"/>
        <v>12623.743266352441</v>
      </c>
      <c r="E8" s="34">
        <f>'Interval Circuities'!B8</f>
        <v>1.3548292070349812</v>
      </c>
      <c r="F8" s="4">
        <f t="shared" si="2"/>
        <v>47.277310808981831</v>
      </c>
      <c r="G8" s="4">
        <f t="shared" si="3"/>
        <v>7.8795518014969712</v>
      </c>
      <c r="H8" s="4">
        <f t="shared" si="4"/>
        <v>195.05312051987357</v>
      </c>
      <c r="I8" s="4">
        <f t="shared" si="5"/>
        <v>650.59688341284709</v>
      </c>
      <c r="J8" s="150">
        <v>1920.4549420000001</v>
      </c>
      <c r="K8" s="31">
        <v>1249442</v>
      </c>
      <c r="L8" s="22">
        <f t="shared" si="6"/>
        <v>126900.9523101802</v>
      </c>
      <c r="M8" s="22">
        <f t="shared" si="7"/>
        <v>126900.9523101802</v>
      </c>
      <c r="N8" s="19" t="s">
        <v>91</v>
      </c>
      <c r="O8" s="4">
        <f t="shared" si="0"/>
        <v>378.75608747294422</v>
      </c>
      <c r="P8" s="144">
        <v>727384</v>
      </c>
      <c r="Q8" s="22">
        <f t="shared" si="8"/>
        <v>73877.556777495964</v>
      </c>
      <c r="R8" s="13">
        <f t="shared" si="9"/>
        <v>73877.556777495964</v>
      </c>
      <c r="S8" s="33"/>
      <c r="W8" s="18">
        <f t="shared" si="10"/>
        <v>0.58216707938423706</v>
      </c>
    </row>
    <row r="9" spans="1:23">
      <c r="A9" s="18" t="s">
        <v>415</v>
      </c>
      <c r="B9" s="4">
        <f>Speeds!U8</f>
        <v>62.255871883980589</v>
      </c>
      <c r="C9" s="4">
        <f>Speeds!V8</f>
        <v>73.232676356180107</v>
      </c>
      <c r="D9" s="16">
        <f t="shared" si="1"/>
        <v>12205.44605936335</v>
      </c>
      <c r="E9" s="34">
        <f>'Interval Circuities'!B9</f>
        <v>1.3236002256090809</v>
      </c>
      <c r="F9" s="4">
        <f t="shared" si="2"/>
        <v>47.035253303415175</v>
      </c>
      <c r="G9" s="4">
        <f t="shared" si="3"/>
        <v>7.8392088839025291</v>
      </c>
      <c r="H9" s="4">
        <f t="shared" si="4"/>
        <v>193.06090885902782</v>
      </c>
      <c r="I9" s="4">
        <f t="shared" si="5"/>
        <v>1360.6187423043561</v>
      </c>
      <c r="J9" s="150">
        <v>6326.6863320000002</v>
      </c>
      <c r="K9" s="31">
        <v>8608208</v>
      </c>
      <c r="L9" s="22">
        <f t="shared" si="6"/>
        <v>262682.29099990637</v>
      </c>
      <c r="M9" s="22">
        <f t="shared" si="7"/>
        <v>262682.29099990637</v>
      </c>
      <c r="N9" s="19" t="s">
        <v>91</v>
      </c>
      <c r="O9" s="4">
        <f t="shared" si="0"/>
        <v>600.27821843973788</v>
      </c>
      <c r="P9" s="144">
        <v>3797772</v>
      </c>
      <c r="Q9" s="22">
        <f t="shared" si="8"/>
        <v>115890.25842025383</v>
      </c>
      <c r="R9" s="13">
        <f t="shared" si="9"/>
        <v>115890.25842025383</v>
      </c>
      <c r="S9" s="33"/>
      <c r="W9" s="18">
        <f t="shared" si="10"/>
        <v>0.4411803246389957</v>
      </c>
    </row>
    <row r="10" spans="1:23">
      <c r="A10" s="18" t="s">
        <v>416</v>
      </c>
      <c r="B10" s="4">
        <f>Speeds!U9</f>
        <v>63.816269796049951</v>
      </c>
      <c r="C10" s="4">
        <f>Speeds!V9</f>
        <v>74.14207195492925</v>
      </c>
      <c r="D10" s="16">
        <f t="shared" si="1"/>
        <v>12357.011992488207</v>
      </c>
      <c r="E10" s="34">
        <f>'Interval Circuities'!B10</f>
        <v>1.4101242469920043</v>
      </c>
      <c r="F10" s="4">
        <f t="shared" si="2"/>
        <v>45.255777944517398</v>
      </c>
      <c r="G10" s="4">
        <f t="shared" si="3"/>
        <v>7.5426296574195657</v>
      </c>
      <c r="H10" s="4">
        <f t="shared" si="4"/>
        <v>178.72917122070297</v>
      </c>
      <c r="I10" s="4">
        <f t="shared" si="5"/>
        <v>796.39106388024629</v>
      </c>
      <c r="J10" s="150">
        <v>2040.237609</v>
      </c>
      <c r="K10" s="31">
        <v>1624827</v>
      </c>
      <c r="L10" s="22">
        <f t="shared" si="6"/>
        <v>142338.31481489033</v>
      </c>
      <c r="M10" s="22">
        <f t="shared" si="7"/>
        <v>142338.31481489033</v>
      </c>
      <c r="N10" s="19" t="s">
        <v>91</v>
      </c>
      <c r="O10" s="4">
        <f t="shared" si="0"/>
        <v>428.64958284375984</v>
      </c>
      <c r="P10" s="144">
        <v>874547</v>
      </c>
      <c r="Q10" s="22">
        <f t="shared" si="8"/>
        <v>76612.184685765256</v>
      </c>
      <c r="R10" s="13">
        <f t="shared" si="9"/>
        <v>76612.184685765256</v>
      </c>
      <c r="S10" s="33"/>
      <c r="W10" s="18">
        <f t="shared" si="10"/>
        <v>0.53824007109679994</v>
      </c>
    </row>
    <row r="11" spans="1:23">
      <c r="A11" s="18" t="s">
        <v>417</v>
      </c>
      <c r="B11" s="4">
        <f>Speeds!U10</f>
        <v>60.599390167439914</v>
      </c>
      <c r="C11" s="4">
        <f>Speeds!V10</f>
        <v>69.653954039848372</v>
      </c>
      <c r="D11" s="16">
        <f t="shared" si="1"/>
        <v>11608.992339974728</v>
      </c>
      <c r="E11" s="34">
        <f>'Interval Circuities'!B11</f>
        <v>1.2785144324718047</v>
      </c>
      <c r="F11" s="4">
        <f t="shared" si="2"/>
        <v>47.398283999251078</v>
      </c>
      <c r="G11" s="4">
        <f t="shared" si="3"/>
        <v>7.8997139998751793</v>
      </c>
      <c r="H11" s="4">
        <f t="shared" si="4"/>
        <v>196.05260153243015</v>
      </c>
      <c r="I11" s="4">
        <f t="shared" si="5"/>
        <v>890.6045978114746</v>
      </c>
      <c r="J11" s="150">
        <v>1999.3979420000001</v>
      </c>
      <c r="K11" s="31">
        <v>1780673</v>
      </c>
      <c r="L11" s="22">
        <f t="shared" si="6"/>
        <v>174605.34833768324</v>
      </c>
      <c r="M11" s="22">
        <f t="shared" si="7"/>
        <v>174605.34833768324</v>
      </c>
      <c r="N11" s="19" t="s">
        <v>91</v>
      </c>
      <c r="O11" s="4">
        <f t="shared" si="0"/>
        <v>435.21001083435146</v>
      </c>
      <c r="P11" s="144">
        <v>870158</v>
      </c>
      <c r="Q11" s="22">
        <f t="shared" si="8"/>
        <v>85324.054837031712</v>
      </c>
      <c r="R11" s="13">
        <f t="shared" si="9"/>
        <v>85324.054837031712</v>
      </c>
      <c r="S11" s="33"/>
      <c r="W11" s="18">
        <f t="shared" si="10"/>
        <v>0.48866804854119761</v>
      </c>
    </row>
    <row r="12" spans="1:23">
      <c r="A12" s="18" t="s">
        <v>418</v>
      </c>
      <c r="B12" s="4">
        <f>Speeds!U11</f>
        <v>64.046411741712433</v>
      </c>
      <c r="C12" s="4">
        <f>Speeds!V11</f>
        <v>74.901794999095003</v>
      </c>
      <c r="D12" s="16">
        <f t="shared" si="1"/>
        <v>12483.632499849167</v>
      </c>
      <c r="E12" s="34">
        <f>'Interval Circuities'!B12</f>
        <v>1.3249637252937287</v>
      </c>
      <c r="F12" s="4">
        <f t="shared" si="2"/>
        <v>48.338237884598769</v>
      </c>
      <c r="G12" s="4">
        <f t="shared" si="3"/>
        <v>8.0563729807664615</v>
      </c>
      <c r="H12" s="4">
        <f t="shared" si="4"/>
        <v>203.90552861354718</v>
      </c>
      <c r="I12" s="4">
        <f t="shared" si="5"/>
        <v>1034.7499169004755</v>
      </c>
      <c r="J12" s="150">
        <v>1322.0923989999999</v>
      </c>
      <c r="K12" s="31">
        <v>1368035</v>
      </c>
      <c r="L12" s="22">
        <f t="shared" si="6"/>
        <v>210991.22878841546</v>
      </c>
      <c r="M12" s="22">
        <f t="shared" si="7"/>
        <v>210991.22878841546</v>
      </c>
      <c r="N12" s="19" t="s">
        <v>91</v>
      </c>
      <c r="O12" s="4">
        <f t="shared" si="0"/>
        <v>567.53143771761449</v>
      </c>
      <c r="P12" s="144">
        <v>750329</v>
      </c>
      <c r="Q12" s="22">
        <f t="shared" si="8"/>
        <v>115722.79781261661</v>
      </c>
      <c r="R12" s="13">
        <f t="shared" si="9"/>
        <v>115722.79781261661</v>
      </c>
      <c r="S12" s="33"/>
      <c r="W12" s="18">
        <f t="shared" si="10"/>
        <v>0.54847207856524127</v>
      </c>
    </row>
    <row r="13" spans="1:23">
      <c r="A13" s="18" t="s">
        <v>419</v>
      </c>
      <c r="B13" s="4">
        <f>Speeds!U12</f>
        <v>65.991437704144019</v>
      </c>
      <c r="C13" s="4">
        <f>Speeds!V12</f>
        <v>78.097331458401655</v>
      </c>
      <c r="D13" s="16">
        <f t="shared" si="1"/>
        <v>13016.221909733609</v>
      </c>
      <c r="E13" s="34">
        <f>'Interval Circuities'!B13</f>
        <v>1.3824701219183075</v>
      </c>
      <c r="F13" s="4">
        <f t="shared" si="2"/>
        <v>47.734440446766897</v>
      </c>
      <c r="G13" s="4">
        <f t="shared" si="3"/>
        <v>7.9557400744611488</v>
      </c>
      <c r="H13" s="4">
        <f t="shared" si="4"/>
        <v>198.84333751368794</v>
      </c>
      <c r="I13" s="4">
        <f t="shared" si="5"/>
        <v>1111.5370303722236</v>
      </c>
      <c r="J13" s="150">
        <v>4607.9364519999999</v>
      </c>
      <c r="K13" s="31">
        <v>5121892</v>
      </c>
      <c r="L13" s="22">
        <f t="shared" si="6"/>
        <v>221021.73288926648</v>
      </c>
      <c r="M13" s="22">
        <f t="shared" si="7"/>
        <v>221021.73288926648</v>
      </c>
      <c r="N13" s="19" t="s">
        <v>91</v>
      </c>
      <c r="O13" s="4">
        <f t="shared" si="0"/>
        <v>544.77313785663296</v>
      </c>
      <c r="P13" s="144">
        <v>2510280</v>
      </c>
      <c r="Q13" s="22">
        <f t="shared" si="8"/>
        <v>108324.50891921732</v>
      </c>
      <c r="R13" s="13">
        <f t="shared" si="9"/>
        <v>108324.50891921732</v>
      </c>
      <c r="S13" s="33"/>
      <c r="W13" s="18">
        <f t="shared" si="10"/>
        <v>0.49010795229575316</v>
      </c>
    </row>
    <row r="14" spans="1:23">
      <c r="A14" s="18" t="s">
        <v>420</v>
      </c>
      <c r="B14" s="4">
        <f>Speeds!U13</f>
        <v>60.705617754852213</v>
      </c>
      <c r="C14" s="4">
        <f>Speeds!V13</f>
        <v>72.576467255996263</v>
      </c>
      <c r="D14" s="16">
        <f t="shared" si="1"/>
        <v>12096.077875999377</v>
      </c>
      <c r="E14" s="34">
        <f>'Interval Circuities'!B14</f>
        <v>1.3957008737903487</v>
      </c>
      <c r="F14" s="4">
        <f t="shared" si="2"/>
        <v>43.494719316175576</v>
      </c>
      <c r="G14" s="4">
        <f t="shared" si="3"/>
        <v>7.2491198860292627</v>
      </c>
      <c r="H14" s="4">
        <f t="shared" si="4"/>
        <v>165.08987437381361</v>
      </c>
      <c r="I14" s="4">
        <f t="shared" si="5"/>
        <v>1372.3806261261409</v>
      </c>
      <c r="J14" s="150">
        <v>1729.9887180000001</v>
      </c>
      <c r="K14" s="31">
        <v>2374203</v>
      </c>
      <c r="L14" s="22">
        <f t="shared" si="6"/>
        <v>226566.14516022027</v>
      </c>
      <c r="M14" s="22">
        <f t="shared" si="7"/>
        <v>226566.14516022027</v>
      </c>
      <c r="N14" s="19" t="s">
        <v>91</v>
      </c>
      <c r="O14" s="4">
        <f t="shared" si="0"/>
        <v>600.08830647183447</v>
      </c>
      <c r="P14" s="144">
        <v>1038146</v>
      </c>
      <c r="Q14" s="22">
        <f t="shared" si="8"/>
        <v>99068.503128629716</v>
      </c>
      <c r="R14" s="13">
        <f t="shared" si="9"/>
        <v>99068.503128629716</v>
      </c>
      <c r="S14" s="33"/>
      <c r="W14" s="18">
        <f t="shared" si="10"/>
        <v>0.43726084079583766</v>
      </c>
    </row>
    <row r="15" spans="1:23">
      <c r="A15" s="18" t="s">
        <v>421</v>
      </c>
      <c r="B15" s="4">
        <f>Speeds!U14</f>
        <v>62.147901133486052</v>
      </c>
      <c r="C15" s="4">
        <f>Speeds!V14</f>
        <v>71.579622920369374</v>
      </c>
      <c r="D15" s="16">
        <f t="shared" si="1"/>
        <v>11929.937153394896</v>
      </c>
      <c r="E15" s="34">
        <f>'Interval Circuities'!B15</f>
        <v>1.3026208565751525</v>
      </c>
      <c r="F15" s="4">
        <f t="shared" si="2"/>
        <v>47.709892575254138</v>
      </c>
      <c r="G15" s="4">
        <f t="shared" si="3"/>
        <v>7.951648762542356</v>
      </c>
      <c r="H15" s="4">
        <f t="shared" si="4"/>
        <v>198.63887609929088</v>
      </c>
      <c r="I15" s="4">
        <f t="shared" si="5"/>
        <v>1078.2087468947925</v>
      </c>
      <c r="J15" s="150">
        <v>3463.2347500000001</v>
      </c>
      <c r="K15" s="31">
        <v>3734090</v>
      </c>
      <c r="L15" s="22">
        <f t="shared" si="6"/>
        <v>214174.17368360638</v>
      </c>
      <c r="M15" s="22">
        <f t="shared" si="7"/>
        <v>214174.17368360638</v>
      </c>
      <c r="N15" s="19" t="s">
        <v>91</v>
      </c>
      <c r="O15" s="4">
        <f t="shared" si="0"/>
        <v>433.40348210585495</v>
      </c>
      <c r="P15" s="144">
        <v>1500978</v>
      </c>
      <c r="Q15" s="22">
        <f t="shared" si="8"/>
        <v>86090.78058302615</v>
      </c>
      <c r="R15" s="13">
        <f t="shared" si="9"/>
        <v>86090.78058302615</v>
      </c>
      <c r="S15" s="33"/>
      <c r="W15" s="18">
        <f t="shared" si="10"/>
        <v>0.40196620863449994</v>
      </c>
    </row>
    <row r="16" spans="1:23">
      <c r="A16" s="29" t="s">
        <v>422</v>
      </c>
      <c r="B16" s="4">
        <f>Speeds!U15</f>
        <v>67.784674216887879</v>
      </c>
      <c r="C16" s="4">
        <f>Speeds!V15</f>
        <v>73.484930426832634</v>
      </c>
      <c r="D16" s="16">
        <f t="shared" si="1"/>
        <v>12247.488404472104</v>
      </c>
      <c r="E16" s="34">
        <f>'Interval Circuities'!B16</f>
        <v>1.3210528558171648</v>
      </c>
      <c r="F16" s="4">
        <f t="shared" si="2"/>
        <v>51.311099263290458</v>
      </c>
      <c r="G16" s="4">
        <f t="shared" si="3"/>
        <v>8.5518498772150764</v>
      </c>
      <c r="H16" s="4">
        <f t="shared" si="4"/>
        <v>229.75766539716017</v>
      </c>
      <c r="I16" s="4">
        <f t="shared" si="5"/>
        <v>784.29737505885555</v>
      </c>
      <c r="J16" s="150">
        <v>726.68227400000001</v>
      </c>
      <c r="K16" s="31">
        <v>569935</v>
      </c>
      <c r="L16" s="22">
        <f t="shared" si="6"/>
        <v>180198.33387064358</v>
      </c>
      <c r="M16" s="22">
        <f t="shared" si="7"/>
        <v>180198.33387064358</v>
      </c>
      <c r="N16" s="19" t="s">
        <v>91</v>
      </c>
      <c r="O16" s="4">
        <f t="shared" si="0"/>
        <v>438.1103150453344</v>
      </c>
      <c r="P16" s="144">
        <v>318367</v>
      </c>
      <c r="Q16" s="22">
        <f t="shared" si="8"/>
        <v>100659.20317123037</v>
      </c>
      <c r="R16" s="13">
        <f t="shared" si="9"/>
        <v>100659.20317123037</v>
      </c>
      <c r="S16" s="33"/>
      <c r="W16" s="18">
        <f t="shared" si="10"/>
        <v>0.55860229675313855</v>
      </c>
    </row>
    <row r="17" spans="1:23">
      <c r="A17" s="18" t="s">
        <v>423</v>
      </c>
      <c r="B17" s="4">
        <f>Speeds!U16</f>
        <v>64.715366633523445</v>
      </c>
      <c r="C17" s="4">
        <f>Speeds!V16</f>
        <v>75.511487142105324</v>
      </c>
      <c r="D17" s="16">
        <f t="shared" si="1"/>
        <v>12585.247857017554</v>
      </c>
      <c r="E17" s="34">
        <f>'Interval Circuities'!B17</f>
        <v>1.4040824100816749</v>
      </c>
      <c r="F17" s="4">
        <f t="shared" si="2"/>
        <v>46.090860599670201</v>
      </c>
      <c r="G17" s="4">
        <f t="shared" si="3"/>
        <v>7.6818100999450332</v>
      </c>
      <c r="H17" s="4">
        <f t="shared" si="4"/>
        <v>185.38603094955491</v>
      </c>
      <c r="I17" s="4">
        <f t="shared" si="5"/>
        <v>1078.4020248075806</v>
      </c>
      <c r="J17" s="150">
        <v>1334.9993480000001</v>
      </c>
      <c r="K17" s="31">
        <v>1439666</v>
      </c>
      <c r="L17" s="22">
        <f t="shared" si="6"/>
        <v>199920.67114704082</v>
      </c>
      <c r="M17" s="22">
        <f t="shared" si="7"/>
        <v>199920.67114704082</v>
      </c>
      <c r="N17" s="19" t="s">
        <v>91</v>
      </c>
      <c r="O17" s="4">
        <f t="shared" si="0"/>
        <v>444.79197753136282</v>
      </c>
      <c r="P17" s="144">
        <v>593797</v>
      </c>
      <c r="Q17" s="22">
        <f t="shared" si="8"/>
        <v>82458.219312742964</v>
      </c>
      <c r="R17" s="13">
        <f t="shared" si="9"/>
        <v>82458.219312742964</v>
      </c>
      <c r="S17" s="33"/>
      <c r="W17" s="18">
        <f t="shared" si="10"/>
        <v>0.41245469435271798</v>
      </c>
    </row>
    <row r="18" spans="1:23" s="18" customFormat="1">
      <c r="A18" s="18" t="s">
        <v>424</v>
      </c>
      <c r="B18" s="4">
        <f>Speeds!U17</f>
        <v>63.831016736397409</v>
      </c>
      <c r="C18" s="4">
        <f>Speeds!V17</f>
        <v>74.742968134682343</v>
      </c>
      <c r="D18" s="16">
        <f t="shared" si="1"/>
        <v>12457.161355780388</v>
      </c>
      <c r="E18" s="34">
        <f>'Interval Circuities'!B18</f>
        <v>1.3288885485099737</v>
      </c>
      <c r="F18" s="4">
        <f t="shared" si="2"/>
        <v>48.033386101466839</v>
      </c>
      <c r="G18" s="4">
        <f t="shared" si="3"/>
        <v>8.0055643502444731</v>
      </c>
      <c r="H18" s="4">
        <f t="shared" si="4"/>
        <v>201.34172184931913</v>
      </c>
      <c r="I18" s="4">
        <f t="shared" si="5"/>
        <v>691.70595675577363</v>
      </c>
      <c r="J18" s="150">
        <v>1337.0695900000001</v>
      </c>
      <c r="K18" s="31">
        <v>924859</v>
      </c>
      <c r="L18" s="22">
        <f t="shared" si="6"/>
        <v>139269.26834663813</v>
      </c>
      <c r="M18" s="22">
        <f t="shared" si="7"/>
        <v>139269.26834663813</v>
      </c>
      <c r="N18" s="19" t="s">
        <v>91</v>
      </c>
      <c r="O18" s="4">
        <f t="shared" si="0"/>
        <v>395.88290987905873</v>
      </c>
      <c r="P18" s="144">
        <v>529323</v>
      </c>
      <c r="Q18" s="22">
        <f t="shared" si="8"/>
        <v>79707.74672576852</v>
      </c>
      <c r="R18" s="13">
        <f t="shared" si="9"/>
        <v>79707.74672576852</v>
      </c>
      <c r="S18" s="33"/>
      <c r="W18" s="18">
        <f t="shared" si="10"/>
        <v>0.57232832247942667</v>
      </c>
    </row>
    <row r="19" spans="1:23">
      <c r="A19" s="18" t="s">
        <v>425</v>
      </c>
      <c r="B19" s="4">
        <f>Speeds!U18</f>
        <v>54.710932805374171</v>
      </c>
      <c r="C19" s="4">
        <f>Speeds!V18</f>
        <v>67.860376115847075</v>
      </c>
      <c r="D19" s="16">
        <f t="shared" si="1"/>
        <v>11310.062685974512</v>
      </c>
      <c r="E19" s="34">
        <f>'Interval Circuities'!B19</f>
        <v>1.4170125027894218</v>
      </c>
      <c r="F19" s="4">
        <f t="shared" si="2"/>
        <v>38.610056508093216</v>
      </c>
      <c r="G19" s="4">
        <f t="shared" si="3"/>
        <v>6.4350094180155359</v>
      </c>
      <c r="H19" s="4">
        <f t="shared" si="4"/>
        <v>130.091297843131</v>
      </c>
      <c r="I19" s="4">
        <f t="shared" si="5"/>
        <v>1820.7093992818395</v>
      </c>
      <c r="J19" s="150">
        <v>440.73974700000002</v>
      </c>
      <c r="K19" s="31">
        <v>802459</v>
      </c>
      <c r="L19" s="22">
        <f t="shared" si="6"/>
        <v>236858.44874776193</v>
      </c>
      <c r="M19" s="22">
        <f t="shared" si="7"/>
        <v>236858.44874776193</v>
      </c>
      <c r="N19" s="19" t="s">
        <v>91</v>
      </c>
      <c r="O19" s="4">
        <f t="shared" si="0"/>
        <v>762.20491182520914</v>
      </c>
      <c r="P19" s="144">
        <v>335934</v>
      </c>
      <c r="Q19" s="22">
        <f t="shared" si="8"/>
        <v>99156.226201750687</v>
      </c>
      <c r="R19" s="13">
        <f t="shared" si="9"/>
        <v>99156.226201750687</v>
      </c>
      <c r="S19" s="33"/>
      <c r="W19" s="18">
        <f t="shared" si="10"/>
        <v>0.41863073378203747</v>
      </c>
    </row>
    <row r="20" spans="1:23">
      <c r="A20" s="18" t="s">
        <v>426</v>
      </c>
      <c r="B20" s="4">
        <f>Speeds!U19</f>
        <v>66.693022833822994</v>
      </c>
      <c r="C20" s="4">
        <f>Speeds!V19</f>
        <v>78.916174325560149</v>
      </c>
      <c r="D20" s="16">
        <f t="shared" si="1"/>
        <v>13152.695720926691</v>
      </c>
      <c r="E20" s="34">
        <f>'Interval Circuities'!B20</f>
        <v>1.4112669682919152</v>
      </c>
      <c r="F20" s="4">
        <f t="shared" si="2"/>
        <v>47.257552491675547</v>
      </c>
      <c r="G20" s="4">
        <f t="shared" si="3"/>
        <v>7.8762587486125906</v>
      </c>
      <c r="H20" s="4">
        <f t="shared" si="4"/>
        <v>194.89011987292591</v>
      </c>
      <c r="I20" s="4">
        <f t="shared" si="5"/>
        <v>1149.9995031423985</v>
      </c>
      <c r="J20" s="150">
        <v>4299.4209879999999</v>
      </c>
      <c r="K20" s="31">
        <v>4944332</v>
      </c>
      <c r="L20" s="22">
        <f t="shared" si="6"/>
        <v>224123.54102122725</v>
      </c>
      <c r="M20" s="22">
        <f t="shared" si="7"/>
        <v>224123.54102122725</v>
      </c>
      <c r="N20" s="19" t="s">
        <v>91</v>
      </c>
      <c r="O20" s="4">
        <f t="shared" si="0"/>
        <v>506.24654019109983</v>
      </c>
      <c r="P20" s="144">
        <v>2176567</v>
      </c>
      <c r="Q20" s="22">
        <f t="shared" si="8"/>
        <v>98662.448903097451</v>
      </c>
      <c r="R20" s="13">
        <f t="shared" si="9"/>
        <v>98662.448903097451</v>
      </c>
      <c r="S20" s="33"/>
      <c r="W20" s="18">
        <f t="shared" si="10"/>
        <v>0.44021457296961458</v>
      </c>
    </row>
    <row r="21" spans="1:23">
      <c r="A21" s="18" t="s">
        <v>427</v>
      </c>
      <c r="B21" s="4">
        <f>Speeds!U20</f>
        <v>62.662263546111326</v>
      </c>
      <c r="C21" s="4">
        <f>Speeds!V20</f>
        <v>72.333701669204501</v>
      </c>
      <c r="D21" s="16">
        <f t="shared" si="1"/>
        <v>12055.616944867417</v>
      </c>
      <c r="E21" s="34">
        <f>'Interval Circuities'!B21</f>
        <v>1.3307390130691796</v>
      </c>
      <c r="F21" s="4">
        <f t="shared" si="2"/>
        <v>47.088319295298042</v>
      </c>
      <c r="G21" s="4">
        <f t="shared" si="3"/>
        <v>7.8480532158830068</v>
      </c>
      <c r="H21" s="4">
        <f t="shared" si="4"/>
        <v>193.4967839602968</v>
      </c>
      <c r="I21" s="4">
        <f t="shared" si="5"/>
        <v>813.78264340099747</v>
      </c>
      <c r="J21" s="150">
        <v>1827.8627739999999</v>
      </c>
      <c r="K21" s="31">
        <v>1487483</v>
      </c>
      <c r="L21" s="22">
        <f t="shared" si="6"/>
        <v>157464.32434080206</v>
      </c>
      <c r="M21" s="22">
        <f t="shared" si="7"/>
        <v>157464.32434080206</v>
      </c>
      <c r="N21" s="19" t="s">
        <v>91</v>
      </c>
      <c r="O21" s="4">
        <f t="shared" si="0"/>
        <v>406.44134262564722</v>
      </c>
      <c r="P21" s="144">
        <v>742919</v>
      </c>
      <c r="Q21" s="22">
        <f t="shared" si="8"/>
        <v>78645.092666567827</v>
      </c>
      <c r="R21" s="13">
        <f t="shared" si="9"/>
        <v>78645.092666567827</v>
      </c>
      <c r="S21" s="33"/>
      <c r="W21" s="18">
        <f t="shared" si="10"/>
        <v>0.49944705250412941</v>
      </c>
    </row>
    <row r="22" spans="1:23">
      <c r="A22" s="18" t="s">
        <v>428</v>
      </c>
      <c r="B22" s="4">
        <f>Speeds!U21</f>
        <v>72.107428140171564</v>
      </c>
      <c r="C22" s="4">
        <f>Speeds!V21</f>
        <v>84.099901925483479</v>
      </c>
      <c r="D22" s="16">
        <f t="shared" si="1"/>
        <v>14016.650320913912</v>
      </c>
      <c r="E22" s="34">
        <f>'Interval Circuities'!B22</f>
        <v>1.3734377415845354</v>
      </c>
      <c r="F22" s="4">
        <f t="shared" si="2"/>
        <v>52.501417397326804</v>
      </c>
      <c r="G22" s="4">
        <f t="shared" si="3"/>
        <v>8.7502362328878007</v>
      </c>
      <c r="H22" s="4">
        <f t="shared" si="4"/>
        <v>240.54117529712309</v>
      </c>
      <c r="I22" s="4">
        <f t="shared" si="5"/>
        <v>1369.2709398652264</v>
      </c>
      <c r="J22" s="150">
        <v>1411.4562309999999</v>
      </c>
      <c r="K22" s="31">
        <v>1932666</v>
      </c>
      <c r="L22" s="22">
        <f t="shared" si="6"/>
        <v>329366.0411753779</v>
      </c>
      <c r="M22" s="22">
        <f t="shared" si="7"/>
        <v>329366.0411753779</v>
      </c>
      <c r="N22" s="19" t="s">
        <v>91</v>
      </c>
      <c r="O22" s="4">
        <f t="shared" si="0"/>
        <v>678.25411725430968</v>
      </c>
      <c r="P22" s="144">
        <v>957326</v>
      </c>
      <c r="Q22" s="22">
        <f t="shared" si="8"/>
        <v>163148.04251446438</v>
      </c>
      <c r="R22" s="13">
        <f t="shared" si="9"/>
        <v>163148.04251446438</v>
      </c>
      <c r="S22" s="33"/>
      <c r="W22" s="18">
        <f t="shared" si="10"/>
        <v>0.49533959825443197</v>
      </c>
    </row>
    <row r="23" spans="1:23">
      <c r="A23" s="18" t="s">
        <v>429</v>
      </c>
      <c r="B23" s="4">
        <f>Speeds!U22</f>
        <v>69.127068300037649</v>
      </c>
      <c r="C23" s="4">
        <f>Speeds!V22</f>
        <v>78.497147187767681</v>
      </c>
      <c r="D23" s="16">
        <f t="shared" si="1"/>
        <v>13082.857864627947</v>
      </c>
      <c r="E23" s="34">
        <f>'Interval Circuities'!B23</f>
        <v>1.3923352643282094</v>
      </c>
      <c r="F23" s="4">
        <f t="shared" si="2"/>
        <v>49.648292384083874</v>
      </c>
      <c r="G23" s="4">
        <f t="shared" si="3"/>
        <v>8.2747153973473111</v>
      </c>
      <c r="H23" s="4">
        <f t="shared" si="4"/>
        <v>215.10772325670675</v>
      </c>
      <c r="I23" s="4">
        <f t="shared" si="5"/>
        <v>775.48585132918799</v>
      </c>
      <c r="J23" s="150">
        <v>1373.6150029999999</v>
      </c>
      <c r="K23" s="31">
        <v>1065219</v>
      </c>
      <c r="L23" s="22">
        <f t="shared" si="6"/>
        <v>166812.99589721061</v>
      </c>
      <c r="M23" s="22">
        <f t="shared" si="7"/>
        <v>166812.99589721061</v>
      </c>
      <c r="N23" s="19" t="s">
        <v>91</v>
      </c>
      <c r="O23" s="4">
        <f t="shared" si="0"/>
        <v>626.55110647477409</v>
      </c>
      <c r="P23" s="144">
        <v>860640</v>
      </c>
      <c r="Q23" s="22">
        <f t="shared" si="8"/>
        <v>134775.98201775912</v>
      </c>
      <c r="R23" s="13">
        <f t="shared" si="9"/>
        <v>134775.98201775912</v>
      </c>
      <c r="S23" s="33"/>
      <c r="W23" s="18">
        <f t="shared" si="10"/>
        <v>0.80794653493788604</v>
      </c>
    </row>
    <row r="24" spans="1:23">
      <c r="A24" s="18" t="s">
        <v>430</v>
      </c>
      <c r="B24" s="4">
        <f>Speeds!U23</f>
        <v>67.812288769795572</v>
      </c>
      <c r="C24" s="4">
        <f>Speeds!V23</f>
        <v>74.592726606374868</v>
      </c>
      <c r="D24" s="16">
        <f t="shared" si="1"/>
        <v>12432.121101062477</v>
      </c>
      <c r="E24" s="34">
        <f>'Interval Circuities'!B24</f>
        <v>1.3476779649684636</v>
      </c>
      <c r="F24" s="4">
        <f t="shared" si="2"/>
        <v>50.317873062042992</v>
      </c>
      <c r="G24" s="4">
        <f t="shared" si="3"/>
        <v>8.3863121770071647</v>
      </c>
      <c r="H24" s="4">
        <f t="shared" si="4"/>
        <v>220.94893995724118</v>
      </c>
      <c r="I24" s="4">
        <f t="shared" si="5"/>
        <v>865.47479649931279</v>
      </c>
      <c r="J24" s="150">
        <v>1755.5878070000001</v>
      </c>
      <c r="K24" s="31">
        <v>1519417</v>
      </c>
      <c r="L24" s="22">
        <f t="shared" si="6"/>
        <v>191225.73884623218</v>
      </c>
      <c r="M24" s="22">
        <f t="shared" si="7"/>
        <v>191225.73884623218</v>
      </c>
      <c r="N24" s="19" t="s">
        <v>91</v>
      </c>
      <c r="O24" s="4">
        <f t="shared" si="0"/>
        <v>528.94933326453656</v>
      </c>
      <c r="P24" s="144">
        <v>928617</v>
      </c>
      <c r="Q24" s="22">
        <f t="shared" si="8"/>
        <v>116870.79447588885</v>
      </c>
      <c r="R24" s="13">
        <f t="shared" si="9"/>
        <v>116870.79447588885</v>
      </c>
      <c r="S24" s="33"/>
      <c r="W24" s="18">
        <f t="shared" si="10"/>
        <v>0.61116665141959059</v>
      </c>
    </row>
    <row r="25" spans="1:23">
      <c r="A25" s="18" t="s">
        <v>431</v>
      </c>
      <c r="B25" s="4">
        <f>Speeds!U24</f>
        <v>62.454008275887581</v>
      </c>
      <c r="C25" s="4">
        <f>Speeds!V24</f>
        <v>72.980903634295757</v>
      </c>
      <c r="D25" s="16">
        <f t="shared" si="1"/>
        <v>12163.483939049293</v>
      </c>
      <c r="E25" s="34">
        <f>'Interval Circuities'!B25</f>
        <v>1.3286382614132926</v>
      </c>
      <c r="F25" s="4">
        <f t="shared" si="2"/>
        <v>47.006028721056332</v>
      </c>
      <c r="G25" s="4">
        <f t="shared" si="3"/>
        <v>7.8343381201760547</v>
      </c>
      <c r="H25" s="4">
        <f t="shared" si="4"/>
        <v>192.82107293961005</v>
      </c>
      <c r="I25" s="4">
        <f t="shared" si="5"/>
        <v>1746.9193703498715</v>
      </c>
      <c r="J25" s="150">
        <v>1079.621093</v>
      </c>
      <c r="K25" s="31">
        <v>1886011</v>
      </c>
      <c r="L25" s="22">
        <f t="shared" si="6"/>
        <v>336842.86732985021</v>
      </c>
      <c r="M25" s="22">
        <f t="shared" si="7"/>
        <v>336842.86732985021</v>
      </c>
      <c r="N25" s="19" t="s">
        <v>91</v>
      </c>
      <c r="O25" s="4">
        <f t="shared" si="0"/>
        <v>677.90079755323939</v>
      </c>
      <c r="P25" s="144">
        <v>731876</v>
      </c>
      <c r="Q25" s="22">
        <f t="shared" si="8"/>
        <v>130713.55913083299</v>
      </c>
      <c r="R25" s="13">
        <f t="shared" si="9"/>
        <v>130713.55913083299</v>
      </c>
      <c r="S25" s="33"/>
      <c r="W25" s="18">
        <f t="shared" si="10"/>
        <v>0.38805500073965637</v>
      </c>
    </row>
    <row r="26" spans="1:23">
      <c r="A26" s="18" t="s">
        <v>432</v>
      </c>
      <c r="B26" s="4">
        <f>Speeds!U25</f>
        <v>67.712654237264687</v>
      </c>
      <c r="C26" s="4">
        <f>Speeds!V25</f>
        <v>83.333789923093292</v>
      </c>
      <c r="D26" s="16">
        <f t="shared" si="1"/>
        <v>13888.964987182215</v>
      </c>
      <c r="E26" s="34">
        <f>'Interval Circuities'!B26</f>
        <v>1.3492227990003094</v>
      </c>
      <c r="F26" s="4">
        <f t="shared" si="2"/>
        <v>50.186414198926649</v>
      </c>
      <c r="G26" s="4">
        <f t="shared" si="3"/>
        <v>8.3644023664877736</v>
      </c>
      <c r="H26" s="4">
        <f t="shared" si="4"/>
        <v>219.79595980286271</v>
      </c>
      <c r="I26" s="4">
        <f t="shared" si="5"/>
        <v>2702.4637693066888</v>
      </c>
      <c r="J26" s="150">
        <v>4496.2660139999998</v>
      </c>
      <c r="K26" s="31">
        <v>12150996</v>
      </c>
      <c r="L26" s="22">
        <f t="shared" si="6"/>
        <v>593990.6180072258</v>
      </c>
      <c r="M26" s="22">
        <f t="shared" si="7"/>
        <v>593990.6180072258</v>
      </c>
      <c r="N26" s="19" t="s">
        <v>91</v>
      </c>
      <c r="O26" s="4">
        <f t="shared" si="0"/>
        <v>1079.1963787042962</v>
      </c>
      <c r="P26" s="144">
        <v>4852354</v>
      </c>
      <c r="Q26" s="22">
        <f t="shared" si="8"/>
        <v>237203.0038730845</v>
      </c>
      <c r="R26" s="13">
        <f t="shared" si="9"/>
        <v>237203.0038730845</v>
      </c>
      <c r="S26" s="33"/>
      <c r="W26" s="18">
        <f t="shared" si="10"/>
        <v>0.39933796373564767</v>
      </c>
    </row>
    <row r="27" spans="1:23">
      <c r="A27" s="18" t="s">
        <v>433</v>
      </c>
      <c r="B27" s="4">
        <f>Speeds!U26</f>
        <v>69.762390899595417</v>
      </c>
      <c r="C27" s="4">
        <f>Speeds!V26</f>
        <v>80.633405227489121</v>
      </c>
      <c r="D27" s="16">
        <f t="shared" si="1"/>
        <v>13438.900871248186</v>
      </c>
      <c r="E27" s="34">
        <f>'Interval Circuities'!B27</f>
        <v>1.415233679267091</v>
      </c>
      <c r="F27" s="4">
        <f t="shared" si="2"/>
        <v>49.293902428695283</v>
      </c>
      <c r="G27" s="4">
        <f t="shared" si="3"/>
        <v>8.2156504047825472</v>
      </c>
      <c r="H27" s="4">
        <f t="shared" si="4"/>
        <v>212.04780153963304</v>
      </c>
      <c r="I27" s="4">
        <f t="shared" si="5"/>
        <v>787.6776339629688</v>
      </c>
      <c r="J27" s="150">
        <v>1234.70054</v>
      </c>
      <c r="K27" s="31">
        <v>972546</v>
      </c>
      <c r="L27" s="22">
        <f t="shared" si="6"/>
        <v>167025.31060378734</v>
      </c>
      <c r="M27" s="22">
        <f t="shared" si="7"/>
        <v>167025.31060378734</v>
      </c>
      <c r="N27" s="19" t="s">
        <v>91</v>
      </c>
      <c r="O27" s="4">
        <f t="shared" si="0"/>
        <v>417.10518730314965</v>
      </c>
      <c r="P27" s="144">
        <v>515000</v>
      </c>
      <c r="Q27" s="22">
        <f t="shared" si="8"/>
        <v>88446.237978409743</v>
      </c>
      <c r="R27" s="13">
        <f t="shared" si="9"/>
        <v>88446.237978409743</v>
      </c>
      <c r="S27" s="33"/>
      <c r="W27" s="18">
        <f t="shared" si="10"/>
        <v>0.52953793445245778</v>
      </c>
    </row>
    <row r="28" spans="1:23" ht="15">
      <c r="A28" s="18" t="s">
        <v>434</v>
      </c>
      <c r="B28" s="4">
        <f>Speeds!U27</f>
        <v>66.011797525453602</v>
      </c>
      <c r="C28" s="4">
        <f>Speeds!V27</f>
        <v>76.864865322833012</v>
      </c>
      <c r="D28" s="16">
        <f t="shared" si="1"/>
        <v>12810.810887138836</v>
      </c>
      <c r="E28" s="34">
        <f>'Interval Circuities'!B28</f>
        <v>1.3836709660756512</v>
      </c>
      <c r="F28" s="4">
        <f t="shared" si="2"/>
        <v>47.707727591246183</v>
      </c>
      <c r="G28" s="4">
        <f t="shared" si="3"/>
        <v>7.9512879318743632</v>
      </c>
      <c r="H28" s="4">
        <f t="shared" si="4"/>
        <v>198.62084880098959</v>
      </c>
      <c r="I28" s="4">
        <f t="shared" si="5"/>
        <v>823.01437699234145</v>
      </c>
      <c r="J28" s="9">
        <v>1288.022457</v>
      </c>
      <c r="K28" s="31">
        <v>1060061</v>
      </c>
      <c r="L28" s="22">
        <f t="shared" si="6"/>
        <v>163467.81413363651</v>
      </c>
      <c r="M28" s="22">
        <f t="shared" si="7"/>
        <v>163467.81413363651</v>
      </c>
      <c r="N28" s="19" t="s">
        <v>91</v>
      </c>
      <c r="O28" s="4">
        <f t="shared" si="0"/>
        <v>395.30832496967867</v>
      </c>
      <c r="P28" s="144">
        <v>509166</v>
      </c>
      <c r="Q28" s="22">
        <f t="shared" si="8"/>
        <v>78516.475043575003</v>
      </c>
      <c r="R28" s="13">
        <f t="shared" si="9"/>
        <v>78516.475043575003</v>
      </c>
      <c r="S28" s="30"/>
      <c r="T28" s="32"/>
      <c r="W28" s="18">
        <f t="shared" si="10"/>
        <v>0.48031764209795469</v>
      </c>
    </row>
    <row r="29" spans="1:23" ht="15">
      <c r="A29" s="18" t="s">
        <v>435</v>
      </c>
      <c r="B29" s="4">
        <f>Speeds!U28</f>
        <v>66.575024815111192</v>
      </c>
      <c r="C29" s="4">
        <f>Speeds!V28</f>
        <v>73.723640962925515</v>
      </c>
      <c r="D29" s="16">
        <f t="shared" si="1"/>
        <v>12287.27349382092</v>
      </c>
      <c r="E29" s="34">
        <f>'Interval Circuities'!B29</f>
        <v>1.2592779729384731</v>
      </c>
      <c r="F29" s="4">
        <f t="shared" si="2"/>
        <v>52.867616400659436</v>
      </c>
      <c r="G29" s="4">
        <f t="shared" si="3"/>
        <v>8.8112694001099054</v>
      </c>
      <c r="H29" s="4">
        <f t="shared" si="4"/>
        <v>243.90844209119248</v>
      </c>
      <c r="I29" s="4">
        <f t="shared" si="5"/>
        <v>974.04787636700348</v>
      </c>
      <c r="J29" s="9">
        <v>1413.1502499999999</v>
      </c>
      <c r="K29" s="31">
        <v>1376476</v>
      </c>
      <c r="L29" s="22">
        <f t="shared" si="6"/>
        <v>237578.50004691028</v>
      </c>
      <c r="M29" s="22">
        <f t="shared" si="7"/>
        <v>237578.50004691028</v>
      </c>
      <c r="N29" s="19" t="s">
        <v>91</v>
      </c>
      <c r="O29" s="4">
        <f t="shared" si="0"/>
        <v>521.72725440907652</v>
      </c>
      <c r="P29" s="144">
        <v>737279</v>
      </c>
      <c r="Q29" s="22">
        <f t="shared" si="8"/>
        <v>127253.68181943308</v>
      </c>
      <c r="R29" s="13">
        <f t="shared" si="9"/>
        <v>127253.68181943308</v>
      </c>
      <c r="S29" s="30"/>
      <c r="T29" s="32"/>
      <c r="W29" s="18">
        <f t="shared" si="10"/>
        <v>0.53562793684742782</v>
      </c>
    </row>
    <row r="30" spans="1:23" ht="15">
      <c r="A30" s="18" t="s">
        <v>436</v>
      </c>
      <c r="B30" s="4">
        <f>Speeds!U29</f>
        <v>72.35417413894163</v>
      </c>
      <c r="C30" s="4">
        <f>Speeds!V29</f>
        <v>80.92665935101023</v>
      </c>
      <c r="D30" s="16">
        <f t="shared" si="1"/>
        <v>13487.776558501704</v>
      </c>
      <c r="E30" s="34">
        <f>'Interval Circuities'!B30</f>
        <v>1.367956699688347</v>
      </c>
      <c r="F30" s="4">
        <f t="shared" si="2"/>
        <v>52.892152328670655</v>
      </c>
      <c r="G30" s="4">
        <f t="shared" si="3"/>
        <v>8.8153587214451079</v>
      </c>
      <c r="H30" s="4">
        <f t="shared" si="4"/>
        <v>244.13489106300838</v>
      </c>
      <c r="I30" s="4">
        <f t="shared" si="5"/>
        <v>1001.6752173390063</v>
      </c>
      <c r="J30" s="9">
        <v>2646.4566100000002</v>
      </c>
      <c r="K30" s="31">
        <v>2650890</v>
      </c>
      <c r="L30" s="22">
        <f t="shared" si="6"/>
        <v>244543.87006557354</v>
      </c>
      <c r="M30" s="22">
        <f t="shared" si="7"/>
        <v>244543.87006557354</v>
      </c>
      <c r="N30" s="19" t="s">
        <v>91</v>
      </c>
      <c r="O30" s="4">
        <f t="shared" si="0"/>
        <v>594.14576987906855</v>
      </c>
      <c r="P30" s="144">
        <v>1572381</v>
      </c>
      <c r="Q30" s="22">
        <f t="shared" si="8"/>
        <v>145051.71280497365</v>
      </c>
      <c r="R30" s="13">
        <f t="shared" si="9"/>
        <v>145051.71280497365</v>
      </c>
      <c r="S30" s="30"/>
      <c r="T30" s="32"/>
      <c r="W30" s="18">
        <f t="shared" si="10"/>
        <v>0.59315211117775535</v>
      </c>
    </row>
    <row r="31" spans="1:23" ht="15">
      <c r="A31" s="18" t="s">
        <v>437</v>
      </c>
      <c r="B31" s="4">
        <f>Speeds!U30</f>
        <v>66.509434242873198</v>
      </c>
      <c r="C31" s="4">
        <f>Speeds!V30</f>
        <v>79.192244463512992</v>
      </c>
      <c r="D31" s="16">
        <f t="shared" si="1"/>
        <v>13198.707410585499</v>
      </c>
      <c r="E31" s="34">
        <f>'Interval Circuities'!B31</f>
        <v>1.4297597712771255</v>
      </c>
      <c r="F31" s="4">
        <f t="shared" si="2"/>
        <v>46.517908517921157</v>
      </c>
      <c r="G31" s="4">
        <f t="shared" si="3"/>
        <v>7.7529847529868592</v>
      </c>
      <c r="H31" s="4">
        <f t="shared" si="4"/>
        <v>188.83727835377434</v>
      </c>
      <c r="I31" s="4">
        <f t="shared" si="5"/>
        <v>664.38482730522799</v>
      </c>
      <c r="J31" s="9">
        <v>1459.375591</v>
      </c>
      <c r="K31" s="31">
        <v>969587</v>
      </c>
      <c r="L31" s="22">
        <f t="shared" si="6"/>
        <v>125460.62256786163</v>
      </c>
      <c r="M31" s="22">
        <f t="shared" si="7"/>
        <v>125460.62256786163</v>
      </c>
      <c r="N31" s="19" t="s">
        <v>91</v>
      </c>
      <c r="O31" s="4">
        <f t="shared" si="0"/>
        <v>447.40709932841406</v>
      </c>
      <c r="P31" s="144">
        <v>652935</v>
      </c>
      <c r="Q31" s="22">
        <f t="shared" si="8"/>
        <v>84487.138953334492</v>
      </c>
      <c r="R31" s="13">
        <f t="shared" si="9"/>
        <v>84487.138953334492</v>
      </c>
      <c r="S31" s="30"/>
      <c r="T31" s="32"/>
      <c r="W31" s="18">
        <f t="shared" si="10"/>
        <v>0.67341558828655912</v>
      </c>
    </row>
    <row r="32" spans="1:23" ht="15">
      <c r="A32" s="18" t="s">
        <v>438</v>
      </c>
      <c r="B32" s="4">
        <f>Speeds!U31</f>
        <v>70.113916315490926</v>
      </c>
      <c r="C32" s="4">
        <f>Speeds!V31</f>
        <v>78.214496785983556</v>
      </c>
      <c r="D32" s="16">
        <f t="shared" si="1"/>
        <v>13035.749464330593</v>
      </c>
      <c r="E32" s="34">
        <f>'Interval Circuities'!B32</f>
        <v>1.4163225470795091</v>
      </c>
      <c r="F32" s="4">
        <f t="shared" si="2"/>
        <v>49.50420118642289</v>
      </c>
      <c r="G32" s="4">
        <f t="shared" si="3"/>
        <v>8.2507001977371477</v>
      </c>
      <c r="H32" s="4">
        <f t="shared" si="4"/>
        <v>213.86094717031239</v>
      </c>
      <c r="I32" s="4">
        <f t="shared" si="5"/>
        <v>1381.8089483990395</v>
      </c>
      <c r="J32" s="16">
        <v>651.10520599999995</v>
      </c>
      <c r="K32" s="31">
        <v>899703</v>
      </c>
      <c r="L32" s="22">
        <f t="shared" si="6"/>
        <v>295514.97051303193</v>
      </c>
      <c r="M32" s="22">
        <f t="shared" si="7"/>
        <v>295514.97051303193</v>
      </c>
      <c r="N32" s="19" t="s">
        <v>91</v>
      </c>
      <c r="O32" s="4">
        <f t="shared" si="0"/>
        <v>685.12276647347221</v>
      </c>
      <c r="P32" s="144">
        <v>446087</v>
      </c>
      <c r="Q32" s="22">
        <f t="shared" si="8"/>
        <v>146521.0037659615</v>
      </c>
      <c r="R32" s="13">
        <f t="shared" si="9"/>
        <v>146521.0037659615</v>
      </c>
      <c r="S32" s="30"/>
      <c r="T32" s="32"/>
      <c r="W32" s="18">
        <f t="shared" si="10"/>
        <v>0.49581584144990065</v>
      </c>
    </row>
    <row r="33" spans="1:23" ht="15">
      <c r="A33" s="29" t="s">
        <v>439</v>
      </c>
      <c r="B33" s="4">
        <f>Speeds!U32</f>
        <v>60.636060061572778</v>
      </c>
      <c r="C33" s="4">
        <f>Speeds!V32</f>
        <v>75.646262173189555</v>
      </c>
      <c r="D33" s="16">
        <f t="shared" si="1"/>
        <v>12607.710362198259</v>
      </c>
      <c r="E33" s="34">
        <f>'Interval Circuities'!B33</f>
        <v>1.3157627494011674</v>
      </c>
      <c r="F33" s="4">
        <f t="shared" si="2"/>
        <v>46.084341640747603</v>
      </c>
      <c r="G33" s="4">
        <f t="shared" si="3"/>
        <v>7.6807236067912665</v>
      </c>
      <c r="H33" s="4">
        <f t="shared" si="4"/>
        <v>185.33359372274745</v>
      </c>
      <c r="I33" s="4">
        <f t="shared" si="5"/>
        <v>2053.6406982836411</v>
      </c>
      <c r="J33" s="16">
        <v>8935.9813599999998</v>
      </c>
      <c r="K33" s="31">
        <v>18351295</v>
      </c>
      <c r="L33" s="22">
        <f t="shared" si="6"/>
        <v>380608.61082819971</v>
      </c>
      <c r="M33" s="22">
        <f t="shared" si="7"/>
        <v>380608.61082819971</v>
      </c>
      <c r="N33" s="19" t="s">
        <v>91</v>
      </c>
      <c r="O33" s="4">
        <f t="shared" si="0"/>
        <v>813.93354652208006</v>
      </c>
      <c r="P33" s="144">
        <v>7273295</v>
      </c>
      <c r="Q33" s="22">
        <f t="shared" si="8"/>
        <v>150849.22922843814</v>
      </c>
      <c r="R33" s="13">
        <f t="shared" si="9"/>
        <v>150849.22922843814</v>
      </c>
      <c r="S33" s="30"/>
      <c r="T33" s="32"/>
      <c r="W33" s="18">
        <f t="shared" si="10"/>
        <v>0.39633687976788556</v>
      </c>
    </row>
    <row r="34" spans="1:23" ht="15">
      <c r="A34" s="18" t="s">
        <v>440</v>
      </c>
      <c r="B34" s="4">
        <f>Speeds!U33</f>
        <v>62.746727907823015</v>
      </c>
      <c r="C34" s="4">
        <f>Speeds!V33</f>
        <v>70.343795554466837</v>
      </c>
      <c r="D34" s="16">
        <f t="shared" si="1"/>
        <v>11723.965925744473</v>
      </c>
      <c r="E34" s="34">
        <f>'Interval Circuities'!B34</f>
        <v>1.3330075580666654</v>
      </c>
      <c r="F34" s="4">
        <f t="shared" si="2"/>
        <v>47.071546990197163</v>
      </c>
      <c r="G34" s="4">
        <f t="shared" si="3"/>
        <v>7.8452578316995272</v>
      </c>
      <c r="H34" s="4">
        <f t="shared" si="4"/>
        <v>193.35896595528669</v>
      </c>
      <c r="I34" s="4">
        <f t="shared" si="5"/>
        <v>810.03967977262835</v>
      </c>
      <c r="J34" s="16">
        <v>1063.53432</v>
      </c>
      <c r="K34" s="31">
        <v>861505</v>
      </c>
      <c r="L34" s="22">
        <f t="shared" si="6"/>
        <v>156628.43486358697</v>
      </c>
      <c r="M34" s="22">
        <f t="shared" si="7"/>
        <v>156628.43486358697</v>
      </c>
      <c r="N34" s="19" t="s">
        <v>91</v>
      </c>
      <c r="O34" s="4">
        <f t="shared" si="0"/>
        <v>425.70699552037024</v>
      </c>
      <c r="P34" s="144">
        <v>452754</v>
      </c>
      <c r="Q34" s="22">
        <f t="shared" si="8"/>
        <v>82314.264453750657</v>
      </c>
      <c r="R34" s="13">
        <f t="shared" si="9"/>
        <v>82314.264453750657</v>
      </c>
      <c r="S34" s="30"/>
      <c r="T34" s="32"/>
      <c r="W34" s="18">
        <f t="shared" si="10"/>
        <v>0.52553844725219245</v>
      </c>
    </row>
    <row r="35" spans="1:23" ht="15">
      <c r="A35" s="18" t="s">
        <v>441</v>
      </c>
      <c r="B35" s="4">
        <f>Speeds!U34</f>
        <v>63.67703994300269</v>
      </c>
      <c r="C35" s="4">
        <f>Speeds!V34</f>
        <v>76.278541762827089</v>
      </c>
      <c r="D35" s="16">
        <f t="shared" si="1"/>
        <v>12713.090293804515</v>
      </c>
      <c r="E35" s="34">
        <f>'Interval Circuities'!B35</f>
        <v>1.4073453796667255</v>
      </c>
      <c r="F35" s="4">
        <f t="shared" ref="F35:F53" si="11">B35/E35</f>
        <v>45.246206697379499</v>
      </c>
      <c r="G35" s="4">
        <f t="shared" ref="G35:G53" si="12">F35*$A$1</f>
        <v>7.5410344495632495</v>
      </c>
      <c r="H35" s="4">
        <f t="shared" ref="H35:H53" si="13">PI()*G35^2</f>
        <v>178.65357953935757</v>
      </c>
      <c r="I35" s="4">
        <f t="shared" ref="I35:I53" si="14">K35/J35</f>
        <v>975.7775860793671</v>
      </c>
      <c r="J35" s="16">
        <v>1548.012602</v>
      </c>
      <c r="K35" s="31">
        <v>1510516</v>
      </c>
      <c r="L35" s="22">
        <f t="shared" ref="L35:L53" si="15">H35*I35</f>
        <v>174326.15858735255</v>
      </c>
      <c r="M35" s="22">
        <f t="shared" ref="M35:M53" si="16">MIN(K35,L35)</f>
        <v>174326.15858735255</v>
      </c>
      <c r="N35" s="19" t="s">
        <v>91</v>
      </c>
      <c r="O35" s="4">
        <f t="shared" ref="O35:O53" si="17">P35/J35</f>
        <v>552.87922003622032</v>
      </c>
      <c r="P35" s="144">
        <v>855864</v>
      </c>
      <c r="Q35" s="22">
        <f t="shared" ref="Q35:Q53" si="18">H35*O35</f>
        <v>98773.851712398857</v>
      </c>
      <c r="R35" s="13">
        <f t="shared" ref="R35:R53" si="19">MIN(Q35,P35)</f>
        <v>98773.851712398857</v>
      </c>
      <c r="S35" s="30"/>
      <c r="T35" s="32"/>
      <c r="W35" s="18">
        <f t="shared" si="10"/>
        <v>0.56660373011606624</v>
      </c>
    </row>
    <row r="36" spans="1:23" ht="15">
      <c r="A36" s="18" t="s">
        <v>442</v>
      </c>
      <c r="B36" s="4">
        <f>Speeds!U35</f>
        <v>57.583198277252201</v>
      </c>
      <c r="C36" s="4">
        <f>Speeds!V35</f>
        <v>70.0901022214275</v>
      </c>
      <c r="D36" s="16">
        <f t="shared" si="1"/>
        <v>11681.683703571249</v>
      </c>
      <c r="E36" s="34">
        <f>'Interval Circuities'!B36</f>
        <v>1.2908066509637137</v>
      </c>
      <c r="F36" s="4">
        <f t="shared" si="11"/>
        <v>44.61024293162783</v>
      </c>
      <c r="G36" s="4">
        <f t="shared" si="12"/>
        <v>7.4350404886046384</v>
      </c>
      <c r="H36" s="4">
        <f t="shared" si="13"/>
        <v>173.66669860599924</v>
      </c>
      <c r="I36" s="4">
        <f t="shared" si="14"/>
        <v>1060.3784681288619</v>
      </c>
      <c r="J36" s="16">
        <v>5131.7215159999996</v>
      </c>
      <c r="K36" s="31">
        <v>5441567</v>
      </c>
      <c r="L36" s="22">
        <f t="shared" si="15"/>
        <v>184152.42783282622</v>
      </c>
      <c r="M36" s="22">
        <f t="shared" si="16"/>
        <v>184152.42783282622</v>
      </c>
      <c r="N36" s="19" t="s">
        <v>91</v>
      </c>
      <c r="O36" s="4">
        <f t="shared" si="17"/>
        <v>471.88667437424527</v>
      </c>
      <c r="P36" s="144">
        <v>2421591</v>
      </c>
      <c r="Q36" s="22">
        <f t="shared" si="18"/>
        <v>81951.000854739366</v>
      </c>
      <c r="R36" s="13">
        <f t="shared" si="19"/>
        <v>81951.000854739366</v>
      </c>
      <c r="S36" s="30"/>
      <c r="T36" s="32"/>
      <c r="W36" s="18">
        <f t="shared" si="10"/>
        <v>0.445017216548101</v>
      </c>
    </row>
    <row r="37" spans="1:23" ht="15">
      <c r="A37" s="18" t="s">
        <v>443</v>
      </c>
      <c r="B37" s="4">
        <f>Speeds!U36</f>
        <v>65.523113774601583</v>
      </c>
      <c r="C37" s="4">
        <f>Speeds!V36</f>
        <v>75.058272553254923</v>
      </c>
      <c r="D37" s="16">
        <f t="shared" si="1"/>
        <v>12509.712092209153</v>
      </c>
      <c r="E37" s="34">
        <f>'Interval Circuities'!B37</f>
        <v>1.3444279137541839</v>
      </c>
      <c r="F37" s="4">
        <f t="shared" si="11"/>
        <v>48.736799574203033</v>
      </c>
      <c r="G37" s="4">
        <f t="shared" si="12"/>
        <v>8.1227999290338389</v>
      </c>
      <c r="H37" s="4">
        <f t="shared" si="13"/>
        <v>207.28190216817725</v>
      </c>
      <c r="I37" s="4">
        <f t="shared" si="14"/>
        <v>1222.0875996258867</v>
      </c>
      <c r="J37" s="16">
        <v>2969.6021799999999</v>
      </c>
      <c r="K37" s="31">
        <v>3629114</v>
      </c>
      <c r="L37" s="22">
        <f t="shared" si="15"/>
        <v>253316.64226659562</v>
      </c>
      <c r="M37" s="22">
        <f t="shared" si="16"/>
        <v>253316.64226659562</v>
      </c>
      <c r="N37" s="19" t="s">
        <v>91</v>
      </c>
      <c r="O37" s="4">
        <f t="shared" si="17"/>
        <v>489.41201949144585</v>
      </c>
      <c r="P37" s="144">
        <v>1453359</v>
      </c>
      <c r="Q37" s="22">
        <f t="shared" si="18"/>
        <v>101446.25434415594</v>
      </c>
      <c r="R37" s="13">
        <f t="shared" si="19"/>
        <v>101446.25434415594</v>
      </c>
      <c r="S37" s="30"/>
      <c r="T37" s="32"/>
      <c r="W37" s="18">
        <f t="shared" si="10"/>
        <v>0.40047212625450729</v>
      </c>
    </row>
    <row r="38" spans="1:23" ht="15">
      <c r="A38" s="18" t="s">
        <v>446</v>
      </c>
      <c r="B38" s="4">
        <f>Speeds!U37</f>
        <v>59.807444822625882</v>
      </c>
      <c r="C38" s="4">
        <f>Speeds!V37</f>
        <v>71.241563498997948</v>
      </c>
      <c r="D38" s="16">
        <f t="shared" si="1"/>
        <v>11873.593916499658</v>
      </c>
      <c r="E38" s="34">
        <f>'Interval Circuities'!B38</f>
        <v>1.4115605231076185</v>
      </c>
      <c r="F38" s="4">
        <f t="shared" si="11"/>
        <v>42.369734661434784</v>
      </c>
      <c r="G38" s="4">
        <f t="shared" si="12"/>
        <v>7.0616224435724639</v>
      </c>
      <c r="H38" s="4">
        <f t="shared" si="13"/>
        <v>156.66026630028588</v>
      </c>
      <c r="I38" s="4">
        <f t="shared" si="14"/>
        <v>739.57535155262258</v>
      </c>
      <c r="J38" s="16">
        <v>2344.389921</v>
      </c>
      <c r="K38" s="31">
        <v>1733853</v>
      </c>
      <c r="L38" s="22">
        <f t="shared" si="15"/>
        <v>115862.0715233614</v>
      </c>
      <c r="M38" s="22">
        <f t="shared" si="16"/>
        <v>115862.0715233614</v>
      </c>
      <c r="N38" s="19" t="s">
        <v>91</v>
      </c>
      <c r="O38" s="4">
        <f t="shared" si="17"/>
        <v>439.74681462555225</v>
      </c>
      <c r="P38" s="144">
        <v>1030938</v>
      </c>
      <c r="Q38" s="22">
        <f t="shared" si="18"/>
        <v>68890.85308394146</v>
      </c>
      <c r="R38" s="13">
        <f t="shared" si="19"/>
        <v>68890.85308394146</v>
      </c>
      <c r="S38" s="30"/>
      <c r="T38" s="32"/>
      <c r="W38" s="18">
        <f t="shared" si="10"/>
        <v>0.59459365932406028</v>
      </c>
    </row>
    <row r="39" spans="1:23" ht="15">
      <c r="A39" s="18" t="s">
        <v>447</v>
      </c>
      <c r="B39" s="4">
        <f>Speeds!U38</f>
        <v>58.331030650507813</v>
      </c>
      <c r="C39" s="4">
        <f>Speeds!V38</f>
        <v>69.29589065244727</v>
      </c>
      <c r="D39" s="16">
        <f t="shared" si="1"/>
        <v>11549.315108741212</v>
      </c>
      <c r="E39" s="34">
        <f>'Interval Circuities'!B39</f>
        <v>1.5301276739734433</v>
      </c>
      <c r="F39" s="4">
        <f t="shared" si="11"/>
        <v>38.121675493283185</v>
      </c>
      <c r="G39" s="4">
        <f t="shared" si="12"/>
        <v>6.3536125822138638</v>
      </c>
      <c r="H39" s="4">
        <f t="shared" si="13"/>
        <v>126.82104639865881</v>
      </c>
      <c r="I39" s="4">
        <f t="shared" si="14"/>
        <v>1362.0759506608479</v>
      </c>
      <c r="J39" s="16">
        <v>1358.1459970000001</v>
      </c>
      <c r="K39" s="31">
        <v>1849898</v>
      </c>
      <c r="L39" s="22">
        <f t="shared" si="15"/>
        <v>172739.8973372567</v>
      </c>
      <c r="M39" s="22">
        <f t="shared" si="16"/>
        <v>172739.8973372567</v>
      </c>
      <c r="N39" s="19" t="s">
        <v>91</v>
      </c>
      <c r="O39" s="4">
        <f t="shared" si="17"/>
        <v>641.16376436958274</v>
      </c>
      <c r="P39" s="144">
        <v>870794</v>
      </c>
      <c r="Q39" s="22">
        <f t="shared" si="18"/>
        <v>81313.059510253588</v>
      </c>
      <c r="R39" s="13">
        <f t="shared" si="19"/>
        <v>81313.059510253588</v>
      </c>
      <c r="S39" s="30"/>
      <c r="T39" s="32"/>
      <c r="W39" s="18">
        <f t="shared" si="10"/>
        <v>0.47072541296871495</v>
      </c>
    </row>
    <row r="40" spans="1:23" ht="15">
      <c r="A40" s="18" t="s">
        <v>448</v>
      </c>
      <c r="B40" s="4">
        <f>Speeds!U39</f>
        <v>61.333480923569354</v>
      </c>
      <c r="C40" s="4">
        <f>Speeds!V39</f>
        <v>68.947108687192596</v>
      </c>
      <c r="D40" s="16">
        <f t="shared" si="1"/>
        <v>11491.184781198765</v>
      </c>
      <c r="E40" s="34">
        <f>'Interval Circuities'!B40</f>
        <v>1.3413795461632436</v>
      </c>
      <c r="F40" s="4">
        <f t="shared" si="11"/>
        <v>45.724180824884272</v>
      </c>
      <c r="G40" s="4">
        <f t="shared" si="12"/>
        <v>7.6206968041473786</v>
      </c>
      <c r="H40" s="4">
        <f t="shared" si="13"/>
        <v>182.4480555002612</v>
      </c>
      <c r="I40" s="4">
        <f t="shared" si="14"/>
        <v>843.65595688883184</v>
      </c>
      <c r="J40" s="16">
        <v>1411.6607489999999</v>
      </c>
      <c r="K40" s="31">
        <v>1190956</v>
      </c>
      <c r="L40" s="22">
        <f t="shared" si="15"/>
        <v>153923.38884557955</v>
      </c>
      <c r="M40" s="22">
        <f t="shared" si="16"/>
        <v>153923.38884557955</v>
      </c>
      <c r="N40" s="19" t="s">
        <v>91</v>
      </c>
      <c r="O40" s="4">
        <f t="shared" si="17"/>
        <v>418.3023438303448</v>
      </c>
      <c r="P40" s="144">
        <v>590501</v>
      </c>
      <c r="Q40" s="22">
        <f t="shared" si="18"/>
        <v>76318.44924304809</v>
      </c>
      <c r="R40" s="13">
        <f t="shared" si="19"/>
        <v>76318.44924304809</v>
      </c>
      <c r="S40" s="30"/>
      <c r="T40" s="32"/>
      <c r="W40" s="18">
        <f t="shared" si="10"/>
        <v>0.49582100430242598</v>
      </c>
    </row>
    <row r="41" spans="1:23" ht="15">
      <c r="A41" s="29" t="s">
        <v>449</v>
      </c>
      <c r="B41" s="4">
        <f>Speeds!U40</f>
        <v>70.888143113567551</v>
      </c>
      <c r="C41" s="4">
        <f>Speeds!V40</f>
        <v>80.329607978863407</v>
      </c>
      <c r="D41" s="16">
        <f t="shared" si="1"/>
        <v>13388.267996477234</v>
      </c>
      <c r="E41" s="34">
        <f>'Interval Circuities'!B41</f>
        <v>1.3599560158886321</v>
      </c>
      <c r="F41" s="4">
        <f t="shared" si="11"/>
        <v>52.125320440784492</v>
      </c>
      <c r="G41" s="4">
        <f t="shared" si="12"/>
        <v>8.6875534067974147</v>
      </c>
      <c r="H41" s="4">
        <f t="shared" si="13"/>
        <v>237.1072576501104</v>
      </c>
      <c r="I41" s="4">
        <f t="shared" si="14"/>
        <v>659.39427440794395</v>
      </c>
      <c r="J41" s="16">
        <v>1341.975559</v>
      </c>
      <c r="K41" s="31">
        <v>884891</v>
      </c>
      <c r="L41" s="22">
        <f t="shared" si="15"/>
        <v>156347.16811505196</v>
      </c>
      <c r="M41" s="22">
        <f t="shared" si="16"/>
        <v>156347.16811505196</v>
      </c>
      <c r="N41" s="19" t="s">
        <v>91</v>
      </c>
      <c r="O41" s="4">
        <f t="shared" si="17"/>
        <v>305.97949213469991</v>
      </c>
      <c r="P41" s="144">
        <v>410617</v>
      </c>
      <c r="Q41" s="22">
        <f t="shared" si="18"/>
        <v>72549.958277232217</v>
      </c>
      <c r="R41" s="13">
        <f t="shared" si="19"/>
        <v>72549.958277232217</v>
      </c>
      <c r="S41" s="30"/>
      <c r="T41" s="32"/>
      <c r="W41" s="18">
        <f t="shared" si="10"/>
        <v>0.46403116316020848</v>
      </c>
    </row>
    <row r="42" spans="1:23" ht="15">
      <c r="A42" s="29" t="s">
        <v>158</v>
      </c>
      <c r="B42" s="4">
        <f>Speeds!U41</f>
        <v>64.044695759894694</v>
      </c>
      <c r="C42" s="4">
        <f>Speeds!V41</f>
        <v>72.196124164991133</v>
      </c>
      <c r="D42" s="16">
        <f t="shared" si="1"/>
        <v>12032.687360831855</v>
      </c>
      <c r="E42" s="34">
        <f>'Interval Circuities'!B42</f>
        <v>1.3054372101690606</v>
      </c>
      <c r="F42" s="4">
        <f t="shared" si="11"/>
        <v>49.059958809968798</v>
      </c>
      <c r="G42" s="4">
        <f t="shared" si="12"/>
        <v>8.1766598016614651</v>
      </c>
      <c r="H42" s="4">
        <f t="shared" si="13"/>
        <v>210.03986496826283</v>
      </c>
      <c r="I42" s="4">
        <f t="shared" si="14"/>
        <v>857.44540355569529</v>
      </c>
      <c r="J42" s="16">
        <v>840.37070700000004</v>
      </c>
      <c r="K42" s="31">
        <v>720572</v>
      </c>
      <c r="L42" s="22">
        <f t="shared" si="15"/>
        <v>180097.71678049586</v>
      </c>
      <c r="M42" s="22">
        <f t="shared" si="16"/>
        <v>180097.71678049586</v>
      </c>
      <c r="N42" s="19" t="s">
        <v>91</v>
      </c>
      <c r="O42" s="4">
        <f t="shared" si="17"/>
        <v>493.93082902876574</v>
      </c>
      <c r="P42" s="144">
        <v>415085</v>
      </c>
      <c r="Q42" s="22">
        <f t="shared" si="18"/>
        <v>103745.16463286408</v>
      </c>
      <c r="R42" s="13">
        <f t="shared" si="19"/>
        <v>103745.16463286408</v>
      </c>
      <c r="S42" s="30"/>
      <c r="T42" s="32"/>
      <c r="W42" s="18">
        <f t="shared" si="10"/>
        <v>0.57604930527414344</v>
      </c>
    </row>
    <row r="43" spans="1:23" ht="15">
      <c r="A43" s="18" t="s">
        <v>450</v>
      </c>
      <c r="B43" s="4">
        <f>Speeds!U42</f>
        <v>69.851259887217722</v>
      </c>
      <c r="C43" s="4">
        <f>Speeds!V42</f>
        <v>81.455388016103115</v>
      </c>
      <c r="D43" s="16">
        <f t="shared" si="1"/>
        <v>13575.898002683853</v>
      </c>
      <c r="E43" s="34">
        <f>'Interval Circuities'!B43</f>
        <v>1.4338792967235054</v>
      </c>
      <c r="F43" s="4">
        <f t="shared" si="11"/>
        <v>48.714881403777689</v>
      </c>
      <c r="G43" s="4">
        <f t="shared" si="12"/>
        <v>8.1191469006296142</v>
      </c>
      <c r="H43" s="4">
        <f t="shared" si="13"/>
        <v>207.0955042720264</v>
      </c>
      <c r="I43" s="4">
        <f t="shared" si="14"/>
        <v>1413.0147860308737</v>
      </c>
      <c r="J43" s="16">
        <v>1219.8272919999999</v>
      </c>
      <c r="K43" s="31">
        <v>1723634</v>
      </c>
      <c r="L43" s="22">
        <f t="shared" si="15"/>
        <v>292629.00965689326</v>
      </c>
      <c r="M43" s="22">
        <f t="shared" si="16"/>
        <v>292629.00965689326</v>
      </c>
      <c r="N43" s="19" t="s">
        <v>91</v>
      </c>
      <c r="O43" s="4">
        <f t="shared" si="17"/>
        <v>509.14420760475986</v>
      </c>
      <c r="P43" s="144">
        <v>621068</v>
      </c>
      <c r="Q43" s="22">
        <f t="shared" si="18"/>
        <v>105441.47642108904</v>
      </c>
      <c r="R43" s="13">
        <f t="shared" si="19"/>
        <v>105441.47642108904</v>
      </c>
      <c r="S43" s="30"/>
      <c r="T43" s="32"/>
      <c r="W43" s="18">
        <f t="shared" si="10"/>
        <v>0.36032475571960171</v>
      </c>
    </row>
    <row r="44" spans="1:23" ht="15">
      <c r="A44" s="29" t="s">
        <v>451</v>
      </c>
      <c r="B44" s="4">
        <f>Speeds!U43</f>
        <v>64.533357950473999</v>
      </c>
      <c r="C44" s="4">
        <f>Speeds!V43</f>
        <v>73.630820924041743</v>
      </c>
      <c r="D44" s="16">
        <f t="shared" si="1"/>
        <v>12271.803487340288</v>
      </c>
      <c r="E44" s="34">
        <f>'Interval Circuities'!B44</f>
        <v>1.3973954385618328</v>
      </c>
      <c r="F44" s="4">
        <f t="shared" si="11"/>
        <v>46.181171177208256</v>
      </c>
      <c r="G44" s="4">
        <f t="shared" si="12"/>
        <v>7.6968618628680421</v>
      </c>
      <c r="H44" s="4">
        <f t="shared" si="13"/>
        <v>186.11323464162413</v>
      </c>
      <c r="I44" s="4">
        <f t="shared" si="14"/>
        <v>1418.9468389746553</v>
      </c>
      <c r="J44" s="16">
        <v>719.71900000000005</v>
      </c>
      <c r="K44" s="31">
        <v>1021243</v>
      </c>
      <c r="L44" s="22">
        <f t="shared" si="15"/>
        <v>264084.78598608088</v>
      </c>
      <c r="M44" s="22">
        <f t="shared" si="16"/>
        <v>264084.78598608088</v>
      </c>
      <c r="N44" s="19" t="s">
        <v>91</v>
      </c>
      <c r="O44" s="4">
        <f t="shared" si="17"/>
        <v>731.05892716462949</v>
      </c>
      <c r="P44" s="144">
        <v>526157</v>
      </c>
      <c r="Q44" s="22">
        <f t="shared" si="18"/>
        <v>136059.7416482447</v>
      </c>
      <c r="R44" s="13">
        <f t="shared" si="19"/>
        <v>136059.7416482447</v>
      </c>
      <c r="S44" s="30"/>
      <c r="T44" s="32"/>
      <c r="W44" s="18">
        <f t="shared" si="10"/>
        <v>0.51521234417273853</v>
      </c>
    </row>
    <row r="45" spans="1:23" ht="15">
      <c r="A45" s="18" t="s">
        <v>452</v>
      </c>
      <c r="B45" s="4">
        <f>Speeds!U44</f>
        <v>70.329269785649885</v>
      </c>
      <c r="C45" s="4">
        <f>Speeds!V44</f>
        <v>78.441220996603292</v>
      </c>
      <c r="D45" s="16">
        <f t="shared" si="1"/>
        <v>13073.536832767215</v>
      </c>
      <c r="E45" s="34">
        <f>'Interval Circuities'!B45</f>
        <v>1.4317823771593792</v>
      </c>
      <c r="F45" s="4">
        <f t="shared" si="11"/>
        <v>49.120083406237626</v>
      </c>
      <c r="G45" s="4">
        <f t="shared" si="12"/>
        <v>8.1866805677062704</v>
      </c>
      <c r="H45" s="4">
        <f t="shared" si="13"/>
        <v>210.55500198621357</v>
      </c>
      <c r="I45" s="4">
        <f t="shared" si="14"/>
        <v>1136.9073371227814</v>
      </c>
      <c r="J45" s="16">
        <v>1546.484874</v>
      </c>
      <c r="K45" s="31">
        <v>1758210</v>
      </c>
      <c r="L45" s="22">
        <f t="shared" si="15"/>
        <v>239381.52662602803</v>
      </c>
      <c r="M45" s="22">
        <f t="shared" si="16"/>
        <v>239381.52662602803</v>
      </c>
      <c r="N45" s="19" t="s">
        <v>91</v>
      </c>
      <c r="O45" s="4">
        <f t="shared" si="17"/>
        <v>464.39186834232174</v>
      </c>
      <c r="P45" s="144">
        <v>718175</v>
      </c>
      <c r="Q45" s="22">
        <f t="shared" si="18"/>
        <v>97780.030761198985</v>
      </c>
      <c r="R45" s="13">
        <f t="shared" si="19"/>
        <v>97780.030761198985</v>
      </c>
      <c r="S45" s="30"/>
      <c r="T45" s="32"/>
      <c r="W45" s="18">
        <f t="shared" si="10"/>
        <v>0.40846940922870417</v>
      </c>
    </row>
    <row r="46" spans="1:23" ht="15">
      <c r="A46" s="18" t="s">
        <v>453</v>
      </c>
      <c r="B46" s="4">
        <f>Speeds!U45</f>
        <v>74.208902356796543</v>
      </c>
      <c r="C46" s="4">
        <f>Speeds!V45</f>
        <v>85.358369483865644</v>
      </c>
      <c r="D46" s="16">
        <f t="shared" si="1"/>
        <v>14226.394913977607</v>
      </c>
      <c r="E46" s="34">
        <f>'Interval Circuities'!B46</f>
        <v>1.4519495177769537</v>
      </c>
      <c r="F46" s="4">
        <f t="shared" si="11"/>
        <v>51.109836429035134</v>
      </c>
      <c r="G46" s="4">
        <f t="shared" si="12"/>
        <v>8.5183060715058545</v>
      </c>
      <c r="H46" s="4">
        <f t="shared" si="13"/>
        <v>227.95879574395875</v>
      </c>
      <c r="I46" s="4">
        <f t="shared" si="14"/>
        <v>1558.6954968295993</v>
      </c>
      <c r="J46" s="16">
        <v>1896.936256</v>
      </c>
      <c r="K46" s="31">
        <v>2956746</v>
      </c>
      <c r="L46" s="22">
        <f t="shared" si="15"/>
        <v>355318.34838880692</v>
      </c>
      <c r="M46" s="22">
        <f t="shared" si="16"/>
        <v>355318.34838880692</v>
      </c>
      <c r="N46" s="19" t="s">
        <v>91</v>
      </c>
      <c r="O46" s="4">
        <f t="shared" si="17"/>
        <v>580.58039457916288</v>
      </c>
      <c r="P46" s="144">
        <v>1101324</v>
      </c>
      <c r="Q46" s="22">
        <f t="shared" si="18"/>
        <v>132348.40758081837</v>
      </c>
      <c r="R46" s="13">
        <f t="shared" si="19"/>
        <v>132348.40758081837</v>
      </c>
      <c r="S46" s="30"/>
      <c r="T46" s="32"/>
      <c r="W46" s="18">
        <f t="shared" si="10"/>
        <v>0.37247839347715361</v>
      </c>
    </row>
    <row r="47" spans="1:23" ht="15">
      <c r="A47" s="18" t="s">
        <v>454</v>
      </c>
      <c r="B47" s="4">
        <f>Speeds!U46</f>
        <v>72.542200404561456</v>
      </c>
      <c r="C47" s="4">
        <f>Speeds!V46</f>
        <v>85.183417252245661</v>
      </c>
      <c r="D47" s="16">
        <f t="shared" si="1"/>
        <v>14197.236208707609</v>
      </c>
      <c r="E47" s="34">
        <f>'Interval Circuities'!B47</f>
        <v>1.4529772069649314</v>
      </c>
      <c r="F47" s="4">
        <f t="shared" si="11"/>
        <v>49.926592142551286</v>
      </c>
      <c r="G47" s="4">
        <f t="shared" si="12"/>
        <v>8.3210986904252131</v>
      </c>
      <c r="H47" s="4">
        <f t="shared" si="13"/>
        <v>217.52602234860197</v>
      </c>
      <c r="I47" s="4">
        <f t="shared" si="14"/>
        <v>2419.4675820015173</v>
      </c>
      <c r="J47" s="16">
        <v>1356.1710949999999</v>
      </c>
      <c r="K47" s="31">
        <v>3281212</v>
      </c>
      <c r="L47" s="22">
        <f t="shared" si="15"/>
        <v>526297.15931418003</v>
      </c>
      <c r="M47" s="22">
        <f t="shared" si="16"/>
        <v>526297.15931418003</v>
      </c>
      <c r="N47" s="19" t="s">
        <v>91</v>
      </c>
      <c r="O47" s="4">
        <f t="shared" si="17"/>
        <v>1303.5176804148005</v>
      </c>
      <c r="P47" s="144">
        <v>1767793</v>
      </c>
      <c r="Q47" s="22">
        <f t="shared" si="18"/>
        <v>283549.01608170767</v>
      </c>
      <c r="R47" s="13">
        <f t="shared" si="19"/>
        <v>283549.01608170767</v>
      </c>
      <c r="S47" s="30"/>
      <c r="T47" s="32"/>
      <c r="W47" s="18">
        <f t="shared" si="10"/>
        <v>0.53876220128415964</v>
      </c>
    </row>
    <row r="48" spans="1:23" ht="15">
      <c r="A48" s="18" t="s">
        <v>455</v>
      </c>
      <c r="B48" s="4">
        <f>Speeds!U47</f>
        <v>67.913980035971221</v>
      </c>
      <c r="C48" s="4">
        <f>Speeds!V47</f>
        <v>78.194542652624932</v>
      </c>
      <c r="D48" s="16">
        <f t="shared" si="1"/>
        <v>13032.423775437488</v>
      </c>
      <c r="E48" s="34">
        <f>'Interval Circuities'!B48</f>
        <v>1.3990667972183513</v>
      </c>
      <c r="F48" s="4">
        <f t="shared" si="11"/>
        <v>48.542342775197703</v>
      </c>
      <c r="G48" s="4">
        <f t="shared" si="12"/>
        <v>8.0903904625329499</v>
      </c>
      <c r="H48" s="4">
        <f t="shared" si="13"/>
        <v>205.63111821934123</v>
      </c>
      <c r="I48" s="4">
        <f t="shared" si="14"/>
        <v>2247.211920874815</v>
      </c>
      <c r="J48" s="16">
        <v>740.69382800000005</v>
      </c>
      <c r="K48" s="31">
        <v>1664496</v>
      </c>
      <c r="L48" s="22">
        <f t="shared" si="15"/>
        <v>462096.70016532199</v>
      </c>
      <c r="M48" s="22">
        <f t="shared" si="16"/>
        <v>462096.70016532199</v>
      </c>
      <c r="N48" s="19" t="s">
        <v>91</v>
      </c>
      <c r="O48" s="4">
        <f t="shared" si="17"/>
        <v>1157.0664795656971</v>
      </c>
      <c r="P48" s="144">
        <v>857032</v>
      </c>
      <c r="Q48" s="22">
        <f t="shared" si="18"/>
        <v>237928.87404721085</v>
      </c>
      <c r="R48" s="13">
        <f t="shared" si="19"/>
        <v>237928.87404721085</v>
      </c>
      <c r="S48" s="30"/>
      <c r="T48" s="32"/>
      <c r="W48" s="18">
        <f t="shared" si="10"/>
        <v>0.51488979246570743</v>
      </c>
    </row>
    <row r="49" spans="1:23" ht="15">
      <c r="A49" s="18" t="s">
        <v>456</v>
      </c>
      <c r="B49" s="4">
        <f>Speeds!U48</f>
        <v>59.237163329958236</v>
      </c>
      <c r="C49" s="4">
        <f>Speeds!V48</f>
        <v>69.529876568500782</v>
      </c>
      <c r="D49" s="16">
        <f t="shared" si="1"/>
        <v>11588.312761416797</v>
      </c>
      <c r="E49" s="34">
        <f>'Interval Circuities'!B49</f>
        <v>1.4725838457083096</v>
      </c>
      <c r="F49" s="4">
        <f t="shared" si="11"/>
        <v>40.226682849060651</v>
      </c>
      <c r="G49" s="4">
        <f t="shared" si="12"/>
        <v>6.7044471415101086</v>
      </c>
      <c r="H49" s="4">
        <f t="shared" si="13"/>
        <v>141.21336918624439</v>
      </c>
      <c r="I49" s="4">
        <f t="shared" si="14"/>
        <v>1169.1810890127867</v>
      </c>
      <c r="J49" s="16">
        <v>2616.6973010000002</v>
      </c>
      <c r="K49" s="31">
        <v>3059393</v>
      </c>
      <c r="L49" s="22">
        <f t="shared" si="15"/>
        <v>165104.00076833792</v>
      </c>
      <c r="M49" s="22">
        <f t="shared" si="16"/>
        <v>165104.00076833792</v>
      </c>
      <c r="N49" s="19" t="s">
        <v>91</v>
      </c>
      <c r="O49" s="4">
        <f t="shared" si="17"/>
        <v>548.69319406998534</v>
      </c>
      <c r="P49" s="144">
        <v>1435764</v>
      </c>
      <c r="Q49" s="22">
        <f t="shared" si="18"/>
        <v>77482.814584184482</v>
      </c>
      <c r="R49" s="13">
        <f t="shared" si="19"/>
        <v>77482.814584184482</v>
      </c>
      <c r="S49" s="30"/>
      <c r="T49" s="32"/>
      <c r="W49" s="18">
        <f t="shared" si="10"/>
        <v>0.46929701414627017</v>
      </c>
    </row>
    <row r="50" spans="1:23" ht="15">
      <c r="A50" s="18" t="s">
        <v>457</v>
      </c>
      <c r="B50" s="4">
        <f>Speeds!U49</f>
        <v>59.396208684850201</v>
      </c>
      <c r="C50" s="4">
        <f>Speeds!V49</f>
        <v>72.013674499161084</v>
      </c>
      <c r="D50" s="16">
        <f t="shared" si="1"/>
        <v>12002.279083193514</v>
      </c>
      <c r="E50" s="34">
        <f>'Interval Circuities'!B50</f>
        <v>1.336871859668785</v>
      </c>
      <c r="F50" s="4">
        <f t="shared" si="11"/>
        <v>44.429245970938332</v>
      </c>
      <c r="G50" s="4">
        <f t="shared" si="12"/>
        <v>7.404874328489722</v>
      </c>
      <c r="H50" s="4">
        <f t="shared" si="13"/>
        <v>172.26032303962518</v>
      </c>
      <c r="I50" s="4">
        <f t="shared" si="14"/>
        <v>1715.2084870415904</v>
      </c>
      <c r="J50" s="16">
        <v>3207.994271</v>
      </c>
      <c r="K50" s="31">
        <v>5502379</v>
      </c>
      <c r="L50" s="22">
        <f t="shared" si="15"/>
        <v>295462.36805809109</v>
      </c>
      <c r="M50" s="22">
        <f t="shared" si="16"/>
        <v>295462.36805809109</v>
      </c>
      <c r="N50" s="19" t="s">
        <v>91</v>
      </c>
      <c r="O50" s="4">
        <f t="shared" si="17"/>
        <v>567.61603861355525</v>
      </c>
      <c r="P50" s="144">
        <v>1820909</v>
      </c>
      <c r="Q50" s="22">
        <f t="shared" si="18"/>
        <v>97777.722174043389</v>
      </c>
      <c r="R50" s="13">
        <f t="shared" si="19"/>
        <v>97777.722174043389</v>
      </c>
      <c r="S50" s="30"/>
      <c r="T50" s="32"/>
      <c r="W50" s="18">
        <f t="shared" si="10"/>
        <v>0.33093122084102172</v>
      </c>
    </row>
    <row r="51" spans="1:23" ht="15">
      <c r="A51" s="18" t="s">
        <v>458</v>
      </c>
      <c r="B51" s="4">
        <f>Speeds!U50</f>
        <v>55.946693712217225</v>
      </c>
      <c r="C51" s="4">
        <f>Speeds!V50</f>
        <v>67.155256306515241</v>
      </c>
      <c r="D51" s="16">
        <f t="shared" si="1"/>
        <v>11192.54271775254</v>
      </c>
      <c r="E51" s="34">
        <f>'Interval Circuities'!B51</f>
        <v>1.443560196227148</v>
      </c>
      <c r="F51" s="4">
        <f t="shared" si="11"/>
        <v>38.756051779785885</v>
      </c>
      <c r="G51" s="4">
        <f t="shared" si="12"/>
        <v>6.4593419632976472</v>
      </c>
      <c r="H51" s="4">
        <f t="shared" si="13"/>
        <v>131.07698004304893</v>
      </c>
      <c r="I51" s="4">
        <f t="shared" si="14"/>
        <v>899.04720299169355</v>
      </c>
      <c r="J51" s="16">
        <v>2392.2058740000002</v>
      </c>
      <c r="K51" s="31">
        <v>2150706</v>
      </c>
      <c r="L51" s="22">
        <f t="shared" si="15"/>
        <v>117844.39228430118</v>
      </c>
      <c r="M51" s="22">
        <f t="shared" si="16"/>
        <v>117844.39228430118</v>
      </c>
      <c r="N51" s="19" t="s">
        <v>91</v>
      </c>
      <c r="O51" s="4">
        <f t="shared" si="17"/>
        <v>488.93826936569087</v>
      </c>
      <c r="P51" s="144">
        <v>1169641</v>
      </c>
      <c r="Q51" s="22">
        <f t="shared" si="18"/>
        <v>64088.551775929547</v>
      </c>
      <c r="R51" s="13">
        <f t="shared" si="19"/>
        <v>64088.551775929547</v>
      </c>
      <c r="S51" s="30"/>
      <c r="T51" s="32"/>
      <c r="W51" s="18">
        <f t="shared" si="10"/>
        <v>0.5438404877282158</v>
      </c>
    </row>
    <row r="52" spans="1:23" ht="15">
      <c r="A52" s="18" t="s">
        <v>459</v>
      </c>
      <c r="B52" s="4">
        <f>Speeds!U51</f>
        <v>65.037009428922346</v>
      </c>
      <c r="C52" s="4">
        <f>Speeds!V51</f>
        <v>76.223831707390744</v>
      </c>
      <c r="D52" s="16">
        <f t="shared" si="1"/>
        <v>12703.97195123179</v>
      </c>
      <c r="E52" s="34">
        <f>'Interval Circuities'!B52</f>
        <v>1.3634427948695305</v>
      </c>
      <c r="F52" s="4">
        <f t="shared" si="11"/>
        <v>47.700578032058779</v>
      </c>
      <c r="G52" s="4">
        <f t="shared" si="12"/>
        <v>7.9500963386764631</v>
      </c>
      <c r="H52" s="4">
        <f t="shared" si="13"/>
        <v>198.56132196203038</v>
      </c>
      <c r="I52" s="4">
        <f t="shared" si="14"/>
        <v>985.14575645956916</v>
      </c>
      <c r="J52" s="16">
        <v>2478.5875430000001</v>
      </c>
      <c r="K52" s="31">
        <v>2441770</v>
      </c>
      <c r="L52" s="22">
        <f t="shared" si="15"/>
        <v>195611.84372789648</v>
      </c>
      <c r="M52" s="22">
        <f t="shared" si="16"/>
        <v>195611.84372789648</v>
      </c>
      <c r="N52" s="19" t="s">
        <v>91</v>
      </c>
      <c r="O52" s="4">
        <f t="shared" si="17"/>
        <v>376.11380829892278</v>
      </c>
      <c r="P52" s="144">
        <v>932231</v>
      </c>
      <c r="Q52" s="22">
        <f t="shared" si="18"/>
        <v>74681.654984007779</v>
      </c>
      <c r="R52" s="13">
        <f t="shared" si="19"/>
        <v>74681.654984007779</v>
      </c>
      <c r="S52" s="30"/>
      <c r="T52" s="32"/>
      <c r="W52" s="18">
        <f t="shared" si="10"/>
        <v>0.38178493469900932</v>
      </c>
    </row>
    <row r="53" spans="1:23" ht="15">
      <c r="A53" s="18" t="s">
        <v>460</v>
      </c>
      <c r="B53" s="4">
        <f>Speeds!U52</f>
        <v>60.647730141730513</v>
      </c>
      <c r="C53" s="4">
        <f>Speeds!V52</f>
        <v>74.545005322142316</v>
      </c>
      <c r="D53" s="16">
        <f t="shared" si="1"/>
        <v>12424.167553690384</v>
      </c>
      <c r="E53" s="34">
        <f>'Interval Circuities'!B53</f>
        <v>1.4280755763678319</v>
      </c>
      <c r="F53" s="4">
        <f t="shared" si="11"/>
        <v>42.468151647815432</v>
      </c>
      <c r="G53" s="4">
        <f t="shared" si="12"/>
        <v>7.0780252746359054</v>
      </c>
      <c r="H53" s="4">
        <f t="shared" si="13"/>
        <v>157.38889667868523</v>
      </c>
      <c r="I53" s="4">
        <f t="shared" si="14"/>
        <v>1339.8831695910785</v>
      </c>
      <c r="J53" s="16">
        <v>3423.2611499999998</v>
      </c>
      <c r="K53" s="31">
        <v>4586770</v>
      </c>
      <c r="L53" s="22">
        <f t="shared" si="15"/>
        <v>210882.73374027954</v>
      </c>
      <c r="M53" s="22">
        <f t="shared" si="16"/>
        <v>210882.73374027954</v>
      </c>
      <c r="N53" s="19" t="s">
        <v>91</v>
      </c>
      <c r="O53" s="4">
        <f t="shared" si="17"/>
        <v>692.47740564578316</v>
      </c>
      <c r="P53" s="144">
        <v>2370531</v>
      </c>
      <c r="Q53" s="22">
        <f t="shared" si="18"/>
        <v>108988.25484950817</v>
      </c>
      <c r="R53" s="13">
        <f t="shared" si="19"/>
        <v>108988.25484950817</v>
      </c>
      <c r="S53" s="30"/>
      <c r="T53" s="32"/>
      <c r="W53" s="18">
        <f t="shared" si="10"/>
        <v>0.51681924317112038</v>
      </c>
    </row>
    <row r="54" spans="1:23">
      <c r="A54" s="18"/>
      <c r="B54" s="4"/>
      <c r="C54" s="11"/>
      <c r="E54" s="2"/>
      <c r="F54" s="4"/>
      <c r="G54" s="4"/>
      <c r="H54" s="4"/>
      <c r="I54" s="4"/>
      <c r="J54" s="16"/>
      <c r="K54" s="13"/>
      <c r="L54" s="22"/>
      <c r="M54" s="22"/>
      <c r="N54" s="19"/>
      <c r="O54" s="4"/>
      <c r="P54" s="13"/>
      <c r="Q54" s="22"/>
      <c r="R54" s="13"/>
    </row>
    <row r="55" spans="1:23">
      <c r="A55" s="18"/>
      <c r="B55" s="4">
        <f>AVERAGE(B3:B53)</f>
        <v>64.657313301807491</v>
      </c>
      <c r="C55" s="4">
        <f>AVERAGE(C3:C53)</f>
        <v>75.397883800389593</v>
      </c>
      <c r="D55" s="4">
        <f t="shared" ref="D55:K55" si="20">AVERAGE(D3:D53)</f>
        <v>12566.313966731597</v>
      </c>
      <c r="E55" s="4">
        <f t="shared" si="20"/>
        <v>1.3744978068284666</v>
      </c>
      <c r="F55" s="4">
        <f t="shared" si="20"/>
        <v>47.095392161016569</v>
      </c>
      <c r="G55" s="4">
        <f t="shared" si="20"/>
        <v>7.8492320268360967</v>
      </c>
      <c r="H55" s="4">
        <f t="shared" si="20"/>
        <v>194.54800809912666</v>
      </c>
      <c r="I55" s="4">
        <f t="shared" si="20"/>
        <v>1162.2971473965979</v>
      </c>
      <c r="J55" s="4">
        <f t="shared" si="20"/>
        <v>2286.8543174509809</v>
      </c>
      <c r="K55" s="4">
        <f t="shared" si="20"/>
        <v>2784957.3529411764</v>
      </c>
      <c r="L55" s="22"/>
      <c r="M55" s="22"/>
      <c r="N55" s="18"/>
      <c r="O55" s="18"/>
      <c r="P55" s="18"/>
      <c r="Q55" s="22"/>
      <c r="R55" s="18"/>
    </row>
    <row r="56" spans="1:23">
      <c r="A56" s="18" t="s">
        <v>73</v>
      </c>
      <c r="B56" s="18"/>
      <c r="C56" s="18"/>
      <c r="E56" s="18"/>
      <c r="F56" s="18"/>
      <c r="G56" s="18"/>
      <c r="H56" s="18"/>
      <c r="I56" s="18"/>
      <c r="J56" s="9"/>
      <c r="K56" s="13"/>
      <c r="L56" s="22"/>
      <c r="M56" s="22"/>
      <c r="N56" s="18"/>
      <c r="O56" s="18"/>
      <c r="P56" s="18"/>
      <c r="Q56" s="22"/>
      <c r="R56" s="18"/>
    </row>
    <row r="57" spans="1:23" ht="16">
      <c r="A57" s="18" t="s">
        <v>157</v>
      </c>
      <c r="B57" s="18"/>
      <c r="C57" s="18"/>
      <c r="E57" s="18"/>
      <c r="F57" s="18"/>
      <c r="G57" s="18"/>
      <c r="H57" s="18"/>
      <c r="I57" s="18"/>
      <c r="J57" s="9"/>
      <c r="K57" s="13"/>
      <c r="L57" s="22"/>
      <c r="M57" s="22"/>
      <c r="N57" s="18"/>
      <c r="O57" s="18"/>
      <c r="P57" s="18"/>
      <c r="Q57" s="22"/>
      <c r="R57" s="18"/>
    </row>
    <row r="58" spans="1:23" ht="16">
      <c r="A58" s="18" t="s">
        <v>115</v>
      </c>
      <c r="B58" s="18"/>
      <c r="C58" s="18"/>
      <c r="E58" s="18"/>
      <c r="F58" s="18"/>
      <c r="G58" s="18"/>
      <c r="H58" s="18"/>
      <c r="I58" s="18"/>
      <c r="J58" s="9"/>
      <c r="K58" s="13"/>
      <c r="L58" s="22"/>
      <c r="M58" s="22"/>
      <c r="N58" s="18"/>
      <c r="O58" s="18"/>
      <c r="P58" s="18"/>
      <c r="Q58" s="22"/>
      <c r="R58" s="18"/>
    </row>
    <row r="59" spans="1:23" ht="16">
      <c r="A59" s="18" t="s">
        <v>154</v>
      </c>
      <c r="B59" s="18"/>
      <c r="C59" s="18"/>
      <c r="E59" s="18"/>
      <c r="F59" s="18"/>
      <c r="G59" s="18"/>
      <c r="H59" s="18"/>
      <c r="I59" s="18"/>
      <c r="J59" s="10"/>
      <c r="K59" s="13"/>
      <c r="L59" s="22"/>
      <c r="M59" s="22"/>
      <c r="N59" s="18"/>
      <c r="O59" s="18"/>
      <c r="P59" s="18"/>
      <c r="Q59" s="22"/>
      <c r="R59" s="18"/>
    </row>
    <row r="60" spans="1:23">
      <c r="A60" s="18"/>
      <c r="B60" s="18"/>
      <c r="C60" s="18"/>
      <c r="E60" s="18"/>
      <c r="F60" s="18"/>
      <c r="G60" s="18"/>
      <c r="H60" s="18"/>
      <c r="I60" s="18"/>
      <c r="J60" s="10"/>
      <c r="K60" s="13"/>
      <c r="L60" s="22"/>
      <c r="M60" s="22"/>
      <c r="N60" s="18"/>
      <c r="O60" s="18"/>
      <c r="P60" s="18"/>
      <c r="Q60" s="22"/>
      <c r="R60" s="18"/>
    </row>
    <row r="61" spans="1:23">
      <c r="A61" s="18" t="s">
        <v>94</v>
      </c>
      <c r="B61" s="18"/>
      <c r="C61" s="18"/>
      <c r="E61" s="18"/>
      <c r="F61" s="18"/>
      <c r="G61" s="18"/>
      <c r="H61" s="18"/>
      <c r="I61" s="18"/>
      <c r="J61" s="10"/>
      <c r="K61" s="13"/>
      <c r="L61" s="22"/>
      <c r="M61" s="22"/>
      <c r="N61" s="18"/>
      <c r="O61" s="18"/>
      <c r="P61" s="18"/>
      <c r="Q61" s="22"/>
      <c r="R61" s="18"/>
    </row>
    <row r="62" spans="1:23">
      <c r="A62" s="18"/>
      <c r="B62" s="18"/>
      <c r="C62" s="18"/>
      <c r="E62" s="18"/>
      <c r="F62" s="18"/>
      <c r="G62" s="18"/>
      <c r="H62" s="18"/>
      <c r="I62" s="18"/>
      <c r="J62" s="10"/>
      <c r="K62" s="13"/>
      <c r="L62" s="22"/>
      <c r="M62" s="22"/>
      <c r="N62" s="18"/>
      <c r="O62" s="18"/>
      <c r="P62" s="18"/>
      <c r="Q62" s="22"/>
      <c r="R62" s="18"/>
    </row>
    <row r="63" spans="1:23">
      <c r="A63" s="18" t="s">
        <v>155</v>
      </c>
      <c r="B63" s="18"/>
      <c r="C63" s="18"/>
      <c r="E63" s="18"/>
      <c r="F63" s="18"/>
      <c r="G63" s="18"/>
      <c r="H63" s="18"/>
      <c r="I63" s="18"/>
      <c r="J63" s="9"/>
      <c r="K63" s="13"/>
      <c r="L63" s="22"/>
      <c r="M63" s="22"/>
      <c r="N63" s="18"/>
      <c r="O63" s="18"/>
      <c r="P63" s="18"/>
      <c r="Q63" s="22"/>
      <c r="R63" s="18"/>
    </row>
    <row r="64" spans="1:23">
      <c r="A64" s="18" t="s">
        <v>156</v>
      </c>
      <c r="B64" s="18"/>
      <c r="C64" s="18"/>
      <c r="E64" s="18"/>
      <c r="F64" s="18"/>
      <c r="G64" s="18"/>
      <c r="H64" s="18"/>
      <c r="I64" s="18"/>
      <c r="J64" s="10"/>
      <c r="K64" s="13"/>
      <c r="L64" s="22"/>
      <c r="M64" s="22"/>
      <c r="N64" s="18"/>
      <c r="O64" s="18"/>
      <c r="P64" s="18"/>
      <c r="Q64" s="22"/>
      <c r="R64" s="18"/>
    </row>
    <row r="65" spans="1:18">
      <c r="A65" s="18" t="s">
        <v>408</v>
      </c>
      <c r="B65" s="18"/>
      <c r="C65" s="18"/>
      <c r="E65" s="18"/>
      <c r="F65" s="18"/>
      <c r="G65" s="18"/>
      <c r="H65" s="18"/>
      <c r="I65" s="18"/>
      <c r="J65" s="10"/>
      <c r="K65" s="13" t="s">
        <v>444</v>
      </c>
      <c r="L65" s="22"/>
      <c r="M65" s="22"/>
      <c r="N65" s="18"/>
      <c r="O65" s="18" t="s">
        <v>445</v>
      </c>
      <c r="P65" s="18"/>
      <c r="Q65" s="22"/>
      <c r="R65" s="18"/>
    </row>
    <row r="66" spans="1:18">
      <c r="A66" t="s">
        <v>407</v>
      </c>
    </row>
    <row r="68" spans="1:18">
      <c r="A68" t="s">
        <v>461</v>
      </c>
    </row>
  </sheetData>
  <sortState ref="A3:Q53">
    <sortCondition ref="A3:A53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opLeftCell="H1" workbookViewId="0">
      <selection activeCell="W1" sqref="W1:W53"/>
    </sheetView>
  </sheetViews>
  <sheetFormatPr baseColWidth="10" defaultColWidth="11.5" defaultRowHeight="14" x14ac:dyDescent="0"/>
  <cols>
    <col min="4" max="4" width="11.5" style="18"/>
  </cols>
  <sheetData>
    <row r="1" spans="1:23" ht="56">
      <c r="A1" s="18">
        <f>2/6</f>
        <v>0.33333333333333331</v>
      </c>
      <c r="B1" s="1" t="s">
        <v>59</v>
      </c>
      <c r="C1" s="1" t="s">
        <v>60</v>
      </c>
      <c r="D1" s="1" t="s">
        <v>159</v>
      </c>
      <c r="E1" s="7" t="s">
        <v>160</v>
      </c>
      <c r="F1" s="1" t="s">
        <v>21</v>
      </c>
      <c r="G1" s="1" t="s">
        <v>20</v>
      </c>
      <c r="H1" s="1" t="s">
        <v>129</v>
      </c>
      <c r="I1" s="1" t="s">
        <v>25</v>
      </c>
      <c r="J1" s="8" t="s">
        <v>83</v>
      </c>
      <c r="K1" s="23" t="s">
        <v>78</v>
      </c>
      <c r="L1" s="21" t="s">
        <v>76</v>
      </c>
      <c r="M1" s="27" t="s">
        <v>103</v>
      </c>
      <c r="N1" s="19" t="s">
        <v>91</v>
      </c>
      <c r="O1" s="1" t="s">
        <v>89</v>
      </c>
      <c r="P1" s="1" t="s">
        <v>87</v>
      </c>
      <c r="Q1" s="21" t="s">
        <v>88</v>
      </c>
      <c r="R1" s="18" t="s">
        <v>102</v>
      </c>
      <c r="W1" s="18" t="s">
        <v>579</v>
      </c>
    </row>
    <row r="2" spans="1:23" ht="16">
      <c r="A2" s="18" t="s">
        <v>16</v>
      </c>
      <c r="B2" s="18" t="s">
        <v>18</v>
      </c>
      <c r="C2" s="18" t="s">
        <v>120</v>
      </c>
      <c r="E2" s="18" t="s">
        <v>114</v>
      </c>
      <c r="F2" s="18" t="s">
        <v>17</v>
      </c>
      <c r="G2" s="18" t="s">
        <v>19</v>
      </c>
      <c r="H2" s="18" t="s">
        <v>130</v>
      </c>
      <c r="I2" s="18" t="s">
        <v>24</v>
      </c>
      <c r="J2" s="9" t="s">
        <v>16</v>
      </c>
      <c r="K2" s="13" t="s">
        <v>121</v>
      </c>
      <c r="L2" s="22" t="s">
        <v>127</v>
      </c>
      <c r="M2" s="22" t="s">
        <v>122</v>
      </c>
      <c r="N2" s="19" t="s">
        <v>91</v>
      </c>
      <c r="O2" s="18" t="s">
        <v>123</v>
      </c>
      <c r="P2" s="18" t="s">
        <v>124</v>
      </c>
      <c r="Q2" s="22" t="s">
        <v>126</v>
      </c>
      <c r="R2" s="18" t="s">
        <v>125</v>
      </c>
      <c r="W2" s="18" t="s">
        <v>580</v>
      </c>
    </row>
    <row r="3" spans="1:23">
      <c r="A3" s="18" t="s">
        <v>26</v>
      </c>
      <c r="B3" s="4">
        <f>'2010-10'!B3</f>
        <v>66.682397163757059</v>
      </c>
      <c r="C3" s="4">
        <f>'2010-10'!C3</f>
        <v>79.773749080561657</v>
      </c>
      <c r="D3" s="16">
        <f>C3*$A$1*1000</f>
        <v>26591.249693520553</v>
      </c>
      <c r="E3" s="4">
        <f>'Interval Circuities'!C3</f>
        <v>1.3087124907830403</v>
      </c>
      <c r="F3" s="4">
        <f t="shared" ref="F3:F34" si="0">B3/E3</f>
        <v>50.95267114311644</v>
      </c>
      <c r="G3" s="4">
        <f t="shared" ref="G3:G34" si="1">F3*$A$1</f>
        <v>16.984223714372146</v>
      </c>
      <c r="H3" s="4">
        <f t="shared" ref="H3:H34" si="2">PI()*G3^2</f>
        <v>906.23592825917899</v>
      </c>
      <c r="I3" s="4">
        <f>K3/J3</f>
        <v>659.04777089359266</v>
      </c>
      <c r="J3" s="33">
        <f>'2010-10'!J3</f>
        <v>6851.4289849999996</v>
      </c>
      <c r="K3" s="33">
        <f>'2010-10'!K3</f>
        <v>4515419</v>
      </c>
      <c r="L3" s="22">
        <f t="shared" ref="L3:L34" si="3">H3*I3</f>
        <v>597252.76842289767</v>
      </c>
      <c r="M3" s="22">
        <f t="shared" ref="M3:M34" si="4">MIN(K3,L3)</f>
        <v>597252.76842289767</v>
      </c>
      <c r="N3" s="19" t="s">
        <v>91</v>
      </c>
      <c r="O3" s="4">
        <f t="shared" ref="O3:O34" si="5">P3/J3</f>
        <v>292.35463206074525</v>
      </c>
      <c r="P3" s="13">
        <f>'2010-10'!P3</f>
        <v>2003047</v>
      </c>
      <c r="Q3" s="22">
        <f t="shared" ref="Q3:Q34" si="6">H3*O3</f>
        <v>264942.27136644023</v>
      </c>
      <c r="R3" s="13">
        <f t="shared" ref="R3:R34" si="7">MIN(Q3,P3)</f>
        <v>264942.27136644023</v>
      </c>
      <c r="W3" s="18">
        <f>Q3/L3</f>
        <v>0.44360157938831379</v>
      </c>
    </row>
    <row r="4" spans="1:23">
      <c r="A4" s="18" t="s">
        <v>27</v>
      </c>
      <c r="B4" s="4">
        <f>'2010-10'!B4</f>
        <v>67.132189228567199</v>
      </c>
      <c r="C4" s="4">
        <f>'2010-10'!C4</f>
        <v>79.519027593680846</v>
      </c>
      <c r="D4" s="16">
        <f t="shared" ref="D4:D53" si="8">C4*$A$1*1000</f>
        <v>26506.34253122695</v>
      </c>
      <c r="E4" s="4">
        <f>'Interval Circuities'!C4</f>
        <v>1.3723222910878397</v>
      </c>
      <c r="F4" s="4">
        <f t="shared" si="0"/>
        <v>48.918675783770531</v>
      </c>
      <c r="G4" s="4">
        <f t="shared" si="1"/>
        <v>16.306225261256841</v>
      </c>
      <c r="H4" s="4">
        <f t="shared" si="2"/>
        <v>835.32743974318578</v>
      </c>
      <c r="I4" s="4">
        <f t="shared" ref="I4:I53" si="9">K4/J4</f>
        <v>1005.7320851324054</v>
      </c>
      <c r="J4" s="33">
        <f>'2010-10'!J4</f>
        <v>1354.6510249999999</v>
      </c>
      <c r="K4" s="33">
        <f>'2010-10'!K4</f>
        <v>1362416</v>
      </c>
      <c r="L4" s="22">
        <f t="shared" si="3"/>
        <v>840115.60774122796</v>
      </c>
      <c r="M4" s="22">
        <f t="shared" si="4"/>
        <v>840115.60774122796</v>
      </c>
      <c r="N4" s="19" t="s">
        <v>91</v>
      </c>
      <c r="O4" s="4">
        <f t="shared" si="5"/>
        <v>472.86200517952591</v>
      </c>
      <c r="P4" s="13">
        <f>'2010-10'!P4</f>
        <v>640563</v>
      </c>
      <c r="Q4" s="22">
        <f t="shared" si="6"/>
        <v>394994.60813844245</v>
      </c>
      <c r="R4" s="13">
        <f t="shared" si="7"/>
        <v>394994.60813844245</v>
      </c>
      <c r="W4" s="18">
        <f t="shared" ref="W4:W53" si="10">Q4/L4</f>
        <v>0.47016696809197778</v>
      </c>
    </row>
    <row r="5" spans="1:23" ht="16">
      <c r="A5" s="18" t="s">
        <v>117</v>
      </c>
      <c r="B5" s="4">
        <f>'2010-10'!B5</f>
        <v>64.331330728262358</v>
      </c>
      <c r="C5" s="4">
        <f>'2010-10'!C5</f>
        <v>77.152319954484682</v>
      </c>
      <c r="D5" s="16">
        <f t="shared" si="8"/>
        <v>25717.439984828226</v>
      </c>
      <c r="E5" s="4">
        <f>'Interval Circuities'!C5</f>
        <v>1.3092658889264803</v>
      </c>
      <c r="F5" s="4">
        <f t="shared" si="0"/>
        <v>49.135421057223297</v>
      </c>
      <c r="G5" s="4">
        <f t="shared" si="1"/>
        <v>16.378473685741099</v>
      </c>
      <c r="H5" s="4">
        <f t="shared" si="2"/>
        <v>842.7460531955478</v>
      </c>
      <c r="I5" s="4">
        <f t="shared" si="9"/>
        <v>1186.6066340855928</v>
      </c>
      <c r="J5" s="33">
        <f>'2010-10'!J5</f>
        <v>1857.1133319999999</v>
      </c>
      <c r="K5" s="33">
        <f>'2010-10'!K5</f>
        <v>2203663</v>
      </c>
      <c r="L5" s="22">
        <f t="shared" si="3"/>
        <v>1000008.0575712869</v>
      </c>
      <c r="M5" s="22">
        <f t="shared" si="4"/>
        <v>1000008.0575712869</v>
      </c>
      <c r="N5" s="19" t="s">
        <v>91</v>
      </c>
      <c r="O5" s="4">
        <f t="shared" si="5"/>
        <v>570.56830175187179</v>
      </c>
      <c r="P5" s="13">
        <f>'2010-10'!P5</f>
        <v>1059610</v>
      </c>
      <c r="Q5" s="22">
        <f t="shared" si="6"/>
        <v>480844.1843798763</v>
      </c>
      <c r="R5" s="13">
        <f t="shared" si="7"/>
        <v>480844.1843798763</v>
      </c>
      <c r="W5" s="18">
        <f t="shared" si="10"/>
        <v>0.48084030997480104</v>
      </c>
    </row>
    <row r="6" spans="1:23">
      <c r="A6" s="18" t="s">
        <v>29</v>
      </c>
      <c r="B6" s="4">
        <f>'2010-10'!B6</f>
        <v>59.083844176305647</v>
      </c>
      <c r="C6" s="4">
        <f>'2010-10'!C6</f>
        <v>71.201949648545863</v>
      </c>
      <c r="D6" s="16">
        <f t="shared" si="8"/>
        <v>23733.983216181954</v>
      </c>
      <c r="E6" s="4">
        <f>'Interval Circuities'!C6</f>
        <v>1.2579493722607327</v>
      </c>
      <c r="F6" s="4">
        <f t="shared" si="0"/>
        <v>46.968380031163491</v>
      </c>
      <c r="G6" s="4">
        <f t="shared" si="1"/>
        <v>15.656126677054496</v>
      </c>
      <c r="H6" s="4">
        <f t="shared" si="2"/>
        <v>770.04929211168007</v>
      </c>
      <c r="I6" s="4">
        <f t="shared" si="9"/>
        <v>861.67001828332229</v>
      </c>
      <c r="J6" s="33">
        <f>'2010-10'!J6</f>
        <v>4852.2275479999998</v>
      </c>
      <c r="K6" s="33">
        <f>'2010-10'!K6</f>
        <v>4181019</v>
      </c>
      <c r="L6" s="22">
        <f t="shared" si="3"/>
        <v>663528.38761293073</v>
      </c>
      <c r="M6" s="22">
        <f t="shared" si="4"/>
        <v>663528.38761293073</v>
      </c>
      <c r="N6" s="19" t="s">
        <v>91</v>
      </c>
      <c r="O6" s="4">
        <f t="shared" si="5"/>
        <v>598.22977617701781</v>
      </c>
      <c r="P6" s="13">
        <f>'2010-10'!P6</f>
        <v>2902747</v>
      </c>
      <c r="Q6" s="22">
        <f t="shared" si="6"/>
        <v>460666.41566524137</v>
      </c>
      <c r="R6" s="13">
        <f t="shared" si="7"/>
        <v>460666.41566524137</v>
      </c>
      <c r="W6" s="18">
        <f t="shared" si="10"/>
        <v>0.6942678327938715</v>
      </c>
    </row>
    <row r="7" spans="1:23">
      <c r="A7" s="18" t="s">
        <v>30</v>
      </c>
      <c r="B7" s="4">
        <f>'2010-10'!B7</f>
        <v>61.52546201403905</v>
      </c>
      <c r="C7" s="4">
        <f>'2010-10'!C7</f>
        <v>70.650556777808134</v>
      </c>
      <c r="D7" s="16">
        <f t="shared" si="8"/>
        <v>23550.185592602709</v>
      </c>
      <c r="E7" s="4">
        <f>'Interval Circuities'!C7</f>
        <v>1.2242186729132589</v>
      </c>
      <c r="F7" s="4">
        <f t="shared" si="0"/>
        <v>50.256921721041572</v>
      </c>
      <c r="G7" s="4">
        <f t="shared" si="1"/>
        <v>16.752307240347189</v>
      </c>
      <c r="H7" s="4">
        <f t="shared" si="2"/>
        <v>881.65592730898948</v>
      </c>
      <c r="I7" s="4">
        <f t="shared" si="9"/>
        <v>951.10925507842603</v>
      </c>
      <c r="J7" s="33">
        <f>'2010-10'!J7</f>
        <v>984.01523799999995</v>
      </c>
      <c r="K7" s="33">
        <f>'2010-10'!K7</f>
        <v>935906</v>
      </c>
      <c r="L7" s="22">
        <f t="shared" si="3"/>
        <v>838551.11225833197</v>
      </c>
      <c r="M7" s="22">
        <f t="shared" si="4"/>
        <v>838551.11225833197</v>
      </c>
      <c r="N7" s="19" t="s">
        <v>91</v>
      </c>
      <c r="O7" s="4">
        <f t="shared" si="5"/>
        <v>463.10664957405874</v>
      </c>
      <c r="P7" s="13">
        <f>'2010-10'!P7</f>
        <v>455704</v>
      </c>
      <c r="Q7" s="22">
        <f t="shared" si="6"/>
        <v>408300.72257317597</v>
      </c>
      <c r="R7" s="13">
        <f t="shared" si="7"/>
        <v>408300.72257317597</v>
      </c>
      <c r="W7" s="18">
        <f t="shared" si="10"/>
        <v>0.48691214716007791</v>
      </c>
    </row>
    <row r="8" spans="1:23">
      <c r="A8" s="18" t="s">
        <v>31</v>
      </c>
      <c r="B8" s="4">
        <f>'2010-10'!B8</f>
        <v>64.052681514079197</v>
      </c>
      <c r="C8" s="4">
        <f>'2010-10'!C8</f>
        <v>75.74245959811465</v>
      </c>
      <c r="D8" s="16">
        <f t="shared" si="8"/>
        <v>25247.486532704883</v>
      </c>
      <c r="E8" s="4">
        <f>'Interval Circuities'!C8</f>
        <v>1.2718268758603823</v>
      </c>
      <c r="F8" s="4">
        <f t="shared" si="0"/>
        <v>50.362736257439117</v>
      </c>
      <c r="G8" s="4">
        <f t="shared" si="1"/>
        <v>16.787578752479703</v>
      </c>
      <c r="H8" s="4">
        <f t="shared" si="2"/>
        <v>885.37243925871894</v>
      </c>
      <c r="I8" s="4">
        <f t="shared" si="9"/>
        <v>650.59688341284709</v>
      </c>
      <c r="J8" s="33">
        <f>'2010-10'!J8</f>
        <v>1920.4549420000001</v>
      </c>
      <c r="K8" s="33">
        <f>'2010-10'!K8</f>
        <v>1249442</v>
      </c>
      <c r="L8" s="22">
        <f t="shared" si="3"/>
        <v>576020.54964135285</v>
      </c>
      <c r="M8" s="22">
        <f t="shared" si="4"/>
        <v>576020.54964135285</v>
      </c>
      <c r="N8" s="19" t="s">
        <v>91</v>
      </c>
      <c r="O8" s="4">
        <f t="shared" si="5"/>
        <v>378.75608747294422</v>
      </c>
      <c r="P8" s="13">
        <f>'2010-10'!P8</f>
        <v>727384</v>
      </c>
      <c r="Q8" s="22">
        <f t="shared" si="6"/>
        <v>335340.20105000935</v>
      </c>
      <c r="R8" s="13">
        <f t="shared" si="7"/>
        <v>335340.20105000935</v>
      </c>
      <c r="W8" s="18">
        <f t="shared" si="10"/>
        <v>0.58216707938423706</v>
      </c>
    </row>
    <row r="9" spans="1:23">
      <c r="A9" s="18" t="s">
        <v>32</v>
      </c>
      <c r="B9" s="4">
        <f>'2010-10'!B9</f>
        <v>62.255871883980589</v>
      </c>
      <c r="C9" s="4">
        <f>'2010-10'!C9</f>
        <v>73.232676356180107</v>
      </c>
      <c r="D9" s="16">
        <f t="shared" si="8"/>
        <v>24410.892118726701</v>
      </c>
      <c r="E9" s="4">
        <f>'Interval Circuities'!C9</f>
        <v>1.2622043331825756</v>
      </c>
      <c r="F9" s="4">
        <f t="shared" si="0"/>
        <v>49.323132750626826</v>
      </c>
      <c r="G9" s="4">
        <f t="shared" si="1"/>
        <v>16.44104425020894</v>
      </c>
      <c r="H9" s="4">
        <f t="shared" si="2"/>
        <v>849.19742606189072</v>
      </c>
      <c r="I9" s="4">
        <f t="shared" si="9"/>
        <v>1360.6187423043561</v>
      </c>
      <c r="J9" s="33">
        <f>'2010-10'!J9</f>
        <v>6326.6863320000002</v>
      </c>
      <c r="K9" s="33">
        <f>'2010-10'!K9</f>
        <v>8608208</v>
      </c>
      <c r="L9" s="22">
        <f t="shared" si="3"/>
        <v>1155433.9338164262</v>
      </c>
      <c r="M9" s="22">
        <f t="shared" si="4"/>
        <v>1155433.9338164262</v>
      </c>
      <c r="N9" s="19" t="s">
        <v>91</v>
      </c>
      <c r="O9" s="4">
        <f t="shared" si="5"/>
        <v>600.27821843973788</v>
      </c>
      <c r="P9" s="13">
        <f>'2010-10'!P9</f>
        <v>3797772</v>
      </c>
      <c r="Q9" s="22">
        <f t="shared" si="6"/>
        <v>509754.71802004281</v>
      </c>
      <c r="R9" s="13">
        <f t="shared" si="7"/>
        <v>509754.71802004281</v>
      </c>
      <c r="W9" s="18">
        <f t="shared" si="10"/>
        <v>0.4411803246389957</v>
      </c>
    </row>
    <row r="10" spans="1:23">
      <c r="A10" s="18" t="s">
        <v>33</v>
      </c>
      <c r="B10" s="4">
        <f>'2010-10'!B10</f>
        <v>63.816269796049951</v>
      </c>
      <c r="C10" s="4">
        <f>'2010-10'!C10</f>
        <v>74.14207195492925</v>
      </c>
      <c r="D10" s="16">
        <f t="shared" si="8"/>
        <v>24714.023984976415</v>
      </c>
      <c r="E10" s="4">
        <f>'Interval Circuities'!C10</f>
        <v>1.3346635676863023</v>
      </c>
      <c r="F10" s="4">
        <f t="shared" si="0"/>
        <v>47.814498980202366</v>
      </c>
      <c r="G10" s="4">
        <f t="shared" si="1"/>
        <v>15.938166326734121</v>
      </c>
      <c r="H10" s="4">
        <f t="shared" si="2"/>
        <v>798.04353205658356</v>
      </c>
      <c r="I10" s="4">
        <f t="shared" si="9"/>
        <v>796.39106388024629</v>
      </c>
      <c r="J10" s="33">
        <f>'2010-10'!J10</f>
        <v>2040.237609</v>
      </c>
      <c r="K10" s="33">
        <f>'2010-10'!K10</f>
        <v>1624827</v>
      </c>
      <c r="L10" s="22">
        <f t="shared" si="3"/>
        <v>635554.73751729203</v>
      </c>
      <c r="M10" s="22">
        <f t="shared" si="4"/>
        <v>635554.73751729203</v>
      </c>
      <c r="N10" s="19" t="s">
        <v>91</v>
      </c>
      <c r="O10" s="4">
        <f t="shared" si="5"/>
        <v>428.64958284375984</v>
      </c>
      <c r="P10" s="13">
        <f>'2010-10'!P10</f>
        <v>874547</v>
      </c>
      <c r="Q10" s="22">
        <f t="shared" si="6"/>
        <v>342081.02710721525</v>
      </c>
      <c r="R10" s="13">
        <f t="shared" si="7"/>
        <v>342081.02710721525</v>
      </c>
      <c r="W10" s="18">
        <f t="shared" si="10"/>
        <v>0.53824007109679994</v>
      </c>
    </row>
    <row r="11" spans="1:23">
      <c r="A11" s="18" t="s">
        <v>34</v>
      </c>
      <c r="B11" s="4">
        <f>'2010-10'!B11</f>
        <v>60.599390167439914</v>
      </c>
      <c r="C11" s="4">
        <f>'2010-10'!C11</f>
        <v>69.653954039848372</v>
      </c>
      <c r="D11" s="16">
        <f t="shared" si="8"/>
        <v>23217.984679949455</v>
      </c>
      <c r="E11" s="4">
        <f>'Interval Circuities'!C11</f>
        <v>1.2210242271152514</v>
      </c>
      <c r="F11" s="4">
        <f t="shared" si="0"/>
        <v>49.629965418958058</v>
      </c>
      <c r="G11" s="4">
        <f t="shared" si="1"/>
        <v>16.543321806319351</v>
      </c>
      <c r="H11" s="4">
        <f t="shared" si="2"/>
        <v>859.7957784742473</v>
      </c>
      <c r="I11" s="4">
        <f t="shared" si="9"/>
        <v>890.6045978114746</v>
      </c>
      <c r="J11" s="33">
        <f>'2010-10'!J11</f>
        <v>1999.3979420000001</v>
      </c>
      <c r="K11" s="33">
        <f>'2010-10'!K11</f>
        <v>1780673</v>
      </c>
      <c r="L11" s="22">
        <f t="shared" si="3"/>
        <v>765738.07348806073</v>
      </c>
      <c r="M11" s="22">
        <f t="shared" si="4"/>
        <v>765738.07348806073</v>
      </c>
      <c r="N11" s="19" t="s">
        <v>91</v>
      </c>
      <c r="O11" s="4">
        <f t="shared" si="5"/>
        <v>435.21001083435146</v>
      </c>
      <c r="P11" s="13">
        <f>'2010-10'!P11</f>
        <v>870158</v>
      </c>
      <c r="Q11" s="22">
        <f t="shared" si="6"/>
        <v>374191.73006510682</v>
      </c>
      <c r="R11" s="13">
        <f t="shared" si="7"/>
        <v>374191.73006510682</v>
      </c>
      <c r="W11" s="18">
        <f t="shared" si="10"/>
        <v>0.48866804854119761</v>
      </c>
    </row>
    <row r="12" spans="1:23">
      <c r="A12" s="18" t="s">
        <v>35</v>
      </c>
      <c r="B12" s="4">
        <f>'2010-10'!B12</f>
        <v>64.046411741712433</v>
      </c>
      <c r="C12" s="4">
        <f>'2010-10'!C12</f>
        <v>74.901794999095003</v>
      </c>
      <c r="D12" s="16">
        <f t="shared" si="8"/>
        <v>24967.264999698335</v>
      </c>
      <c r="E12" s="4">
        <f>'Interval Circuities'!C12</f>
        <v>1.247954909153181</v>
      </c>
      <c r="F12" s="4">
        <f t="shared" si="0"/>
        <v>51.321094433750105</v>
      </c>
      <c r="G12" s="4">
        <f t="shared" si="1"/>
        <v>17.107031477916699</v>
      </c>
      <c r="H12" s="4">
        <f t="shared" si="2"/>
        <v>919.38874250816616</v>
      </c>
      <c r="I12" s="4">
        <f t="shared" si="9"/>
        <v>1034.7499169004755</v>
      </c>
      <c r="J12" s="33">
        <f>'2010-10'!J12</f>
        <v>1322.0923989999999</v>
      </c>
      <c r="K12" s="33">
        <f>'2010-10'!K12</f>
        <v>1368035</v>
      </c>
      <c r="L12" s="22">
        <f t="shared" si="3"/>
        <v>951337.42490955757</v>
      </c>
      <c r="M12" s="22">
        <f t="shared" si="4"/>
        <v>951337.42490955757</v>
      </c>
      <c r="N12" s="19" t="s">
        <v>91</v>
      </c>
      <c r="O12" s="4">
        <f t="shared" si="5"/>
        <v>567.53143771761449</v>
      </c>
      <c r="P12" s="13">
        <f>'2010-10'!P12</f>
        <v>750329</v>
      </c>
      <c r="Q12" s="22">
        <f t="shared" si="6"/>
        <v>521782.01485704922</v>
      </c>
      <c r="R12" s="13">
        <f t="shared" si="7"/>
        <v>521782.01485704922</v>
      </c>
      <c r="W12" s="18">
        <f t="shared" si="10"/>
        <v>0.54847207856524127</v>
      </c>
    </row>
    <row r="13" spans="1:23">
      <c r="A13" s="18" t="s">
        <v>61</v>
      </c>
      <c r="B13" s="4">
        <f>'2010-10'!B13</f>
        <v>65.991437704144019</v>
      </c>
      <c r="C13" s="4">
        <f>'2010-10'!C13</f>
        <v>78.097331458401655</v>
      </c>
      <c r="D13" s="16">
        <f t="shared" si="8"/>
        <v>26032.443819467218</v>
      </c>
      <c r="E13" s="4">
        <f>'Interval Circuities'!C13</f>
        <v>1.3241222203723044</v>
      </c>
      <c r="F13" s="4">
        <f t="shared" si="0"/>
        <v>49.837875000382638</v>
      </c>
      <c r="G13" s="4">
        <f t="shared" si="1"/>
        <v>16.612625000127544</v>
      </c>
      <c r="H13" s="4">
        <f t="shared" si="2"/>
        <v>867.01457093768522</v>
      </c>
      <c r="I13" s="4">
        <f t="shared" si="9"/>
        <v>1111.5370303722236</v>
      </c>
      <c r="J13" s="33">
        <f>'2010-10'!J13</f>
        <v>4607.9364519999999</v>
      </c>
      <c r="K13" s="33">
        <f>'2010-10'!K13</f>
        <v>5121892</v>
      </c>
      <c r="L13" s="22">
        <f t="shared" si="3"/>
        <v>963718.8014695223</v>
      </c>
      <c r="M13" s="22">
        <f t="shared" si="4"/>
        <v>963718.8014695223</v>
      </c>
      <c r="N13" s="19" t="s">
        <v>91</v>
      </c>
      <c r="O13" s="4">
        <f t="shared" si="5"/>
        <v>544.77313785663296</v>
      </c>
      <c r="P13" s="13">
        <f>'2010-10'!P13</f>
        <v>2510280</v>
      </c>
      <c r="Q13" s="22">
        <f t="shared" si="6"/>
        <v>472326.24837714509</v>
      </c>
      <c r="R13" s="13">
        <f t="shared" si="7"/>
        <v>472326.24837714509</v>
      </c>
      <c r="W13" s="18">
        <f t="shared" si="10"/>
        <v>0.49010795229575321</v>
      </c>
    </row>
    <row r="14" spans="1:23">
      <c r="A14" s="18" t="s">
        <v>36</v>
      </c>
      <c r="B14" s="4">
        <f>'2010-10'!B14</f>
        <v>60.705617754852213</v>
      </c>
      <c r="C14" s="4">
        <f>'2010-10'!C14</f>
        <v>72.576467255996263</v>
      </c>
      <c r="D14" s="16">
        <f t="shared" si="8"/>
        <v>24192.155751998755</v>
      </c>
      <c r="E14" s="4">
        <f>'Interval Circuities'!C14</f>
        <v>1.382383812463321</v>
      </c>
      <c r="F14" s="4">
        <f t="shared" si="0"/>
        <v>43.913721505953269</v>
      </c>
      <c r="G14" s="4">
        <f t="shared" si="1"/>
        <v>14.63790716865109</v>
      </c>
      <c r="H14" s="4">
        <f t="shared" si="2"/>
        <v>673.14379973209316</v>
      </c>
      <c r="I14" s="4">
        <f t="shared" si="9"/>
        <v>1372.3806261261409</v>
      </c>
      <c r="J14" s="33">
        <f>'2010-10'!J14</f>
        <v>1729.9887180000001</v>
      </c>
      <c r="K14" s="33">
        <f>'2010-10'!K14</f>
        <v>2374203</v>
      </c>
      <c r="L14" s="22">
        <f t="shared" si="3"/>
        <v>923809.50934925955</v>
      </c>
      <c r="M14" s="22">
        <f t="shared" si="4"/>
        <v>923809.50934925955</v>
      </c>
      <c r="N14" s="19" t="s">
        <v>91</v>
      </c>
      <c r="O14" s="4">
        <f t="shared" si="5"/>
        <v>600.08830647183447</v>
      </c>
      <c r="P14" s="13">
        <f>'2010-10'!P14</f>
        <v>1038146</v>
      </c>
      <c r="Q14" s="22">
        <f t="shared" si="6"/>
        <v>403945.72279324749</v>
      </c>
      <c r="R14" s="13">
        <f t="shared" si="7"/>
        <v>403945.72279324749</v>
      </c>
      <c r="W14" s="18">
        <f t="shared" si="10"/>
        <v>0.43726084079583766</v>
      </c>
    </row>
    <row r="15" spans="1:23">
      <c r="A15" s="18" t="s">
        <v>37</v>
      </c>
      <c r="B15" s="4">
        <f>'2010-10'!B15</f>
        <v>62.147901133486052</v>
      </c>
      <c r="C15" s="4">
        <f>'2010-10'!C15</f>
        <v>71.579622920369374</v>
      </c>
      <c r="D15" s="16">
        <f t="shared" si="8"/>
        <v>23859.874306789792</v>
      </c>
      <c r="E15" s="4">
        <f>'Interval Circuities'!C15</f>
        <v>1.2461037288193979</v>
      </c>
      <c r="F15" s="4">
        <f t="shared" si="0"/>
        <v>49.873778318894161</v>
      </c>
      <c r="G15" s="4">
        <f t="shared" si="1"/>
        <v>16.624592772964718</v>
      </c>
      <c r="H15" s="4">
        <f t="shared" si="2"/>
        <v>868.26421943844946</v>
      </c>
      <c r="I15" s="4">
        <f t="shared" si="9"/>
        <v>1078.2087468947925</v>
      </c>
      <c r="J15" s="33">
        <f>'2010-10'!J15</f>
        <v>3463.2347500000001</v>
      </c>
      <c r="K15" s="33">
        <f>'2010-10'!K15</f>
        <v>3734090</v>
      </c>
      <c r="L15" s="22">
        <f t="shared" si="3"/>
        <v>936170.07601431571</v>
      </c>
      <c r="M15" s="22">
        <f t="shared" si="4"/>
        <v>936170.07601431571</v>
      </c>
      <c r="N15" s="19" t="s">
        <v>91</v>
      </c>
      <c r="O15" s="4">
        <f t="shared" si="5"/>
        <v>433.40348210585495</v>
      </c>
      <c r="P15" s="13">
        <f>'2010-10'!P15</f>
        <v>1500978</v>
      </c>
      <c r="Q15" s="22">
        <f t="shared" si="6"/>
        <v>376308.73609254614</v>
      </c>
      <c r="R15" s="13">
        <f t="shared" si="7"/>
        <v>376308.73609254614</v>
      </c>
      <c r="W15" s="18">
        <f t="shared" si="10"/>
        <v>0.4019662086345</v>
      </c>
    </row>
    <row r="16" spans="1:23">
      <c r="A16" s="18" t="s">
        <v>79</v>
      </c>
      <c r="B16" s="4">
        <f>'2010-10'!B16</f>
        <v>67.784674216887879</v>
      </c>
      <c r="C16" s="4">
        <f>'2010-10'!C16</f>
        <v>73.484930426832634</v>
      </c>
      <c r="D16" s="16">
        <f t="shared" si="8"/>
        <v>24494.976808944208</v>
      </c>
      <c r="E16" s="4">
        <f>'Interval Circuities'!C16</f>
        <v>1.276401235569196</v>
      </c>
      <c r="F16" s="4">
        <f t="shared" si="0"/>
        <v>53.106086337075745</v>
      </c>
      <c r="G16" s="4">
        <f t="shared" si="1"/>
        <v>17.702028779025248</v>
      </c>
      <c r="H16" s="4">
        <f t="shared" si="2"/>
        <v>984.45520071753094</v>
      </c>
      <c r="I16" s="4">
        <f t="shared" si="9"/>
        <v>784.29737505885555</v>
      </c>
      <c r="J16" s="33">
        <f>'2010-10'!J16</f>
        <v>726.68227400000001</v>
      </c>
      <c r="K16" s="33">
        <f>'2010-10'!K16</f>
        <v>569935</v>
      </c>
      <c r="L16" s="22">
        <f t="shared" si="3"/>
        <v>772105.62978579826</v>
      </c>
      <c r="M16" s="22">
        <f t="shared" si="4"/>
        <v>569935</v>
      </c>
      <c r="N16" s="19" t="s">
        <v>91</v>
      </c>
      <c r="O16" s="4">
        <f t="shared" si="5"/>
        <v>438.1103150453344</v>
      </c>
      <c r="P16" s="13">
        <f>'2010-10'!P16</f>
        <v>318367</v>
      </c>
      <c r="Q16" s="22">
        <f t="shared" si="6"/>
        <v>431299.97813437541</v>
      </c>
      <c r="R16" s="13">
        <f t="shared" si="7"/>
        <v>318367</v>
      </c>
      <c r="W16" s="18">
        <f t="shared" si="10"/>
        <v>0.55860229675313855</v>
      </c>
    </row>
    <row r="17" spans="1:23">
      <c r="A17" s="18" t="s">
        <v>511</v>
      </c>
      <c r="B17" s="4">
        <f>'2010-10'!B17</f>
        <v>64.715366633523445</v>
      </c>
      <c r="C17" s="4">
        <f>'2010-10'!C17</f>
        <v>75.511487142105324</v>
      </c>
      <c r="D17" s="16">
        <f t="shared" si="8"/>
        <v>25170.495714035107</v>
      </c>
      <c r="E17" s="4">
        <f>'Interval Circuities'!C17</f>
        <v>1.3392188111212502</v>
      </c>
      <c r="F17" s="4">
        <f t="shared" si="0"/>
        <v>48.323221042079766</v>
      </c>
      <c r="G17" s="4">
        <f t="shared" si="1"/>
        <v>16.107740347359922</v>
      </c>
      <c r="H17" s="4">
        <f t="shared" si="2"/>
        <v>815.11542795172909</v>
      </c>
      <c r="I17" s="4">
        <f t="shared" si="9"/>
        <v>1078.4020248075806</v>
      </c>
      <c r="J17" s="33">
        <f>'2010-10'!J17</f>
        <v>1334.9993480000001</v>
      </c>
      <c r="K17" s="33">
        <f>'2010-10'!K17</f>
        <v>1439666</v>
      </c>
      <c r="L17" s="22">
        <f t="shared" si="3"/>
        <v>879022.12795504218</v>
      </c>
      <c r="M17" s="22">
        <f t="shared" si="4"/>
        <v>879022.12795504218</v>
      </c>
      <c r="N17" s="19" t="s">
        <v>91</v>
      </c>
      <c r="O17" s="4">
        <f t="shared" si="5"/>
        <v>444.79197753136282</v>
      </c>
      <c r="P17" s="13">
        <f>'2010-10'!P17</f>
        <v>593797</v>
      </c>
      <c r="Q17" s="22">
        <f t="shared" si="6"/>
        <v>362556.80311497266</v>
      </c>
      <c r="R17" s="13">
        <f t="shared" si="7"/>
        <v>362556.80311497266</v>
      </c>
      <c r="W17" s="18">
        <f t="shared" si="10"/>
        <v>0.41245469435271798</v>
      </c>
    </row>
    <row r="18" spans="1:23">
      <c r="A18" s="18" t="s">
        <v>38</v>
      </c>
      <c r="B18" s="4">
        <f>'2010-10'!B18</f>
        <v>63.831016736397409</v>
      </c>
      <c r="C18" s="4">
        <f>'2010-10'!C18</f>
        <v>74.742968134682343</v>
      </c>
      <c r="D18" s="16">
        <f t="shared" si="8"/>
        <v>24914.322711560777</v>
      </c>
      <c r="E18" s="4">
        <f>'Interval Circuities'!C18</f>
        <v>1.2718012066329836</v>
      </c>
      <c r="F18" s="4">
        <f t="shared" si="0"/>
        <v>50.189460745509237</v>
      </c>
      <c r="G18" s="4">
        <f t="shared" si="1"/>
        <v>16.729820248503078</v>
      </c>
      <c r="H18" s="4">
        <f t="shared" si="2"/>
        <v>879.29058347128489</v>
      </c>
      <c r="I18" s="4">
        <f t="shared" si="9"/>
        <v>691.70595675577363</v>
      </c>
      <c r="J18" s="33">
        <f>'2010-10'!J18</f>
        <v>1337.0695900000001</v>
      </c>
      <c r="K18" s="33">
        <f>'2010-10'!K18</f>
        <v>924859</v>
      </c>
      <c r="L18" s="22">
        <f t="shared" si="3"/>
        <v>608210.5343063476</v>
      </c>
      <c r="M18" s="22">
        <f t="shared" si="4"/>
        <v>608210.5343063476</v>
      </c>
      <c r="N18" s="19" t="s">
        <v>91</v>
      </c>
      <c r="O18" s="4">
        <f t="shared" si="5"/>
        <v>395.88290987905873</v>
      </c>
      <c r="P18" s="13">
        <f>'2010-10'!P18</f>
        <v>529323</v>
      </c>
      <c r="Q18" s="22">
        <f t="shared" si="6"/>
        <v>348096.11481386767</v>
      </c>
      <c r="R18" s="13">
        <f t="shared" si="7"/>
        <v>348096.11481386767</v>
      </c>
      <c r="W18" s="18">
        <f t="shared" si="10"/>
        <v>0.57232832247942655</v>
      </c>
    </row>
    <row r="19" spans="1:23">
      <c r="A19" s="18" t="s">
        <v>80</v>
      </c>
      <c r="B19" s="4">
        <f>'2010-10'!B19</f>
        <v>54.710932805374171</v>
      </c>
      <c r="C19" s="4">
        <f>'2010-10'!C19</f>
        <v>67.860376115847075</v>
      </c>
      <c r="D19" s="16">
        <f t="shared" si="8"/>
        <v>22620.125371949023</v>
      </c>
      <c r="E19" s="4">
        <f>'Interval Circuities'!C19</f>
        <v>1.4172580385913462</v>
      </c>
      <c r="F19" s="4">
        <f t="shared" si="0"/>
        <v>38.603367428949596</v>
      </c>
      <c r="G19" s="4">
        <f t="shared" si="1"/>
        <v>12.867789142983199</v>
      </c>
      <c r="H19" s="4">
        <f t="shared" si="2"/>
        <v>520.18490350208958</v>
      </c>
      <c r="I19" s="4">
        <f t="shared" si="9"/>
        <v>1820.7093992818395</v>
      </c>
      <c r="J19" s="33">
        <f>'2010-10'!J19</f>
        <v>440.73974700000002</v>
      </c>
      <c r="K19" s="33">
        <f>'2010-10'!K19</f>
        <v>802459</v>
      </c>
      <c r="L19" s="22">
        <f t="shared" si="3"/>
        <v>947105.54317077121</v>
      </c>
      <c r="M19" s="22">
        <f t="shared" si="4"/>
        <v>802459</v>
      </c>
      <c r="N19" s="19" t="s">
        <v>91</v>
      </c>
      <c r="O19" s="4">
        <f t="shared" si="5"/>
        <v>762.20491182520914</v>
      </c>
      <c r="P19" s="13">
        <f>'2010-10'!P19</f>
        <v>335934</v>
      </c>
      <c r="Q19" s="22">
        <f t="shared" si="6"/>
        <v>396487.4885066151</v>
      </c>
      <c r="R19" s="13">
        <f t="shared" si="7"/>
        <v>335934</v>
      </c>
      <c r="W19" s="18">
        <f t="shared" si="10"/>
        <v>0.41863073378203747</v>
      </c>
    </row>
    <row r="20" spans="1:23">
      <c r="A20" s="18" t="s">
        <v>39</v>
      </c>
      <c r="B20" s="4">
        <f>'2010-10'!B20</f>
        <v>66.693022833822994</v>
      </c>
      <c r="C20" s="4">
        <f>'2010-10'!C20</f>
        <v>78.916174325560149</v>
      </c>
      <c r="D20" s="16">
        <f t="shared" si="8"/>
        <v>26305.391441853382</v>
      </c>
      <c r="E20" s="4">
        <f>'Interval Circuities'!C20</f>
        <v>1.3398457759675975</v>
      </c>
      <c r="F20" s="4">
        <f t="shared" si="0"/>
        <v>49.776641483725427</v>
      </c>
      <c r="G20" s="4">
        <f t="shared" si="1"/>
        <v>16.592213827908473</v>
      </c>
      <c r="H20" s="4">
        <f t="shared" si="2"/>
        <v>864.88535751000609</v>
      </c>
      <c r="I20" s="4">
        <f t="shared" si="9"/>
        <v>1149.9995031423985</v>
      </c>
      <c r="J20" s="33">
        <f>'2010-10'!J20</f>
        <v>4299.4209879999999</v>
      </c>
      <c r="K20" s="33">
        <f>'2010-10'!K20</f>
        <v>4944332</v>
      </c>
      <c r="L20" s="22">
        <f t="shared" si="3"/>
        <v>994617.73141164263</v>
      </c>
      <c r="M20" s="22">
        <f t="shared" si="4"/>
        <v>994617.73141164263</v>
      </c>
      <c r="N20" s="19" t="s">
        <v>91</v>
      </c>
      <c r="O20" s="4">
        <f t="shared" si="5"/>
        <v>506.24654019109983</v>
      </c>
      <c r="P20" s="13">
        <f>'2010-10'!P20</f>
        <v>2176567</v>
      </c>
      <c r="Q20" s="22">
        <f t="shared" si="6"/>
        <v>437845.21990138304</v>
      </c>
      <c r="R20" s="13">
        <f t="shared" si="7"/>
        <v>437845.21990138304</v>
      </c>
      <c r="W20" s="18">
        <f t="shared" si="10"/>
        <v>0.44021457296961453</v>
      </c>
    </row>
    <row r="21" spans="1:23">
      <c r="A21" s="18" t="s">
        <v>40</v>
      </c>
      <c r="B21" s="4">
        <f>'2010-10'!B21</f>
        <v>62.662263546111326</v>
      </c>
      <c r="C21" s="4">
        <f>'2010-10'!C21</f>
        <v>72.333701669204501</v>
      </c>
      <c r="D21" s="16">
        <f t="shared" si="8"/>
        <v>24111.233889734835</v>
      </c>
      <c r="E21" s="4">
        <f>'Interval Circuities'!C21</f>
        <v>1.271809639354645</v>
      </c>
      <c r="F21" s="4">
        <f t="shared" si="0"/>
        <v>49.270159312448733</v>
      </c>
      <c r="G21" s="4">
        <f t="shared" si="1"/>
        <v>16.423386437482911</v>
      </c>
      <c r="H21" s="4">
        <f t="shared" si="2"/>
        <v>847.37431598074249</v>
      </c>
      <c r="I21" s="4">
        <f t="shared" si="9"/>
        <v>813.78264340099747</v>
      </c>
      <c r="J21" s="33">
        <f>'2010-10'!J21</f>
        <v>1827.8627739999999</v>
      </c>
      <c r="K21" s="33">
        <f>'2010-10'!K21</f>
        <v>1487483</v>
      </c>
      <c r="L21" s="22">
        <f t="shared" si="3"/>
        <v>689578.51080892072</v>
      </c>
      <c r="M21" s="22">
        <f t="shared" si="4"/>
        <v>689578.51080892072</v>
      </c>
      <c r="N21" s="19" t="s">
        <v>91</v>
      </c>
      <c r="O21" s="4">
        <f t="shared" si="5"/>
        <v>406.44134262564722</v>
      </c>
      <c r="P21" s="13">
        <f>'2010-10'!P21</f>
        <v>742919</v>
      </c>
      <c r="Q21" s="22">
        <f t="shared" si="6"/>
        <v>344407.9546937024</v>
      </c>
      <c r="R21" s="13">
        <f t="shared" si="7"/>
        <v>344407.9546937024</v>
      </c>
      <c r="W21" s="18">
        <f t="shared" si="10"/>
        <v>0.49944705250412941</v>
      </c>
    </row>
    <row r="22" spans="1:23" ht="16">
      <c r="A22" s="18" t="s">
        <v>118</v>
      </c>
      <c r="B22" s="4">
        <f>'2010-10'!B22</f>
        <v>72.107428140171564</v>
      </c>
      <c r="C22" s="4">
        <f>'2010-10'!C22</f>
        <v>84.099901925483479</v>
      </c>
      <c r="D22" s="16">
        <f t="shared" si="8"/>
        <v>28033.300641827824</v>
      </c>
      <c r="E22" s="4">
        <f>'Interval Circuities'!C22</f>
        <v>1.3661627731164396</v>
      </c>
      <c r="F22" s="4">
        <f t="shared" si="0"/>
        <v>52.780993274822428</v>
      </c>
      <c r="G22" s="4">
        <f t="shared" si="1"/>
        <v>17.593664424940808</v>
      </c>
      <c r="H22" s="4">
        <f t="shared" si="2"/>
        <v>972.43925285657792</v>
      </c>
      <c r="I22" s="4">
        <f t="shared" si="9"/>
        <v>1369.2709398652264</v>
      </c>
      <c r="J22" s="33">
        <f>'2010-10'!J22</f>
        <v>1411.4562309999999</v>
      </c>
      <c r="K22" s="33">
        <f>'2010-10'!K22</f>
        <v>1932666</v>
      </c>
      <c r="L22" s="22">
        <f t="shared" si="3"/>
        <v>1331532.8097207651</v>
      </c>
      <c r="M22" s="22">
        <f t="shared" si="4"/>
        <v>1331532.8097207651</v>
      </c>
      <c r="N22" s="19" t="s">
        <v>91</v>
      </c>
      <c r="O22" s="4">
        <f t="shared" si="5"/>
        <v>678.25411725430968</v>
      </c>
      <c r="P22" s="13">
        <f>'2010-10'!P22</f>
        <v>957326</v>
      </c>
      <c r="Q22" s="22">
        <f t="shared" si="6"/>
        <v>659560.92702967871</v>
      </c>
      <c r="R22" s="13">
        <f t="shared" si="7"/>
        <v>659560.92702967871</v>
      </c>
      <c r="W22" s="18">
        <f t="shared" si="10"/>
        <v>0.49533959825443191</v>
      </c>
    </row>
    <row r="23" spans="1:23">
      <c r="A23" s="18" t="s">
        <v>41</v>
      </c>
      <c r="B23" s="4">
        <f>'2010-10'!B23</f>
        <v>69.127068300037649</v>
      </c>
      <c r="C23" s="4">
        <f>'2010-10'!C23</f>
        <v>78.497147187767681</v>
      </c>
      <c r="D23" s="16">
        <f t="shared" si="8"/>
        <v>26165.715729255895</v>
      </c>
      <c r="E23" s="4">
        <f>'Interval Circuities'!C23</f>
        <v>1.3647991426543529</v>
      </c>
      <c r="F23" s="4">
        <f t="shared" si="0"/>
        <v>50.649993936539772</v>
      </c>
      <c r="G23" s="4">
        <f t="shared" si="1"/>
        <v>16.883331312179923</v>
      </c>
      <c r="H23" s="4">
        <f t="shared" si="2"/>
        <v>895.50117218869627</v>
      </c>
      <c r="I23" s="4">
        <f t="shared" si="9"/>
        <v>775.48585132918799</v>
      </c>
      <c r="J23" s="33">
        <f>'2010-10'!J23</f>
        <v>1373.6150029999999</v>
      </c>
      <c r="K23" s="33">
        <f>'2010-10'!K23</f>
        <v>1065219</v>
      </c>
      <c r="L23" s="22">
        <f t="shared" si="3"/>
        <v>694448.48888103687</v>
      </c>
      <c r="M23" s="22">
        <f t="shared" si="4"/>
        <v>694448.48888103687</v>
      </c>
      <c r="N23" s="19" t="s">
        <v>91</v>
      </c>
      <c r="O23" s="4">
        <f t="shared" si="5"/>
        <v>626.55110647477409</v>
      </c>
      <c r="P23" s="13">
        <f>'2010-10'!P23</f>
        <v>860640</v>
      </c>
      <c r="Q23" s="22">
        <f t="shared" si="6"/>
        <v>561077.25028428482</v>
      </c>
      <c r="R23" s="13">
        <f t="shared" si="7"/>
        <v>561077.25028428482</v>
      </c>
      <c r="W23" s="18">
        <f t="shared" si="10"/>
        <v>0.80794653493788604</v>
      </c>
    </row>
    <row r="24" spans="1:23">
      <c r="A24" s="18" t="s">
        <v>74</v>
      </c>
      <c r="B24" s="4">
        <f>'2010-10'!B24</f>
        <v>67.812288769795572</v>
      </c>
      <c r="C24" s="4">
        <f>'2010-10'!C24</f>
        <v>74.592726606374868</v>
      </c>
      <c r="D24" s="16">
        <f t="shared" si="8"/>
        <v>24864.242202124955</v>
      </c>
      <c r="E24" s="4">
        <f>'Interval Circuities'!C24</f>
        <v>1.2987080429934756</v>
      </c>
      <c r="F24" s="4">
        <f t="shared" si="0"/>
        <v>52.215191193773364</v>
      </c>
      <c r="G24" s="4">
        <f t="shared" si="1"/>
        <v>17.405063731257787</v>
      </c>
      <c r="H24" s="4">
        <f t="shared" si="2"/>
        <v>951.70227705158743</v>
      </c>
      <c r="I24" s="4">
        <f t="shared" si="9"/>
        <v>865.47479649931279</v>
      </c>
      <c r="J24" s="33">
        <f>'2010-10'!J24</f>
        <v>1755.5878070000001</v>
      </c>
      <c r="K24" s="33">
        <f>'2010-10'!K24</f>
        <v>1519417</v>
      </c>
      <c r="L24" s="22">
        <f t="shared" si="3"/>
        <v>823674.33455915528</v>
      </c>
      <c r="M24" s="22">
        <f t="shared" si="4"/>
        <v>823674.33455915528</v>
      </c>
      <c r="N24" s="19" t="s">
        <v>91</v>
      </c>
      <c r="O24" s="4">
        <f t="shared" si="5"/>
        <v>528.94933326453656</v>
      </c>
      <c r="P24" s="13">
        <f>'2010-10'!P24</f>
        <v>928617</v>
      </c>
      <c r="Q24" s="22">
        <f t="shared" si="6"/>
        <v>503402.28491277841</v>
      </c>
      <c r="R24" s="13">
        <f t="shared" si="7"/>
        <v>503402.28491277841</v>
      </c>
      <c r="W24" s="18">
        <f t="shared" si="10"/>
        <v>0.61116665141959048</v>
      </c>
    </row>
    <row r="25" spans="1:23">
      <c r="A25" s="18" t="s">
        <v>62</v>
      </c>
      <c r="B25" s="4">
        <f>'2010-10'!B25</f>
        <v>62.454008275887581</v>
      </c>
      <c r="C25" s="4">
        <f>'2010-10'!C25</f>
        <v>72.980903634295757</v>
      </c>
      <c r="D25" s="16">
        <f t="shared" si="8"/>
        <v>24326.967878098585</v>
      </c>
      <c r="E25" s="4">
        <f>'Interval Circuities'!C25</f>
        <v>1.3223049937334725</v>
      </c>
      <c r="F25" s="4">
        <f t="shared" si="0"/>
        <v>47.231167220772051</v>
      </c>
      <c r="G25" s="4">
        <f t="shared" si="1"/>
        <v>15.743722406924016</v>
      </c>
      <c r="H25" s="4">
        <f t="shared" si="2"/>
        <v>778.69021976642387</v>
      </c>
      <c r="I25" s="4">
        <f t="shared" si="9"/>
        <v>1746.9193703498715</v>
      </c>
      <c r="J25" s="33">
        <f>'2010-10'!J25</f>
        <v>1079.621093</v>
      </c>
      <c r="K25" s="33">
        <f>'2010-10'!K25</f>
        <v>1886011</v>
      </c>
      <c r="L25" s="22">
        <f t="shared" si="3"/>
        <v>1360309.0284119642</v>
      </c>
      <c r="M25" s="22">
        <f t="shared" si="4"/>
        <v>1360309.0284119642</v>
      </c>
      <c r="N25" s="19" t="s">
        <v>91</v>
      </c>
      <c r="O25" s="4">
        <f t="shared" si="5"/>
        <v>677.90079755323939</v>
      </c>
      <c r="P25" s="13">
        <f>'2010-10'!P25</f>
        <v>731876</v>
      </c>
      <c r="Q25" s="22">
        <f t="shared" si="6"/>
        <v>527874.721026566</v>
      </c>
      <c r="R25" s="13">
        <f t="shared" si="7"/>
        <v>527874.721026566</v>
      </c>
      <c r="W25" s="18">
        <f t="shared" si="10"/>
        <v>0.38805500073965637</v>
      </c>
    </row>
    <row r="26" spans="1:23" ht="16">
      <c r="A26" s="18" t="s">
        <v>119</v>
      </c>
      <c r="B26" s="4">
        <f>'2010-10'!B26</f>
        <v>67.712654237264687</v>
      </c>
      <c r="C26" s="4">
        <f>'2010-10'!C26</f>
        <v>83.333789923093292</v>
      </c>
      <c r="D26" s="16">
        <f t="shared" si="8"/>
        <v>27777.92997436443</v>
      </c>
      <c r="E26" s="4">
        <f>'Interval Circuities'!C26</f>
        <v>1.2809084236066279</v>
      </c>
      <c r="F26" s="4">
        <f t="shared" si="0"/>
        <v>52.862993941914702</v>
      </c>
      <c r="G26" s="4">
        <f t="shared" si="1"/>
        <v>17.620997980638233</v>
      </c>
      <c r="H26" s="4">
        <f t="shared" si="2"/>
        <v>975.46316753220674</v>
      </c>
      <c r="I26" s="4">
        <f t="shared" si="9"/>
        <v>2702.4637693066888</v>
      </c>
      <c r="J26" s="33">
        <f>'2010-10'!J26</f>
        <v>4496.2660139999998</v>
      </c>
      <c r="K26" s="33">
        <f>'2010-10'!K26</f>
        <v>12150996</v>
      </c>
      <c r="L26" s="22">
        <f t="shared" si="3"/>
        <v>2636153.8685489297</v>
      </c>
      <c r="M26" s="22">
        <f t="shared" si="4"/>
        <v>2636153.8685489297</v>
      </c>
      <c r="N26" s="19" t="s">
        <v>91</v>
      </c>
      <c r="O26" s="4">
        <f t="shared" si="5"/>
        <v>1079.1963787042962</v>
      </c>
      <c r="P26" s="13">
        <f>'2010-10'!P26</f>
        <v>4852354</v>
      </c>
      <c r="Q26" s="22">
        <f t="shared" si="6"/>
        <v>1052716.3179601796</v>
      </c>
      <c r="R26" s="13">
        <f t="shared" si="7"/>
        <v>1052716.3179601796</v>
      </c>
      <c r="W26" s="18">
        <f t="shared" si="10"/>
        <v>0.39933796373564762</v>
      </c>
    </row>
    <row r="27" spans="1:23">
      <c r="A27" s="18" t="s">
        <v>42</v>
      </c>
      <c r="B27" s="4">
        <f>'2010-10'!B27</f>
        <v>69.762390899595417</v>
      </c>
      <c r="C27" s="4">
        <f>'2010-10'!C27</f>
        <v>80.633405227489121</v>
      </c>
      <c r="D27" s="16">
        <f t="shared" si="8"/>
        <v>26877.801742496373</v>
      </c>
      <c r="E27" s="4">
        <f>'Interval Circuities'!C27</f>
        <v>1.3522400482999783</v>
      </c>
      <c r="F27" s="4">
        <f t="shared" si="0"/>
        <v>51.590241678835014</v>
      </c>
      <c r="G27" s="4">
        <f t="shared" si="1"/>
        <v>17.196747226278337</v>
      </c>
      <c r="H27" s="4">
        <f t="shared" si="2"/>
        <v>929.0572740607862</v>
      </c>
      <c r="I27" s="4">
        <f t="shared" si="9"/>
        <v>787.6776339629688</v>
      </c>
      <c r="J27" s="33">
        <f>'2010-10'!J27</f>
        <v>1234.70054</v>
      </c>
      <c r="K27" s="33">
        <f>'2010-10'!K27</f>
        <v>972546</v>
      </c>
      <c r="L27" s="22">
        <f t="shared" si="3"/>
        <v>731797.63544828549</v>
      </c>
      <c r="M27" s="22">
        <f t="shared" si="4"/>
        <v>731797.63544828549</v>
      </c>
      <c r="N27" s="19" t="s">
        <v>91</v>
      </c>
      <c r="O27" s="4">
        <f t="shared" si="5"/>
        <v>417.10518730314965</v>
      </c>
      <c r="P27" s="13">
        <f>'2010-10'!P27</f>
        <v>515000</v>
      </c>
      <c r="Q27" s="22">
        <f t="shared" si="6"/>
        <v>387514.60831247788</v>
      </c>
      <c r="R27" s="13">
        <f t="shared" si="7"/>
        <v>387514.60831247788</v>
      </c>
      <c r="W27" s="18">
        <f t="shared" si="10"/>
        <v>0.52953793445245789</v>
      </c>
    </row>
    <row r="28" spans="1:23">
      <c r="A28" s="18" t="s">
        <v>43</v>
      </c>
      <c r="B28" s="4">
        <f>'2010-10'!B28</f>
        <v>66.011797525453602</v>
      </c>
      <c r="C28" s="4">
        <f>'2010-10'!C28</f>
        <v>76.864865322833012</v>
      </c>
      <c r="D28" s="16">
        <f t="shared" si="8"/>
        <v>25621.621774277672</v>
      </c>
      <c r="E28" s="4">
        <f>'Interval Circuities'!C28</f>
        <v>1.3247813076937356</v>
      </c>
      <c r="F28" s="4">
        <f t="shared" si="0"/>
        <v>49.828448772704363</v>
      </c>
      <c r="G28" s="4">
        <f t="shared" si="1"/>
        <v>16.609482924234786</v>
      </c>
      <c r="H28" s="4">
        <f t="shared" si="2"/>
        <v>866.68663143926983</v>
      </c>
      <c r="I28" s="4">
        <f t="shared" si="9"/>
        <v>823.01437699234145</v>
      </c>
      <c r="J28" s="33">
        <f>'2010-10'!J28</f>
        <v>1288.022457</v>
      </c>
      <c r="K28" s="33">
        <f>'2010-10'!K28</f>
        <v>1060061</v>
      </c>
      <c r="L28" s="22">
        <f t="shared" si="3"/>
        <v>713295.55802158173</v>
      </c>
      <c r="M28" s="22">
        <f t="shared" si="4"/>
        <v>713295.55802158173</v>
      </c>
      <c r="N28" s="19" t="s">
        <v>91</v>
      </c>
      <c r="O28" s="4">
        <f t="shared" si="5"/>
        <v>395.30832496967867</v>
      </c>
      <c r="P28" s="13">
        <f>'2010-10'!P28</f>
        <v>509166</v>
      </c>
      <c r="Q28" s="22">
        <f t="shared" si="6"/>
        <v>342608.440547871</v>
      </c>
      <c r="R28" s="13">
        <f t="shared" si="7"/>
        <v>342608.440547871</v>
      </c>
      <c r="W28" s="18">
        <f t="shared" si="10"/>
        <v>0.48031764209795474</v>
      </c>
    </row>
    <row r="29" spans="1:23">
      <c r="A29" s="18" t="s">
        <v>44</v>
      </c>
      <c r="B29" s="4">
        <f>'2010-10'!B29</f>
        <v>66.575024815111192</v>
      </c>
      <c r="C29" s="4">
        <f>'2010-10'!C29</f>
        <v>73.723640962925515</v>
      </c>
      <c r="D29" s="16">
        <f t="shared" si="8"/>
        <v>24574.546987641839</v>
      </c>
      <c r="E29" s="4">
        <f>'Interval Circuities'!C29</f>
        <v>1.2090730434913919</v>
      </c>
      <c r="F29" s="4">
        <f t="shared" si="0"/>
        <v>55.062864211135789</v>
      </c>
      <c r="G29" s="4">
        <f t="shared" si="1"/>
        <v>18.354288070378594</v>
      </c>
      <c r="H29" s="4">
        <f t="shared" si="2"/>
        <v>1058.3393893582338</v>
      </c>
      <c r="I29" s="4">
        <f t="shared" si="9"/>
        <v>974.04787636700348</v>
      </c>
      <c r="J29" s="33">
        <f>'2010-10'!J29</f>
        <v>1413.1502499999999</v>
      </c>
      <c r="K29" s="33">
        <f>'2010-10'!K29</f>
        <v>1376476</v>
      </c>
      <c r="L29" s="22">
        <f t="shared" si="3"/>
        <v>1030873.2346799389</v>
      </c>
      <c r="M29" s="22">
        <f t="shared" si="4"/>
        <v>1030873.2346799389</v>
      </c>
      <c r="N29" s="19" t="s">
        <v>91</v>
      </c>
      <c r="O29" s="4">
        <f t="shared" si="5"/>
        <v>521.72725440907652</v>
      </c>
      <c r="P29" s="13">
        <f>'2010-10'!P29</f>
        <v>737279</v>
      </c>
      <c r="Q29" s="22">
        <f t="shared" si="6"/>
        <v>552164.50384284998</v>
      </c>
      <c r="R29" s="13">
        <f t="shared" si="7"/>
        <v>552164.50384284998</v>
      </c>
      <c r="W29" s="18">
        <f t="shared" si="10"/>
        <v>0.53562793684742782</v>
      </c>
    </row>
    <row r="30" spans="1:23">
      <c r="A30" s="18" t="s">
        <v>45</v>
      </c>
      <c r="B30" s="4">
        <f>'2010-10'!B30</f>
        <v>72.35417413894163</v>
      </c>
      <c r="C30" s="4">
        <f>'2010-10'!C30</f>
        <v>80.92665935101023</v>
      </c>
      <c r="D30" s="16">
        <f t="shared" si="8"/>
        <v>26975.553117003408</v>
      </c>
      <c r="E30" s="4">
        <f>'Interval Circuities'!C30</f>
        <v>1.3031870861864812</v>
      </c>
      <c r="F30" s="4">
        <f t="shared" si="0"/>
        <v>55.520941625251815</v>
      </c>
      <c r="G30" s="4">
        <f t="shared" si="1"/>
        <v>18.506980541750604</v>
      </c>
      <c r="H30" s="4">
        <f t="shared" si="2"/>
        <v>1076.0216494657434</v>
      </c>
      <c r="I30" s="4">
        <f t="shared" si="9"/>
        <v>1001.6752173390063</v>
      </c>
      <c r="J30" s="33">
        <f>'2010-10'!J30</f>
        <v>2646.4566100000002</v>
      </c>
      <c r="K30" s="33">
        <f>'2010-10'!K30</f>
        <v>2650890</v>
      </c>
      <c r="L30" s="22">
        <f t="shared" si="3"/>
        <v>1077824.2195900746</v>
      </c>
      <c r="M30" s="22">
        <f t="shared" si="4"/>
        <v>1077824.2195900746</v>
      </c>
      <c r="N30" s="19" t="s">
        <v>91</v>
      </c>
      <c r="O30" s="4">
        <f t="shared" si="5"/>
        <v>594.14576987906855</v>
      </c>
      <c r="P30" s="13">
        <f>'2010-10'!P30</f>
        <v>1572381</v>
      </c>
      <c r="Q30" s="22">
        <f t="shared" si="6"/>
        <v>639313.71132836933</v>
      </c>
      <c r="R30" s="13">
        <f t="shared" si="7"/>
        <v>639313.71132836933</v>
      </c>
      <c r="W30" s="18">
        <f t="shared" si="10"/>
        <v>0.59315211117775535</v>
      </c>
    </row>
    <row r="31" spans="1:23">
      <c r="A31" s="18" t="s">
        <v>46</v>
      </c>
      <c r="B31" s="4">
        <f>'2010-10'!B31</f>
        <v>66.509434242873198</v>
      </c>
      <c r="C31" s="4">
        <f>'2010-10'!C31</f>
        <v>79.192244463512992</v>
      </c>
      <c r="D31" s="16">
        <f t="shared" si="8"/>
        <v>26397.414821170998</v>
      </c>
      <c r="E31" s="4">
        <f>'Interval Circuities'!C31</f>
        <v>1.359871384808002</v>
      </c>
      <c r="F31" s="4">
        <f t="shared" si="0"/>
        <v>48.908621054823911</v>
      </c>
      <c r="G31" s="4">
        <f t="shared" si="1"/>
        <v>16.302873684941304</v>
      </c>
      <c r="H31" s="4">
        <f t="shared" si="2"/>
        <v>834.98408916425967</v>
      </c>
      <c r="I31" s="4">
        <f t="shared" si="9"/>
        <v>664.38482730522799</v>
      </c>
      <c r="J31" s="33">
        <f>'2010-10'!J31</f>
        <v>1459.375591</v>
      </c>
      <c r="K31" s="33">
        <f>'2010-10'!K31</f>
        <v>969587</v>
      </c>
      <c r="L31" s="22">
        <f t="shared" si="3"/>
        <v>554750.7598820097</v>
      </c>
      <c r="M31" s="22">
        <f t="shared" si="4"/>
        <v>554750.7598820097</v>
      </c>
      <c r="N31" s="19" t="s">
        <v>91</v>
      </c>
      <c r="O31" s="4">
        <f t="shared" si="5"/>
        <v>447.40709932841406</v>
      </c>
      <c r="P31" s="13">
        <f>'2010-10'!P31</f>
        <v>652935</v>
      </c>
      <c r="Q31" s="22">
        <f t="shared" si="6"/>
        <v>373577.80931835924</v>
      </c>
      <c r="R31" s="13">
        <f t="shared" si="7"/>
        <v>373577.80931835924</v>
      </c>
      <c r="W31" s="18">
        <f t="shared" si="10"/>
        <v>0.67341558828655912</v>
      </c>
    </row>
    <row r="32" spans="1:23">
      <c r="A32" s="18" t="s">
        <v>47</v>
      </c>
      <c r="B32" s="4">
        <f>'2010-10'!B32</f>
        <v>70.113916315490926</v>
      </c>
      <c r="C32" s="4">
        <f>'2010-10'!C32</f>
        <v>78.214496785983556</v>
      </c>
      <c r="D32" s="16">
        <f t="shared" si="8"/>
        <v>26071.498928661185</v>
      </c>
      <c r="E32" s="4">
        <f>'Interval Circuities'!C32</f>
        <v>1.3838875737878413</v>
      </c>
      <c r="F32" s="4">
        <f t="shared" si="0"/>
        <v>50.664459775140543</v>
      </c>
      <c r="G32" s="4">
        <f t="shared" si="1"/>
        <v>16.888153258380179</v>
      </c>
      <c r="H32" s="4">
        <f t="shared" si="2"/>
        <v>896.01276258777045</v>
      </c>
      <c r="I32" s="4">
        <f t="shared" si="9"/>
        <v>1381.8089483990395</v>
      </c>
      <c r="J32" s="33">
        <f>'2010-10'!J32</f>
        <v>651.10520599999995</v>
      </c>
      <c r="K32" s="33">
        <f>'2010-10'!K32</f>
        <v>899703</v>
      </c>
      <c r="L32" s="22">
        <f t="shared" si="3"/>
        <v>1238118.4532235253</v>
      </c>
      <c r="M32" s="22">
        <f t="shared" si="4"/>
        <v>899703</v>
      </c>
      <c r="N32" s="19" t="s">
        <v>91</v>
      </c>
      <c r="O32" s="4">
        <f t="shared" si="5"/>
        <v>685.12276647347221</v>
      </c>
      <c r="P32" s="13">
        <f>'2010-10'!P32</f>
        <v>446087</v>
      </c>
      <c r="Q32" s="22">
        <f t="shared" si="6"/>
        <v>613878.74269967177</v>
      </c>
      <c r="R32" s="13">
        <f t="shared" si="7"/>
        <v>446087</v>
      </c>
      <c r="W32" s="18">
        <f t="shared" si="10"/>
        <v>0.49581584144990076</v>
      </c>
    </row>
    <row r="33" spans="1:23">
      <c r="A33" s="18" t="s">
        <v>64</v>
      </c>
      <c r="B33" s="4">
        <f>'2010-10'!B33</f>
        <v>60.636060061572778</v>
      </c>
      <c r="C33" s="4">
        <f>'2010-10'!C33</f>
        <v>75.646262173189555</v>
      </c>
      <c r="D33" s="16">
        <f t="shared" si="8"/>
        <v>25215.420724396517</v>
      </c>
      <c r="E33" s="4">
        <f>'Interval Circuities'!C33</f>
        <v>1.2629348483479246</v>
      </c>
      <c r="F33" s="4">
        <f t="shared" si="0"/>
        <v>48.012025434955937</v>
      </c>
      <c r="G33" s="4">
        <f t="shared" si="1"/>
        <v>16.004008478318646</v>
      </c>
      <c r="H33" s="4">
        <f t="shared" si="2"/>
        <v>804.65074599099262</v>
      </c>
      <c r="I33" s="4">
        <f t="shared" si="9"/>
        <v>2053.6406982836411</v>
      </c>
      <c r="J33" s="33">
        <f>'2010-10'!J33</f>
        <v>8935.9813599999998</v>
      </c>
      <c r="K33" s="33">
        <f>'2010-10'!K33</f>
        <v>18351295</v>
      </c>
      <c r="L33" s="22">
        <f t="shared" si="3"/>
        <v>1652463.5198713948</v>
      </c>
      <c r="M33" s="22">
        <f t="shared" si="4"/>
        <v>1652463.5198713948</v>
      </c>
      <c r="N33" s="19" t="s">
        <v>91</v>
      </c>
      <c r="O33" s="4">
        <f t="shared" si="5"/>
        <v>813.93354652208006</v>
      </c>
      <c r="P33" s="13">
        <f>'2010-10'!P33</f>
        <v>7273295</v>
      </c>
      <c r="Q33" s="22">
        <f t="shared" si="6"/>
        <v>654932.23539608601</v>
      </c>
      <c r="R33" s="13">
        <f t="shared" si="7"/>
        <v>654932.23539608601</v>
      </c>
      <c r="W33" s="18">
        <f t="shared" si="10"/>
        <v>0.39633687976788556</v>
      </c>
    </row>
    <row r="34" spans="1:23">
      <c r="A34" s="18" t="s">
        <v>65</v>
      </c>
      <c r="B34" s="4">
        <f>'2010-10'!B34</f>
        <v>62.746727907823015</v>
      </c>
      <c r="C34" s="4">
        <f>'2010-10'!C34</f>
        <v>70.343795554466837</v>
      </c>
      <c r="D34" s="16">
        <f t="shared" si="8"/>
        <v>23447.931851488946</v>
      </c>
      <c r="E34" s="4">
        <f>'Interval Circuities'!C34</f>
        <v>1.302577181329865</v>
      </c>
      <c r="F34" s="4">
        <f t="shared" si="0"/>
        <v>48.17121688233614</v>
      </c>
      <c r="G34" s="4">
        <f t="shared" si="1"/>
        <v>16.057072294112047</v>
      </c>
      <c r="H34" s="4">
        <f t="shared" si="2"/>
        <v>809.9954850584536</v>
      </c>
      <c r="I34" s="4">
        <f t="shared" si="9"/>
        <v>810.03967977262835</v>
      </c>
      <c r="J34" s="33">
        <f>'2010-10'!J34</f>
        <v>1063.53432</v>
      </c>
      <c r="K34" s="33">
        <f>'2010-10'!K34</f>
        <v>861505</v>
      </c>
      <c r="L34" s="22">
        <f t="shared" si="3"/>
        <v>656128.48333402455</v>
      </c>
      <c r="M34" s="22">
        <f t="shared" si="4"/>
        <v>656128.48333402455</v>
      </c>
      <c r="N34" s="19" t="s">
        <v>91</v>
      </c>
      <c r="O34" s="4">
        <f t="shared" si="5"/>
        <v>425.70699552037024</v>
      </c>
      <c r="P34" s="13">
        <f>'2010-10'!P34</f>
        <v>452754</v>
      </c>
      <c r="Q34" s="22">
        <f t="shared" si="6"/>
        <v>344820.74432929925</v>
      </c>
      <c r="R34" s="13">
        <f t="shared" si="7"/>
        <v>344820.74432929925</v>
      </c>
      <c r="W34" s="18">
        <f t="shared" si="10"/>
        <v>0.52553844725219234</v>
      </c>
    </row>
    <row r="35" spans="1:23">
      <c r="A35" s="18" t="s">
        <v>48</v>
      </c>
      <c r="B35" s="4">
        <f>'2010-10'!B35</f>
        <v>63.67703994300269</v>
      </c>
      <c r="C35" s="4">
        <f>'2010-10'!C35</f>
        <v>76.278541762827089</v>
      </c>
      <c r="D35" s="16">
        <f t="shared" si="8"/>
        <v>25426.180587609029</v>
      </c>
      <c r="E35" s="4">
        <f>'Interval Circuities'!C35</f>
        <v>1.368037812411222</v>
      </c>
      <c r="F35" s="4">
        <f t="shared" ref="F35:F53" si="11">B35/E35</f>
        <v>46.546257249110191</v>
      </c>
      <c r="G35" s="4">
        <f t="shared" ref="G35:G53" si="12">F35*$A$1</f>
        <v>15.515419083036729</v>
      </c>
      <c r="H35" s="4">
        <f t="shared" ref="H35:H53" si="13">PI()*G35^2</f>
        <v>756.27003675049195</v>
      </c>
      <c r="I35" s="4">
        <f t="shared" si="9"/>
        <v>975.7775860793671</v>
      </c>
      <c r="J35" s="33">
        <f>'2010-10'!J35</f>
        <v>1548.012602</v>
      </c>
      <c r="K35" s="33">
        <f>'2010-10'!K35</f>
        <v>1510516</v>
      </c>
      <c r="L35" s="22">
        <f t="shared" ref="L35:L53" si="14">H35*I35</f>
        <v>737951.35088454932</v>
      </c>
      <c r="M35" s="22">
        <f t="shared" ref="M35:M53" si="15">MIN(K35,L35)</f>
        <v>737951.35088454932</v>
      </c>
      <c r="N35" s="19" t="s">
        <v>91</v>
      </c>
      <c r="O35" s="4">
        <f t="shared" ref="O35:O53" si="16">P35/J35</f>
        <v>552.87922003622032</v>
      </c>
      <c r="P35" s="13">
        <f>'2010-10'!P35</f>
        <v>855864</v>
      </c>
      <c r="Q35" s="22">
        <f t="shared" ref="Q35:Q53" si="17">H35*O35</f>
        <v>418125.9880553757</v>
      </c>
      <c r="R35" s="13">
        <f t="shared" ref="R35:R53" si="18">MIN(Q35,P35)</f>
        <v>418125.9880553757</v>
      </c>
      <c r="W35" s="18">
        <f t="shared" si="10"/>
        <v>0.56660373011606624</v>
      </c>
    </row>
    <row r="36" spans="1:23">
      <c r="A36" s="18" t="s">
        <v>66</v>
      </c>
      <c r="B36" s="4">
        <f>'2010-10'!B36</f>
        <v>57.583198277252201</v>
      </c>
      <c r="C36" s="4">
        <f>'2010-10'!C36</f>
        <v>70.0901022214275</v>
      </c>
      <c r="D36" s="16">
        <f t="shared" si="8"/>
        <v>23363.367407142498</v>
      </c>
      <c r="E36" s="4">
        <f>'Interval Circuities'!C36</f>
        <v>1.221294302281372</v>
      </c>
      <c r="F36" s="4">
        <f t="shared" si="11"/>
        <v>47.149321969067614</v>
      </c>
      <c r="G36" s="4">
        <f t="shared" si="12"/>
        <v>15.716440656355871</v>
      </c>
      <c r="H36" s="4">
        <f t="shared" si="13"/>
        <v>775.99382748085725</v>
      </c>
      <c r="I36" s="4">
        <f t="shared" si="9"/>
        <v>1060.3784681288619</v>
      </c>
      <c r="J36" s="33">
        <f>'2010-10'!J36</f>
        <v>5131.7215159999996</v>
      </c>
      <c r="K36" s="33">
        <f>'2010-10'!K36</f>
        <v>5441567</v>
      </c>
      <c r="L36" s="22">
        <f t="shared" si="14"/>
        <v>822847.14606160368</v>
      </c>
      <c r="M36" s="22">
        <f t="shared" si="15"/>
        <v>822847.14606160368</v>
      </c>
      <c r="N36" s="19" t="s">
        <v>91</v>
      </c>
      <c r="O36" s="4">
        <f t="shared" si="16"/>
        <v>471.88667437424527</v>
      </c>
      <c r="P36" s="13">
        <f>'2010-10'!P36</f>
        <v>2421591</v>
      </c>
      <c r="Q36" s="22">
        <f t="shared" si="17"/>
        <v>366181.14658488357</v>
      </c>
      <c r="R36" s="13">
        <f t="shared" si="18"/>
        <v>366181.14658488357</v>
      </c>
      <c r="W36" s="18">
        <f t="shared" si="10"/>
        <v>0.445017216548101</v>
      </c>
    </row>
    <row r="37" spans="1:23">
      <c r="A37" s="18" t="s">
        <v>49</v>
      </c>
      <c r="B37" s="4">
        <f>'2010-10'!B37</f>
        <v>65.523113774601583</v>
      </c>
      <c r="C37" s="4">
        <f>'2010-10'!C37</f>
        <v>75.058272553254923</v>
      </c>
      <c r="D37" s="16">
        <f t="shared" si="8"/>
        <v>25019.424184418305</v>
      </c>
      <c r="E37" s="4">
        <f>'Interval Circuities'!C37</f>
        <v>1.3330034239016018</v>
      </c>
      <c r="F37" s="4">
        <f t="shared" si="11"/>
        <v>49.15449773026112</v>
      </c>
      <c r="G37" s="4">
        <f t="shared" si="12"/>
        <v>16.384832576753706</v>
      </c>
      <c r="H37" s="4">
        <f t="shared" si="13"/>
        <v>843.40056724860972</v>
      </c>
      <c r="I37" s="4">
        <f t="shared" si="9"/>
        <v>1222.0875996258867</v>
      </c>
      <c r="J37" s="33">
        <f>'2010-10'!J37</f>
        <v>2969.6021799999999</v>
      </c>
      <c r="K37" s="33">
        <f>'2010-10'!K37</f>
        <v>3629114</v>
      </c>
      <c r="L37" s="22">
        <f t="shared" si="14"/>
        <v>1030709.3747519647</v>
      </c>
      <c r="M37" s="22">
        <f t="shared" si="15"/>
        <v>1030709.3747519647</v>
      </c>
      <c r="N37" s="19" t="s">
        <v>91</v>
      </c>
      <c r="O37" s="4">
        <f t="shared" si="16"/>
        <v>489.41201949144585</v>
      </c>
      <c r="P37" s="13">
        <f>'2010-10'!P37</f>
        <v>1453359</v>
      </c>
      <c r="Q37" s="22">
        <f t="shared" si="17"/>
        <v>412770.37485737307</v>
      </c>
      <c r="R37" s="13">
        <f t="shared" si="18"/>
        <v>412770.37485737307</v>
      </c>
      <c r="W37" s="18">
        <f t="shared" si="10"/>
        <v>0.40047212625450729</v>
      </c>
    </row>
    <row r="38" spans="1:23">
      <c r="A38" s="18" t="s">
        <v>50</v>
      </c>
      <c r="B38" s="4">
        <f>'2010-10'!B38</f>
        <v>59.807444822625882</v>
      </c>
      <c r="C38" s="4">
        <f>'2010-10'!C38</f>
        <v>71.241563498997948</v>
      </c>
      <c r="D38" s="16">
        <f t="shared" si="8"/>
        <v>23747.187832999316</v>
      </c>
      <c r="E38" s="4">
        <f>'Interval Circuities'!C38</f>
        <v>1.3399770609126298</v>
      </c>
      <c r="F38" s="4">
        <f t="shared" si="11"/>
        <v>44.633185572514435</v>
      </c>
      <c r="G38" s="4">
        <f t="shared" si="12"/>
        <v>14.877728524171477</v>
      </c>
      <c r="H38" s="4">
        <f t="shared" si="13"/>
        <v>695.38149974751639</v>
      </c>
      <c r="I38" s="4">
        <f t="shared" si="9"/>
        <v>739.57535155262258</v>
      </c>
      <c r="J38" s="33">
        <f>'2010-10'!J38</f>
        <v>2344.389921</v>
      </c>
      <c r="K38" s="33">
        <f>'2010-10'!K38</f>
        <v>1733853</v>
      </c>
      <c r="L38" s="22">
        <f t="shared" si="14"/>
        <v>514287.01713895937</v>
      </c>
      <c r="M38" s="22">
        <f t="shared" si="15"/>
        <v>514287.01713895937</v>
      </c>
      <c r="N38" s="19" t="s">
        <v>91</v>
      </c>
      <c r="O38" s="4">
        <f t="shared" si="16"/>
        <v>439.74681462555225</v>
      </c>
      <c r="P38" s="13">
        <f>'2010-10'!P38</f>
        <v>1030938</v>
      </c>
      <c r="Q38" s="22">
        <f t="shared" si="17"/>
        <v>305791.79946350958</v>
      </c>
      <c r="R38" s="13">
        <f t="shared" si="18"/>
        <v>305791.79946350958</v>
      </c>
      <c r="W38" s="18">
        <f t="shared" si="10"/>
        <v>0.59459365932406028</v>
      </c>
    </row>
    <row r="39" spans="1:23">
      <c r="A39" s="18" t="s">
        <v>51</v>
      </c>
      <c r="B39" s="4">
        <f>'2010-10'!B39</f>
        <v>58.331030650507813</v>
      </c>
      <c r="C39" s="4">
        <f>'2010-10'!C39</f>
        <v>69.29589065244727</v>
      </c>
      <c r="D39" s="16">
        <f t="shared" si="8"/>
        <v>23098.630217482423</v>
      </c>
      <c r="E39" s="4">
        <f>'Interval Circuities'!C39</f>
        <v>1.4913588455422746</v>
      </c>
      <c r="F39" s="4">
        <f t="shared" si="11"/>
        <v>39.112672865327731</v>
      </c>
      <c r="G39" s="4">
        <f t="shared" si="12"/>
        <v>13.03755762177591</v>
      </c>
      <c r="H39" s="4">
        <f t="shared" si="13"/>
        <v>534.00134937368125</v>
      </c>
      <c r="I39" s="4">
        <f t="shared" si="9"/>
        <v>1362.0759506608479</v>
      </c>
      <c r="J39" s="33">
        <f>'2010-10'!J39</f>
        <v>1358.1459970000001</v>
      </c>
      <c r="K39" s="33">
        <f>'2010-10'!K39</f>
        <v>1849898</v>
      </c>
      <c r="L39" s="22">
        <f t="shared" si="14"/>
        <v>727350.39560233243</v>
      </c>
      <c r="M39" s="22">
        <f t="shared" si="15"/>
        <v>727350.39560233243</v>
      </c>
      <c r="N39" s="19" t="s">
        <v>91</v>
      </c>
      <c r="O39" s="4">
        <f t="shared" si="16"/>
        <v>641.16376436958274</v>
      </c>
      <c r="P39" s="13">
        <f>'2010-10'!P39</f>
        <v>870794</v>
      </c>
      <c r="Q39" s="22">
        <f t="shared" si="17"/>
        <v>342382.31534286618</v>
      </c>
      <c r="R39" s="13">
        <f t="shared" si="18"/>
        <v>342382.31534286618</v>
      </c>
      <c r="W39" s="18">
        <f t="shared" si="10"/>
        <v>0.47072541296871501</v>
      </c>
    </row>
    <row r="40" spans="1:23">
      <c r="A40" s="18" t="s">
        <v>52</v>
      </c>
      <c r="B40" s="4">
        <f>'2010-10'!B40</f>
        <v>61.333480923569354</v>
      </c>
      <c r="C40" s="4">
        <f>'2010-10'!C40</f>
        <v>68.947108687192596</v>
      </c>
      <c r="D40" s="16">
        <f t="shared" si="8"/>
        <v>22982.369562397529</v>
      </c>
      <c r="E40" s="4">
        <f>'Interval Circuities'!C40</f>
        <v>1.2792927288201636</v>
      </c>
      <c r="F40" s="4">
        <f t="shared" si="11"/>
        <v>47.943273296123998</v>
      </c>
      <c r="G40" s="4">
        <f t="shared" si="12"/>
        <v>15.981091098707999</v>
      </c>
      <c r="H40" s="4">
        <f t="shared" si="13"/>
        <v>802.34791249223076</v>
      </c>
      <c r="I40" s="4">
        <f t="shared" si="9"/>
        <v>843.65595688883184</v>
      </c>
      <c r="J40" s="33">
        <f>'2010-10'!J40</f>
        <v>1411.6607489999999</v>
      </c>
      <c r="K40" s="33">
        <f>'2010-10'!K40</f>
        <v>1190956</v>
      </c>
      <c r="L40" s="22">
        <f t="shared" si="14"/>
        <v>676905.59587138961</v>
      </c>
      <c r="M40" s="22">
        <f t="shared" si="15"/>
        <v>676905.59587138961</v>
      </c>
      <c r="N40" s="19" t="s">
        <v>91</v>
      </c>
      <c r="O40" s="4">
        <f t="shared" si="16"/>
        <v>418.3023438303448</v>
      </c>
      <c r="P40" s="13">
        <f>'2010-10'!P40</f>
        <v>590501</v>
      </c>
      <c r="Q40" s="22">
        <f t="shared" si="17"/>
        <v>335624.01236288453</v>
      </c>
      <c r="R40" s="13">
        <f t="shared" si="18"/>
        <v>335624.01236288453</v>
      </c>
      <c r="W40" s="18">
        <f t="shared" si="10"/>
        <v>0.49582100430242604</v>
      </c>
    </row>
    <row r="41" spans="1:23">
      <c r="A41" s="18" t="s">
        <v>53</v>
      </c>
      <c r="B41" s="4">
        <f>'2010-10'!B41</f>
        <v>70.888143113567551</v>
      </c>
      <c r="C41" s="4">
        <f>'2010-10'!C41</f>
        <v>80.329607978863407</v>
      </c>
      <c r="D41" s="16">
        <f t="shared" si="8"/>
        <v>26776.535992954468</v>
      </c>
      <c r="E41" s="4">
        <f>'Interval Circuities'!C41</f>
        <v>1.2841673699040268</v>
      </c>
      <c r="F41" s="4">
        <f t="shared" si="11"/>
        <v>55.201638645331279</v>
      </c>
      <c r="G41" s="4">
        <f t="shared" si="12"/>
        <v>18.400546215110424</v>
      </c>
      <c r="H41" s="4">
        <f t="shared" si="13"/>
        <v>1063.6807579985748</v>
      </c>
      <c r="I41" s="4">
        <f t="shared" si="9"/>
        <v>659.39427440794395</v>
      </c>
      <c r="J41" s="33">
        <f>'2010-10'!J41</f>
        <v>1341.975559</v>
      </c>
      <c r="K41" s="33">
        <f>'2010-10'!K41</f>
        <v>884891</v>
      </c>
      <c r="L41" s="22">
        <f t="shared" si="14"/>
        <v>701385.00162216206</v>
      </c>
      <c r="M41" s="22">
        <f t="shared" si="15"/>
        <v>701385.00162216206</v>
      </c>
      <c r="N41" s="19" t="s">
        <v>91</v>
      </c>
      <c r="O41" s="4">
        <f t="shared" si="16"/>
        <v>305.97949213469991</v>
      </c>
      <c r="P41" s="13">
        <f>'2010-10'!P41</f>
        <v>410617</v>
      </c>
      <c r="Q41" s="22">
        <f t="shared" si="17"/>
        <v>325464.49812585657</v>
      </c>
      <c r="R41" s="13">
        <f t="shared" si="18"/>
        <v>325464.49812585657</v>
      </c>
      <c r="W41" s="18">
        <f t="shared" si="10"/>
        <v>0.46403116316020848</v>
      </c>
    </row>
    <row r="42" spans="1:23">
      <c r="A42" s="18" t="s">
        <v>81</v>
      </c>
      <c r="B42" s="4">
        <f>'2010-10'!B42</f>
        <v>64.044695759894694</v>
      </c>
      <c r="C42" s="4">
        <f>'2010-10'!C42</f>
        <v>72.196124164991133</v>
      </c>
      <c r="D42" s="16">
        <f t="shared" si="8"/>
        <v>24065.374721663709</v>
      </c>
      <c r="E42" s="4">
        <f>'Interval Circuities'!C42</f>
        <v>1.2619074783498458</v>
      </c>
      <c r="F42" s="4">
        <f t="shared" si="11"/>
        <v>50.752291161348687</v>
      </c>
      <c r="G42" s="4">
        <f t="shared" si="12"/>
        <v>16.917430387116227</v>
      </c>
      <c r="H42" s="4">
        <f t="shared" si="13"/>
        <v>899.12209241805715</v>
      </c>
      <c r="I42" s="4">
        <f t="shared" si="9"/>
        <v>857.44540355569529</v>
      </c>
      <c r="J42" s="33">
        <f>'2010-10'!J42</f>
        <v>840.37070700000004</v>
      </c>
      <c r="K42" s="33">
        <f>'2010-10'!K42</f>
        <v>720572</v>
      </c>
      <c r="L42" s="22">
        <f t="shared" si="14"/>
        <v>770948.10537924222</v>
      </c>
      <c r="M42" s="22">
        <f t="shared" si="15"/>
        <v>720572</v>
      </c>
      <c r="N42" s="19" t="s">
        <v>91</v>
      </c>
      <c r="O42" s="4">
        <f t="shared" si="16"/>
        <v>493.93082902876574</v>
      </c>
      <c r="P42" s="13">
        <f>'2010-10'!P42</f>
        <v>415085</v>
      </c>
      <c r="Q42" s="22">
        <f t="shared" si="17"/>
        <v>444104.12050612952</v>
      </c>
      <c r="R42" s="13">
        <f t="shared" si="18"/>
        <v>415085</v>
      </c>
      <c r="W42" s="18">
        <f t="shared" si="10"/>
        <v>0.57604930527414333</v>
      </c>
    </row>
    <row r="43" spans="1:23">
      <c r="A43" s="18" t="s">
        <v>54</v>
      </c>
      <c r="B43" s="4">
        <f>'2010-10'!B43</f>
        <v>69.851259887217722</v>
      </c>
      <c r="C43" s="4">
        <f>'2010-10'!C43</f>
        <v>81.455388016103115</v>
      </c>
      <c r="D43" s="16">
        <f t="shared" si="8"/>
        <v>27151.796005367705</v>
      </c>
      <c r="E43" s="4">
        <f>'Interval Circuities'!C43</f>
        <v>1.4013492588209344</v>
      </c>
      <c r="F43" s="4">
        <f t="shared" si="11"/>
        <v>49.84571793757474</v>
      </c>
      <c r="G43" s="4">
        <f t="shared" si="12"/>
        <v>16.615239312524913</v>
      </c>
      <c r="H43" s="4">
        <f t="shared" si="13"/>
        <v>867.28747486364273</v>
      </c>
      <c r="I43" s="4">
        <f t="shared" si="9"/>
        <v>1413.0147860308737</v>
      </c>
      <c r="J43" s="33">
        <f>'2010-10'!J43</f>
        <v>1219.8272919999999</v>
      </c>
      <c r="K43" s="33">
        <f>'2010-10'!K43</f>
        <v>1723634</v>
      </c>
      <c r="L43" s="22">
        <f t="shared" si="14"/>
        <v>1225490.0257217069</v>
      </c>
      <c r="M43" s="22">
        <f t="shared" si="15"/>
        <v>1225490.0257217069</v>
      </c>
      <c r="N43" s="19" t="s">
        <v>91</v>
      </c>
      <c r="O43" s="4">
        <f t="shared" si="16"/>
        <v>509.14420760475986</v>
      </c>
      <c r="P43" s="13">
        <f>'2010-10'!P43</f>
        <v>621068</v>
      </c>
      <c r="Q43" s="22">
        <f t="shared" si="17"/>
        <v>441574.39415498247</v>
      </c>
      <c r="R43" s="13">
        <f t="shared" si="18"/>
        <v>441574.39415498247</v>
      </c>
      <c r="W43" s="18">
        <f t="shared" si="10"/>
        <v>0.36032475571960171</v>
      </c>
    </row>
    <row r="44" spans="1:23">
      <c r="A44" s="18" t="s">
        <v>55</v>
      </c>
      <c r="B44" s="4">
        <f>'2010-10'!B44</f>
        <v>64.533357950473999</v>
      </c>
      <c r="C44" s="4">
        <f>'2010-10'!C44</f>
        <v>73.630820924041743</v>
      </c>
      <c r="D44" s="16">
        <f t="shared" si="8"/>
        <v>24543.606974680577</v>
      </c>
      <c r="E44" s="4">
        <f>'Interval Circuities'!C44</f>
        <v>1.3751662227690009</v>
      </c>
      <c r="F44" s="4">
        <f t="shared" si="11"/>
        <v>46.927678183173533</v>
      </c>
      <c r="G44" s="4">
        <f t="shared" si="12"/>
        <v>15.642559394391178</v>
      </c>
      <c r="H44" s="4">
        <f t="shared" si="13"/>
        <v>768.71525211055803</v>
      </c>
      <c r="I44" s="4">
        <f t="shared" si="9"/>
        <v>1418.9468389746553</v>
      </c>
      <c r="J44" s="33">
        <f>'2010-10'!J44</f>
        <v>719.71900000000005</v>
      </c>
      <c r="K44" s="33">
        <f>'2010-10'!K44</f>
        <v>1021243</v>
      </c>
      <c r="L44" s="22">
        <f t="shared" si="14"/>
        <v>1090766.0770538815</v>
      </c>
      <c r="M44" s="22">
        <f t="shared" si="15"/>
        <v>1021243</v>
      </c>
      <c r="N44" s="19" t="s">
        <v>91</v>
      </c>
      <c r="O44" s="4">
        <f t="shared" si="16"/>
        <v>731.05892716462949</v>
      </c>
      <c r="P44" s="13">
        <f>'2010-10'!P44</f>
        <v>526157</v>
      </c>
      <c r="Q44" s="22">
        <f t="shared" si="17"/>
        <v>561976.14750303223</v>
      </c>
      <c r="R44" s="13">
        <f t="shared" si="18"/>
        <v>526157</v>
      </c>
      <c r="W44" s="18">
        <f t="shared" si="10"/>
        <v>0.51521234417273853</v>
      </c>
    </row>
    <row r="45" spans="1:23">
      <c r="A45" s="18" t="s">
        <v>67</v>
      </c>
      <c r="B45" s="4">
        <f>'2010-10'!B45</f>
        <v>70.329269785649885</v>
      </c>
      <c r="C45" s="4">
        <f>'2010-10'!C45</f>
        <v>78.441220996603292</v>
      </c>
      <c r="D45" s="16">
        <f t="shared" si="8"/>
        <v>26147.07366553443</v>
      </c>
      <c r="E45" s="4">
        <f>'Interval Circuities'!C45</f>
        <v>1.3730841421652697</v>
      </c>
      <c r="F45" s="4">
        <f t="shared" si="11"/>
        <v>51.21992718868993</v>
      </c>
      <c r="G45" s="4">
        <f t="shared" si="12"/>
        <v>17.073309062896641</v>
      </c>
      <c r="H45" s="4">
        <f t="shared" si="13"/>
        <v>915.7676057503254</v>
      </c>
      <c r="I45" s="4">
        <f t="shared" si="9"/>
        <v>1136.9073371227814</v>
      </c>
      <c r="J45" s="33">
        <f>'2010-10'!J45</f>
        <v>1546.484874</v>
      </c>
      <c r="K45" s="33">
        <f>'2010-10'!K45</f>
        <v>1758210</v>
      </c>
      <c r="L45" s="22">
        <f t="shared" si="14"/>
        <v>1041142.9100769076</v>
      </c>
      <c r="M45" s="22">
        <f t="shared" si="15"/>
        <v>1041142.9100769076</v>
      </c>
      <c r="N45" s="19" t="s">
        <v>91</v>
      </c>
      <c r="O45" s="4">
        <f t="shared" si="16"/>
        <v>464.39186834232174</v>
      </c>
      <c r="P45" s="13">
        <f>'2010-10'!P45</f>
        <v>718175</v>
      </c>
      <c r="Q45" s="22">
        <f t="shared" si="17"/>
        <v>425275.02940176829</v>
      </c>
      <c r="R45" s="13">
        <f t="shared" si="18"/>
        <v>425275.02940176829</v>
      </c>
      <c r="W45" s="18">
        <f t="shared" si="10"/>
        <v>0.40846940922870412</v>
      </c>
    </row>
    <row r="46" spans="1:23">
      <c r="A46" s="18" t="s">
        <v>68</v>
      </c>
      <c r="B46" s="4">
        <f>'2010-10'!B46</f>
        <v>74.208902356796543</v>
      </c>
      <c r="C46" s="4">
        <f>'2010-10'!C46</f>
        <v>85.358369483865644</v>
      </c>
      <c r="D46" s="16">
        <f t="shared" si="8"/>
        <v>28452.789827955214</v>
      </c>
      <c r="E46" s="4">
        <f>'Interval Circuities'!C46</f>
        <v>1.4206259686722074</v>
      </c>
      <c r="F46" s="4">
        <f t="shared" si="11"/>
        <v>52.236763224986049</v>
      </c>
      <c r="G46" s="4">
        <f t="shared" si="12"/>
        <v>17.412254408328682</v>
      </c>
      <c r="H46" s="4">
        <f t="shared" si="13"/>
        <v>952.488806474905</v>
      </c>
      <c r="I46" s="4">
        <f t="shared" si="9"/>
        <v>1558.6954968295993</v>
      </c>
      <c r="J46" s="33">
        <f>'2010-10'!J46</f>
        <v>1896.936256</v>
      </c>
      <c r="K46" s="33">
        <f>'2010-10'!K46</f>
        <v>2956746</v>
      </c>
      <c r="L46" s="22">
        <f t="shared" si="14"/>
        <v>1484640.0134330341</v>
      </c>
      <c r="M46" s="22">
        <f t="shared" si="15"/>
        <v>1484640.0134330341</v>
      </c>
      <c r="N46" s="19" t="s">
        <v>91</v>
      </c>
      <c r="O46" s="4">
        <f t="shared" si="16"/>
        <v>580.58039457916288</v>
      </c>
      <c r="P46" s="13">
        <f>'2010-10'!P46</f>
        <v>1101324</v>
      </c>
      <c r="Q46" s="22">
        <f t="shared" si="17"/>
        <v>552996.32709543628</v>
      </c>
      <c r="R46" s="13">
        <f t="shared" si="18"/>
        <v>552996.32709543628</v>
      </c>
      <c r="W46" s="18">
        <f t="shared" si="10"/>
        <v>0.37247839347715361</v>
      </c>
    </row>
    <row r="47" spans="1:23" ht="16">
      <c r="A47" s="18" t="s">
        <v>113</v>
      </c>
      <c r="B47" s="4">
        <f>'2010-10'!B47</f>
        <v>72.542200404561456</v>
      </c>
      <c r="C47" s="4">
        <f>'2010-10'!C47</f>
        <v>85.183417252245661</v>
      </c>
      <c r="D47" s="16">
        <f t="shared" si="8"/>
        <v>28394.472417415218</v>
      </c>
      <c r="E47" s="4">
        <f>'Interval Circuities'!C47</f>
        <v>1.4357618484653247</v>
      </c>
      <c r="F47" s="4">
        <f t="shared" si="11"/>
        <v>50.525231940172581</v>
      </c>
      <c r="G47" s="4">
        <f t="shared" si="12"/>
        <v>16.841743980057526</v>
      </c>
      <c r="H47" s="4">
        <f t="shared" si="13"/>
        <v>891.09497568677125</v>
      </c>
      <c r="I47" s="4">
        <f t="shared" si="9"/>
        <v>2419.4675820015173</v>
      </c>
      <c r="J47" s="33">
        <f>'2010-10'!J47</f>
        <v>1356.1710949999999</v>
      </c>
      <c r="K47" s="33">
        <f>'2010-10'!K47</f>
        <v>3281212</v>
      </c>
      <c r="L47" s="22">
        <f t="shared" si="14"/>
        <v>2155975.4061585735</v>
      </c>
      <c r="M47" s="22">
        <f t="shared" si="15"/>
        <v>2155975.4061585735</v>
      </c>
      <c r="N47" s="19" t="s">
        <v>91</v>
      </c>
      <c r="O47" s="4">
        <f t="shared" si="16"/>
        <v>1303.5176804148005</v>
      </c>
      <c r="P47" s="13">
        <f>'2010-10'!P47</f>
        <v>1767793</v>
      </c>
      <c r="Q47" s="22">
        <f t="shared" si="17"/>
        <v>1161558.0557365031</v>
      </c>
      <c r="R47" s="13">
        <f t="shared" si="18"/>
        <v>1161558.0557365031</v>
      </c>
      <c r="W47" s="18">
        <f t="shared" si="10"/>
        <v>0.53876220128415964</v>
      </c>
    </row>
    <row r="48" spans="1:23" ht="16">
      <c r="A48" s="18" t="s">
        <v>71</v>
      </c>
      <c r="B48" s="4">
        <f>'2010-10'!B48</f>
        <v>67.913980035971221</v>
      </c>
      <c r="C48" s="4">
        <f>'2010-10'!C48</f>
        <v>78.194542652624932</v>
      </c>
      <c r="D48" s="16">
        <f t="shared" si="8"/>
        <v>26064.847550874976</v>
      </c>
      <c r="E48" s="4">
        <f>'Interval Circuities'!C48</f>
        <v>1.4014055067960625</v>
      </c>
      <c r="F48" s="4">
        <f t="shared" si="11"/>
        <v>48.461333787133682</v>
      </c>
      <c r="G48" s="4">
        <f t="shared" si="12"/>
        <v>16.153777929044558</v>
      </c>
      <c r="H48" s="4">
        <f t="shared" si="13"/>
        <v>819.78145419655277</v>
      </c>
      <c r="I48" s="4">
        <f t="shared" si="9"/>
        <v>2247.211920874815</v>
      </c>
      <c r="J48" s="33">
        <f>'2010-10'!J48</f>
        <v>740.69382800000005</v>
      </c>
      <c r="K48" s="33">
        <f>'2010-10'!K48</f>
        <v>1664496</v>
      </c>
      <c r="L48" s="22">
        <f t="shared" si="14"/>
        <v>1842222.6563825845</v>
      </c>
      <c r="M48" s="22">
        <f t="shared" si="15"/>
        <v>1664496</v>
      </c>
      <c r="N48" s="19" t="s">
        <v>91</v>
      </c>
      <c r="O48" s="4">
        <f t="shared" si="16"/>
        <v>1157.0664795656971</v>
      </c>
      <c r="P48" s="13">
        <f>'2010-10'!P48</f>
        <v>857032</v>
      </c>
      <c r="Q48" s="22">
        <f t="shared" si="17"/>
        <v>948541.64122045308</v>
      </c>
      <c r="R48" s="13">
        <f t="shared" si="18"/>
        <v>857032</v>
      </c>
      <c r="W48" s="18">
        <f t="shared" si="10"/>
        <v>0.51488979246570743</v>
      </c>
    </row>
    <row r="49" spans="1:23">
      <c r="A49" s="18" t="s">
        <v>56</v>
      </c>
      <c r="B49" s="4">
        <f>'2010-10'!B49</f>
        <v>59.237163329958236</v>
      </c>
      <c r="C49" s="4">
        <f>'2010-10'!C49</f>
        <v>69.529876568500782</v>
      </c>
      <c r="D49" s="16">
        <f t="shared" si="8"/>
        <v>23176.625522833594</v>
      </c>
      <c r="E49" s="4">
        <f>'Interval Circuities'!C49</f>
        <v>1.4789578076803838</v>
      </c>
      <c r="F49" s="4">
        <f t="shared" si="11"/>
        <v>40.053315261823833</v>
      </c>
      <c r="G49" s="4">
        <f t="shared" si="12"/>
        <v>13.351105087274611</v>
      </c>
      <c r="H49" s="4">
        <f t="shared" si="13"/>
        <v>559.9951958404713</v>
      </c>
      <c r="I49" s="4">
        <f t="shared" si="9"/>
        <v>1169.1810890127867</v>
      </c>
      <c r="J49" s="33">
        <f>'2010-10'!J49</f>
        <v>2616.6973010000002</v>
      </c>
      <c r="K49" s="33">
        <f>'2010-10'!K49</f>
        <v>3059393</v>
      </c>
      <c r="L49" s="22">
        <f t="shared" si="14"/>
        <v>654735.79291469103</v>
      </c>
      <c r="M49" s="22">
        <f t="shared" si="15"/>
        <v>654735.79291469103</v>
      </c>
      <c r="N49" s="19" t="s">
        <v>91</v>
      </c>
      <c r="O49" s="4">
        <f t="shared" si="16"/>
        <v>548.69319406998534</v>
      </c>
      <c r="P49" s="13">
        <f>'2010-10'!P49</f>
        <v>1435764</v>
      </c>
      <c r="Q49" s="22">
        <f t="shared" si="17"/>
        <v>307265.55266955518</v>
      </c>
      <c r="R49" s="13">
        <f t="shared" si="18"/>
        <v>307265.55266955518</v>
      </c>
      <c r="W49" s="18">
        <f t="shared" si="10"/>
        <v>0.46929701414627017</v>
      </c>
    </row>
    <row r="50" spans="1:23">
      <c r="A50" s="18" t="s">
        <v>75</v>
      </c>
      <c r="B50" s="4">
        <f>'2010-10'!B50</f>
        <v>59.396208684850201</v>
      </c>
      <c r="C50" s="4">
        <f>'2010-10'!C50</f>
        <v>72.013674499161084</v>
      </c>
      <c r="D50" s="16">
        <f t="shared" si="8"/>
        <v>24004.558166387029</v>
      </c>
      <c r="E50" s="4">
        <f>'Interval Circuities'!C50</f>
        <v>1.2828613575676235</v>
      </c>
      <c r="F50" s="4">
        <f t="shared" si="11"/>
        <v>46.299787841040526</v>
      </c>
      <c r="G50" s="4">
        <f t="shared" si="12"/>
        <v>15.433262613680174</v>
      </c>
      <c r="H50" s="4">
        <f t="shared" si="13"/>
        <v>748.28211513760812</v>
      </c>
      <c r="I50" s="4">
        <f t="shared" si="9"/>
        <v>1715.2084870415904</v>
      </c>
      <c r="J50" s="33">
        <f>'2010-10'!J50</f>
        <v>3207.994271</v>
      </c>
      <c r="K50" s="33">
        <f>'2010-10'!K50</f>
        <v>5502379</v>
      </c>
      <c r="L50" s="22">
        <f t="shared" si="14"/>
        <v>1283459.834585458</v>
      </c>
      <c r="M50" s="22">
        <f t="shared" si="15"/>
        <v>1283459.834585458</v>
      </c>
      <c r="N50" s="19" t="s">
        <v>91</v>
      </c>
      <c r="O50" s="4">
        <f t="shared" si="16"/>
        <v>567.61603861355525</v>
      </c>
      <c r="P50" s="13">
        <f>'2010-10'!P50</f>
        <v>1820909</v>
      </c>
      <c r="Q50" s="22">
        <f t="shared" si="17"/>
        <v>424736.92995978135</v>
      </c>
      <c r="R50" s="13">
        <f t="shared" si="18"/>
        <v>424736.92995978135</v>
      </c>
      <c r="W50" s="18">
        <f t="shared" si="10"/>
        <v>0.33093122084102167</v>
      </c>
    </row>
    <row r="51" spans="1:23">
      <c r="A51" s="18" t="s">
        <v>57</v>
      </c>
      <c r="B51" s="4">
        <f>'2010-10'!B51</f>
        <v>55.946693712217225</v>
      </c>
      <c r="C51" s="4">
        <f>'2010-10'!C51</f>
        <v>67.155256306515241</v>
      </c>
      <c r="D51" s="16">
        <f t="shared" si="8"/>
        <v>22385.08543550508</v>
      </c>
      <c r="E51" s="4">
        <f>'Interval Circuities'!C51</f>
        <v>1.399372508003506</v>
      </c>
      <c r="F51" s="4">
        <f t="shared" si="11"/>
        <v>39.979843388546158</v>
      </c>
      <c r="G51" s="4">
        <f t="shared" si="12"/>
        <v>13.326614462848719</v>
      </c>
      <c r="H51" s="4">
        <f t="shared" si="13"/>
        <v>557.94262368233194</v>
      </c>
      <c r="I51" s="4">
        <f t="shared" si="9"/>
        <v>899.04720299169355</v>
      </c>
      <c r="J51" s="33">
        <f>'2010-10'!J51</f>
        <v>2392.2058740000002</v>
      </c>
      <c r="K51" s="33">
        <f>'2010-10'!K51</f>
        <v>2150706</v>
      </c>
      <c r="L51" s="22">
        <f t="shared" si="14"/>
        <v>501616.75525144755</v>
      </c>
      <c r="M51" s="22">
        <f t="shared" si="15"/>
        <v>501616.75525144755</v>
      </c>
      <c r="N51" s="19" t="s">
        <v>91</v>
      </c>
      <c r="O51" s="4">
        <f t="shared" si="16"/>
        <v>488.93826936569087</v>
      </c>
      <c r="P51" s="13">
        <f>'2010-10'!P51</f>
        <v>1169641</v>
      </c>
      <c r="Q51" s="22">
        <f t="shared" si="17"/>
        <v>272799.50082859228</v>
      </c>
      <c r="R51" s="13">
        <f t="shared" si="18"/>
        <v>272799.50082859228</v>
      </c>
      <c r="W51" s="18">
        <f t="shared" si="10"/>
        <v>0.5438404877282158</v>
      </c>
    </row>
    <row r="52" spans="1:23">
      <c r="A52" s="18" t="s">
        <v>70</v>
      </c>
      <c r="B52" s="4">
        <f>'2010-10'!B52</f>
        <v>65.037009428922346</v>
      </c>
      <c r="C52" s="4">
        <f>'2010-10'!C52</f>
        <v>76.223831707390744</v>
      </c>
      <c r="D52" s="16">
        <f t="shared" si="8"/>
        <v>25407.943902463579</v>
      </c>
      <c r="E52" s="4">
        <f>'Interval Circuities'!C52</f>
        <v>1.3116335868847857</v>
      </c>
      <c r="F52" s="4">
        <f t="shared" si="11"/>
        <v>49.584739274166829</v>
      </c>
      <c r="G52" s="4">
        <f t="shared" si="12"/>
        <v>16.528246424722276</v>
      </c>
      <c r="H52" s="4">
        <f t="shared" si="13"/>
        <v>858.22948558566009</v>
      </c>
      <c r="I52" s="4">
        <f t="shared" si="9"/>
        <v>985.14575645956916</v>
      </c>
      <c r="J52" s="33">
        <f>'2010-10'!J52</f>
        <v>2478.5875430000001</v>
      </c>
      <c r="K52" s="33">
        <f>'2010-10'!K52</f>
        <v>2441770</v>
      </c>
      <c r="L52" s="22">
        <f t="shared" si="14"/>
        <v>845481.13579319196</v>
      </c>
      <c r="M52" s="22">
        <f t="shared" si="15"/>
        <v>845481.13579319196</v>
      </c>
      <c r="N52" s="19" t="s">
        <v>91</v>
      </c>
      <c r="O52" s="4">
        <f t="shared" si="16"/>
        <v>376.11380829892278</v>
      </c>
      <c r="P52" s="13">
        <f>'2010-10'!P52</f>
        <v>932231</v>
      </c>
      <c r="Q52" s="22">
        <f t="shared" si="17"/>
        <v>322791.96021804807</v>
      </c>
      <c r="R52" s="13">
        <f t="shared" si="18"/>
        <v>322791.96021804807</v>
      </c>
      <c r="W52" s="18">
        <f t="shared" si="10"/>
        <v>0.38178493469900937</v>
      </c>
    </row>
    <row r="53" spans="1:23" ht="16">
      <c r="A53" s="18" t="s">
        <v>116</v>
      </c>
      <c r="B53" s="4">
        <f>'2010-10'!B53</f>
        <v>60.647730141730513</v>
      </c>
      <c r="C53" s="4">
        <f>'2010-10'!C53</f>
        <v>74.545005322142316</v>
      </c>
      <c r="D53" s="16">
        <f t="shared" si="8"/>
        <v>24848.335107380768</v>
      </c>
      <c r="E53" s="4">
        <f>'Interval Circuities'!C53</f>
        <v>1.3586072661967159</v>
      </c>
      <c r="F53" s="4">
        <f t="shared" si="11"/>
        <v>44.63963328527435</v>
      </c>
      <c r="G53" s="4">
        <f t="shared" si="12"/>
        <v>14.879877761758117</v>
      </c>
      <c r="H53" s="4">
        <f t="shared" si="13"/>
        <v>695.58242396851654</v>
      </c>
      <c r="I53" s="4">
        <f t="shared" si="9"/>
        <v>1339.8831695910785</v>
      </c>
      <c r="J53" s="33">
        <f>'2010-10'!J53</f>
        <v>3423.2611499999998</v>
      </c>
      <c r="K53" s="33">
        <f>'2010-10'!K53</f>
        <v>4586770</v>
      </c>
      <c r="L53" s="22">
        <f t="shared" si="14"/>
        <v>931999.18293878133</v>
      </c>
      <c r="M53" s="22">
        <f t="shared" si="15"/>
        <v>931999.18293878133</v>
      </c>
      <c r="N53" s="19" t="s">
        <v>91</v>
      </c>
      <c r="O53" s="4">
        <f t="shared" si="16"/>
        <v>692.47740564578316</v>
      </c>
      <c r="P53" s="13">
        <f>'2010-10'!P53</f>
        <v>2370531</v>
      </c>
      <c r="Q53" s="22">
        <f t="shared" si="17"/>
        <v>481675.11236252356</v>
      </c>
      <c r="R53" s="13">
        <f t="shared" si="18"/>
        <v>481675.11236252356</v>
      </c>
      <c r="W53" s="18">
        <f t="shared" si="10"/>
        <v>0.51681924317112038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opLeftCell="H1" workbookViewId="0">
      <selection activeCell="W1" sqref="W1:W53"/>
    </sheetView>
  </sheetViews>
  <sheetFormatPr baseColWidth="10" defaultColWidth="11.5" defaultRowHeight="14" x14ac:dyDescent="0"/>
  <cols>
    <col min="4" max="4" width="11.5" style="18"/>
  </cols>
  <sheetData>
    <row r="1" spans="1:23" ht="56">
      <c r="A1" s="18">
        <f>3/6</f>
        <v>0.5</v>
      </c>
      <c r="B1" s="1" t="s">
        <v>59</v>
      </c>
      <c r="C1" s="1" t="s">
        <v>60</v>
      </c>
      <c r="D1" s="1" t="s">
        <v>162</v>
      </c>
      <c r="E1" s="7" t="s">
        <v>90</v>
      </c>
      <c r="F1" s="1" t="s">
        <v>21</v>
      </c>
      <c r="G1" s="1" t="s">
        <v>20</v>
      </c>
      <c r="H1" s="1" t="s">
        <v>129</v>
      </c>
      <c r="I1" s="1" t="s">
        <v>25</v>
      </c>
      <c r="J1" s="8" t="s">
        <v>83</v>
      </c>
      <c r="K1" s="23" t="s">
        <v>78</v>
      </c>
      <c r="L1" s="21" t="s">
        <v>76</v>
      </c>
      <c r="M1" s="27" t="s">
        <v>103</v>
      </c>
      <c r="N1" s="19" t="s">
        <v>91</v>
      </c>
      <c r="O1" s="1" t="s">
        <v>89</v>
      </c>
      <c r="P1" s="1" t="s">
        <v>87</v>
      </c>
      <c r="Q1" s="21" t="s">
        <v>88</v>
      </c>
      <c r="R1" s="18" t="s">
        <v>102</v>
      </c>
      <c r="W1" s="18" t="s">
        <v>579</v>
      </c>
    </row>
    <row r="2" spans="1:23" ht="16">
      <c r="A2" s="18" t="s">
        <v>16</v>
      </c>
      <c r="B2" s="18" t="s">
        <v>18</v>
      </c>
      <c r="C2" s="18" t="s">
        <v>120</v>
      </c>
      <c r="E2" s="18" t="s">
        <v>114</v>
      </c>
      <c r="F2" s="18" t="s">
        <v>17</v>
      </c>
      <c r="G2" s="18" t="s">
        <v>19</v>
      </c>
      <c r="H2" s="18" t="s">
        <v>130</v>
      </c>
      <c r="I2" s="18" t="s">
        <v>24</v>
      </c>
      <c r="J2" s="9" t="s">
        <v>16</v>
      </c>
      <c r="K2" s="13" t="s">
        <v>121</v>
      </c>
      <c r="L2" s="22" t="s">
        <v>127</v>
      </c>
      <c r="M2" s="22" t="s">
        <v>122</v>
      </c>
      <c r="N2" s="19" t="s">
        <v>91</v>
      </c>
      <c r="O2" s="18" t="s">
        <v>123</v>
      </c>
      <c r="P2" s="18" t="s">
        <v>124</v>
      </c>
      <c r="Q2" s="22" t="s">
        <v>126</v>
      </c>
      <c r="R2" s="18" t="s">
        <v>125</v>
      </c>
      <c r="W2" s="18" t="s">
        <v>580</v>
      </c>
    </row>
    <row r="3" spans="1:23">
      <c r="A3" s="18" t="s">
        <v>26</v>
      </c>
      <c r="B3" s="4">
        <f>'2010-10'!B3</f>
        <v>66.682397163757059</v>
      </c>
      <c r="C3" s="4">
        <f>'2010-10'!C3</f>
        <v>79.773749080561657</v>
      </c>
      <c r="D3" s="16">
        <f>C3*$A$1*1000</f>
        <v>39886.874540280827</v>
      </c>
      <c r="E3" s="4">
        <f>'Interval Circuities'!D3</f>
        <v>1.2678601947095567</v>
      </c>
      <c r="F3" s="4">
        <f t="shared" ref="F3:F34" si="0">B3/E3</f>
        <v>52.594440177241118</v>
      </c>
      <c r="G3" s="4">
        <f t="shared" ref="G3:G34" si="1">F3*$A$1</f>
        <v>26.297220088620559</v>
      </c>
      <c r="H3" s="4">
        <f t="shared" ref="H3:H34" si="2">PI()*G3^2</f>
        <v>2172.5488726732619</v>
      </c>
      <c r="I3" s="4">
        <f>K3/J3</f>
        <v>659.04777089359266</v>
      </c>
      <c r="J3" s="33">
        <f>'2010-10'!J3</f>
        <v>6851.4289849999996</v>
      </c>
      <c r="K3" s="33">
        <f>'2010-10'!K3</f>
        <v>4515419</v>
      </c>
      <c r="L3" s="22">
        <f t="shared" ref="L3:L34" si="3">H3*I3</f>
        <v>1431813.4916927009</v>
      </c>
      <c r="M3" s="22">
        <f t="shared" ref="M3:M34" si="4">MIN(K3,L3)</f>
        <v>1431813.4916927009</v>
      </c>
      <c r="N3" s="19" t="s">
        <v>91</v>
      </c>
      <c r="O3" s="4">
        <f t="shared" ref="O3:O34" si="5">P3/J3</f>
        <v>292.35463206074525</v>
      </c>
      <c r="P3" s="13">
        <f>'2010-10'!P3</f>
        <v>2003047</v>
      </c>
      <c r="Q3" s="22">
        <f t="shared" ref="Q3:Q34" si="6">H3*O3</f>
        <v>635154.72630437836</v>
      </c>
      <c r="R3" s="13">
        <f t="shared" ref="R3:R34" si="7">MIN(Q3,P3)</f>
        <v>635154.72630437836</v>
      </c>
      <c r="W3" s="18">
        <f>Q3/L3</f>
        <v>0.44360157938831374</v>
      </c>
    </row>
    <row r="4" spans="1:23">
      <c r="A4" s="18" t="s">
        <v>27</v>
      </c>
      <c r="B4" s="4">
        <f>'2010-10'!B4</f>
        <v>67.132189228567199</v>
      </c>
      <c r="C4" s="4">
        <f>'2010-10'!C4</f>
        <v>79.519027593680846</v>
      </c>
      <c r="D4" s="16">
        <f t="shared" ref="D4:D53" si="8">C4*$A$1*1000</f>
        <v>39759.513796840423</v>
      </c>
      <c r="E4" s="4">
        <f>'Interval Circuities'!D4</f>
        <v>1.3315156958904781</v>
      </c>
      <c r="F4" s="4">
        <f t="shared" si="0"/>
        <v>50.417872981715909</v>
      </c>
      <c r="G4" s="4">
        <f t="shared" si="1"/>
        <v>25.208936490857955</v>
      </c>
      <c r="H4" s="4">
        <f t="shared" si="2"/>
        <v>1996.4522202530036</v>
      </c>
      <c r="I4" s="4">
        <f t="shared" ref="I4:I53" si="9">K4/J4</f>
        <v>1005.7320851324054</v>
      </c>
      <c r="J4" s="33">
        <f>'2010-10'!J4</f>
        <v>1354.6510249999999</v>
      </c>
      <c r="K4" s="33">
        <f>'2010-10'!K4</f>
        <v>1362416</v>
      </c>
      <c r="L4" s="22">
        <f t="shared" si="3"/>
        <v>2007896.0543422734</v>
      </c>
      <c r="M4" s="22">
        <f t="shared" si="4"/>
        <v>1362416</v>
      </c>
      <c r="N4" s="19" t="s">
        <v>91</v>
      </c>
      <c r="O4" s="4">
        <f t="shared" si="5"/>
        <v>472.86200517952591</v>
      </c>
      <c r="P4" s="13">
        <f>'2010-10'!P4</f>
        <v>640563</v>
      </c>
      <c r="Q4" s="22">
        <f t="shared" si="6"/>
        <v>944046.40011395176</v>
      </c>
      <c r="R4" s="13">
        <f t="shared" si="7"/>
        <v>640563</v>
      </c>
      <c r="W4" s="18">
        <f t="shared" ref="W4:W53" si="10">Q4/L4</f>
        <v>0.47016696809197778</v>
      </c>
    </row>
    <row r="5" spans="1:23" ht="16">
      <c r="A5" s="18" t="s">
        <v>117</v>
      </c>
      <c r="B5" s="4">
        <f>'2010-10'!B5</f>
        <v>64.331330728262358</v>
      </c>
      <c r="C5" s="4">
        <f>'2010-10'!C5</f>
        <v>77.152319954484682</v>
      </c>
      <c r="D5" s="16">
        <f t="shared" si="8"/>
        <v>38576.159977242343</v>
      </c>
      <c r="E5" s="4">
        <f>'Interval Circuities'!D5</f>
        <v>1.2716628995034032</v>
      </c>
      <c r="F5" s="4">
        <f t="shared" si="0"/>
        <v>50.588352269602559</v>
      </c>
      <c r="G5" s="4">
        <f t="shared" si="1"/>
        <v>25.29417613480128</v>
      </c>
      <c r="H5" s="4">
        <f t="shared" si="2"/>
        <v>2009.9763598574993</v>
      </c>
      <c r="I5" s="4">
        <f t="shared" si="9"/>
        <v>1186.6066340855928</v>
      </c>
      <c r="J5" s="33">
        <f>'2010-10'!J5</f>
        <v>1857.1133319999999</v>
      </c>
      <c r="K5" s="33">
        <f>'2010-10'!K5</f>
        <v>2203663</v>
      </c>
      <c r="L5" s="22">
        <f t="shared" si="3"/>
        <v>2385051.2829621197</v>
      </c>
      <c r="M5" s="22">
        <f t="shared" si="4"/>
        <v>2203663</v>
      </c>
      <c r="N5" s="19" t="s">
        <v>91</v>
      </c>
      <c r="O5" s="4">
        <f t="shared" si="5"/>
        <v>570.56830175187179</v>
      </c>
      <c r="P5" s="13">
        <f>'2010-10'!P5</f>
        <v>1059610</v>
      </c>
      <c r="Q5" s="22">
        <f t="shared" si="6"/>
        <v>1146828.7982053026</v>
      </c>
      <c r="R5" s="13">
        <f t="shared" si="7"/>
        <v>1059610</v>
      </c>
      <c r="W5" s="18">
        <f t="shared" si="10"/>
        <v>0.48084030997480104</v>
      </c>
    </row>
    <row r="6" spans="1:23">
      <c r="A6" s="18" t="s">
        <v>29</v>
      </c>
      <c r="B6" s="4">
        <f>'2010-10'!B6</f>
        <v>59.083844176305647</v>
      </c>
      <c r="C6" s="4">
        <f>'2010-10'!C6</f>
        <v>71.201949648545863</v>
      </c>
      <c r="D6" s="16">
        <f t="shared" si="8"/>
        <v>35600.974824272933</v>
      </c>
      <c r="E6" s="4">
        <f>'Interval Circuities'!D6</f>
        <v>1.225852846145757</v>
      </c>
      <c r="F6" s="4">
        <f t="shared" si="0"/>
        <v>48.198153931830433</v>
      </c>
      <c r="G6" s="4">
        <f t="shared" si="1"/>
        <v>24.099076965915216</v>
      </c>
      <c r="H6" s="4">
        <f t="shared" si="2"/>
        <v>1824.5286615878906</v>
      </c>
      <c r="I6" s="4">
        <f t="shared" si="9"/>
        <v>861.67001828332229</v>
      </c>
      <c r="J6" s="33">
        <f>'2010-10'!J6</f>
        <v>4852.2275479999998</v>
      </c>
      <c r="K6" s="33">
        <f>'2010-10'!K6</f>
        <v>4181019</v>
      </c>
      <c r="L6" s="22">
        <f t="shared" si="3"/>
        <v>1572141.6451888832</v>
      </c>
      <c r="M6" s="22">
        <f t="shared" si="4"/>
        <v>1572141.6451888832</v>
      </c>
      <c r="N6" s="19" t="s">
        <v>91</v>
      </c>
      <c r="O6" s="4">
        <f t="shared" si="5"/>
        <v>598.22977617701781</v>
      </c>
      <c r="P6" s="13">
        <f>'2010-10'!P6</f>
        <v>2902747</v>
      </c>
      <c r="Q6" s="22">
        <f t="shared" si="6"/>
        <v>1091487.3728502777</v>
      </c>
      <c r="R6" s="13">
        <f t="shared" si="7"/>
        <v>1091487.3728502777</v>
      </c>
      <c r="W6" s="18">
        <f t="shared" si="10"/>
        <v>0.69426783279387161</v>
      </c>
    </row>
    <row r="7" spans="1:23">
      <c r="A7" s="18" t="s">
        <v>30</v>
      </c>
      <c r="B7" s="4">
        <f>'2010-10'!B7</f>
        <v>61.52546201403905</v>
      </c>
      <c r="C7" s="4">
        <f>'2010-10'!C7</f>
        <v>70.650556777808134</v>
      </c>
      <c r="D7" s="16">
        <f t="shared" si="8"/>
        <v>35325.278388904066</v>
      </c>
      <c r="E7" s="4">
        <f>'Interval Circuities'!D7</f>
        <v>1.2021720891550782</v>
      </c>
      <c r="F7" s="4">
        <f t="shared" si="0"/>
        <v>51.178581310501848</v>
      </c>
      <c r="G7" s="4">
        <f t="shared" si="1"/>
        <v>25.589290655250924</v>
      </c>
      <c r="H7" s="4">
        <f t="shared" si="2"/>
        <v>2057.1519285481031</v>
      </c>
      <c r="I7" s="4">
        <f t="shared" si="9"/>
        <v>951.10925507842603</v>
      </c>
      <c r="J7" s="33">
        <f>'2010-10'!J7</f>
        <v>984.01523799999995</v>
      </c>
      <c r="K7" s="33">
        <f>'2010-10'!K7</f>
        <v>935906</v>
      </c>
      <c r="L7" s="22">
        <f t="shared" si="3"/>
        <v>1956576.2383445338</v>
      </c>
      <c r="M7" s="22">
        <f t="shared" si="4"/>
        <v>935906</v>
      </c>
      <c r="N7" s="19" t="s">
        <v>91</v>
      </c>
      <c r="O7" s="4">
        <f t="shared" si="5"/>
        <v>463.10664957405874</v>
      </c>
      <c r="P7" s="13">
        <f>'2010-10'!P7</f>
        <v>455704</v>
      </c>
      <c r="Q7" s="22">
        <f t="shared" si="6"/>
        <v>952680.73729472549</v>
      </c>
      <c r="R7" s="13">
        <f t="shared" si="7"/>
        <v>455704</v>
      </c>
      <c r="W7" s="18">
        <f t="shared" si="10"/>
        <v>0.48691214716007797</v>
      </c>
    </row>
    <row r="8" spans="1:23">
      <c r="A8" s="18" t="s">
        <v>31</v>
      </c>
      <c r="B8" s="4">
        <f>'2010-10'!B8</f>
        <v>64.052681514079197</v>
      </c>
      <c r="C8" s="4">
        <f>'2010-10'!C8</f>
        <v>75.74245959811465</v>
      </c>
      <c r="D8" s="16">
        <f t="shared" si="8"/>
        <v>37871.229799057328</v>
      </c>
      <c r="E8" s="4">
        <f>'Interval Circuities'!D8</f>
        <v>1.2406030547023881</v>
      </c>
      <c r="F8" s="4">
        <f t="shared" si="0"/>
        <v>51.630278735243792</v>
      </c>
      <c r="G8" s="4">
        <f t="shared" si="1"/>
        <v>25.815139367621896</v>
      </c>
      <c r="H8" s="4">
        <f t="shared" si="2"/>
        <v>2093.6246390567749</v>
      </c>
      <c r="I8" s="4">
        <f t="shared" si="9"/>
        <v>650.59688341284709</v>
      </c>
      <c r="J8" s="33">
        <f>'2010-10'!J8</f>
        <v>1920.4549420000001</v>
      </c>
      <c r="K8" s="33">
        <f>'2010-10'!K8</f>
        <v>1249442</v>
      </c>
      <c r="L8" s="22">
        <f t="shared" si="3"/>
        <v>1362105.6652066847</v>
      </c>
      <c r="M8" s="22">
        <f t="shared" si="4"/>
        <v>1249442</v>
      </c>
      <c r="N8" s="19" t="s">
        <v>91</v>
      </c>
      <c r="O8" s="4">
        <f t="shared" si="5"/>
        <v>378.75608747294422</v>
      </c>
      <c r="P8" s="13">
        <f>'2010-10'!P8</f>
        <v>727384</v>
      </c>
      <c r="Q8" s="22">
        <f t="shared" si="6"/>
        <v>792973.07692609914</v>
      </c>
      <c r="R8" s="13">
        <f t="shared" si="7"/>
        <v>727384</v>
      </c>
      <c r="W8" s="18">
        <f t="shared" si="10"/>
        <v>0.58216707938423706</v>
      </c>
    </row>
    <row r="9" spans="1:23">
      <c r="A9" s="18" t="s">
        <v>32</v>
      </c>
      <c r="B9" s="4">
        <f>'2010-10'!B9</f>
        <v>62.255871883980589</v>
      </c>
      <c r="C9" s="4">
        <f>'2010-10'!C9</f>
        <v>73.232676356180107</v>
      </c>
      <c r="D9" s="16">
        <f t="shared" si="8"/>
        <v>36616.338178090053</v>
      </c>
      <c r="E9" s="4">
        <f>'Interval Circuities'!D9</f>
        <v>1.237014203266307</v>
      </c>
      <c r="F9" s="4">
        <f t="shared" si="0"/>
        <v>50.327531987583832</v>
      </c>
      <c r="G9" s="4">
        <f t="shared" si="1"/>
        <v>25.163765993791916</v>
      </c>
      <c r="H9" s="4">
        <f t="shared" si="2"/>
        <v>1989.3039659619712</v>
      </c>
      <c r="I9" s="4">
        <f t="shared" si="9"/>
        <v>1360.6187423043561</v>
      </c>
      <c r="J9" s="33">
        <f>'2010-10'!J9</f>
        <v>6326.6863320000002</v>
      </c>
      <c r="K9" s="33">
        <f>'2010-10'!K9</f>
        <v>8608208</v>
      </c>
      <c r="L9" s="22">
        <f t="shared" si="3"/>
        <v>2706684.2602282451</v>
      </c>
      <c r="M9" s="22">
        <f t="shared" si="4"/>
        <v>2706684.2602282451</v>
      </c>
      <c r="N9" s="19" t="s">
        <v>91</v>
      </c>
      <c r="O9" s="4">
        <f t="shared" si="5"/>
        <v>600.27821843973788</v>
      </c>
      <c r="P9" s="13">
        <f>'2010-10'!P9</f>
        <v>3797772</v>
      </c>
      <c r="Q9" s="22">
        <f t="shared" si="6"/>
        <v>1194135.8406227571</v>
      </c>
      <c r="R9" s="13">
        <f t="shared" si="7"/>
        <v>1194135.8406227571</v>
      </c>
      <c r="W9" s="18">
        <f t="shared" si="10"/>
        <v>0.4411803246389957</v>
      </c>
    </row>
    <row r="10" spans="1:23">
      <c r="A10" s="18" t="s">
        <v>33</v>
      </c>
      <c r="B10" s="4">
        <f>'2010-10'!B10</f>
        <v>63.816269796049951</v>
      </c>
      <c r="C10" s="4">
        <f>'2010-10'!C10</f>
        <v>74.14207195492925</v>
      </c>
      <c r="D10" s="16">
        <f t="shared" si="8"/>
        <v>37071.035977464628</v>
      </c>
      <c r="E10" s="4">
        <f>'Interval Circuities'!D10</f>
        <v>1.3006549921101749</v>
      </c>
      <c r="F10" s="4">
        <f t="shared" si="0"/>
        <v>49.064717533213646</v>
      </c>
      <c r="G10" s="4">
        <f t="shared" si="1"/>
        <v>24.532358766606823</v>
      </c>
      <c r="H10" s="4">
        <f t="shared" si="2"/>
        <v>1890.7255249559321</v>
      </c>
      <c r="I10" s="4">
        <f t="shared" si="9"/>
        <v>796.39106388024629</v>
      </c>
      <c r="J10" s="33">
        <f>'2010-10'!J10</f>
        <v>2040.237609</v>
      </c>
      <c r="K10" s="33">
        <f>'2010-10'!K10</f>
        <v>1624827</v>
      </c>
      <c r="L10" s="22">
        <f t="shared" si="3"/>
        <v>1505756.912325192</v>
      </c>
      <c r="M10" s="22">
        <f t="shared" si="4"/>
        <v>1505756.912325192</v>
      </c>
      <c r="N10" s="19" t="s">
        <v>91</v>
      </c>
      <c r="O10" s="4">
        <f t="shared" si="5"/>
        <v>428.64958284375984</v>
      </c>
      <c r="P10" s="13">
        <f>'2010-10'!P10</f>
        <v>874547</v>
      </c>
      <c r="Q10" s="22">
        <f t="shared" si="6"/>
        <v>810458.70754440909</v>
      </c>
      <c r="R10" s="13">
        <f t="shared" si="7"/>
        <v>810458.70754440909</v>
      </c>
      <c r="W10" s="18">
        <f t="shared" si="10"/>
        <v>0.53824007109679983</v>
      </c>
    </row>
    <row r="11" spans="1:23">
      <c r="A11" s="18" t="s">
        <v>34</v>
      </c>
      <c r="B11" s="4">
        <f>'2010-10'!B11</f>
        <v>60.599390167439914</v>
      </c>
      <c r="C11" s="4">
        <f>'2010-10'!C11</f>
        <v>69.653954039848372</v>
      </c>
      <c r="D11" s="16">
        <f t="shared" si="8"/>
        <v>34826.977019924183</v>
      </c>
      <c r="E11" s="4">
        <f>'Interval Circuities'!D11</f>
        <v>1.1941029193577641</v>
      </c>
      <c r="F11" s="4">
        <f t="shared" si="0"/>
        <v>50.748883689215553</v>
      </c>
      <c r="G11" s="4">
        <f t="shared" si="1"/>
        <v>25.374441844607777</v>
      </c>
      <c r="H11" s="4">
        <f t="shared" si="2"/>
        <v>2022.7530682274157</v>
      </c>
      <c r="I11" s="4">
        <f t="shared" si="9"/>
        <v>890.6045978114746</v>
      </c>
      <c r="J11" s="33">
        <f>'2010-10'!J11</f>
        <v>1999.3979420000001</v>
      </c>
      <c r="K11" s="33">
        <f>'2010-10'!K11</f>
        <v>1780673</v>
      </c>
      <c r="L11" s="22">
        <f t="shared" si="3"/>
        <v>1801473.1828006038</v>
      </c>
      <c r="M11" s="22">
        <f t="shared" si="4"/>
        <v>1780673</v>
      </c>
      <c r="N11" s="19" t="s">
        <v>91</v>
      </c>
      <c r="O11" s="4">
        <f t="shared" si="5"/>
        <v>435.21001083435146</v>
      </c>
      <c r="P11" s="13">
        <f>'2010-10'!P11</f>
        <v>870158</v>
      </c>
      <c r="Q11" s="22">
        <f t="shared" si="6"/>
        <v>880322.38473847124</v>
      </c>
      <c r="R11" s="13">
        <f t="shared" si="7"/>
        <v>870158</v>
      </c>
      <c r="W11" s="18">
        <f t="shared" si="10"/>
        <v>0.48866804854119761</v>
      </c>
    </row>
    <row r="12" spans="1:23">
      <c r="A12" s="18" t="s">
        <v>35</v>
      </c>
      <c r="B12" s="4">
        <f>'2010-10'!B12</f>
        <v>64.046411741712433</v>
      </c>
      <c r="C12" s="4">
        <f>'2010-10'!C12</f>
        <v>74.901794999095003</v>
      </c>
      <c r="D12" s="16">
        <f t="shared" si="8"/>
        <v>37450.8974995475</v>
      </c>
      <c r="E12" s="4">
        <f>'Interval Circuities'!D12</f>
        <v>1.2132024431612698</v>
      </c>
      <c r="F12" s="4">
        <f t="shared" si="0"/>
        <v>52.791199113336113</v>
      </c>
      <c r="G12" s="4">
        <f t="shared" si="1"/>
        <v>26.395599556668056</v>
      </c>
      <c r="H12" s="4">
        <f t="shared" si="2"/>
        <v>2188.8345483359803</v>
      </c>
      <c r="I12" s="4">
        <f t="shared" si="9"/>
        <v>1034.7499169004755</v>
      </c>
      <c r="J12" s="33">
        <f>'2010-10'!J12</f>
        <v>1322.0923989999999</v>
      </c>
      <c r="K12" s="33">
        <f>'2010-10'!K12</f>
        <v>1368035</v>
      </c>
      <c r="L12" s="22">
        <f t="shared" si="3"/>
        <v>2264896.3669995456</v>
      </c>
      <c r="M12" s="22">
        <f t="shared" si="4"/>
        <v>1368035</v>
      </c>
      <c r="N12" s="19" t="s">
        <v>91</v>
      </c>
      <c r="O12" s="4">
        <f t="shared" si="5"/>
        <v>567.53143771761449</v>
      </c>
      <c r="P12" s="13">
        <f>'2010-10'!P12</f>
        <v>750329</v>
      </c>
      <c r="Q12" s="22">
        <f t="shared" si="6"/>
        <v>1242232.4181431043</v>
      </c>
      <c r="R12" s="13">
        <f t="shared" si="7"/>
        <v>750329</v>
      </c>
      <c r="W12" s="18">
        <f t="shared" si="10"/>
        <v>0.54847207856524127</v>
      </c>
    </row>
    <row r="13" spans="1:23">
      <c r="A13" s="18" t="s">
        <v>61</v>
      </c>
      <c r="B13" s="4">
        <f>'2010-10'!B13</f>
        <v>65.991437704144019</v>
      </c>
      <c r="C13" s="4">
        <f>'2010-10'!C13</f>
        <v>78.097331458401655</v>
      </c>
      <c r="D13" s="16">
        <f t="shared" si="8"/>
        <v>39048.665729200824</v>
      </c>
      <c r="E13" s="4">
        <f>'Interval Circuities'!D13</f>
        <v>1.2867507208792124</v>
      </c>
      <c r="F13" s="4">
        <f t="shared" si="0"/>
        <v>51.285331831058407</v>
      </c>
      <c r="G13" s="4">
        <f t="shared" si="1"/>
        <v>25.642665915529204</v>
      </c>
      <c r="H13" s="4">
        <f t="shared" si="2"/>
        <v>2065.742673401538</v>
      </c>
      <c r="I13" s="4">
        <f t="shared" si="9"/>
        <v>1111.5370303722236</v>
      </c>
      <c r="J13" s="33">
        <f>'2010-10'!J13</f>
        <v>4607.9364519999999</v>
      </c>
      <c r="K13" s="33">
        <f>'2010-10'!K13</f>
        <v>5121892</v>
      </c>
      <c r="L13" s="22">
        <f t="shared" si="3"/>
        <v>2296149.4767059237</v>
      </c>
      <c r="M13" s="22">
        <f t="shared" si="4"/>
        <v>2296149.4767059237</v>
      </c>
      <c r="N13" s="19" t="s">
        <v>91</v>
      </c>
      <c r="O13" s="4">
        <f t="shared" si="5"/>
        <v>544.77313785663296</v>
      </c>
      <c r="P13" s="13">
        <f>'2010-10'!P13</f>
        <v>2510280</v>
      </c>
      <c r="Q13" s="22">
        <f t="shared" si="6"/>
        <v>1125361.1181933056</v>
      </c>
      <c r="R13" s="13">
        <f t="shared" si="7"/>
        <v>1125361.1181933056</v>
      </c>
      <c r="W13" s="18">
        <f t="shared" si="10"/>
        <v>0.49010795229575321</v>
      </c>
    </row>
    <row r="14" spans="1:23">
      <c r="A14" s="18" t="s">
        <v>36</v>
      </c>
      <c r="B14" s="4">
        <f>'2010-10'!B14</f>
        <v>60.705617754852213</v>
      </c>
      <c r="C14" s="4">
        <f>'2010-10'!C14</f>
        <v>72.576467255996263</v>
      </c>
      <c r="D14" s="16">
        <f t="shared" si="8"/>
        <v>36288.233627998132</v>
      </c>
      <c r="E14" s="4">
        <f>'Interval Circuities'!D14</f>
        <v>1.3693023353302707</v>
      </c>
      <c r="F14" s="4">
        <f t="shared" si="0"/>
        <v>44.333246346366771</v>
      </c>
      <c r="G14" s="4">
        <f t="shared" si="1"/>
        <v>22.166623173183385</v>
      </c>
      <c r="H14" s="4">
        <f t="shared" si="2"/>
        <v>1543.650399278526</v>
      </c>
      <c r="I14" s="4">
        <f t="shared" si="9"/>
        <v>1372.3806261261409</v>
      </c>
      <c r="J14" s="33">
        <f>'2010-10'!J14</f>
        <v>1729.9887180000001</v>
      </c>
      <c r="K14" s="33">
        <f>'2010-10'!K14</f>
        <v>2374203</v>
      </c>
      <c r="L14" s="22">
        <f t="shared" si="3"/>
        <v>2118475.9014817309</v>
      </c>
      <c r="M14" s="22">
        <f t="shared" si="4"/>
        <v>2118475.9014817309</v>
      </c>
      <c r="N14" s="19" t="s">
        <v>91</v>
      </c>
      <c r="O14" s="4">
        <f t="shared" si="5"/>
        <v>600.08830647183447</v>
      </c>
      <c r="P14" s="13">
        <f>'2010-10'!P14</f>
        <v>1038146</v>
      </c>
      <c r="Q14" s="22">
        <f t="shared" si="6"/>
        <v>926326.55388762173</v>
      </c>
      <c r="R14" s="13">
        <f t="shared" si="7"/>
        <v>926326.55388762173</v>
      </c>
      <c r="W14" s="18">
        <f t="shared" si="10"/>
        <v>0.43726084079583766</v>
      </c>
    </row>
    <row r="15" spans="1:23">
      <c r="A15" s="18" t="s">
        <v>37</v>
      </c>
      <c r="B15" s="4">
        <f>'2010-10'!B15</f>
        <v>62.147901133486052</v>
      </c>
      <c r="C15" s="4">
        <f>'2010-10'!C15</f>
        <v>71.579622920369374</v>
      </c>
      <c r="D15" s="16">
        <f t="shared" si="8"/>
        <v>35789.81146018469</v>
      </c>
      <c r="E15" s="4">
        <f>'Interval Circuities'!D15</f>
        <v>1.2213340937624941</v>
      </c>
      <c r="F15" s="4">
        <f t="shared" si="0"/>
        <v>50.885258547094651</v>
      </c>
      <c r="G15" s="4">
        <f t="shared" si="1"/>
        <v>25.442629273547325</v>
      </c>
      <c r="H15" s="4">
        <f t="shared" si="2"/>
        <v>2033.6389551451236</v>
      </c>
      <c r="I15" s="4">
        <f t="shared" si="9"/>
        <v>1078.2087468947925</v>
      </c>
      <c r="J15" s="33">
        <f>'2010-10'!J15</f>
        <v>3463.2347500000001</v>
      </c>
      <c r="K15" s="33">
        <f>'2010-10'!K15</f>
        <v>3734090</v>
      </c>
      <c r="L15" s="22">
        <f t="shared" si="3"/>
        <v>2192687.3094634591</v>
      </c>
      <c r="M15" s="22">
        <f t="shared" si="4"/>
        <v>2192687.3094634591</v>
      </c>
      <c r="N15" s="19" t="s">
        <v>91</v>
      </c>
      <c r="O15" s="4">
        <f t="shared" si="5"/>
        <v>433.40348210585495</v>
      </c>
      <c r="P15" s="13">
        <f>'2010-10'!P15</f>
        <v>1500978</v>
      </c>
      <c r="Q15" s="22">
        <f t="shared" si="6"/>
        <v>881386.20450600912</v>
      </c>
      <c r="R15" s="13">
        <f t="shared" si="7"/>
        <v>881386.20450600912</v>
      </c>
      <c r="W15" s="18">
        <f t="shared" si="10"/>
        <v>0.40196620863449994</v>
      </c>
    </row>
    <row r="16" spans="1:23">
      <c r="A16" s="18" t="s">
        <v>79</v>
      </c>
      <c r="B16" s="4">
        <f>'2010-10'!B16</f>
        <v>67.784674216887879</v>
      </c>
      <c r="C16" s="4">
        <f>'2010-10'!C16</f>
        <v>73.484930426832634</v>
      </c>
      <c r="D16" s="16">
        <f t="shared" si="8"/>
        <v>36742.465213416319</v>
      </c>
      <c r="E16" s="4">
        <f>'Interval Circuities'!D16</f>
        <v>1.2534629398347654</v>
      </c>
      <c r="F16" s="4">
        <f t="shared" si="0"/>
        <v>54.077924494379886</v>
      </c>
      <c r="G16" s="4">
        <f t="shared" si="1"/>
        <v>27.038962247189943</v>
      </c>
      <c r="H16" s="4">
        <f t="shared" si="2"/>
        <v>2296.8356030978757</v>
      </c>
      <c r="I16" s="4">
        <f t="shared" si="9"/>
        <v>784.29737505885555</v>
      </c>
      <c r="J16" s="33">
        <f>'2010-10'!J16</f>
        <v>726.68227400000001</v>
      </c>
      <c r="K16" s="33">
        <f>'2010-10'!K16</f>
        <v>569935</v>
      </c>
      <c r="L16" s="22">
        <f t="shared" si="3"/>
        <v>1801402.1344513872</v>
      </c>
      <c r="M16" s="22">
        <f t="shared" si="4"/>
        <v>569935</v>
      </c>
      <c r="N16" s="19" t="s">
        <v>91</v>
      </c>
      <c r="O16" s="4">
        <f t="shared" si="5"/>
        <v>438.1103150453344</v>
      </c>
      <c r="P16" s="13">
        <f>'2010-10'!P16</f>
        <v>318367</v>
      </c>
      <c r="Q16" s="22">
        <f t="shared" si="6"/>
        <v>1006267.369680551</v>
      </c>
      <c r="R16" s="13">
        <f t="shared" si="7"/>
        <v>318367</v>
      </c>
      <c r="W16" s="18">
        <f t="shared" si="10"/>
        <v>0.55860229675313855</v>
      </c>
    </row>
    <row r="17" spans="1:23">
      <c r="A17" s="18" t="s">
        <v>511</v>
      </c>
      <c r="B17" s="4">
        <f>'2010-10'!B17</f>
        <v>64.715366633523445</v>
      </c>
      <c r="C17" s="4">
        <f>'2010-10'!C17</f>
        <v>75.511487142105324</v>
      </c>
      <c r="D17" s="16">
        <f t="shared" si="8"/>
        <v>37755.743571052662</v>
      </c>
      <c r="E17" s="4">
        <f>'Interval Circuities'!D17</f>
        <v>1.3109661328414999</v>
      </c>
      <c r="F17" s="4">
        <f t="shared" si="0"/>
        <v>49.364636516775484</v>
      </c>
      <c r="G17" s="4">
        <f t="shared" si="1"/>
        <v>24.682318258387742</v>
      </c>
      <c r="H17" s="4">
        <f t="shared" si="2"/>
        <v>1913.9111320487918</v>
      </c>
      <c r="I17" s="4">
        <f t="shared" si="9"/>
        <v>1078.4020248075806</v>
      </c>
      <c r="J17" s="33">
        <f>'2010-10'!J17</f>
        <v>1334.9993480000001</v>
      </c>
      <c r="K17" s="33">
        <f>'2010-10'!K17</f>
        <v>1439666</v>
      </c>
      <c r="L17" s="22">
        <f t="shared" si="3"/>
        <v>2063965.6401031858</v>
      </c>
      <c r="M17" s="22">
        <f t="shared" si="4"/>
        <v>1439666</v>
      </c>
      <c r="N17" s="19" t="s">
        <v>91</v>
      </c>
      <c r="O17" s="4">
        <f t="shared" si="5"/>
        <v>444.79197753136282</v>
      </c>
      <c r="P17" s="13">
        <f>'2010-10'!P17</f>
        <v>593797</v>
      </c>
      <c r="Q17" s="22">
        <f t="shared" si="6"/>
        <v>851292.31724327139</v>
      </c>
      <c r="R17" s="13">
        <f t="shared" si="7"/>
        <v>593797</v>
      </c>
      <c r="W17" s="18">
        <f t="shared" si="10"/>
        <v>0.41245469435271798</v>
      </c>
    </row>
    <row r="18" spans="1:23">
      <c r="A18" s="18" t="s">
        <v>38</v>
      </c>
      <c r="B18" s="4">
        <f>'2010-10'!B18</f>
        <v>63.831016736397409</v>
      </c>
      <c r="C18" s="4">
        <f>'2010-10'!C18</f>
        <v>74.742968134682343</v>
      </c>
      <c r="D18" s="16">
        <f t="shared" si="8"/>
        <v>37371.484067341175</v>
      </c>
      <c r="E18" s="4">
        <f>'Interval Circuities'!D18</f>
        <v>1.2482031115877554</v>
      </c>
      <c r="F18" s="4">
        <f t="shared" si="0"/>
        <v>51.138325280412303</v>
      </c>
      <c r="G18" s="4">
        <f t="shared" si="1"/>
        <v>25.569162640206152</v>
      </c>
      <c r="H18" s="4">
        <f t="shared" si="2"/>
        <v>2053.9169736745885</v>
      </c>
      <c r="I18" s="4">
        <f t="shared" si="9"/>
        <v>691.70595675577363</v>
      </c>
      <c r="J18" s="33">
        <f>'2010-10'!J18</f>
        <v>1337.0695900000001</v>
      </c>
      <c r="K18" s="33">
        <f>'2010-10'!K18</f>
        <v>924859</v>
      </c>
      <c r="L18" s="22">
        <f t="shared" si="3"/>
        <v>1420706.6053725043</v>
      </c>
      <c r="M18" s="22">
        <f t="shared" si="4"/>
        <v>924859</v>
      </c>
      <c r="N18" s="19" t="s">
        <v>91</v>
      </c>
      <c r="O18" s="4">
        <f t="shared" si="5"/>
        <v>395.88290987905873</v>
      </c>
      <c r="P18" s="13">
        <f>'2010-10'!P18</f>
        <v>529323</v>
      </c>
      <c r="Q18" s="22">
        <f t="shared" si="6"/>
        <v>813110.62818828609</v>
      </c>
      <c r="R18" s="13">
        <f t="shared" si="7"/>
        <v>529323</v>
      </c>
      <c r="W18" s="18">
        <f t="shared" si="10"/>
        <v>0.57232832247942655</v>
      </c>
    </row>
    <row r="19" spans="1:23">
      <c r="A19" s="18" t="s">
        <v>80</v>
      </c>
      <c r="B19" s="4">
        <f>'2010-10'!B19</f>
        <v>54.710932805374171</v>
      </c>
      <c r="C19" s="4">
        <f>'2010-10'!C19</f>
        <v>67.860376115847075</v>
      </c>
      <c r="D19" s="16">
        <f t="shared" si="8"/>
        <v>33930.188057923537</v>
      </c>
      <c r="E19" s="4">
        <f>'Interval Circuities'!D19</f>
        <v>1.4345819636227921</v>
      </c>
      <c r="F19" s="4">
        <f t="shared" si="0"/>
        <v>38.137195498548607</v>
      </c>
      <c r="G19" s="4">
        <f t="shared" si="1"/>
        <v>19.068597749274304</v>
      </c>
      <c r="H19" s="4">
        <f t="shared" si="2"/>
        <v>1142.3189662217449</v>
      </c>
      <c r="I19" s="4">
        <f t="shared" si="9"/>
        <v>1820.7093992818395</v>
      </c>
      <c r="J19" s="33">
        <f>'2010-10'!J19</f>
        <v>440.73974700000002</v>
      </c>
      <c r="K19" s="33">
        <f>'2010-10'!K19</f>
        <v>802459</v>
      </c>
      <c r="L19" s="22">
        <f t="shared" si="3"/>
        <v>2079830.8787778451</v>
      </c>
      <c r="M19" s="22">
        <f t="shared" si="4"/>
        <v>802459</v>
      </c>
      <c r="N19" s="19" t="s">
        <v>91</v>
      </c>
      <c r="O19" s="4">
        <f t="shared" si="5"/>
        <v>762.20491182520914</v>
      </c>
      <c r="P19" s="13">
        <f>'2010-10'!P19</f>
        <v>335934</v>
      </c>
      <c r="Q19" s="22">
        <f t="shared" si="6"/>
        <v>870681.12692530907</v>
      </c>
      <c r="R19" s="13">
        <f t="shared" si="7"/>
        <v>335934</v>
      </c>
      <c r="W19" s="18">
        <f t="shared" si="10"/>
        <v>0.41863073378203747</v>
      </c>
    </row>
    <row r="20" spans="1:23">
      <c r="A20" s="18" t="s">
        <v>39</v>
      </c>
      <c r="B20" s="4">
        <f>'2010-10'!B20</f>
        <v>66.693022833822994</v>
      </c>
      <c r="C20" s="4">
        <f>'2010-10'!C20</f>
        <v>78.916174325560149</v>
      </c>
      <c r="D20" s="16">
        <f t="shared" si="8"/>
        <v>39458.087162780073</v>
      </c>
      <c r="E20" s="4">
        <f>'Interval Circuities'!D20</f>
        <v>1.3068171566560105</v>
      </c>
      <c r="F20" s="4">
        <f t="shared" si="0"/>
        <v>51.034700986389325</v>
      </c>
      <c r="G20" s="4">
        <f t="shared" si="1"/>
        <v>25.517350493194662</v>
      </c>
      <c r="H20" s="4">
        <f t="shared" si="2"/>
        <v>2045.601486020385</v>
      </c>
      <c r="I20" s="4">
        <f t="shared" si="9"/>
        <v>1149.9995031423985</v>
      </c>
      <c r="J20" s="33">
        <f>'2010-10'!J20</f>
        <v>4299.4209879999999</v>
      </c>
      <c r="K20" s="33">
        <f>'2010-10'!K20</f>
        <v>4944332</v>
      </c>
      <c r="L20" s="22">
        <f t="shared" si="3"/>
        <v>2352440.6925507947</v>
      </c>
      <c r="M20" s="22">
        <f t="shared" si="4"/>
        <v>2352440.6925507947</v>
      </c>
      <c r="N20" s="19" t="s">
        <v>91</v>
      </c>
      <c r="O20" s="4">
        <f t="shared" si="5"/>
        <v>506.24654019109983</v>
      </c>
      <c r="P20" s="13">
        <f>'2010-10'!P20</f>
        <v>2176567</v>
      </c>
      <c r="Q20" s="22">
        <f t="shared" si="6"/>
        <v>1035578.6749075924</v>
      </c>
      <c r="R20" s="13">
        <f t="shared" si="7"/>
        <v>1035578.6749075924</v>
      </c>
      <c r="W20" s="18">
        <f t="shared" si="10"/>
        <v>0.44021457296961453</v>
      </c>
    </row>
    <row r="21" spans="1:23">
      <c r="A21" s="18" t="s">
        <v>40</v>
      </c>
      <c r="B21" s="4">
        <f>'2010-10'!B21</f>
        <v>62.662263546111326</v>
      </c>
      <c r="C21" s="4">
        <f>'2010-10'!C21</f>
        <v>72.333701669204501</v>
      </c>
      <c r="D21" s="16">
        <f t="shared" si="8"/>
        <v>36166.85083460225</v>
      </c>
      <c r="E21" s="4">
        <f>'Interval Circuities'!D21</f>
        <v>1.2377454480083434</v>
      </c>
      <c r="F21" s="4">
        <f t="shared" si="0"/>
        <v>50.626131283246643</v>
      </c>
      <c r="G21" s="4">
        <f t="shared" si="1"/>
        <v>25.313065641623322</v>
      </c>
      <c r="H21" s="4">
        <f t="shared" si="2"/>
        <v>2012.979552281842</v>
      </c>
      <c r="I21" s="4">
        <f t="shared" si="9"/>
        <v>813.78264340099747</v>
      </c>
      <c r="J21" s="33">
        <f>'2010-10'!J21</f>
        <v>1827.8627739999999</v>
      </c>
      <c r="K21" s="33">
        <f>'2010-10'!K21</f>
        <v>1487483</v>
      </c>
      <c r="L21" s="22">
        <f t="shared" si="3"/>
        <v>1638127.8211680737</v>
      </c>
      <c r="M21" s="22">
        <f t="shared" si="4"/>
        <v>1487483</v>
      </c>
      <c r="N21" s="19" t="s">
        <v>91</v>
      </c>
      <c r="O21" s="4">
        <f t="shared" si="5"/>
        <v>406.44134262564722</v>
      </c>
      <c r="P21" s="13">
        <f>'2010-10'!P21</f>
        <v>742919</v>
      </c>
      <c r="Q21" s="22">
        <f t="shared" si="6"/>
        <v>818158.11190740613</v>
      </c>
      <c r="R21" s="13">
        <f t="shared" si="7"/>
        <v>742919</v>
      </c>
      <c r="W21" s="18">
        <f t="shared" si="10"/>
        <v>0.49944705250412946</v>
      </c>
    </row>
    <row r="22" spans="1:23" ht="16">
      <c r="A22" s="18" t="s">
        <v>118</v>
      </c>
      <c r="B22" s="4">
        <f>'2010-10'!B22</f>
        <v>72.107428140171564</v>
      </c>
      <c r="C22" s="4">
        <f>'2010-10'!C22</f>
        <v>84.099901925483479</v>
      </c>
      <c r="D22" s="16">
        <f t="shared" si="8"/>
        <v>42049.950962741743</v>
      </c>
      <c r="E22" s="4">
        <f>'Interval Circuities'!D22</f>
        <v>1.3623371102112816</v>
      </c>
      <c r="F22" s="4">
        <f t="shared" si="0"/>
        <v>52.929210839003424</v>
      </c>
      <c r="G22" s="4">
        <f t="shared" si="1"/>
        <v>26.464605419501712</v>
      </c>
      <c r="H22" s="4">
        <f t="shared" si="2"/>
        <v>2200.2940229306159</v>
      </c>
      <c r="I22" s="4">
        <f t="shared" si="9"/>
        <v>1369.2709398652264</v>
      </c>
      <c r="J22" s="33">
        <f>'2010-10'!J22</f>
        <v>1411.4562309999999</v>
      </c>
      <c r="K22" s="33">
        <f>'2010-10'!K22</f>
        <v>1932666</v>
      </c>
      <c r="L22" s="22">
        <f t="shared" si="3"/>
        <v>3012798.6647580443</v>
      </c>
      <c r="M22" s="22">
        <f t="shared" si="4"/>
        <v>1932666</v>
      </c>
      <c r="N22" s="19" t="s">
        <v>91</v>
      </c>
      <c r="O22" s="4">
        <f t="shared" si="5"/>
        <v>678.25411725430968</v>
      </c>
      <c r="P22" s="13">
        <f>'2010-10'!P22</f>
        <v>957326</v>
      </c>
      <c r="Q22" s="22">
        <f t="shared" si="6"/>
        <v>1492358.4802227388</v>
      </c>
      <c r="R22" s="13">
        <f t="shared" si="7"/>
        <v>957326</v>
      </c>
      <c r="W22" s="18">
        <f t="shared" si="10"/>
        <v>0.49533959825443202</v>
      </c>
    </row>
    <row r="23" spans="1:23">
      <c r="A23" s="18" t="s">
        <v>41</v>
      </c>
      <c r="B23" s="4">
        <f>'2010-10'!B23</f>
        <v>69.127068300037649</v>
      </c>
      <c r="C23" s="4">
        <f>'2010-10'!C23</f>
        <v>78.497147187767681</v>
      </c>
      <c r="D23" s="16">
        <f t="shared" si="8"/>
        <v>39248.573593883841</v>
      </c>
      <c r="E23" s="4">
        <f>'Interval Circuities'!D23</f>
        <v>1.3385303871253407</v>
      </c>
      <c r="F23" s="4">
        <f t="shared" si="0"/>
        <v>51.644003725979331</v>
      </c>
      <c r="G23" s="4">
        <f t="shared" si="1"/>
        <v>25.822001862989666</v>
      </c>
      <c r="H23" s="4">
        <f t="shared" si="2"/>
        <v>2094.7378927063814</v>
      </c>
      <c r="I23" s="4">
        <f t="shared" si="9"/>
        <v>775.48585132918799</v>
      </c>
      <c r="J23" s="33">
        <f>'2010-10'!J23</f>
        <v>1373.6150029999999</v>
      </c>
      <c r="K23" s="33">
        <f>'2010-10'!K23</f>
        <v>1065219</v>
      </c>
      <c r="L23" s="22">
        <f t="shared" si="3"/>
        <v>1624439.5980369174</v>
      </c>
      <c r="M23" s="22">
        <f t="shared" si="4"/>
        <v>1065219</v>
      </c>
      <c r="N23" s="19" t="s">
        <v>91</v>
      </c>
      <c r="O23" s="4">
        <f t="shared" si="5"/>
        <v>626.55110647477409</v>
      </c>
      <c r="P23" s="13">
        <f>'2010-10'!P23</f>
        <v>860640</v>
      </c>
      <c r="Q23" s="22">
        <f t="shared" si="6"/>
        <v>1312460.34444982</v>
      </c>
      <c r="R23" s="13">
        <f t="shared" si="7"/>
        <v>860640</v>
      </c>
      <c r="W23" s="18">
        <f t="shared" si="10"/>
        <v>0.80794653493788615</v>
      </c>
    </row>
    <row r="24" spans="1:23">
      <c r="A24" s="18" t="s">
        <v>74</v>
      </c>
      <c r="B24" s="4">
        <f>'2010-10'!B24</f>
        <v>67.812288769795572</v>
      </c>
      <c r="C24" s="4">
        <f>'2010-10'!C24</f>
        <v>74.592726606374868</v>
      </c>
      <c r="D24" s="16">
        <f t="shared" si="8"/>
        <v>37296.363303187434</v>
      </c>
      <c r="E24" s="4">
        <f>'Interval Circuities'!D24</f>
        <v>1.2759958465633252</v>
      </c>
      <c r="F24" s="4">
        <f t="shared" si="0"/>
        <v>53.14459992360969</v>
      </c>
      <c r="G24" s="4">
        <f t="shared" si="1"/>
        <v>26.572299961804845</v>
      </c>
      <c r="H24" s="4">
        <f t="shared" si="2"/>
        <v>2218.2381255115724</v>
      </c>
      <c r="I24" s="4">
        <f t="shared" si="9"/>
        <v>865.47479649931279</v>
      </c>
      <c r="J24" s="33">
        <f>'2010-10'!J24</f>
        <v>1755.5878070000001</v>
      </c>
      <c r="K24" s="33">
        <f>'2010-10'!K24</f>
        <v>1519417</v>
      </c>
      <c r="L24" s="22">
        <f t="shared" si="3"/>
        <v>1919829.1902641451</v>
      </c>
      <c r="M24" s="22">
        <f t="shared" si="4"/>
        <v>1519417</v>
      </c>
      <c r="N24" s="19" t="s">
        <v>91</v>
      </c>
      <c r="O24" s="4">
        <f t="shared" si="5"/>
        <v>528.94933326453656</v>
      </c>
      <c r="P24" s="13">
        <f>'2010-10'!P24</f>
        <v>928617</v>
      </c>
      <c r="Q24" s="22">
        <f t="shared" si="6"/>
        <v>1173335.5775113215</v>
      </c>
      <c r="R24" s="13">
        <f t="shared" si="7"/>
        <v>928617</v>
      </c>
      <c r="W24" s="18">
        <f t="shared" si="10"/>
        <v>0.61116665141959048</v>
      </c>
    </row>
    <row r="25" spans="1:23">
      <c r="A25" s="18" t="s">
        <v>62</v>
      </c>
      <c r="B25" s="4">
        <f>'2010-10'!B25</f>
        <v>62.454008275887581</v>
      </c>
      <c r="C25" s="4">
        <f>'2010-10'!C25</f>
        <v>72.980903634295757</v>
      </c>
      <c r="D25" s="16">
        <f t="shared" si="8"/>
        <v>36490.451817147878</v>
      </c>
      <c r="E25" s="4">
        <f>'Interval Circuities'!D25</f>
        <v>1.3201192530937347</v>
      </c>
      <c r="F25" s="4">
        <f t="shared" si="0"/>
        <v>47.309368551003971</v>
      </c>
      <c r="G25" s="4">
        <f t="shared" si="1"/>
        <v>23.654684275501985</v>
      </c>
      <c r="H25" s="4">
        <f t="shared" si="2"/>
        <v>1757.8595967660351</v>
      </c>
      <c r="I25" s="4">
        <f t="shared" si="9"/>
        <v>1746.9193703498715</v>
      </c>
      <c r="J25" s="33">
        <f>'2010-10'!J25</f>
        <v>1079.621093</v>
      </c>
      <c r="K25" s="33">
        <f>'2010-10'!K25</f>
        <v>1886011</v>
      </c>
      <c r="L25" s="22">
        <f t="shared" si="3"/>
        <v>3070838.979946001</v>
      </c>
      <c r="M25" s="22">
        <f t="shared" si="4"/>
        <v>1886011</v>
      </c>
      <c r="N25" s="19" t="s">
        <v>91</v>
      </c>
      <c r="O25" s="4">
        <f t="shared" si="5"/>
        <v>677.90079755323939</v>
      </c>
      <c r="P25" s="13">
        <f>'2010-10'!P25</f>
        <v>731876</v>
      </c>
      <c r="Q25" s="22">
        <f t="shared" si="6"/>
        <v>1191654.422634311</v>
      </c>
      <c r="R25" s="13">
        <f t="shared" si="7"/>
        <v>731876</v>
      </c>
      <c r="W25" s="18">
        <f t="shared" si="10"/>
        <v>0.38805500073965637</v>
      </c>
    </row>
    <row r="26" spans="1:23" ht="16">
      <c r="A26" s="18" t="s">
        <v>119</v>
      </c>
      <c r="B26" s="4">
        <f>'2010-10'!B26</f>
        <v>67.712654237264687</v>
      </c>
      <c r="C26" s="4">
        <f>'2010-10'!C26</f>
        <v>83.333789923093292</v>
      </c>
      <c r="D26" s="16">
        <f t="shared" si="8"/>
        <v>41666.894961546648</v>
      </c>
      <c r="E26" s="4">
        <f>'Interval Circuities'!D26</f>
        <v>1.2573733592111536</v>
      </c>
      <c r="F26" s="4">
        <f t="shared" si="0"/>
        <v>53.852464537459269</v>
      </c>
      <c r="G26" s="4">
        <f t="shared" si="1"/>
        <v>26.926232268729635</v>
      </c>
      <c r="H26" s="4">
        <f t="shared" si="2"/>
        <v>2277.7237392210704</v>
      </c>
      <c r="I26" s="4">
        <f t="shared" si="9"/>
        <v>2702.4637693066888</v>
      </c>
      <c r="J26" s="33">
        <f>'2010-10'!J26</f>
        <v>4496.2660139999998</v>
      </c>
      <c r="K26" s="33">
        <f>'2010-10'!K26</f>
        <v>12150996</v>
      </c>
      <c r="L26" s="22">
        <f t="shared" si="3"/>
        <v>6155465.8817346999</v>
      </c>
      <c r="M26" s="22">
        <f t="shared" si="4"/>
        <v>6155465.8817346999</v>
      </c>
      <c r="N26" s="19" t="s">
        <v>91</v>
      </c>
      <c r="O26" s="4">
        <f t="shared" si="5"/>
        <v>1079.1963787042962</v>
      </c>
      <c r="P26" s="13">
        <f>'2010-10'!P26</f>
        <v>4852354</v>
      </c>
      <c r="Q26" s="22">
        <f t="shared" si="6"/>
        <v>2458111.2110561877</v>
      </c>
      <c r="R26" s="13">
        <f t="shared" si="7"/>
        <v>2458111.2110561877</v>
      </c>
      <c r="W26" s="18">
        <f t="shared" si="10"/>
        <v>0.39933796373564762</v>
      </c>
    </row>
    <row r="27" spans="1:23">
      <c r="A27" s="18" t="s">
        <v>42</v>
      </c>
      <c r="B27" s="4">
        <f>'2010-10'!B27</f>
        <v>69.762390899595417</v>
      </c>
      <c r="C27" s="4">
        <f>'2010-10'!C27</f>
        <v>80.633405227489121</v>
      </c>
      <c r="D27" s="16">
        <f t="shared" si="8"/>
        <v>40316.702613744557</v>
      </c>
      <c r="E27" s="4">
        <f>'Interval Circuities'!D27</f>
        <v>1.3257298869873992</v>
      </c>
      <c r="F27" s="4">
        <f t="shared" si="0"/>
        <v>52.621873870645032</v>
      </c>
      <c r="G27" s="4">
        <f t="shared" si="1"/>
        <v>26.310936935322516</v>
      </c>
      <c r="H27" s="4">
        <f t="shared" si="2"/>
        <v>2174.8159025598334</v>
      </c>
      <c r="I27" s="4">
        <f t="shared" si="9"/>
        <v>787.6776339629688</v>
      </c>
      <c r="J27" s="33">
        <f>'2010-10'!J27</f>
        <v>1234.70054</v>
      </c>
      <c r="K27" s="33">
        <f>'2010-10'!K27</f>
        <v>972546</v>
      </c>
      <c r="L27" s="22">
        <f t="shared" si="3"/>
        <v>1713053.844433368</v>
      </c>
      <c r="M27" s="22">
        <f t="shared" si="4"/>
        <v>972546</v>
      </c>
      <c r="N27" s="19" t="s">
        <v>91</v>
      </c>
      <c r="O27" s="4">
        <f t="shared" si="5"/>
        <v>417.10518730314965</v>
      </c>
      <c r="P27" s="13">
        <f>'2010-10'!P27</f>
        <v>515000</v>
      </c>
      <c r="Q27" s="22">
        <f t="shared" si="6"/>
        <v>907126.99438708776</v>
      </c>
      <c r="R27" s="13">
        <f t="shared" si="7"/>
        <v>515000</v>
      </c>
      <c r="W27" s="18">
        <f t="shared" si="10"/>
        <v>0.52953793445245789</v>
      </c>
    </row>
    <row r="28" spans="1:23">
      <c r="A28" s="18" t="s">
        <v>43</v>
      </c>
      <c r="B28" s="4">
        <f>'2010-10'!B28</f>
        <v>66.011797525453602</v>
      </c>
      <c r="C28" s="4">
        <f>'2010-10'!C28</f>
        <v>76.864865322833012</v>
      </c>
      <c r="D28" s="16">
        <f t="shared" si="8"/>
        <v>38432.432661416504</v>
      </c>
      <c r="E28" s="4">
        <f>'Interval Circuities'!D28</f>
        <v>1.2910194406980002</v>
      </c>
      <c r="F28" s="4">
        <f t="shared" si="0"/>
        <v>51.131528654412655</v>
      </c>
      <c r="G28" s="4">
        <f t="shared" si="1"/>
        <v>25.565764327206328</v>
      </c>
      <c r="H28" s="4">
        <f t="shared" si="2"/>
        <v>2053.37105130585</v>
      </c>
      <c r="I28" s="4">
        <f t="shared" si="9"/>
        <v>823.01437699234145</v>
      </c>
      <c r="J28" s="33">
        <f>'2010-10'!J28</f>
        <v>1288.022457</v>
      </c>
      <c r="K28" s="33">
        <f>'2010-10'!K28</f>
        <v>1060061</v>
      </c>
      <c r="L28" s="22">
        <f t="shared" si="3"/>
        <v>1689953.8965245932</v>
      </c>
      <c r="M28" s="22">
        <f t="shared" si="4"/>
        <v>1060061</v>
      </c>
      <c r="N28" s="19" t="s">
        <v>91</v>
      </c>
      <c r="O28" s="4">
        <f t="shared" si="5"/>
        <v>395.30832496967867</v>
      </c>
      <c r="P28" s="13">
        <f>'2010-10'!P28</f>
        <v>509166</v>
      </c>
      <c r="Q28" s="22">
        <f t="shared" si="6"/>
        <v>811714.67083294364</v>
      </c>
      <c r="R28" s="13">
        <f t="shared" si="7"/>
        <v>509166</v>
      </c>
      <c r="W28" s="18">
        <f t="shared" si="10"/>
        <v>0.48031764209795474</v>
      </c>
    </row>
    <row r="29" spans="1:23">
      <c r="A29" s="18" t="s">
        <v>44</v>
      </c>
      <c r="B29" s="4">
        <f>'2010-10'!B29</f>
        <v>66.575024815111192</v>
      </c>
      <c r="C29" s="4">
        <f>'2010-10'!C29</f>
        <v>73.723640962925515</v>
      </c>
      <c r="D29" s="16">
        <f t="shared" si="8"/>
        <v>36861.820481462761</v>
      </c>
      <c r="E29" s="4">
        <f>'Interval Circuities'!D29</f>
        <v>1.1867090038683803</v>
      </c>
      <c r="F29" s="4">
        <f t="shared" si="0"/>
        <v>56.100547478862076</v>
      </c>
      <c r="G29" s="4">
        <f t="shared" si="1"/>
        <v>28.050273739431038</v>
      </c>
      <c r="H29" s="4">
        <f t="shared" si="2"/>
        <v>2471.861198815262</v>
      </c>
      <c r="I29" s="4">
        <f t="shared" si="9"/>
        <v>974.04787636700348</v>
      </c>
      <c r="J29" s="33">
        <f>'2010-10'!J29</f>
        <v>1413.1502499999999</v>
      </c>
      <c r="K29" s="33">
        <f>'2010-10'!K29</f>
        <v>1376476</v>
      </c>
      <c r="L29" s="22">
        <f t="shared" si="3"/>
        <v>2407711.1513800016</v>
      </c>
      <c r="M29" s="22">
        <f t="shared" si="4"/>
        <v>1376476</v>
      </c>
      <c r="N29" s="19" t="s">
        <v>91</v>
      </c>
      <c r="O29" s="4">
        <f t="shared" si="5"/>
        <v>521.72725440907652</v>
      </c>
      <c r="P29" s="13">
        <f>'2010-10'!P29</f>
        <v>737279</v>
      </c>
      <c r="Q29" s="22">
        <f t="shared" si="6"/>
        <v>1289637.3565382152</v>
      </c>
      <c r="R29" s="13">
        <f t="shared" si="7"/>
        <v>737279</v>
      </c>
      <c r="W29" s="18">
        <f t="shared" si="10"/>
        <v>0.53562793684742782</v>
      </c>
    </row>
    <row r="30" spans="1:23">
      <c r="A30" s="18" t="s">
        <v>45</v>
      </c>
      <c r="B30" s="4">
        <f>'2010-10'!B30</f>
        <v>72.35417413894163</v>
      </c>
      <c r="C30" s="4">
        <f>'2010-10'!C30</f>
        <v>80.92665935101023</v>
      </c>
      <c r="D30" s="16">
        <f t="shared" si="8"/>
        <v>40463.329675505112</v>
      </c>
      <c r="E30" s="4">
        <f>'Interval Circuities'!D30</f>
        <v>1.2701199260392533</v>
      </c>
      <c r="F30" s="4">
        <f t="shared" si="0"/>
        <v>56.966411325087357</v>
      </c>
      <c r="G30" s="4">
        <f t="shared" si="1"/>
        <v>28.483205662543678</v>
      </c>
      <c r="H30" s="4">
        <f t="shared" si="2"/>
        <v>2548.7521438348394</v>
      </c>
      <c r="I30" s="4">
        <f t="shared" si="9"/>
        <v>1001.6752173390063</v>
      </c>
      <c r="J30" s="33">
        <f>'2010-10'!J30</f>
        <v>2646.4566100000002</v>
      </c>
      <c r="K30" s="33">
        <f>'2010-10'!K30</f>
        <v>2650890</v>
      </c>
      <c r="L30" s="22">
        <f t="shared" si="3"/>
        <v>2553021.8576190211</v>
      </c>
      <c r="M30" s="22">
        <f t="shared" si="4"/>
        <v>2553021.8576190211</v>
      </c>
      <c r="N30" s="19" t="s">
        <v>91</v>
      </c>
      <c r="O30" s="4">
        <f t="shared" si="5"/>
        <v>594.14576987906855</v>
      </c>
      <c r="P30" s="13">
        <f>'2010-10'!P30</f>
        <v>1572381</v>
      </c>
      <c r="Q30" s="22">
        <f t="shared" si="6"/>
        <v>1514330.304729677</v>
      </c>
      <c r="R30" s="13">
        <f t="shared" si="7"/>
        <v>1514330.304729677</v>
      </c>
      <c r="W30" s="18">
        <f t="shared" si="10"/>
        <v>0.59315211117775535</v>
      </c>
    </row>
    <row r="31" spans="1:23">
      <c r="A31" s="18" t="s">
        <v>46</v>
      </c>
      <c r="B31" s="4">
        <f>'2010-10'!B31</f>
        <v>66.509434242873198</v>
      </c>
      <c r="C31" s="4">
        <f>'2010-10'!C31</f>
        <v>79.192244463512992</v>
      </c>
      <c r="D31" s="16">
        <f t="shared" si="8"/>
        <v>39596.122231756497</v>
      </c>
      <c r="E31" s="4">
        <f>'Interval Circuities'!D31</f>
        <v>1.3223570330949683</v>
      </c>
      <c r="F31" s="4">
        <f t="shared" si="0"/>
        <v>50.296124706357318</v>
      </c>
      <c r="G31" s="4">
        <f t="shared" si="1"/>
        <v>25.148062353178659</v>
      </c>
      <c r="H31" s="4">
        <f t="shared" si="2"/>
        <v>1986.8218599852169</v>
      </c>
      <c r="I31" s="4">
        <f t="shared" si="9"/>
        <v>664.38482730522799</v>
      </c>
      <c r="J31" s="33">
        <f>'2010-10'!J31</f>
        <v>1459.375591</v>
      </c>
      <c r="K31" s="33">
        <f>'2010-10'!K31</f>
        <v>969587</v>
      </c>
      <c r="L31" s="22">
        <f t="shared" si="3"/>
        <v>1320014.2983325301</v>
      </c>
      <c r="M31" s="22">
        <f t="shared" si="4"/>
        <v>969587</v>
      </c>
      <c r="N31" s="19" t="s">
        <v>91</v>
      </c>
      <c r="O31" s="4">
        <f t="shared" si="5"/>
        <v>447.40709932841406</v>
      </c>
      <c r="P31" s="13">
        <f>'2010-10'!P31</f>
        <v>652935</v>
      </c>
      <c r="Q31" s="22">
        <f t="shared" si="6"/>
        <v>888918.20525827026</v>
      </c>
      <c r="R31" s="13">
        <f t="shared" si="7"/>
        <v>652935</v>
      </c>
      <c r="W31" s="18">
        <f t="shared" si="10"/>
        <v>0.67341558828655912</v>
      </c>
    </row>
    <row r="32" spans="1:23">
      <c r="A32" s="18" t="s">
        <v>47</v>
      </c>
      <c r="B32" s="4">
        <f>'2010-10'!B32</f>
        <v>70.113916315490926</v>
      </c>
      <c r="C32" s="4">
        <f>'2010-10'!C32</f>
        <v>78.214496785983556</v>
      </c>
      <c r="D32" s="16">
        <f t="shared" si="8"/>
        <v>39107.24839299178</v>
      </c>
      <c r="E32" s="4">
        <f>'Interval Circuities'!D32</f>
        <v>1.3489148947289156</v>
      </c>
      <c r="F32" s="4">
        <f t="shared" si="0"/>
        <v>51.978013282729265</v>
      </c>
      <c r="G32" s="4">
        <f t="shared" si="1"/>
        <v>25.989006641364632</v>
      </c>
      <c r="H32" s="4">
        <f t="shared" si="2"/>
        <v>2121.9211074547202</v>
      </c>
      <c r="I32" s="4">
        <f t="shared" si="9"/>
        <v>1381.8089483990395</v>
      </c>
      <c r="J32" s="33">
        <f>'2010-10'!J32</f>
        <v>651.10520599999995</v>
      </c>
      <c r="K32" s="33">
        <f>'2010-10'!K32</f>
        <v>899703</v>
      </c>
      <c r="L32" s="22">
        <f t="shared" si="3"/>
        <v>2932089.5740777324</v>
      </c>
      <c r="M32" s="22">
        <f t="shared" si="4"/>
        <v>899703</v>
      </c>
      <c r="N32" s="19" t="s">
        <v>91</v>
      </c>
      <c r="O32" s="4">
        <f t="shared" si="5"/>
        <v>685.12276647347221</v>
      </c>
      <c r="P32" s="13">
        <f>'2010-10'!P32</f>
        <v>446087</v>
      </c>
      <c r="Q32" s="22">
        <f t="shared" si="6"/>
        <v>1453776.4593778318</v>
      </c>
      <c r="R32" s="13">
        <f t="shared" si="7"/>
        <v>446087</v>
      </c>
      <c r="W32" s="18">
        <f t="shared" si="10"/>
        <v>0.49581584144990071</v>
      </c>
    </row>
    <row r="33" spans="1:23">
      <c r="A33" s="18" t="s">
        <v>64</v>
      </c>
      <c r="B33" s="4">
        <f>'2010-10'!B33</f>
        <v>60.636060061572778</v>
      </c>
      <c r="C33" s="4">
        <f>'2010-10'!C33</f>
        <v>75.646262173189555</v>
      </c>
      <c r="D33" s="16">
        <f t="shared" si="8"/>
        <v>37823.131086594774</v>
      </c>
      <c r="E33" s="4">
        <f>'Interval Circuities'!D33</f>
        <v>1.2364276854478877</v>
      </c>
      <c r="F33" s="4">
        <f t="shared" si="0"/>
        <v>49.041331551555942</v>
      </c>
      <c r="G33" s="4">
        <f t="shared" si="1"/>
        <v>24.520665775777971</v>
      </c>
      <c r="H33" s="4">
        <f t="shared" si="2"/>
        <v>1888.9235810295961</v>
      </c>
      <c r="I33" s="4">
        <f t="shared" si="9"/>
        <v>2053.6406982836411</v>
      </c>
      <c r="J33" s="33">
        <f>'2010-10'!J33</f>
        <v>8935.9813599999998</v>
      </c>
      <c r="K33" s="33">
        <f>'2010-10'!K33</f>
        <v>18351295</v>
      </c>
      <c r="L33" s="22">
        <f t="shared" si="3"/>
        <v>3879170.3419500557</v>
      </c>
      <c r="M33" s="22">
        <f t="shared" si="4"/>
        <v>3879170.3419500557</v>
      </c>
      <c r="N33" s="19" t="s">
        <v>91</v>
      </c>
      <c r="O33" s="4">
        <f t="shared" si="5"/>
        <v>813.93354652208006</v>
      </c>
      <c r="P33" s="13">
        <f>'2010-10'!P33</f>
        <v>7273295</v>
      </c>
      <c r="Q33" s="22">
        <f t="shared" si="6"/>
        <v>1537458.2694166068</v>
      </c>
      <c r="R33" s="13">
        <f t="shared" si="7"/>
        <v>1537458.2694166068</v>
      </c>
      <c r="W33" s="18">
        <f t="shared" si="10"/>
        <v>0.39633687976788556</v>
      </c>
    </row>
    <row r="34" spans="1:23">
      <c r="A34" s="18" t="s">
        <v>65</v>
      </c>
      <c r="B34" s="4">
        <f>'2010-10'!B34</f>
        <v>62.746727907823015</v>
      </c>
      <c r="C34" s="4">
        <f>'2010-10'!C34</f>
        <v>70.343795554466837</v>
      </c>
      <c r="D34" s="16">
        <f t="shared" si="8"/>
        <v>35171.897777233418</v>
      </c>
      <c r="E34" s="4">
        <f>'Interval Circuities'!D34</f>
        <v>1.2782037611934325</v>
      </c>
      <c r="F34" s="4">
        <f t="shared" si="0"/>
        <v>49.089769419265117</v>
      </c>
      <c r="G34" s="4">
        <f t="shared" si="1"/>
        <v>24.544884709632559</v>
      </c>
      <c r="H34" s="4">
        <f t="shared" si="2"/>
        <v>1892.6567837145387</v>
      </c>
      <c r="I34" s="4">
        <f t="shared" si="9"/>
        <v>810.03967977262835</v>
      </c>
      <c r="J34" s="33">
        <f>'2010-10'!J34</f>
        <v>1063.53432</v>
      </c>
      <c r="K34" s="33">
        <f>'2010-10'!K34</f>
        <v>861505</v>
      </c>
      <c r="L34" s="22">
        <f t="shared" si="3"/>
        <v>1533127.0949996177</v>
      </c>
      <c r="M34" s="22">
        <f t="shared" si="4"/>
        <v>861505</v>
      </c>
      <c r="N34" s="19" t="s">
        <v>91</v>
      </c>
      <c r="O34" s="4">
        <f t="shared" si="5"/>
        <v>425.70699552037024</v>
      </c>
      <c r="P34" s="13">
        <f>'2010-10'!P34</f>
        <v>452754</v>
      </c>
      <c r="Q34" s="22">
        <f t="shared" si="6"/>
        <v>805717.23294636351</v>
      </c>
      <c r="R34" s="13">
        <f t="shared" si="7"/>
        <v>452754</v>
      </c>
      <c r="W34" s="18">
        <f t="shared" si="10"/>
        <v>0.52553844725219234</v>
      </c>
    </row>
    <row r="35" spans="1:23">
      <c r="A35" s="18" t="s">
        <v>48</v>
      </c>
      <c r="B35" s="4">
        <f>'2010-10'!B35</f>
        <v>63.67703994300269</v>
      </c>
      <c r="C35" s="4">
        <f>'2010-10'!C35</f>
        <v>76.278541762827089</v>
      </c>
      <c r="D35" s="16">
        <f t="shared" si="8"/>
        <v>38139.270881413548</v>
      </c>
      <c r="E35" s="4">
        <f>'Interval Circuities'!D35</f>
        <v>1.3529409382116724</v>
      </c>
      <c r="F35" s="4">
        <f t="shared" ref="F35:F53" si="11">B35/E35</f>
        <v>47.065646507209316</v>
      </c>
      <c r="G35" s="4">
        <f t="shared" ref="G35:G53" si="12">F35*$A$1</f>
        <v>23.532823253604658</v>
      </c>
      <c r="H35" s="4">
        <f t="shared" ref="H35:H53" si="13">PI()*G35^2</f>
        <v>1739.7944403323941</v>
      </c>
      <c r="I35" s="4">
        <f t="shared" si="9"/>
        <v>975.7775860793671</v>
      </c>
      <c r="J35" s="33">
        <f>'2010-10'!J35</f>
        <v>1548.012602</v>
      </c>
      <c r="K35" s="33">
        <f>'2010-10'!K35</f>
        <v>1510516</v>
      </c>
      <c r="L35" s="22">
        <f t="shared" ref="L35:L53" si="14">H35*I35</f>
        <v>1697652.4192618469</v>
      </c>
      <c r="M35" s="22">
        <f t="shared" ref="M35:M53" si="15">MIN(K35,L35)</f>
        <v>1510516</v>
      </c>
      <c r="N35" s="19" t="s">
        <v>91</v>
      </c>
      <c r="O35" s="4">
        <f t="shared" ref="O35:O53" si="16">P35/J35</f>
        <v>552.87922003622032</v>
      </c>
      <c r="P35" s="13">
        <f>'2010-10'!P35</f>
        <v>855864</v>
      </c>
      <c r="Q35" s="22">
        <f t="shared" ref="Q35:Q53" si="17">H35*O35</f>
        <v>961896.19319432648</v>
      </c>
      <c r="R35" s="13">
        <f t="shared" ref="R35:R53" si="18">MIN(Q35,P35)</f>
        <v>855864</v>
      </c>
      <c r="W35" s="18">
        <f t="shared" si="10"/>
        <v>0.56660373011606624</v>
      </c>
    </row>
    <row r="36" spans="1:23">
      <c r="A36" s="18" t="s">
        <v>66</v>
      </c>
      <c r="B36" s="4">
        <f>'2010-10'!B36</f>
        <v>57.583198277252201</v>
      </c>
      <c r="C36" s="4">
        <f>'2010-10'!C36</f>
        <v>70.0901022214275</v>
      </c>
      <c r="D36" s="16">
        <f t="shared" si="8"/>
        <v>35045.05111071375</v>
      </c>
      <c r="E36" s="4">
        <f>'Interval Circuities'!D36</f>
        <v>1.20124627478735</v>
      </c>
      <c r="F36" s="4">
        <f t="shared" si="11"/>
        <v>47.936213818807332</v>
      </c>
      <c r="G36" s="4">
        <f t="shared" si="12"/>
        <v>23.968106909403666</v>
      </c>
      <c r="H36" s="4">
        <f t="shared" si="13"/>
        <v>1804.7511992414438</v>
      </c>
      <c r="I36" s="4">
        <f t="shared" si="9"/>
        <v>1060.3784681288619</v>
      </c>
      <c r="J36" s="33">
        <f>'2010-10'!J36</f>
        <v>5131.7215159999996</v>
      </c>
      <c r="K36" s="33">
        <f>'2010-10'!K36</f>
        <v>5441567</v>
      </c>
      <c r="L36" s="22">
        <f t="shared" si="14"/>
        <v>1913719.3120053685</v>
      </c>
      <c r="M36" s="22">
        <f t="shared" si="15"/>
        <v>1913719.3120053685</v>
      </c>
      <c r="N36" s="19" t="s">
        <v>91</v>
      </c>
      <c r="O36" s="4">
        <f t="shared" si="16"/>
        <v>471.88667437424527</v>
      </c>
      <c r="P36" s="13">
        <f>'2010-10'!P36</f>
        <v>2421591</v>
      </c>
      <c r="Q36" s="22">
        <f t="shared" si="17"/>
        <v>851638.04148297582</v>
      </c>
      <c r="R36" s="13">
        <f t="shared" si="18"/>
        <v>851638.04148297582</v>
      </c>
      <c r="W36" s="18">
        <f t="shared" si="10"/>
        <v>0.44501721654810095</v>
      </c>
    </row>
    <row r="37" spans="1:23">
      <c r="A37" s="18" t="s">
        <v>49</v>
      </c>
      <c r="B37" s="4">
        <f>'2010-10'!B37</f>
        <v>65.523113774601583</v>
      </c>
      <c r="C37" s="4">
        <f>'2010-10'!C37</f>
        <v>75.058272553254923</v>
      </c>
      <c r="D37" s="16">
        <f t="shared" si="8"/>
        <v>37529.136276627461</v>
      </c>
      <c r="E37" s="4">
        <f>'Interval Circuities'!D37</f>
        <v>1.3052617006945595</v>
      </c>
      <c r="F37" s="4">
        <f t="shared" si="11"/>
        <v>50.19921578924383</v>
      </c>
      <c r="G37" s="4">
        <f t="shared" si="12"/>
        <v>25.099607894621915</v>
      </c>
      <c r="H37" s="4">
        <f t="shared" si="13"/>
        <v>1979.1729500352787</v>
      </c>
      <c r="I37" s="4">
        <f t="shared" si="9"/>
        <v>1222.0875996258867</v>
      </c>
      <c r="J37" s="33">
        <f>'2010-10'!J37</f>
        <v>2969.6021799999999</v>
      </c>
      <c r="K37" s="33">
        <f>'2010-10'!K37</f>
        <v>3629114</v>
      </c>
      <c r="L37" s="22">
        <f t="shared" si="14"/>
        <v>2418722.7197530987</v>
      </c>
      <c r="M37" s="22">
        <f t="shared" si="15"/>
        <v>2418722.7197530987</v>
      </c>
      <c r="N37" s="19" t="s">
        <v>91</v>
      </c>
      <c r="O37" s="4">
        <f t="shared" si="16"/>
        <v>489.41201949144585</v>
      </c>
      <c r="P37" s="13">
        <f>'2010-10'!P37</f>
        <v>1453359</v>
      </c>
      <c r="Q37" s="22">
        <f t="shared" si="17"/>
        <v>968631.03039960819</v>
      </c>
      <c r="R37" s="13">
        <f t="shared" si="18"/>
        <v>968631.03039960819</v>
      </c>
      <c r="W37" s="18">
        <f t="shared" si="10"/>
        <v>0.40047212625450729</v>
      </c>
    </row>
    <row r="38" spans="1:23">
      <c r="A38" s="18" t="s">
        <v>50</v>
      </c>
      <c r="B38" s="4">
        <f>'2010-10'!B38</f>
        <v>59.807444822625882</v>
      </c>
      <c r="C38" s="4">
        <f>'2010-10'!C38</f>
        <v>71.241563498997948</v>
      </c>
      <c r="D38" s="16">
        <f t="shared" si="8"/>
        <v>35620.781749498972</v>
      </c>
      <c r="E38" s="4">
        <f>'Interval Circuities'!D38</f>
        <v>1.3051406812780726</v>
      </c>
      <c r="F38" s="4">
        <f t="shared" si="11"/>
        <v>45.824519670981999</v>
      </c>
      <c r="G38" s="4">
        <f t="shared" si="12"/>
        <v>22.912259835491</v>
      </c>
      <c r="H38" s="4">
        <f t="shared" si="13"/>
        <v>1649.2470813989664</v>
      </c>
      <c r="I38" s="4">
        <f t="shared" si="9"/>
        <v>739.57535155262258</v>
      </c>
      <c r="J38" s="33">
        <f>'2010-10'!J38</f>
        <v>2344.389921</v>
      </c>
      <c r="K38" s="33">
        <f>'2010-10'!K38</f>
        <v>1733853</v>
      </c>
      <c r="L38" s="22">
        <f t="shared" si="14"/>
        <v>1219742.4900227773</v>
      </c>
      <c r="M38" s="22">
        <f t="shared" si="15"/>
        <v>1219742.4900227773</v>
      </c>
      <c r="N38" s="19" t="s">
        <v>91</v>
      </c>
      <c r="O38" s="4">
        <f t="shared" si="16"/>
        <v>439.74681462555225</v>
      </c>
      <c r="P38" s="13">
        <f>'2010-10'!P38</f>
        <v>1030938</v>
      </c>
      <c r="Q38" s="22">
        <f t="shared" si="17"/>
        <v>725251.15057568438</v>
      </c>
      <c r="R38" s="13">
        <f t="shared" si="18"/>
        <v>725251.15057568438</v>
      </c>
      <c r="W38" s="18">
        <f t="shared" si="10"/>
        <v>0.59459365932406039</v>
      </c>
    </row>
    <row r="39" spans="1:23">
      <c r="A39" s="18" t="s">
        <v>51</v>
      </c>
      <c r="B39" s="4">
        <f>'2010-10'!B39</f>
        <v>58.331030650507813</v>
      </c>
      <c r="C39" s="4">
        <f>'2010-10'!C39</f>
        <v>69.29589065244727</v>
      </c>
      <c r="D39" s="16">
        <f t="shared" si="8"/>
        <v>34647.945326223635</v>
      </c>
      <c r="E39" s="4">
        <f>'Interval Circuities'!D39</f>
        <v>1.4731281162210448</v>
      </c>
      <c r="F39" s="4">
        <f t="shared" si="11"/>
        <v>39.596712606464955</v>
      </c>
      <c r="G39" s="4">
        <f t="shared" si="12"/>
        <v>19.798356303232477</v>
      </c>
      <c r="H39" s="4">
        <f t="shared" si="13"/>
        <v>1231.4255049037988</v>
      </c>
      <c r="I39" s="4">
        <f t="shared" si="9"/>
        <v>1362.0759506608479</v>
      </c>
      <c r="J39" s="33">
        <f>'2010-10'!J39</f>
        <v>1358.1459970000001</v>
      </c>
      <c r="K39" s="33">
        <f>'2010-10'!K39</f>
        <v>1849898</v>
      </c>
      <c r="L39" s="22">
        <f t="shared" si="14"/>
        <v>1677295.0652598564</v>
      </c>
      <c r="M39" s="22">
        <f t="shared" si="15"/>
        <v>1677295.0652598564</v>
      </c>
      <c r="N39" s="19" t="s">
        <v>91</v>
      </c>
      <c r="O39" s="4">
        <f t="shared" si="16"/>
        <v>641.16376436958274</v>
      </c>
      <c r="P39" s="13">
        <f>'2010-10'!P39</f>
        <v>870794</v>
      </c>
      <c r="Q39" s="22">
        <f t="shared" si="17"/>
        <v>789545.41226483369</v>
      </c>
      <c r="R39" s="13">
        <f t="shared" si="18"/>
        <v>789545.41226483369</v>
      </c>
      <c r="W39" s="18">
        <f t="shared" si="10"/>
        <v>0.47072541296871501</v>
      </c>
    </row>
    <row r="40" spans="1:23">
      <c r="A40" s="18" t="s">
        <v>52</v>
      </c>
      <c r="B40" s="4">
        <f>'2010-10'!B40</f>
        <v>61.333480923569354</v>
      </c>
      <c r="C40" s="4">
        <f>'2010-10'!C40</f>
        <v>68.947108687192596</v>
      </c>
      <c r="D40" s="16">
        <f t="shared" si="8"/>
        <v>34473.554343596297</v>
      </c>
      <c r="E40" s="4">
        <f>'Interval Circuities'!D40</f>
        <v>1.2492145533947989</v>
      </c>
      <c r="F40" s="4">
        <f t="shared" si="11"/>
        <v>49.097635595817188</v>
      </c>
      <c r="G40" s="4">
        <f t="shared" si="12"/>
        <v>24.548817797908594</v>
      </c>
      <c r="H40" s="4">
        <f t="shared" si="13"/>
        <v>1893.2633934182918</v>
      </c>
      <c r="I40" s="4">
        <f t="shared" si="9"/>
        <v>843.65595688883184</v>
      </c>
      <c r="J40" s="33">
        <f>'2010-10'!J40</f>
        <v>1411.6607489999999</v>
      </c>
      <c r="K40" s="33">
        <f>'2010-10'!K40</f>
        <v>1190956</v>
      </c>
      <c r="L40" s="22">
        <f t="shared" si="14"/>
        <v>1597262.9398169059</v>
      </c>
      <c r="M40" s="22">
        <f t="shared" si="15"/>
        <v>1190956</v>
      </c>
      <c r="N40" s="19" t="s">
        <v>91</v>
      </c>
      <c r="O40" s="4">
        <f t="shared" si="16"/>
        <v>418.3023438303448</v>
      </c>
      <c r="P40" s="13">
        <f>'2010-10'!P40</f>
        <v>590501</v>
      </c>
      <c r="Q40" s="22">
        <f t="shared" si="17"/>
        <v>791956.5149550637</v>
      </c>
      <c r="R40" s="13">
        <f t="shared" si="18"/>
        <v>590501</v>
      </c>
      <c r="W40" s="18">
        <f t="shared" si="10"/>
        <v>0.49582100430242598</v>
      </c>
    </row>
    <row r="41" spans="1:23">
      <c r="A41" s="18" t="s">
        <v>53</v>
      </c>
      <c r="B41" s="4">
        <f>'2010-10'!B41</f>
        <v>70.888143113567551</v>
      </c>
      <c r="C41" s="4">
        <f>'2010-10'!C41</f>
        <v>80.329607978863407</v>
      </c>
      <c r="D41" s="16">
        <f t="shared" si="8"/>
        <v>40164.803989431704</v>
      </c>
      <c r="E41" s="4">
        <f>'Interval Circuities'!D41</f>
        <v>1.2442193027437145</v>
      </c>
      <c r="F41" s="4">
        <f t="shared" si="11"/>
        <v>56.973994019580935</v>
      </c>
      <c r="G41" s="4">
        <f t="shared" si="12"/>
        <v>28.486997009790468</v>
      </c>
      <c r="H41" s="4">
        <f t="shared" si="13"/>
        <v>2549.4307084362736</v>
      </c>
      <c r="I41" s="4">
        <f t="shared" si="9"/>
        <v>659.39427440794395</v>
      </c>
      <c r="J41" s="33">
        <f>'2010-10'!J41</f>
        <v>1341.975559</v>
      </c>
      <c r="K41" s="33">
        <f>'2010-10'!K41</f>
        <v>884891</v>
      </c>
      <c r="L41" s="22">
        <f t="shared" si="14"/>
        <v>1681080.0121426671</v>
      </c>
      <c r="M41" s="22">
        <f t="shared" si="15"/>
        <v>884891</v>
      </c>
      <c r="N41" s="19" t="s">
        <v>91</v>
      </c>
      <c r="O41" s="4">
        <f t="shared" si="16"/>
        <v>305.97949213469991</v>
      </c>
      <c r="P41" s="13">
        <f>'2010-10'!P41</f>
        <v>410617</v>
      </c>
      <c r="Q41" s="22">
        <f t="shared" si="17"/>
        <v>780073.51339993917</v>
      </c>
      <c r="R41" s="13">
        <f t="shared" si="18"/>
        <v>410617</v>
      </c>
      <c r="W41" s="18">
        <f t="shared" si="10"/>
        <v>0.46403116316020848</v>
      </c>
    </row>
    <row r="42" spans="1:23">
      <c r="A42" s="18" t="s">
        <v>81</v>
      </c>
      <c r="B42" s="4">
        <f>'2010-10'!B42</f>
        <v>64.044695759894694</v>
      </c>
      <c r="C42" s="4">
        <f>'2010-10'!C42</f>
        <v>72.196124164991133</v>
      </c>
      <c r="D42" s="16">
        <f t="shared" si="8"/>
        <v>36098.062082495569</v>
      </c>
      <c r="E42" s="4">
        <f>'Interval Circuities'!D42</f>
        <v>1.235017216450139</v>
      </c>
      <c r="F42" s="4">
        <f t="shared" si="11"/>
        <v>51.857330332593264</v>
      </c>
      <c r="G42" s="4">
        <f t="shared" si="12"/>
        <v>25.928665166296632</v>
      </c>
      <c r="H42" s="4">
        <f t="shared" si="13"/>
        <v>2112.0791608644658</v>
      </c>
      <c r="I42" s="4">
        <f t="shared" si="9"/>
        <v>857.44540355569529</v>
      </c>
      <c r="J42" s="33">
        <f>'2010-10'!J42</f>
        <v>840.37070700000004</v>
      </c>
      <c r="K42" s="33">
        <f>'2010-10'!K42</f>
        <v>720572</v>
      </c>
      <c r="L42" s="22">
        <f t="shared" si="14"/>
        <v>1810992.5684290063</v>
      </c>
      <c r="M42" s="22">
        <f t="shared" si="15"/>
        <v>720572</v>
      </c>
      <c r="N42" s="19" t="s">
        <v>91</v>
      </c>
      <c r="O42" s="4">
        <f t="shared" si="16"/>
        <v>493.93082902876574</v>
      </c>
      <c r="P42" s="13">
        <f>'2010-10'!P42</f>
        <v>415085</v>
      </c>
      <c r="Q42" s="22">
        <f t="shared" si="17"/>
        <v>1043221.0109001655</v>
      </c>
      <c r="R42" s="13">
        <f t="shared" si="18"/>
        <v>415085</v>
      </c>
      <c r="W42" s="18">
        <f t="shared" si="10"/>
        <v>0.57604930527414333</v>
      </c>
    </row>
    <row r="43" spans="1:23">
      <c r="A43" s="18" t="s">
        <v>54</v>
      </c>
      <c r="B43" s="4">
        <f>'2010-10'!B43</f>
        <v>69.851259887217722</v>
      </c>
      <c r="C43" s="4">
        <f>'2010-10'!C43</f>
        <v>81.455388016103115</v>
      </c>
      <c r="D43" s="16">
        <f t="shared" si="8"/>
        <v>40727.694008051556</v>
      </c>
      <c r="E43" s="4">
        <f>'Interval Circuities'!D43</f>
        <v>1.4014419587257636</v>
      </c>
      <c r="F43" s="4">
        <f t="shared" si="11"/>
        <v>49.842420838269142</v>
      </c>
      <c r="G43" s="4">
        <f t="shared" si="12"/>
        <v>24.921210419134571</v>
      </c>
      <c r="H43" s="4">
        <f t="shared" si="13"/>
        <v>1951.1386724450663</v>
      </c>
      <c r="I43" s="4">
        <f t="shared" si="9"/>
        <v>1413.0147860308737</v>
      </c>
      <c r="J43" s="33">
        <f>'2010-10'!J43</f>
        <v>1219.8272919999999</v>
      </c>
      <c r="K43" s="33">
        <f>'2010-10'!K43</f>
        <v>1723634</v>
      </c>
      <c r="L43" s="22">
        <f t="shared" si="14"/>
        <v>2756987.7937615281</v>
      </c>
      <c r="M43" s="22">
        <f t="shared" si="15"/>
        <v>1723634</v>
      </c>
      <c r="N43" s="19" t="s">
        <v>91</v>
      </c>
      <c r="O43" s="4">
        <f t="shared" si="16"/>
        <v>509.14420760475986</v>
      </c>
      <c r="P43" s="13">
        <f>'2010-10'!P43</f>
        <v>621068</v>
      </c>
      <c r="Q43" s="22">
        <f t="shared" si="17"/>
        <v>993410.95330904634</v>
      </c>
      <c r="R43" s="13">
        <f t="shared" si="18"/>
        <v>621068</v>
      </c>
      <c r="W43" s="18">
        <f t="shared" si="10"/>
        <v>0.36032475571960171</v>
      </c>
    </row>
    <row r="44" spans="1:23">
      <c r="A44" s="18" t="s">
        <v>55</v>
      </c>
      <c r="B44" s="4">
        <f>'2010-10'!B44</f>
        <v>64.533357950473999</v>
      </c>
      <c r="C44" s="4">
        <f>'2010-10'!C44</f>
        <v>73.630820924041743</v>
      </c>
      <c r="D44" s="16">
        <f t="shared" si="8"/>
        <v>36815.410462020875</v>
      </c>
      <c r="E44" s="4">
        <f>'Interval Circuities'!D44</f>
        <v>1.37473562290319</v>
      </c>
      <c r="F44" s="4">
        <f t="shared" si="11"/>
        <v>46.942377047152789</v>
      </c>
      <c r="G44" s="4">
        <f t="shared" si="12"/>
        <v>23.471188523576394</v>
      </c>
      <c r="H44" s="4">
        <f t="shared" si="13"/>
        <v>1730.6929964191529</v>
      </c>
      <c r="I44" s="4">
        <f t="shared" si="9"/>
        <v>1418.9468389746553</v>
      </c>
      <c r="J44" s="33">
        <f>'2010-10'!J44</f>
        <v>719.71900000000005</v>
      </c>
      <c r="K44" s="33">
        <f>'2010-10'!K44</f>
        <v>1021243</v>
      </c>
      <c r="L44" s="22">
        <f t="shared" si="14"/>
        <v>2455761.3565045316</v>
      </c>
      <c r="M44" s="22">
        <f t="shared" si="15"/>
        <v>1021243</v>
      </c>
      <c r="N44" s="19" t="s">
        <v>91</v>
      </c>
      <c r="O44" s="4">
        <f t="shared" si="16"/>
        <v>731.05892716462949</v>
      </c>
      <c r="P44" s="13">
        <f>'2010-10'!P44</f>
        <v>526157</v>
      </c>
      <c r="Q44" s="22">
        <f t="shared" si="17"/>
        <v>1265238.5652135238</v>
      </c>
      <c r="R44" s="13">
        <f t="shared" si="18"/>
        <v>526157</v>
      </c>
      <c r="W44" s="18">
        <f t="shared" si="10"/>
        <v>0.51521234417273842</v>
      </c>
    </row>
    <row r="45" spans="1:23">
      <c r="A45" s="18" t="s">
        <v>67</v>
      </c>
      <c r="B45" s="4">
        <f>'2010-10'!B45</f>
        <v>70.329269785649885</v>
      </c>
      <c r="C45" s="4">
        <f>'2010-10'!C45</f>
        <v>78.441220996603292</v>
      </c>
      <c r="D45" s="16">
        <f t="shared" si="8"/>
        <v>39220.610498301648</v>
      </c>
      <c r="E45" s="4">
        <f>'Interval Circuities'!D45</f>
        <v>1.3398515854253352</v>
      </c>
      <c r="F45" s="4">
        <f t="shared" si="11"/>
        <v>52.490343371369669</v>
      </c>
      <c r="G45" s="4">
        <f t="shared" si="12"/>
        <v>26.245171685684834</v>
      </c>
      <c r="H45" s="4">
        <f t="shared" si="13"/>
        <v>2163.9574097719283</v>
      </c>
      <c r="I45" s="4">
        <f t="shared" si="9"/>
        <v>1136.9073371227814</v>
      </c>
      <c r="J45" s="33">
        <f>'2010-10'!J45</f>
        <v>1546.484874</v>
      </c>
      <c r="K45" s="33">
        <f>'2010-10'!K45</f>
        <v>1758210</v>
      </c>
      <c r="L45" s="22">
        <f t="shared" si="14"/>
        <v>2460219.0563909146</v>
      </c>
      <c r="M45" s="22">
        <f t="shared" si="15"/>
        <v>1758210</v>
      </c>
      <c r="N45" s="19" t="s">
        <v>91</v>
      </c>
      <c r="O45" s="4">
        <f t="shared" si="16"/>
        <v>464.39186834232174</v>
      </c>
      <c r="P45" s="13">
        <f>'2010-10'!P45</f>
        <v>718175</v>
      </c>
      <c r="Q45" s="22">
        <f t="shared" si="17"/>
        <v>1004924.2245371969</v>
      </c>
      <c r="R45" s="13">
        <f t="shared" si="18"/>
        <v>718175</v>
      </c>
      <c r="W45" s="18">
        <f t="shared" si="10"/>
        <v>0.40846940922870417</v>
      </c>
    </row>
    <row r="46" spans="1:23">
      <c r="A46" s="18" t="s">
        <v>68</v>
      </c>
      <c r="B46" s="4">
        <f>'2010-10'!B46</f>
        <v>74.208902356796543</v>
      </c>
      <c r="C46" s="4">
        <f>'2010-10'!C46</f>
        <v>85.358369483865644</v>
      </c>
      <c r="D46" s="16">
        <f t="shared" si="8"/>
        <v>42679.184741932819</v>
      </c>
      <c r="E46" s="4">
        <f>'Interval Circuities'!D46</f>
        <v>1.4062579681100151</v>
      </c>
      <c r="F46" s="4">
        <f t="shared" si="11"/>
        <v>52.770476000596069</v>
      </c>
      <c r="G46" s="4">
        <f t="shared" si="12"/>
        <v>26.385238000298035</v>
      </c>
      <c r="H46" s="4">
        <f t="shared" si="13"/>
        <v>2187.1164376289585</v>
      </c>
      <c r="I46" s="4">
        <f t="shared" si="9"/>
        <v>1558.6954968295993</v>
      </c>
      <c r="J46" s="33">
        <f>'2010-10'!J46</f>
        <v>1896.936256</v>
      </c>
      <c r="K46" s="33">
        <f>'2010-10'!K46</f>
        <v>2956746</v>
      </c>
      <c r="L46" s="22">
        <f t="shared" si="14"/>
        <v>3409048.5423742528</v>
      </c>
      <c r="M46" s="22">
        <f t="shared" si="15"/>
        <v>2956746</v>
      </c>
      <c r="N46" s="19" t="s">
        <v>91</v>
      </c>
      <c r="O46" s="4">
        <f t="shared" si="16"/>
        <v>580.58039457916288</v>
      </c>
      <c r="P46" s="13">
        <f>'2010-10'!P46</f>
        <v>1101324</v>
      </c>
      <c r="Q46" s="22">
        <f t="shared" si="17"/>
        <v>1269796.9243491937</v>
      </c>
      <c r="R46" s="13">
        <f t="shared" si="18"/>
        <v>1101324</v>
      </c>
      <c r="W46" s="18">
        <f t="shared" si="10"/>
        <v>0.37247839347715356</v>
      </c>
    </row>
    <row r="47" spans="1:23" ht="16">
      <c r="A47" s="18" t="s">
        <v>113</v>
      </c>
      <c r="B47" s="4">
        <f>'2010-10'!B47</f>
        <v>72.542200404561456</v>
      </c>
      <c r="C47" s="4">
        <f>'2010-10'!C47</f>
        <v>85.183417252245661</v>
      </c>
      <c r="D47" s="16">
        <f t="shared" si="8"/>
        <v>42591.708626122832</v>
      </c>
      <c r="E47" s="4">
        <f>'Interval Circuities'!D47</f>
        <v>1.424503733426794</v>
      </c>
      <c r="F47" s="4">
        <f t="shared" si="11"/>
        <v>50.924542142163105</v>
      </c>
      <c r="G47" s="4">
        <f t="shared" si="12"/>
        <v>25.462271071081553</v>
      </c>
      <c r="H47" s="4">
        <f t="shared" si="13"/>
        <v>2036.7801197443655</v>
      </c>
      <c r="I47" s="4">
        <f t="shared" si="9"/>
        <v>2419.4675820015173</v>
      </c>
      <c r="J47" s="33">
        <f>'2010-10'!J47</f>
        <v>1356.1710949999999</v>
      </c>
      <c r="K47" s="33">
        <f>'2010-10'!K47</f>
        <v>3281212</v>
      </c>
      <c r="L47" s="22">
        <f t="shared" si="14"/>
        <v>4927923.4713866608</v>
      </c>
      <c r="M47" s="22">
        <f t="shared" si="15"/>
        <v>3281212</v>
      </c>
      <c r="N47" s="19" t="s">
        <v>91</v>
      </c>
      <c r="O47" s="4">
        <f t="shared" si="16"/>
        <v>1303.5176804148005</v>
      </c>
      <c r="P47" s="13">
        <f>'2010-10'!P47</f>
        <v>1767793</v>
      </c>
      <c r="Q47" s="22">
        <f t="shared" si="17"/>
        <v>2654978.8972041546</v>
      </c>
      <c r="R47" s="13">
        <f t="shared" si="18"/>
        <v>1767793</v>
      </c>
      <c r="W47" s="18">
        <f t="shared" si="10"/>
        <v>0.53876220128415964</v>
      </c>
    </row>
    <row r="48" spans="1:23" ht="16">
      <c r="A48" s="18" t="s">
        <v>71</v>
      </c>
      <c r="B48" s="4">
        <f>'2010-10'!B48</f>
        <v>67.913980035971221</v>
      </c>
      <c r="C48" s="4">
        <f>'2010-10'!C48</f>
        <v>78.194542652624932</v>
      </c>
      <c r="D48" s="16">
        <f t="shared" si="8"/>
        <v>39097.271326312468</v>
      </c>
      <c r="E48" s="4">
        <f>'Interval Circuities'!D48</f>
        <v>1.3973659459287573</v>
      </c>
      <c r="F48" s="4">
        <f t="shared" si="11"/>
        <v>48.601427731826035</v>
      </c>
      <c r="G48" s="4">
        <f t="shared" si="12"/>
        <v>24.300713865913018</v>
      </c>
      <c r="H48" s="4">
        <f t="shared" si="13"/>
        <v>1855.1880416683348</v>
      </c>
      <c r="I48" s="4">
        <f t="shared" si="9"/>
        <v>2247.211920874815</v>
      </c>
      <c r="J48" s="33">
        <f>'2010-10'!J48</f>
        <v>740.69382800000005</v>
      </c>
      <c r="K48" s="33">
        <f>'2010-10'!K48</f>
        <v>1664496</v>
      </c>
      <c r="L48" s="22">
        <f t="shared" si="14"/>
        <v>4169000.6827014848</v>
      </c>
      <c r="M48" s="22">
        <f t="shared" si="15"/>
        <v>1664496</v>
      </c>
      <c r="N48" s="19" t="s">
        <v>91</v>
      </c>
      <c r="O48" s="4">
        <f t="shared" si="16"/>
        <v>1157.0664795656971</v>
      </c>
      <c r="P48" s="13">
        <f>'2010-10'!P48</f>
        <v>857032</v>
      </c>
      <c r="Q48" s="22">
        <f t="shared" si="17"/>
        <v>2146575.8963055601</v>
      </c>
      <c r="R48" s="13">
        <f t="shared" si="18"/>
        <v>857032</v>
      </c>
      <c r="W48" s="18">
        <f t="shared" si="10"/>
        <v>0.51488979246570743</v>
      </c>
    </row>
    <row r="49" spans="1:23">
      <c r="A49" s="18" t="s">
        <v>56</v>
      </c>
      <c r="B49" s="4">
        <f>'2010-10'!B49</f>
        <v>59.237163329958236</v>
      </c>
      <c r="C49" s="4">
        <f>'2010-10'!C49</f>
        <v>69.529876568500782</v>
      </c>
      <c r="D49" s="16">
        <f t="shared" si="8"/>
        <v>34764.938284250391</v>
      </c>
      <c r="E49" s="4">
        <f>'Interval Circuities'!D49</f>
        <v>1.4529281790243918</v>
      </c>
      <c r="F49" s="4">
        <f t="shared" si="11"/>
        <v>40.770881992071104</v>
      </c>
      <c r="G49" s="4">
        <f t="shared" si="12"/>
        <v>20.385440996035552</v>
      </c>
      <c r="H49" s="4">
        <f t="shared" si="13"/>
        <v>1305.5397354604968</v>
      </c>
      <c r="I49" s="4">
        <f t="shared" si="9"/>
        <v>1169.1810890127867</v>
      </c>
      <c r="J49" s="33">
        <f>'2010-10'!J49</f>
        <v>2616.6973010000002</v>
      </c>
      <c r="K49" s="33">
        <f>'2010-10'!K49</f>
        <v>3059393</v>
      </c>
      <c r="L49" s="22">
        <f t="shared" si="14"/>
        <v>1526412.3696551691</v>
      </c>
      <c r="M49" s="22">
        <f t="shared" si="15"/>
        <v>1526412.3696551691</v>
      </c>
      <c r="N49" s="19" t="s">
        <v>91</v>
      </c>
      <c r="O49" s="4">
        <f t="shared" si="16"/>
        <v>548.69319406998534</v>
      </c>
      <c r="P49" s="13">
        <f>'2010-10'!P49</f>
        <v>1435764</v>
      </c>
      <c r="Q49" s="22">
        <f t="shared" si="17"/>
        <v>716340.76743510365</v>
      </c>
      <c r="R49" s="13">
        <f t="shared" si="18"/>
        <v>716340.76743510365</v>
      </c>
      <c r="W49" s="18">
        <f t="shared" si="10"/>
        <v>0.46929701414627017</v>
      </c>
    </row>
    <row r="50" spans="1:23">
      <c r="A50" s="18" t="s">
        <v>75</v>
      </c>
      <c r="B50" s="4">
        <f>'2010-10'!B50</f>
        <v>59.396208684850201</v>
      </c>
      <c r="C50" s="4">
        <f>'2010-10'!C50</f>
        <v>72.013674499161084</v>
      </c>
      <c r="D50" s="16">
        <f t="shared" si="8"/>
        <v>36006.837249580545</v>
      </c>
      <c r="E50" s="4">
        <f>'Interval Circuities'!D50</f>
        <v>1.2629261489074812</v>
      </c>
      <c r="F50" s="4">
        <f t="shared" si="11"/>
        <v>47.030627037243661</v>
      </c>
      <c r="G50" s="4">
        <f t="shared" si="12"/>
        <v>23.515313518621831</v>
      </c>
      <c r="H50" s="4">
        <f t="shared" si="13"/>
        <v>1737.2063950278825</v>
      </c>
      <c r="I50" s="4">
        <f t="shared" si="9"/>
        <v>1715.2084870415904</v>
      </c>
      <c r="J50" s="33">
        <f>'2010-10'!J50</f>
        <v>3207.994271</v>
      </c>
      <c r="K50" s="33">
        <f>'2010-10'!K50</f>
        <v>5502379</v>
      </c>
      <c r="L50" s="22">
        <f t="shared" si="14"/>
        <v>2979671.15249475</v>
      </c>
      <c r="M50" s="22">
        <f t="shared" si="15"/>
        <v>2979671.15249475</v>
      </c>
      <c r="N50" s="19" t="s">
        <v>91</v>
      </c>
      <c r="O50" s="4">
        <f t="shared" si="16"/>
        <v>567.61603861355525</v>
      </c>
      <c r="P50" s="13">
        <f>'2010-10'!P50</f>
        <v>1820909</v>
      </c>
      <c r="Q50" s="22">
        <f t="shared" si="17"/>
        <v>986066.21219986165</v>
      </c>
      <c r="R50" s="13">
        <f t="shared" si="18"/>
        <v>986066.21219986165</v>
      </c>
      <c r="W50" s="18">
        <f t="shared" si="10"/>
        <v>0.33093122084102167</v>
      </c>
    </row>
    <row r="51" spans="1:23">
      <c r="A51" s="18" t="s">
        <v>57</v>
      </c>
      <c r="B51" s="4">
        <f>'2010-10'!B51</f>
        <v>55.946693712217225</v>
      </c>
      <c r="C51" s="4">
        <f>'2010-10'!C51</f>
        <v>67.155256306515241</v>
      </c>
      <c r="D51" s="16">
        <f t="shared" si="8"/>
        <v>33577.628153257618</v>
      </c>
      <c r="E51" s="4">
        <f>'Interval Circuities'!D51</f>
        <v>1.3725412244961106</v>
      </c>
      <c r="F51" s="4">
        <f t="shared" si="11"/>
        <v>40.761394057767887</v>
      </c>
      <c r="G51" s="4">
        <f t="shared" si="12"/>
        <v>20.380697028883944</v>
      </c>
      <c r="H51" s="4">
        <f t="shared" si="13"/>
        <v>1304.9321727422705</v>
      </c>
      <c r="I51" s="4">
        <f t="shared" si="9"/>
        <v>899.04720299169355</v>
      </c>
      <c r="J51" s="33">
        <f>'2010-10'!J51</f>
        <v>2392.2058740000002</v>
      </c>
      <c r="K51" s="33">
        <f>'2010-10'!K51</f>
        <v>2150706</v>
      </c>
      <c r="L51" s="22">
        <f t="shared" si="14"/>
        <v>1173195.6199978117</v>
      </c>
      <c r="M51" s="22">
        <f t="shared" si="15"/>
        <v>1173195.6199978117</v>
      </c>
      <c r="N51" s="19" t="s">
        <v>91</v>
      </c>
      <c r="O51" s="4">
        <f t="shared" si="16"/>
        <v>488.93826936569087</v>
      </c>
      <c r="P51" s="13">
        <f>'2010-10'!P51</f>
        <v>1169641</v>
      </c>
      <c r="Q51" s="22">
        <f t="shared" si="17"/>
        <v>638031.27818021656</v>
      </c>
      <c r="R51" s="13">
        <f t="shared" si="18"/>
        <v>638031.27818021656</v>
      </c>
      <c r="W51" s="18">
        <f t="shared" si="10"/>
        <v>0.54384048772821592</v>
      </c>
    </row>
    <row r="52" spans="1:23">
      <c r="A52" s="18" t="s">
        <v>70</v>
      </c>
      <c r="B52" s="4">
        <f>'2010-10'!B52</f>
        <v>65.037009428922346</v>
      </c>
      <c r="C52" s="4">
        <f>'2010-10'!C52</f>
        <v>76.223831707390744</v>
      </c>
      <c r="D52" s="16">
        <f t="shared" si="8"/>
        <v>38111.915853695369</v>
      </c>
      <c r="E52" s="4">
        <f>'Interval Circuities'!D52</f>
        <v>1.288975134924683</v>
      </c>
      <c r="F52" s="4">
        <f t="shared" si="11"/>
        <v>50.456372405292804</v>
      </c>
      <c r="G52" s="4">
        <f t="shared" si="12"/>
        <v>25.228186202646402</v>
      </c>
      <c r="H52" s="4">
        <f t="shared" si="13"/>
        <v>1999.5023927968998</v>
      </c>
      <c r="I52" s="4">
        <f t="shared" si="9"/>
        <v>985.14575645956916</v>
      </c>
      <c r="J52" s="33">
        <f>'2010-10'!J52</f>
        <v>2478.5875430000001</v>
      </c>
      <c r="K52" s="33">
        <f>'2010-10'!K52</f>
        <v>2441770</v>
      </c>
      <c r="L52" s="22">
        <f t="shared" si="14"/>
        <v>1969801.2972946204</v>
      </c>
      <c r="M52" s="22">
        <f t="shared" si="15"/>
        <v>1969801.2972946204</v>
      </c>
      <c r="N52" s="19" t="s">
        <v>91</v>
      </c>
      <c r="O52" s="4">
        <f t="shared" si="16"/>
        <v>376.11380829892278</v>
      </c>
      <c r="P52" s="13">
        <f>'2010-10'!P52</f>
        <v>932231</v>
      </c>
      <c r="Q52" s="22">
        <f t="shared" si="17"/>
        <v>752040.45965765056</v>
      </c>
      <c r="R52" s="13">
        <f t="shared" si="18"/>
        <v>752040.45965765056</v>
      </c>
      <c r="W52" s="18">
        <f t="shared" si="10"/>
        <v>0.38178493469900937</v>
      </c>
    </row>
    <row r="53" spans="1:23" ht="16">
      <c r="A53" s="18" t="s">
        <v>116</v>
      </c>
      <c r="B53" s="4">
        <f>'2010-10'!B53</f>
        <v>60.647730141730513</v>
      </c>
      <c r="C53" s="4">
        <f>'2010-10'!C53</f>
        <v>74.545005322142316</v>
      </c>
      <c r="D53" s="16">
        <f t="shared" si="8"/>
        <v>37272.502661071157</v>
      </c>
      <c r="E53" s="4">
        <f>'Interval Circuities'!D53</f>
        <v>1.3128038200118335</v>
      </c>
      <c r="F53" s="4">
        <f t="shared" si="11"/>
        <v>46.197100600441459</v>
      </c>
      <c r="G53" s="4">
        <f t="shared" si="12"/>
        <v>23.09855030022073</v>
      </c>
      <c r="H53" s="4">
        <f t="shared" si="13"/>
        <v>1676.1748507671605</v>
      </c>
      <c r="I53" s="4">
        <f t="shared" si="9"/>
        <v>1339.8831695910785</v>
      </c>
      <c r="J53" s="33">
        <f>'2010-10'!J53</f>
        <v>3423.2611499999998</v>
      </c>
      <c r="K53" s="33">
        <f>'2010-10'!K53</f>
        <v>4586770</v>
      </c>
      <c r="L53" s="22">
        <f t="shared" si="14"/>
        <v>2245878.471834756</v>
      </c>
      <c r="M53" s="22">
        <f t="shared" si="15"/>
        <v>2245878.471834756</v>
      </c>
      <c r="N53" s="19" t="s">
        <v>91</v>
      </c>
      <c r="O53" s="4">
        <f t="shared" si="16"/>
        <v>692.47740564578316</v>
      </c>
      <c r="P53" s="13">
        <f>'2010-10'!P53</f>
        <v>2370531</v>
      </c>
      <c r="Q53" s="22">
        <f t="shared" si="17"/>
        <v>1160713.212067951</v>
      </c>
      <c r="R53" s="13">
        <f t="shared" si="18"/>
        <v>1160713.212067951</v>
      </c>
      <c r="W53" s="18">
        <f t="shared" si="10"/>
        <v>0.51681924317112038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opLeftCell="D1" workbookViewId="0">
      <selection activeCell="W1" sqref="W1:W53"/>
    </sheetView>
  </sheetViews>
  <sheetFormatPr baseColWidth="10" defaultColWidth="11.5" defaultRowHeight="14" x14ac:dyDescent="0"/>
  <cols>
    <col min="4" max="4" width="11.5" style="18"/>
  </cols>
  <sheetData>
    <row r="1" spans="1:23" ht="56">
      <c r="A1" s="18">
        <f>4/6</f>
        <v>0.66666666666666663</v>
      </c>
      <c r="B1" s="1" t="s">
        <v>59</v>
      </c>
      <c r="C1" s="1" t="s">
        <v>60</v>
      </c>
      <c r="D1" s="1" t="s">
        <v>163</v>
      </c>
      <c r="E1" s="7" t="s">
        <v>90</v>
      </c>
      <c r="F1" s="1" t="s">
        <v>21</v>
      </c>
      <c r="G1" s="1" t="s">
        <v>20</v>
      </c>
      <c r="H1" s="1" t="s">
        <v>129</v>
      </c>
      <c r="I1" s="1" t="s">
        <v>25</v>
      </c>
      <c r="J1" s="8" t="s">
        <v>83</v>
      </c>
      <c r="K1" s="23" t="s">
        <v>78</v>
      </c>
      <c r="L1" s="21" t="s">
        <v>76</v>
      </c>
      <c r="M1" s="27" t="s">
        <v>103</v>
      </c>
      <c r="N1" s="19" t="s">
        <v>91</v>
      </c>
      <c r="O1" s="1" t="s">
        <v>89</v>
      </c>
      <c r="P1" s="1" t="s">
        <v>87</v>
      </c>
      <c r="Q1" s="21" t="s">
        <v>88</v>
      </c>
      <c r="R1" s="18" t="s">
        <v>102</v>
      </c>
      <c r="W1" s="18" t="s">
        <v>579</v>
      </c>
    </row>
    <row r="2" spans="1:23" ht="16">
      <c r="A2" s="18" t="s">
        <v>16</v>
      </c>
      <c r="B2" s="18" t="s">
        <v>18</v>
      </c>
      <c r="C2" s="18" t="s">
        <v>120</v>
      </c>
      <c r="E2" s="18" t="s">
        <v>114</v>
      </c>
      <c r="F2" s="18" t="s">
        <v>17</v>
      </c>
      <c r="G2" s="18" t="s">
        <v>19</v>
      </c>
      <c r="H2" s="18" t="s">
        <v>130</v>
      </c>
      <c r="I2" s="18" t="s">
        <v>24</v>
      </c>
      <c r="J2" s="9" t="s">
        <v>16</v>
      </c>
      <c r="K2" s="13" t="s">
        <v>121</v>
      </c>
      <c r="L2" s="22" t="s">
        <v>127</v>
      </c>
      <c r="M2" s="22" t="s">
        <v>122</v>
      </c>
      <c r="N2" s="19" t="s">
        <v>91</v>
      </c>
      <c r="O2" s="18" t="s">
        <v>123</v>
      </c>
      <c r="P2" s="18" t="s">
        <v>124</v>
      </c>
      <c r="Q2" s="22" t="s">
        <v>126</v>
      </c>
      <c r="R2" s="18" t="s">
        <v>125</v>
      </c>
      <c r="W2" s="18" t="s">
        <v>580</v>
      </c>
    </row>
    <row r="3" spans="1:23">
      <c r="A3" s="18" t="s">
        <v>26</v>
      </c>
      <c r="B3" s="4">
        <f>'2010-10'!B3</f>
        <v>66.682397163757059</v>
      </c>
      <c r="C3" s="4">
        <f>'2010-10'!C3</f>
        <v>79.773749080561657</v>
      </c>
      <c r="D3" s="16">
        <f>C3*$A$1*1000</f>
        <v>53182.499387041105</v>
      </c>
      <c r="E3" s="4">
        <f>'Interval Circuities'!E3</f>
        <v>1.2411800167011908</v>
      </c>
      <c r="F3" s="4">
        <f t="shared" ref="F3:F34" si="0">B3/E3</f>
        <v>53.725000617545859</v>
      </c>
      <c r="G3" s="4">
        <f t="shared" ref="G3:G34" si="1">F3*$A$1</f>
        <v>35.816667078363906</v>
      </c>
      <c r="H3" s="4">
        <f t="shared" ref="H3:H34" si="2">PI()*G3^2</f>
        <v>4030.1407410942129</v>
      </c>
      <c r="I3" s="4">
        <f>K3/J3</f>
        <v>659.04777089359266</v>
      </c>
      <c r="J3" s="33">
        <f>'2010-10'!J3</f>
        <v>6851.4289849999996</v>
      </c>
      <c r="K3" s="33">
        <f>'2010-10'!K3</f>
        <v>4515419</v>
      </c>
      <c r="L3" s="22">
        <f t="shared" ref="L3:L34" si="3">H3*I3</f>
        <v>2656055.2718055923</v>
      </c>
      <c r="M3" s="22">
        <f t="shared" ref="M3:M34" si="4">MIN(K3,L3)</f>
        <v>2656055.2718055923</v>
      </c>
      <c r="N3" s="19" t="s">
        <v>91</v>
      </c>
      <c r="O3" s="4">
        <f t="shared" ref="O3:O34" si="5">P3/J3</f>
        <v>292.35463206074525</v>
      </c>
      <c r="P3" s="13">
        <f>'2010-10'!P3</f>
        <v>2003047</v>
      </c>
      <c r="Q3" s="22">
        <f t="shared" ref="Q3:Q34" si="6">H3*O3</f>
        <v>1178230.3135156177</v>
      </c>
      <c r="R3" s="13">
        <f t="shared" ref="R3:R34" si="7">MIN(Q3,P3)</f>
        <v>1178230.3135156177</v>
      </c>
      <c r="W3" s="18">
        <f>Q3/L3</f>
        <v>0.44360157938831374</v>
      </c>
    </row>
    <row r="4" spans="1:23">
      <c r="A4" s="18" t="s">
        <v>27</v>
      </c>
      <c r="B4" s="4">
        <f>'2010-10'!B4</f>
        <v>67.132189228567199</v>
      </c>
      <c r="C4" s="4">
        <f>'2010-10'!C4</f>
        <v>79.519027593680846</v>
      </c>
      <c r="D4" s="16">
        <f t="shared" ref="D4:D53" si="8">C4*$A$1*1000</f>
        <v>53012.6850624539</v>
      </c>
      <c r="E4" s="4">
        <f>'Interval Circuities'!E4</f>
        <v>1.3069706181282645</v>
      </c>
      <c r="F4" s="4">
        <f t="shared" si="0"/>
        <v>51.364727177041196</v>
      </c>
      <c r="G4" s="4">
        <f t="shared" si="1"/>
        <v>34.243151451360795</v>
      </c>
      <c r="H4" s="4">
        <f t="shared" si="2"/>
        <v>3683.8108780692496</v>
      </c>
      <c r="I4" s="4">
        <f t="shared" ref="I4:I53" si="9">K4/J4</f>
        <v>1005.7320851324054</v>
      </c>
      <c r="J4" s="33">
        <f>'2010-10'!J4</f>
        <v>1354.6510249999999</v>
      </c>
      <c r="K4" s="33">
        <f>'2010-10'!K4</f>
        <v>1362416</v>
      </c>
      <c r="L4" s="22">
        <f t="shared" si="3"/>
        <v>3704926.7956340234</v>
      </c>
      <c r="M4" s="22">
        <f t="shared" si="4"/>
        <v>1362416</v>
      </c>
      <c r="N4" s="19" t="s">
        <v>91</v>
      </c>
      <c r="O4" s="4">
        <f t="shared" si="5"/>
        <v>472.86200517952591</v>
      </c>
      <c r="P4" s="13">
        <f>'2010-10'!P4</f>
        <v>640563</v>
      </c>
      <c r="Q4" s="22">
        <f t="shared" si="6"/>
        <v>1741934.1985059753</v>
      </c>
      <c r="R4" s="13">
        <f t="shared" si="7"/>
        <v>640563</v>
      </c>
      <c r="W4" s="18">
        <f t="shared" ref="W4:W53" si="10">Q4/L4</f>
        <v>0.47016696809197778</v>
      </c>
    </row>
    <row r="5" spans="1:23" ht="16">
      <c r="A5" s="18" t="s">
        <v>117</v>
      </c>
      <c r="B5" s="4">
        <f>'2010-10'!B5</f>
        <v>64.331330728262358</v>
      </c>
      <c r="C5" s="4">
        <f>'2010-10'!C5</f>
        <v>77.152319954484682</v>
      </c>
      <c r="D5" s="16">
        <f t="shared" si="8"/>
        <v>51434.879969656453</v>
      </c>
      <c r="E5" s="4">
        <f>'Interval Circuities'!E5</f>
        <v>1.2476796419595966</v>
      </c>
      <c r="F5" s="4">
        <f t="shared" si="0"/>
        <v>51.560776151820541</v>
      </c>
      <c r="G5" s="4">
        <f t="shared" si="1"/>
        <v>34.373850767880356</v>
      </c>
      <c r="H5" s="4">
        <f t="shared" si="2"/>
        <v>3711.9852945135376</v>
      </c>
      <c r="I5" s="4">
        <f t="shared" si="9"/>
        <v>1186.6066340855928</v>
      </c>
      <c r="J5" s="33">
        <f>'2010-10'!J5</f>
        <v>1857.1133319999999</v>
      </c>
      <c r="K5" s="33">
        <f>'2010-10'!K5</f>
        <v>2203663</v>
      </c>
      <c r="L5" s="22">
        <f t="shared" si="3"/>
        <v>4404666.3760979269</v>
      </c>
      <c r="M5" s="22">
        <f t="shared" si="4"/>
        <v>2203663</v>
      </c>
      <c r="N5" s="19" t="s">
        <v>91</v>
      </c>
      <c r="O5" s="4">
        <f t="shared" si="5"/>
        <v>570.56830175187179</v>
      </c>
      <c r="P5" s="13">
        <f>'2010-10'!P5</f>
        <v>1059610</v>
      </c>
      <c r="Q5" s="22">
        <f t="shared" si="6"/>
        <v>2117941.1456185109</v>
      </c>
      <c r="R5" s="13">
        <f t="shared" si="7"/>
        <v>1059610</v>
      </c>
      <c r="W5" s="18">
        <f t="shared" si="10"/>
        <v>0.48084030997480109</v>
      </c>
    </row>
    <row r="6" spans="1:23">
      <c r="A6" s="18" t="s">
        <v>29</v>
      </c>
      <c r="B6" s="4">
        <f>'2010-10'!B6</f>
        <v>59.083844176305647</v>
      </c>
      <c r="C6" s="4">
        <f>'2010-10'!C6</f>
        <v>71.201949648545863</v>
      </c>
      <c r="D6" s="16">
        <f t="shared" si="8"/>
        <v>47467.966432363908</v>
      </c>
      <c r="E6" s="4">
        <f>'Interval Circuities'!E6</f>
        <v>1.2078231024802963</v>
      </c>
      <c r="F6" s="4">
        <f t="shared" si="0"/>
        <v>48.917630450167266</v>
      </c>
      <c r="G6" s="4">
        <f t="shared" si="1"/>
        <v>32.611753633444842</v>
      </c>
      <c r="H6" s="4">
        <f t="shared" si="2"/>
        <v>3341.1669609106248</v>
      </c>
      <c r="I6" s="4">
        <f t="shared" si="9"/>
        <v>861.67001828332229</v>
      </c>
      <c r="J6" s="33">
        <f>'2010-10'!J6</f>
        <v>4852.2275479999998</v>
      </c>
      <c r="K6" s="33">
        <f>'2010-10'!K6</f>
        <v>4181019</v>
      </c>
      <c r="L6" s="22">
        <f t="shared" si="3"/>
        <v>2878983.3962954902</v>
      </c>
      <c r="M6" s="22">
        <f t="shared" si="4"/>
        <v>2878983.3962954902</v>
      </c>
      <c r="N6" s="19" t="s">
        <v>91</v>
      </c>
      <c r="O6" s="4">
        <f t="shared" si="5"/>
        <v>598.22977617701781</v>
      </c>
      <c r="P6" s="13">
        <f>'2010-10'!P6</f>
        <v>2902747</v>
      </c>
      <c r="Q6" s="22">
        <f t="shared" si="6"/>
        <v>1998785.56319561</v>
      </c>
      <c r="R6" s="13">
        <f t="shared" si="7"/>
        <v>1998785.56319561</v>
      </c>
      <c r="W6" s="18">
        <f t="shared" si="10"/>
        <v>0.69426783279387161</v>
      </c>
    </row>
    <row r="7" spans="1:23">
      <c r="A7" s="18" t="s">
        <v>30</v>
      </c>
      <c r="B7" s="4">
        <f>'2010-10'!B7</f>
        <v>61.52546201403905</v>
      </c>
      <c r="C7" s="4">
        <f>'2010-10'!C7</f>
        <v>70.650556777808134</v>
      </c>
      <c r="D7" s="16">
        <f t="shared" si="8"/>
        <v>47100.371185205418</v>
      </c>
      <c r="E7" s="4">
        <f>'Interval Circuities'!E7</f>
        <v>1.1895929057749248</v>
      </c>
      <c r="F7" s="4">
        <f t="shared" si="0"/>
        <v>51.719762042427547</v>
      </c>
      <c r="G7" s="4">
        <f t="shared" si="1"/>
        <v>34.479841361618362</v>
      </c>
      <c r="H7" s="4">
        <f t="shared" si="2"/>
        <v>3734.9121466994789</v>
      </c>
      <c r="I7" s="4">
        <f t="shared" si="9"/>
        <v>951.10925507842603</v>
      </c>
      <c r="J7" s="33">
        <f>'2010-10'!J7</f>
        <v>984.01523799999995</v>
      </c>
      <c r="K7" s="33">
        <f>'2010-10'!K7</f>
        <v>935906</v>
      </c>
      <c r="L7" s="22">
        <f t="shared" si="3"/>
        <v>3552309.5096307062</v>
      </c>
      <c r="M7" s="22">
        <f t="shared" si="4"/>
        <v>935906</v>
      </c>
      <c r="N7" s="19" t="s">
        <v>91</v>
      </c>
      <c r="O7" s="4">
        <f t="shared" si="5"/>
        <v>463.10664957405874</v>
      </c>
      <c r="P7" s="13">
        <f>'2010-10'!P7</f>
        <v>455704</v>
      </c>
      <c r="Q7" s="22">
        <f t="shared" si="6"/>
        <v>1729662.650711451</v>
      </c>
      <c r="R7" s="13">
        <f t="shared" si="7"/>
        <v>455704</v>
      </c>
      <c r="W7" s="18">
        <f t="shared" si="10"/>
        <v>0.48691214716007802</v>
      </c>
    </row>
    <row r="8" spans="1:23">
      <c r="A8" s="18" t="s">
        <v>31</v>
      </c>
      <c r="B8" s="4">
        <f>'2010-10'!B8</f>
        <v>64.052681514079197</v>
      </c>
      <c r="C8" s="4">
        <f>'2010-10'!C8</f>
        <v>75.74245959811465</v>
      </c>
      <c r="D8" s="16">
        <f t="shared" si="8"/>
        <v>50494.973065409766</v>
      </c>
      <c r="E8" s="4">
        <f>'Interval Circuities'!E8</f>
        <v>1.2259980336163547</v>
      </c>
      <c r="F8" s="4">
        <f t="shared" si="0"/>
        <v>52.245337886180387</v>
      </c>
      <c r="G8" s="4">
        <f t="shared" si="1"/>
        <v>34.830225257453591</v>
      </c>
      <c r="H8" s="4">
        <f t="shared" si="2"/>
        <v>3811.2061363513349</v>
      </c>
      <c r="I8" s="4">
        <f t="shared" si="9"/>
        <v>650.59688341284709</v>
      </c>
      <c r="J8" s="33">
        <f>'2010-10'!J8</f>
        <v>1920.4549420000001</v>
      </c>
      <c r="K8" s="33">
        <f>'2010-10'!K8</f>
        <v>1249442</v>
      </c>
      <c r="L8" s="22">
        <f t="shared" si="3"/>
        <v>2479558.834354097</v>
      </c>
      <c r="M8" s="22">
        <f t="shared" si="4"/>
        <v>1249442</v>
      </c>
      <c r="N8" s="19" t="s">
        <v>91</v>
      </c>
      <c r="O8" s="4">
        <f t="shared" si="5"/>
        <v>378.75608747294422</v>
      </c>
      <c r="P8" s="13">
        <f>'2010-10'!P8</f>
        <v>727384</v>
      </c>
      <c r="Q8" s="22">
        <f t="shared" si="6"/>
        <v>1443517.524757308</v>
      </c>
      <c r="R8" s="13">
        <f t="shared" si="7"/>
        <v>727384</v>
      </c>
      <c r="W8" s="18">
        <f t="shared" si="10"/>
        <v>0.58216707938423706</v>
      </c>
    </row>
    <row r="9" spans="1:23">
      <c r="A9" s="18" t="s">
        <v>32</v>
      </c>
      <c r="B9" s="4">
        <f>'2010-10'!B9</f>
        <v>62.255871883980589</v>
      </c>
      <c r="C9" s="4">
        <f>'2010-10'!C9</f>
        <v>73.232676356180107</v>
      </c>
      <c r="D9" s="16">
        <f t="shared" si="8"/>
        <v>48821.784237453401</v>
      </c>
      <c r="E9" s="4">
        <f>'Interval Circuities'!E9</f>
        <v>1.2158976337091789</v>
      </c>
      <c r="F9" s="4">
        <f t="shared" si="0"/>
        <v>51.201573354546959</v>
      </c>
      <c r="G9" s="4">
        <f t="shared" si="1"/>
        <v>34.134382236364637</v>
      </c>
      <c r="H9" s="4">
        <f t="shared" si="2"/>
        <v>3660.4456890336414</v>
      </c>
      <c r="I9" s="4">
        <f t="shared" si="9"/>
        <v>1360.6187423043561</v>
      </c>
      <c r="J9" s="33">
        <f>'2010-10'!J9</f>
        <v>6326.6863320000002</v>
      </c>
      <c r="K9" s="33">
        <f>'2010-10'!K9</f>
        <v>8608208</v>
      </c>
      <c r="L9" s="22">
        <f t="shared" si="3"/>
        <v>4980471.0096863555</v>
      </c>
      <c r="M9" s="22">
        <f t="shared" si="4"/>
        <v>4980471.0096863555</v>
      </c>
      <c r="N9" s="19" t="s">
        <v>91</v>
      </c>
      <c r="O9" s="4">
        <f t="shared" si="5"/>
        <v>600.27821843973788</v>
      </c>
      <c r="P9" s="13">
        <f>'2010-10'!P9</f>
        <v>3797772</v>
      </c>
      <c r="Q9" s="22">
        <f t="shared" si="6"/>
        <v>2197285.8169085332</v>
      </c>
      <c r="R9" s="13">
        <f t="shared" si="7"/>
        <v>2197285.8169085332</v>
      </c>
      <c r="W9" s="18">
        <f t="shared" si="10"/>
        <v>0.44118032463899576</v>
      </c>
    </row>
    <row r="10" spans="1:23">
      <c r="A10" s="18" t="s">
        <v>33</v>
      </c>
      <c r="B10" s="4">
        <f>'2010-10'!B10</f>
        <v>63.816269796049951</v>
      </c>
      <c r="C10" s="4">
        <f>'2010-10'!C10</f>
        <v>74.14207195492925</v>
      </c>
      <c r="D10" s="16">
        <f t="shared" si="8"/>
        <v>49428.04796995283</v>
      </c>
      <c r="E10" s="4">
        <f>'Interval Circuities'!E10</f>
        <v>1.2806447263853369</v>
      </c>
      <c r="F10" s="4">
        <f t="shared" si="0"/>
        <v>49.831361095886081</v>
      </c>
      <c r="G10" s="4">
        <f t="shared" si="1"/>
        <v>33.220907397257385</v>
      </c>
      <c r="H10" s="4">
        <f t="shared" si="2"/>
        <v>3467.151779445267</v>
      </c>
      <c r="I10" s="4">
        <f t="shared" si="9"/>
        <v>796.39106388024629</v>
      </c>
      <c r="J10" s="33">
        <f>'2010-10'!J10</f>
        <v>2040.237609</v>
      </c>
      <c r="K10" s="33">
        <f>'2010-10'!K10</f>
        <v>1624827</v>
      </c>
      <c r="L10" s="22">
        <f t="shared" si="3"/>
        <v>2761208.6942667053</v>
      </c>
      <c r="M10" s="22">
        <f t="shared" si="4"/>
        <v>1624827</v>
      </c>
      <c r="N10" s="19" t="s">
        <v>91</v>
      </c>
      <c r="O10" s="4">
        <f t="shared" si="5"/>
        <v>428.64958284375984</v>
      </c>
      <c r="P10" s="13">
        <f>'2010-10'!P10</f>
        <v>874547</v>
      </c>
      <c r="Q10" s="22">
        <f t="shared" si="6"/>
        <v>1486193.1639152134</v>
      </c>
      <c r="R10" s="13">
        <f t="shared" si="7"/>
        <v>874547</v>
      </c>
      <c r="W10" s="18">
        <f t="shared" si="10"/>
        <v>0.53824007109679983</v>
      </c>
    </row>
    <row r="11" spans="1:23">
      <c r="A11" s="18" t="s">
        <v>34</v>
      </c>
      <c r="B11" s="4">
        <f>'2010-10'!B11</f>
        <v>60.599390167439914</v>
      </c>
      <c r="C11" s="4">
        <f>'2010-10'!C11</f>
        <v>69.653954039848372</v>
      </c>
      <c r="D11" s="16">
        <f t="shared" si="8"/>
        <v>46435.969359898911</v>
      </c>
      <c r="E11" s="4">
        <f>'Interval Circuities'!E11</f>
        <v>1.1762375387586297</v>
      </c>
      <c r="F11" s="4">
        <f t="shared" si="0"/>
        <v>51.519687283059277</v>
      </c>
      <c r="G11" s="4">
        <f t="shared" si="1"/>
        <v>34.34645818870618</v>
      </c>
      <c r="H11" s="4">
        <f t="shared" si="2"/>
        <v>3706.0714772377523</v>
      </c>
      <c r="I11" s="4">
        <f t="shared" si="9"/>
        <v>890.6045978114746</v>
      </c>
      <c r="J11" s="33">
        <f>'2010-10'!J11</f>
        <v>1999.3979420000001</v>
      </c>
      <c r="K11" s="33">
        <f>'2010-10'!K11</f>
        <v>1780673</v>
      </c>
      <c r="L11" s="22">
        <f t="shared" si="3"/>
        <v>3300644.2974459059</v>
      </c>
      <c r="M11" s="22">
        <f t="shared" si="4"/>
        <v>1780673</v>
      </c>
      <c r="N11" s="19" t="s">
        <v>91</v>
      </c>
      <c r="O11" s="4">
        <f t="shared" si="5"/>
        <v>435.21001083435146</v>
      </c>
      <c r="P11" s="13">
        <f>'2010-10'!P11</f>
        <v>870158</v>
      </c>
      <c r="Q11" s="22">
        <f t="shared" si="6"/>
        <v>1612919.407761523</v>
      </c>
      <c r="R11" s="13">
        <f t="shared" si="7"/>
        <v>870158</v>
      </c>
      <c r="W11" s="18">
        <f t="shared" si="10"/>
        <v>0.48866804854119761</v>
      </c>
    </row>
    <row r="12" spans="1:23">
      <c r="A12" s="18" t="s">
        <v>35</v>
      </c>
      <c r="B12" s="4">
        <f>'2010-10'!B12</f>
        <v>64.046411741712433</v>
      </c>
      <c r="C12" s="4">
        <f>'2010-10'!C12</f>
        <v>74.901794999095003</v>
      </c>
      <c r="D12" s="16">
        <f t="shared" si="8"/>
        <v>49934.529999396669</v>
      </c>
      <c r="E12" s="4">
        <f>'Interval Circuities'!E12</f>
        <v>1.1959404878863944</v>
      </c>
      <c r="F12" s="4">
        <f t="shared" si="0"/>
        <v>53.553176257877787</v>
      </c>
      <c r="G12" s="4">
        <f t="shared" si="1"/>
        <v>35.702117505251856</v>
      </c>
      <c r="H12" s="4">
        <f t="shared" si="2"/>
        <v>4004.40341216056</v>
      </c>
      <c r="I12" s="4">
        <f t="shared" si="9"/>
        <v>1034.7499169004755</v>
      </c>
      <c r="J12" s="33">
        <f>'2010-10'!J12</f>
        <v>1322.0923989999999</v>
      </c>
      <c r="K12" s="33">
        <f>'2010-10'!K12</f>
        <v>1368035</v>
      </c>
      <c r="L12" s="22">
        <f t="shared" si="3"/>
        <v>4143556.0979691199</v>
      </c>
      <c r="M12" s="22">
        <f t="shared" si="4"/>
        <v>1368035</v>
      </c>
      <c r="N12" s="19" t="s">
        <v>91</v>
      </c>
      <c r="O12" s="4">
        <f t="shared" si="5"/>
        <v>567.53143771761449</v>
      </c>
      <c r="P12" s="13">
        <f>'2010-10'!P12</f>
        <v>750329</v>
      </c>
      <c r="Q12" s="22">
        <f t="shared" si="6"/>
        <v>2272624.8257048037</v>
      </c>
      <c r="R12" s="13">
        <f t="shared" si="7"/>
        <v>750329</v>
      </c>
      <c r="W12" s="18">
        <f t="shared" si="10"/>
        <v>0.54847207856524127</v>
      </c>
    </row>
    <row r="13" spans="1:23">
      <c r="A13" s="18" t="s">
        <v>61</v>
      </c>
      <c r="B13" s="4">
        <f>'2010-10'!B13</f>
        <v>65.991437704144019</v>
      </c>
      <c r="C13" s="4">
        <f>'2010-10'!C13</f>
        <v>78.097331458401655</v>
      </c>
      <c r="D13" s="16">
        <f t="shared" si="8"/>
        <v>52064.887638934437</v>
      </c>
      <c r="E13" s="4">
        <f>'Interval Circuities'!E13</f>
        <v>1.2625860685913481</v>
      </c>
      <c r="F13" s="4">
        <f t="shared" si="0"/>
        <v>52.266882508667202</v>
      </c>
      <c r="G13" s="4">
        <f t="shared" si="1"/>
        <v>34.844588339111468</v>
      </c>
      <c r="H13" s="4">
        <f t="shared" si="2"/>
        <v>3814.350069608271</v>
      </c>
      <c r="I13" s="4">
        <f t="shared" si="9"/>
        <v>1111.5370303722236</v>
      </c>
      <c r="J13" s="33">
        <f>'2010-10'!J13</f>
        <v>4607.9364519999999</v>
      </c>
      <c r="K13" s="33">
        <f>'2010-10'!K13</f>
        <v>5121892</v>
      </c>
      <c r="L13" s="22">
        <f t="shared" si="3"/>
        <v>4239791.3491724618</v>
      </c>
      <c r="M13" s="22">
        <f t="shared" si="4"/>
        <v>4239791.3491724618</v>
      </c>
      <c r="N13" s="19" t="s">
        <v>91</v>
      </c>
      <c r="O13" s="4">
        <f t="shared" si="5"/>
        <v>544.77313785663296</v>
      </c>
      <c r="P13" s="13">
        <f>'2010-10'!P13</f>
        <v>2510280</v>
      </c>
      <c r="Q13" s="22">
        <f t="shared" si="6"/>
        <v>2077955.4563041641</v>
      </c>
      <c r="R13" s="13">
        <f t="shared" si="7"/>
        <v>2077955.4563041641</v>
      </c>
      <c r="W13" s="18">
        <f t="shared" si="10"/>
        <v>0.49010795229575321</v>
      </c>
    </row>
    <row r="14" spans="1:23">
      <c r="A14" s="18" t="s">
        <v>36</v>
      </c>
      <c r="B14" s="4">
        <f>'2010-10'!B14</f>
        <v>60.705617754852213</v>
      </c>
      <c r="C14" s="4">
        <f>'2010-10'!C14</f>
        <v>72.576467255996263</v>
      </c>
      <c r="D14" s="16">
        <f t="shared" si="8"/>
        <v>48384.311503997509</v>
      </c>
      <c r="E14" s="4">
        <f>'Interval Circuities'!E14</f>
        <v>1.3585032737296159</v>
      </c>
      <c r="F14" s="4">
        <f t="shared" si="0"/>
        <v>44.685661734323141</v>
      </c>
      <c r="G14" s="4">
        <f t="shared" si="1"/>
        <v>29.790441156215426</v>
      </c>
      <c r="H14" s="4">
        <f t="shared" si="2"/>
        <v>2788.0704395386342</v>
      </c>
      <c r="I14" s="4">
        <f t="shared" si="9"/>
        <v>1372.3806261261409</v>
      </c>
      <c r="J14" s="33">
        <f>'2010-10'!J14</f>
        <v>1729.9887180000001</v>
      </c>
      <c r="K14" s="33">
        <f>'2010-10'!K14</f>
        <v>2374203</v>
      </c>
      <c r="L14" s="22">
        <f t="shared" si="3"/>
        <v>3826293.8554978156</v>
      </c>
      <c r="M14" s="22">
        <f t="shared" si="4"/>
        <v>2374203</v>
      </c>
      <c r="N14" s="19" t="s">
        <v>91</v>
      </c>
      <c r="O14" s="4">
        <f t="shared" si="5"/>
        <v>600.08830647183447</v>
      </c>
      <c r="P14" s="13">
        <f>'2010-10'!P14</f>
        <v>1038146</v>
      </c>
      <c r="Q14" s="22">
        <f t="shared" si="6"/>
        <v>1673088.4683869223</v>
      </c>
      <c r="R14" s="13">
        <f t="shared" si="7"/>
        <v>1038146</v>
      </c>
      <c r="W14" s="18">
        <f t="shared" si="10"/>
        <v>0.43726084079583766</v>
      </c>
    </row>
    <row r="15" spans="1:23">
      <c r="A15" s="18" t="s">
        <v>37</v>
      </c>
      <c r="B15" s="4">
        <f>'2010-10'!B15</f>
        <v>62.147901133486052</v>
      </c>
      <c r="C15" s="4">
        <f>'2010-10'!C15</f>
        <v>71.579622920369374</v>
      </c>
      <c r="D15" s="16">
        <f t="shared" si="8"/>
        <v>47719.748613579584</v>
      </c>
      <c r="E15" s="4">
        <f>'Interval Circuities'!E15</f>
        <v>1.2059623625482374</v>
      </c>
      <c r="F15" s="4">
        <f t="shared" si="0"/>
        <v>51.53386462423714</v>
      </c>
      <c r="G15" s="4">
        <f t="shared" si="1"/>
        <v>34.355909749491424</v>
      </c>
      <c r="H15" s="4">
        <f t="shared" si="2"/>
        <v>3708.1114534836765</v>
      </c>
      <c r="I15" s="4">
        <f t="shared" si="9"/>
        <v>1078.2087468947925</v>
      </c>
      <c r="J15" s="33">
        <f>'2010-10'!J15</f>
        <v>3463.2347500000001</v>
      </c>
      <c r="K15" s="33">
        <f>'2010-10'!K15</f>
        <v>3734090</v>
      </c>
      <c r="L15" s="22">
        <f t="shared" si="3"/>
        <v>3998118.2036068626</v>
      </c>
      <c r="M15" s="22">
        <f t="shared" si="4"/>
        <v>3734090</v>
      </c>
      <c r="N15" s="19" t="s">
        <v>91</v>
      </c>
      <c r="O15" s="4">
        <f t="shared" si="5"/>
        <v>433.40348210585495</v>
      </c>
      <c r="P15" s="13">
        <f>'2010-10'!P15</f>
        <v>1500978</v>
      </c>
      <c r="Q15" s="22">
        <f t="shared" si="6"/>
        <v>1607108.4159764284</v>
      </c>
      <c r="R15" s="13">
        <f t="shared" si="7"/>
        <v>1500978</v>
      </c>
      <c r="W15" s="18">
        <f t="shared" si="10"/>
        <v>0.4019662086345</v>
      </c>
    </row>
    <row r="16" spans="1:23">
      <c r="A16" s="18" t="s">
        <v>79</v>
      </c>
      <c r="B16" s="4">
        <f>'2010-10'!B16</f>
        <v>67.784674216887879</v>
      </c>
      <c r="C16" s="4">
        <f>'2010-10'!C16</f>
        <v>73.484930426832634</v>
      </c>
      <c r="D16" s="16">
        <f t="shared" si="8"/>
        <v>48989.953617888415</v>
      </c>
      <c r="E16" s="4">
        <f>'Interval Circuities'!E16</f>
        <v>1.2427824351070944</v>
      </c>
      <c r="F16" s="4">
        <f t="shared" si="0"/>
        <v>54.542671590821655</v>
      </c>
      <c r="G16" s="4">
        <f t="shared" si="1"/>
        <v>36.36178106054777</v>
      </c>
      <c r="H16" s="4">
        <f t="shared" si="2"/>
        <v>4153.7482160757972</v>
      </c>
      <c r="I16" s="4">
        <f t="shared" si="9"/>
        <v>784.29737505885555</v>
      </c>
      <c r="J16" s="33">
        <f>'2010-10'!J16</f>
        <v>726.68227400000001</v>
      </c>
      <c r="K16" s="33">
        <f>'2010-10'!K16</f>
        <v>569935</v>
      </c>
      <c r="L16" s="22">
        <f t="shared" si="3"/>
        <v>3257773.8225236516</v>
      </c>
      <c r="M16" s="22">
        <f t="shared" si="4"/>
        <v>569935</v>
      </c>
      <c r="N16" s="19" t="s">
        <v>91</v>
      </c>
      <c r="O16" s="4">
        <f t="shared" si="5"/>
        <v>438.1103150453344</v>
      </c>
      <c r="P16" s="13">
        <f>'2010-10'!P16</f>
        <v>318367</v>
      </c>
      <c r="Q16" s="22">
        <f t="shared" si="6"/>
        <v>1819799.9395639633</v>
      </c>
      <c r="R16" s="13">
        <f t="shared" si="7"/>
        <v>318367</v>
      </c>
      <c r="W16" s="18">
        <f t="shared" si="10"/>
        <v>0.55860229675313855</v>
      </c>
    </row>
    <row r="17" spans="1:23">
      <c r="A17" s="18" t="s">
        <v>511</v>
      </c>
      <c r="B17" s="4">
        <f>'2010-10'!B17</f>
        <v>64.715366633523445</v>
      </c>
      <c r="C17" s="4">
        <f>'2010-10'!C17</f>
        <v>75.511487142105324</v>
      </c>
      <c r="D17" s="16">
        <f t="shared" si="8"/>
        <v>50340.991428070214</v>
      </c>
      <c r="E17" s="4">
        <f>'Interval Circuities'!E17</f>
        <v>1.3015601427125245</v>
      </c>
      <c r="F17" s="4">
        <f t="shared" si="0"/>
        <v>49.721380142029382</v>
      </c>
      <c r="G17" s="4">
        <f t="shared" si="1"/>
        <v>33.147586761352919</v>
      </c>
      <c r="H17" s="4">
        <f t="shared" si="2"/>
        <v>3451.8642234913145</v>
      </c>
      <c r="I17" s="4">
        <f t="shared" si="9"/>
        <v>1078.4020248075806</v>
      </c>
      <c r="J17" s="33">
        <f>'2010-10'!J17</f>
        <v>1334.9993480000001</v>
      </c>
      <c r="K17" s="33">
        <f>'2010-10'!K17</f>
        <v>1439666</v>
      </c>
      <c r="L17" s="22">
        <f t="shared" si="3"/>
        <v>3722497.3679738804</v>
      </c>
      <c r="M17" s="22">
        <f t="shared" si="4"/>
        <v>1439666</v>
      </c>
      <c r="N17" s="19" t="s">
        <v>91</v>
      </c>
      <c r="O17" s="4">
        <f t="shared" si="5"/>
        <v>444.79197753136282</v>
      </c>
      <c r="P17" s="13">
        <f>'2010-10'!P17</f>
        <v>593797</v>
      </c>
      <c r="Q17" s="22">
        <f t="shared" si="6"/>
        <v>1535361.5141364639</v>
      </c>
      <c r="R17" s="13">
        <f t="shared" si="7"/>
        <v>593797</v>
      </c>
      <c r="W17" s="18">
        <f t="shared" si="10"/>
        <v>0.41245469435271798</v>
      </c>
    </row>
    <row r="18" spans="1:23">
      <c r="A18" s="18" t="s">
        <v>38</v>
      </c>
      <c r="B18" s="4">
        <f>'2010-10'!B18</f>
        <v>63.831016736397409</v>
      </c>
      <c r="C18" s="4">
        <f>'2010-10'!C18</f>
        <v>74.742968134682343</v>
      </c>
      <c r="D18" s="16">
        <f t="shared" si="8"/>
        <v>49828.645423121554</v>
      </c>
      <c r="E18" s="4">
        <f>'Interval Circuities'!E18</f>
        <v>1.2343532827288761</v>
      </c>
      <c r="F18" s="4">
        <f t="shared" si="0"/>
        <v>51.712113241422635</v>
      </c>
      <c r="G18" s="4">
        <f t="shared" si="1"/>
        <v>34.474742160948423</v>
      </c>
      <c r="H18" s="4">
        <f t="shared" si="2"/>
        <v>3733.8075210696907</v>
      </c>
      <c r="I18" s="4">
        <f t="shared" si="9"/>
        <v>691.70595675577363</v>
      </c>
      <c r="J18" s="33">
        <f>'2010-10'!J18</f>
        <v>1337.0695900000001</v>
      </c>
      <c r="K18" s="33">
        <f>'2010-10'!K18</f>
        <v>924859</v>
      </c>
      <c r="L18" s="22">
        <f t="shared" si="3"/>
        <v>2582696.9037034139</v>
      </c>
      <c r="M18" s="22">
        <f t="shared" si="4"/>
        <v>924859</v>
      </c>
      <c r="N18" s="19" t="s">
        <v>91</v>
      </c>
      <c r="O18" s="4">
        <f t="shared" si="5"/>
        <v>395.88290987905873</v>
      </c>
      <c r="P18" s="13">
        <f>'2010-10'!P18</f>
        <v>529323</v>
      </c>
      <c r="Q18" s="22">
        <f t="shared" si="6"/>
        <v>1478150.5863693841</v>
      </c>
      <c r="R18" s="13">
        <f t="shared" si="7"/>
        <v>529323</v>
      </c>
      <c r="W18" s="18">
        <f t="shared" si="10"/>
        <v>0.57232832247942655</v>
      </c>
    </row>
    <row r="19" spans="1:23">
      <c r="A19" s="18" t="s">
        <v>80</v>
      </c>
      <c r="B19" s="4">
        <f>'2010-10'!B19</f>
        <v>54.710932805374171</v>
      </c>
      <c r="C19" s="4">
        <f>'2010-10'!C19</f>
        <v>67.860376115847075</v>
      </c>
      <c r="D19" s="16">
        <f t="shared" si="8"/>
        <v>45240.250743898046</v>
      </c>
      <c r="E19" s="4">
        <f>'Interval Circuities'!E19</f>
        <v>1.4322616900458065</v>
      </c>
      <c r="F19" s="4">
        <f t="shared" si="0"/>
        <v>38.198978011919323</v>
      </c>
      <c r="G19" s="4">
        <f t="shared" si="1"/>
        <v>25.465985341279548</v>
      </c>
      <c r="H19" s="4">
        <f t="shared" si="2"/>
        <v>2037.3743875105856</v>
      </c>
      <c r="I19" s="4">
        <f t="shared" si="9"/>
        <v>1820.7093992818395</v>
      </c>
      <c r="J19" s="33">
        <f>'2010-10'!J19</f>
        <v>440.73974700000002</v>
      </c>
      <c r="K19" s="33">
        <f>'2010-10'!K19</f>
        <v>802459</v>
      </c>
      <c r="L19" s="22">
        <f t="shared" si="3"/>
        <v>3709466.6971966042</v>
      </c>
      <c r="M19" s="22">
        <f t="shared" si="4"/>
        <v>802459</v>
      </c>
      <c r="N19" s="19" t="s">
        <v>91</v>
      </c>
      <c r="O19" s="4">
        <f t="shared" si="5"/>
        <v>762.20491182520914</v>
      </c>
      <c r="P19" s="13">
        <f>'2010-10'!P19</f>
        <v>335934</v>
      </c>
      <c r="Q19" s="22">
        <f t="shared" si="6"/>
        <v>1552896.7653874455</v>
      </c>
      <c r="R19" s="13">
        <f t="shared" si="7"/>
        <v>335934</v>
      </c>
      <c r="W19" s="18">
        <f t="shared" si="10"/>
        <v>0.41863073378203747</v>
      </c>
    </row>
    <row r="20" spans="1:23">
      <c r="A20" s="18" t="s">
        <v>39</v>
      </c>
      <c r="B20" s="4">
        <f>'2010-10'!B20</f>
        <v>66.693022833822994</v>
      </c>
      <c r="C20" s="4">
        <f>'2010-10'!C20</f>
        <v>78.916174325560149</v>
      </c>
      <c r="D20" s="16">
        <f t="shared" si="8"/>
        <v>52610.782883706765</v>
      </c>
      <c r="E20" s="4">
        <f>'Interval Circuities'!E20</f>
        <v>1.2834405439564254</v>
      </c>
      <c r="F20" s="4">
        <f t="shared" si="0"/>
        <v>51.964248089148192</v>
      </c>
      <c r="G20" s="4">
        <f t="shared" si="1"/>
        <v>34.642832059432124</v>
      </c>
      <c r="H20" s="4">
        <f t="shared" si="2"/>
        <v>3770.3064378122108</v>
      </c>
      <c r="I20" s="4">
        <f t="shared" si="9"/>
        <v>1149.9995031423985</v>
      </c>
      <c r="J20" s="33">
        <f>'2010-10'!J20</f>
        <v>4299.4209879999999</v>
      </c>
      <c r="K20" s="33">
        <f>'2010-10'!K20</f>
        <v>4944332</v>
      </c>
      <c r="L20" s="22">
        <f t="shared" si="3"/>
        <v>4335850.5301786289</v>
      </c>
      <c r="M20" s="22">
        <f t="shared" si="4"/>
        <v>4335850.5301786289</v>
      </c>
      <c r="N20" s="19" t="s">
        <v>91</v>
      </c>
      <c r="O20" s="4">
        <f t="shared" si="5"/>
        <v>506.24654019109983</v>
      </c>
      <c r="P20" s="13">
        <f>'2010-10'!P20</f>
        <v>2176567</v>
      </c>
      <c r="Q20" s="22">
        <f t="shared" si="6"/>
        <v>1908704.5896026618</v>
      </c>
      <c r="R20" s="13">
        <f t="shared" si="7"/>
        <v>1908704.5896026618</v>
      </c>
      <c r="W20" s="18">
        <f t="shared" si="10"/>
        <v>0.44021457296961453</v>
      </c>
    </row>
    <row r="21" spans="1:23">
      <c r="A21" s="18" t="s">
        <v>40</v>
      </c>
      <c r="B21" s="4">
        <f>'2010-10'!B21</f>
        <v>62.662263546111326</v>
      </c>
      <c r="C21" s="4">
        <f>'2010-10'!C21</f>
        <v>72.333701669204501</v>
      </c>
      <c r="D21" s="16">
        <f t="shared" si="8"/>
        <v>48222.467779469669</v>
      </c>
      <c r="E21" s="4">
        <f>'Interval Circuities'!E21</f>
        <v>1.217214506898558</v>
      </c>
      <c r="F21" s="4">
        <f t="shared" si="0"/>
        <v>51.480049893402693</v>
      </c>
      <c r="G21" s="4">
        <f t="shared" si="1"/>
        <v>34.32003326226846</v>
      </c>
      <c r="H21" s="4">
        <f t="shared" si="2"/>
        <v>3700.3710354227564</v>
      </c>
      <c r="I21" s="4">
        <f t="shared" si="9"/>
        <v>813.78264340099747</v>
      </c>
      <c r="J21" s="33">
        <f>'2010-10'!J21</f>
        <v>1827.8627739999999</v>
      </c>
      <c r="K21" s="33">
        <f>'2010-10'!K21</f>
        <v>1487483</v>
      </c>
      <c r="L21" s="22">
        <f t="shared" si="3"/>
        <v>3011297.7227708166</v>
      </c>
      <c r="M21" s="22">
        <f t="shared" si="4"/>
        <v>1487483</v>
      </c>
      <c r="N21" s="19" t="s">
        <v>91</v>
      </c>
      <c r="O21" s="4">
        <f t="shared" si="5"/>
        <v>406.44134262564722</v>
      </c>
      <c r="P21" s="13">
        <f>'2010-10'!P21</f>
        <v>742919</v>
      </c>
      <c r="Q21" s="22">
        <f t="shared" si="6"/>
        <v>1503983.7718502816</v>
      </c>
      <c r="R21" s="13">
        <f t="shared" si="7"/>
        <v>742919</v>
      </c>
      <c r="W21" s="18">
        <f t="shared" si="10"/>
        <v>0.49944705250412946</v>
      </c>
    </row>
    <row r="22" spans="1:23" ht="16">
      <c r="A22" s="18" t="s">
        <v>118</v>
      </c>
      <c r="B22" s="4">
        <f>'2010-10'!B22</f>
        <v>72.107428140171564</v>
      </c>
      <c r="C22" s="4">
        <f>'2010-10'!C22</f>
        <v>84.099901925483479</v>
      </c>
      <c r="D22" s="16">
        <f t="shared" si="8"/>
        <v>56066.601283655647</v>
      </c>
      <c r="E22" s="4">
        <f>'Interval Circuities'!E22</f>
        <v>1.35986028467875</v>
      </c>
      <c r="F22" s="4">
        <f t="shared" si="0"/>
        <v>53.025615169874634</v>
      </c>
      <c r="G22" s="4">
        <f t="shared" si="1"/>
        <v>35.350410113249751</v>
      </c>
      <c r="H22" s="4">
        <f t="shared" si="2"/>
        <v>3925.8959567891243</v>
      </c>
      <c r="I22" s="4">
        <f t="shared" si="9"/>
        <v>1369.2709398652264</v>
      </c>
      <c r="J22" s="33">
        <f>'2010-10'!J22</f>
        <v>1411.4562309999999</v>
      </c>
      <c r="K22" s="33">
        <f>'2010-10'!K22</f>
        <v>1932666</v>
      </c>
      <c r="L22" s="22">
        <f t="shared" si="3"/>
        <v>5375615.2465657368</v>
      </c>
      <c r="M22" s="22">
        <f t="shared" si="4"/>
        <v>1932666</v>
      </c>
      <c r="N22" s="19" t="s">
        <v>91</v>
      </c>
      <c r="O22" s="4">
        <f t="shared" si="5"/>
        <v>678.25411725430968</v>
      </c>
      <c r="P22" s="13">
        <f>'2010-10'!P22</f>
        <v>957326</v>
      </c>
      <c r="Q22" s="22">
        <f t="shared" si="6"/>
        <v>2662755.0966042709</v>
      </c>
      <c r="R22" s="13">
        <f t="shared" si="7"/>
        <v>957326</v>
      </c>
      <c r="W22" s="18">
        <f t="shared" si="10"/>
        <v>0.49533959825443186</v>
      </c>
    </row>
    <row r="23" spans="1:23">
      <c r="A23" s="18" t="s">
        <v>41</v>
      </c>
      <c r="B23" s="4">
        <f>'2010-10'!B23</f>
        <v>69.127068300037649</v>
      </c>
      <c r="C23" s="4">
        <f>'2010-10'!C23</f>
        <v>78.497147187767681</v>
      </c>
      <c r="D23" s="16">
        <f t="shared" si="8"/>
        <v>52331.43145851179</v>
      </c>
      <c r="E23" s="4">
        <f>'Interval Circuities'!E23</f>
        <v>1.3181635459497134</v>
      </c>
      <c r="F23" s="4">
        <f t="shared" si="0"/>
        <v>52.441951161858924</v>
      </c>
      <c r="G23" s="4">
        <f t="shared" si="1"/>
        <v>34.961300774572614</v>
      </c>
      <c r="H23" s="4">
        <f t="shared" si="2"/>
        <v>3839.9453014298947</v>
      </c>
      <c r="I23" s="4">
        <f t="shared" si="9"/>
        <v>775.48585132918799</v>
      </c>
      <c r="J23" s="33">
        <f>'2010-10'!J23</f>
        <v>1373.6150029999999</v>
      </c>
      <c r="K23" s="33">
        <f>'2010-10'!K23</f>
        <v>1065219</v>
      </c>
      <c r="L23" s="22">
        <f t="shared" si="3"/>
        <v>2977823.2511368771</v>
      </c>
      <c r="M23" s="22">
        <f t="shared" si="4"/>
        <v>1065219</v>
      </c>
      <c r="N23" s="19" t="s">
        <v>91</v>
      </c>
      <c r="O23" s="4">
        <f t="shared" si="5"/>
        <v>626.55110647477409</v>
      </c>
      <c r="P23" s="13">
        <f>'2010-10'!P23</f>
        <v>860640</v>
      </c>
      <c r="Q23" s="22">
        <f t="shared" si="6"/>
        <v>2405921.9774135104</v>
      </c>
      <c r="R23" s="13">
        <f t="shared" si="7"/>
        <v>860640</v>
      </c>
      <c r="W23" s="18">
        <f t="shared" si="10"/>
        <v>0.80794653493788604</v>
      </c>
    </row>
    <row r="24" spans="1:23">
      <c r="A24" s="18" t="s">
        <v>74</v>
      </c>
      <c r="B24" s="4">
        <f>'2010-10'!B24</f>
        <v>67.812288769795572</v>
      </c>
      <c r="C24" s="4">
        <f>'2010-10'!C24</f>
        <v>74.592726606374868</v>
      </c>
      <c r="D24" s="16">
        <f t="shared" si="8"/>
        <v>49728.48440424991</v>
      </c>
      <c r="E24" s="4">
        <f>'Interval Circuities'!E24</f>
        <v>1.2592053557284943</v>
      </c>
      <c r="F24" s="4">
        <f t="shared" si="0"/>
        <v>53.853240427621742</v>
      </c>
      <c r="G24" s="4">
        <f t="shared" si="1"/>
        <v>35.902160285081159</v>
      </c>
      <c r="H24" s="4">
        <f t="shared" si="2"/>
        <v>4049.4033301605223</v>
      </c>
      <c r="I24" s="4">
        <f t="shared" si="9"/>
        <v>865.47479649931279</v>
      </c>
      <c r="J24" s="33">
        <f>'2010-10'!J24</f>
        <v>1755.5878070000001</v>
      </c>
      <c r="K24" s="33">
        <f>'2010-10'!K24</f>
        <v>1519417</v>
      </c>
      <c r="L24" s="22">
        <f t="shared" si="3"/>
        <v>3504656.5231143176</v>
      </c>
      <c r="M24" s="22">
        <f t="shared" si="4"/>
        <v>1519417</v>
      </c>
      <c r="N24" s="19" t="s">
        <v>91</v>
      </c>
      <c r="O24" s="4">
        <f t="shared" si="5"/>
        <v>528.94933326453656</v>
      </c>
      <c r="P24" s="13">
        <f>'2010-10'!P24</f>
        <v>928617</v>
      </c>
      <c r="Q24" s="22">
        <f t="shared" si="6"/>
        <v>2141929.1916076024</v>
      </c>
      <c r="R24" s="13">
        <f t="shared" si="7"/>
        <v>928617</v>
      </c>
      <c r="W24" s="18">
        <f t="shared" si="10"/>
        <v>0.61116665141959059</v>
      </c>
    </row>
    <row r="25" spans="1:23">
      <c r="A25" s="18" t="s">
        <v>62</v>
      </c>
      <c r="B25" s="4">
        <f>'2010-10'!B25</f>
        <v>62.454008275887581</v>
      </c>
      <c r="C25" s="4">
        <f>'2010-10'!C25</f>
        <v>72.980903634295757</v>
      </c>
      <c r="D25" s="16">
        <f t="shared" si="8"/>
        <v>48653.93575619717</v>
      </c>
      <c r="E25" s="4">
        <f>'Interval Circuities'!E25</f>
        <v>1.3200789561058746</v>
      </c>
      <c r="F25" s="4">
        <f t="shared" si="0"/>
        <v>47.31081272602195</v>
      </c>
      <c r="G25" s="4">
        <f t="shared" si="1"/>
        <v>31.540541817347965</v>
      </c>
      <c r="H25" s="4">
        <f t="shared" si="2"/>
        <v>3125.2745243277782</v>
      </c>
      <c r="I25" s="4">
        <f t="shared" si="9"/>
        <v>1746.9193703498715</v>
      </c>
      <c r="J25" s="33">
        <f>'2010-10'!J25</f>
        <v>1079.621093</v>
      </c>
      <c r="K25" s="33">
        <f>'2010-10'!K25</f>
        <v>1886011</v>
      </c>
      <c r="L25" s="22">
        <f t="shared" si="3"/>
        <v>5459602.6042091763</v>
      </c>
      <c r="M25" s="22">
        <f t="shared" si="4"/>
        <v>1886011</v>
      </c>
      <c r="N25" s="19" t="s">
        <v>91</v>
      </c>
      <c r="O25" s="4">
        <f t="shared" si="5"/>
        <v>677.90079755323939</v>
      </c>
      <c r="P25" s="13">
        <f>'2010-10'!P25</f>
        <v>731876</v>
      </c>
      <c r="Q25" s="22">
        <f t="shared" si="6"/>
        <v>2118626.0926146219</v>
      </c>
      <c r="R25" s="13">
        <f t="shared" si="7"/>
        <v>731876</v>
      </c>
      <c r="W25" s="18">
        <f t="shared" si="10"/>
        <v>0.38805500073965637</v>
      </c>
    </row>
    <row r="26" spans="1:23" ht="16">
      <c r="A26" s="18" t="s">
        <v>119</v>
      </c>
      <c r="B26" s="4">
        <f>'2010-10'!B26</f>
        <v>67.712654237264687</v>
      </c>
      <c r="C26" s="4">
        <f>'2010-10'!C26</f>
        <v>83.333789923093292</v>
      </c>
      <c r="D26" s="16">
        <f t="shared" si="8"/>
        <v>55555.859948728859</v>
      </c>
      <c r="E26" s="4">
        <f>'Interval Circuities'!E26</f>
        <v>1.2436425461187828</v>
      </c>
      <c r="F26" s="4">
        <f t="shared" si="0"/>
        <v>54.44703902144991</v>
      </c>
      <c r="G26" s="4">
        <f t="shared" si="1"/>
        <v>36.298026014299936</v>
      </c>
      <c r="H26" s="4">
        <f t="shared" si="2"/>
        <v>4139.1950100288414</v>
      </c>
      <c r="I26" s="4">
        <f t="shared" si="9"/>
        <v>2702.4637693066888</v>
      </c>
      <c r="J26" s="33">
        <f>'2010-10'!J26</f>
        <v>4496.2660139999998</v>
      </c>
      <c r="K26" s="33">
        <f>'2010-10'!K26</f>
        <v>12150996</v>
      </c>
      <c r="L26" s="22">
        <f t="shared" si="3"/>
        <v>11186024.54869798</v>
      </c>
      <c r="M26" s="22">
        <f t="shared" si="4"/>
        <v>11186024.54869798</v>
      </c>
      <c r="N26" s="19" t="s">
        <v>91</v>
      </c>
      <c r="O26" s="4">
        <f t="shared" si="5"/>
        <v>1079.1963787042962</v>
      </c>
      <c r="P26" s="13">
        <f>'2010-10'!P26</f>
        <v>4852354</v>
      </c>
      <c r="Q26" s="22">
        <f t="shared" si="6"/>
        <v>4467004.2655740185</v>
      </c>
      <c r="R26" s="13">
        <f t="shared" si="7"/>
        <v>4467004.2655740185</v>
      </c>
      <c r="W26" s="18">
        <f t="shared" si="10"/>
        <v>0.39933796373564767</v>
      </c>
    </row>
    <row r="27" spans="1:23">
      <c r="A27" s="18" t="s">
        <v>42</v>
      </c>
      <c r="B27" s="4">
        <f>'2010-10'!B27</f>
        <v>69.762390899595417</v>
      </c>
      <c r="C27" s="4">
        <f>'2010-10'!C27</f>
        <v>80.633405227489121</v>
      </c>
      <c r="D27" s="16">
        <f t="shared" si="8"/>
        <v>53755.603484992746</v>
      </c>
      <c r="E27" s="4">
        <f>'Interval Circuities'!E27</f>
        <v>1.3143591509138175</v>
      </c>
      <c r="F27" s="4">
        <f t="shared" si="0"/>
        <v>53.077114311634396</v>
      </c>
      <c r="G27" s="4">
        <f t="shared" si="1"/>
        <v>35.384742874422926</v>
      </c>
      <c r="H27" s="4">
        <f t="shared" si="2"/>
        <v>3933.5254185792983</v>
      </c>
      <c r="I27" s="4">
        <f t="shared" si="9"/>
        <v>787.6776339629688</v>
      </c>
      <c r="J27" s="33">
        <f>'2010-10'!J27</f>
        <v>1234.70054</v>
      </c>
      <c r="K27" s="33">
        <f>'2010-10'!K27</f>
        <v>972546</v>
      </c>
      <c r="L27" s="22">
        <f t="shared" si="3"/>
        <v>3098349.9948397381</v>
      </c>
      <c r="M27" s="22">
        <f t="shared" si="4"/>
        <v>972546</v>
      </c>
      <c r="N27" s="19" t="s">
        <v>91</v>
      </c>
      <c r="O27" s="4">
        <f t="shared" si="5"/>
        <v>417.10518730314965</v>
      </c>
      <c r="P27" s="13">
        <f>'2010-10'!P27</f>
        <v>515000</v>
      </c>
      <c r="Q27" s="22">
        <f t="shared" si="6"/>
        <v>1640693.8564782182</v>
      </c>
      <c r="R27" s="13">
        <f t="shared" si="7"/>
        <v>515000</v>
      </c>
      <c r="W27" s="18">
        <f t="shared" si="10"/>
        <v>0.52953793445245778</v>
      </c>
    </row>
    <row r="28" spans="1:23">
      <c r="A28" s="18" t="s">
        <v>43</v>
      </c>
      <c r="B28" s="4">
        <f>'2010-10'!B28</f>
        <v>66.011797525453602</v>
      </c>
      <c r="C28" s="4">
        <f>'2010-10'!C28</f>
        <v>76.864865322833012</v>
      </c>
      <c r="D28" s="16">
        <f t="shared" si="8"/>
        <v>51243.243548555343</v>
      </c>
      <c r="E28" s="4">
        <f>'Interval Circuities'!E28</f>
        <v>1.2669879637731756</v>
      </c>
      <c r="F28" s="4">
        <f t="shared" si="0"/>
        <v>52.101361191203445</v>
      </c>
      <c r="G28" s="4">
        <f t="shared" si="1"/>
        <v>34.73424079413563</v>
      </c>
      <c r="H28" s="4">
        <f t="shared" si="2"/>
        <v>3790.2293830999233</v>
      </c>
      <c r="I28" s="4">
        <f t="shared" si="9"/>
        <v>823.01437699234145</v>
      </c>
      <c r="J28" s="33">
        <f>'2010-10'!J28</f>
        <v>1288.022457</v>
      </c>
      <c r="K28" s="33">
        <f>'2010-10'!K28</f>
        <v>1060061</v>
      </c>
      <c r="L28" s="22">
        <f t="shared" si="3"/>
        <v>3119413.2743900502</v>
      </c>
      <c r="M28" s="22">
        <f t="shared" si="4"/>
        <v>1060061</v>
      </c>
      <c r="N28" s="19" t="s">
        <v>91</v>
      </c>
      <c r="O28" s="4">
        <f t="shared" si="5"/>
        <v>395.30832496967867</v>
      </c>
      <c r="P28" s="13">
        <f>'2010-10'!P28</f>
        <v>509166</v>
      </c>
      <c r="Q28" s="22">
        <f t="shared" si="6"/>
        <v>1498309.2286840891</v>
      </c>
      <c r="R28" s="13">
        <f t="shared" si="7"/>
        <v>509166</v>
      </c>
      <c r="W28" s="18">
        <f t="shared" si="10"/>
        <v>0.48031764209795469</v>
      </c>
    </row>
    <row r="29" spans="1:23">
      <c r="A29" s="18" t="s">
        <v>44</v>
      </c>
      <c r="B29" s="4">
        <f>'2010-10'!B29</f>
        <v>66.575024815111192</v>
      </c>
      <c r="C29" s="4">
        <f>'2010-10'!C29</f>
        <v>73.723640962925515</v>
      </c>
      <c r="D29" s="16">
        <f t="shared" si="8"/>
        <v>49149.093975283678</v>
      </c>
      <c r="E29" s="4">
        <f>'Interval Circuities'!E29</f>
        <v>1.1751798551073691</v>
      </c>
      <c r="F29" s="4">
        <f t="shared" si="0"/>
        <v>56.650924133675382</v>
      </c>
      <c r="G29" s="4">
        <f t="shared" si="1"/>
        <v>37.767282755783583</v>
      </c>
      <c r="H29" s="4">
        <f t="shared" si="2"/>
        <v>4481.0661203646368</v>
      </c>
      <c r="I29" s="4">
        <f t="shared" si="9"/>
        <v>974.04787636700348</v>
      </c>
      <c r="J29" s="33">
        <f>'2010-10'!J29</f>
        <v>1413.1502499999999</v>
      </c>
      <c r="K29" s="33">
        <f>'2010-10'!K29</f>
        <v>1376476</v>
      </c>
      <c r="L29" s="22">
        <f t="shared" si="3"/>
        <v>4364772.9384013014</v>
      </c>
      <c r="M29" s="22">
        <f t="shared" si="4"/>
        <v>1376476</v>
      </c>
      <c r="N29" s="19" t="s">
        <v>91</v>
      </c>
      <c r="O29" s="4">
        <f t="shared" si="5"/>
        <v>521.72725440907652</v>
      </c>
      <c r="P29" s="13">
        <f>'2010-10'!P29</f>
        <v>737279</v>
      </c>
      <c r="Q29" s="22">
        <f t="shared" si="6"/>
        <v>2337894.3238033745</v>
      </c>
      <c r="R29" s="13">
        <f t="shared" si="7"/>
        <v>737279</v>
      </c>
      <c r="W29" s="18">
        <f t="shared" si="10"/>
        <v>0.53562793684742793</v>
      </c>
    </row>
    <row r="30" spans="1:23">
      <c r="A30" s="18" t="s">
        <v>45</v>
      </c>
      <c r="B30" s="4">
        <f>'2010-10'!B30</f>
        <v>72.35417413894163</v>
      </c>
      <c r="C30" s="4">
        <f>'2010-10'!C30</f>
        <v>80.92665935101023</v>
      </c>
      <c r="D30" s="16">
        <f t="shared" si="8"/>
        <v>53951.106234006817</v>
      </c>
      <c r="E30" s="4">
        <f>'Interval Circuities'!E30</f>
        <v>1.2488143236567024</v>
      </c>
      <c r="F30" s="4">
        <f t="shared" si="0"/>
        <v>57.938296164860219</v>
      </c>
      <c r="G30" s="4">
        <f t="shared" si="1"/>
        <v>38.625530776573477</v>
      </c>
      <c r="H30" s="4">
        <f t="shared" si="2"/>
        <v>4687.0414414668558</v>
      </c>
      <c r="I30" s="4">
        <f t="shared" si="9"/>
        <v>1001.6752173390063</v>
      </c>
      <c r="J30" s="33">
        <f>'2010-10'!J30</f>
        <v>2646.4566100000002</v>
      </c>
      <c r="K30" s="33">
        <f>'2010-10'!K30</f>
        <v>2650890</v>
      </c>
      <c r="L30" s="22">
        <f t="shared" si="3"/>
        <v>4694893.2545582419</v>
      </c>
      <c r="M30" s="22">
        <f t="shared" si="4"/>
        <v>2650890</v>
      </c>
      <c r="N30" s="19" t="s">
        <v>91</v>
      </c>
      <c r="O30" s="4">
        <f t="shared" si="5"/>
        <v>594.14576987906855</v>
      </c>
      <c r="P30" s="13">
        <f>'2010-10'!P30</f>
        <v>1572381</v>
      </c>
      <c r="Q30" s="22">
        <f t="shared" si="6"/>
        <v>2784785.8456954244</v>
      </c>
      <c r="R30" s="13">
        <f t="shared" si="7"/>
        <v>1572381</v>
      </c>
      <c r="W30" s="18">
        <f t="shared" si="10"/>
        <v>0.59315211117775546</v>
      </c>
    </row>
    <row r="31" spans="1:23">
      <c r="A31" s="18" t="s">
        <v>46</v>
      </c>
      <c r="B31" s="4">
        <f>'2010-10'!B31</f>
        <v>66.509434242873198</v>
      </c>
      <c r="C31" s="4">
        <f>'2010-10'!C31</f>
        <v>79.192244463512992</v>
      </c>
      <c r="D31" s="16">
        <f t="shared" si="8"/>
        <v>52794.829642341996</v>
      </c>
      <c r="E31" s="4">
        <f>'Interval Circuities'!E31</f>
        <v>1.2979029443773333</v>
      </c>
      <c r="F31" s="4">
        <f t="shared" si="0"/>
        <v>51.243765592026591</v>
      </c>
      <c r="G31" s="4">
        <f t="shared" si="1"/>
        <v>34.162510394684389</v>
      </c>
      <c r="H31" s="4">
        <f t="shared" si="2"/>
        <v>3666.4808952652324</v>
      </c>
      <c r="I31" s="4">
        <f t="shared" si="9"/>
        <v>664.38482730522799</v>
      </c>
      <c r="J31" s="33">
        <f>'2010-10'!J31</f>
        <v>1459.375591</v>
      </c>
      <c r="K31" s="33">
        <f>'2010-10'!K31</f>
        <v>969587</v>
      </c>
      <c r="L31" s="22">
        <f t="shared" si="3"/>
        <v>2435954.2764187092</v>
      </c>
      <c r="M31" s="22">
        <f t="shared" si="4"/>
        <v>969587</v>
      </c>
      <c r="N31" s="19" t="s">
        <v>91</v>
      </c>
      <c r="O31" s="4">
        <f t="shared" si="5"/>
        <v>447.40709932841406</v>
      </c>
      <c r="P31" s="13">
        <f>'2010-10'!P31</f>
        <v>652935</v>
      </c>
      <c r="Q31" s="22">
        <f t="shared" si="6"/>
        <v>1640409.5820936644</v>
      </c>
      <c r="R31" s="13">
        <f t="shared" si="7"/>
        <v>652935</v>
      </c>
      <c r="W31" s="18">
        <f t="shared" si="10"/>
        <v>0.67341558828655912</v>
      </c>
    </row>
    <row r="32" spans="1:23">
      <c r="A32" s="18" t="s">
        <v>47</v>
      </c>
      <c r="B32" s="4">
        <f>'2010-10'!B32</f>
        <v>70.113916315490926</v>
      </c>
      <c r="C32" s="4">
        <f>'2010-10'!C32</f>
        <v>78.214496785983556</v>
      </c>
      <c r="D32" s="16">
        <f t="shared" si="8"/>
        <v>52142.997857322371</v>
      </c>
      <c r="E32" s="4">
        <f>'Interval Circuities'!E32</f>
        <v>1.3389833968635285</v>
      </c>
      <c r="F32" s="4">
        <f t="shared" si="0"/>
        <v>52.363544222973701</v>
      </c>
      <c r="G32" s="4">
        <f t="shared" si="1"/>
        <v>34.909029481982465</v>
      </c>
      <c r="H32" s="4">
        <f t="shared" si="2"/>
        <v>3828.471537545282</v>
      </c>
      <c r="I32" s="4">
        <f t="shared" si="9"/>
        <v>1381.8089483990395</v>
      </c>
      <c r="J32" s="33">
        <f>'2010-10'!J32</f>
        <v>651.10520599999995</v>
      </c>
      <c r="K32" s="33">
        <f>'2010-10'!K32</f>
        <v>899703</v>
      </c>
      <c r="L32" s="22">
        <f t="shared" si="3"/>
        <v>5290216.2292710999</v>
      </c>
      <c r="M32" s="22">
        <f t="shared" si="4"/>
        <v>899703</v>
      </c>
      <c r="N32" s="19" t="s">
        <v>91</v>
      </c>
      <c r="O32" s="4">
        <f t="shared" si="5"/>
        <v>685.12276647347221</v>
      </c>
      <c r="P32" s="13">
        <f>'2010-10'!P32</f>
        <v>446087</v>
      </c>
      <c r="Q32" s="22">
        <f t="shared" si="6"/>
        <v>2622973.0111679714</v>
      </c>
      <c r="R32" s="13">
        <f t="shared" si="7"/>
        <v>446087</v>
      </c>
      <c r="W32" s="18">
        <f t="shared" si="10"/>
        <v>0.49581584144990076</v>
      </c>
    </row>
    <row r="33" spans="1:23">
      <c r="A33" s="18" t="s">
        <v>64</v>
      </c>
      <c r="B33" s="4">
        <f>'2010-10'!B33</f>
        <v>60.636060061572778</v>
      </c>
      <c r="C33" s="4">
        <f>'2010-10'!C33</f>
        <v>75.646262173189555</v>
      </c>
      <c r="D33" s="16">
        <f t="shared" si="8"/>
        <v>50430.841448793035</v>
      </c>
      <c r="E33" s="4">
        <f>'Interval Circuities'!E33</f>
        <v>1.222552045843428</v>
      </c>
      <c r="F33" s="4">
        <f t="shared" si="0"/>
        <v>49.597937582886694</v>
      </c>
      <c r="G33" s="4">
        <f t="shared" si="1"/>
        <v>33.06529172192446</v>
      </c>
      <c r="H33" s="4">
        <f t="shared" si="2"/>
        <v>3434.7457119968053</v>
      </c>
      <c r="I33" s="4">
        <f t="shared" si="9"/>
        <v>2053.6406982836411</v>
      </c>
      <c r="J33" s="33">
        <f>'2010-10'!J33</f>
        <v>8935.9813599999998</v>
      </c>
      <c r="K33" s="33">
        <f>'2010-10'!K33</f>
        <v>18351295</v>
      </c>
      <c r="L33" s="22">
        <f t="shared" si="3"/>
        <v>7053733.582411861</v>
      </c>
      <c r="M33" s="22">
        <f t="shared" si="4"/>
        <v>7053733.582411861</v>
      </c>
      <c r="N33" s="19" t="s">
        <v>91</v>
      </c>
      <c r="O33" s="4">
        <f t="shared" si="5"/>
        <v>813.93354652208006</v>
      </c>
      <c r="P33" s="13">
        <f>'2010-10'!P33</f>
        <v>7273295</v>
      </c>
      <c r="Q33" s="22">
        <f t="shared" si="6"/>
        <v>2795654.7587670665</v>
      </c>
      <c r="R33" s="13">
        <f t="shared" si="7"/>
        <v>2795654.7587670665</v>
      </c>
      <c r="W33" s="18">
        <f t="shared" si="10"/>
        <v>0.39633687976788556</v>
      </c>
    </row>
    <row r="34" spans="1:23">
      <c r="A34" s="18" t="s">
        <v>65</v>
      </c>
      <c r="B34" s="4">
        <f>'2010-10'!B34</f>
        <v>62.746727907823015</v>
      </c>
      <c r="C34" s="4">
        <f>'2010-10'!C34</f>
        <v>70.343795554466837</v>
      </c>
      <c r="D34" s="16">
        <f t="shared" si="8"/>
        <v>46895.863702977891</v>
      </c>
      <c r="E34" s="4">
        <f>'Interval Circuities'!E34</f>
        <v>1.2586490530021517</v>
      </c>
      <c r="F34" s="4">
        <f t="shared" si="0"/>
        <v>49.852441201269272</v>
      </c>
      <c r="G34" s="4">
        <f t="shared" si="1"/>
        <v>33.234960800846181</v>
      </c>
      <c r="H34" s="4">
        <f t="shared" si="2"/>
        <v>3470.0858106430687</v>
      </c>
      <c r="I34" s="4">
        <f t="shared" si="9"/>
        <v>810.03967977262835</v>
      </c>
      <c r="J34" s="33">
        <f>'2010-10'!J34</f>
        <v>1063.53432</v>
      </c>
      <c r="K34" s="33">
        <f>'2010-10'!K34</f>
        <v>861505</v>
      </c>
      <c r="L34" s="22">
        <f t="shared" si="3"/>
        <v>2810907.1988368528</v>
      </c>
      <c r="M34" s="22">
        <f t="shared" si="4"/>
        <v>861505</v>
      </c>
      <c r="N34" s="19" t="s">
        <v>91</v>
      </c>
      <c r="O34" s="4">
        <f t="shared" si="5"/>
        <v>425.70699552037024</v>
      </c>
      <c r="P34" s="13">
        <f>'2010-10'!P34</f>
        <v>452754</v>
      </c>
      <c r="Q34" s="22">
        <f t="shared" si="6"/>
        <v>1477239.8046467293</v>
      </c>
      <c r="R34" s="13">
        <f t="shared" si="7"/>
        <v>452754</v>
      </c>
      <c r="W34" s="18">
        <f t="shared" si="10"/>
        <v>0.52553844725219245</v>
      </c>
    </row>
    <row r="35" spans="1:23">
      <c r="A35" s="18" t="s">
        <v>48</v>
      </c>
      <c r="B35" s="4">
        <f>'2010-10'!B35</f>
        <v>63.67703994300269</v>
      </c>
      <c r="C35" s="4">
        <f>'2010-10'!C35</f>
        <v>76.278541762827089</v>
      </c>
      <c r="D35" s="16">
        <f t="shared" si="8"/>
        <v>50852.361175218059</v>
      </c>
      <c r="E35" s="4">
        <f>'Interval Circuities'!E35</f>
        <v>1.3357222696848219</v>
      </c>
      <c r="F35" s="4">
        <f t="shared" ref="F35:F53" si="11">B35/E35</f>
        <v>47.672365272481365</v>
      </c>
      <c r="G35" s="4">
        <f t="shared" ref="G35:G53" si="12">F35*$A$1</f>
        <v>31.78157684832091</v>
      </c>
      <c r="H35" s="4">
        <f t="shared" ref="H35:H53" si="13">PI()*G35^2</f>
        <v>3173.2241780970589</v>
      </c>
      <c r="I35" s="4">
        <f t="shared" si="9"/>
        <v>975.7775860793671</v>
      </c>
      <c r="J35" s="33">
        <f>'2010-10'!J35</f>
        <v>1548.012602</v>
      </c>
      <c r="K35" s="33">
        <f>'2010-10'!K35</f>
        <v>1510516</v>
      </c>
      <c r="L35" s="22">
        <f t="shared" ref="L35:L53" si="14">H35*I35</f>
        <v>3096361.0285922317</v>
      </c>
      <c r="M35" s="22">
        <f t="shared" ref="M35:M53" si="15">MIN(K35,L35)</f>
        <v>1510516</v>
      </c>
      <c r="N35" s="19" t="s">
        <v>91</v>
      </c>
      <c r="O35" s="4">
        <f t="shared" ref="O35:O53" si="16">P35/J35</f>
        <v>552.87922003622032</v>
      </c>
      <c r="P35" s="13">
        <f>'2010-10'!P35</f>
        <v>855864</v>
      </c>
      <c r="Q35" s="22">
        <f t="shared" ref="Q35:Q53" si="17">H35*O35</f>
        <v>1754409.7085863783</v>
      </c>
      <c r="R35" s="13">
        <f t="shared" ref="R35:R53" si="18">MIN(Q35,P35)</f>
        <v>855864</v>
      </c>
      <c r="W35" s="18">
        <f t="shared" si="10"/>
        <v>0.56660373011606624</v>
      </c>
    </row>
    <row r="36" spans="1:23">
      <c r="A36" s="18" t="s">
        <v>66</v>
      </c>
      <c r="B36" s="4">
        <f>'2010-10'!B36</f>
        <v>57.583198277252201</v>
      </c>
      <c r="C36" s="4">
        <f>'2010-10'!C36</f>
        <v>70.0901022214275</v>
      </c>
      <c r="D36" s="16">
        <f t="shared" si="8"/>
        <v>46726.734814284995</v>
      </c>
      <c r="E36" s="4">
        <f>'Interval Circuities'!E36</f>
        <v>1.1855169545716866</v>
      </c>
      <c r="F36" s="4">
        <f t="shared" si="11"/>
        <v>48.572226702617115</v>
      </c>
      <c r="G36" s="4">
        <f t="shared" si="12"/>
        <v>32.381484468411408</v>
      </c>
      <c r="H36" s="4">
        <f t="shared" si="13"/>
        <v>3294.150077929201</v>
      </c>
      <c r="I36" s="4">
        <f t="shared" si="9"/>
        <v>1060.3784681288619</v>
      </c>
      <c r="J36" s="33">
        <f>'2010-10'!J36</f>
        <v>5131.7215159999996</v>
      </c>
      <c r="K36" s="33">
        <f>'2010-10'!K36</f>
        <v>5441567</v>
      </c>
      <c r="L36" s="22">
        <f t="shared" si="14"/>
        <v>3493045.8134211372</v>
      </c>
      <c r="M36" s="22">
        <f t="shared" si="15"/>
        <v>3493045.8134211372</v>
      </c>
      <c r="N36" s="19" t="s">
        <v>91</v>
      </c>
      <c r="O36" s="4">
        <f t="shared" si="16"/>
        <v>471.88667437424527</v>
      </c>
      <c r="P36" s="13">
        <f>'2010-10'!P36</f>
        <v>2421591</v>
      </c>
      <c r="Q36" s="22">
        <f t="shared" si="17"/>
        <v>1554465.5251636715</v>
      </c>
      <c r="R36" s="13">
        <f t="shared" si="18"/>
        <v>1554465.5251636715</v>
      </c>
      <c r="W36" s="18">
        <f t="shared" si="10"/>
        <v>0.44501721654810089</v>
      </c>
    </row>
    <row r="37" spans="1:23">
      <c r="A37" s="18" t="s">
        <v>49</v>
      </c>
      <c r="B37" s="4">
        <f>'2010-10'!B37</f>
        <v>65.523113774601583</v>
      </c>
      <c r="C37" s="4">
        <f>'2010-10'!C37</f>
        <v>75.058272553254923</v>
      </c>
      <c r="D37" s="16">
        <f t="shared" si="8"/>
        <v>50038.84836883661</v>
      </c>
      <c r="E37" s="4">
        <f>'Interval Circuities'!E37</f>
        <v>1.2881022315645838</v>
      </c>
      <c r="F37" s="4">
        <f t="shared" si="11"/>
        <v>50.867945236780173</v>
      </c>
      <c r="G37" s="4">
        <f t="shared" si="12"/>
        <v>33.911963491186782</v>
      </c>
      <c r="H37" s="4">
        <f t="shared" si="13"/>
        <v>3612.8983664791617</v>
      </c>
      <c r="I37" s="4">
        <f t="shared" si="9"/>
        <v>1222.0875996258867</v>
      </c>
      <c r="J37" s="33">
        <f>'2010-10'!J37</f>
        <v>2969.6021799999999</v>
      </c>
      <c r="K37" s="33">
        <f>'2010-10'!K37</f>
        <v>3629114</v>
      </c>
      <c r="L37" s="22">
        <f t="shared" si="14"/>
        <v>4415278.2923828056</v>
      </c>
      <c r="M37" s="22">
        <f t="shared" si="15"/>
        <v>3629114</v>
      </c>
      <c r="N37" s="19" t="s">
        <v>91</v>
      </c>
      <c r="O37" s="4">
        <f t="shared" si="16"/>
        <v>489.41201949144585</v>
      </c>
      <c r="P37" s="13">
        <f>'2010-10'!P37</f>
        <v>1453359</v>
      </c>
      <c r="Q37" s="22">
        <f t="shared" si="17"/>
        <v>1768195.8857559124</v>
      </c>
      <c r="R37" s="13">
        <f t="shared" si="18"/>
        <v>1453359</v>
      </c>
      <c r="W37" s="18">
        <f t="shared" si="10"/>
        <v>0.40047212625450734</v>
      </c>
    </row>
    <row r="38" spans="1:23">
      <c r="A38" s="18" t="s">
        <v>50</v>
      </c>
      <c r="B38" s="4">
        <f>'2010-10'!B38</f>
        <v>59.807444822625882</v>
      </c>
      <c r="C38" s="4">
        <f>'2010-10'!C38</f>
        <v>71.241563498997948</v>
      </c>
      <c r="D38" s="16">
        <f t="shared" si="8"/>
        <v>47494.375665998632</v>
      </c>
      <c r="E38" s="4">
        <f>'Interval Circuities'!E38</f>
        <v>1.2817943808930483</v>
      </c>
      <c r="F38" s="4">
        <f t="shared" si="11"/>
        <v>46.65915665893074</v>
      </c>
      <c r="G38" s="4">
        <f t="shared" si="12"/>
        <v>31.106104439287158</v>
      </c>
      <c r="H38" s="4">
        <f t="shared" si="13"/>
        <v>3039.7727981001458</v>
      </c>
      <c r="I38" s="4">
        <f t="shared" si="9"/>
        <v>739.57535155262258</v>
      </c>
      <c r="J38" s="33">
        <f>'2010-10'!J38</f>
        <v>2344.389921</v>
      </c>
      <c r="K38" s="33">
        <f>'2010-10'!K38</f>
        <v>1733853</v>
      </c>
      <c r="L38" s="22">
        <f t="shared" si="14"/>
        <v>2248141.0357950144</v>
      </c>
      <c r="M38" s="22">
        <f t="shared" si="15"/>
        <v>1733853</v>
      </c>
      <c r="N38" s="19" t="s">
        <v>91</v>
      </c>
      <c r="O38" s="4">
        <f t="shared" si="16"/>
        <v>439.74681462555225</v>
      </c>
      <c r="P38" s="13">
        <f>'2010-10'!P38</f>
        <v>1030938</v>
      </c>
      <c r="Q38" s="22">
        <f t="shared" si="17"/>
        <v>1336730.4051499411</v>
      </c>
      <c r="R38" s="13">
        <f t="shared" si="18"/>
        <v>1030938</v>
      </c>
      <c r="W38" s="18">
        <f t="shared" si="10"/>
        <v>0.59459365932406039</v>
      </c>
    </row>
    <row r="39" spans="1:23">
      <c r="A39" s="18" t="s">
        <v>51</v>
      </c>
      <c r="B39" s="4">
        <f>'2010-10'!B39</f>
        <v>58.331030650507813</v>
      </c>
      <c r="C39" s="4">
        <f>'2010-10'!C39</f>
        <v>69.29589065244727</v>
      </c>
      <c r="D39" s="16">
        <f t="shared" si="8"/>
        <v>46197.260434964846</v>
      </c>
      <c r="E39" s="4">
        <f>'Interval Circuities'!E39</f>
        <v>1.4562699715471381</v>
      </c>
      <c r="F39" s="4">
        <f t="shared" si="11"/>
        <v>40.055094034890416</v>
      </c>
      <c r="G39" s="4">
        <f t="shared" si="12"/>
        <v>26.703396023260275</v>
      </c>
      <c r="H39" s="4">
        <f t="shared" si="13"/>
        <v>2240.1797434696969</v>
      </c>
      <c r="I39" s="4">
        <f t="shared" si="9"/>
        <v>1362.0759506608479</v>
      </c>
      <c r="J39" s="33">
        <f>'2010-10'!J39</f>
        <v>1358.1459970000001</v>
      </c>
      <c r="K39" s="33">
        <f>'2010-10'!K39</f>
        <v>1849898</v>
      </c>
      <c r="L39" s="22">
        <f t="shared" si="14"/>
        <v>3051294.9537376617</v>
      </c>
      <c r="M39" s="22">
        <f t="shared" si="15"/>
        <v>1849898</v>
      </c>
      <c r="N39" s="19" t="s">
        <v>91</v>
      </c>
      <c r="O39" s="4">
        <f t="shared" si="16"/>
        <v>641.16376436958274</v>
      </c>
      <c r="P39" s="13">
        <f>'2010-10'!P39</f>
        <v>870794</v>
      </c>
      <c r="Q39" s="22">
        <f t="shared" si="17"/>
        <v>1436322.077187517</v>
      </c>
      <c r="R39" s="13">
        <f t="shared" si="18"/>
        <v>870794</v>
      </c>
      <c r="W39" s="18">
        <f t="shared" si="10"/>
        <v>0.47072541296871501</v>
      </c>
    </row>
    <row r="40" spans="1:23">
      <c r="A40" s="18" t="s">
        <v>52</v>
      </c>
      <c r="B40" s="4">
        <f>'2010-10'!B40</f>
        <v>61.333480923569354</v>
      </c>
      <c r="C40" s="4">
        <f>'2010-10'!C40</f>
        <v>68.947108687192596</v>
      </c>
      <c r="D40" s="16">
        <f t="shared" si="8"/>
        <v>45964.739124795058</v>
      </c>
      <c r="E40" s="4">
        <f>'Interval Circuities'!E40</f>
        <v>1.2359886141697098</v>
      </c>
      <c r="F40" s="4">
        <f t="shared" si="11"/>
        <v>49.623014500639925</v>
      </c>
      <c r="G40" s="4">
        <f t="shared" si="12"/>
        <v>33.082009667093281</v>
      </c>
      <c r="H40" s="4">
        <f t="shared" si="13"/>
        <v>3438.2198326750699</v>
      </c>
      <c r="I40" s="4">
        <f t="shared" si="9"/>
        <v>843.65595688883184</v>
      </c>
      <c r="J40" s="33">
        <f>'2010-10'!J40</f>
        <v>1411.6607489999999</v>
      </c>
      <c r="K40" s="33">
        <f>'2010-10'!K40</f>
        <v>1190956</v>
      </c>
      <c r="L40" s="22">
        <f t="shared" si="14"/>
        <v>2900674.6429296453</v>
      </c>
      <c r="M40" s="22">
        <f t="shared" si="15"/>
        <v>1190956</v>
      </c>
      <c r="N40" s="19" t="s">
        <v>91</v>
      </c>
      <c r="O40" s="4">
        <f t="shared" si="16"/>
        <v>418.3023438303448</v>
      </c>
      <c r="P40" s="13">
        <f>'2010-10'!P40</f>
        <v>590501</v>
      </c>
      <c r="Q40" s="22">
        <f t="shared" si="17"/>
        <v>1438215.4146119577</v>
      </c>
      <c r="R40" s="13">
        <f t="shared" si="18"/>
        <v>590501</v>
      </c>
      <c r="W40" s="18">
        <f t="shared" si="10"/>
        <v>0.49582100430242604</v>
      </c>
    </row>
    <row r="41" spans="1:23">
      <c r="A41" s="18" t="s">
        <v>53</v>
      </c>
      <c r="B41" s="4">
        <f>'2010-10'!B41</f>
        <v>70.888143113567551</v>
      </c>
      <c r="C41" s="4">
        <f>'2010-10'!C41</f>
        <v>80.329607978863407</v>
      </c>
      <c r="D41" s="16">
        <f t="shared" si="8"/>
        <v>53553.071985908937</v>
      </c>
      <c r="E41" s="4">
        <f>'Interval Circuities'!E41</f>
        <v>1.2214655452556848</v>
      </c>
      <c r="F41" s="4">
        <f t="shared" si="11"/>
        <v>58.035319447941369</v>
      </c>
      <c r="G41" s="4">
        <f t="shared" si="12"/>
        <v>38.690212965294243</v>
      </c>
      <c r="H41" s="4">
        <f t="shared" si="13"/>
        <v>4702.752394047543</v>
      </c>
      <c r="I41" s="4">
        <f t="shared" si="9"/>
        <v>659.39427440794395</v>
      </c>
      <c r="J41" s="33">
        <f>'2010-10'!J41</f>
        <v>1341.975559</v>
      </c>
      <c r="K41" s="33">
        <f>'2010-10'!K41</f>
        <v>884891</v>
      </c>
      <c r="L41" s="22">
        <f t="shared" si="14"/>
        <v>3100968.0025932011</v>
      </c>
      <c r="M41" s="22">
        <f t="shared" si="15"/>
        <v>884891</v>
      </c>
      <c r="N41" s="19" t="s">
        <v>91</v>
      </c>
      <c r="O41" s="4">
        <f t="shared" si="16"/>
        <v>305.97949213469991</v>
      </c>
      <c r="P41" s="13">
        <f>'2010-10'!P41</f>
        <v>410617</v>
      </c>
      <c r="Q41" s="22">
        <f t="shared" si="17"/>
        <v>1438945.7891659113</v>
      </c>
      <c r="R41" s="13">
        <f t="shared" si="18"/>
        <v>410617</v>
      </c>
      <c r="W41" s="18">
        <f t="shared" si="10"/>
        <v>0.46403116316020843</v>
      </c>
    </row>
    <row r="42" spans="1:23">
      <c r="A42" s="18" t="s">
        <v>81</v>
      </c>
      <c r="B42" s="4">
        <f>'2010-10'!B42</f>
        <v>64.044695759894694</v>
      </c>
      <c r="C42" s="4">
        <f>'2010-10'!C42</f>
        <v>72.196124164991133</v>
      </c>
      <c r="D42" s="16">
        <f t="shared" si="8"/>
        <v>48130.749443327419</v>
      </c>
      <c r="E42" s="4">
        <f>'Interval Circuities'!E42</f>
        <v>1.2194277529157018</v>
      </c>
      <c r="F42" s="4">
        <f t="shared" si="11"/>
        <v>52.520287164828908</v>
      </c>
      <c r="G42" s="4">
        <f t="shared" si="12"/>
        <v>35.0135247765526</v>
      </c>
      <c r="H42" s="4">
        <f t="shared" si="13"/>
        <v>3851.4258290124444</v>
      </c>
      <c r="I42" s="4">
        <f t="shared" si="9"/>
        <v>857.44540355569529</v>
      </c>
      <c r="J42" s="33">
        <f>'2010-10'!J42</f>
        <v>840.37070700000004</v>
      </c>
      <c r="K42" s="33">
        <f>'2010-10'!K42</f>
        <v>720572</v>
      </c>
      <c r="L42" s="22">
        <f t="shared" si="14"/>
        <v>3302387.3742224039</v>
      </c>
      <c r="M42" s="22">
        <f t="shared" si="15"/>
        <v>720572</v>
      </c>
      <c r="N42" s="19" t="s">
        <v>91</v>
      </c>
      <c r="O42" s="4">
        <f t="shared" si="16"/>
        <v>493.93082902876574</v>
      </c>
      <c r="P42" s="13">
        <f>'2010-10'!P42</f>
        <v>415085</v>
      </c>
      <c r="Q42" s="22">
        <f t="shared" si="17"/>
        <v>1902337.952666918</v>
      </c>
      <c r="R42" s="13">
        <f t="shared" si="18"/>
        <v>415085</v>
      </c>
      <c r="W42" s="18">
        <f t="shared" si="10"/>
        <v>0.57604930527414333</v>
      </c>
    </row>
    <row r="43" spans="1:23">
      <c r="A43" s="18" t="s">
        <v>54</v>
      </c>
      <c r="B43" s="4">
        <f>'2010-10'!B43</f>
        <v>69.851259887217722</v>
      </c>
      <c r="C43" s="4">
        <f>'2010-10'!C43</f>
        <v>81.455388016103115</v>
      </c>
      <c r="D43" s="16">
        <f t="shared" si="8"/>
        <v>54303.59201073541</v>
      </c>
      <c r="E43" s="4">
        <f>'Interval Circuities'!E43</f>
        <v>1.400056122836252</v>
      </c>
      <c r="F43" s="4">
        <f t="shared" si="11"/>
        <v>49.891757014506048</v>
      </c>
      <c r="G43" s="4">
        <f t="shared" si="12"/>
        <v>33.26117134300403</v>
      </c>
      <c r="H43" s="4">
        <f t="shared" si="13"/>
        <v>3475.5612914576482</v>
      </c>
      <c r="I43" s="4">
        <f t="shared" si="9"/>
        <v>1413.0147860308737</v>
      </c>
      <c r="J43" s="33">
        <f>'2010-10'!J43</f>
        <v>1219.8272919999999</v>
      </c>
      <c r="K43" s="33">
        <f>'2010-10'!K43</f>
        <v>1723634</v>
      </c>
      <c r="L43" s="22">
        <f t="shared" si="14"/>
        <v>4911019.4945862154</v>
      </c>
      <c r="M43" s="22">
        <f t="shared" si="15"/>
        <v>1723634</v>
      </c>
      <c r="N43" s="19" t="s">
        <v>91</v>
      </c>
      <c r="O43" s="4">
        <f t="shared" si="16"/>
        <v>509.14420760475986</v>
      </c>
      <c r="P43" s="13">
        <f>'2010-10'!P43</f>
        <v>621068</v>
      </c>
      <c r="Q43" s="22">
        <f t="shared" si="17"/>
        <v>1769561.8997209801</v>
      </c>
      <c r="R43" s="13">
        <f t="shared" si="18"/>
        <v>621068</v>
      </c>
      <c r="W43" s="18">
        <f t="shared" si="10"/>
        <v>0.36032475571960176</v>
      </c>
    </row>
    <row r="44" spans="1:23">
      <c r="A44" s="18" t="s">
        <v>55</v>
      </c>
      <c r="B44" s="4">
        <f>'2010-10'!B44</f>
        <v>64.533357950473999</v>
      </c>
      <c r="C44" s="4">
        <f>'2010-10'!C44</f>
        <v>73.630820924041743</v>
      </c>
      <c r="D44" s="16">
        <f t="shared" si="8"/>
        <v>49087.213949361154</v>
      </c>
      <c r="E44" s="4">
        <f>'Interval Circuities'!E44</f>
        <v>1.3815334547515212</v>
      </c>
      <c r="F44" s="4">
        <f t="shared" si="11"/>
        <v>46.711397200352842</v>
      </c>
      <c r="G44" s="4">
        <f t="shared" si="12"/>
        <v>31.140931466901893</v>
      </c>
      <c r="H44" s="4">
        <f t="shared" si="13"/>
        <v>3046.5833915894996</v>
      </c>
      <c r="I44" s="4">
        <f t="shared" si="9"/>
        <v>1418.9468389746553</v>
      </c>
      <c r="J44" s="33">
        <f>'2010-10'!J44</f>
        <v>719.71900000000005</v>
      </c>
      <c r="K44" s="33">
        <f>'2010-10'!K44</f>
        <v>1021243</v>
      </c>
      <c r="L44" s="22">
        <f t="shared" si="14"/>
        <v>4322939.8731686044</v>
      </c>
      <c r="M44" s="22">
        <f t="shared" si="15"/>
        <v>1021243</v>
      </c>
      <c r="N44" s="19" t="s">
        <v>91</v>
      </c>
      <c r="O44" s="4">
        <f t="shared" si="16"/>
        <v>731.05892716462949</v>
      </c>
      <c r="P44" s="13">
        <f>'2010-10'!P44</f>
        <v>526157</v>
      </c>
      <c r="Q44" s="22">
        <f t="shared" si="17"/>
        <v>2227231.9857729981</v>
      </c>
      <c r="R44" s="13">
        <f t="shared" si="18"/>
        <v>526157</v>
      </c>
      <c r="W44" s="18">
        <f t="shared" si="10"/>
        <v>0.51521234417273865</v>
      </c>
    </row>
    <row r="45" spans="1:23">
      <c r="A45" s="18" t="s">
        <v>67</v>
      </c>
      <c r="B45" s="4">
        <f>'2010-10'!B45</f>
        <v>70.329269785649885</v>
      </c>
      <c r="C45" s="4">
        <f>'2010-10'!C45</f>
        <v>78.441220996603292</v>
      </c>
      <c r="D45" s="16">
        <f t="shared" si="8"/>
        <v>52294.14733106886</v>
      </c>
      <c r="E45" s="4">
        <f>'Interval Circuities'!E45</f>
        <v>1.3117239067101567</v>
      </c>
      <c r="F45" s="4">
        <f t="shared" si="11"/>
        <v>53.61590912987004</v>
      </c>
      <c r="G45" s="4">
        <f t="shared" si="12"/>
        <v>35.74393941991336</v>
      </c>
      <c r="H45" s="4">
        <f t="shared" si="13"/>
        <v>4013.7905252391029</v>
      </c>
      <c r="I45" s="4">
        <f t="shared" si="9"/>
        <v>1136.9073371227814</v>
      </c>
      <c r="J45" s="33">
        <f>'2010-10'!J45</f>
        <v>1546.484874</v>
      </c>
      <c r="K45" s="33">
        <f>'2010-10'!K45</f>
        <v>1758210</v>
      </c>
      <c r="L45" s="22">
        <f t="shared" si="14"/>
        <v>4563307.8978182385</v>
      </c>
      <c r="M45" s="22">
        <f t="shared" si="15"/>
        <v>1758210</v>
      </c>
      <c r="N45" s="19" t="s">
        <v>91</v>
      </c>
      <c r="O45" s="4">
        <f t="shared" si="16"/>
        <v>464.39186834232174</v>
      </c>
      <c r="P45" s="13">
        <f>'2010-10'!P45</f>
        <v>718175</v>
      </c>
      <c r="Q45" s="22">
        <f t="shared" si="17"/>
        <v>1863971.681150496</v>
      </c>
      <c r="R45" s="13">
        <f t="shared" si="18"/>
        <v>718175</v>
      </c>
      <c r="W45" s="18">
        <f t="shared" si="10"/>
        <v>0.40846940922870423</v>
      </c>
    </row>
    <row r="46" spans="1:23">
      <c r="A46" s="18" t="s">
        <v>68</v>
      </c>
      <c r="B46" s="4">
        <f>'2010-10'!B46</f>
        <v>74.208902356796543</v>
      </c>
      <c r="C46" s="4">
        <f>'2010-10'!C46</f>
        <v>85.358369483865644</v>
      </c>
      <c r="D46" s="16">
        <f t="shared" si="8"/>
        <v>56905.579655910427</v>
      </c>
      <c r="E46" s="4">
        <f>'Interval Circuities'!E46</f>
        <v>1.4002313458230131</v>
      </c>
      <c r="F46" s="4">
        <f t="shared" si="11"/>
        <v>52.997601130818012</v>
      </c>
      <c r="G46" s="4">
        <f t="shared" si="12"/>
        <v>35.331734087212006</v>
      </c>
      <c r="H46" s="4">
        <f t="shared" si="13"/>
        <v>3921.7488610726905</v>
      </c>
      <c r="I46" s="4">
        <f t="shared" si="9"/>
        <v>1558.6954968295993</v>
      </c>
      <c r="J46" s="33">
        <f>'2010-10'!J46</f>
        <v>1896.936256</v>
      </c>
      <c r="K46" s="33">
        <f>'2010-10'!K46</f>
        <v>2956746</v>
      </c>
      <c r="L46" s="22">
        <f t="shared" si="14"/>
        <v>6112812.2894506129</v>
      </c>
      <c r="M46" s="22">
        <f t="shared" si="15"/>
        <v>2956746</v>
      </c>
      <c r="N46" s="19" t="s">
        <v>91</v>
      </c>
      <c r="O46" s="4">
        <f t="shared" si="16"/>
        <v>580.58039457916288</v>
      </c>
      <c r="P46" s="13">
        <f>'2010-10'!P46</f>
        <v>1101324</v>
      </c>
      <c r="Q46" s="22">
        <f t="shared" si="17"/>
        <v>2276890.5012019654</v>
      </c>
      <c r="R46" s="13">
        <f t="shared" si="18"/>
        <v>1101324</v>
      </c>
      <c r="W46" s="18">
        <f t="shared" si="10"/>
        <v>0.37247839347715356</v>
      </c>
    </row>
    <row r="47" spans="1:23" ht="16">
      <c r="A47" s="18" t="s">
        <v>113</v>
      </c>
      <c r="B47" s="4">
        <f>'2010-10'!B47</f>
        <v>72.542200404561456</v>
      </c>
      <c r="C47" s="4">
        <f>'2010-10'!C47</f>
        <v>85.183417252245661</v>
      </c>
      <c r="D47" s="16">
        <f t="shared" si="8"/>
        <v>56788.944834830436</v>
      </c>
      <c r="E47" s="4">
        <f>'Interval Circuities'!E47</f>
        <v>1.4139365512475086</v>
      </c>
      <c r="F47" s="4">
        <f t="shared" si="11"/>
        <v>51.305131295006035</v>
      </c>
      <c r="G47" s="4">
        <f t="shared" si="12"/>
        <v>34.203420863337357</v>
      </c>
      <c r="H47" s="4">
        <f t="shared" si="13"/>
        <v>3675.2675601131068</v>
      </c>
      <c r="I47" s="4">
        <f t="shared" si="9"/>
        <v>2419.4675820015173</v>
      </c>
      <c r="J47" s="33">
        <f>'2010-10'!J47</f>
        <v>1356.1710949999999</v>
      </c>
      <c r="K47" s="33">
        <f>'2010-10'!K47</f>
        <v>3281212</v>
      </c>
      <c r="L47" s="22">
        <f t="shared" si="14"/>
        <v>8892190.7168754749</v>
      </c>
      <c r="M47" s="22">
        <f t="shared" si="15"/>
        <v>3281212</v>
      </c>
      <c r="N47" s="19" t="s">
        <v>91</v>
      </c>
      <c r="O47" s="4">
        <f t="shared" si="16"/>
        <v>1303.5176804148005</v>
      </c>
      <c r="P47" s="13">
        <f>'2010-10'!P47</f>
        <v>1767793</v>
      </c>
      <c r="Q47" s="22">
        <f t="shared" si="17"/>
        <v>4790776.2448624</v>
      </c>
      <c r="R47" s="13">
        <f t="shared" si="18"/>
        <v>1767793</v>
      </c>
      <c r="W47" s="18">
        <f t="shared" si="10"/>
        <v>0.53876220128415964</v>
      </c>
    </row>
    <row r="48" spans="1:23" ht="16">
      <c r="A48" s="18" t="s">
        <v>71</v>
      </c>
      <c r="B48" s="4">
        <f>'2010-10'!B48</f>
        <v>67.913980035971221</v>
      </c>
      <c r="C48" s="4">
        <f>'2010-10'!C48</f>
        <v>78.194542652624932</v>
      </c>
      <c r="D48" s="16">
        <f t="shared" si="8"/>
        <v>52129.695101749952</v>
      </c>
      <c r="E48" s="4">
        <f>'Interval Circuities'!E48</f>
        <v>1.4014142336739903</v>
      </c>
      <c r="F48" s="4">
        <f t="shared" si="11"/>
        <v>48.461032009019817</v>
      </c>
      <c r="G48" s="4">
        <f t="shared" si="12"/>
        <v>32.307354672679878</v>
      </c>
      <c r="H48" s="4">
        <f t="shared" si="13"/>
        <v>3279.0849774099229</v>
      </c>
      <c r="I48" s="4">
        <f t="shared" si="9"/>
        <v>2247.211920874815</v>
      </c>
      <c r="J48" s="33">
        <f>'2010-10'!J48</f>
        <v>740.69382800000005</v>
      </c>
      <c r="K48" s="33">
        <f>'2010-10'!K48</f>
        <v>1664496</v>
      </c>
      <c r="L48" s="22">
        <f t="shared" si="14"/>
        <v>7368798.8507971019</v>
      </c>
      <c r="M48" s="22">
        <f t="shared" si="15"/>
        <v>1664496</v>
      </c>
      <c r="N48" s="19" t="s">
        <v>91</v>
      </c>
      <c r="O48" s="4">
        <f t="shared" si="16"/>
        <v>1157.0664795656971</v>
      </c>
      <c r="P48" s="13">
        <f>'2010-10'!P48</f>
        <v>857032</v>
      </c>
      <c r="Q48" s="22">
        <f t="shared" si="17"/>
        <v>3794119.3110084631</v>
      </c>
      <c r="R48" s="13">
        <f t="shared" si="18"/>
        <v>857032</v>
      </c>
      <c r="W48" s="18">
        <f t="shared" si="10"/>
        <v>0.51488979246570743</v>
      </c>
    </row>
    <row r="49" spans="1:23">
      <c r="A49" s="18" t="s">
        <v>56</v>
      </c>
      <c r="B49" s="4">
        <f>'2010-10'!B49</f>
        <v>59.237163329958236</v>
      </c>
      <c r="C49" s="4">
        <f>'2010-10'!C49</f>
        <v>69.529876568500782</v>
      </c>
      <c r="D49" s="16">
        <f t="shared" si="8"/>
        <v>46353.251045667188</v>
      </c>
      <c r="E49" s="4">
        <f>'Interval Circuities'!E49</f>
        <v>1.4364536820651199</v>
      </c>
      <c r="F49" s="4">
        <f t="shared" si="11"/>
        <v>41.238477835773885</v>
      </c>
      <c r="G49" s="4">
        <f t="shared" si="12"/>
        <v>27.492318557182589</v>
      </c>
      <c r="H49" s="4">
        <f t="shared" si="13"/>
        <v>2374.5023716077567</v>
      </c>
      <c r="I49" s="4">
        <f t="shared" si="9"/>
        <v>1169.1810890127867</v>
      </c>
      <c r="J49" s="33">
        <f>'2010-10'!J49</f>
        <v>2616.6973010000002</v>
      </c>
      <c r="K49" s="33">
        <f>'2010-10'!K49</f>
        <v>3059393</v>
      </c>
      <c r="L49" s="22">
        <f t="shared" si="14"/>
        <v>2776223.268699802</v>
      </c>
      <c r="M49" s="22">
        <f t="shared" si="15"/>
        <v>2776223.268699802</v>
      </c>
      <c r="N49" s="19" t="s">
        <v>91</v>
      </c>
      <c r="O49" s="4">
        <f t="shared" si="16"/>
        <v>548.69319406998534</v>
      </c>
      <c r="P49" s="13">
        <f>'2010-10'!P49</f>
        <v>1435764</v>
      </c>
      <c r="Q49" s="22">
        <f t="shared" si="17"/>
        <v>1302873.2906042153</v>
      </c>
      <c r="R49" s="13">
        <f t="shared" si="18"/>
        <v>1302873.2906042153</v>
      </c>
      <c r="W49" s="18">
        <f t="shared" si="10"/>
        <v>0.46929701414627017</v>
      </c>
    </row>
    <row r="50" spans="1:23">
      <c r="A50" s="18" t="s">
        <v>75</v>
      </c>
      <c r="B50" s="4">
        <f>'2010-10'!B50</f>
        <v>59.396208684850201</v>
      </c>
      <c r="C50" s="4">
        <f>'2010-10'!C50</f>
        <v>72.013674499161084</v>
      </c>
      <c r="D50" s="16">
        <f t="shared" si="8"/>
        <v>48009.116332774058</v>
      </c>
      <c r="E50" s="4">
        <f>'Interval Circuities'!E50</f>
        <v>1.2494539986202935</v>
      </c>
      <c r="F50" s="4">
        <f t="shared" si="11"/>
        <v>47.537731481461755</v>
      </c>
      <c r="G50" s="4">
        <f t="shared" si="12"/>
        <v>31.691820987641169</v>
      </c>
      <c r="H50" s="4">
        <f t="shared" si="13"/>
        <v>3155.3261808927091</v>
      </c>
      <c r="I50" s="4">
        <f t="shared" si="9"/>
        <v>1715.2084870415904</v>
      </c>
      <c r="J50" s="33">
        <f>'2010-10'!J50</f>
        <v>3207.994271</v>
      </c>
      <c r="K50" s="33">
        <f>'2010-10'!K50</f>
        <v>5502379</v>
      </c>
      <c r="L50" s="22">
        <f t="shared" si="14"/>
        <v>5412042.2448517028</v>
      </c>
      <c r="M50" s="22">
        <f t="shared" si="15"/>
        <v>5412042.2448517028</v>
      </c>
      <c r="N50" s="19" t="s">
        <v>91</v>
      </c>
      <c r="O50" s="4">
        <f t="shared" si="16"/>
        <v>567.61603861355525</v>
      </c>
      <c r="P50" s="13">
        <f>'2010-10'!P50</f>
        <v>1820909</v>
      </c>
      <c r="Q50" s="22">
        <f t="shared" si="17"/>
        <v>1791013.7473319578</v>
      </c>
      <c r="R50" s="13">
        <f t="shared" si="18"/>
        <v>1791013.7473319578</v>
      </c>
      <c r="W50" s="18">
        <f t="shared" si="10"/>
        <v>0.33093122084102172</v>
      </c>
    </row>
    <row r="51" spans="1:23">
      <c r="A51" s="18" t="s">
        <v>57</v>
      </c>
      <c r="B51" s="4">
        <f>'2010-10'!B51</f>
        <v>55.946693712217225</v>
      </c>
      <c r="C51" s="4">
        <f>'2010-10'!C51</f>
        <v>67.155256306515241</v>
      </c>
      <c r="D51" s="16">
        <f t="shared" si="8"/>
        <v>44770.170871010159</v>
      </c>
      <c r="E51" s="4">
        <f>'Interval Circuities'!E51</f>
        <v>1.3484888260380745</v>
      </c>
      <c r="F51" s="4">
        <f t="shared" si="11"/>
        <v>41.488437005882595</v>
      </c>
      <c r="G51" s="4">
        <f t="shared" si="12"/>
        <v>27.658958003921729</v>
      </c>
      <c r="H51" s="4">
        <f t="shared" si="13"/>
        <v>2403.3747962857428</v>
      </c>
      <c r="I51" s="4">
        <f t="shared" si="9"/>
        <v>899.04720299169355</v>
      </c>
      <c r="J51" s="33">
        <f>'2010-10'!J51</f>
        <v>2392.2058740000002</v>
      </c>
      <c r="K51" s="33">
        <f>'2010-10'!K51</f>
        <v>2150706</v>
      </c>
      <c r="L51" s="22">
        <f t="shared" si="14"/>
        <v>2160747.3883414282</v>
      </c>
      <c r="M51" s="22">
        <f t="shared" si="15"/>
        <v>2150706</v>
      </c>
      <c r="N51" s="19" t="s">
        <v>91</v>
      </c>
      <c r="O51" s="4">
        <f t="shared" si="16"/>
        <v>488.93826936569087</v>
      </c>
      <c r="P51" s="13">
        <f>'2010-10'!P51</f>
        <v>1169641</v>
      </c>
      <c r="Q51" s="22">
        <f t="shared" si="17"/>
        <v>1175101.9135330711</v>
      </c>
      <c r="R51" s="13">
        <f t="shared" si="18"/>
        <v>1169641</v>
      </c>
      <c r="W51" s="18">
        <f t="shared" si="10"/>
        <v>0.54384048772821592</v>
      </c>
    </row>
    <row r="52" spans="1:23">
      <c r="A52" s="18" t="s">
        <v>70</v>
      </c>
      <c r="B52" s="4">
        <f>'2010-10'!B52</f>
        <v>65.037009428922346</v>
      </c>
      <c r="C52" s="4">
        <f>'2010-10'!C52</f>
        <v>76.223831707390744</v>
      </c>
      <c r="D52" s="16">
        <f t="shared" si="8"/>
        <v>50815.887804927159</v>
      </c>
      <c r="E52" s="4">
        <f>'Interval Circuities'!E52</f>
        <v>1.2770054812680482</v>
      </c>
      <c r="F52" s="4">
        <f t="shared" si="11"/>
        <v>50.929311097663827</v>
      </c>
      <c r="G52" s="4">
        <f t="shared" si="12"/>
        <v>33.952874065109214</v>
      </c>
      <c r="H52" s="4">
        <f t="shared" si="13"/>
        <v>3621.6206511900346</v>
      </c>
      <c r="I52" s="4">
        <f t="shared" si="9"/>
        <v>985.14575645956916</v>
      </c>
      <c r="J52" s="33">
        <f>'2010-10'!J52</f>
        <v>2478.5875430000001</v>
      </c>
      <c r="K52" s="33">
        <f>'2010-10'!K52</f>
        <v>2441770</v>
      </c>
      <c r="L52" s="22">
        <f t="shared" si="14"/>
        <v>3567824.2160262042</v>
      </c>
      <c r="M52" s="22">
        <f t="shared" si="15"/>
        <v>2441770</v>
      </c>
      <c r="N52" s="19" t="s">
        <v>91</v>
      </c>
      <c r="O52" s="4">
        <f t="shared" si="16"/>
        <v>376.11380829892278</v>
      </c>
      <c r="P52" s="13">
        <f>'2010-10'!P52</f>
        <v>932231</v>
      </c>
      <c r="Q52" s="22">
        <f t="shared" si="17"/>
        <v>1362141.5353331086</v>
      </c>
      <c r="R52" s="13">
        <f t="shared" si="18"/>
        <v>932231</v>
      </c>
      <c r="W52" s="18">
        <f t="shared" si="10"/>
        <v>0.38178493469900937</v>
      </c>
    </row>
    <row r="53" spans="1:23" ht="16">
      <c r="A53" s="18" t="s">
        <v>116</v>
      </c>
      <c r="B53" s="4">
        <f>'2010-10'!B53</f>
        <v>60.647730141730513</v>
      </c>
      <c r="C53" s="4">
        <f>'2010-10'!C53</f>
        <v>74.545005322142316</v>
      </c>
      <c r="D53" s="16">
        <f t="shared" si="8"/>
        <v>49696.670214761536</v>
      </c>
      <c r="E53" s="4">
        <f>'Interval Circuities'!E53</f>
        <v>1.2903552897310631</v>
      </c>
      <c r="F53" s="4">
        <f t="shared" si="11"/>
        <v>47.000799411122472</v>
      </c>
      <c r="G53" s="4">
        <f t="shared" si="12"/>
        <v>31.333866274081647</v>
      </c>
      <c r="H53" s="4">
        <f t="shared" si="13"/>
        <v>3084.4507767350274</v>
      </c>
      <c r="I53" s="4">
        <f t="shared" si="9"/>
        <v>1339.8831695910785</v>
      </c>
      <c r="J53" s="33">
        <f>'2010-10'!J53</f>
        <v>3423.2611499999998</v>
      </c>
      <c r="K53" s="33">
        <f>'2010-10'!K53</f>
        <v>4586770</v>
      </c>
      <c r="L53" s="22">
        <f t="shared" si="14"/>
        <v>4132803.6831793925</v>
      </c>
      <c r="M53" s="22">
        <f t="shared" si="15"/>
        <v>4132803.6831793925</v>
      </c>
      <c r="N53" s="19" t="s">
        <v>91</v>
      </c>
      <c r="O53" s="4">
        <f t="shared" si="16"/>
        <v>692.47740564578316</v>
      </c>
      <c r="P53" s="13">
        <f>'2010-10'!P53</f>
        <v>2370531</v>
      </c>
      <c r="Q53" s="22">
        <f t="shared" si="17"/>
        <v>2135912.4717155923</v>
      </c>
      <c r="R53" s="13">
        <f t="shared" si="18"/>
        <v>2135912.4717155923</v>
      </c>
      <c r="W53" s="18">
        <f t="shared" si="10"/>
        <v>0.51681924317112038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opLeftCell="L1" workbookViewId="0">
      <selection activeCell="W1" sqref="W1:W53"/>
    </sheetView>
  </sheetViews>
  <sheetFormatPr baseColWidth="10" defaultColWidth="11.5" defaultRowHeight="14" x14ac:dyDescent="0"/>
  <cols>
    <col min="4" max="4" width="11.5" style="18"/>
  </cols>
  <sheetData>
    <row r="1" spans="1:23" ht="56">
      <c r="A1" s="18">
        <f>5/6</f>
        <v>0.83333333333333337</v>
      </c>
      <c r="B1" s="1" t="s">
        <v>59</v>
      </c>
      <c r="C1" s="1" t="s">
        <v>60</v>
      </c>
      <c r="D1" s="1" t="s">
        <v>164</v>
      </c>
      <c r="E1" s="7" t="s">
        <v>90</v>
      </c>
      <c r="F1" s="1" t="s">
        <v>21</v>
      </c>
      <c r="G1" s="1" t="s">
        <v>20</v>
      </c>
      <c r="H1" s="1" t="s">
        <v>129</v>
      </c>
      <c r="I1" s="1" t="s">
        <v>25</v>
      </c>
      <c r="J1" s="8" t="s">
        <v>83</v>
      </c>
      <c r="K1" s="23" t="s">
        <v>78</v>
      </c>
      <c r="L1" s="21" t="s">
        <v>76</v>
      </c>
      <c r="M1" s="27" t="s">
        <v>103</v>
      </c>
      <c r="N1" s="19" t="s">
        <v>91</v>
      </c>
      <c r="O1" s="1" t="s">
        <v>89</v>
      </c>
      <c r="P1" s="1" t="s">
        <v>87</v>
      </c>
      <c r="Q1" s="21" t="s">
        <v>88</v>
      </c>
      <c r="R1" s="18" t="s">
        <v>102</v>
      </c>
      <c r="W1" s="18" t="s">
        <v>579</v>
      </c>
    </row>
    <row r="2" spans="1:23" ht="16">
      <c r="A2" s="18" t="s">
        <v>16</v>
      </c>
      <c r="B2" s="18" t="s">
        <v>18</v>
      </c>
      <c r="C2" s="18" t="s">
        <v>120</v>
      </c>
      <c r="E2" s="18" t="s">
        <v>114</v>
      </c>
      <c r="F2" s="18" t="s">
        <v>17</v>
      </c>
      <c r="G2" s="18" t="s">
        <v>19</v>
      </c>
      <c r="H2" s="18" t="s">
        <v>130</v>
      </c>
      <c r="I2" s="18" t="s">
        <v>24</v>
      </c>
      <c r="J2" s="9" t="s">
        <v>16</v>
      </c>
      <c r="K2" s="13" t="s">
        <v>121</v>
      </c>
      <c r="L2" s="22" t="s">
        <v>127</v>
      </c>
      <c r="M2" s="22" t="s">
        <v>122</v>
      </c>
      <c r="N2" s="19" t="s">
        <v>91</v>
      </c>
      <c r="O2" s="18" t="s">
        <v>123</v>
      </c>
      <c r="P2" s="18" t="s">
        <v>124</v>
      </c>
      <c r="Q2" s="22" t="s">
        <v>126</v>
      </c>
      <c r="R2" s="18" t="s">
        <v>125</v>
      </c>
      <c r="W2" s="18" t="s">
        <v>580</v>
      </c>
    </row>
    <row r="3" spans="1:23">
      <c r="A3" s="18" t="s">
        <v>26</v>
      </c>
      <c r="B3" s="4">
        <f>'2010-10'!B3</f>
        <v>66.682397163757059</v>
      </c>
      <c r="C3" s="4">
        <f>'2010-10'!C3</f>
        <v>79.773749080561657</v>
      </c>
      <c r="D3" s="16">
        <f>C3*$A$1*1000</f>
        <v>66478.124233801384</v>
      </c>
      <c r="E3" s="4">
        <f>'Interval Circuities'!F3</f>
        <v>1.2210426501549614</v>
      </c>
      <c r="F3" s="4">
        <f t="shared" ref="F3:F34" si="0">B3/E3</f>
        <v>54.611030298814264</v>
      </c>
      <c r="G3" s="4">
        <f t="shared" ref="G3:G34" si="1">F3*$A$1</f>
        <v>45.509191915678556</v>
      </c>
      <c r="H3" s="4">
        <f t="shared" ref="H3:H34" si="2">PI()*G3^2</f>
        <v>6506.5102867154637</v>
      </c>
      <c r="I3" s="4">
        <f>K3/J3</f>
        <v>659.04777089359266</v>
      </c>
      <c r="J3" s="33">
        <f>'2010-10'!J3</f>
        <v>6851.4289849999996</v>
      </c>
      <c r="K3" s="33">
        <f>'2010-10'!K3</f>
        <v>4515419</v>
      </c>
      <c r="L3" s="22">
        <f t="shared" ref="L3:L34" si="3">H3*I3</f>
        <v>4288101.1007560566</v>
      </c>
      <c r="M3" s="22">
        <f t="shared" ref="M3:M34" si="4">MIN(K3,L3)</f>
        <v>4288101.1007560566</v>
      </c>
      <c r="N3" s="19" t="s">
        <v>91</v>
      </c>
      <c r="O3" s="4">
        <f t="shared" ref="O3:O34" si="5">P3/J3</f>
        <v>292.35463206074525</v>
      </c>
      <c r="P3" s="13">
        <f>'2010-10'!P3</f>
        <v>2003047</v>
      </c>
      <c r="Q3" s="22">
        <f t="shared" ref="Q3:Q34" si="6">H3*O3</f>
        <v>1902208.4208721535</v>
      </c>
      <c r="R3" s="13">
        <f t="shared" ref="R3:R34" si="7">MIN(Q3,P3)</f>
        <v>1902208.4208721535</v>
      </c>
      <c r="W3" s="18">
        <f>Q3/L3</f>
        <v>0.44360157938831374</v>
      </c>
    </row>
    <row r="4" spans="1:23">
      <c r="A4" s="18" t="s">
        <v>27</v>
      </c>
      <c r="B4" s="4">
        <f>'2010-10'!B4</f>
        <v>67.132189228567199</v>
      </c>
      <c r="C4" s="4">
        <f>'2010-10'!C4</f>
        <v>79.519027593680846</v>
      </c>
      <c r="D4" s="16">
        <f t="shared" ref="D4:D53" si="8">C4*$A$1*1000</f>
        <v>66265.85632806737</v>
      </c>
      <c r="E4" s="4">
        <f>'Interval Circuities'!F4</f>
        <v>1.2879992795041273</v>
      </c>
      <c r="F4" s="4">
        <f t="shared" si="0"/>
        <v>52.121294085205335</v>
      </c>
      <c r="G4" s="4">
        <f t="shared" si="1"/>
        <v>43.434411737671113</v>
      </c>
      <c r="H4" s="4">
        <f t="shared" si="2"/>
        <v>5926.7657238526917</v>
      </c>
      <c r="I4" s="4">
        <f t="shared" ref="I4:I53" si="9">K4/J4</f>
        <v>1005.7320851324054</v>
      </c>
      <c r="J4" s="33">
        <f>'2010-10'!J4</f>
        <v>1354.6510249999999</v>
      </c>
      <c r="K4" s="33">
        <f>'2010-10'!K4</f>
        <v>1362416</v>
      </c>
      <c r="L4" s="22">
        <f t="shared" si="3"/>
        <v>5960738.4495416377</v>
      </c>
      <c r="M4" s="22">
        <f t="shared" si="4"/>
        <v>1362416</v>
      </c>
      <c r="N4" s="19" t="s">
        <v>91</v>
      </c>
      <c r="O4" s="4">
        <f t="shared" si="5"/>
        <v>472.86200517952591</v>
      </c>
      <c r="P4" s="13">
        <f>'2010-10'!P4</f>
        <v>640563</v>
      </c>
      <c r="Q4" s="22">
        <f t="shared" si="6"/>
        <v>2802542.3244102681</v>
      </c>
      <c r="R4" s="13">
        <f t="shared" si="7"/>
        <v>640563</v>
      </c>
      <c r="W4" s="18">
        <f t="shared" ref="W4:W53" si="10">Q4/L4</f>
        <v>0.47016696809197778</v>
      </c>
    </row>
    <row r="5" spans="1:23" ht="16">
      <c r="A5" s="18" t="s">
        <v>117</v>
      </c>
      <c r="B5" s="4">
        <f>'2010-10'!B5</f>
        <v>64.331330728262358</v>
      </c>
      <c r="C5" s="4">
        <f>'2010-10'!C5</f>
        <v>77.152319954484682</v>
      </c>
      <c r="D5" s="16">
        <f t="shared" si="8"/>
        <v>64293.59996207057</v>
      </c>
      <c r="E5" s="4">
        <f>'Interval Circuities'!F5</f>
        <v>1.2338763577562017</v>
      </c>
      <c r="F5" s="4">
        <f t="shared" si="0"/>
        <v>52.137582768218834</v>
      </c>
      <c r="G5" s="4">
        <f t="shared" si="1"/>
        <v>43.447985640182367</v>
      </c>
      <c r="H5" s="4">
        <f t="shared" si="2"/>
        <v>5930.4707083446592</v>
      </c>
      <c r="I5" s="4">
        <f t="shared" si="9"/>
        <v>1186.6066340855928</v>
      </c>
      <c r="J5" s="33">
        <f>'2010-10'!J5</f>
        <v>1857.1133319999999</v>
      </c>
      <c r="K5" s="33">
        <f>'2010-10'!K5</f>
        <v>2203663</v>
      </c>
      <c r="L5" s="22">
        <f t="shared" si="3"/>
        <v>7037135.8857720569</v>
      </c>
      <c r="M5" s="22">
        <f t="shared" si="4"/>
        <v>2203663</v>
      </c>
      <c r="N5" s="19" t="s">
        <v>91</v>
      </c>
      <c r="O5" s="4">
        <f t="shared" si="5"/>
        <v>570.56830175187179</v>
      </c>
      <c r="P5" s="13">
        <f>'2010-10'!P5</f>
        <v>1059610</v>
      </c>
      <c r="Q5" s="22">
        <f t="shared" si="6"/>
        <v>3383738.6006494323</v>
      </c>
      <c r="R5" s="13">
        <f t="shared" si="7"/>
        <v>1059610</v>
      </c>
      <c r="W5" s="18">
        <f t="shared" si="10"/>
        <v>0.48084030997480109</v>
      </c>
    </row>
    <row r="6" spans="1:23">
      <c r="A6" s="18" t="s">
        <v>29</v>
      </c>
      <c r="B6" s="4">
        <f>'2010-10'!B6</f>
        <v>59.083844176305647</v>
      </c>
      <c r="C6" s="4">
        <f>'2010-10'!C6</f>
        <v>71.201949648545863</v>
      </c>
      <c r="D6" s="16">
        <f t="shared" si="8"/>
        <v>59334.958040454883</v>
      </c>
      <c r="E6" s="4">
        <f>'Interval Circuities'!F6</f>
        <v>1.1956866082763671</v>
      </c>
      <c r="F6" s="4">
        <f t="shared" si="0"/>
        <v>49.414155655282876</v>
      </c>
      <c r="G6" s="4">
        <f t="shared" si="1"/>
        <v>41.178463046069062</v>
      </c>
      <c r="H6" s="4">
        <f t="shared" si="2"/>
        <v>5327.0912793999923</v>
      </c>
      <c r="I6" s="4">
        <f t="shared" si="9"/>
        <v>861.67001828332229</v>
      </c>
      <c r="J6" s="33">
        <f>'2010-10'!J6</f>
        <v>4852.2275479999998</v>
      </c>
      <c r="K6" s="33">
        <f>'2010-10'!K6</f>
        <v>4181019</v>
      </c>
      <c r="L6" s="22">
        <f t="shared" si="3"/>
        <v>4590194.8401175179</v>
      </c>
      <c r="M6" s="22">
        <f t="shared" si="4"/>
        <v>4181019</v>
      </c>
      <c r="N6" s="19" t="s">
        <v>91</v>
      </c>
      <c r="O6" s="4">
        <f t="shared" si="5"/>
        <v>598.22977617701781</v>
      </c>
      <c r="P6" s="13">
        <f>'2010-10'!P6</f>
        <v>2902747</v>
      </c>
      <c r="Q6" s="22">
        <f t="shared" si="6"/>
        <v>3186824.6237500007</v>
      </c>
      <c r="R6" s="13">
        <f t="shared" si="7"/>
        <v>2902747</v>
      </c>
      <c r="W6" s="18">
        <f t="shared" si="10"/>
        <v>0.6942678327938715</v>
      </c>
    </row>
    <row r="7" spans="1:23">
      <c r="A7" s="18" t="s">
        <v>30</v>
      </c>
      <c r="B7" s="4">
        <f>'2010-10'!B7</f>
        <v>61.52546201403905</v>
      </c>
      <c r="C7" s="4">
        <f>'2010-10'!C7</f>
        <v>70.650556777808134</v>
      </c>
      <c r="D7" s="16">
        <f t="shared" si="8"/>
        <v>58875.463981506786</v>
      </c>
      <c r="E7" s="4">
        <f>'Interval Circuities'!F7</f>
        <v>1.1803913897988716</v>
      </c>
      <c r="F7" s="4">
        <f t="shared" si="0"/>
        <v>52.122933584361753</v>
      </c>
      <c r="G7" s="4">
        <f t="shared" si="1"/>
        <v>43.435777986968127</v>
      </c>
      <c r="H7" s="4">
        <f t="shared" si="2"/>
        <v>5927.1385879728286</v>
      </c>
      <c r="I7" s="4">
        <f t="shared" si="9"/>
        <v>951.10925507842603</v>
      </c>
      <c r="J7" s="33">
        <f>'2010-10'!J7</f>
        <v>984.01523799999995</v>
      </c>
      <c r="K7" s="33">
        <f>'2010-10'!K7</f>
        <v>935906</v>
      </c>
      <c r="L7" s="22">
        <f t="shared" si="3"/>
        <v>5637356.3671534313</v>
      </c>
      <c r="M7" s="22">
        <f t="shared" si="4"/>
        <v>935906</v>
      </c>
      <c r="N7" s="19" t="s">
        <v>91</v>
      </c>
      <c r="O7" s="4">
        <f t="shared" si="5"/>
        <v>463.10664957405874</v>
      </c>
      <c r="P7" s="13">
        <f>'2010-10'!P7</f>
        <v>455704</v>
      </c>
      <c r="Q7" s="22">
        <f t="shared" si="6"/>
        <v>2744897.2930372139</v>
      </c>
      <c r="R7" s="13">
        <f t="shared" si="7"/>
        <v>455704</v>
      </c>
      <c r="W7" s="18">
        <f t="shared" si="10"/>
        <v>0.48691214716007791</v>
      </c>
    </row>
    <row r="8" spans="1:23">
      <c r="A8" s="18" t="s">
        <v>31</v>
      </c>
      <c r="B8" s="4">
        <f>'2010-10'!B8</f>
        <v>64.052681514079197</v>
      </c>
      <c r="C8" s="4">
        <f>'2010-10'!C8</f>
        <v>75.74245959811465</v>
      </c>
      <c r="D8" s="16">
        <f t="shared" si="8"/>
        <v>63118.716331762211</v>
      </c>
      <c r="E8" s="4">
        <f>'Interval Circuities'!F8</f>
        <v>1.219339743976918</v>
      </c>
      <c r="F8" s="4">
        <f t="shared" si="0"/>
        <v>52.530627194328297</v>
      </c>
      <c r="G8" s="4">
        <f t="shared" si="1"/>
        <v>43.775522661940251</v>
      </c>
      <c r="H8" s="4">
        <f t="shared" si="2"/>
        <v>6020.2226430993842</v>
      </c>
      <c r="I8" s="4">
        <f t="shared" si="9"/>
        <v>650.59688341284709</v>
      </c>
      <c r="J8" s="33">
        <f>'2010-10'!J8</f>
        <v>1920.4549420000001</v>
      </c>
      <c r="K8" s="33">
        <f>'2010-10'!K8</f>
        <v>1249442</v>
      </c>
      <c r="L8" s="22">
        <f t="shared" si="3"/>
        <v>3916738.0890519121</v>
      </c>
      <c r="M8" s="22">
        <f t="shared" si="4"/>
        <v>1249442</v>
      </c>
      <c r="N8" s="19" t="s">
        <v>91</v>
      </c>
      <c r="O8" s="4">
        <f t="shared" si="5"/>
        <v>378.75608747294422</v>
      </c>
      <c r="P8" s="13">
        <f>'2010-10'!P8</f>
        <v>727384</v>
      </c>
      <c r="Q8" s="22">
        <f t="shared" si="6"/>
        <v>2280195.9740163498</v>
      </c>
      <c r="R8" s="13">
        <f t="shared" si="7"/>
        <v>727384</v>
      </c>
      <c r="W8" s="18">
        <f t="shared" si="10"/>
        <v>0.58216707938423717</v>
      </c>
    </row>
    <row r="9" spans="1:23">
      <c r="A9" s="18" t="s">
        <v>32</v>
      </c>
      <c r="B9" s="4">
        <f>'2010-10'!B9</f>
        <v>62.255871883980589</v>
      </c>
      <c r="C9" s="4">
        <f>'2010-10'!C9</f>
        <v>73.232676356180107</v>
      </c>
      <c r="D9" s="16">
        <f t="shared" si="8"/>
        <v>61027.230296816764</v>
      </c>
      <c r="E9" s="4">
        <f>'Interval Circuities'!F9</f>
        <v>1.2018060236875545</v>
      </c>
      <c r="F9" s="4">
        <f t="shared" si="0"/>
        <v>51.801930308984595</v>
      </c>
      <c r="G9" s="4">
        <f t="shared" si="1"/>
        <v>43.168275257487167</v>
      </c>
      <c r="H9" s="4">
        <f t="shared" si="2"/>
        <v>5854.3578744839933</v>
      </c>
      <c r="I9" s="4">
        <f t="shared" si="9"/>
        <v>1360.6187423043561</v>
      </c>
      <c r="J9" s="33">
        <f>'2010-10'!J9</f>
        <v>6326.6863320000002</v>
      </c>
      <c r="K9" s="33">
        <f>'2010-10'!K9</f>
        <v>8608208</v>
      </c>
      <c r="L9" s="22">
        <f t="shared" si="3"/>
        <v>7965549.0481800148</v>
      </c>
      <c r="M9" s="22">
        <f t="shared" si="4"/>
        <v>7965549.0481800148</v>
      </c>
      <c r="N9" s="19" t="s">
        <v>91</v>
      </c>
      <c r="O9" s="4">
        <f t="shared" si="5"/>
        <v>600.27821843973788</v>
      </c>
      <c r="P9" s="13">
        <f>'2010-10'!P9</f>
        <v>3797772</v>
      </c>
      <c r="Q9" s="22">
        <f t="shared" si="6"/>
        <v>3514243.5150039019</v>
      </c>
      <c r="R9" s="13">
        <f t="shared" si="7"/>
        <v>3514243.5150039019</v>
      </c>
      <c r="W9" s="18">
        <f t="shared" si="10"/>
        <v>0.44118032463899565</v>
      </c>
    </row>
    <row r="10" spans="1:23">
      <c r="A10" s="18" t="s">
        <v>33</v>
      </c>
      <c r="B10" s="4">
        <f>'2010-10'!B10</f>
        <v>63.816269796049951</v>
      </c>
      <c r="C10" s="4">
        <f>'2010-10'!C10</f>
        <v>74.14207195492925</v>
      </c>
      <c r="D10" s="16">
        <f t="shared" si="8"/>
        <v>61785.059962441046</v>
      </c>
      <c r="E10" s="4">
        <f>'Interval Circuities'!F10</f>
        <v>1.2719049532677678</v>
      </c>
      <c r="F10" s="4">
        <f t="shared" si="0"/>
        <v>50.17377252293398</v>
      </c>
      <c r="G10" s="4">
        <f t="shared" si="1"/>
        <v>41.811477102444982</v>
      </c>
      <c r="H10" s="4">
        <f t="shared" si="2"/>
        <v>5492.1310753096705</v>
      </c>
      <c r="I10" s="4">
        <f t="shared" si="9"/>
        <v>796.39106388024629</v>
      </c>
      <c r="J10" s="33">
        <f>'2010-10'!J10</f>
        <v>2040.237609</v>
      </c>
      <c r="K10" s="33">
        <f>'2010-10'!K10</f>
        <v>1624827</v>
      </c>
      <c r="L10" s="22">
        <f t="shared" si="3"/>
        <v>4373884.1100356299</v>
      </c>
      <c r="M10" s="22">
        <f t="shared" si="4"/>
        <v>1624827</v>
      </c>
      <c r="N10" s="19" t="s">
        <v>91</v>
      </c>
      <c r="O10" s="4">
        <f t="shared" si="5"/>
        <v>428.64958284375984</v>
      </c>
      <c r="P10" s="13">
        <f>'2010-10'!P10</f>
        <v>874547</v>
      </c>
      <c r="Q10" s="22">
        <f t="shared" si="6"/>
        <v>2354199.6943547404</v>
      </c>
      <c r="R10" s="13">
        <f t="shared" si="7"/>
        <v>874547</v>
      </c>
      <c r="W10" s="18">
        <f t="shared" si="10"/>
        <v>0.53824007109679983</v>
      </c>
    </row>
    <row r="11" spans="1:23">
      <c r="A11" s="18" t="s">
        <v>34</v>
      </c>
      <c r="B11" s="4">
        <f>'2010-10'!B11</f>
        <v>60.599390167439914</v>
      </c>
      <c r="C11" s="4">
        <f>'2010-10'!C11</f>
        <v>69.653954039848372</v>
      </c>
      <c r="D11" s="16">
        <f t="shared" si="8"/>
        <v>58044.961699873646</v>
      </c>
      <c r="E11" s="4">
        <f>'Interval Circuities'!F11</f>
        <v>1.1657850372312006</v>
      </c>
      <c r="F11" s="4">
        <f t="shared" si="0"/>
        <v>51.981616020194068</v>
      </c>
      <c r="G11" s="4">
        <f t="shared" si="1"/>
        <v>43.318013350161728</v>
      </c>
      <c r="H11" s="4">
        <f t="shared" si="2"/>
        <v>5895.0424163745129</v>
      </c>
      <c r="I11" s="4">
        <f t="shared" si="9"/>
        <v>890.6045978114746</v>
      </c>
      <c r="J11" s="33">
        <f>'2010-10'!J11</f>
        <v>1999.3979420000001</v>
      </c>
      <c r="K11" s="33">
        <f>'2010-10'!K11</f>
        <v>1780673</v>
      </c>
      <c r="L11" s="22">
        <f t="shared" si="3"/>
        <v>5250151.880316806</v>
      </c>
      <c r="M11" s="22">
        <f t="shared" si="4"/>
        <v>1780673</v>
      </c>
      <c r="N11" s="19" t="s">
        <v>91</v>
      </c>
      <c r="O11" s="4">
        <f t="shared" si="5"/>
        <v>435.21001083435146</v>
      </c>
      <c r="P11" s="13">
        <f>'2010-10'!P11</f>
        <v>870158</v>
      </c>
      <c r="Q11" s="22">
        <f t="shared" si="6"/>
        <v>2565581.4738993132</v>
      </c>
      <c r="R11" s="13">
        <f t="shared" si="7"/>
        <v>870158</v>
      </c>
      <c r="W11" s="18">
        <f t="shared" si="10"/>
        <v>0.48866804854119766</v>
      </c>
    </row>
    <row r="12" spans="1:23">
      <c r="A12" s="18" t="s">
        <v>35</v>
      </c>
      <c r="B12" s="4">
        <f>'2010-10'!B12</f>
        <v>64.046411741712433</v>
      </c>
      <c r="C12" s="4">
        <f>'2010-10'!C12</f>
        <v>74.901794999095003</v>
      </c>
      <c r="D12" s="16">
        <f t="shared" si="8"/>
        <v>62418.162499245838</v>
      </c>
      <c r="E12" s="4">
        <f>'Interval Circuities'!F12</f>
        <v>1.184989187914482</v>
      </c>
      <c r="F12" s="4">
        <f t="shared" si="0"/>
        <v>54.048097986810085</v>
      </c>
      <c r="G12" s="4">
        <f t="shared" si="1"/>
        <v>45.040081655675074</v>
      </c>
      <c r="H12" s="4">
        <f t="shared" si="2"/>
        <v>6373.0629917619608</v>
      </c>
      <c r="I12" s="4">
        <f t="shared" si="9"/>
        <v>1034.7499169004755</v>
      </c>
      <c r="J12" s="33">
        <f>'2010-10'!J12</f>
        <v>1322.0923989999999</v>
      </c>
      <c r="K12" s="33">
        <f>'2010-10'!K12</f>
        <v>1368035</v>
      </c>
      <c r="L12" s="22">
        <f t="shared" si="3"/>
        <v>6594526.4011271847</v>
      </c>
      <c r="M12" s="22">
        <f t="shared" si="4"/>
        <v>1368035</v>
      </c>
      <c r="N12" s="19" t="s">
        <v>91</v>
      </c>
      <c r="O12" s="4">
        <f t="shared" si="5"/>
        <v>567.53143771761449</v>
      </c>
      <c r="P12" s="13">
        <f>'2010-10'!P12</f>
        <v>750329</v>
      </c>
      <c r="Q12" s="22">
        <f t="shared" si="6"/>
        <v>3616913.602379587</v>
      </c>
      <c r="R12" s="13">
        <f t="shared" si="7"/>
        <v>750329</v>
      </c>
      <c r="W12" s="18">
        <f t="shared" si="10"/>
        <v>0.54847207856524127</v>
      </c>
    </row>
    <row r="13" spans="1:23">
      <c r="A13" s="18" t="s">
        <v>61</v>
      </c>
      <c r="B13" s="4">
        <f>'2010-10'!B13</f>
        <v>65.991437704144019</v>
      </c>
      <c r="C13" s="4">
        <f>'2010-10'!C13</f>
        <v>78.097331458401655</v>
      </c>
      <c r="D13" s="16">
        <f t="shared" si="8"/>
        <v>65081.10954866805</v>
      </c>
      <c r="E13" s="4">
        <f>'Interval Circuities'!F13</f>
        <v>1.2464302544174806</v>
      </c>
      <c r="F13" s="4">
        <f t="shared" si="0"/>
        <v>52.944348446504236</v>
      </c>
      <c r="G13" s="4">
        <f t="shared" si="1"/>
        <v>44.120290372086863</v>
      </c>
      <c r="H13" s="4">
        <f t="shared" si="2"/>
        <v>6115.424330217953</v>
      </c>
      <c r="I13" s="4">
        <f t="shared" si="9"/>
        <v>1111.5370303722236</v>
      </c>
      <c r="J13" s="33">
        <f>'2010-10'!J13</f>
        <v>4607.9364519999999</v>
      </c>
      <c r="K13" s="33">
        <f>'2010-10'!K13</f>
        <v>5121892</v>
      </c>
      <c r="L13" s="22">
        <f t="shared" si="3"/>
        <v>6797520.5994765079</v>
      </c>
      <c r="M13" s="22">
        <f t="shared" si="4"/>
        <v>5121892</v>
      </c>
      <c r="N13" s="19" t="s">
        <v>91</v>
      </c>
      <c r="O13" s="4">
        <f t="shared" si="5"/>
        <v>544.77313785663296</v>
      </c>
      <c r="P13" s="13">
        <f>'2010-10'!P13</f>
        <v>2510280</v>
      </c>
      <c r="Q13" s="22">
        <f t="shared" si="6"/>
        <v>3331518.9016976319</v>
      </c>
      <c r="R13" s="13">
        <f t="shared" si="7"/>
        <v>2510280</v>
      </c>
      <c r="W13" s="18">
        <f t="shared" si="10"/>
        <v>0.49010795229575321</v>
      </c>
    </row>
    <row r="14" spans="1:23">
      <c r="A14" s="18" t="s">
        <v>36</v>
      </c>
      <c r="B14" s="4">
        <f>'2010-10'!B14</f>
        <v>60.705617754852213</v>
      </c>
      <c r="C14" s="4">
        <f>'2010-10'!C14</f>
        <v>72.576467255996263</v>
      </c>
      <c r="D14" s="16">
        <f t="shared" si="8"/>
        <v>60480.389379996886</v>
      </c>
      <c r="E14" s="4">
        <f>'Interval Circuities'!F14</f>
        <v>1.3458448279862103</v>
      </c>
      <c r="F14" s="4">
        <f t="shared" si="0"/>
        <v>45.105956119537289</v>
      </c>
      <c r="G14" s="4">
        <f t="shared" si="1"/>
        <v>37.588296766281076</v>
      </c>
      <c r="H14" s="4">
        <f t="shared" si="2"/>
        <v>4438.6935973902673</v>
      </c>
      <c r="I14" s="4">
        <f t="shared" si="9"/>
        <v>1372.3806261261409</v>
      </c>
      <c r="J14" s="33">
        <f>'2010-10'!J14</f>
        <v>1729.9887180000001</v>
      </c>
      <c r="K14" s="33">
        <f>'2010-10'!K14</f>
        <v>2374203</v>
      </c>
      <c r="L14" s="22">
        <f t="shared" si="3"/>
        <v>6091577.0983685479</v>
      </c>
      <c r="M14" s="22">
        <f t="shared" si="4"/>
        <v>2374203</v>
      </c>
      <c r="N14" s="19" t="s">
        <v>91</v>
      </c>
      <c r="O14" s="4">
        <f t="shared" si="5"/>
        <v>600.08830647183447</v>
      </c>
      <c r="P14" s="13">
        <f>'2010-10'!P14</f>
        <v>1038146</v>
      </c>
      <c r="Q14" s="22">
        <f t="shared" si="6"/>
        <v>2663608.1238053003</v>
      </c>
      <c r="R14" s="13">
        <f t="shared" si="7"/>
        <v>1038146</v>
      </c>
      <c r="W14" s="18">
        <f t="shared" si="10"/>
        <v>0.43726084079583766</v>
      </c>
    </row>
    <row r="15" spans="1:23">
      <c r="A15" s="18" t="s">
        <v>37</v>
      </c>
      <c r="B15" s="4">
        <f>'2010-10'!B15</f>
        <v>62.147901133486052</v>
      </c>
      <c r="C15" s="4">
        <f>'2010-10'!C15</f>
        <v>71.579622920369374</v>
      </c>
      <c r="D15" s="16">
        <f t="shared" si="8"/>
        <v>59649.685766974479</v>
      </c>
      <c r="E15" s="4">
        <f>'Interval Circuities'!F15</f>
        <v>1.1960712699174072</v>
      </c>
      <c r="F15" s="4">
        <f t="shared" si="0"/>
        <v>51.960031727689248</v>
      </c>
      <c r="G15" s="4">
        <f t="shared" si="1"/>
        <v>43.300026439741039</v>
      </c>
      <c r="H15" s="4">
        <f t="shared" si="2"/>
        <v>5890.1478435379749</v>
      </c>
      <c r="I15" s="4">
        <f t="shared" si="9"/>
        <v>1078.2087468947925</v>
      </c>
      <c r="J15" s="33">
        <f>'2010-10'!J15</f>
        <v>3463.2347500000001</v>
      </c>
      <c r="K15" s="33">
        <f>'2010-10'!K15</f>
        <v>3734090</v>
      </c>
      <c r="L15" s="22">
        <f t="shared" si="3"/>
        <v>6350808.925406144</v>
      </c>
      <c r="M15" s="22">
        <f t="shared" si="4"/>
        <v>3734090</v>
      </c>
      <c r="N15" s="19" t="s">
        <v>91</v>
      </c>
      <c r="O15" s="4">
        <f t="shared" si="5"/>
        <v>433.40348210585495</v>
      </c>
      <c r="P15" s="13">
        <f>'2010-10'!P15</f>
        <v>1500978</v>
      </c>
      <c r="Q15" s="22">
        <f t="shared" si="6"/>
        <v>2552810.5855076509</v>
      </c>
      <c r="R15" s="13">
        <f t="shared" si="7"/>
        <v>1500978</v>
      </c>
      <c r="W15" s="18">
        <f t="shared" si="10"/>
        <v>0.4019662086345</v>
      </c>
    </row>
    <row r="16" spans="1:23">
      <c r="A16" s="18" t="s">
        <v>79</v>
      </c>
      <c r="B16" s="4">
        <f>'2010-10'!B16</f>
        <v>67.784674216887879</v>
      </c>
      <c r="C16" s="4">
        <f>'2010-10'!C16</f>
        <v>73.484930426832634</v>
      </c>
      <c r="D16" s="16">
        <f t="shared" si="8"/>
        <v>61237.442022360534</v>
      </c>
      <c r="E16" s="4">
        <f>'Interval Circuities'!F16</f>
        <v>1.2372127864425393</v>
      </c>
      <c r="F16" s="4">
        <f t="shared" si="0"/>
        <v>54.788210209009222</v>
      </c>
      <c r="G16" s="4">
        <f t="shared" si="1"/>
        <v>45.656841840841018</v>
      </c>
      <c r="H16" s="4">
        <f t="shared" si="2"/>
        <v>6548.7981911939833</v>
      </c>
      <c r="I16" s="4">
        <f t="shared" si="9"/>
        <v>784.29737505885555</v>
      </c>
      <c r="J16" s="33">
        <f>'2010-10'!J16</f>
        <v>726.68227400000001</v>
      </c>
      <c r="K16" s="33">
        <f>'2010-10'!K16</f>
        <v>569935</v>
      </c>
      <c r="L16" s="22">
        <f t="shared" si="3"/>
        <v>5136205.2311436227</v>
      </c>
      <c r="M16" s="22">
        <f t="shared" si="4"/>
        <v>569935</v>
      </c>
      <c r="N16" s="19" t="s">
        <v>91</v>
      </c>
      <c r="O16" s="4">
        <f t="shared" si="5"/>
        <v>438.1103150453344</v>
      </c>
      <c r="P16" s="13">
        <f>'2010-10'!P16</f>
        <v>318367</v>
      </c>
      <c r="Q16" s="22">
        <f t="shared" si="6"/>
        <v>2869096.038712312</v>
      </c>
      <c r="R16" s="13">
        <f t="shared" si="7"/>
        <v>318367</v>
      </c>
      <c r="W16" s="18">
        <f t="shared" si="10"/>
        <v>0.55860229675313844</v>
      </c>
    </row>
    <row r="17" spans="1:23">
      <c r="A17" s="18" t="s">
        <v>511</v>
      </c>
      <c r="B17" s="4">
        <f>'2010-10'!B17</f>
        <v>64.715366633523445</v>
      </c>
      <c r="C17" s="4">
        <f>'2010-10'!C17</f>
        <v>75.511487142105324</v>
      </c>
      <c r="D17" s="16">
        <f t="shared" si="8"/>
        <v>62926.239285087773</v>
      </c>
      <c r="E17" s="4">
        <f>'Interval Circuities'!F17</f>
        <v>1.3069173513439627</v>
      </c>
      <c r="F17" s="4">
        <f t="shared" si="0"/>
        <v>49.517566330398537</v>
      </c>
      <c r="G17" s="4">
        <f t="shared" si="1"/>
        <v>41.26463860866545</v>
      </c>
      <c r="H17" s="4">
        <f t="shared" si="2"/>
        <v>5349.4109778311795</v>
      </c>
      <c r="I17" s="4">
        <f t="shared" si="9"/>
        <v>1078.4020248075806</v>
      </c>
      <c r="J17" s="33">
        <f>'2010-10'!J17</f>
        <v>1334.9993480000001</v>
      </c>
      <c r="K17" s="33">
        <f>'2010-10'!K17</f>
        <v>1439666</v>
      </c>
      <c r="L17" s="22">
        <f t="shared" si="3"/>
        <v>5768815.6300210431</v>
      </c>
      <c r="M17" s="22">
        <f t="shared" si="4"/>
        <v>1439666</v>
      </c>
      <c r="N17" s="19" t="s">
        <v>91</v>
      </c>
      <c r="O17" s="4">
        <f t="shared" si="5"/>
        <v>444.79197753136282</v>
      </c>
      <c r="P17" s="13">
        <f>'2010-10'!P17</f>
        <v>593797</v>
      </c>
      <c r="Q17" s="22">
        <f t="shared" si="6"/>
        <v>2379375.0874575116</v>
      </c>
      <c r="R17" s="13">
        <f t="shared" si="7"/>
        <v>593797</v>
      </c>
      <c r="W17" s="18">
        <f t="shared" si="10"/>
        <v>0.41245469435271798</v>
      </c>
    </row>
    <row r="18" spans="1:23">
      <c r="A18" s="18" t="s">
        <v>38</v>
      </c>
      <c r="B18" s="4">
        <f>'2010-10'!B18</f>
        <v>63.831016736397409</v>
      </c>
      <c r="C18" s="4">
        <f>'2010-10'!C18</f>
        <v>74.742968134682343</v>
      </c>
      <c r="D18" s="16">
        <f t="shared" si="8"/>
        <v>62285.806778901955</v>
      </c>
      <c r="E18" s="4">
        <f>'Interval Circuities'!F18</f>
        <v>1.2269265395465623</v>
      </c>
      <c r="F18" s="4">
        <f t="shared" si="0"/>
        <v>52.025133273250056</v>
      </c>
      <c r="G18" s="4">
        <f t="shared" si="1"/>
        <v>43.354277727708379</v>
      </c>
      <c r="H18" s="4">
        <f t="shared" si="2"/>
        <v>5904.9168086661375</v>
      </c>
      <c r="I18" s="4">
        <f t="shared" si="9"/>
        <v>691.70595675577363</v>
      </c>
      <c r="J18" s="33">
        <f>'2010-10'!J18</f>
        <v>1337.0695900000001</v>
      </c>
      <c r="K18" s="33">
        <f>'2010-10'!K18</f>
        <v>924859</v>
      </c>
      <c r="L18" s="22">
        <f t="shared" si="3"/>
        <v>4084466.1307016602</v>
      </c>
      <c r="M18" s="22">
        <f t="shared" si="4"/>
        <v>924859</v>
      </c>
      <c r="N18" s="19" t="s">
        <v>91</v>
      </c>
      <c r="O18" s="4">
        <f t="shared" si="5"/>
        <v>395.88290987905873</v>
      </c>
      <c r="P18" s="13">
        <f>'2010-10'!P18</f>
        <v>529323</v>
      </c>
      <c r="Q18" s="22">
        <f t="shared" si="6"/>
        <v>2337655.6488085156</v>
      </c>
      <c r="R18" s="13">
        <f t="shared" si="7"/>
        <v>529323</v>
      </c>
      <c r="W18" s="18">
        <f t="shared" si="10"/>
        <v>0.57232832247942667</v>
      </c>
    </row>
    <row r="19" spans="1:23">
      <c r="A19" s="18" t="s">
        <v>80</v>
      </c>
      <c r="B19" s="4">
        <f>'2010-10'!B19</f>
        <v>54.710932805374171</v>
      </c>
      <c r="C19" s="4">
        <f>'2010-10'!C19</f>
        <v>67.860376115847075</v>
      </c>
      <c r="D19" s="16">
        <f t="shared" si="8"/>
        <v>56550.313429872564</v>
      </c>
      <c r="E19" s="4">
        <f>'Interval Circuities'!F19</f>
        <v>1.4435399462955427</v>
      </c>
      <c r="F19" s="4">
        <f t="shared" si="0"/>
        <v>37.900532607895663</v>
      </c>
      <c r="G19" s="4">
        <f t="shared" si="1"/>
        <v>31.583777173246386</v>
      </c>
      <c r="H19" s="4">
        <f t="shared" si="2"/>
        <v>3133.8485665296216</v>
      </c>
      <c r="I19" s="4">
        <f t="shared" si="9"/>
        <v>1820.7093992818395</v>
      </c>
      <c r="J19" s="33">
        <f>'2010-10'!J19</f>
        <v>440.73974700000002</v>
      </c>
      <c r="K19" s="33">
        <f>'2010-10'!K19</f>
        <v>802459</v>
      </c>
      <c r="L19" s="22">
        <f t="shared" si="3"/>
        <v>5705827.5410064012</v>
      </c>
      <c r="M19" s="22">
        <f t="shared" si="4"/>
        <v>802459</v>
      </c>
      <c r="N19" s="19" t="s">
        <v>91</v>
      </c>
      <c r="O19" s="4">
        <f t="shared" si="5"/>
        <v>762.20491182520914</v>
      </c>
      <c r="P19" s="13">
        <f>'2010-10'!P19</f>
        <v>335934</v>
      </c>
      <c r="Q19" s="22">
        <f t="shared" si="6"/>
        <v>2388634.7703252682</v>
      </c>
      <c r="R19" s="13">
        <f t="shared" si="7"/>
        <v>335934</v>
      </c>
      <c r="W19" s="18">
        <f t="shared" si="10"/>
        <v>0.41863073378203747</v>
      </c>
    </row>
    <row r="20" spans="1:23">
      <c r="A20" s="18" t="s">
        <v>39</v>
      </c>
      <c r="B20" s="4">
        <f>'2010-10'!B20</f>
        <v>66.693022833822994</v>
      </c>
      <c r="C20" s="4">
        <f>'2010-10'!C20</f>
        <v>78.916174325560149</v>
      </c>
      <c r="D20" s="16">
        <f t="shared" si="8"/>
        <v>65763.478604633463</v>
      </c>
      <c r="E20" s="4">
        <f>'Interval Circuities'!F20</f>
        <v>1.2654610127146704</v>
      </c>
      <c r="F20" s="4">
        <f t="shared" si="0"/>
        <v>52.702550425281729</v>
      </c>
      <c r="G20" s="4">
        <f t="shared" si="1"/>
        <v>43.918792021068107</v>
      </c>
      <c r="H20" s="4">
        <f t="shared" si="2"/>
        <v>6059.6933250012862</v>
      </c>
      <c r="I20" s="4">
        <f t="shared" si="9"/>
        <v>1149.9995031423985</v>
      </c>
      <c r="J20" s="33">
        <f>'2010-10'!J20</f>
        <v>4299.4209879999999</v>
      </c>
      <c r="K20" s="33">
        <f>'2010-10'!K20</f>
        <v>4944332</v>
      </c>
      <c r="L20" s="22">
        <f t="shared" si="3"/>
        <v>6968644.312946788</v>
      </c>
      <c r="M20" s="22">
        <f t="shared" si="4"/>
        <v>4944332</v>
      </c>
      <c r="N20" s="19" t="s">
        <v>91</v>
      </c>
      <c r="O20" s="4">
        <f t="shared" si="5"/>
        <v>506.24654019109983</v>
      </c>
      <c r="P20" s="13">
        <f>'2010-10'!P20</f>
        <v>2176567</v>
      </c>
      <c r="Q20" s="22">
        <f t="shared" si="6"/>
        <v>3067698.7804010031</v>
      </c>
      <c r="R20" s="13">
        <f t="shared" si="7"/>
        <v>2176567</v>
      </c>
      <c r="W20" s="18">
        <f t="shared" si="10"/>
        <v>0.44021457296961453</v>
      </c>
    </row>
    <row r="21" spans="1:23">
      <c r="A21" s="18" t="s">
        <v>40</v>
      </c>
      <c r="B21" s="4">
        <f>'2010-10'!B21</f>
        <v>62.662263546111326</v>
      </c>
      <c r="C21" s="4">
        <f>'2010-10'!C21</f>
        <v>72.333701669204501</v>
      </c>
      <c r="D21" s="16">
        <f t="shared" si="8"/>
        <v>60278.084724337081</v>
      </c>
      <c r="E21" s="4">
        <f>'Interval Circuities'!F21</f>
        <v>1.2032297568764418</v>
      </c>
      <c r="F21" s="4">
        <f t="shared" si="0"/>
        <v>52.078385851079013</v>
      </c>
      <c r="G21" s="4">
        <f t="shared" si="1"/>
        <v>43.398654875899176</v>
      </c>
      <c r="H21" s="4">
        <f t="shared" si="2"/>
        <v>5917.0114620628392</v>
      </c>
      <c r="I21" s="4">
        <f t="shared" si="9"/>
        <v>813.78264340099747</v>
      </c>
      <c r="J21" s="33">
        <f>'2010-10'!J21</f>
        <v>1827.8627739999999</v>
      </c>
      <c r="K21" s="33">
        <f>'2010-10'!K21</f>
        <v>1487483</v>
      </c>
      <c r="L21" s="22">
        <f t="shared" si="3"/>
        <v>4815161.2286314983</v>
      </c>
      <c r="M21" s="22">
        <f t="shared" si="4"/>
        <v>1487483</v>
      </c>
      <c r="N21" s="19" t="s">
        <v>91</v>
      </c>
      <c r="O21" s="4">
        <f t="shared" si="5"/>
        <v>406.44134262564722</v>
      </c>
      <c r="P21" s="13">
        <f>'2010-10'!P21</f>
        <v>742919</v>
      </c>
      <c r="Q21" s="22">
        <f t="shared" si="6"/>
        <v>2404918.0829721643</v>
      </c>
      <c r="R21" s="13">
        <f t="shared" si="7"/>
        <v>742919</v>
      </c>
      <c r="W21" s="18">
        <f t="shared" si="10"/>
        <v>0.49944705250412941</v>
      </c>
    </row>
    <row r="22" spans="1:23" ht="16">
      <c r="A22" s="18" t="s">
        <v>118</v>
      </c>
      <c r="B22" s="4">
        <f>'2010-10'!B22</f>
        <v>72.107428140171564</v>
      </c>
      <c r="C22" s="4">
        <f>'2010-10'!C22</f>
        <v>84.099901925483479</v>
      </c>
      <c r="D22" s="16">
        <f t="shared" si="8"/>
        <v>70083.251604569567</v>
      </c>
      <c r="E22" s="4">
        <f>'Interval Circuities'!F22</f>
        <v>1.3524307658097707</v>
      </c>
      <c r="F22" s="4">
        <f t="shared" si="0"/>
        <v>53.316909052270113</v>
      </c>
      <c r="G22" s="4">
        <f t="shared" si="1"/>
        <v>44.430757543558428</v>
      </c>
      <c r="H22" s="4">
        <f t="shared" si="2"/>
        <v>6201.7936029628763</v>
      </c>
      <c r="I22" s="4">
        <f t="shared" si="9"/>
        <v>1369.2709398652264</v>
      </c>
      <c r="J22" s="33">
        <f>'2010-10'!J22</f>
        <v>1411.4562309999999</v>
      </c>
      <c r="K22" s="33">
        <f>'2010-10'!K22</f>
        <v>1932666</v>
      </c>
      <c r="L22" s="22">
        <f t="shared" si="3"/>
        <v>8491935.755579127</v>
      </c>
      <c r="M22" s="22">
        <f t="shared" si="4"/>
        <v>1932666</v>
      </c>
      <c r="N22" s="19" t="s">
        <v>91</v>
      </c>
      <c r="O22" s="4">
        <f t="shared" si="5"/>
        <v>678.25411725430968</v>
      </c>
      <c r="P22" s="13">
        <f>'2010-10'!P22</f>
        <v>957326</v>
      </c>
      <c r="Q22" s="22">
        <f t="shared" si="6"/>
        <v>4206392.0455710106</v>
      </c>
      <c r="R22" s="13">
        <f t="shared" si="7"/>
        <v>957326</v>
      </c>
      <c r="W22" s="18">
        <f t="shared" si="10"/>
        <v>0.49533959825443191</v>
      </c>
    </row>
    <row r="23" spans="1:23">
      <c r="A23" s="18" t="s">
        <v>41</v>
      </c>
      <c r="B23" s="4">
        <f>'2010-10'!B23</f>
        <v>69.127068300037649</v>
      </c>
      <c r="C23" s="4">
        <f>'2010-10'!C23</f>
        <v>78.497147187767681</v>
      </c>
      <c r="D23" s="16">
        <f t="shared" si="8"/>
        <v>65414.289323139739</v>
      </c>
      <c r="E23" s="4">
        <f>'Interval Circuities'!F23</f>
        <v>1.3025038256942751</v>
      </c>
      <c r="F23" s="4">
        <f t="shared" si="0"/>
        <v>53.072449336715586</v>
      </c>
      <c r="G23" s="4">
        <f t="shared" si="1"/>
        <v>44.227041113929658</v>
      </c>
      <c r="H23" s="4">
        <f t="shared" si="2"/>
        <v>6145.053140334513</v>
      </c>
      <c r="I23" s="4">
        <f t="shared" si="9"/>
        <v>775.48585132918799</v>
      </c>
      <c r="J23" s="33">
        <f>'2010-10'!J23</f>
        <v>1373.6150029999999</v>
      </c>
      <c r="K23" s="33">
        <f>'2010-10'!K23</f>
        <v>1065219</v>
      </c>
      <c r="L23" s="22">
        <f t="shared" si="3"/>
        <v>4765401.7659954103</v>
      </c>
      <c r="M23" s="22">
        <f t="shared" si="4"/>
        <v>1065219</v>
      </c>
      <c r="N23" s="19" t="s">
        <v>91</v>
      </c>
      <c r="O23" s="4">
        <f t="shared" si="5"/>
        <v>626.55110647477409</v>
      </c>
      <c r="P23" s="13">
        <f>'2010-10'!P23</f>
        <v>860640</v>
      </c>
      <c r="Q23" s="22">
        <f t="shared" si="6"/>
        <v>3850189.8444228745</v>
      </c>
      <c r="R23" s="13">
        <f t="shared" si="7"/>
        <v>860640</v>
      </c>
      <c r="W23" s="18">
        <f t="shared" si="10"/>
        <v>0.80794653493788604</v>
      </c>
    </row>
    <row r="24" spans="1:23">
      <c r="A24" s="18" t="s">
        <v>74</v>
      </c>
      <c r="B24" s="4">
        <f>'2010-10'!B24</f>
        <v>67.812288769795572</v>
      </c>
      <c r="C24" s="4">
        <f>'2010-10'!C24</f>
        <v>74.592726606374868</v>
      </c>
      <c r="D24" s="16">
        <f t="shared" si="8"/>
        <v>62160.605505312393</v>
      </c>
      <c r="E24" s="4">
        <f>'Interval Circuities'!F24</f>
        <v>1.2489204814532937</v>
      </c>
      <c r="F24" s="4">
        <f t="shared" si="0"/>
        <v>54.296722470982687</v>
      </c>
      <c r="G24" s="4">
        <f t="shared" si="1"/>
        <v>45.247268725818905</v>
      </c>
      <c r="H24" s="4">
        <f t="shared" si="2"/>
        <v>6431.8307913451326</v>
      </c>
      <c r="I24" s="4">
        <f t="shared" si="9"/>
        <v>865.47479649931279</v>
      </c>
      <c r="J24" s="33">
        <f>'2010-10'!J24</f>
        <v>1755.5878070000001</v>
      </c>
      <c r="K24" s="33">
        <f>'2010-10'!K24</f>
        <v>1519417</v>
      </c>
      <c r="L24" s="22">
        <f t="shared" si="3"/>
        <v>5566587.445257443</v>
      </c>
      <c r="M24" s="22">
        <f t="shared" si="4"/>
        <v>1519417</v>
      </c>
      <c r="N24" s="19" t="s">
        <v>91</v>
      </c>
      <c r="O24" s="4">
        <f t="shared" si="5"/>
        <v>528.94933326453656</v>
      </c>
      <c r="P24" s="13">
        <f>'2010-10'!P24</f>
        <v>928617</v>
      </c>
      <c r="Q24" s="22">
        <f t="shared" si="6"/>
        <v>3402112.6087523247</v>
      </c>
      <c r="R24" s="13">
        <f t="shared" si="7"/>
        <v>928617</v>
      </c>
      <c r="W24" s="18">
        <f t="shared" si="10"/>
        <v>0.61116665141959059</v>
      </c>
    </row>
    <row r="25" spans="1:23">
      <c r="A25" s="18" t="s">
        <v>62</v>
      </c>
      <c r="B25" s="4">
        <f>'2010-10'!B25</f>
        <v>62.454008275887581</v>
      </c>
      <c r="C25" s="4">
        <f>'2010-10'!C25</f>
        <v>72.980903634295757</v>
      </c>
      <c r="D25" s="16">
        <f t="shared" si="8"/>
        <v>60817.419695246463</v>
      </c>
      <c r="E25" s="4">
        <f>'Interval Circuities'!F25</f>
        <v>1.3166391133124675</v>
      </c>
      <c r="F25" s="4">
        <f t="shared" si="0"/>
        <v>47.434416647977756</v>
      </c>
      <c r="G25" s="4">
        <f t="shared" si="1"/>
        <v>39.528680539981465</v>
      </c>
      <c r="H25" s="4">
        <f t="shared" si="2"/>
        <v>4908.7906252767762</v>
      </c>
      <c r="I25" s="4">
        <f t="shared" si="9"/>
        <v>1746.9193703498715</v>
      </c>
      <c r="J25" s="33">
        <f>'2010-10'!J25</f>
        <v>1079.621093</v>
      </c>
      <c r="K25" s="33">
        <f>'2010-10'!K25</f>
        <v>1886011</v>
      </c>
      <c r="L25" s="22">
        <f t="shared" si="3"/>
        <v>8575261.4282878581</v>
      </c>
      <c r="M25" s="22">
        <f t="shared" si="4"/>
        <v>1886011</v>
      </c>
      <c r="N25" s="19" t="s">
        <v>91</v>
      </c>
      <c r="O25" s="4">
        <f t="shared" si="5"/>
        <v>677.90079755323939</v>
      </c>
      <c r="P25" s="13">
        <f>'2010-10'!P25</f>
        <v>731876</v>
      </c>
      <c r="Q25" s="22">
        <f t="shared" si="6"/>
        <v>3327673.0798969911</v>
      </c>
      <c r="R25" s="13">
        <f t="shared" si="7"/>
        <v>731876</v>
      </c>
      <c r="W25" s="18">
        <f t="shared" si="10"/>
        <v>0.38805500073965632</v>
      </c>
    </row>
    <row r="26" spans="1:23" ht="16">
      <c r="A26" s="18" t="s">
        <v>119</v>
      </c>
      <c r="B26" s="4">
        <f>'2010-10'!B26</f>
        <v>67.712654237264687</v>
      </c>
      <c r="C26" s="4">
        <f>'2010-10'!C26</f>
        <v>83.333789923093292</v>
      </c>
      <c r="D26" s="16">
        <f t="shared" si="8"/>
        <v>69444.824935911092</v>
      </c>
      <c r="E26" s="4">
        <f>'Interval Circuities'!F26</f>
        <v>1.2373045629983925</v>
      </c>
      <c r="F26" s="4">
        <f t="shared" si="0"/>
        <v>54.725939160181255</v>
      </c>
      <c r="G26" s="4">
        <f t="shared" si="1"/>
        <v>45.604949300151048</v>
      </c>
      <c r="H26" s="4">
        <f t="shared" si="2"/>
        <v>6533.9202171951201</v>
      </c>
      <c r="I26" s="4">
        <f t="shared" si="9"/>
        <v>2702.4637693066888</v>
      </c>
      <c r="J26" s="33">
        <f>'2010-10'!J26</f>
        <v>4496.2660139999998</v>
      </c>
      <c r="K26" s="33">
        <f>'2010-10'!K26</f>
        <v>12150996</v>
      </c>
      <c r="L26" s="22">
        <f t="shared" si="3"/>
        <v>17657682.658510305</v>
      </c>
      <c r="M26" s="22">
        <f t="shared" si="4"/>
        <v>12150996</v>
      </c>
      <c r="N26" s="19" t="s">
        <v>91</v>
      </c>
      <c r="O26" s="4">
        <f t="shared" si="5"/>
        <v>1079.1963787042962</v>
      </c>
      <c r="P26" s="13">
        <f>'2010-10'!P26</f>
        <v>4852354</v>
      </c>
      <c r="Q26" s="22">
        <f t="shared" si="6"/>
        <v>7051383.0371397622</v>
      </c>
      <c r="R26" s="13">
        <f t="shared" si="7"/>
        <v>4852354</v>
      </c>
      <c r="W26" s="18">
        <f t="shared" si="10"/>
        <v>0.39933796373564762</v>
      </c>
    </row>
    <row r="27" spans="1:23">
      <c r="A27" s="18" t="s">
        <v>42</v>
      </c>
      <c r="B27" s="4">
        <f>'2010-10'!B27</f>
        <v>69.762390899595417</v>
      </c>
      <c r="C27" s="4">
        <f>'2010-10'!C27</f>
        <v>80.633405227489121</v>
      </c>
      <c r="D27" s="16">
        <f t="shared" si="8"/>
        <v>67194.504356240941</v>
      </c>
      <c r="E27" s="4">
        <f>'Interval Circuities'!F27</f>
        <v>1.3072061245298374</v>
      </c>
      <c r="F27" s="4">
        <f t="shared" si="0"/>
        <v>53.367552056632874</v>
      </c>
      <c r="G27" s="4">
        <f t="shared" si="1"/>
        <v>44.472960047194064</v>
      </c>
      <c r="H27" s="4">
        <f t="shared" si="2"/>
        <v>6213.5807312542001</v>
      </c>
      <c r="I27" s="4">
        <f t="shared" si="9"/>
        <v>787.6776339629688</v>
      </c>
      <c r="J27" s="33">
        <f>'2010-10'!J27</f>
        <v>1234.70054</v>
      </c>
      <c r="K27" s="33">
        <f>'2010-10'!K27</f>
        <v>972546</v>
      </c>
      <c r="L27" s="22">
        <f t="shared" si="3"/>
        <v>4894298.5688322019</v>
      </c>
      <c r="M27" s="22">
        <f t="shared" si="4"/>
        <v>972546</v>
      </c>
      <c r="N27" s="19" t="s">
        <v>91</v>
      </c>
      <c r="O27" s="4">
        <f t="shared" si="5"/>
        <v>417.10518730314965</v>
      </c>
      <c r="P27" s="13">
        <f>'2010-10'!P27</f>
        <v>515000</v>
      </c>
      <c r="Q27" s="22">
        <f t="shared" si="6"/>
        <v>2591716.7547330246</v>
      </c>
      <c r="R27" s="13">
        <f t="shared" si="7"/>
        <v>515000</v>
      </c>
      <c r="W27" s="18">
        <f t="shared" si="10"/>
        <v>0.52953793445245778</v>
      </c>
    </row>
    <row r="28" spans="1:23">
      <c r="A28" s="18" t="s">
        <v>43</v>
      </c>
      <c r="B28" s="4">
        <f>'2010-10'!B28</f>
        <v>66.011797525453602</v>
      </c>
      <c r="C28" s="4">
        <f>'2010-10'!C28</f>
        <v>76.864865322833012</v>
      </c>
      <c r="D28" s="16">
        <f t="shared" si="8"/>
        <v>64054.054435694183</v>
      </c>
      <c r="E28" s="4">
        <f>'Interval Circuities'!F28</f>
        <v>1.2518208107538271</v>
      </c>
      <c r="F28" s="4">
        <f t="shared" si="0"/>
        <v>52.73262511565239</v>
      </c>
      <c r="G28" s="4">
        <f t="shared" si="1"/>
        <v>43.943854263043661</v>
      </c>
      <c r="H28" s="4">
        <f t="shared" si="2"/>
        <v>6066.6112216716829</v>
      </c>
      <c r="I28" s="4">
        <f t="shared" si="9"/>
        <v>823.01437699234145</v>
      </c>
      <c r="J28" s="33">
        <f>'2010-10'!J28</f>
        <v>1288.022457</v>
      </c>
      <c r="K28" s="33">
        <f>'2010-10'!K28</f>
        <v>1060061</v>
      </c>
      <c r="L28" s="22">
        <f t="shared" si="3"/>
        <v>4992908.2550588679</v>
      </c>
      <c r="M28" s="22">
        <f t="shared" si="4"/>
        <v>1060061</v>
      </c>
      <c r="N28" s="19" t="s">
        <v>91</v>
      </c>
      <c r="O28" s="4">
        <f t="shared" si="5"/>
        <v>395.30832496967867</v>
      </c>
      <c r="P28" s="13">
        <f>'2010-10'!P28</f>
        <v>509166</v>
      </c>
      <c r="Q28" s="22">
        <f t="shared" si="6"/>
        <v>2398181.9202812887</v>
      </c>
      <c r="R28" s="13">
        <f t="shared" si="7"/>
        <v>509166</v>
      </c>
      <c r="W28" s="18">
        <f t="shared" si="10"/>
        <v>0.48031764209795469</v>
      </c>
    </row>
    <row r="29" spans="1:23">
      <c r="A29" s="18" t="s">
        <v>44</v>
      </c>
      <c r="B29" s="4">
        <f>'2010-10'!B29</f>
        <v>66.575024815111192</v>
      </c>
      <c r="C29" s="4">
        <f>'2010-10'!C29</f>
        <v>73.723640962925515</v>
      </c>
      <c r="D29" s="16">
        <f t="shared" si="8"/>
        <v>61436.367469104596</v>
      </c>
      <c r="E29" s="4">
        <f>'Interval Circuities'!F29</f>
        <v>1.1682466585186182</v>
      </c>
      <c r="F29" s="4">
        <f t="shared" si="0"/>
        <v>56.987130525612535</v>
      </c>
      <c r="G29" s="4">
        <f t="shared" si="1"/>
        <v>47.489275438010445</v>
      </c>
      <c r="H29" s="4">
        <f t="shared" si="2"/>
        <v>7085.0180265059744</v>
      </c>
      <c r="I29" s="4">
        <f t="shared" si="9"/>
        <v>974.04787636700348</v>
      </c>
      <c r="J29" s="33">
        <f>'2010-10'!J29</f>
        <v>1413.1502499999999</v>
      </c>
      <c r="K29" s="33">
        <f>'2010-10'!K29</f>
        <v>1376476</v>
      </c>
      <c r="L29" s="22">
        <f t="shared" si="3"/>
        <v>6901146.7627400821</v>
      </c>
      <c r="M29" s="22">
        <f t="shared" si="4"/>
        <v>1376476</v>
      </c>
      <c r="N29" s="19" t="s">
        <v>91</v>
      </c>
      <c r="O29" s="4">
        <f t="shared" si="5"/>
        <v>521.72725440907652</v>
      </c>
      <c r="P29" s="13">
        <f>'2010-10'!P29</f>
        <v>737279</v>
      </c>
      <c r="Q29" s="22">
        <f t="shared" si="6"/>
        <v>3696447.0024077757</v>
      </c>
      <c r="R29" s="13">
        <f t="shared" si="7"/>
        <v>737279</v>
      </c>
      <c r="W29" s="18">
        <f t="shared" si="10"/>
        <v>0.53562793684742782</v>
      </c>
    </row>
    <row r="30" spans="1:23">
      <c r="A30" s="18" t="s">
        <v>45</v>
      </c>
      <c r="B30" s="4">
        <f>'2010-10'!B30</f>
        <v>72.35417413894163</v>
      </c>
      <c r="C30" s="4">
        <f>'2010-10'!C30</f>
        <v>80.92665935101023</v>
      </c>
      <c r="D30" s="16">
        <f t="shared" si="8"/>
        <v>67438.882792508521</v>
      </c>
      <c r="E30" s="4">
        <f>'Interval Circuities'!F30</f>
        <v>1.2342826281339614</v>
      </c>
      <c r="F30" s="4">
        <f t="shared" si="0"/>
        <v>58.620426545522733</v>
      </c>
      <c r="G30" s="4">
        <f t="shared" si="1"/>
        <v>48.85035545460228</v>
      </c>
      <c r="H30" s="4">
        <f t="shared" si="2"/>
        <v>7496.9623364544796</v>
      </c>
      <c r="I30" s="4">
        <f t="shared" si="9"/>
        <v>1001.6752173390063</v>
      </c>
      <c r="J30" s="33">
        <f>'2010-10'!J30</f>
        <v>2646.4566100000002</v>
      </c>
      <c r="K30" s="33">
        <f>'2010-10'!K30</f>
        <v>2650890</v>
      </c>
      <c r="L30" s="22">
        <f t="shared" si="3"/>
        <v>7509521.3777503856</v>
      </c>
      <c r="M30" s="22">
        <f t="shared" si="4"/>
        <v>2650890</v>
      </c>
      <c r="N30" s="19" t="s">
        <v>91</v>
      </c>
      <c r="O30" s="4">
        <f t="shared" si="5"/>
        <v>594.14576987906855</v>
      </c>
      <c r="P30" s="13">
        <f>'2010-10'!P30</f>
        <v>1572381</v>
      </c>
      <c r="Q30" s="22">
        <f t="shared" si="6"/>
        <v>4454288.4591471273</v>
      </c>
      <c r="R30" s="13">
        <f t="shared" si="7"/>
        <v>1572381</v>
      </c>
      <c r="W30" s="18">
        <f t="shared" si="10"/>
        <v>0.59315211117775535</v>
      </c>
    </row>
    <row r="31" spans="1:23">
      <c r="A31" s="18" t="s">
        <v>46</v>
      </c>
      <c r="B31" s="4">
        <f>'2010-10'!B31</f>
        <v>66.509434242873198</v>
      </c>
      <c r="C31" s="4">
        <f>'2010-10'!C31</f>
        <v>79.192244463512992</v>
      </c>
      <c r="D31" s="16">
        <f t="shared" si="8"/>
        <v>65993.537052927495</v>
      </c>
      <c r="E31" s="4">
        <f>'Interval Circuities'!F31</f>
        <v>1.2809747773730242</v>
      </c>
      <c r="F31" s="4">
        <f t="shared" si="0"/>
        <v>51.920955367496219</v>
      </c>
      <c r="G31" s="4">
        <f t="shared" si="1"/>
        <v>43.267462806246854</v>
      </c>
      <c r="H31" s="4">
        <f t="shared" si="2"/>
        <v>5881.2918446680869</v>
      </c>
      <c r="I31" s="4">
        <f t="shared" si="9"/>
        <v>664.38482730522799</v>
      </c>
      <c r="J31" s="33">
        <f>'2010-10'!J31</f>
        <v>1459.375591</v>
      </c>
      <c r="K31" s="33">
        <f>'2010-10'!K31</f>
        <v>969587</v>
      </c>
      <c r="L31" s="22">
        <f t="shared" si="3"/>
        <v>3907441.0665514525</v>
      </c>
      <c r="M31" s="22">
        <f t="shared" si="4"/>
        <v>969587</v>
      </c>
      <c r="N31" s="19" t="s">
        <v>91</v>
      </c>
      <c r="O31" s="4">
        <f t="shared" si="5"/>
        <v>447.40709932841406</v>
      </c>
      <c r="P31" s="13">
        <f>'2010-10'!P31</f>
        <v>652935</v>
      </c>
      <c r="Q31" s="22">
        <f t="shared" si="6"/>
        <v>2631331.7245268063</v>
      </c>
      <c r="R31" s="13">
        <f t="shared" si="7"/>
        <v>652935</v>
      </c>
      <c r="W31" s="18">
        <f t="shared" si="10"/>
        <v>0.67341558828655912</v>
      </c>
    </row>
    <row r="32" spans="1:23">
      <c r="A32" s="18" t="s">
        <v>47</v>
      </c>
      <c r="B32" s="4">
        <f>'2010-10'!B32</f>
        <v>70.113916315490926</v>
      </c>
      <c r="C32" s="4">
        <f>'2010-10'!C32</f>
        <v>78.214496785983556</v>
      </c>
      <c r="D32" s="16">
        <f t="shared" si="8"/>
        <v>65178.747321652962</v>
      </c>
      <c r="E32" s="4">
        <f>'Interval Circuities'!F32</f>
        <v>1.3343557809401991</v>
      </c>
      <c r="F32" s="4">
        <f t="shared" si="0"/>
        <v>52.545143744262887</v>
      </c>
      <c r="G32" s="4">
        <f t="shared" si="1"/>
        <v>43.787619786885742</v>
      </c>
      <c r="H32" s="4">
        <f t="shared" si="2"/>
        <v>6023.5504136801937</v>
      </c>
      <c r="I32" s="4">
        <f t="shared" si="9"/>
        <v>1381.8089483990395</v>
      </c>
      <c r="J32" s="33">
        <f>'2010-10'!J32</f>
        <v>651.10520599999995</v>
      </c>
      <c r="K32" s="33">
        <f>'2010-10'!K32</f>
        <v>899703</v>
      </c>
      <c r="L32" s="22">
        <f t="shared" si="3"/>
        <v>8323395.8627560278</v>
      </c>
      <c r="M32" s="22">
        <f t="shared" si="4"/>
        <v>899703</v>
      </c>
      <c r="N32" s="19" t="s">
        <v>91</v>
      </c>
      <c r="O32" s="4">
        <f t="shared" si="5"/>
        <v>685.12276647347221</v>
      </c>
      <c r="P32" s="13">
        <f>'2010-10'!P32</f>
        <v>446087</v>
      </c>
      <c r="Q32" s="22">
        <f t="shared" si="6"/>
        <v>4126871.5234130025</v>
      </c>
      <c r="R32" s="13">
        <f t="shared" si="7"/>
        <v>446087</v>
      </c>
      <c r="W32" s="18">
        <f t="shared" si="10"/>
        <v>0.49581584144990076</v>
      </c>
    </row>
    <row r="33" spans="1:23">
      <c r="A33" s="18" t="s">
        <v>64</v>
      </c>
      <c r="B33" s="4">
        <f>'2010-10'!B33</f>
        <v>60.636060061572778</v>
      </c>
      <c r="C33" s="4">
        <f>'2010-10'!C33</f>
        <v>75.646262173189555</v>
      </c>
      <c r="D33" s="16">
        <f t="shared" si="8"/>
        <v>63038.551810991303</v>
      </c>
      <c r="E33" s="4">
        <f>'Interval Circuities'!F33</f>
        <v>1.2136941168258051</v>
      </c>
      <c r="F33" s="4">
        <f t="shared" si="0"/>
        <v>49.959919242383165</v>
      </c>
      <c r="G33" s="4">
        <f t="shared" si="1"/>
        <v>41.633266035319309</v>
      </c>
      <c r="H33" s="4">
        <f t="shared" si="2"/>
        <v>5445.4131524110317</v>
      </c>
      <c r="I33" s="4">
        <f t="shared" si="9"/>
        <v>2053.6406982836411</v>
      </c>
      <c r="J33" s="33">
        <f>'2010-10'!J33</f>
        <v>8935.9813599999998</v>
      </c>
      <c r="K33" s="33">
        <f>'2010-10'!K33</f>
        <v>18351295</v>
      </c>
      <c r="L33" s="22">
        <f t="shared" si="3"/>
        <v>11182922.068760315</v>
      </c>
      <c r="M33" s="22">
        <f t="shared" si="4"/>
        <v>11182922.068760315</v>
      </c>
      <c r="N33" s="19" t="s">
        <v>91</v>
      </c>
      <c r="O33" s="4">
        <f t="shared" si="5"/>
        <v>813.93354652208006</v>
      </c>
      <c r="P33" s="13">
        <f>'2010-10'!P33</f>
        <v>7273295</v>
      </c>
      <c r="Q33" s="22">
        <f t="shared" si="6"/>
        <v>4432204.4394198908</v>
      </c>
      <c r="R33" s="13">
        <f t="shared" si="7"/>
        <v>4432204.4394198908</v>
      </c>
      <c r="W33" s="18">
        <f t="shared" si="10"/>
        <v>0.39633687976788556</v>
      </c>
    </row>
    <row r="34" spans="1:23">
      <c r="A34" s="18" t="s">
        <v>65</v>
      </c>
      <c r="B34" s="4">
        <f>'2010-10'!B34</f>
        <v>62.746727907823015</v>
      </c>
      <c r="C34" s="4">
        <f>'2010-10'!C34</f>
        <v>70.343795554466837</v>
      </c>
      <c r="D34" s="16">
        <f t="shared" si="8"/>
        <v>58619.829628722364</v>
      </c>
      <c r="E34" s="4">
        <f>'Interval Circuities'!F34</f>
        <v>1.243847517949237</v>
      </c>
      <c r="F34" s="4">
        <f t="shared" si="0"/>
        <v>50.445675215299012</v>
      </c>
      <c r="G34" s="4">
        <f t="shared" si="1"/>
        <v>42.038062679415845</v>
      </c>
      <c r="H34" s="4">
        <f t="shared" si="2"/>
        <v>5551.8184968283476</v>
      </c>
      <c r="I34" s="4">
        <f t="shared" si="9"/>
        <v>810.03967977262835</v>
      </c>
      <c r="J34" s="33">
        <f>'2010-10'!J34</f>
        <v>1063.53432</v>
      </c>
      <c r="K34" s="33">
        <f>'2010-10'!K34</f>
        <v>861505</v>
      </c>
      <c r="L34" s="22">
        <f t="shared" si="3"/>
        <v>4497193.2773265895</v>
      </c>
      <c r="M34" s="22">
        <f t="shared" si="4"/>
        <v>861505</v>
      </c>
      <c r="N34" s="19" t="s">
        <v>91</v>
      </c>
      <c r="O34" s="4">
        <f t="shared" si="5"/>
        <v>425.70699552037024</v>
      </c>
      <c r="P34" s="13">
        <f>'2010-10'!P34</f>
        <v>452754</v>
      </c>
      <c r="Q34" s="22">
        <f t="shared" si="6"/>
        <v>2363447.9719592142</v>
      </c>
      <c r="R34" s="13">
        <f t="shared" si="7"/>
        <v>452754</v>
      </c>
      <c r="W34" s="18">
        <f t="shared" si="10"/>
        <v>0.52553844725219245</v>
      </c>
    </row>
    <row r="35" spans="1:23">
      <c r="A35" s="18" t="s">
        <v>48</v>
      </c>
      <c r="B35" s="4">
        <f>'2010-10'!B35</f>
        <v>63.67703994300269</v>
      </c>
      <c r="C35" s="4">
        <f>'2010-10'!C35</f>
        <v>76.278541762827089</v>
      </c>
      <c r="D35" s="16">
        <f t="shared" si="8"/>
        <v>63565.451469022577</v>
      </c>
      <c r="E35" s="4">
        <f>'Interval Circuities'!F35</f>
        <v>1.3227647345428062</v>
      </c>
      <c r="F35" s="4">
        <f t="shared" ref="F35:F53" si="11">B35/E35</f>
        <v>48.139354096865688</v>
      </c>
      <c r="G35" s="4">
        <f t="shared" ref="G35:G53" si="12">F35*$A$1</f>
        <v>40.116128414054742</v>
      </c>
      <c r="H35" s="4">
        <f t="shared" ref="H35:H53" si="13">PI()*G35^2</f>
        <v>5055.7768664581336</v>
      </c>
      <c r="I35" s="4">
        <f t="shared" si="9"/>
        <v>975.7775860793671</v>
      </c>
      <c r="J35" s="33">
        <f>'2010-10'!J35</f>
        <v>1548.012602</v>
      </c>
      <c r="K35" s="33">
        <f>'2010-10'!K35</f>
        <v>1510516</v>
      </c>
      <c r="L35" s="22">
        <f t="shared" ref="L35:L53" si="14">H35*I35</f>
        <v>4933313.7465084242</v>
      </c>
      <c r="M35" s="22">
        <f t="shared" ref="M35:M53" si="15">MIN(K35,L35)</f>
        <v>1510516</v>
      </c>
      <c r="N35" s="19" t="s">
        <v>91</v>
      </c>
      <c r="O35" s="4">
        <f t="shared" ref="O35:O53" si="16">P35/J35</f>
        <v>552.87922003622032</v>
      </c>
      <c r="P35" s="13">
        <f>'2010-10'!P35</f>
        <v>855864</v>
      </c>
      <c r="Q35" s="22">
        <f t="shared" ref="Q35:Q53" si="17">H35*O35</f>
        <v>2795233.9706045389</v>
      </c>
      <c r="R35" s="13">
        <f t="shared" ref="R35:R53" si="18">MIN(Q35,P35)</f>
        <v>855864</v>
      </c>
      <c r="W35" s="18">
        <f t="shared" si="10"/>
        <v>0.56660373011606624</v>
      </c>
    </row>
    <row r="36" spans="1:23">
      <c r="A36" s="18" t="s">
        <v>66</v>
      </c>
      <c r="B36" s="4">
        <f>'2010-10'!B36</f>
        <v>57.583198277252201</v>
      </c>
      <c r="C36" s="4">
        <f>'2010-10'!C36</f>
        <v>70.0901022214275</v>
      </c>
      <c r="D36" s="16">
        <f t="shared" si="8"/>
        <v>58408.418517856255</v>
      </c>
      <c r="E36" s="4">
        <f>'Interval Circuities'!F36</f>
        <v>1.1733077141049333</v>
      </c>
      <c r="F36" s="4">
        <f t="shared" si="11"/>
        <v>49.077661030448418</v>
      </c>
      <c r="G36" s="4">
        <f t="shared" si="12"/>
        <v>40.898050858707016</v>
      </c>
      <c r="H36" s="4">
        <f t="shared" si="13"/>
        <v>5254.7867240152409</v>
      </c>
      <c r="I36" s="4">
        <f t="shared" si="9"/>
        <v>1060.3784681288619</v>
      </c>
      <c r="J36" s="33">
        <f>'2010-10'!J36</f>
        <v>5131.7215159999996</v>
      </c>
      <c r="K36" s="33">
        <f>'2010-10'!K36</f>
        <v>5441567</v>
      </c>
      <c r="L36" s="22">
        <f t="shared" si="14"/>
        <v>5572062.6967551615</v>
      </c>
      <c r="M36" s="22">
        <f t="shared" si="15"/>
        <v>5441567</v>
      </c>
      <c r="N36" s="19" t="s">
        <v>91</v>
      </c>
      <c r="O36" s="4">
        <f t="shared" si="16"/>
        <v>471.88667437424527</v>
      </c>
      <c r="P36" s="13">
        <f>'2010-10'!P36</f>
        <v>2421591</v>
      </c>
      <c r="Q36" s="22">
        <f t="shared" si="17"/>
        <v>2479663.8317414871</v>
      </c>
      <c r="R36" s="13">
        <f t="shared" si="18"/>
        <v>2421591</v>
      </c>
      <c r="W36" s="18">
        <f t="shared" si="10"/>
        <v>0.44501721654810095</v>
      </c>
    </row>
    <row r="37" spans="1:23">
      <c r="A37" s="18" t="s">
        <v>49</v>
      </c>
      <c r="B37" s="4">
        <f>'2010-10'!B37</f>
        <v>65.523113774601583</v>
      </c>
      <c r="C37" s="4">
        <f>'2010-10'!C37</f>
        <v>75.058272553254923</v>
      </c>
      <c r="D37" s="16">
        <f t="shared" si="8"/>
        <v>62548.560461045774</v>
      </c>
      <c r="E37" s="4">
        <f>'Interval Circuities'!F37</f>
        <v>1.2802850434359947</v>
      </c>
      <c r="F37" s="4">
        <f t="shared" si="11"/>
        <v>51.17853567886133</v>
      </c>
      <c r="G37" s="4">
        <f t="shared" si="12"/>
        <v>42.64877973238444</v>
      </c>
      <c r="H37" s="4">
        <f t="shared" si="13"/>
        <v>5714.3007226964064</v>
      </c>
      <c r="I37" s="4">
        <f t="shared" si="9"/>
        <v>1222.0875996258867</v>
      </c>
      <c r="J37" s="33">
        <f>'2010-10'!J37</f>
        <v>2969.6021799999999</v>
      </c>
      <c r="K37" s="33">
        <f>'2010-10'!K37</f>
        <v>3629114</v>
      </c>
      <c r="L37" s="22">
        <f t="shared" si="14"/>
        <v>6983376.053740521</v>
      </c>
      <c r="M37" s="22">
        <f t="shared" si="15"/>
        <v>3629114</v>
      </c>
      <c r="N37" s="19" t="s">
        <v>91</v>
      </c>
      <c r="O37" s="4">
        <f t="shared" si="16"/>
        <v>489.41201949144585</v>
      </c>
      <c r="P37" s="13">
        <f>'2010-10'!P37</f>
        <v>1453359</v>
      </c>
      <c r="Q37" s="22">
        <f t="shared" si="17"/>
        <v>2796647.4566762769</v>
      </c>
      <c r="R37" s="13">
        <f t="shared" si="18"/>
        <v>1453359</v>
      </c>
      <c r="W37" s="18">
        <f t="shared" si="10"/>
        <v>0.40047212625450729</v>
      </c>
    </row>
    <row r="38" spans="1:23">
      <c r="A38" s="18" t="s">
        <v>50</v>
      </c>
      <c r="B38" s="4">
        <f>'2010-10'!B38</f>
        <v>59.807444822625882</v>
      </c>
      <c r="C38" s="4">
        <f>'2010-10'!C38</f>
        <v>71.241563498997948</v>
      </c>
      <c r="D38" s="16">
        <f t="shared" si="8"/>
        <v>59367.969582498292</v>
      </c>
      <c r="E38" s="4">
        <f>'Interval Circuities'!F38</f>
        <v>1.2648153813211274</v>
      </c>
      <c r="F38" s="4">
        <f t="shared" si="11"/>
        <v>47.285513527006366</v>
      </c>
      <c r="G38" s="4">
        <f t="shared" si="12"/>
        <v>39.404594605838639</v>
      </c>
      <c r="H38" s="4">
        <f t="shared" si="13"/>
        <v>4878.0202671869038</v>
      </c>
      <c r="I38" s="4">
        <f t="shared" si="9"/>
        <v>739.57535155262258</v>
      </c>
      <c r="J38" s="33">
        <f>'2010-10'!J38</f>
        <v>2344.389921</v>
      </c>
      <c r="K38" s="33">
        <f>'2010-10'!K38</f>
        <v>1733853</v>
      </c>
      <c r="L38" s="22">
        <f t="shared" si="14"/>
        <v>3607663.5539855724</v>
      </c>
      <c r="M38" s="22">
        <f t="shared" si="15"/>
        <v>1733853</v>
      </c>
      <c r="N38" s="19" t="s">
        <v>91</v>
      </c>
      <c r="O38" s="4">
        <f t="shared" si="16"/>
        <v>439.74681462555225</v>
      </c>
      <c r="P38" s="13">
        <f>'2010-10'!P38</f>
        <v>1030938</v>
      </c>
      <c r="Q38" s="22">
        <f t="shared" si="17"/>
        <v>2145093.8741743262</v>
      </c>
      <c r="R38" s="13">
        <f t="shared" si="18"/>
        <v>1030938</v>
      </c>
      <c r="W38" s="18">
        <f t="shared" si="10"/>
        <v>0.59459365932406039</v>
      </c>
    </row>
    <row r="39" spans="1:23">
      <c r="A39" s="18" t="s">
        <v>51</v>
      </c>
      <c r="B39" s="4">
        <f>'2010-10'!B39</f>
        <v>58.331030650507813</v>
      </c>
      <c r="C39" s="4">
        <f>'2010-10'!C39</f>
        <v>69.29589065244727</v>
      </c>
      <c r="D39" s="16">
        <f t="shared" si="8"/>
        <v>57746.575543706058</v>
      </c>
      <c r="E39" s="4">
        <f>'Interval Circuities'!F39</f>
        <v>1.4407046826983154</v>
      </c>
      <c r="F39" s="4">
        <f t="shared" si="11"/>
        <v>40.487846920340978</v>
      </c>
      <c r="G39" s="4">
        <f t="shared" si="12"/>
        <v>33.739872433617485</v>
      </c>
      <c r="H39" s="4">
        <f t="shared" si="13"/>
        <v>3576.3230777553867</v>
      </c>
      <c r="I39" s="4">
        <f t="shared" si="9"/>
        <v>1362.0759506608479</v>
      </c>
      <c r="J39" s="33">
        <f>'2010-10'!J39</f>
        <v>1358.1459970000001</v>
      </c>
      <c r="K39" s="33">
        <f>'2010-10'!K39</f>
        <v>1849898</v>
      </c>
      <c r="L39" s="22">
        <f t="shared" si="14"/>
        <v>4871223.6560039977</v>
      </c>
      <c r="M39" s="22">
        <f t="shared" si="15"/>
        <v>1849898</v>
      </c>
      <c r="N39" s="19" t="s">
        <v>91</v>
      </c>
      <c r="O39" s="4">
        <f t="shared" si="16"/>
        <v>641.16376436958274</v>
      </c>
      <c r="P39" s="13">
        <f>'2010-10'!P39</f>
        <v>870794</v>
      </c>
      <c r="Q39" s="22">
        <f t="shared" si="17"/>
        <v>2293008.7671354557</v>
      </c>
      <c r="R39" s="13">
        <f t="shared" si="18"/>
        <v>870794</v>
      </c>
      <c r="W39" s="18">
        <f t="shared" si="10"/>
        <v>0.47072541296871506</v>
      </c>
    </row>
    <row r="40" spans="1:23">
      <c r="A40" s="18" t="s">
        <v>52</v>
      </c>
      <c r="B40" s="4">
        <f>'2010-10'!B40</f>
        <v>61.333480923569354</v>
      </c>
      <c r="C40" s="4">
        <f>'2010-10'!C40</f>
        <v>68.947108687192596</v>
      </c>
      <c r="D40" s="16">
        <f t="shared" si="8"/>
        <v>57455.923905993834</v>
      </c>
      <c r="E40" s="4">
        <f>'Interval Circuities'!F40</f>
        <v>1.2335825315465978</v>
      </c>
      <c r="F40" s="4">
        <f t="shared" si="11"/>
        <v>49.719803381677927</v>
      </c>
      <c r="G40" s="4">
        <f t="shared" si="12"/>
        <v>41.433169484731607</v>
      </c>
      <c r="H40" s="4">
        <f t="shared" si="13"/>
        <v>5393.1957757644868</v>
      </c>
      <c r="I40" s="4">
        <f t="shared" si="9"/>
        <v>843.65595688883184</v>
      </c>
      <c r="J40" s="33">
        <f>'2010-10'!J40</f>
        <v>1411.6607489999999</v>
      </c>
      <c r="K40" s="33">
        <f>'2010-10'!K40</f>
        <v>1190956</v>
      </c>
      <c r="L40" s="22">
        <f t="shared" si="14"/>
        <v>4550001.7428913936</v>
      </c>
      <c r="M40" s="22">
        <f t="shared" si="15"/>
        <v>1190956</v>
      </c>
      <c r="N40" s="19" t="s">
        <v>91</v>
      </c>
      <c r="O40" s="4">
        <f t="shared" si="16"/>
        <v>418.3023438303448</v>
      </c>
      <c r="P40" s="13">
        <f>'2010-10'!P40</f>
        <v>590501</v>
      </c>
      <c r="Q40" s="22">
        <f t="shared" si="17"/>
        <v>2255986.4337381995</v>
      </c>
      <c r="R40" s="13">
        <f t="shared" si="18"/>
        <v>590501</v>
      </c>
      <c r="W40" s="18">
        <f t="shared" si="10"/>
        <v>0.49582100430242604</v>
      </c>
    </row>
    <row r="41" spans="1:23">
      <c r="A41" s="18" t="s">
        <v>53</v>
      </c>
      <c r="B41" s="4">
        <f>'2010-10'!B41</f>
        <v>70.888143113567551</v>
      </c>
      <c r="C41" s="4">
        <f>'2010-10'!C41</f>
        <v>80.329607978863407</v>
      </c>
      <c r="D41" s="16">
        <f t="shared" si="8"/>
        <v>66941.339982386184</v>
      </c>
      <c r="E41" s="4">
        <f>'Interval Circuities'!F41</f>
        <v>1.205287459552572</v>
      </c>
      <c r="F41" s="4">
        <f t="shared" si="11"/>
        <v>58.814304049826184</v>
      </c>
      <c r="G41" s="4">
        <f t="shared" si="12"/>
        <v>49.011920041521819</v>
      </c>
      <c r="H41" s="4">
        <f t="shared" si="13"/>
        <v>7546.6343033075855</v>
      </c>
      <c r="I41" s="4">
        <f t="shared" si="9"/>
        <v>659.39427440794395</v>
      </c>
      <c r="J41" s="33">
        <f>'2010-10'!J41</f>
        <v>1341.975559</v>
      </c>
      <c r="K41" s="33">
        <f>'2010-10'!K41</f>
        <v>884891</v>
      </c>
      <c r="L41" s="22">
        <f t="shared" si="14"/>
        <v>4976207.4506516047</v>
      </c>
      <c r="M41" s="22">
        <f t="shared" si="15"/>
        <v>884891</v>
      </c>
      <c r="N41" s="19" t="s">
        <v>91</v>
      </c>
      <c r="O41" s="4">
        <f t="shared" si="16"/>
        <v>305.97949213469991</v>
      </c>
      <c r="P41" s="13">
        <f>'2010-10'!P41</f>
        <v>410617</v>
      </c>
      <c r="Q41" s="22">
        <f t="shared" si="17"/>
        <v>2309115.3314523599</v>
      </c>
      <c r="R41" s="13">
        <f t="shared" si="18"/>
        <v>410617</v>
      </c>
      <c r="W41" s="18">
        <f t="shared" si="10"/>
        <v>0.46403116316020848</v>
      </c>
    </row>
    <row r="42" spans="1:23">
      <c r="A42" s="18" t="s">
        <v>81</v>
      </c>
      <c r="B42" s="4">
        <f>'2010-10'!B42</f>
        <v>64.044695759894694</v>
      </c>
      <c r="C42" s="4">
        <f>'2010-10'!C42</f>
        <v>72.196124164991133</v>
      </c>
      <c r="D42" s="16">
        <f t="shared" si="8"/>
        <v>60163.436804159282</v>
      </c>
      <c r="E42" s="4">
        <f>'Interval Circuities'!F42</f>
        <v>1.2093921289472145</v>
      </c>
      <c r="F42" s="4">
        <f t="shared" si="11"/>
        <v>52.956104332881772</v>
      </c>
      <c r="G42" s="4">
        <f t="shared" si="12"/>
        <v>44.130086944068147</v>
      </c>
      <c r="H42" s="4">
        <f t="shared" si="13"/>
        <v>6118.1403978340677</v>
      </c>
      <c r="I42" s="4">
        <f t="shared" si="9"/>
        <v>857.44540355569529</v>
      </c>
      <c r="J42" s="33">
        <f>'2010-10'!J42</f>
        <v>840.37070700000004</v>
      </c>
      <c r="K42" s="33">
        <f>'2010-10'!K42</f>
        <v>720572</v>
      </c>
      <c r="L42" s="22">
        <f t="shared" si="14"/>
        <v>5245971.3624312347</v>
      </c>
      <c r="M42" s="22">
        <f t="shared" si="15"/>
        <v>720572</v>
      </c>
      <c r="N42" s="19" t="s">
        <v>91</v>
      </c>
      <c r="O42" s="4">
        <f t="shared" si="16"/>
        <v>493.93082902876574</v>
      </c>
      <c r="P42" s="13">
        <f>'2010-10'!P42</f>
        <v>415085</v>
      </c>
      <c r="Q42" s="22">
        <f t="shared" si="17"/>
        <v>3021938.1588165639</v>
      </c>
      <c r="R42" s="13">
        <f t="shared" si="18"/>
        <v>415085</v>
      </c>
      <c r="W42" s="18">
        <f t="shared" si="10"/>
        <v>0.57604930527414333</v>
      </c>
    </row>
    <row r="43" spans="1:23">
      <c r="A43" s="18" t="s">
        <v>54</v>
      </c>
      <c r="B43" s="4">
        <f>'2010-10'!B43</f>
        <v>69.851259887217722</v>
      </c>
      <c r="C43" s="4">
        <f>'2010-10'!C43</f>
        <v>81.455388016103115</v>
      </c>
      <c r="D43" s="16">
        <f t="shared" si="8"/>
        <v>67879.490013419272</v>
      </c>
      <c r="E43" s="4">
        <f>'Interval Circuities'!F43</f>
        <v>1.3967920476447633</v>
      </c>
      <c r="F43" s="4">
        <f t="shared" si="11"/>
        <v>50.008345913050704</v>
      </c>
      <c r="G43" s="4">
        <f t="shared" si="12"/>
        <v>41.673621594208925</v>
      </c>
      <c r="H43" s="4">
        <f t="shared" si="13"/>
        <v>5455.974860217063</v>
      </c>
      <c r="I43" s="4">
        <f t="shared" si="9"/>
        <v>1413.0147860308737</v>
      </c>
      <c r="J43" s="33">
        <f>'2010-10'!J43</f>
        <v>1219.8272919999999</v>
      </c>
      <c r="K43" s="33">
        <f>'2010-10'!K43</f>
        <v>1723634</v>
      </c>
      <c r="L43" s="22">
        <f t="shared" si="14"/>
        <v>7709373.1496994393</v>
      </c>
      <c r="M43" s="22">
        <f t="shared" si="15"/>
        <v>1723634</v>
      </c>
      <c r="N43" s="19" t="s">
        <v>91</v>
      </c>
      <c r="O43" s="4">
        <f t="shared" si="16"/>
        <v>509.14420760475986</v>
      </c>
      <c r="P43" s="13">
        <f>'2010-10'!P43</f>
        <v>621068</v>
      </c>
      <c r="Q43" s="22">
        <f t="shared" si="17"/>
        <v>2777877.9969167071</v>
      </c>
      <c r="R43" s="13">
        <f t="shared" si="18"/>
        <v>621068</v>
      </c>
      <c r="W43" s="18">
        <f t="shared" si="10"/>
        <v>0.36032475571960176</v>
      </c>
    </row>
    <row r="44" spans="1:23">
      <c r="A44" s="18" t="s">
        <v>55</v>
      </c>
      <c r="B44" s="4">
        <f>'2010-10'!B44</f>
        <v>64.533357950473999</v>
      </c>
      <c r="C44" s="4">
        <f>'2010-10'!C44</f>
        <v>73.630820924041743</v>
      </c>
      <c r="D44" s="16">
        <f t="shared" si="8"/>
        <v>61359.017436701455</v>
      </c>
      <c r="E44" s="4">
        <f>'Interval Circuities'!F44</f>
        <v>1.3850097173055014</v>
      </c>
      <c r="F44" s="4">
        <f t="shared" si="11"/>
        <v>46.594155365221468</v>
      </c>
      <c r="G44" s="4">
        <f t="shared" si="12"/>
        <v>38.828462804351226</v>
      </c>
      <c r="H44" s="4">
        <f t="shared" si="13"/>
        <v>4736.4206679976523</v>
      </c>
      <c r="I44" s="4">
        <f t="shared" si="9"/>
        <v>1418.9468389746553</v>
      </c>
      <c r="J44" s="33">
        <f>'2010-10'!J44</f>
        <v>719.71900000000005</v>
      </c>
      <c r="K44" s="33">
        <f>'2010-10'!K44</f>
        <v>1021243</v>
      </c>
      <c r="L44" s="22">
        <f t="shared" si="14"/>
        <v>6720729.1349094938</v>
      </c>
      <c r="M44" s="22">
        <f t="shared" si="15"/>
        <v>1021243</v>
      </c>
      <c r="N44" s="19" t="s">
        <v>91</v>
      </c>
      <c r="O44" s="4">
        <f t="shared" si="16"/>
        <v>731.05892716462949</v>
      </c>
      <c r="P44" s="13">
        <f>'2010-10'!P44</f>
        <v>526157</v>
      </c>
      <c r="Q44" s="22">
        <f t="shared" si="17"/>
        <v>3462602.6121467417</v>
      </c>
      <c r="R44" s="13">
        <f t="shared" si="18"/>
        <v>526157</v>
      </c>
      <c r="W44" s="18">
        <f t="shared" si="10"/>
        <v>0.51521234417273853</v>
      </c>
    </row>
    <row r="45" spans="1:23">
      <c r="A45" s="18" t="s">
        <v>67</v>
      </c>
      <c r="B45" s="4">
        <f>'2010-10'!B45</f>
        <v>70.329269785649885</v>
      </c>
      <c r="C45" s="4">
        <f>'2010-10'!C45</f>
        <v>78.441220996603292</v>
      </c>
      <c r="D45" s="16">
        <f t="shared" si="8"/>
        <v>65367.684163836071</v>
      </c>
      <c r="E45" s="4">
        <f>'Interval Circuities'!F45</f>
        <v>1.2913153607253793</v>
      </c>
      <c r="F45" s="4">
        <f t="shared" si="11"/>
        <v>54.463279787939136</v>
      </c>
      <c r="G45" s="4">
        <f t="shared" si="12"/>
        <v>45.386066489949279</v>
      </c>
      <c r="H45" s="4">
        <f t="shared" si="13"/>
        <v>6471.3510979069088</v>
      </c>
      <c r="I45" s="4">
        <f t="shared" si="9"/>
        <v>1136.9073371227814</v>
      </c>
      <c r="J45" s="33">
        <f>'2010-10'!J45</f>
        <v>1546.484874</v>
      </c>
      <c r="K45" s="33">
        <f>'2010-10'!K45</f>
        <v>1758210</v>
      </c>
      <c r="L45" s="22">
        <f t="shared" si="14"/>
        <v>7357326.5443079313</v>
      </c>
      <c r="M45" s="22">
        <f t="shared" si="15"/>
        <v>1758210</v>
      </c>
      <c r="N45" s="19" t="s">
        <v>91</v>
      </c>
      <c r="O45" s="4">
        <f t="shared" si="16"/>
        <v>464.39186834232174</v>
      </c>
      <c r="P45" s="13">
        <f>'2010-10'!P45</f>
        <v>718175</v>
      </c>
      <c r="Q45" s="22">
        <f t="shared" si="17"/>
        <v>3005242.8270561243</v>
      </c>
      <c r="R45" s="13">
        <f t="shared" si="18"/>
        <v>718175</v>
      </c>
      <c r="W45" s="18">
        <f t="shared" si="10"/>
        <v>0.40846940922870417</v>
      </c>
    </row>
    <row r="46" spans="1:23">
      <c r="A46" s="18" t="s">
        <v>68</v>
      </c>
      <c r="B46" s="4">
        <f>'2010-10'!B46</f>
        <v>74.208902356796543</v>
      </c>
      <c r="C46" s="4">
        <f>'2010-10'!C46</f>
        <v>85.358369483865644</v>
      </c>
      <c r="D46" s="16">
        <f t="shared" si="8"/>
        <v>71131.974569888043</v>
      </c>
      <c r="E46" s="4">
        <f>'Interval Circuities'!F46</f>
        <v>1.3933131344330476</v>
      </c>
      <c r="F46" s="4">
        <f t="shared" si="11"/>
        <v>53.260749879453947</v>
      </c>
      <c r="G46" s="4">
        <f t="shared" si="12"/>
        <v>44.383958232878292</v>
      </c>
      <c r="H46" s="4">
        <f t="shared" si="13"/>
        <v>6188.7356752735377</v>
      </c>
      <c r="I46" s="4">
        <f t="shared" si="9"/>
        <v>1558.6954968295993</v>
      </c>
      <c r="J46" s="33">
        <f>'2010-10'!J46</f>
        <v>1896.936256</v>
      </c>
      <c r="K46" s="33">
        <f>'2010-10'!K46</f>
        <v>2956746</v>
      </c>
      <c r="L46" s="22">
        <f t="shared" si="14"/>
        <v>9646354.4281175528</v>
      </c>
      <c r="M46" s="22">
        <f t="shared" si="15"/>
        <v>2956746</v>
      </c>
      <c r="N46" s="19" t="s">
        <v>91</v>
      </c>
      <c r="O46" s="4">
        <f t="shared" si="16"/>
        <v>580.58039457916288</v>
      </c>
      <c r="P46" s="13">
        <f>'2010-10'!P46</f>
        <v>1101324</v>
      </c>
      <c r="Q46" s="22">
        <f t="shared" si="17"/>
        <v>3593058.6002964526</v>
      </c>
      <c r="R46" s="13">
        <f t="shared" si="18"/>
        <v>1101324</v>
      </c>
      <c r="W46" s="18">
        <f t="shared" si="10"/>
        <v>0.37247839347715356</v>
      </c>
    </row>
    <row r="47" spans="1:23" ht="16">
      <c r="A47" s="18" t="s">
        <v>113</v>
      </c>
      <c r="B47" s="4">
        <f>'2010-10'!B47</f>
        <v>72.542200404561456</v>
      </c>
      <c r="C47" s="4">
        <f>'2010-10'!C47</f>
        <v>85.183417252245661</v>
      </c>
      <c r="D47" s="16">
        <f t="shared" si="8"/>
        <v>70986.181043538047</v>
      </c>
      <c r="E47" s="4">
        <f>'Interval Circuities'!F47</f>
        <v>1.4012673218427656</v>
      </c>
      <c r="F47" s="4">
        <f t="shared" si="11"/>
        <v>51.768994590670488</v>
      </c>
      <c r="G47" s="4">
        <f t="shared" si="12"/>
        <v>43.140828825558742</v>
      </c>
      <c r="H47" s="4">
        <f t="shared" si="13"/>
        <v>5846.915828060557</v>
      </c>
      <c r="I47" s="4">
        <f t="shared" si="9"/>
        <v>2419.4675820015173</v>
      </c>
      <c r="J47" s="33">
        <f>'2010-10'!J47</f>
        <v>1356.1710949999999</v>
      </c>
      <c r="K47" s="33">
        <f>'2010-10'!K47</f>
        <v>3281212</v>
      </c>
      <c r="L47" s="22">
        <f t="shared" si="14"/>
        <v>14146423.300684076</v>
      </c>
      <c r="M47" s="22">
        <f t="shared" si="15"/>
        <v>3281212</v>
      </c>
      <c r="N47" s="19" t="s">
        <v>91</v>
      </c>
      <c r="O47" s="4">
        <f t="shared" si="16"/>
        <v>1303.5176804148005</v>
      </c>
      <c r="P47" s="13">
        <f>'2010-10'!P47</f>
        <v>1767793</v>
      </c>
      <c r="Q47" s="22">
        <f t="shared" si="17"/>
        <v>7621558.1577740796</v>
      </c>
      <c r="R47" s="13">
        <f t="shared" si="18"/>
        <v>1767793</v>
      </c>
      <c r="W47" s="18">
        <f t="shared" si="10"/>
        <v>0.53876220128415964</v>
      </c>
    </row>
    <row r="48" spans="1:23" ht="16">
      <c r="A48" s="18" t="s">
        <v>71</v>
      </c>
      <c r="B48" s="4">
        <f>'2010-10'!B48</f>
        <v>67.913980035971221</v>
      </c>
      <c r="C48" s="4">
        <f>'2010-10'!C48</f>
        <v>78.194542652624932</v>
      </c>
      <c r="D48" s="16">
        <f t="shared" si="8"/>
        <v>65162.118877187451</v>
      </c>
      <c r="E48" s="4">
        <f>'Interval Circuities'!F48</f>
        <v>1.4030034944504302</v>
      </c>
      <c r="F48" s="4">
        <f t="shared" si="11"/>
        <v>48.406137479061499</v>
      </c>
      <c r="G48" s="4">
        <f t="shared" si="12"/>
        <v>40.338447899217918</v>
      </c>
      <c r="H48" s="4">
        <f t="shared" si="13"/>
        <v>5111.9693404005247</v>
      </c>
      <c r="I48" s="4">
        <f t="shared" si="9"/>
        <v>2247.211920874815</v>
      </c>
      <c r="J48" s="33">
        <f>'2010-10'!J48</f>
        <v>740.69382800000005</v>
      </c>
      <c r="K48" s="33">
        <f>'2010-10'!K48</f>
        <v>1664496</v>
      </c>
      <c r="L48" s="22">
        <f t="shared" si="14"/>
        <v>11487678.440894624</v>
      </c>
      <c r="M48" s="22">
        <f t="shared" si="15"/>
        <v>1664496</v>
      </c>
      <c r="N48" s="19" t="s">
        <v>91</v>
      </c>
      <c r="O48" s="4">
        <f t="shared" si="16"/>
        <v>1157.0664795656971</v>
      </c>
      <c r="P48" s="13">
        <f>'2010-10'!P48</f>
        <v>857032</v>
      </c>
      <c r="Q48" s="22">
        <f t="shared" si="17"/>
        <v>5914888.3683450138</v>
      </c>
      <c r="R48" s="13">
        <f t="shared" si="18"/>
        <v>857032</v>
      </c>
      <c r="W48" s="18">
        <f t="shared" si="10"/>
        <v>0.51488979246570732</v>
      </c>
    </row>
    <row r="49" spans="1:23">
      <c r="A49" s="18" t="s">
        <v>56</v>
      </c>
      <c r="B49" s="4">
        <f>'2010-10'!B49</f>
        <v>59.237163329958236</v>
      </c>
      <c r="C49" s="4">
        <f>'2010-10'!C49</f>
        <v>69.529876568500782</v>
      </c>
      <c r="D49" s="16">
        <f t="shared" si="8"/>
        <v>57941.563807083985</v>
      </c>
      <c r="E49" s="4">
        <f>'Interval Circuities'!F49</f>
        <v>1.4185698685624268</v>
      </c>
      <c r="F49" s="4">
        <f t="shared" si="11"/>
        <v>41.758368510948948</v>
      </c>
      <c r="G49" s="4">
        <f t="shared" si="12"/>
        <v>34.798640425790794</v>
      </c>
      <c r="H49" s="4">
        <f t="shared" si="13"/>
        <v>3804.2970955174383</v>
      </c>
      <c r="I49" s="4">
        <f t="shared" si="9"/>
        <v>1169.1810890127867</v>
      </c>
      <c r="J49" s="33">
        <f>'2010-10'!J49</f>
        <v>2616.6973010000002</v>
      </c>
      <c r="K49" s="33">
        <f>'2010-10'!K49</f>
        <v>3059393</v>
      </c>
      <c r="L49" s="22">
        <f t="shared" si="14"/>
        <v>4447912.2210652605</v>
      </c>
      <c r="M49" s="22">
        <f t="shared" si="15"/>
        <v>3059393</v>
      </c>
      <c r="N49" s="19" t="s">
        <v>91</v>
      </c>
      <c r="O49" s="4">
        <f t="shared" si="16"/>
        <v>548.69319406998534</v>
      </c>
      <c r="P49" s="13">
        <f>'2010-10'!P49</f>
        <v>1435764</v>
      </c>
      <c r="Q49" s="22">
        <f t="shared" si="17"/>
        <v>2087391.9245306314</v>
      </c>
      <c r="R49" s="13">
        <f t="shared" si="18"/>
        <v>1435764</v>
      </c>
      <c r="W49" s="18">
        <f t="shared" si="10"/>
        <v>0.46929701414627012</v>
      </c>
    </row>
    <row r="50" spans="1:23">
      <c r="A50" s="18" t="s">
        <v>75</v>
      </c>
      <c r="B50" s="4">
        <f>'2010-10'!B50</f>
        <v>59.396208684850201</v>
      </c>
      <c r="C50" s="4">
        <f>'2010-10'!C50</f>
        <v>72.013674499161084</v>
      </c>
      <c r="D50" s="16">
        <f t="shared" si="8"/>
        <v>60011.39541596757</v>
      </c>
      <c r="E50" s="4">
        <f>'Interval Circuities'!F50</f>
        <v>1.2404318709255826</v>
      </c>
      <c r="F50" s="4">
        <f t="shared" si="11"/>
        <v>47.883491288022192</v>
      </c>
      <c r="G50" s="4">
        <f t="shared" si="12"/>
        <v>39.902909406685161</v>
      </c>
      <c r="H50" s="4">
        <f t="shared" si="13"/>
        <v>5002.1763326532991</v>
      </c>
      <c r="I50" s="4">
        <f t="shared" si="9"/>
        <v>1715.2084870415904</v>
      </c>
      <c r="J50" s="33">
        <f>'2010-10'!J50</f>
        <v>3207.994271</v>
      </c>
      <c r="K50" s="33">
        <f>'2010-10'!K50</f>
        <v>5502379</v>
      </c>
      <c r="L50" s="22">
        <f t="shared" si="14"/>
        <v>8579775.2994455155</v>
      </c>
      <c r="M50" s="22">
        <f t="shared" si="15"/>
        <v>5502379</v>
      </c>
      <c r="N50" s="19" t="s">
        <v>91</v>
      </c>
      <c r="O50" s="4">
        <f t="shared" si="16"/>
        <v>567.61603861355525</v>
      </c>
      <c r="P50" s="13">
        <f>'2010-10'!P50</f>
        <v>1820909</v>
      </c>
      <c r="Q50" s="22">
        <f t="shared" si="17"/>
        <v>2839315.514387147</v>
      </c>
      <c r="R50" s="13">
        <f t="shared" si="18"/>
        <v>1820909</v>
      </c>
      <c r="W50" s="18">
        <f t="shared" si="10"/>
        <v>0.33093122084102172</v>
      </c>
    </row>
    <row r="51" spans="1:23">
      <c r="A51" s="18" t="s">
        <v>57</v>
      </c>
      <c r="B51" s="4">
        <f>'2010-10'!B51</f>
        <v>55.946693712217225</v>
      </c>
      <c r="C51" s="4">
        <f>'2010-10'!C51</f>
        <v>67.155256306515241</v>
      </c>
      <c r="D51" s="16">
        <f t="shared" si="8"/>
        <v>55962.713588762701</v>
      </c>
      <c r="E51" s="4">
        <f>'Interval Circuities'!F51</f>
        <v>1.3285645889956852</v>
      </c>
      <c r="F51" s="4">
        <f t="shared" si="11"/>
        <v>42.110631410483066</v>
      </c>
      <c r="G51" s="4">
        <f t="shared" si="12"/>
        <v>35.092192842069224</v>
      </c>
      <c r="H51" s="4">
        <f t="shared" si="13"/>
        <v>3868.7519675525687</v>
      </c>
      <c r="I51" s="4">
        <f t="shared" si="9"/>
        <v>899.04720299169355</v>
      </c>
      <c r="J51" s="33">
        <f>'2010-10'!J51</f>
        <v>2392.2058740000002</v>
      </c>
      <c r="K51" s="33">
        <f>'2010-10'!K51</f>
        <v>2150706</v>
      </c>
      <c r="L51" s="22">
        <f t="shared" si="14"/>
        <v>3478190.6354967481</v>
      </c>
      <c r="M51" s="22">
        <f t="shared" si="15"/>
        <v>2150706</v>
      </c>
      <c r="N51" s="19" t="s">
        <v>91</v>
      </c>
      <c r="O51" s="4">
        <f t="shared" si="16"/>
        <v>488.93826936569087</v>
      </c>
      <c r="P51" s="13">
        <f>'2010-10'!P51</f>
        <v>1169641</v>
      </c>
      <c r="Q51" s="22">
        <f t="shared" si="17"/>
        <v>1891580.8916202644</v>
      </c>
      <c r="R51" s="13">
        <f t="shared" si="18"/>
        <v>1169641</v>
      </c>
      <c r="W51" s="18">
        <f t="shared" si="10"/>
        <v>0.5438404877282158</v>
      </c>
    </row>
    <row r="52" spans="1:23">
      <c r="A52" s="18" t="s">
        <v>70</v>
      </c>
      <c r="B52" s="4">
        <f>'2010-10'!B52</f>
        <v>65.037009428922346</v>
      </c>
      <c r="C52" s="4">
        <f>'2010-10'!C52</f>
        <v>76.223831707390744</v>
      </c>
      <c r="D52" s="16">
        <f t="shared" si="8"/>
        <v>63519.859756158956</v>
      </c>
      <c r="E52" s="4">
        <f>'Interval Circuities'!F52</f>
        <v>1.270428052024559</v>
      </c>
      <c r="F52" s="4">
        <f t="shared" si="11"/>
        <v>51.192989107316322</v>
      </c>
      <c r="G52" s="4">
        <f t="shared" si="12"/>
        <v>42.660824256096937</v>
      </c>
      <c r="H52" s="4">
        <f t="shared" si="13"/>
        <v>5717.5287517107163</v>
      </c>
      <c r="I52" s="4">
        <f t="shared" si="9"/>
        <v>985.14575645956916</v>
      </c>
      <c r="J52" s="33">
        <f>'2010-10'!J52</f>
        <v>2478.5875430000001</v>
      </c>
      <c r="K52" s="33">
        <f>'2010-10'!K52</f>
        <v>2441770</v>
      </c>
      <c r="L52" s="22">
        <f t="shared" si="14"/>
        <v>5632599.1871833894</v>
      </c>
      <c r="M52" s="22">
        <f t="shared" si="15"/>
        <v>2441770</v>
      </c>
      <c r="N52" s="19" t="s">
        <v>91</v>
      </c>
      <c r="O52" s="4">
        <f t="shared" si="16"/>
        <v>376.11380829892278</v>
      </c>
      <c r="P52" s="13">
        <f>'2010-10'!P52</f>
        <v>932231</v>
      </c>
      <c r="Q52" s="22">
        <f t="shared" si="17"/>
        <v>2150441.5128645035</v>
      </c>
      <c r="R52" s="13">
        <f t="shared" si="18"/>
        <v>932231</v>
      </c>
      <c r="W52" s="18">
        <f t="shared" si="10"/>
        <v>0.38178493469900937</v>
      </c>
    </row>
    <row r="53" spans="1:23" ht="16">
      <c r="A53" s="18" t="s">
        <v>116</v>
      </c>
      <c r="B53" s="4">
        <f>'2010-10'!B53</f>
        <v>60.647730141730513</v>
      </c>
      <c r="C53" s="4">
        <f>'2010-10'!C53</f>
        <v>74.545005322142316</v>
      </c>
      <c r="D53" s="16">
        <f t="shared" si="8"/>
        <v>62120.837768451936</v>
      </c>
      <c r="E53" s="4">
        <f>'Interval Circuities'!F53</f>
        <v>1.2769936789718903</v>
      </c>
      <c r="F53" s="4">
        <f t="shared" si="11"/>
        <v>47.492584450815841</v>
      </c>
      <c r="G53" s="4">
        <f t="shared" si="12"/>
        <v>39.577153709013203</v>
      </c>
      <c r="H53" s="4">
        <f t="shared" si="13"/>
        <v>4920.8370952149862</v>
      </c>
      <c r="I53" s="4">
        <f t="shared" si="9"/>
        <v>1339.8831695910785</v>
      </c>
      <c r="J53" s="33">
        <f>'2010-10'!J53</f>
        <v>3423.2611499999998</v>
      </c>
      <c r="K53" s="33">
        <f>'2010-10'!K53</f>
        <v>4586770</v>
      </c>
      <c r="L53" s="22">
        <f t="shared" si="14"/>
        <v>6593346.8041780116</v>
      </c>
      <c r="M53" s="22">
        <f t="shared" si="15"/>
        <v>4586770</v>
      </c>
      <c r="N53" s="19" t="s">
        <v>91</v>
      </c>
      <c r="O53" s="4">
        <f t="shared" si="16"/>
        <v>692.47740564578316</v>
      </c>
      <c r="P53" s="13">
        <f>'2010-10'!P53</f>
        <v>2370531</v>
      </c>
      <c r="Q53" s="22">
        <f t="shared" si="17"/>
        <v>3407568.5053000054</v>
      </c>
      <c r="R53" s="13">
        <f t="shared" si="18"/>
        <v>2370531</v>
      </c>
      <c r="W53" s="18">
        <f t="shared" si="10"/>
        <v>0.51681924317112038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opLeftCell="E1" workbookViewId="0">
      <selection activeCell="W1" sqref="W1:W53"/>
    </sheetView>
  </sheetViews>
  <sheetFormatPr baseColWidth="10" defaultColWidth="11.5" defaultRowHeight="14" x14ac:dyDescent="0"/>
  <cols>
    <col min="4" max="4" width="11.5" style="18"/>
  </cols>
  <sheetData>
    <row r="1" spans="1:23" ht="56">
      <c r="A1" s="18">
        <f>6/6</f>
        <v>1</v>
      </c>
      <c r="B1" s="1" t="s">
        <v>59</v>
      </c>
      <c r="C1" s="1" t="s">
        <v>60</v>
      </c>
      <c r="D1" s="1" t="s">
        <v>165</v>
      </c>
      <c r="E1" s="7" t="s">
        <v>90</v>
      </c>
      <c r="F1" s="1" t="s">
        <v>21</v>
      </c>
      <c r="G1" s="1" t="s">
        <v>20</v>
      </c>
      <c r="H1" s="1" t="s">
        <v>129</v>
      </c>
      <c r="I1" s="1" t="s">
        <v>25</v>
      </c>
      <c r="J1" s="8" t="s">
        <v>83</v>
      </c>
      <c r="K1" s="23" t="s">
        <v>78</v>
      </c>
      <c r="L1" s="21" t="s">
        <v>76</v>
      </c>
      <c r="M1" s="27" t="s">
        <v>103</v>
      </c>
      <c r="N1" s="19" t="s">
        <v>91</v>
      </c>
      <c r="O1" s="1" t="s">
        <v>89</v>
      </c>
      <c r="P1" s="1" t="s">
        <v>87</v>
      </c>
      <c r="Q1" s="21" t="s">
        <v>88</v>
      </c>
      <c r="R1" s="18" t="s">
        <v>102</v>
      </c>
      <c r="W1" s="18" t="s">
        <v>579</v>
      </c>
    </row>
    <row r="2" spans="1:23" ht="16">
      <c r="A2" s="18" t="s">
        <v>16</v>
      </c>
      <c r="B2" s="18" t="s">
        <v>18</v>
      </c>
      <c r="C2" s="18" t="s">
        <v>120</v>
      </c>
      <c r="E2" s="18" t="s">
        <v>114</v>
      </c>
      <c r="F2" s="18" t="s">
        <v>17</v>
      </c>
      <c r="G2" s="18" t="s">
        <v>19</v>
      </c>
      <c r="H2" s="18" t="s">
        <v>130</v>
      </c>
      <c r="I2" s="18" t="s">
        <v>24</v>
      </c>
      <c r="J2" s="9" t="s">
        <v>16</v>
      </c>
      <c r="K2" s="13" t="s">
        <v>121</v>
      </c>
      <c r="L2" s="22" t="s">
        <v>127</v>
      </c>
      <c r="M2" s="22" t="s">
        <v>122</v>
      </c>
      <c r="N2" s="19" t="s">
        <v>91</v>
      </c>
      <c r="O2" s="18" t="s">
        <v>123</v>
      </c>
      <c r="P2" s="18" t="s">
        <v>124</v>
      </c>
      <c r="Q2" s="22" t="s">
        <v>126</v>
      </c>
      <c r="R2" s="18" t="s">
        <v>125</v>
      </c>
      <c r="W2" s="18" t="s">
        <v>580</v>
      </c>
    </row>
    <row r="3" spans="1:23">
      <c r="A3" s="18" t="s">
        <v>26</v>
      </c>
      <c r="B3" s="4">
        <f>'2010-10'!B3</f>
        <v>66.682397163757059</v>
      </c>
      <c r="C3" s="4">
        <f>'2010-10'!C3</f>
        <v>79.773749080561657</v>
      </c>
      <c r="D3" s="16">
        <f>C3*$A$1*1000</f>
        <v>79773.749080561654</v>
      </c>
      <c r="E3" s="4">
        <f>'Interval Circuities'!G3</f>
        <v>1.2084405776911233</v>
      </c>
      <c r="F3" s="4">
        <f t="shared" ref="F3:F34" si="0">B3/E3</f>
        <v>55.180534645039899</v>
      </c>
      <c r="G3" s="4">
        <f t="shared" ref="G3:G34" si="1">F3*$A$1</f>
        <v>55.180534645039899</v>
      </c>
      <c r="H3" s="4">
        <f t="shared" ref="H3:H34" si="2">PI()*G3^2</f>
        <v>9565.8084648817421</v>
      </c>
      <c r="I3" s="4">
        <f>K3/J3</f>
        <v>659.04777089359266</v>
      </c>
      <c r="J3" s="33">
        <f>'2010-10'!J3</f>
        <v>6851.4289849999996</v>
      </c>
      <c r="K3" s="33">
        <f>'2010-10'!K3</f>
        <v>4515419</v>
      </c>
      <c r="L3" s="22">
        <f t="shared" ref="L3:L34" si="3">H3*I3</f>
        <v>6304324.7455753712</v>
      </c>
      <c r="M3" s="22">
        <f t="shared" ref="M3:M34" si="4">MIN(K3,L3)</f>
        <v>4515419</v>
      </c>
      <c r="N3" s="19" t="s">
        <v>91</v>
      </c>
      <c r="O3" s="4">
        <f t="shared" ref="O3:O34" si="5">P3/J3</f>
        <v>292.35463206074525</v>
      </c>
      <c r="P3" s="13">
        <f>'2010-10'!P3</f>
        <v>2003047</v>
      </c>
      <c r="Q3" s="22">
        <f t="shared" ref="Q3:Q34" si="6">H3*O3</f>
        <v>2796608.4141140641</v>
      </c>
      <c r="R3" s="13">
        <f t="shared" ref="R3:R34" si="7">MIN(Q3,P3)</f>
        <v>2003047</v>
      </c>
      <c r="W3" s="18">
        <f>Q3/L3</f>
        <v>0.44360157938831379</v>
      </c>
    </row>
    <row r="4" spans="1:23">
      <c r="A4" s="18" t="s">
        <v>27</v>
      </c>
      <c r="B4" s="4">
        <f>'2010-10'!B4</f>
        <v>67.132189228567199</v>
      </c>
      <c r="C4" s="4">
        <f>'2010-10'!C4</f>
        <v>79.519027593680846</v>
      </c>
      <c r="D4" s="16">
        <f t="shared" ref="D4:D53" si="8">C4*$A$1*1000</f>
        <v>79519.027593680847</v>
      </c>
      <c r="E4" s="4">
        <f>'Interval Circuities'!G4</f>
        <v>1.2747371883868555</v>
      </c>
      <c r="F4" s="4">
        <f t="shared" si="0"/>
        <v>52.663552801437547</v>
      </c>
      <c r="G4" s="4">
        <f t="shared" si="1"/>
        <v>52.663552801437547</v>
      </c>
      <c r="H4" s="4">
        <f t="shared" si="2"/>
        <v>8713.0494968931725</v>
      </c>
      <c r="I4" s="4">
        <f t="shared" ref="I4:I53" si="9">K4/J4</f>
        <v>1005.7320851324054</v>
      </c>
      <c r="J4" s="33">
        <f>'2010-10'!J4</f>
        <v>1354.6510249999999</v>
      </c>
      <c r="K4" s="33">
        <f>'2010-10'!K4</f>
        <v>1362416</v>
      </c>
      <c r="L4" s="22">
        <f t="shared" si="3"/>
        <v>8762993.4383722264</v>
      </c>
      <c r="M4" s="22">
        <f t="shared" si="4"/>
        <v>1362416</v>
      </c>
      <c r="N4" s="19" t="s">
        <v>91</v>
      </c>
      <c r="O4" s="4">
        <f t="shared" si="5"/>
        <v>472.86200517952591</v>
      </c>
      <c r="P4" s="13">
        <f>'2010-10'!P4</f>
        <v>640563</v>
      </c>
      <c r="Q4" s="22">
        <f t="shared" si="6"/>
        <v>4120070.0563293649</v>
      </c>
      <c r="R4" s="13">
        <f t="shared" si="7"/>
        <v>640563</v>
      </c>
      <c r="W4" s="18">
        <f t="shared" ref="W4:W53" si="10">Q4/L4</f>
        <v>0.47016696809197772</v>
      </c>
    </row>
    <row r="5" spans="1:23" ht="16">
      <c r="A5" s="18" t="s">
        <v>117</v>
      </c>
      <c r="B5" s="4">
        <f>'2010-10'!B5</f>
        <v>64.331330728262358</v>
      </c>
      <c r="C5" s="4">
        <f>'2010-10'!C5</f>
        <v>77.152319954484682</v>
      </c>
      <c r="D5" s="16">
        <f t="shared" si="8"/>
        <v>77152.319954484687</v>
      </c>
      <c r="E5" s="4">
        <f>'Interval Circuities'!G5</f>
        <v>1.2261163596071283</v>
      </c>
      <c r="F5" s="4">
        <f t="shared" si="0"/>
        <v>52.467557605116191</v>
      </c>
      <c r="G5" s="4">
        <f t="shared" si="1"/>
        <v>52.467557605116191</v>
      </c>
      <c r="H5" s="4">
        <f t="shared" si="2"/>
        <v>8648.3163751210213</v>
      </c>
      <c r="I5" s="4">
        <f t="shared" si="9"/>
        <v>1186.6066340855928</v>
      </c>
      <c r="J5" s="33">
        <f>'2010-10'!J5</f>
        <v>1857.1133319999999</v>
      </c>
      <c r="K5" s="33">
        <f>'2010-10'!K5</f>
        <v>2203663</v>
      </c>
      <c r="L5" s="22">
        <f t="shared" si="3"/>
        <v>10262149.58438967</v>
      </c>
      <c r="M5" s="22">
        <f t="shared" si="4"/>
        <v>2203663</v>
      </c>
      <c r="N5" s="19" t="s">
        <v>91</v>
      </c>
      <c r="O5" s="4">
        <f t="shared" si="5"/>
        <v>570.56830175187179</v>
      </c>
      <c r="P5" s="13">
        <f>'2010-10'!P5</f>
        <v>1059610</v>
      </c>
      <c r="Q5" s="22">
        <f t="shared" si="6"/>
        <v>4934455.1871657046</v>
      </c>
      <c r="R5" s="13">
        <f t="shared" si="7"/>
        <v>1059610</v>
      </c>
      <c r="W5" s="18">
        <f t="shared" si="10"/>
        <v>0.48084030997480104</v>
      </c>
    </row>
    <row r="6" spans="1:23">
      <c r="A6" s="18" t="s">
        <v>29</v>
      </c>
      <c r="B6" s="4">
        <f>'2010-10'!B6</f>
        <v>59.083844176305647</v>
      </c>
      <c r="C6" s="4">
        <f>'2010-10'!C6</f>
        <v>71.201949648545863</v>
      </c>
      <c r="D6" s="16">
        <f t="shared" si="8"/>
        <v>71201.949648545866</v>
      </c>
      <c r="E6" s="4">
        <f>'Interval Circuities'!G6</f>
        <v>1.1905717622441363</v>
      </c>
      <c r="F6" s="4">
        <f t="shared" si="0"/>
        <v>49.626445082938254</v>
      </c>
      <c r="G6" s="4">
        <f t="shared" si="1"/>
        <v>49.626445082938254</v>
      </c>
      <c r="H6" s="4">
        <f t="shared" si="2"/>
        <v>7737.0642837900614</v>
      </c>
      <c r="I6" s="4">
        <f t="shared" si="9"/>
        <v>861.67001828332229</v>
      </c>
      <c r="J6" s="33">
        <f>'2010-10'!J6</f>
        <v>4852.2275479999998</v>
      </c>
      <c r="K6" s="33">
        <f>'2010-10'!K6</f>
        <v>4181019</v>
      </c>
      <c r="L6" s="22">
        <f t="shared" si="3"/>
        <v>6666796.3228726219</v>
      </c>
      <c r="M6" s="22">
        <f t="shared" si="4"/>
        <v>4181019</v>
      </c>
      <c r="N6" s="19" t="s">
        <v>91</v>
      </c>
      <c r="O6" s="4">
        <f t="shared" si="5"/>
        <v>598.22977617701781</v>
      </c>
      <c r="P6" s="13">
        <f>'2010-10'!P6</f>
        <v>2902747</v>
      </c>
      <c r="Q6" s="22">
        <f t="shared" si="6"/>
        <v>4628542.2347589275</v>
      </c>
      <c r="R6" s="13">
        <f t="shared" si="7"/>
        <v>2902747</v>
      </c>
      <c r="W6" s="18">
        <f t="shared" si="10"/>
        <v>0.69426783279387161</v>
      </c>
    </row>
    <row r="7" spans="1:23">
      <c r="A7" s="18" t="s">
        <v>30</v>
      </c>
      <c r="B7" s="4">
        <f>'2010-10'!B7</f>
        <v>61.52546201403905</v>
      </c>
      <c r="C7" s="4">
        <f>'2010-10'!C7</f>
        <v>70.650556777808134</v>
      </c>
      <c r="D7" s="16">
        <f t="shared" si="8"/>
        <v>70650.556777808131</v>
      </c>
      <c r="E7" s="4">
        <f>'Interval Circuities'!G7</f>
        <v>1.1734589731007847</v>
      </c>
      <c r="F7" s="4">
        <f t="shared" si="0"/>
        <v>52.43085904525681</v>
      </c>
      <c r="G7" s="4">
        <f t="shared" si="1"/>
        <v>52.43085904525681</v>
      </c>
      <c r="H7" s="4">
        <f t="shared" si="2"/>
        <v>8636.2224346256426</v>
      </c>
      <c r="I7" s="4">
        <f t="shared" si="9"/>
        <v>951.10925507842603</v>
      </c>
      <c r="J7" s="33">
        <f>'2010-10'!J7</f>
        <v>984.01523799999995</v>
      </c>
      <c r="K7" s="33">
        <f>'2010-10'!K7</f>
        <v>935906</v>
      </c>
      <c r="L7" s="22">
        <f t="shared" si="3"/>
        <v>8213991.0864883857</v>
      </c>
      <c r="M7" s="22">
        <f t="shared" si="4"/>
        <v>935906</v>
      </c>
      <c r="N7" s="19" t="s">
        <v>91</v>
      </c>
      <c r="O7" s="4">
        <f t="shared" si="5"/>
        <v>463.10664957405874</v>
      </c>
      <c r="P7" s="13">
        <f>'2010-10'!P7</f>
        <v>455704</v>
      </c>
      <c r="Q7" s="22">
        <f t="shared" si="6"/>
        <v>3999492.036675802</v>
      </c>
      <c r="R7" s="13">
        <f t="shared" si="7"/>
        <v>455704</v>
      </c>
      <c r="W7" s="18">
        <f t="shared" si="10"/>
        <v>0.48691214716007802</v>
      </c>
    </row>
    <row r="8" spans="1:23">
      <c r="A8" s="18" t="s">
        <v>31</v>
      </c>
      <c r="B8" s="4">
        <f>'2010-10'!B8</f>
        <v>64.052681514079197</v>
      </c>
      <c r="C8" s="4">
        <f>'2010-10'!C8</f>
        <v>75.74245959811465</v>
      </c>
      <c r="D8" s="16">
        <f t="shared" si="8"/>
        <v>75742.459598114656</v>
      </c>
      <c r="E8" s="4">
        <f>'Interval Circuities'!G8</f>
        <v>1.2204535484710273</v>
      </c>
      <c r="F8" s="4">
        <f t="shared" si="0"/>
        <v>52.482686943983893</v>
      </c>
      <c r="G8" s="4">
        <f t="shared" si="1"/>
        <v>52.482686943983893</v>
      </c>
      <c r="H8" s="4">
        <f t="shared" si="2"/>
        <v>8653.30468331675</v>
      </c>
      <c r="I8" s="4">
        <f t="shared" si="9"/>
        <v>650.59688341284709</v>
      </c>
      <c r="J8" s="33">
        <f>'2010-10'!J8</f>
        <v>1920.4549420000001</v>
      </c>
      <c r="K8" s="33">
        <f>'2010-10'!K8</f>
        <v>1249442</v>
      </c>
      <c r="L8" s="22">
        <f t="shared" si="3"/>
        <v>5629813.058187671</v>
      </c>
      <c r="M8" s="22">
        <f t="shared" si="4"/>
        <v>1249442</v>
      </c>
      <c r="N8" s="19" t="s">
        <v>91</v>
      </c>
      <c r="O8" s="4">
        <f t="shared" si="5"/>
        <v>378.75608747294422</v>
      </c>
      <c r="P8" s="13">
        <f>'2010-10'!P8</f>
        <v>727384</v>
      </c>
      <c r="Q8" s="22">
        <f t="shared" si="6"/>
        <v>3277491.825564357</v>
      </c>
      <c r="R8" s="13">
        <f t="shared" si="7"/>
        <v>727384</v>
      </c>
      <c r="W8" s="18">
        <f t="shared" si="10"/>
        <v>0.58216707938423717</v>
      </c>
    </row>
    <row r="9" spans="1:23">
      <c r="A9" s="18" t="s">
        <v>32</v>
      </c>
      <c r="B9" s="4">
        <f>'2010-10'!B9</f>
        <v>62.255871883980589</v>
      </c>
      <c r="C9" s="4">
        <f>'2010-10'!C9</f>
        <v>73.232676356180107</v>
      </c>
      <c r="D9" s="16">
        <f t="shared" si="8"/>
        <v>73232.676356180105</v>
      </c>
      <c r="E9" s="4">
        <f>'Interval Circuities'!G9</f>
        <v>1.1904326141515926</v>
      </c>
      <c r="F9" s="4">
        <f t="shared" si="0"/>
        <v>52.296846662210797</v>
      </c>
      <c r="G9" s="4">
        <f t="shared" si="1"/>
        <v>52.296846662210797</v>
      </c>
      <c r="H9" s="4">
        <f t="shared" si="2"/>
        <v>8592.130780479858</v>
      </c>
      <c r="I9" s="4">
        <f t="shared" si="9"/>
        <v>1360.6187423043561</v>
      </c>
      <c r="J9" s="33">
        <f>'2010-10'!J9</f>
        <v>6326.6863320000002</v>
      </c>
      <c r="K9" s="33">
        <f>'2010-10'!K9</f>
        <v>8608208</v>
      </c>
      <c r="L9" s="22">
        <f t="shared" si="3"/>
        <v>11690614.17625105</v>
      </c>
      <c r="M9" s="22">
        <f t="shared" si="4"/>
        <v>8608208</v>
      </c>
      <c r="N9" s="19" t="s">
        <v>91</v>
      </c>
      <c r="O9" s="4">
        <f t="shared" si="5"/>
        <v>600.27821843973788</v>
      </c>
      <c r="P9" s="13">
        <f>'2010-10'!P9</f>
        <v>3797772</v>
      </c>
      <c r="Q9" s="22">
        <f t="shared" si="6"/>
        <v>5157668.9575076839</v>
      </c>
      <c r="R9" s="13">
        <f t="shared" si="7"/>
        <v>3797772</v>
      </c>
      <c r="W9" s="18">
        <f t="shared" si="10"/>
        <v>0.4411803246389957</v>
      </c>
    </row>
    <row r="10" spans="1:23">
      <c r="A10" s="18" t="s">
        <v>33</v>
      </c>
      <c r="B10" s="4">
        <f>'2010-10'!B10</f>
        <v>63.816269796049951</v>
      </c>
      <c r="C10" s="4">
        <f>'2010-10'!C10</f>
        <v>74.14207195492925</v>
      </c>
      <c r="D10" s="16">
        <f t="shared" si="8"/>
        <v>74142.071954929255</v>
      </c>
      <c r="E10" s="4">
        <f>'Interval Circuities'!G10</f>
        <v>1.2662934799155141</v>
      </c>
      <c r="F10" s="4">
        <f t="shared" si="0"/>
        <v>50.396113387796731</v>
      </c>
      <c r="G10" s="4">
        <f t="shared" si="1"/>
        <v>50.396113387796731</v>
      </c>
      <c r="H10" s="4">
        <f t="shared" si="2"/>
        <v>7978.917259042385</v>
      </c>
      <c r="I10" s="4">
        <f t="shared" si="9"/>
        <v>796.39106388024629</v>
      </c>
      <c r="J10" s="33">
        <f>'2010-10'!J10</f>
        <v>2040.237609</v>
      </c>
      <c r="K10" s="33">
        <f>'2010-10'!K10</f>
        <v>1624827</v>
      </c>
      <c r="L10" s="22">
        <f t="shared" si="3"/>
        <v>6354338.4045412233</v>
      </c>
      <c r="M10" s="22">
        <f t="shared" si="4"/>
        <v>1624827</v>
      </c>
      <c r="N10" s="19" t="s">
        <v>91</v>
      </c>
      <c r="O10" s="4">
        <f t="shared" si="5"/>
        <v>428.64958284375984</v>
      </c>
      <c r="P10" s="13">
        <f>'2010-10'!P10</f>
        <v>874547</v>
      </c>
      <c r="Q10" s="22">
        <f t="shared" si="6"/>
        <v>3420159.5546333939</v>
      </c>
      <c r="R10" s="13">
        <f t="shared" si="7"/>
        <v>874547</v>
      </c>
      <c r="W10" s="18">
        <f t="shared" si="10"/>
        <v>0.53824007109679983</v>
      </c>
    </row>
    <row r="11" spans="1:23">
      <c r="A11" s="18" t="s">
        <v>34</v>
      </c>
      <c r="B11" s="4">
        <f>'2010-10'!B11</f>
        <v>60.599390167439914</v>
      </c>
      <c r="C11" s="4">
        <f>'2010-10'!C11</f>
        <v>69.653954039848372</v>
      </c>
      <c r="D11" s="16">
        <f t="shared" si="8"/>
        <v>69653.954039848366</v>
      </c>
      <c r="E11" s="4">
        <f>'Interval Circuities'!G11</f>
        <v>1.1590296676460083</v>
      </c>
      <c r="F11" s="4">
        <f t="shared" si="0"/>
        <v>52.284589306947943</v>
      </c>
      <c r="G11" s="4">
        <f t="shared" si="1"/>
        <v>52.284589306947943</v>
      </c>
      <c r="H11" s="4">
        <f t="shared" si="2"/>
        <v>8588.1035985724993</v>
      </c>
      <c r="I11" s="4">
        <f t="shared" si="9"/>
        <v>890.6045978114746</v>
      </c>
      <c r="J11" s="33">
        <f>'2010-10'!J11</f>
        <v>1999.3979420000001</v>
      </c>
      <c r="K11" s="33">
        <f>'2010-10'!K11</f>
        <v>1780673</v>
      </c>
      <c r="L11" s="22">
        <f t="shared" si="3"/>
        <v>7648604.5513699381</v>
      </c>
      <c r="M11" s="22">
        <f t="shared" si="4"/>
        <v>1780673</v>
      </c>
      <c r="N11" s="19" t="s">
        <v>91</v>
      </c>
      <c r="O11" s="4">
        <f t="shared" si="5"/>
        <v>435.21001083435146</v>
      </c>
      <c r="P11" s="13">
        <f>'2010-10'!P11</f>
        <v>870158</v>
      </c>
      <c r="Q11" s="22">
        <f t="shared" si="6"/>
        <v>3737628.6601812704</v>
      </c>
      <c r="R11" s="13">
        <f t="shared" si="7"/>
        <v>870158</v>
      </c>
      <c r="W11" s="18">
        <f t="shared" si="10"/>
        <v>0.48866804854119766</v>
      </c>
    </row>
    <row r="12" spans="1:23">
      <c r="A12" s="18" t="s">
        <v>35</v>
      </c>
      <c r="B12" s="4">
        <f>'2010-10'!B12</f>
        <v>64.046411741712433</v>
      </c>
      <c r="C12" s="4">
        <f>'2010-10'!C12</f>
        <v>74.901794999095003</v>
      </c>
      <c r="D12" s="16">
        <f t="shared" si="8"/>
        <v>74901.794999095</v>
      </c>
      <c r="E12" s="4">
        <f>'Interval Circuities'!G12</f>
        <v>1.1775894338342325</v>
      </c>
      <c r="F12" s="4">
        <f t="shared" si="0"/>
        <v>54.387726232543748</v>
      </c>
      <c r="G12" s="4">
        <f t="shared" si="1"/>
        <v>54.387726232543748</v>
      </c>
      <c r="H12" s="4">
        <f t="shared" si="2"/>
        <v>9292.9088700631091</v>
      </c>
      <c r="I12" s="4">
        <f t="shared" si="9"/>
        <v>1034.7499169004755</v>
      </c>
      <c r="J12" s="33">
        <f>'2010-10'!J12</f>
        <v>1322.0923989999999</v>
      </c>
      <c r="K12" s="33">
        <f>'2010-10'!K12</f>
        <v>1368035</v>
      </c>
      <c r="L12" s="22">
        <f t="shared" si="3"/>
        <v>9615836.6810614932</v>
      </c>
      <c r="M12" s="22">
        <f t="shared" si="4"/>
        <v>1368035</v>
      </c>
      <c r="N12" s="19" t="s">
        <v>91</v>
      </c>
      <c r="O12" s="4">
        <f t="shared" si="5"/>
        <v>567.53143771761449</v>
      </c>
      <c r="P12" s="13">
        <f>'2010-10'!P12</f>
        <v>750329</v>
      </c>
      <c r="Q12" s="22">
        <f t="shared" si="6"/>
        <v>5274017.9316056883</v>
      </c>
      <c r="R12" s="13">
        <f t="shared" si="7"/>
        <v>750329</v>
      </c>
      <c r="W12" s="18">
        <f t="shared" si="10"/>
        <v>0.54847207856524127</v>
      </c>
    </row>
    <row r="13" spans="1:23">
      <c r="A13" s="18" t="s">
        <v>61</v>
      </c>
      <c r="B13" s="4">
        <f>'2010-10'!B13</f>
        <v>65.991437704144019</v>
      </c>
      <c r="C13" s="4">
        <f>'2010-10'!C13</f>
        <v>78.097331458401655</v>
      </c>
      <c r="D13" s="16">
        <f t="shared" si="8"/>
        <v>78097.331458401648</v>
      </c>
      <c r="E13" s="4">
        <f>'Interval Circuities'!G13</f>
        <v>1.2313593343456124</v>
      </c>
      <c r="F13" s="4">
        <f t="shared" si="0"/>
        <v>53.592347792786406</v>
      </c>
      <c r="G13" s="4">
        <f t="shared" si="1"/>
        <v>53.592347792786406</v>
      </c>
      <c r="H13" s="4">
        <f t="shared" si="2"/>
        <v>9023.0931133713439</v>
      </c>
      <c r="I13" s="4">
        <f t="shared" si="9"/>
        <v>1111.5370303722236</v>
      </c>
      <c r="J13" s="33">
        <f>'2010-10'!J13</f>
        <v>4607.9364519999999</v>
      </c>
      <c r="K13" s="33">
        <f>'2010-10'!K13</f>
        <v>5121892</v>
      </c>
      <c r="L13" s="22">
        <f t="shared" si="3"/>
        <v>10029502.124008846</v>
      </c>
      <c r="M13" s="22">
        <f t="shared" si="4"/>
        <v>5121892</v>
      </c>
      <c r="N13" s="19" t="s">
        <v>91</v>
      </c>
      <c r="O13" s="4">
        <f t="shared" si="5"/>
        <v>544.77313785663296</v>
      </c>
      <c r="P13" s="13">
        <f>'2010-10'!P13</f>
        <v>2510280</v>
      </c>
      <c r="Q13" s="22">
        <f t="shared" si="6"/>
        <v>4915538.7485438827</v>
      </c>
      <c r="R13" s="13">
        <f t="shared" si="7"/>
        <v>2510280</v>
      </c>
      <c r="W13" s="18">
        <f t="shared" si="10"/>
        <v>0.49010795229575321</v>
      </c>
    </row>
    <row r="14" spans="1:23">
      <c r="A14" s="18" t="s">
        <v>36</v>
      </c>
      <c r="B14" s="4">
        <f>'2010-10'!B14</f>
        <v>60.705617754852213</v>
      </c>
      <c r="C14" s="4">
        <f>'2010-10'!C14</f>
        <v>72.576467255996263</v>
      </c>
      <c r="D14" s="16">
        <f t="shared" si="8"/>
        <v>72576.467255996264</v>
      </c>
      <c r="E14" s="4">
        <f>'Interval Circuities'!G14</f>
        <v>1.338527756308961</v>
      </c>
      <c r="F14" s="4">
        <f t="shared" si="0"/>
        <v>45.352528155449058</v>
      </c>
      <c r="G14" s="4">
        <f t="shared" si="1"/>
        <v>45.352528155449058</v>
      </c>
      <c r="H14" s="4">
        <f t="shared" si="2"/>
        <v>6461.7905361041239</v>
      </c>
      <c r="I14" s="4">
        <f t="shared" si="9"/>
        <v>1372.3806261261409</v>
      </c>
      <c r="J14" s="33">
        <f>'2010-10'!J14</f>
        <v>1729.9887180000001</v>
      </c>
      <c r="K14" s="33">
        <f>'2010-10'!K14</f>
        <v>2374203</v>
      </c>
      <c r="L14" s="22">
        <f t="shared" si="3"/>
        <v>8868036.1418345496</v>
      </c>
      <c r="M14" s="22">
        <f t="shared" si="4"/>
        <v>2374203</v>
      </c>
      <c r="N14" s="19" t="s">
        <v>91</v>
      </c>
      <c r="O14" s="4">
        <f t="shared" si="5"/>
        <v>600.08830647183447</v>
      </c>
      <c r="P14" s="13">
        <f>'2010-10'!P14</f>
        <v>1038146</v>
      </c>
      <c r="Q14" s="22">
        <f t="shared" si="6"/>
        <v>3877644.9395864513</v>
      </c>
      <c r="R14" s="13">
        <f t="shared" si="7"/>
        <v>1038146</v>
      </c>
      <c r="W14" s="18">
        <f t="shared" si="10"/>
        <v>0.43726084079583766</v>
      </c>
    </row>
    <row r="15" spans="1:23">
      <c r="A15" s="18" t="s">
        <v>37</v>
      </c>
      <c r="B15" s="4">
        <f>'2010-10'!B15</f>
        <v>62.147901133486052</v>
      </c>
      <c r="C15" s="4">
        <f>'2010-10'!C15</f>
        <v>71.579622920369374</v>
      </c>
      <c r="D15" s="16">
        <f t="shared" si="8"/>
        <v>71579.62292036938</v>
      </c>
      <c r="E15" s="4">
        <f>'Interval Circuities'!G15</f>
        <v>1.1893966318471174</v>
      </c>
      <c r="F15" s="4">
        <f t="shared" si="0"/>
        <v>52.25162024964807</v>
      </c>
      <c r="G15" s="4">
        <f t="shared" si="1"/>
        <v>52.25162024964807</v>
      </c>
      <c r="H15" s="4">
        <f t="shared" si="2"/>
        <v>8577.2762242672197</v>
      </c>
      <c r="I15" s="4">
        <f t="shared" si="9"/>
        <v>1078.2087468947925</v>
      </c>
      <c r="J15" s="33">
        <f>'2010-10'!J15</f>
        <v>3463.2347500000001</v>
      </c>
      <c r="K15" s="33">
        <f>'2010-10'!K15</f>
        <v>3734090</v>
      </c>
      <c r="L15" s="22">
        <f t="shared" si="3"/>
        <v>9248094.2495376561</v>
      </c>
      <c r="M15" s="22">
        <f t="shared" si="4"/>
        <v>3734090</v>
      </c>
      <c r="N15" s="19" t="s">
        <v>91</v>
      </c>
      <c r="O15" s="4">
        <f t="shared" si="5"/>
        <v>433.40348210585495</v>
      </c>
      <c r="P15" s="13">
        <f>'2010-10'!P15</f>
        <v>1500978</v>
      </c>
      <c r="Q15" s="22">
        <f t="shared" si="6"/>
        <v>3717421.382581173</v>
      </c>
      <c r="R15" s="13">
        <f t="shared" si="7"/>
        <v>1500978</v>
      </c>
      <c r="W15" s="18">
        <f t="shared" si="10"/>
        <v>0.4019662086345</v>
      </c>
    </row>
    <row r="16" spans="1:23">
      <c r="A16" s="18" t="s">
        <v>79</v>
      </c>
      <c r="B16" s="4">
        <f>'2010-10'!B16</f>
        <v>67.784674216887879</v>
      </c>
      <c r="C16" s="4">
        <f>'2010-10'!C16</f>
        <v>73.484930426832634</v>
      </c>
      <c r="D16" s="16">
        <f t="shared" si="8"/>
        <v>73484.930426832638</v>
      </c>
      <c r="E16" s="4">
        <f>'Interval Circuities'!G16</f>
        <v>1.2335421845251597</v>
      </c>
      <c r="F16" s="4">
        <f t="shared" si="0"/>
        <v>54.951241284853943</v>
      </c>
      <c r="G16" s="4">
        <f t="shared" si="1"/>
        <v>54.951241284853943</v>
      </c>
      <c r="H16" s="4">
        <f t="shared" si="2"/>
        <v>9486.4754436270032</v>
      </c>
      <c r="I16" s="4">
        <f t="shared" si="9"/>
        <v>784.29737505885555</v>
      </c>
      <c r="J16" s="33">
        <f>'2010-10'!J16</f>
        <v>726.68227400000001</v>
      </c>
      <c r="K16" s="33">
        <f>'2010-10'!K16</f>
        <v>569935</v>
      </c>
      <c r="L16" s="22">
        <f t="shared" si="3"/>
        <v>7440217.7889969507</v>
      </c>
      <c r="M16" s="22">
        <f t="shared" si="4"/>
        <v>569935</v>
      </c>
      <c r="N16" s="19" t="s">
        <v>91</v>
      </c>
      <c r="O16" s="4">
        <f t="shared" si="5"/>
        <v>438.1103150453344</v>
      </c>
      <c r="P16" s="13">
        <f>'2010-10'!P16</f>
        <v>318367</v>
      </c>
      <c r="Q16" s="22">
        <f t="shared" si="6"/>
        <v>4156122.7452772548</v>
      </c>
      <c r="R16" s="13">
        <f t="shared" si="7"/>
        <v>318367</v>
      </c>
      <c r="W16" s="18">
        <f t="shared" si="10"/>
        <v>0.55860229675313855</v>
      </c>
    </row>
    <row r="17" spans="1:23">
      <c r="A17" s="18" t="s">
        <v>511</v>
      </c>
      <c r="B17" s="4">
        <f>'2010-10'!B17</f>
        <v>64.715366633523445</v>
      </c>
      <c r="C17" s="4">
        <f>'2010-10'!C17</f>
        <v>75.511487142105324</v>
      </c>
      <c r="D17" s="16">
        <f t="shared" si="8"/>
        <v>75511.487142105325</v>
      </c>
      <c r="E17" s="4">
        <f>'Interval Circuities'!G17</f>
        <v>1.3154823264242705</v>
      </c>
      <c r="F17" s="4">
        <f t="shared" si="0"/>
        <v>49.195162362562513</v>
      </c>
      <c r="G17" s="4">
        <f t="shared" si="1"/>
        <v>49.195162362562513</v>
      </c>
      <c r="H17" s="4">
        <f t="shared" si="2"/>
        <v>7603.1694425020014</v>
      </c>
      <c r="I17" s="4">
        <f t="shared" si="9"/>
        <v>1078.4020248075806</v>
      </c>
      <c r="J17" s="33">
        <f>'2010-10'!J17</f>
        <v>1334.9993480000001</v>
      </c>
      <c r="K17" s="33">
        <f>'2010-10'!K17</f>
        <v>1439666</v>
      </c>
      <c r="L17" s="22">
        <f t="shared" si="3"/>
        <v>8199273.3217492821</v>
      </c>
      <c r="M17" s="22">
        <f t="shared" si="4"/>
        <v>1439666</v>
      </c>
      <c r="N17" s="19" t="s">
        <v>91</v>
      </c>
      <c r="O17" s="4">
        <f t="shared" si="5"/>
        <v>444.79197753136282</v>
      </c>
      <c r="P17" s="13">
        <f>'2010-10'!P17</f>
        <v>593797</v>
      </c>
      <c r="Q17" s="22">
        <f t="shared" si="6"/>
        <v>3381828.7718364946</v>
      </c>
      <c r="R17" s="13">
        <f t="shared" si="7"/>
        <v>593797</v>
      </c>
      <c r="W17" s="18">
        <f t="shared" si="10"/>
        <v>0.41245469435271798</v>
      </c>
    </row>
    <row r="18" spans="1:23">
      <c r="A18" s="18" t="s">
        <v>38</v>
      </c>
      <c r="B18" s="4">
        <f>'2010-10'!B18</f>
        <v>63.831016736397409</v>
      </c>
      <c r="C18" s="4">
        <f>'2010-10'!C18</f>
        <v>74.742968134682343</v>
      </c>
      <c r="D18" s="16">
        <f t="shared" si="8"/>
        <v>74742.968134682349</v>
      </c>
      <c r="E18" s="4">
        <f>'Interval Circuities'!G18</f>
        <v>1.2229075630591091</v>
      </c>
      <c r="F18" s="4">
        <f t="shared" si="0"/>
        <v>52.196109227359599</v>
      </c>
      <c r="G18" s="4">
        <f t="shared" si="1"/>
        <v>52.196109227359599</v>
      </c>
      <c r="H18" s="4">
        <f t="shared" si="2"/>
        <v>8559.0612693109324</v>
      </c>
      <c r="I18" s="4">
        <f t="shared" si="9"/>
        <v>691.70595675577363</v>
      </c>
      <c r="J18" s="33">
        <f>'2010-10'!J18</f>
        <v>1337.0695900000001</v>
      </c>
      <c r="K18" s="33">
        <f>'2010-10'!K18</f>
        <v>924859</v>
      </c>
      <c r="L18" s="22">
        <f t="shared" si="3"/>
        <v>5920353.6642200043</v>
      </c>
      <c r="M18" s="22">
        <f t="shared" si="4"/>
        <v>924859</v>
      </c>
      <c r="N18" s="19" t="s">
        <v>91</v>
      </c>
      <c r="O18" s="4">
        <f t="shared" si="5"/>
        <v>395.88290987905873</v>
      </c>
      <c r="P18" s="13">
        <f>'2010-10'!P18</f>
        <v>529323</v>
      </c>
      <c r="Q18" s="22">
        <f t="shared" si="6"/>
        <v>3388386.0811279621</v>
      </c>
      <c r="R18" s="13">
        <f t="shared" si="7"/>
        <v>529323</v>
      </c>
      <c r="W18" s="18">
        <f t="shared" si="10"/>
        <v>0.57232832247942667</v>
      </c>
    </row>
    <row r="19" spans="1:23">
      <c r="A19" s="18" t="s">
        <v>80</v>
      </c>
      <c r="B19" s="4">
        <f>'2010-10'!B19</f>
        <v>54.710932805374171</v>
      </c>
      <c r="C19" s="4">
        <f>'2010-10'!C19</f>
        <v>67.860376115847075</v>
      </c>
      <c r="D19" s="16">
        <f t="shared" si="8"/>
        <v>67860.376115847073</v>
      </c>
      <c r="E19" s="4">
        <f>'Interval Circuities'!G19</f>
        <v>1.4453004287893763</v>
      </c>
      <c r="F19" s="4">
        <f t="shared" si="0"/>
        <v>37.854366964522086</v>
      </c>
      <c r="G19" s="4">
        <f t="shared" si="1"/>
        <v>37.854366964522086</v>
      </c>
      <c r="H19" s="4">
        <f t="shared" si="2"/>
        <v>4501.7549265099497</v>
      </c>
      <c r="I19" s="4">
        <f t="shared" si="9"/>
        <v>1820.7093992818395</v>
      </c>
      <c r="J19" s="33">
        <f>'2010-10'!J19</f>
        <v>440.73974700000002</v>
      </c>
      <c r="K19" s="33">
        <f>'2010-10'!K19</f>
        <v>802459</v>
      </c>
      <c r="L19" s="22">
        <f t="shared" si="3"/>
        <v>8196387.5079599917</v>
      </c>
      <c r="M19" s="22">
        <f t="shared" si="4"/>
        <v>802459</v>
      </c>
      <c r="N19" s="19" t="s">
        <v>91</v>
      </c>
      <c r="O19" s="4">
        <f t="shared" si="5"/>
        <v>762.20491182520914</v>
      </c>
      <c r="P19" s="13">
        <f>'2010-10'!P19</f>
        <v>335934</v>
      </c>
      <c r="Q19" s="22">
        <f t="shared" si="6"/>
        <v>3431259.716819217</v>
      </c>
      <c r="R19" s="13">
        <f t="shared" si="7"/>
        <v>335934</v>
      </c>
      <c r="W19" s="18">
        <f t="shared" si="10"/>
        <v>0.41863073378203747</v>
      </c>
    </row>
    <row r="20" spans="1:23">
      <c r="A20" s="18" t="s">
        <v>39</v>
      </c>
      <c r="B20" s="4">
        <f>'2010-10'!B20</f>
        <v>66.693022833822994</v>
      </c>
      <c r="C20" s="4">
        <f>'2010-10'!C20</f>
        <v>78.916174325560149</v>
      </c>
      <c r="D20" s="16">
        <f t="shared" si="8"/>
        <v>78916.174325560147</v>
      </c>
      <c r="E20" s="4">
        <f>'Interval Circuities'!G20</f>
        <v>1.2531681942574937</v>
      </c>
      <c r="F20" s="4">
        <f t="shared" si="0"/>
        <v>53.21953041853159</v>
      </c>
      <c r="G20" s="4">
        <f t="shared" si="1"/>
        <v>53.21953041853159</v>
      </c>
      <c r="H20" s="4">
        <f t="shared" si="2"/>
        <v>8897.9907345185038</v>
      </c>
      <c r="I20" s="4">
        <f t="shared" si="9"/>
        <v>1149.9995031423985</v>
      </c>
      <c r="J20" s="33">
        <f>'2010-10'!J20</f>
        <v>4299.4209879999999</v>
      </c>
      <c r="K20" s="33">
        <f>'2010-10'!K20</f>
        <v>4944332</v>
      </c>
      <c r="L20" s="22">
        <f t="shared" si="3"/>
        <v>10232684.923661944</v>
      </c>
      <c r="M20" s="22">
        <f t="shared" si="4"/>
        <v>4944332</v>
      </c>
      <c r="N20" s="19" t="s">
        <v>91</v>
      </c>
      <c r="O20" s="4">
        <f t="shared" si="5"/>
        <v>506.24654019109983</v>
      </c>
      <c r="P20" s="13">
        <f>'2010-10'!P20</f>
        <v>2176567</v>
      </c>
      <c r="Q20" s="22">
        <f t="shared" si="6"/>
        <v>4504577.0240024552</v>
      </c>
      <c r="R20" s="13">
        <f t="shared" si="7"/>
        <v>2176567</v>
      </c>
      <c r="W20" s="18">
        <f t="shared" si="10"/>
        <v>0.44021457296961453</v>
      </c>
    </row>
    <row r="21" spans="1:23">
      <c r="A21" s="18" t="s">
        <v>40</v>
      </c>
      <c r="B21" s="4">
        <f>'2010-10'!B21</f>
        <v>62.662263546111326</v>
      </c>
      <c r="C21" s="4">
        <f>'2010-10'!C21</f>
        <v>72.333701669204501</v>
      </c>
      <c r="D21" s="16">
        <f t="shared" si="8"/>
        <v>72333.7016692045</v>
      </c>
      <c r="E21" s="4">
        <f>'Interval Circuities'!G21</f>
        <v>1.1942370623952343</v>
      </c>
      <c r="F21" s="4">
        <f t="shared" si="0"/>
        <v>52.470539995159832</v>
      </c>
      <c r="G21" s="4">
        <f t="shared" si="1"/>
        <v>52.470539995159832</v>
      </c>
      <c r="H21" s="4">
        <f t="shared" si="2"/>
        <v>8649.2995878676757</v>
      </c>
      <c r="I21" s="4">
        <f t="shared" si="9"/>
        <v>813.78264340099747</v>
      </c>
      <c r="J21" s="33">
        <f>'2010-10'!J21</f>
        <v>1827.8627739999999</v>
      </c>
      <c r="K21" s="33">
        <f>'2010-10'!K21</f>
        <v>1487483</v>
      </c>
      <c r="L21" s="22">
        <f t="shared" si="3"/>
        <v>7038649.8821821148</v>
      </c>
      <c r="M21" s="22">
        <f t="shared" si="4"/>
        <v>1487483</v>
      </c>
      <c r="N21" s="19" t="s">
        <v>91</v>
      </c>
      <c r="O21" s="4">
        <f t="shared" si="5"/>
        <v>406.44134262564722</v>
      </c>
      <c r="P21" s="13">
        <f>'2010-10'!P21</f>
        <v>742919</v>
      </c>
      <c r="Q21" s="22">
        <f t="shared" si="6"/>
        <v>3515432.9372643954</v>
      </c>
      <c r="R21" s="13">
        <f t="shared" si="7"/>
        <v>742919</v>
      </c>
      <c r="W21" s="18">
        <f t="shared" si="10"/>
        <v>0.49944705250412946</v>
      </c>
    </row>
    <row r="22" spans="1:23" ht="16">
      <c r="A22" s="18" t="s">
        <v>118</v>
      </c>
      <c r="B22" s="4">
        <f>'2010-10'!B22</f>
        <v>72.107428140171564</v>
      </c>
      <c r="C22" s="4">
        <f>'2010-10'!C22</f>
        <v>84.099901925483479</v>
      </c>
      <c r="D22" s="16">
        <f t="shared" si="8"/>
        <v>84099.901925483486</v>
      </c>
      <c r="E22" s="4">
        <f>'Interval Circuities'!G22</f>
        <v>1.3458390291766396</v>
      </c>
      <c r="F22" s="4">
        <f t="shared" si="0"/>
        <v>53.578048025762492</v>
      </c>
      <c r="G22" s="4">
        <f t="shared" si="1"/>
        <v>53.578048025762492</v>
      </c>
      <c r="H22" s="4">
        <f t="shared" si="2"/>
        <v>9018.2785858980078</v>
      </c>
      <c r="I22" s="4">
        <f t="shared" si="9"/>
        <v>1369.2709398652264</v>
      </c>
      <c r="J22" s="33">
        <f>'2010-10'!J22</f>
        <v>1411.4562309999999</v>
      </c>
      <c r="K22" s="33">
        <f>'2010-10'!K22</f>
        <v>1932666</v>
      </c>
      <c r="L22" s="22">
        <f t="shared" si="3"/>
        <v>12348466.795279009</v>
      </c>
      <c r="M22" s="22">
        <f t="shared" si="4"/>
        <v>1932666</v>
      </c>
      <c r="N22" s="19" t="s">
        <v>91</v>
      </c>
      <c r="O22" s="4">
        <f t="shared" si="5"/>
        <v>678.25411725430968</v>
      </c>
      <c r="P22" s="13">
        <f>'2010-10'!P22</f>
        <v>957326</v>
      </c>
      <c r="Q22" s="22">
        <f t="shared" si="6"/>
        <v>6116684.5814316971</v>
      </c>
      <c r="R22" s="13">
        <f t="shared" si="7"/>
        <v>957326</v>
      </c>
      <c r="W22" s="18">
        <f t="shared" si="10"/>
        <v>0.49533959825443197</v>
      </c>
    </row>
    <row r="23" spans="1:23">
      <c r="A23" s="18" t="s">
        <v>41</v>
      </c>
      <c r="B23" s="4">
        <f>'2010-10'!B23</f>
        <v>69.127068300037649</v>
      </c>
      <c r="C23" s="4">
        <f>'2010-10'!C23</f>
        <v>78.497147187767681</v>
      </c>
      <c r="D23" s="16">
        <f t="shared" si="8"/>
        <v>78497.147187767681</v>
      </c>
      <c r="E23" s="4">
        <f>'Interval Circuities'!G23</f>
        <v>1.2915527198385739</v>
      </c>
      <c r="F23" s="4">
        <f t="shared" si="0"/>
        <v>53.522451881544235</v>
      </c>
      <c r="G23" s="4">
        <f t="shared" si="1"/>
        <v>53.522451881544235</v>
      </c>
      <c r="H23" s="4">
        <f t="shared" si="2"/>
        <v>8999.5723656480477</v>
      </c>
      <c r="I23" s="4">
        <f t="shared" si="9"/>
        <v>775.48585132918799</v>
      </c>
      <c r="J23" s="33">
        <f>'2010-10'!J23</f>
        <v>1373.6150029999999</v>
      </c>
      <c r="K23" s="33">
        <f>'2010-10'!K23</f>
        <v>1065219</v>
      </c>
      <c r="L23" s="22">
        <f t="shared" si="3"/>
        <v>6979041.0375732109</v>
      </c>
      <c r="M23" s="22">
        <f t="shared" si="4"/>
        <v>1065219</v>
      </c>
      <c r="N23" s="19" t="s">
        <v>91</v>
      </c>
      <c r="O23" s="4">
        <f t="shared" si="5"/>
        <v>626.55110647477409</v>
      </c>
      <c r="P23" s="13">
        <f>'2010-10'!P23</f>
        <v>860640</v>
      </c>
      <c r="Q23" s="22">
        <f t="shared" si="6"/>
        <v>5638692.023496584</v>
      </c>
      <c r="R23" s="13">
        <f t="shared" si="7"/>
        <v>860640</v>
      </c>
      <c r="W23" s="18">
        <f t="shared" si="10"/>
        <v>0.80794653493788593</v>
      </c>
    </row>
    <row r="24" spans="1:23">
      <c r="A24" s="18" t="s">
        <v>74</v>
      </c>
      <c r="B24" s="4">
        <f>'2010-10'!B24</f>
        <v>67.812288769795572</v>
      </c>
      <c r="C24" s="4">
        <f>'2010-10'!C24</f>
        <v>74.592726606374868</v>
      </c>
      <c r="D24" s="16">
        <f t="shared" si="8"/>
        <v>74592.726606374868</v>
      </c>
      <c r="E24" s="4">
        <f>'Interval Circuities'!G24</f>
        <v>1.2416589206724986</v>
      </c>
      <c r="F24" s="4">
        <f t="shared" si="0"/>
        <v>54.614264546231063</v>
      </c>
      <c r="G24" s="4">
        <f t="shared" si="1"/>
        <v>54.614264546231063</v>
      </c>
      <c r="H24" s="4">
        <f t="shared" si="2"/>
        <v>9370.4846170046494</v>
      </c>
      <c r="I24" s="4">
        <f t="shared" si="9"/>
        <v>865.47479649931279</v>
      </c>
      <c r="J24" s="33">
        <f>'2010-10'!J24</f>
        <v>1755.5878070000001</v>
      </c>
      <c r="K24" s="33">
        <f>'2010-10'!K24</f>
        <v>1519417</v>
      </c>
      <c r="L24" s="22">
        <f t="shared" si="3"/>
        <v>8109918.2670020396</v>
      </c>
      <c r="M24" s="22">
        <f t="shared" si="4"/>
        <v>1519417</v>
      </c>
      <c r="N24" s="19" t="s">
        <v>91</v>
      </c>
      <c r="O24" s="4">
        <f t="shared" si="5"/>
        <v>528.94933326453656</v>
      </c>
      <c r="P24" s="13">
        <f>'2010-10'!P24</f>
        <v>928617</v>
      </c>
      <c r="Q24" s="22">
        <f t="shared" si="6"/>
        <v>4956511.5905302055</v>
      </c>
      <c r="R24" s="13">
        <f t="shared" si="7"/>
        <v>928617</v>
      </c>
      <c r="W24" s="18">
        <f t="shared" si="10"/>
        <v>0.61116665141959059</v>
      </c>
    </row>
    <row r="25" spans="1:23">
      <c r="A25" s="18" t="s">
        <v>62</v>
      </c>
      <c r="B25" s="4">
        <f>'2010-10'!B25</f>
        <v>62.454008275887581</v>
      </c>
      <c r="C25" s="4">
        <f>'2010-10'!C25</f>
        <v>72.980903634295757</v>
      </c>
      <c r="D25" s="16">
        <f t="shared" si="8"/>
        <v>72980.903634295755</v>
      </c>
      <c r="E25" s="4">
        <f>'Interval Circuities'!G25</f>
        <v>1.3134289998384046</v>
      </c>
      <c r="F25" s="4">
        <f t="shared" si="0"/>
        <v>47.550349720899646</v>
      </c>
      <c r="G25" s="4">
        <f t="shared" si="1"/>
        <v>47.550349720899646</v>
      </c>
      <c r="H25" s="4">
        <f t="shared" si="2"/>
        <v>7103.2533286583166</v>
      </c>
      <c r="I25" s="4">
        <f t="shared" si="9"/>
        <v>1746.9193703498715</v>
      </c>
      <c r="J25" s="33">
        <f>'2010-10'!J25</f>
        <v>1079.621093</v>
      </c>
      <c r="K25" s="33">
        <f>'2010-10'!K25</f>
        <v>1886011</v>
      </c>
      <c r="L25" s="22">
        <f t="shared" si="3"/>
        <v>12408810.832335416</v>
      </c>
      <c r="M25" s="22">
        <f t="shared" si="4"/>
        <v>1886011</v>
      </c>
      <c r="N25" s="19" t="s">
        <v>91</v>
      </c>
      <c r="O25" s="4">
        <f t="shared" si="5"/>
        <v>677.90079755323939</v>
      </c>
      <c r="P25" s="13">
        <f>'2010-10'!P25</f>
        <v>731876</v>
      </c>
      <c r="Q25" s="22">
        <f t="shared" si="6"/>
        <v>4815301.0967201749</v>
      </c>
      <c r="R25" s="13">
        <f t="shared" si="7"/>
        <v>731876</v>
      </c>
      <c r="W25" s="18">
        <f t="shared" si="10"/>
        <v>0.38805500073965626</v>
      </c>
    </row>
    <row r="26" spans="1:23" ht="16">
      <c r="A26" s="18" t="s">
        <v>119</v>
      </c>
      <c r="B26" s="4">
        <f>'2010-10'!B26</f>
        <v>67.712654237264687</v>
      </c>
      <c r="C26" s="4">
        <f>'2010-10'!C26</f>
        <v>83.333789923093292</v>
      </c>
      <c r="D26" s="16">
        <f t="shared" si="8"/>
        <v>83333.789923093296</v>
      </c>
      <c r="E26" s="4">
        <f>'Interval Circuities'!G26</f>
        <v>1.234819235892737</v>
      </c>
      <c r="F26" s="4">
        <f t="shared" si="0"/>
        <v>54.836086342881174</v>
      </c>
      <c r="G26" s="4">
        <f t="shared" si="1"/>
        <v>54.836086342881174</v>
      </c>
      <c r="H26" s="4">
        <f t="shared" si="2"/>
        <v>9446.7576909241616</v>
      </c>
      <c r="I26" s="4">
        <f t="shared" si="9"/>
        <v>2702.4637693066888</v>
      </c>
      <c r="J26" s="33">
        <f>'2010-10'!J26</f>
        <v>4496.2660139999998</v>
      </c>
      <c r="K26" s="33">
        <f>'2010-10'!K26</f>
        <v>12150996</v>
      </c>
      <c r="L26" s="22">
        <f t="shared" si="3"/>
        <v>25529520.397141863</v>
      </c>
      <c r="M26" s="22">
        <f t="shared" si="4"/>
        <v>12150996</v>
      </c>
      <c r="N26" s="19" t="s">
        <v>91</v>
      </c>
      <c r="O26" s="4">
        <f t="shared" si="5"/>
        <v>1079.1963787042962</v>
      </c>
      <c r="P26" s="13">
        <f>'2010-10'!P26</f>
        <v>4852354</v>
      </c>
      <c r="Q26" s="22">
        <f t="shared" si="6"/>
        <v>10194906.690542314</v>
      </c>
      <c r="R26" s="13">
        <f t="shared" si="7"/>
        <v>4852354</v>
      </c>
      <c r="W26" s="18">
        <f t="shared" si="10"/>
        <v>0.39933796373564767</v>
      </c>
    </row>
    <row r="27" spans="1:23">
      <c r="A27" s="18" t="s">
        <v>42</v>
      </c>
      <c r="B27" s="4">
        <f>'2010-10'!B27</f>
        <v>69.762390899595417</v>
      </c>
      <c r="C27" s="4">
        <f>'2010-10'!C27</f>
        <v>80.633405227489121</v>
      </c>
      <c r="D27" s="16">
        <f t="shared" si="8"/>
        <v>80633.405227489115</v>
      </c>
      <c r="E27" s="4">
        <f>'Interval Circuities'!G27</f>
        <v>1.3030928137601026</v>
      </c>
      <c r="F27" s="4">
        <f t="shared" si="0"/>
        <v>53.536010760656815</v>
      </c>
      <c r="G27" s="4">
        <f t="shared" si="1"/>
        <v>53.536010760656815</v>
      </c>
      <c r="H27" s="4">
        <f t="shared" si="2"/>
        <v>9004.132678776703</v>
      </c>
      <c r="I27" s="4">
        <f t="shared" si="9"/>
        <v>787.6776339629688</v>
      </c>
      <c r="J27" s="33">
        <f>'2010-10'!J27</f>
        <v>1234.70054</v>
      </c>
      <c r="K27" s="33">
        <f>'2010-10'!K27</f>
        <v>972546</v>
      </c>
      <c r="L27" s="22">
        <f t="shared" si="3"/>
        <v>7092353.9243074814</v>
      </c>
      <c r="M27" s="22">
        <f t="shared" si="4"/>
        <v>972546</v>
      </c>
      <c r="N27" s="19" t="s">
        <v>91</v>
      </c>
      <c r="O27" s="4">
        <f t="shared" si="5"/>
        <v>417.10518730314965</v>
      </c>
      <c r="P27" s="13">
        <f>'2010-10'!P27</f>
        <v>515000</v>
      </c>
      <c r="Q27" s="22">
        <f t="shared" si="6"/>
        <v>3755670.4474835671</v>
      </c>
      <c r="R27" s="13">
        <f t="shared" si="7"/>
        <v>515000</v>
      </c>
      <c r="W27" s="18">
        <f t="shared" si="10"/>
        <v>0.52953793445245778</v>
      </c>
    </row>
    <row r="28" spans="1:23">
      <c r="A28" s="18" t="s">
        <v>43</v>
      </c>
      <c r="B28" s="4">
        <f>'2010-10'!B28</f>
        <v>66.011797525453602</v>
      </c>
      <c r="C28" s="4">
        <f>'2010-10'!C28</f>
        <v>76.864865322833012</v>
      </c>
      <c r="D28" s="16">
        <f t="shared" si="8"/>
        <v>76864.865322833008</v>
      </c>
      <c r="E28" s="4">
        <f>'Interval Circuities'!G28</f>
        <v>1.2434385553193854</v>
      </c>
      <c r="F28" s="4">
        <f t="shared" si="0"/>
        <v>53.088105755654354</v>
      </c>
      <c r="G28" s="4">
        <f t="shared" si="1"/>
        <v>53.088105755654354</v>
      </c>
      <c r="H28" s="4">
        <f t="shared" si="2"/>
        <v>8854.0981447753093</v>
      </c>
      <c r="I28" s="4">
        <f t="shared" si="9"/>
        <v>823.01437699234145</v>
      </c>
      <c r="J28" s="33">
        <f>'2010-10'!J28</f>
        <v>1288.022457</v>
      </c>
      <c r="K28" s="33">
        <f>'2010-10'!K28</f>
        <v>1060061</v>
      </c>
      <c r="L28" s="22">
        <f t="shared" si="3"/>
        <v>7287050.0684512975</v>
      </c>
      <c r="M28" s="22">
        <f t="shared" si="4"/>
        <v>1060061</v>
      </c>
      <c r="N28" s="19" t="s">
        <v>91</v>
      </c>
      <c r="O28" s="4">
        <f t="shared" si="5"/>
        <v>395.30832496967867</v>
      </c>
      <c r="P28" s="13">
        <f>'2010-10'!P28</f>
        <v>509166</v>
      </c>
      <c r="Q28" s="22">
        <f t="shared" si="6"/>
        <v>3500098.706728267</v>
      </c>
      <c r="R28" s="13">
        <f t="shared" si="7"/>
        <v>509166</v>
      </c>
      <c r="W28" s="18">
        <f t="shared" si="10"/>
        <v>0.48031764209795474</v>
      </c>
    </row>
    <row r="29" spans="1:23">
      <c r="A29" s="18" t="s">
        <v>44</v>
      </c>
      <c r="B29" s="4">
        <f>'2010-10'!B29</f>
        <v>66.575024815111192</v>
      </c>
      <c r="C29" s="4">
        <f>'2010-10'!C29</f>
        <v>73.723640962925515</v>
      </c>
      <c r="D29" s="16">
        <f t="shared" si="8"/>
        <v>73723.640962925521</v>
      </c>
      <c r="E29" s="4">
        <f>'Interval Circuities'!G29</f>
        <v>1.1641474476052645</v>
      </c>
      <c r="F29" s="4">
        <f t="shared" si="0"/>
        <v>57.187794340021824</v>
      </c>
      <c r="G29" s="4">
        <f t="shared" si="1"/>
        <v>57.187794340021824</v>
      </c>
      <c r="H29" s="4">
        <f t="shared" si="2"/>
        <v>10274.402283529118</v>
      </c>
      <c r="I29" s="4">
        <f t="shared" si="9"/>
        <v>974.04787636700348</v>
      </c>
      <c r="J29" s="33">
        <f>'2010-10'!J29</f>
        <v>1413.1502499999999</v>
      </c>
      <c r="K29" s="33">
        <f>'2010-10'!K29</f>
        <v>1376476</v>
      </c>
      <c r="L29" s="22">
        <f t="shared" si="3"/>
        <v>10007759.725211829</v>
      </c>
      <c r="M29" s="22">
        <f t="shared" si="4"/>
        <v>1376476</v>
      </c>
      <c r="N29" s="19" t="s">
        <v>91</v>
      </c>
      <c r="O29" s="4">
        <f t="shared" si="5"/>
        <v>521.72725440907652</v>
      </c>
      <c r="P29" s="13">
        <f>'2010-10'!P29</f>
        <v>737279</v>
      </c>
      <c r="Q29" s="22">
        <f t="shared" si="6"/>
        <v>5360435.6940799933</v>
      </c>
      <c r="R29" s="13">
        <f t="shared" si="7"/>
        <v>737279</v>
      </c>
      <c r="W29" s="18">
        <f t="shared" si="10"/>
        <v>0.53562793684742782</v>
      </c>
    </row>
    <row r="30" spans="1:23">
      <c r="A30" s="18" t="s">
        <v>45</v>
      </c>
      <c r="B30" s="4">
        <f>'2010-10'!B30</f>
        <v>72.35417413894163</v>
      </c>
      <c r="C30" s="4">
        <f>'2010-10'!C30</f>
        <v>80.92665935101023</v>
      </c>
      <c r="D30" s="16">
        <f t="shared" si="8"/>
        <v>80926.659351010225</v>
      </c>
      <c r="E30" s="4">
        <f>'Interval Circuities'!G30</f>
        <v>1.2240781563469771</v>
      </c>
      <c r="F30" s="4">
        <f t="shared" si="0"/>
        <v>59.109113060940956</v>
      </c>
      <c r="G30" s="4">
        <f t="shared" si="1"/>
        <v>59.109113060940956</v>
      </c>
      <c r="H30" s="4">
        <f t="shared" si="2"/>
        <v>10976.370507178486</v>
      </c>
      <c r="I30" s="4">
        <f t="shared" si="9"/>
        <v>1001.6752173390063</v>
      </c>
      <c r="J30" s="33">
        <f>'2010-10'!J30</f>
        <v>2646.4566100000002</v>
      </c>
      <c r="K30" s="33">
        <f>'2010-10'!K30</f>
        <v>2650890</v>
      </c>
      <c r="L30" s="22">
        <f t="shared" si="3"/>
        <v>10994758.313371468</v>
      </c>
      <c r="M30" s="22">
        <f t="shared" si="4"/>
        <v>2650890</v>
      </c>
      <c r="N30" s="19" t="s">
        <v>91</v>
      </c>
      <c r="O30" s="4">
        <f t="shared" si="5"/>
        <v>594.14576987906855</v>
      </c>
      <c r="P30" s="13">
        <f>'2010-10'!P30</f>
        <v>1572381</v>
      </c>
      <c r="Q30" s="22">
        <f t="shared" si="6"/>
        <v>6521564.1054654634</v>
      </c>
      <c r="R30" s="13">
        <f t="shared" si="7"/>
        <v>1572381</v>
      </c>
      <c r="W30" s="18">
        <f t="shared" si="10"/>
        <v>0.59315211117775535</v>
      </c>
    </row>
    <row r="31" spans="1:23">
      <c r="A31" s="18" t="s">
        <v>46</v>
      </c>
      <c r="B31" s="4">
        <f>'2010-10'!B31</f>
        <v>66.509434242873198</v>
      </c>
      <c r="C31" s="4">
        <f>'2010-10'!C31</f>
        <v>79.192244463512992</v>
      </c>
      <c r="D31" s="16">
        <f t="shared" si="8"/>
        <v>79192.244463512994</v>
      </c>
      <c r="E31" s="4">
        <f>'Interval Circuities'!G31</f>
        <v>1.2671990831726268</v>
      </c>
      <c r="F31" s="4">
        <f t="shared" si="0"/>
        <v>52.485386965682345</v>
      </c>
      <c r="G31" s="4">
        <f t="shared" si="1"/>
        <v>52.485386965682345</v>
      </c>
      <c r="H31" s="4">
        <f t="shared" si="2"/>
        <v>8654.1950611827924</v>
      </c>
      <c r="I31" s="4">
        <f t="shared" si="9"/>
        <v>664.38482730522799</v>
      </c>
      <c r="J31" s="33">
        <f>'2010-10'!J31</f>
        <v>1459.375591</v>
      </c>
      <c r="K31" s="33">
        <f>'2010-10'!K31</f>
        <v>969587</v>
      </c>
      <c r="L31" s="22">
        <f t="shared" si="3"/>
        <v>5749715.891189686</v>
      </c>
      <c r="M31" s="22">
        <f t="shared" si="4"/>
        <v>969587</v>
      </c>
      <c r="N31" s="19" t="s">
        <v>91</v>
      </c>
      <c r="O31" s="4">
        <f t="shared" si="5"/>
        <v>447.40709932841406</v>
      </c>
      <c r="P31" s="13">
        <f>'2010-10'!P31</f>
        <v>652935</v>
      </c>
      <c r="Q31" s="22">
        <f t="shared" si="6"/>
        <v>3871948.3093460798</v>
      </c>
      <c r="R31" s="13">
        <f t="shared" si="7"/>
        <v>652935</v>
      </c>
      <c r="W31" s="18">
        <f t="shared" si="10"/>
        <v>0.67341558828655912</v>
      </c>
    </row>
    <row r="32" spans="1:23">
      <c r="A32" s="18" t="s">
        <v>47</v>
      </c>
      <c r="B32" s="4">
        <f>'2010-10'!B32</f>
        <v>70.113916315490926</v>
      </c>
      <c r="C32" s="4">
        <f>'2010-10'!C32</f>
        <v>78.214496785983556</v>
      </c>
      <c r="D32" s="16">
        <f t="shared" si="8"/>
        <v>78214.49678598356</v>
      </c>
      <c r="E32" s="4">
        <f>'Interval Circuities'!G32</f>
        <v>1.3385224152730324</v>
      </c>
      <c r="F32" s="4">
        <f t="shared" si="0"/>
        <v>52.381578011294685</v>
      </c>
      <c r="G32" s="4">
        <f t="shared" si="1"/>
        <v>52.381578011294685</v>
      </c>
      <c r="H32" s="4">
        <f t="shared" si="2"/>
        <v>8619.9952751988239</v>
      </c>
      <c r="I32" s="4">
        <f t="shared" si="9"/>
        <v>1381.8089483990395</v>
      </c>
      <c r="J32" s="33">
        <f>'2010-10'!J32</f>
        <v>651.10520599999995</v>
      </c>
      <c r="K32" s="33">
        <f>'2010-10'!K32</f>
        <v>899703</v>
      </c>
      <c r="L32" s="22">
        <f t="shared" si="3"/>
        <v>11911186.606427176</v>
      </c>
      <c r="M32" s="22">
        <f t="shared" si="4"/>
        <v>899703</v>
      </c>
      <c r="N32" s="19" t="s">
        <v>91</v>
      </c>
      <c r="O32" s="4">
        <f t="shared" si="5"/>
        <v>685.12276647347221</v>
      </c>
      <c r="P32" s="13">
        <f>'2010-10'!P32</f>
        <v>446087</v>
      </c>
      <c r="Q32" s="22">
        <f t="shared" si="6"/>
        <v>5905755.009932478</v>
      </c>
      <c r="R32" s="13">
        <f t="shared" si="7"/>
        <v>446087</v>
      </c>
      <c r="W32" s="18">
        <f t="shared" si="10"/>
        <v>0.49581584144990076</v>
      </c>
    </row>
    <row r="33" spans="1:23">
      <c r="A33" s="18" t="s">
        <v>64</v>
      </c>
      <c r="B33" s="4">
        <f>'2010-10'!B33</f>
        <v>60.636060061572778</v>
      </c>
      <c r="C33" s="4">
        <f>'2010-10'!C33</f>
        <v>75.646262173189555</v>
      </c>
      <c r="D33" s="16">
        <f t="shared" si="8"/>
        <v>75646.262173189549</v>
      </c>
      <c r="E33" s="4">
        <f>'Interval Circuities'!G33</f>
        <v>1.208396652771828</v>
      </c>
      <c r="F33" s="4">
        <f t="shared" si="0"/>
        <v>50.178937456079012</v>
      </c>
      <c r="G33" s="4">
        <f t="shared" si="1"/>
        <v>50.178937456079012</v>
      </c>
      <c r="H33" s="4">
        <f t="shared" si="2"/>
        <v>7910.2970831614393</v>
      </c>
      <c r="I33" s="4">
        <f t="shared" si="9"/>
        <v>2053.6406982836411</v>
      </c>
      <c r="J33" s="33">
        <f>'2010-10'!J33</f>
        <v>8935.9813599999998</v>
      </c>
      <c r="K33" s="33">
        <f>'2010-10'!K33</f>
        <v>18351295</v>
      </c>
      <c r="L33" s="22">
        <f t="shared" si="3"/>
        <v>16244908.025494708</v>
      </c>
      <c r="M33" s="22">
        <f t="shared" si="4"/>
        <v>16244908.025494708</v>
      </c>
      <c r="N33" s="19" t="s">
        <v>91</v>
      </c>
      <c r="O33" s="4">
        <f t="shared" si="5"/>
        <v>813.93354652208006</v>
      </c>
      <c r="P33" s="13">
        <f>'2010-10'!P33</f>
        <v>7273295</v>
      </c>
      <c r="Q33" s="22">
        <f t="shared" si="6"/>
        <v>6438456.1589408554</v>
      </c>
      <c r="R33" s="13">
        <f t="shared" si="7"/>
        <v>6438456.1589408554</v>
      </c>
      <c r="W33" s="18">
        <f t="shared" si="10"/>
        <v>0.39633687976788556</v>
      </c>
    </row>
    <row r="34" spans="1:23">
      <c r="A34" s="18" t="s">
        <v>65</v>
      </c>
      <c r="B34" s="4">
        <f>'2010-10'!B34</f>
        <v>62.746727907823015</v>
      </c>
      <c r="C34" s="4">
        <f>'2010-10'!C34</f>
        <v>70.343795554466837</v>
      </c>
      <c r="D34" s="16">
        <f t="shared" si="8"/>
        <v>70343.795554466837</v>
      </c>
      <c r="E34" s="4">
        <f>'Interval Circuities'!G34</f>
        <v>1.2344875734787604</v>
      </c>
      <c r="F34" s="4">
        <f t="shared" si="0"/>
        <v>50.828156763866026</v>
      </c>
      <c r="G34" s="4">
        <f t="shared" si="1"/>
        <v>50.828156763866026</v>
      </c>
      <c r="H34" s="4">
        <f t="shared" si="2"/>
        <v>8116.3093958082018</v>
      </c>
      <c r="I34" s="4">
        <f t="shared" si="9"/>
        <v>810.03967977262835</v>
      </c>
      <c r="J34" s="33">
        <f>'2010-10'!J34</f>
        <v>1063.53432</v>
      </c>
      <c r="K34" s="33">
        <f>'2010-10'!K34</f>
        <v>861505</v>
      </c>
      <c r="L34" s="22">
        <f t="shared" si="3"/>
        <v>6574532.6639160505</v>
      </c>
      <c r="M34" s="22">
        <f t="shared" si="4"/>
        <v>861505</v>
      </c>
      <c r="N34" s="19" t="s">
        <v>91</v>
      </c>
      <c r="O34" s="4">
        <f t="shared" si="5"/>
        <v>425.70699552037024</v>
      </c>
      <c r="P34" s="13">
        <f>'2010-10'!P34</f>
        <v>452754</v>
      </c>
      <c r="Q34" s="22">
        <f t="shared" si="6"/>
        <v>3455169.6876032609</v>
      </c>
      <c r="R34" s="13">
        <f t="shared" si="7"/>
        <v>452754</v>
      </c>
      <c r="W34" s="18">
        <f t="shared" si="10"/>
        <v>0.52553844725219234</v>
      </c>
    </row>
    <row r="35" spans="1:23">
      <c r="A35" s="18" t="s">
        <v>48</v>
      </c>
      <c r="B35" s="4">
        <f>'2010-10'!B35</f>
        <v>63.67703994300269</v>
      </c>
      <c r="C35" s="4">
        <f>'2010-10'!C35</f>
        <v>76.278541762827089</v>
      </c>
      <c r="D35" s="16">
        <f t="shared" si="8"/>
        <v>76278.541762827095</v>
      </c>
      <c r="E35" s="4">
        <f>'Interval Circuities'!G35</f>
        <v>1.3109961293844155</v>
      </c>
      <c r="F35" s="4">
        <f t="shared" ref="F35:F53" si="11">B35/E35</f>
        <v>48.571493474128374</v>
      </c>
      <c r="G35" s="4">
        <f t="shared" ref="G35:G53" si="12">F35*$A$1</f>
        <v>48.571493474128374</v>
      </c>
      <c r="H35" s="4">
        <f t="shared" ref="H35:H53" si="13">PI()*G35^2</f>
        <v>7411.6139042728628</v>
      </c>
      <c r="I35" s="4">
        <f t="shared" si="9"/>
        <v>975.7775860793671</v>
      </c>
      <c r="J35" s="33">
        <f>'2010-10'!J35</f>
        <v>1548.012602</v>
      </c>
      <c r="K35" s="33">
        <f>'2010-10'!K35</f>
        <v>1510516</v>
      </c>
      <c r="L35" s="22">
        <f t="shared" ref="L35:L53" si="14">H35*I35</f>
        <v>7232086.7244636472</v>
      </c>
      <c r="M35" s="22">
        <f t="shared" ref="M35:M53" si="15">MIN(K35,L35)</f>
        <v>1510516</v>
      </c>
      <c r="N35" s="19" t="s">
        <v>91</v>
      </c>
      <c r="O35" s="4">
        <f t="shared" ref="O35:O53" si="16">P35/J35</f>
        <v>552.87922003622032</v>
      </c>
      <c r="P35" s="13">
        <f>'2010-10'!P35</f>
        <v>855864</v>
      </c>
      <c r="Q35" s="22">
        <f t="shared" ref="Q35:Q53" si="17">H35*O35</f>
        <v>4097727.3146039862</v>
      </c>
      <c r="R35" s="13">
        <f t="shared" ref="R35:R53" si="18">MIN(Q35,P35)</f>
        <v>855864</v>
      </c>
      <c r="W35" s="18">
        <f t="shared" si="10"/>
        <v>0.56660373011606624</v>
      </c>
    </row>
    <row r="36" spans="1:23">
      <c r="A36" s="18" t="s">
        <v>66</v>
      </c>
      <c r="B36" s="4">
        <f>'2010-10'!B36</f>
        <v>57.583198277252201</v>
      </c>
      <c r="C36" s="4">
        <f>'2010-10'!C36</f>
        <v>70.0901022214275</v>
      </c>
      <c r="D36" s="16">
        <f t="shared" si="8"/>
        <v>70090.1022214275</v>
      </c>
      <c r="E36" s="4">
        <f>'Interval Circuities'!G36</f>
        <v>1.1653283208068956</v>
      </c>
      <c r="F36" s="4">
        <f t="shared" si="11"/>
        <v>49.413712212349303</v>
      </c>
      <c r="G36" s="4">
        <f t="shared" si="12"/>
        <v>49.413712212349303</v>
      </c>
      <c r="H36" s="4">
        <f t="shared" si="13"/>
        <v>7670.8737635470216</v>
      </c>
      <c r="I36" s="4">
        <f t="shared" si="9"/>
        <v>1060.3784681288619</v>
      </c>
      <c r="J36" s="33">
        <f>'2010-10'!J36</f>
        <v>5131.7215159999996</v>
      </c>
      <c r="K36" s="33">
        <f>'2010-10'!K36</f>
        <v>5441567</v>
      </c>
      <c r="L36" s="22">
        <f t="shared" si="14"/>
        <v>8134029.3705998678</v>
      </c>
      <c r="M36" s="22">
        <f t="shared" si="15"/>
        <v>5441567</v>
      </c>
      <c r="N36" s="19" t="s">
        <v>91</v>
      </c>
      <c r="O36" s="4">
        <f t="shared" si="16"/>
        <v>471.88667437424527</v>
      </c>
      <c r="P36" s="13">
        <f>'2010-10'!P36</f>
        <v>2421591</v>
      </c>
      <c r="Q36" s="22">
        <f t="shared" si="17"/>
        <v>3619783.1098248549</v>
      </c>
      <c r="R36" s="13">
        <f t="shared" si="18"/>
        <v>2421591</v>
      </c>
      <c r="W36" s="18">
        <f t="shared" si="10"/>
        <v>0.445017216548101</v>
      </c>
    </row>
    <row r="37" spans="1:23">
      <c r="A37" s="18" t="s">
        <v>49</v>
      </c>
      <c r="B37" s="4">
        <f>'2010-10'!B37</f>
        <v>65.523113774601583</v>
      </c>
      <c r="C37" s="4">
        <f>'2010-10'!C37</f>
        <v>75.058272553254923</v>
      </c>
      <c r="D37" s="16">
        <f t="shared" si="8"/>
        <v>75058.272553254923</v>
      </c>
      <c r="E37" s="4">
        <f>'Interval Circuities'!G37</f>
        <v>1.2712116017778166</v>
      </c>
      <c r="F37" s="4">
        <f t="shared" si="11"/>
        <v>51.543829275130996</v>
      </c>
      <c r="G37" s="4">
        <f t="shared" si="12"/>
        <v>51.543829275130996</v>
      </c>
      <c r="H37" s="4">
        <f t="shared" si="13"/>
        <v>8346.4776045625113</v>
      </c>
      <c r="I37" s="4">
        <f t="shared" si="9"/>
        <v>1222.0875996258867</v>
      </c>
      <c r="J37" s="33">
        <f>'2010-10'!J37</f>
        <v>2969.6021799999999</v>
      </c>
      <c r="K37" s="33">
        <f>'2010-10'!K37</f>
        <v>3629114</v>
      </c>
      <c r="L37" s="22">
        <f t="shared" si="14"/>
        <v>10200126.78109102</v>
      </c>
      <c r="M37" s="22">
        <f t="shared" si="15"/>
        <v>3629114</v>
      </c>
      <c r="N37" s="19" t="s">
        <v>91</v>
      </c>
      <c r="O37" s="4">
        <f t="shared" si="16"/>
        <v>489.41201949144585</v>
      </c>
      <c r="P37" s="13">
        <f>'2010-10'!P37</f>
        <v>1453359</v>
      </c>
      <c r="Q37" s="22">
        <f t="shared" si="17"/>
        <v>4084866.4600890642</v>
      </c>
      <c r="R37" s="13">
        <f t="shared" si="18"/>
        <v>1453359</v>
      </c>
      <c r="W37" s="18">
        <f t="shared" si="10"/>
        <v>0.40047212625450734</v>
      </c>
    </row>
    <row r="38" spans="1:23">
      <c r="A38" s="18" t="s">
        <v>50</v>
      </c>
      <c r="B38" s="4">
        <f>'2010-10'!B38</f>
        <v>59.807444822625882</v>
      </c>
      <c r="C38" s="4">
        <f>'2010-10'!C38</f>
        <v>71.241563498997948</v>
      </c>
      <c r="D38" s="16">
        <f t="shared" si="8"/>
        <v>71241.563498997944</v>
      </c>
      <c r="E38" s="4">
        <f>'Interval Circuities'!G38</f>
        <v>1.2535936164248203</v>
      </c>
      <c r="F38" s="4">
        <f t="shared" si="11"/>
        <v>47.708798161555265</v>
      </c>
      <c r="G38" s="4">
        <f t="shared" si="12"/>
        <v>47.708798161555265</v>
      </c>
      <c r="H38" s="4">
        <f t="shared" si="13"/>
        <v>7150.671470837673</v>
      </c>
      <c r="I38" s="4">
        <f t="shared" si="9"/>
        <v>739.57535155262258</v>
      </c>
      <c r="J38" s="33">
        <f>'2010-10'!J38</f>
        <v>2344.389921</v>
      </c>
      <c r="K38" s="33">
        <f>'2010-10'!K38</f>
        <v>1733853</v>
      </c>
      <c r="L38" s="22">
        <f t="shared" si="14"/>
        <v>5288460.3668820811</v>
      </c>
      <c r="M38" s="22">
        <f t="shared" si="15"/>
        <v>1733853</v>
      </c>
      <c r="N38" s="19" t="s">
        <v>91</v>
      </c>
      <c r="O38" s="4">
        <f t="shared" si="16"/>
        <v>439.74681462555225</v>
      </c>
      <c r="P38" s="13">
        <f>'2010-10'!P38</f>
        <v>1030938</v>
      </c>
      <c r="Q38" s="22">
        <f t="shared" si="17"/>
        <v>3144485.0017346791</v>
      </c>
      <c r="R38" s="13">
        <f t="shared" si="18"/>
        <v>1030938</v>
      </c>
      <c r="W38" s="18">
        <f t="shared" si="10"/>
        <v>0.59459365932406028</v>
      </c>
    </row>
    <row r="39" spans="1:23">
      <c r="A39" s="18" t="s">
        <v>51</v>
      </c>
      <c r="B39" s="4">
        <f>'2010-10'!B39</f>
        <v>58.331030650507813</v>
      </c>
      <c r="C39" s="4">
        <f>'2010-10'!C39</f>
        <v>69.29589065244727</v>
      </c>
      <c r="D39" s="16">
        <f t="shared" si="8"/>
        <v>69295.89065244727</v>
      </c>
      <c r="E39" s="4">
        <f>'Interval Circuities'!G39</f>
        <v>1.4297790976947944</v>
      </c>
      <c r="F39" s="4">
        <f t="shared" si="11"/>
        <v>40.797232764525532</v>
      </c>
      <c r="G39" s="4">
        <f t="shared" si="12"/>
        <v>40.797232764525532</v>
      </c>
      <c r="H39" s="4">
        <f t="shared" si="13"/>
        <v>5228.9114271551416</v>
      </c>
      <c r="I39" s="4">
        <f t="shared" si="9"/>
        <v>1362.0759506608479</v>
      </c>
      <c r="J39" s="33">
        <f>'2010-10'!J39</f>
        <v>1358.1459970000001</v>
      </c>
      <c r="K39" s="33">
        <f>'2010-10'!K39</f>
        <v>1849898</v>
      </c>
      <c r="L39" s="22">
        <f t="shared" si="14"/>
        <v>7122174.5030637104</v>
      </c>
      <c r="M39" s="22">
        <f t="shared" si="15"/>
        <v>1849898</v>
      </c>
      <c r="N39" s="19" t="s">
        <v>91</v>
      </c>
      <c r="O39" s="4">
        <f t="shared" si="16"/>
        <v>641.16376436958274</v>
      </c>
      <c r="P39" s="13">
        <f>'2010-10'!P39</f>
        <v>870794</v>
      </c>
      <c r="Q39" s="22">
        <f t="shared" si="17"/>
        <v>3352588.5341899176</v>
      </c>
      <c r="R39" s="13">
        <f t="shared" si="18"/>
        <v>870794</v>
      </c>
      <c r="W39" s="18">
        <f t="shared" si="10"/>
        <v>0.47072541296871501</v>
      </c>
    </row>
    <row r="40" spans="1:23">
      <c r="A40" s="18" t="s">
        <v>52</v>
      </c>
      <c r="B40" s="4">
        <f>'2010-10'!B40</f>
        <v>61.333480923569354</v>
      </c>
      <c r="C40" s="4">
        <f>'2010-10'!C40</f>
        <v>68.947108687192596</v>
      </c>
      <c r="D40" s="16">
        <f t="shared" si="8"/>
        <v>68947.108687192595</v>
      </c>
      <c r="E40" s="4">
        <f>'Interval Circuities'!G40</f>
        <v>1.2346713669311957</v>
      </c>
      <c r="F40" s="4">
        <f t="shared" si="11"/>
        <v>49.675956344573812</v>
      </c>
      <c r="G40" s="4">
        <f t="shared" si="12"/>
        <v>49.675956344573812</v>
      </c>
      <c r="H40" s="4">
        <f t="shared" si="13"/>
        <v>7752.5101979495666</v>
      </c>
      <c r="I40" s="4">
        <f t="shared" si="9"/>
        <v>843.65595688883184</v>
      </c>
      <c r="J40" s="33">
        <f>'2010-10'!J40</f>
        <v>1411.6607489999999</v>
      </c>
      <c r="K40" s="33">
        <f>'2010-10'!K40</f>
        <v>1190956</v>
      </c>
      <c r="L40" s="22">
        <f t="shared" si="14"/>
        <v>6540451.4093415691</v>
      </c>
      <c r="M40" s="22">
        <f t="shared" si="15"/>
        <v>1190956</v>
      </c>
      <c r="N40" s="19" t="s">
        <v>91</v>
      </c>
      <c r="O40" s="4">
        <f t="shared" si="16"/>
        <v>418.3023438303448</v>
      </c>
      <c r="P40" s="13">
        <f>'2010-10'!P40</f>
        <v>590501</v>
      </c>
      <c r="Q40" s="22">
        <f t="shared" si="17"/>
        <v>3242893.1863709539</v>
      </c>
      <c r="R40" s="13">
        <f t="shared" si="18"/>
        <v>590501</v>
      </c>
      <c r="W40" s="18">
        <f t="shared" si="10"/>
        <v>0.49582100430242593</v>
      </c>
    </row>
    <row r="41" spans="1:23">
      <c r="A41" s="18" t="s">
        <v>53</v>
      </c>
      <c r="B41" s="4">
        <f>'2010-10'!B41</f>
        <v>70.888143113567551</v>
      </c>
      <c r="C41" s="4">
        <f>'2010-10'!C41</f>
        <v>80.329607978863407</v>
      </c>
      <c r="D41" s="16">
        <f t="shared" si="8"/>
        <v>80329.607978863409</v>
      </c>
      <c r="E41" s="4">
        <f>'Interval Circuities'!G41</f>
        <v>1.1953550018287182</v>
      </c>
      <c r="F41" s="4">
        <f t="shared" si="11"/>
        <v>59.303004551048907</v>
      </c>
      <c r="G41" s="4">
        <f t="shared" si="12"/>
        <v>59.303004551048907</v>
      </c>
      <c r="H41" s="4">
        <f t="shared" si="13"/>
        <v>11048.498653136763</v>
      </c>
      <c r="I41" s="4">
        <f t="shared" si="9"/>
        <v>659.39427440794395</v>
      </c>
      <c r="J41" s="33">
        <f>'2010-10'!J41</f>
        <v>1341.975559</v>
      </c>
      <c r="K41" s="33">
        <f>'2010-10'!K41</f>
        <v>884891</v>
      </c>
      <c r="L41" s="22">
        <f t="shared" si="14"/>
        <v>7285316.7526822621</v>
      </c>
      <c r="M41" s="22">
        <f t="shared" si="15"/>
        <v>884891</v>
      </c>
      <c r="N41" s="19" t="s">
        <v>91</v>
      </c>
      <c r="O41" s="4">
        <f t="shared" si="16"/>
        <v>305.97949213469991</v>
      </c>
      <c r="P41" s="13">
        <f>'2010-10'!P41</f>
        <v>410617</v>
      </c>
      <c r="Q41" s="22">
        <f t="shared" si="17"/>
        <v>3380614.0067377025</v>
      </c>
      <c r="R41" s="13">
        <f t="shared" si="18"/>
        <v>410617</v>
      </c>
      <c r="W41" s="18">
        <f t="shared" si="10"/>
        <v>0.46403116316020843</v>
      </c>
    </row>
    <row r="42" spans="1:23">
      <c r="A42" s="18" t="s">
        <v>81</v>
      </c>
      <c r="B42" s="4">
        <f>'2010-10'!B42</f>
        <v>64.044695759894694</v>
      </c>
      <c r="C42" s="4">
        <f>'2010-10'!C42</f>
        <v>72.196124164991133</v>
      </c>
      <c r="D42" s="16">
        <f t="shared" si="8"/>
        <v>72196.124164991139</v>
      </c>
      <c r="E42" s="4">
        <f>'Interval Circuities'!G42</f>
        <v>1.2027779213679537</v>
      </c>
      <c r="F42" s="4">
        <f t="shared" si="11"/>
        <v>53.247315753065067</v>
      </c>
      <c r="G42" s="4">
        <f t="shared" si="12"/>
        <v>53.247315753065067</v>
      </c>
      <c r="H42" s="4">
        <f t="shared" si="13"/>
        <v>8907.2842471174008</v>
      </c>
      <c r="I42" s="4">
        <f t="shared" si="9"/>
        <v>857.44540355569529</v>
      </c>
      <c r="J42" s="33">
        <f>'2010-10'!J42</f>
        <v>840.37070700000004</v>
      </c>
      <c r="K42" s="33">
        <f>'2010-10'!K42</f>
        <v>720572</v>
      </c>
      <c r="L42" s="22">
        <f t="shared" si="14"/>
        <v>7637509.9358548671</v>
      </c>
      <c r="M42" s="22">
        <f t="shared" si="15"/>
        <v>720572</v>
      </c>
      <c r="N42" s="19" t="s">
        <v>91</v>
      </c>
      <c r="O42" s="4">
        <f t="shared" si="16"/>
        <v>493.93082902876574</v>
      </c>
      <c r="P42" s="13">
        <f>'2010-10'!P42</f>
        <v>415085</v>
      </c>
      <c r="Q42" s="22">
        <f t="shared" si="17"/>
        <v>4399582.2925735638</v>
      </c>
      <c r="R42" s="13">
        <f t="shared" si="18"/>
        <v>415085</v>
      </c>
      <c r="W42" s="18">
        <f t="shared" si="10"/>
        <v>0.57604930527414344</v>
      </c>
    </row>
    <row r="43" spans="1:23">
      <c r="A43" s="18" t="s">
        <v>54</v>
      </c>
      <c r="B43" s="4">
        <f>'2010-10'!B43</f>
        <v>69.851259887217722</v>
      </c>
      <c r="C43" s="4">
        <f>'2010-10'!C43</f>
        <v>81.455388016103115</v>
      </c>
      <c r="D43" s="16">
        <f t="shared" si="8"/>
        <v>81455.388016103112</v>
      </c>
      <c r="E43" s="4">
        <f>'Interval Circuities'!G43</f>
        <v>1.3967267442968094</v>
      </c>
      <c r="F43" s="4">
        <f t="shared" si="11"/>
        <v>50.010684031388521</v>
      </c>
      <c r="G43" s="4">
        <f t="shared" si="12"/>
        <v>50.010684031388521</v>
      </c>
      <c r="H43" s="4">
        <f t="shared" si="13"/>
        <v>7857.3384800347449</v>
      </c>
      <c r="I43" s="4">
        <f t="shared" si="9"/>
        <v>1413.0147860308737</v>
      </c>
      <c r="J43" s="33">
        <f>'2010-10'!J43</f>
        <v>1219.8272919999999</v>
      </c>
      <c r="K43" s="33">
        <f>'2010-10'!K43</f>
        <v>1723634</v>
      </c>
      <c r="L43" s="22">
        <f t="shared" si="14"/>
        <v>11102535.451138444</v>
      </c>
      <c r="M43" s="22">
        <f t="shared" si="15"/>
        <v>1723634</v>
      </c>
      <c r="N43" s="19" t="s">
        <v>91</v>
      </c>
      <c r="O43" s="4">
        <f t="shared" si="16"/>
        <v>509.14420760475986</v>
      </c>
      <c r="P43" s="13">
        <f>'2010-10'!P43</f>
        <v>621068</v>
      </c>
      <c r="Q43" s="22">
        <f t="shared" si="17"/>
        <v>4000518.3742996785</v>
      </c>
      <c r="R43" s="13">
        <f t="shared" si="18"/>
        <v>621068</v>
      </c>
      <c r="W43" s="18">
        <f t="shared" si="10"/>
        <v>0.36032475571960176</v>
      </c>
    </row>
    <row r="44" spans="1:23">
      <c r="A44" s="18" t="s">
        <v>55</v>
      </c>
      <c r="B44" s="4">
        <f>'2010-10'!B44</f>
        <v>64.533357950473999</v>
      </c>
      <c r="C44" s="4">
        <f>'2010-10'!C44</f>
        <v>73.630820924041743</v>
      </c>
      <c r="D44" s="16">
        <f t="shared" si="8"/>
        <v>73630.820924041749</v>
      </c>
      <c r="E44" s="4">
        <f>'Interval Circuities'!G44</f>
        <v>1.3899925563291859</v>
      </c>
      <c r="F44" s="4">
        <f t="shared" si="11"/>
        <v>46.427124847991522</v>
      </c>
      <c r="G44" s="4">
        <f t="shared" si="12"/>
        <v>46.427124847991522</v>
      </c>
      <c r="H44" s="4">
        <f t="shared" si="13"/>
        <v>6771.6336036337516</v>
      </c>
      <c r="I44" s="4">
        <f t="shared" si="9"/>
        <v>1418.9468389746553</v>
      </c>
      <c r="J44" s="33">
        <f>'2010-10'!J44</f>
        <v>719.71900000000005</v>
      </c>
      <c r="K44" s="33">
        <f>'2010-10'!K44</f>
        <v>1021243</v>
      </c>
      <c r="L44" s="22">
        <f t="shared" si="14"/>
        <v>9608588.096570665</v>
      </c>
      <c r="M44" s="22">
        <f t="shared" si="15"/>
        <v>1021243</v>
      </c>
      <c r="N44" s="19" t="s">
        <v>91</v>
      </c>
      <c r="O44" s="4">
        <f t="shared" si="16"/>
        <v>731.05892716462949</v>
      </c>
      <c r="P44" s="13">
        <f>'2010-10'!P44</f>
        <v>526157</v>
      </c>
      <c r="Q44" s="22">
        <f t="shared" si="17"/>
        <v>4950463.1974244444</v>
      </c>
      <c r="R44" s="13">
        <f t="shared" si="18"/>
        <v>526157</v>
      </c>
      <c r="W44" s="18">
        <f t="shared" si="10"/>
        <v>0.51521234417273853</v>
      </c>
    </row>
    <row r="45" spans="1:23">
      <c r="A45" s="18" t="s">
        <v>67</v>
      </c>
      <c r="B45" s="4">
        <f>'2010-10'!B45</f>
        <v>70.329269785649885</v>
      </c>
      <c r="C45" s="4">
        <f>'2010-10'!C45</f>
        <v>78.441220996603292</v>
      </c>
      <c r="D45" s="16">
        <f t="shared" si="8"/>
        <v>78441.220996603297</v>
      </c>
      <c r="E45" s="4">
        <f>'Interval Circuities'!G45</f>
        <v>1.2757965860482567</v>
      </c>
      <c r="F45" s="4">
        <f t="shared" si="11"/>
        <v>55.125770483124413</v>
      </c>
      <c r="G45" s="4">
        <f t="shared" si="12"/>
        <v>55.125770483124413</v>
      </c>
      <c r="H45" s="4">
        <f t="shared" si="13"/>
        <v>9546.8306303357858</v>
      </c>
      <c r="I45" s="4">
        <f t="shared" si="9"/>
        <v>1136.9073371227814</v>
      </c>
      <c r="J45" s="33">
        <f>'2010-10'!J45</f>
        <v>1546.484874</v>
      </c>
      <c r="K45" s="33">
        <f>'2010-10'!K45</f>
        <v>1758210</v>
      </c>
      <c r="L45" s="22">
        <f t="shared" si="14"/>
        <v>10853861.789897263</v>
      </c>
      <c r="M45" s="22">
        <f t="shared" si="15"/>
        <v>1758210</v>
      </c>
      <c r="N45" s="19" t="s">
        <v>91</v>
      </c>
      <c r="O45" s="4">
        <f t="shared" si="16"/>
        <v>464.39186834232174</v>
      </c>
      <c r="P45" s="13">
        <f>'2010-10'!P45</f>
        <v>718175</v>
      </c>
      <c r="Q45" s="22">
        <f t="shared" si="17"/>
        <v>4433470.5131693408</v>
      </c>
      <c r="R45" s="13">
        <f t="shared" si="18"/>
        <v>718175</v>
      </c>
      <c r="W45" s="18">
        <f t="shared" si="10"/>
        <v>0.40846940922870417</v>
      </c>
    </row>
    <row r="46" spans="1:23">
      <c r="A46" s="18" t="s">
        <v>68</v>
      </c>
      <c r="B46" s="4">
        <f>'2010-10'!B46</f>
        <v>74.208902356796543</v>
      </c>
      <c r="C46" s="4">
        <f>'2010-10'!C46</f>
        <v>85.358369483865644</v>
      </c>
      <c r="D46" s="16">
        <f t="shared" si="8"/>
        <v>85358.369483865637</v>
      </c>
      <c r="E46" s="4">
        <f>'Interval Circuities'!G46</f>
        <v>1.3922798957924276</v>
      </c>
      <c r="F46" s="4">
        <f t="shared" si="11"/>
        <v>53.300275742730548</v>
      </c>
      <c r="G46" s="4">
        <f t="shared" si="12"/>
        <v>53.300275742730548</v>
      </c>
      <c r="H46" s="4">
        <f t="shared" si="13"/>
        <v>8925.0114984200536</v>
      </c>
      <c r="I46" s="4">
        <f t="shared" si="9"/>
        <v>1558.6954968295993</v>
      </c>
      <c r="J46" s="33">
        <f>'2010-10'!J46</f>
        <v>1896.936256</v>
      </c>
      <c r="K46" s="33">
        <f>'2010-10'!K46</f>
        <v>2956746</v>
      </c>
      <c r="L46" s="22">
        <f t="shared" si="14"/>
        <v>13911375.231739732</v>
      </c>
      <c r="M46" s="22">
        <f t="shared" si="15"/>
        <v>2956746</v>
      </c>
      <c r="N46" s="19" t="s">
        <v>91</v>
      </c>
      <c r="O46" s="4">
        <f t="shared" si="16"/>
        <v>580.58039457916288</v>
      </c>
      <c r="P46" s="13">
        <f>'2010-10'!P46</f>
        <v>1101324</v>
      </c>
      <c r="Q46" s="22">
        <f t="shared" si="17"/>
        <v>5181686.6973762801</v>
      </c>
      <c r="R46" s="13">
        <f t="shared" si="18"/>
        <v>1101324</v>
      </c>
      <c r="W46" s="18">
        <f t="shared" si="10"/>
        <v>0.37247839347715356</v>
      </c>
    </row>
    <row r="47" spans="1:23" ht="16">
      <c r="A47" s="18" t="s">
        <v>113</v>
      </c>
      <c r="B47" s="4">
        <f>'2010-10'!B47</f>
        <v>72.542200404561456</v>
      </c>
      <c r="C47" s="4">
        <f>'2010-10'!C47</f>
        <v>85.183417252245661</v>
      </c>
      <c r="D47" s="16">
        <f t="shared" si="8"/>
        <v>85183.417252245665</v>
      </c>
      <c r="E47" s="4">
        <f>'Interval Circuities'!G47</f>
        <v>1.3884703455577154</v>
      </c>
      <c r="F47" s="4">
        <f t="shared" si="11"/>
        <v>52.246128724789571</v>
      </c>
      <c r="G47" s="4">
        <f t="shared" si="12"/>
        <v>52.246128724789571</v>
      </c>
      <c r="H47" s="4">
        <f t="shared" si="13"/>
        <v>8575.473415083281</v>
      </c>
      <c r="I47" s="4">
        <f t="shared" si="9"/>
        <v>2419.4675820015173</v>
      </c>
      <c r="J47" s="33">
        <f>'2010-10'!J47</f>
        <v>1356.1710949999999</v>
      </c>
      <c r="K47" s="33">
        <f>'2010-10'!K47</f>
        <v>3281212</v>
      </c>
      <c r="L47" s="22">
        <f t="shared" si="14"/>
        <v>20748079.92810984</v>
      </c>
      <c r="M47" s="22">
        <f t="shared" si="15"/>
        <v>3281212</v>
      </c>
      <c r="N47" s="19" t="s">
        <v>91</v>
      </c>
      <c r="O47" s="4">
        <f t="shared" si="16"/>
        <v>1303.5176804148005</v>
      </c>
      <c r="P47" s="13">
        <f>'2010-10'!P47</f>
        <v>1767793</v>
      </c>
      <c r="Q47" s="22">
        <f t="shared" si="17"/>
        <v>11178281.214488145</v>
      </c>
      <c r="R47" s="13">
        <f t="shared" si="18"/>
        <v>1767793</v>
      </c>
      <c r="W47" s="18">
        <f t="shared" si="10"/>
        <v>0.53876220128415964</v>
      </c>
    </row>
    <row r="48" spans="1:23" ht="16">
      <c r="A48" s="18" t="s">
        <v>71</v>
      </c>
      <c r="B48" s="4">
        <f>'2010-10'!B48</f>
        <v>67.913980035971221</v>
      </c>
      <c r="C48" s="4">
        <f>'2010-10'!C48</f>
        <v>78.194542652624932</v>
      </c>
      <c r="D48" s="16">
        <f t="shared" si="8"/>
        <v>78194.542652624936</v>
      </c>
      <c r="E48" s="4">
        <f>'Interval Circuities'!G48</f>
        <v>1.4006797245444369</v>
      </c>
      <c r="F48" s="4">
        <f t="shared" si="11"/>
        <v>48.486444721015616</v>
      </c>
      <c r="G48" s="4">
        <f t="shared" si="12"/>
        <v>48.486444721015616</v>
      </c>
      <c r="H48" s="4">
        <f t="shared" si="13"/>
        <v>7385.6811356675353</v>
      </c>
      <c r="I48" s="4">
        <f t="shared" si="9"/>
        <v>2247.211920874815</v>
      </c>
      <c r="J48" s="33">
        <f>'2010-10'!J48</f>
        <v>740.69382800000005</v>
      </c>
      <c r="K48" s="33">
        <f>'2010-10'!K48</f>
        <v>1664496</v>
      </c>
      <c r="L48" s="22">
        <f t="shared" si="14"/>
        <v>16597190.691852327</v>
      </c>
      <c r="M48" s="22">
        <f t="shared" si="15"/>
        <v>1664496</v>
      </c>
      <c r="N48" s="19" t="s">
        <v>91</v>
      </c>
      <c r="O48" s="4">
        <f t="shared" si="16"/>
        <v>1157.0664795656971</v>
      </c>
      <c r="P48" s="13">
        <f>'2010-10'!P48</f>
        <v>857032</v>
      </c>
      <c r="Q48" s="22">
        <f t="shared" si="17"/>
        <v>8545724.0708416142</v>
      </c>
      <c r="R48" s="13">
        <f t="shared" si="18"/>
        <v>857032</v>
      </c>
      <c r="W48" s="18">
        <f t="shared" si="10"/>
        <v>0.51488979246570732</v>
      </c>
    </row>
    <row r="49" spans="1:23">
      <c r="A49" s="18" t="s">
        <v>56</v>
      </c>
      <c r="B49" s="4">
        <f>'2010-10'!B49</f>
        <v>59.237163329958236</v>
      </c>
      <c r="C49" s="4">
        <f>'2010-10'!C49</f>
        <v>69.529876568500782</v>
      </c>
      <c r="D49" s="16">
        <f t="shared" si="8"/>
        <v>69529.876568500782</v>
      </c>
      <c r="E49" s="4">
        <f>'Interval Circuities'!G49</f>
        <v>1.4052977562776781</v>
      </c>
      <c r="F49" s="4">
        <f t="shared" si="11"/>
        <v>42.15274881450344</v>
      </c>
      <c r="G49" s="4">
        <f t="shared" si="12"/>
        <v>42.15274881450344</v>
      </c>
      <c r="H49" s="4">
        <f t="shared" si="13"/>
        <v>5582.1522036945898</v>
      </c>
      <c r="I49" s="4">
        <f t="shared" si="9"/>
        <v>1169.1810890127867</v>
      </c>
      <c r="J49" s="33">
        <f>'2010-10'!J49</f>
        <v>2616.6973010000002</v>
      </c>
      <c r="K49" s="33">
        <f>'2010-10'!K49</f>
        <v>3059393</v>
      </c>
      <c r="L49" s="22">
        <f t="shared" si="14"/>
        <v>6526546.7925507678</v>
      </c>
      <c r="M49" s="22">
        <f t="shared" si="15"/>
        <v>3059393</v>
      </c>
      <c r="N49" s="19" t="s">
        <v>91</v>
      </c>
      <c r="O49" s="4">
        <f t="shared" si="16"/>
        <v>548.69319406998534</v>
      </c>
      <c r="P49" s="13">
        <f>'2010-10'!P49</f>
        <v>1435764</v>
      </c>
      <c r="Q49" s="22">
        <f t="shared" si="17"/>
        <v>3062888.9224299919</v>
      </c>
      <c r="R49" s="13">
        <f t="shared" si="18"/>
        <v>1435764</v>
      </c>
      <c r="W49" s="18">
        <f t="shared" si="10"/>
        <v>0.46929701414627017</v>
      </c>
    </row>
    <row r="50" spans="1:23">
      <c r="A50" s="18" t="s">
        <v>75</v>
      </c>
      <c r="B50" s="4">
        <f>'2010-10'!B50</f>
        <v>59.396208684850201</v>
      </c>
      <c r="C50" s="4">
        <f>'2010-10'!C50</f>
        <v>72.013674499161084</v>
      </c>
      <c r="D50" s="16">
        <f t="shared" si="8"/>
        <v>72013.67449916109</v>
      </c>
      <c r="E50" s="4">
        <f>'Interval Circuities'!G50</f>
        <v>1.2361288587570294</v>
      </c>
      <c r="F50" s="4">
        <f t="shared" si="11"/>
        <v>48.050175565494975</v>
      </c>
      <c r="G50" s="4">
        <f t="shared" si="12"/>
        <v>48.050175565494975</v>
      </c>
      <c r="H50" s="4">
        <f t="shared" si="13"/>
        <v>7253.369977147956</v>
      </c>
      <c r="I50" s="4">
        <f t="shared" si="9"/>
        <v>1715.2084870415904</v>
      </c>
      <c r="J50" s="33">
        <f>'2010-10'!J50</f>
        <v>3207.994271</v>
      </c>
      <c r="K50" s="33">
        <f>'2010-10'!K50</f>
        <v>5502379</v>
      </c>
      <c r="L50" s="22">
        <f t="shared" si="14"/>
        <v>12441041.744456841</v>
      </c>
      <c r="M50" s="22">
        <f t="shared" si="15"/>
        <v>5502379</v>
      </c>
      <c r="N50" s="19" t="s">
        <v>91</v>
      </c>
      <c r="O50" s="4">
        <f t="shared" si="16"/>
        <v>567.61603861355525</v>
      </c>
      <c r="P50" s="13">
        <f>'2010-10'!P50</f>
        <v>1820909</v>
      </c>
      <c r="Q50" s="22">
        <f t="shared" si="17"/>
        <v>4117129.1330272164</v>
      </c>
      <c r="R50" s="13">
        <f t="shared" si="18"/>
        <v>1820909</v>
      </c>
      <c r="W50" s="18">
        <f t="shared" si="10"/>
        <v>0.33093122084102167</v>
      </c>
    </row>
    <row r="51" spans="1:23">
      <c r="A51" s="18" t="s">
        <v>57</v>
      </c>
      <c r="B51" s="4">
        <f>'2010-10'!B51</f>
        <v>55.946693712217225</v>
      </c>
      <c r="C51" s="4">
        <f>'2010-10'!C51</f>
        <v>67.155256306515241</v>
      </c>
      <c r="D51" s="16">
        <f t="shared" si="8"/>
        <v>67155.256306515235</v>
      </c>
      <c r="E51" s="4">
        <f>'Interval Circuities'!G51</f>
        <v>1.3133949871020121</v>
      </c>
      <c r="F51" s="4">
        <f t="shared" si="11"/>
        <v>42.597005669758822</v>
      </c>
      <c r="G51" s="4">
        <f t="shared" si="12"/>
        <v>42.597005669758822</v>
      </c>
      <c r="H51" s="4">
        <f t="shared" si="13"/>
        <v>5700.4352387025092</v>
      </c>
      <c r="I51" s="4">
        <f t="shared" si="9"/>
        <v>899.04720299169355</v>
      </c>
      <c r="J51" s="33">
        <f>'2010-10'!J51</f>
        <v>2392.2058740000002</v>
      </c>
      <c r="K51" s="33">
        <f>'2010-10'!K51</f>
        <v>2150706</v>
      </c>
      <c r="L51" s="22">
        <f t="shared" si="14"/>
        <v>5124960.3571907775</v>
      </c>
      <c r="M51" s="22">
        <f t="shared" si="15"/>
        <v>2150706</v>
      </c>
      <c r="N51" s="19" t="s">
        <v>91</v>
      </c>
      <c r="O51" s="4">
        <f t="shared" si="16"/>
        <v>488.93826936569087</v>
      </c>
      <c r="P51" s="13">
        <f>'2010-10'!P51</f>
        <v>1169641</v>
      </c>
      <c r="Q51" s="22">
        <f t="shared" si="17"/>
        <v>2787160.9402424037</v>
      </c>
      <c r="R51" s="13">
        <f t="shared" si="18"/>
        <v>1169641</v>
      </c>
      <c r="W51" s="18">
        <f t="shared" si="10"/>
        <v>0.5438404877282158</v>
      </c>
    </row>
    <row r="52" spans="1:23">
      <c r="A52" s="18" t="s">
        <v>70</v>
      </c>
      <c r="B52" s="4">
        <f>'2010-10'!B52</f>
        <v>65.037009428922346</v>
      </c>
      <c r="C52" s="4">
        <f>'2010-10'!C52</f>
        <v>76.223831707390744</v>
      </c>
      <c r="D52" s="16">
        <f t="shared" si="8"/>
        <v>76223.831707390738</v>
      </c>
      <c r="E52" s="4">
        <f>'Interval Circuities'!G52</f>
        <v>1.264854950694025</v>
      </c>
      <c r="F52" s="4">
        <f t="shared" si="11"/>
        <v>51.418551505243023</v>
      </c>
      <c r="G52" s="4">
        <f t="shared" si="12"/>
        <v>51.418551505243023</v>
      </c>
      <c r="H52" s="4">
        <f t="shared" si="13"/>
        <v>8305.9545231051125</v>
      </c>
      <c r="I52" s="4">
        <f t="shared" si="9"/>
        <v>985.14575645956916</v>
      </c>
      <c r="J52" s="33">
        <f>'2010-10'!J52</f>
        <v>2478.5875430000001</v>
      </c>
      <c r="K52" s="33">
        <f>'2010-10'!K52</f>
        <v>2441770</v>
      </c>
      <c r="L52" s="22">
        <f t="shared" si="14"/>
        <v>8182575.8517831657</v>
      </c>
      <c r="M52" s="22">
        <f t="shared" si="15"/>
        <v>2441770</v>
      </c>
      <c r="N52" s="19" t="s">
        <v>91</v>
      </c>
      <c r="O52" s="4">
        <f t="shared" si="16"/>
        <v>376.11380829892278</v>
      </c>
      <c r="P52" s="13">
        <f>'2010-10'!P52</f>
        <v>932231</v>
      </c>
      <c r="Q52" s="22">
        <f t="shared" si="17"/>
        <v>3123984.1872427268</v>
      </c>
      <c r="R52" s="13">
        <f t="shared" si="18"/>
        <v>932231</v>
      </c>
      <c r="W52" s="18">
        <f t="shared" si="10"/>
        <v>0.38178493469900937</v>
      </c>
    </row>
    <row r="53" spans="1:23" ht="16">
      <c r="A53" s="18" t="s">
        <v>116</v>
      </c>
      <c r="B53" s="4">
        <f>'2010-10'!B53</f>
        <v>60.647730141730513</v>
      </c>
      <c r="C53" s="4">
        <f>'2010-10'!C53</f>
        <v>74.545005322142316</v>
      </c>
      <c r="D53" s="16">
        <f t="shared" si="8"/>
        <v>74545.005322142315</v>
      </c>
      <c r="E53" s="4">
        <f>'Interval Circuities'!G53</f>
        <v>1.271908405391577</v>
      </c>
      <c r="F53" s="4">
        <f t="shared" si="11"/>
        <v>47.682466665560838</v>
      </c>
      <c r="G53" s="4">
        <f t="shared" si="12"/>
        <v>47.682466665560838</v>
      </c>
      <c r="H53" s="4">
        <f t="shared" si="13"/>
        <v>7142.7804350366423</v>
      </c>
      <c r="I53" s="4">
        <f t="shared" si="9"/>
        <v>1339.8831695910785</v>
      </c>
      <c r="J53" s="33">
        <f>'2010-10'!J53</f>
        <v>3423.2611499999998</v>
      </c>
      <c r="K53" s="33">
        <f>'2010-10'!K53</f>
        <v>4586770</v>
      </c>
      <c r="L53" s="22">
        <f t="shared" si="14"/>
        <v>9570491.2889900394</v>
      </c>
      <c r="M53" s="22">
        <f t="shared" si="15"/>
        <v>4586770</v>
      </c>
      <c r="N53" s="19" t="s">
        <v>91</v>
      </c>
      <c r="O53" s="4">
        <f t="shared" si="16"/>
        <v>692.47740564578316</v>
      </c>
      <c r="P53" s="13">
        <f>'2010-10'!P53</f>
        <v>2370531</v>
      </c>
      <c r="Q53" s="22">
        <f t="shared" si="17"/>
        <v>4946214.0647516325</v>
      </c>
      <c r="R53" s="13">
        <f t="shared" si="18"/>
        <v>2370531</v>
      </c>
      <c r="W53" s="18">
        <f t="shared" si="10"/>
        <v>0.51681924317112038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opLeftCell="E1" workbookViewId="0">
      <selection activeCell="W1" sqref="W1:W53"/>
    </sheetView>
  </sheetViews>
  <sheetFormatPr baseColWidth="10" defaultColWidth="11.5" defaultRowHeight="14" x14ac:dyDescent="0"/>
  <cols>
    <col min="4" max="4" width="11.5" style="18"/>
  </cols>
  <sheetData>
    <row r="1" spans="1:23" ht="56">
      <c r="A1" s="18">
        <f>7/6</f>
        <v>1.1666666666666667</v>
      </c>
      <c r="B1" s="1" t="s">
        <v>59</v>
      </c>
      <c r="C1" s="1" t="s">
        <v>60</v>
      </c>
      <c r="D1" s="1" t="s">
        <v>166</v>
      </c>
      <c r="E1" s="7" t="s">
        <v>90</v>
      </c>
      <c r="F1" s="1" t="s">
        <v>21</v>
      </c>
      <c r="G1" s="1" t="s">
        <v>20</v>
      </c>
      <c r="H1" s="1" t="s">
        <v>129</v>
      </c>
      <c r="I1" s="1" t="s">
        <v>25</v>
      </c>
      <c r="J1" s="8" t="s">
        <v>83</v>
      </c>
      <c r="K1" s="23" t="s">
        <v>78</v>
      </c>
      <c r="L1" s="21" t="s">
        <v>76</v>
      </c>
      <c r="M1" s="27" t="s">
        <v>103</v>
      </c>
      <c r="N1" s="19" t="s">
        <v>91</v>
      </c>
      <c r="O1" s="1" t="s">
        <v>89</v>
      </c>
      <c r="P1" s="1" t="s">
        <v>87</v>
      </c>
      <c r="Q1" s="21" t="s">
        <v>88</v>
      </c>
      <c r="R1" s="18" t="s">
        <v>102</v>
      </c>
      <c r="W1" s="18" t="s">
        <v>579</v>
      </c>
    </row>
    <row r="2" spans="1:23" ht="16">
      <c r="A2" s="18" t="s">
        <v>16</v>
      </c>
      <c r="B2" s="18" t="s">
        <v>18</v>
      </c>
      <c r="C2" s="18" t="s">
        <v>120</v>
      </c>
      <c r="E2" s="18" t="s">
        <v>114</v>
      </c>
      <c r="F2" s="18" t="s">
        <v>17</v>
      </c>
      <c r="G2" s="18" t="s">
        <v>19</v>
      </c>
      <c r="H2" s="18" t="s">
        <v>130</v>
      </c>
      <c r="I2" s="18" t="s">
        <v>24</v>
      </c>
      <c r="J2" s="9" t="s">
        <v>16</v>
      </c>
      <c r="K2" s="13" t="s">
        <v>121</v>
      </c>
      <c r="L2" s="22" t="s">
        <v>127</v>
      </c>
      <c r="M2" s="22" t="s">
        <v>122</v>
      </c>
      <c r="N2" s="19" t="s">
        <v>91</v>
      </c>
      <c r="O2" s="18" t="s">
        <v>123</v>
      </c>
      <c r="P2" s="18" t="s">
        <v>124</v>
      </c>
      <c r="Q2" s="22" t="s">
        <v>126</v>
      </c>
      <c r="R2" s="18" t="s">
        <v>125</v>
      </c>
      <c r="W2" s="18" t="s">
        <v>580</v>
      </c>
    </row>
    <row r="3" spans="1:23">
      <c r="A3" s="18" t="s">
        <v>26</v>
      </c>
      <c r="B3" s="4">
        <f>'2010-10'!B3</f>
        <v>66.682397163757059</v>
      </c>
      <c r="C3" s="4">
        <f>'2010-10'!C3</f>
        <v>79.773749080561657</v>
      </c>
      <c r="D3" s="16">
        <f>C3*$A$1*1000</f>
        <v>93069.37392732194</v>
      </c>
      <c r="E3" s="4">
        <f>'Interval Circuities'!H3</f>
        <v>1.1994894097934046</v>
      </c>
      <c r="F3" s="4">
        <f t="shared" ref="F3:F53" si="0">B3/E3</f>
        <v>55.592318380903571</v>
      </c>
      <c r="G3" s="4">
        <f t="shared" ref="G3:G53" si="1">F3*$A$1</f>
        <v>64.857704777720841</v>
      </c>
      <c r="H3" s="4">
        <f t="shared" ref="H3:H53" si="2">PI()*G3^2</f>
        <v>13215.178200921997</v>
      </c>
      <c r="I3" s="4">
        <f>K3/J3</f>
        <v>659.04777089359266</v>
      </c>
      <c r="J3" s="33">
        <f>'2010-10'!J3</f>
        <v>6851.4289849999996</v>
      </c>
      <c r="K3" s="33">
        <f>'2010-10'!K3</f>
        <v>4515419</v>
      </c>
      <c r="L3" s="22">
        <f t="shared" ref="L3:L53" si="3">H3*I3</f>
        <v>8709433.7352792397</v>
      </c>
      <c r="M3" s="22">
        <f t="shared" ref="M3:M53" si="4">MIN(K3,L3)</f>
        <v>4515419</v>
      </c>
      <c r="N3" s="19" t="s">
        <v>91</v>
      </c>
      <c r="O3" s="4">
        <f t="shared" ref="O3:O53" si="5">P3/J3</f>
        <v>292.35463206074525</v>
      </c>
      <c r="P3" s="13">
        <f>'2010-10'!P3</f>
        <v>2003047</v>
      </c>
      <c r="Q3" s="22">
        <f t="shared" ref="Q3:Q53" si="6">H3*O3</f>
        <v>3863518.5605477318</v>
      </c>
      <c r="R3" s="13">
        <f t="shared" ref="R3:R53" si="7">MIN(Q3,P3)</f>
        <v>2003047</v>
      </c>
      <c r="W3" s="18">
        <f>Q3/L3</f>
        <v>0.44360157938831379</v>
      </c>
    </row>
    <row r="4" spans="1:23">
      <c r="A4" s="18" t="s">
        <v>27</v>
      </c>
      <c r="B4" s="4">
        <f>'2010-10'!B4</f>
        <v>67.132189228567199</v>
      </c>
      <c r="C4" s="4">
        <f>'2010-10'!C4</f>
        <v>79.519027593680846</v>
      </c>
      <c r="D4" s="16">
        <f t="shared" ref="D4:D53" si="8">C4*$A$1*1000</f>
        <v>92772.198859294323</v>
      </c>
      <c r="E4" s="4">
        <f>'Interval Circuities'!H4</f>
        <v>1.2686558801685661</v>
      </c>
      <c r="F4" s="4">
        <f t="shared" si="0"/>
        <v>52.915995801515031</v>
      </c>
      <c r="G4" s="4">
        <f t="shared" si="1"/>
        <v>61.735328435100875</v>
      </c>
      <c r="H4" s="4">
        <f t="shared" si="2"/>
        <v>11973.397441979467</v>
      </c>
      <c r="I4" s="4">
        <f t="shared" ref="I4:I53" si="9">K4/J4</f>
        <v>1005.7320851324054</v>
      </c>
      <c r="J4" s="33">
        <f>'2010-10'!J4</f>
        <v>1354.6510249999999</v>
      </c>
      <c r="K4" s="33">
        <f>'2010-10'!K4</f>
        <v>1362416</v>
      </c>
      <c r="L4" s="22">
        <f t="shared" si="3"/>
        <v>12042029.975441018</v>
      </c>
      <c r="M4" s="22">
        <f t="shared" si="4"/>
        <v>1362416</v>
      </c>
      <c r="N4" s="19" t="s">
        <v>91</v>
      </c>
      <c r="O4" s="4">
        <f t="shared" si="5"/>
        <v>472.86200517952591</v>
      </c>
      <c r="P4" s="13">
        <f>'2010-10'!P4</f>
        <v>640563</v>
      </c>
      <c r="Q4" s="22">
        <f t="shared" si="6"/>
        <v>5661764.7232258171</v>
      </c>
      <c r="R4" s="13">
        <f t="shared" si="7"/>
        <v>640563</v>
      </c>
      <c r="W4" s="18">
        <f t="shared" ref="W4:W53" si="10">Q4/L4</f>
        <v>0.47016696809197778</v>
      </c>
    </row>
    <row r="5" spans="1:23" ht="16">
      <c r="A5" s="18" t="s">
        <v>117</v>
      </c>
      <c r="B5" s="4">
        <f>'2010-10'!B5</f>
        <v>64.331330728262358</v>
      </c>
      <c r="C5" s="4">
        <f>'2010-10'!C5</f>
        <v>77.152319954484682</v>
      </c>
      <c r="D5" s="16">
        <f t="shared" si="8"/>
        <v>90011.039946898803</v>
      </c>
      <c r="E5" s="4">
        <f>'Interval Circuities'!H5</f>
        <v>1.2246097283275779</v>
      </c>
      <c r="F5" s="4">
        <f t="shared" si="0"/>
        <v>52.53210818120661</v>
      </c>
      <c r="G5" s="4">
        <f t="shared" si="1"/>
        <v>61.287459544741047</v>
      </c>
      <c r="H5" s="4">
        <f t="shared" si="2"/>
        <v>11800.301720064972</v>
      </c>
      <c r="I5" s="4">
        <f t="shared" si="9"/>
        <v>1186.6066340855928</v>
      </c>
      <c r="J5" s="33">
        <f>'2010-10'!J5</f>
        <v>1857.1133319999999</v>
      </c>
      <c r="K5" s="33">
        <f>'2010-10'!K5</f>
        <v>2203663</v>
      </c>
      <c r="L5" s="22">
        <f t="shared" si="3"/>
        <v>14002316.305240726</v>
      </c>
      <c r="M5" s="22">
        <f t="shared" si="4"/>
        <v>2203663</v>
      </c>
      <c r="N5" s="19" t="s">
        <v>91</v>
      </c>
      <c r="O5" s="4">
        <f t="shared" si="5"/>
        <v>570.56830175187179</v>
      </c>
      <c r="P5" s="13">
        <f>'2010-10'!P5</f>
        <v>1059610</v>
      </c>
      <c r="Q5" s="22">
        <f t="shared" si="6"/>
        <v>6732878.1125771627</v>
      </c>
      <c r="R5" s="13">
        <f t="shared" si="7"/>
        <v>1059610</v>
      </c>
      <c r="W5" s="18">
        <f t="shared" si="10"/>
        <v>0.48084030997480109</v>
      </c>
    </row>
    <row r="6" spans="1:23">
      <c r="A6" s="18" t="s">
        <v>29</v>
      </c>
      <c r="B6" s="4">
        <f>'2010-10'!B6</f>
        <v>59.083844176305647</v>
      </c>
      <c r="C6" s="4">
        <f>'2010-10'!C6</f>
        <v>71.201949648545863</v>
      </c>
      <c r="D6" s="16">
        <f t="shared" si="8"/>
        <v>83068.941256636841</v>
      </c>
      <c r="E6" s="4">
        <f>'Interval Circuities'!H6</f>
        <v>1.1860014644783186</v>
      </c>
      <c r="F6" s="4">
        <f t="shared" si="0"/>
        <v>49.817682309772366</v>
      </c>
      <c r="G6" s="4">
        <f t="shared" si="1"/>
        <v>58.1206293614011</v>
      </c>
      <c r="H6" s="4">
        <f t="shared" si="2"/>
        <v>10612.323725989816</v>
      </c>
      <c r="I6" s="4">
        <f t="shared" si="9"/>
        <v>861.67001828332229</v>
      </c>
      <c r="J6" s="33">
        <f>'2010-10'!J6</f>
        <v>4852.2275479999998</v>
      </c>
      <c r="K6" s="33">
        <f>'2010-10'!K6</f>
        <v>4181019</v>
      </c>
      <c r="L6" s="22">
        <f t="shared" si="3"/>
        <v>9144321.1790021788</v>
      </c>
      <c r="M6" s="22">
        <f t="shared" si="4"/>
        <v>4181019</v>
      </c>
      <c r="N6" s="19" t="s">
        <v>91</v>
      </c>
      <c r="O6" s="4">
        <f t="shared" si="5"/>
        <v>598.22977617701781</v>
      </c>
      <c r="P6" s="13">
        <f>'2010-10'!P6</f>
        <v>2902747</v>
      </c>
      <c r="Q6" s="22">
        <f t="shared" si="6"/>
        <v>6348608.0473169433</v>
      </c>
      <c r="R6" s="13">
        <f t="shared" si="7"/>
        <v>2902747</v>
      </c>
      <c r="W6" s="18">
        <f t="shared" si="10"/>
        <v>0.69426783279387161</v>
      </c>
    </row>
    <row r="7" spans="1:23">
      <c r="A7" s="18" t="s">
        <v>30</v>
      </c>
      <c r="B7" s="4">
        <f>'2010-10'!B7</f>
        <v>61.52546201403905</v>
      </c>
      <c r="C7" s="4">
        <f>'2010-10'!C7</f>
        <v>70.650556777808134</v>
      </c>
      <c r="D7" s="16">
        <f t="shared" si="8"/>
        <v>82425.649574109499</v>
      </c>
      <c r="E7" s="4">
        <f>'Interval Circuities'!H7</f>
        <v>1.1689289949876671</v>
      </c>
      <c r="F7" s="4">
        <f t="shared" si="0"/>
        <v>52.634045590329613</v>
      </c>
      <c r="G7" s="4">
        <f t="shared" si="1"/>
        <v>61.406386522051221</v>
      </c>
      <c r="H7" s="4">
        <f t="shared" si="2"/>
        <v>11846.142609338698</v>
      </c>
      <c r="I7" s="4">
        <f t="shared" si="9"/>
        <v>951.10925507842603</v>
      </c>
      <c r="J7" s="33">
        <f>'2010-10'!J7</f>
        <v>984.01523799999995</v>
      </c>
      <c r="K7" s="33">
        <f>'2010-10'!K7</f>
        <v>935906</v>
      </c>
      <c r="L7" s="22">
        <f t="shared" si="3"/>
        <v>11266975.872720931</v>
      </c>
      <c r="M7" s="22">
        <f t="shared" si="4"/>
        <v>935906</v>
      </c>
      <c r="N7" s="19" t="s">
        <v>91</v>
      </c>
      <c r="O7" s="4">
        <f t="shared" si="5"/>
        <v>463.10664957405874</v>
      </c>
      <c r="P7" s="13">
        <f>'2010-10'!P7</f>
        <v>455704</v>
      </c>
      <c r="Q7" s="22">
        <f t="shared" si="6"/>
        <v>5486027.4141873419</v>
      </c>
      <c r="R7" s="13">
        <f t="shared" si="7"/>
        <v>455704</v>
      </c>
      <c r="W7" s="18">
        <f t="shared" si="10"/>
        <v>0.48691214716007797</v>
      </c>
    </row>
    <row r="8" spans="1:23">
      <c r="A8" s="18" t="s">
        <v>31</v>
      </c>
      <c r="B8" s="4">
        <f>'2010-10'!B8</f>
        <v>64.052681514079197</v>
      </c>
      <c r="C8" s="4">
        <f>'2010-10'!C8</f>
        <v>75.74245959811465</v>
      </c>
      <c r="D8" s="16">
        <f t="shared" si="8"/>
        <v>88366.202864467094</v>
      </c>
      <c r="E8" s="4">
        <f>'Interval Circuities'!H8</f>
        <v>1.2189910044278438</v>
      </c>
      <c r="F8" s="4">
        <f t="shared" si="0"/>
        <v>52.545655613056404</v>
      </c>
      <c r="G8" s="4">
        <f t="shared" si="1"/>
        <v>61.303264881899139</v>
      </c>
      <c r="H8" s="4">
        <f t="shared" si="2"/>
        <v>11806.388831449565</v>
      </c>
      <c r="I8" s="4">
        <f t="shared" si="9"/>
        <v>650.59688341284709</v>
      </c>
      <c r="J8" s="33">
        <f>'2010-10'!J8</f>
        <v>1920.4549420000001</v>
      </c>
      <c r="K8" s="33">
        <f>'2010-10'!K8</f>
        <v>1249442</v>
      </c>
      <c r="L8" s="22">
        <f t="shared" si="3"/>
        <v>7681199.7781013325</v>
      </c>
      <c r="M8" s="22">
        <f t="shared" si="4"/>
        <v>1249442</v>
      </c>
      <c r="N8" s="19" t="s">
        <v>91</v>
      </c>
      <c r="O8" s="4">
        <f t="shared" si="5"/>
        <v>378.75608747294422</v>
      </c>
      <c r="P8" s="13">
        <f>'2010-10'!P8</f>
        <v>727384</v>
      </c>
      <c r="Q8" s="22">
        <f t="shared" si="6"/>
        <v>4471741.6409841031</v>
      </c>
      <c r="R8" s="13">
        <f t="shared" si="7"/>
        <v>727384</v>
      </c>
      <c r="W8" s="18">
        <f t="shared" si="10"/>
        <v>0.58216707938423717</v>
      </c>
    </row>
    <row r="9" spans="1:23">
      <c r="A9" s="18" t="s">
        <v>32</v>
      </c>
      <c r="B9" s="4">
        <f>'2010-10'!B9</f>
        <v>62.255871883980589</v>
      </c>
      <c r="C9" s="4">
        <f>'2010-10'!C9</f>
        <v>73.232676356180107</v>
      </c>
      <c r="D9" s="16">
        <f t="shared" si="8"/>
        <v>85438.122415543461</v>
      </c>
      <c r="E9" s="4">
        <f>'Interval Circuities'!H9</f>
        <v>1.1823958559597361</v>
      </c>
      <c r="F9" s="4">
        <f t="shared" si="0"/>
        <v>52.652308928677925</v>
      </c>
      <c r="G9" s="4">
        <f t="shared" si="1"/>
        <v>61.427693750124249</v>
      </c>
      <c r="H9" s="4">
        <f t="shared" si="2"/>
        <v>11854.364954534689</v>
      </c>
      <c r="I9" s="4">
        <f t="shared" si="9"/>
        <v>1360.6187423043561</v>
      </c>
      <c r="J9" s="33">
        <f>'2010-10'!J9</f>
        <v>6326.6863320000002</v>
      </c>
      <c r="K9" s="33">
        <f>'2010-10'!K9</f>
        <v>8608208</v>
      </c>
      <c r="L9" s="22">
        <f t="shared" si="3"/>
        <v>16129271.135255825</v>
      </c>
      <c r="M9" s="22">
        <f t="shared" si="4"/>
        <v>8608208</v>
      </c>
      <c r="N9" s="19" t="s">
        <v>91</v>
      </c>
      <c r="O9" s="4">
        <f t="shared" si="5"/>
        <v>600.27821843973788</v>
      </c>
      <c r="P9" s="13">
        <f>'2010-10'!P9</f>
        <v>3797772</v>
      </c>
      <c r="Q9" s="22">
        <f t="shared" si="6"/>
        <v>7115917.0756425476</v>
      </c>
      <c r="R9" s="13">
        <f t="shared" si="7"/>
        <v>3797772</v>
      </c>
      <c r="W9" s="18">
        <f t="shared" si="10"/>
        <v>0.4411803246389957</v>
      </c>
    </row>
    <row r="10" spans="1:23">
      <c r="A10" s="18" t="s">
        <v>33</v>
      </c>
      <c r="B10" s="4">
        <f>'2010-10'!B10</f>
        <v>63.816269796049951</v>
      </c>
      <c r="C10" s="4">
        <f>'2010-10'!C10</f>
        <v>74.14207195492925</v>
      </c>
      <c r="D10" s="16">
        <f t="shared" si="8"/>
        <v>86499.083947417457</v>
      </c>
      <c r="E10" s="4">
        <f>'Interval Circuities'!H10</f>
        <v>1.2682519023005123</v>
      </c>
      <c r="F10" s="4">
        <f t="shared" si="0"/>
        <v>50.318292194391432</v>
      </c>
      <c r="G10" s="4">
        <f t="shared" si="1"/>
        <v>58.704674226790011</v>
      </c>
      <c r="H10" s="4">
        <f t="shared" si="2"/>
        <v>10826.678421428924</v>
      </c>
      <c r="I10" s="4">
        <f t="shared" si="9"/>
        <v>796.39106388024629</v>
      </c>
      <c r="J10" s="33">
        <f>'2010-10'!J10</f>
        <v>2040.237609</v>
      </c>
      <c r="K10" s="33">
        <f>'2010-10'!K10</f>
        <v>1624827</v>
      </c>
      <c r="L10" s="22">
        <f t="shared" si="3"/>
        <v>8622269.9463310856</v>
      </c>
      <c r="M10" s="22">
        <f t="shared" si="4"/>
        <v>1624827</v>
      </c>
      <c r="N10" s="19" t="s">
        <v>91</v>
      </c>
      <c r="O10" s="4">
        <f t="shared" si="5"/>
        <v>428.64958284375984</v>
      </c>
      <c r="P10" s="13">
        <f>'2010-10'!P10</f>
        <v>874547</v>
      </c>
      <c r="Q10" s="22">
        <f t="shared" si="6"/>
        <v>4640851.1889290446</v>
      </c>
      <c r="R10" s="13">
        <f t="shared" si="7"/>
        <v>874547</v>
      </c>
      <c r="W10" s="18">
        <f t="shared" si="10"/>
        <v>0.53824007109679994</v>
      </c>
    </row>
    <row r="11" spans="1:23">
      <c r="A11" s="18" t="s">
        <v>34</v>
      </c>
      <c r="B11" s="4">
        <f>'2010-10'!B11</f>
        <v>60.599390167439914</v>
      </c>
      <c r="C11" s="4">
        <f>'2010-10'!C11</f>
        <v>69.653954039848372</v>
      </c>
      <c r="D11" s="16">
        <f t="shared" si="8"/>
        <v>81262.946379823101</v>
      </c>
      <c r="E11" s="4">
        <f>'Interval Circuities'!H11</f>
        <v>1.1538473690936333</v>
      </c>
      <c r="F11" s="4">
        <f t="shared" si="0"/>
        <v>52.519416164238223</v>
      </c>
      <c r="G11" s="4">
        <f t="shared" si="1"/>
        <v>61.272652191611265</v>
      </c>
      <c r="H11" s="4">
        <f t="shared" si="2"/>
        <v>11794.600386449911</v>
      </c>
      <c r="I11" s="4">
        <f t="shared" si="9"/>
        <v>890.6045978114746</v>
      </c>
      <c r="J11" s="33">
        <f>'2010-10'!J11</f>
        <v>1999.3979420000001</v>
      </c>
      <c r="K11" s="33">
        <f>'2010-10'!K11</f>
        <v>1780673</v>
      </c>
      <c r="L11" s="22">
        <f t="shared" si="3"/>
        <v>10504325.333521286</v>
      </c>
      <c r="M11" s="22">
        <f t="shared" si="4"/>
        <v>1780673</v>
      </c>
      <c r="N11" s="19" t="s">
        <v>91</v>
      </c>
      <c r="O11" s="4">
        <f t="shared" si="5"/>
        <v>435.21001083435146</v>
      </c>
      <c r="P11" s="13">
        <f>'2010-10'!P11</f>
        <v>870158</v>
      </c>
      <c r="Q11" s="22">
        <f t="shared" si="6"/>
        <v>5133128.161973712</v>
      </c>
      <c r="R11" s="13">
        <f t="shared" si="7"/>
        <v>870158</v>
      </c>
      <c r="W11" s="18">
        <f t="shared" si="10"/>
        <v>0.48866804854119766</v>
      </c>
    </row>
    <row r="12" spans="1:23">
      <c r="A12" s="18" t="s">
        <v>35</v>
      </c>
      <c r="B12" s="4">
        <f>'2010-10'!B12</f>
        <v>64.046411741712433</v>
      </c>
      <c r="C12" s="4">
        <f>'2010-10'!C12</f>
        <v>74.901794999095003</v>
      </c>
      <c r="D12" s="16">
        <f t="shared" si="8"/>
        <v>87385.427498944176</v>
      </c>
      <c r="E12" s="4">
        <f>'Interval Circuities'!H12</f>
        <v>1.1724940871079761</v>
      </c>
      <c r="F12" s="4">
        <f t="shared" si="0"/>
        <v>54.624080791474675</v>
      </c>
      <c r="G12" s="4">
        <f t="shared" si="1"/>
        <v>63.72809425672046</v>
      </c>
      <c r="H12" s="4">
        <f t="shared" si="2"/>
        <v>12758.85598868421</v>
      </c>
      <c r="I12" s="4">
        <f t="shared" si="9"/>
        <v>1034.7499169004755</v>
      </c>
      <c r="J12" s="33">
        <f>'2010-10'!J12</f>
        <v>1322.0923989999999</v>
      </c>
      <c r="K12" s="33">
        <f>'2010-10'!K12</f>
        <v>1368035</v>
      </c>
      <c r="L12" s="22">
        <f t="shared" si="3"/>
        <v>13202225.174036121</v>
      </c>
      <c r="M12" s="22">
        <f t="shared" si="4"/>
        <v>1368035</v>
      </c>
      <c r="N12" s="19" t="s">
        <v>91</v>
      </c>
      <c r="O12" s="4">
        <f t="shared" si="5"/>
        <v>567.53143771761449</v>
      </c>
      <c r="P12" s="13">
        <f>'2010-10'!P12</f>
        <v>750329</v>
      </c>
      <c r="Q12" s="22">
        <f t="shared" si="6"/>
        <v>7241051.882889946</v>
      </c>
      <c r="R12" s="13">
        <f t="shared" si="7"/>
        <v>750329</v>
      </c>
      <c r="W12" s="18">
        <f t="shared" si="10"/>
        <v>0.54847207856524127</v>
      </c>
    </row>
    <row r="13" spans="1:23">
      <c r="A13" s="18" t="s">
        <v>61</v>
      </c>
      <c r="B13" s="4">
        <f>'2010-10'!B13</f>
        <v>65.991437704144019</v>
      </c>
      <c r="C13" s="4">
        <f>'2010-10'!C13</f>
        <v>78.097331458401655</v>
      </c>
      <c r="D13" s="16">
        <f t="shared" si="8"/>
        <v>91113.553368135268</v>
      </c>
      <c r="E13" s="4">
        <f>'Interval Circuities'!H13</f>
        <v>1.2194440762579295</v>
      </c>
      <c r="F13" s="4">
        <f t="shared" si="0"/>
        <v>54.116001700258295</v>
      </c>
      <c r="G13" s="4">
        <f t="shared" si="1"/>
        <v>63.135335316968018</v>
      </c>
      <c r="H13" s="4">
        <f t="shared" si="2"/>
        <v>12522.610005535455</v>
      </c>
      <c r="I13" s="4">
        <f t="shared" si="9"/>
        <v>1111.5370303722236</v>
      </c>
      <c r="J13" s="33">
        <f>'2010-10'!J13</f>
        <v>4607.9364519999999</v>
      </c>
      <c r="K13" s="33">
        <f>'2010-10'!K13</f>
        <v>5121892</v>
      </c>
      <c r="L13" s="22">
        <f t="shared" si="3"/>
        <v>13919344.738062374</v>
      </c>
      <c r="M13" s="22">
        <f t="shared" si="4"/>
        <v>5121892</v>
      </c>
      <c r="N13" s="19" t="s">
        <v>91</v>
      </c>
      <c r="O13" s="4">
        <f t="shared" si="5"/>
        <v>544.77313785663296</v>
      </c>
      <c r="P13" s="13">
        <f>'2010-10'!P13</f>
        <v>2510280</v>
      </c>
      <c r="Q13" s="22">
        <f t="shared" si="6"/>
        <v>6821981.546870417</v>
      </c>
      <c r="R13" s="13">
        <f t="shared" si="7"/>
        <v>2510280</v>
      </c>
      <c r="W13" s="18">
        <f t="shared" si="10"/>
        <v>0.49010795229575316</v>
      </c>
    </row>
    <row r="14" spans="1:23">
      <c r="A14" s="18" t="s">
        <v>36</v>
      </c>
      <c r="B14" s="4">
        <f>'2010-10'!B14</f>
        <v>60.705617754852213</v>
      </c>
      <c r="C14" s="4">
        <f>'2010-10'!C14</f>
        <v>72.576467255996263</v>
      </c>
      <c r="D14" s="16">
        <f t="shared" si="8"/>
        <v>84672.545131995648</v>
      </c>
      <c r="E14" s="4">
        <f>'Interval Circuities'!H14</f>
        <v>1.3325880714466081</v>
      </c>
      <c r="F14" s="4">
        <f t="shared" si="0"/>
        <v>45.554675938943724</v>
      </c>
      <c r="G14" s="4">
        <f t="shared" si="1"/>
        <v>53.147121928767682</v>
      </c>
      <c r="H14" s="4">
        <f t="shared" si="2"/>
        <v>8873.7946633563806</v>
      </c>
      <c r="I14" s="4">
        <f t="shared" si="9"/>
        <v>1372.3806261261409</v>
      </c>
      <c r="J14" s="33">
        <f>'2010-10'!J14</f>
        <v>1729.9887180000001</v>
      </c>
      <c r="K14" s="33">
        <f>'2010-10'!K14</f>
        <v>2374203</v>
      </c>
      <c r="L14" s="22">
        <f t="shared" si="3"/>
        <v>12178223.876211837</v>
      </c>
      <c r="M14" s="22">
        <f t="shared" si="4"/>
        <v>2374203</v>
      </c>
      <c r="N14" s="19" t="s">
        <v>91</v>
      </c>
      <c r="O14" s="4">
        <f t="shared" si="5"/>
        <v>600.08830647183447</v>
      </c>
      <c r="P14" s="13">
        <f>'2010-10'!P14</f>
        <v>1038146</v>
      </c>
      <c r="Q14" s="22">
        <f t="shared" si="6"/>
        <v>5325060.411512333</v>
      </c>
      <c r="R14" s="13">
        <f t="shared" si="7"/>
        <v>1038146</v>
      </c>
      <c r="W14" s="18">
        <f t="shared" si="10"/>
        <v>0.43726084079583766</v>
      </c>
    </row>
    <row r="15" spans="1:23">
      <c r="A15" s="18" t="s">
        <v>37</v>
      </c>
      <c r="B15" s="4">
        <f>'2010-10'!B15</f>
        <v>62.147901133486052</v>
      </c>
      <c r="C15" s="4">
        <f>'2010-10'!C15</f>
        <v>71.579622920369374</v>
      </c>
      <c r="D15" s="16">
        <f t="shared" si="8"/>
        <v>83509.560073764282</v>
      </c>
      <c r="E15" s="4">
        <f>'Interval Circuities'!H15</f>
        <v>1.1843590512748781</v>
      </c>
      <c r="F15" s="4">
        <f t="shared" si="0"/>
        <v>52.473868516974029</v>
      </c>
      <c r="G15" s="4">
        <f t="shared" si="1"/>
        <v>61.219513269803038</v>
      </c>
      <c r="H15" s="4">
        <f t="shared" si="2"/>
        <v>11774.151440673793</v>
      </c>
      <c r="I15" s="4">
        <f t="shared" si="9"/>
        <v>1078.2087468947925</v>
      </c>
      <c r="J15" s="33">
        <f>'2010-10'!J15</f>
        <v>3463.2347500000001</v>
      </c>
      <c r="K15" s="33">
        <f>'2010-10'!K15</f>
        <v>3734090</v>
      </c>
      <c r="L15" s="22">
        <f t="shared" si="3"/>
        <v>12694993.070598407</v>
      </c>
      <c r="M15" s="22">
        <f t="shared" si="4"/>
        <v>3734090</v>
      </c>
      <c r="N15" s="19" t="s">
        <v>91</v>
      </c>
      <c r="O15" s="4">
        <f t="shared" si="5"/>
        <v>433.40348210585495</v>
      </c>
      <c r="P15" s="13">
        <f>'2010-10'!P15</f>
        <v>1500978</v>
      </c>
      <c r="Q15" s="22">
        <f t="shared" si="6"/>
        <v>5102958.2332296902</v>
      </c>
      <c r="R15" s="13">
        <f t="shared" si="7"/>
        <v>1500978</v>
      </c>
      <c r="W15" s="18">
        <f t="shared" si="10"/>
        <v>0.40196620863449994</v>
      </c>
    </row>
    <row r="16" spans="1:23">
      <c r="A16" s="18" t="s">
        <v>79</v>
      </c>
      <c r="B16" s="4">
        <f>'2010-10'!B16</f>
        <v>67.784674216887879</v>
      </c>
      <c r="C16" s="4">
        <f>'2010-10'!C16</f>
        <v>73.484930426832634</v>
      </c>
      <c r="D16" s="16">
        <f t="shared" si="8"/>
        <v>85732.418831304734</v>
      </c>
      <c r="E16" s="4">
        <f>'Interval Circuities'!H16</f>
        <v>1.2332093689133028</v>
      </c>
      <c r="F16" s="4">
        <f t="shared" si="0"/>
        <v>54.966071395175462</v>
      </c>
      <c r="G16" s="4">
        <f t="shared" si="1"/>
        <v>64.127083294371374</v>
      </c>
      <c r="H16" s="4">
        <f t="shared" si="2"/>
        <v>12919.117471170313</v>
      </c>
      <c r="I16" s="4">
        <f t="shared" si="9"/>
        <v>784.29737505885555</v>
      </c>
      <c r="J16" s="33">
        <f>'2010-10'!J16</f>
        <v>726.68227400000001</v>
      </c>
      <c r="K16" s="33">
        <f>'2010-10'!K16</f>
        <v>569935</v>
      </c>
      <c r="L16" s="22">
        <f t="shared" si="3"/>
        <v>10132429.920715876</v>
      </c>
      <c r="M16" s="22">
        <f t="shared" si="4"/>
        <v>569935</v>
      </c>
      <c r="N16" s="19" t="s">
        <v>91</v>
      </c>
      <c r="O16" s="4">
        <f t="shared" si="5"/>
        <v>438.1103150453344</v>
      </c>
      <c r="P16" s="13">
        <f>'2010-10'!P16</f>
        <v>318367</v>
      </c>
      <c r="Q16" s="22">
        <f t="shared" si="6"/>
        <v>5659998.6254021097</v>
      </c>
      <c r="R16" s="13">
        <f t="shared" si="7"/>
        <v>318367</v>
      </c>
      <c r="W16" s="18">
        <f t="shared" si="10"/>
        <v>0.55860229675313855</v>
      </c>
    </row>
    <row r="17" spans="1:23">
      <c r="A17" s="18" t="s">
        <v>511</v>
      </c>
      <c r="B17" s="4">
        <f>'2010-10'!B17</f>
        <v>64.715366633523445</v>
      </c>
      <c r="C17" s="4">
        <f>'2010-10'!C17</f>
        <v>75.511487142105324</v>
      </c>
      <c r="D17" s="16">
        <f t="shared" si="8"/>
        <v>88096.734999122884</v>
      </c>
      <c r="E17" s="4">
        <f>'Interval Circuities'!H17</f>
        <v>1.3238381040403082</v>
      </c>
      <c r="F17" s="4">
        <f t="shared" si="0"/>
        <v>48.884653218557752</v>
      </c>
      <c r="G17" s="4">
        <f t="shared" si="1"/>
        <v>57.032095421650716</v>
      </c>
      <c r="H17" s="4">
        <f t="shared" si="2"/>
        <v>10218.532472177762</v>
      </c>
      <c r="I17" s="4">
        <f t="shared" si="9"/>
        <v>1078.4020248075806</v>
      </c>
      <c r="J17" s="33">
        <f>'2010-10'!J17</f>
        <v>1334.9993480000001</v>
      </c>
      <c r="K17" s="33">
        <f>'2010-10'!K17</f>
        <v>1439666</v>
      </c>
      <c r="L17" s="22">
        <f t="shared" si="3"/>
        <v>11019686.108558509</v>
      </c>
      <c r="M17" s="22">
        <f t="shared" si="4"/>
        <v>1439666</v>
      </c>
      <c r="N17" s="19" t="s">
        <v>91</v>
      </c>
      <c r="O17" s="4">
        <f t="shared" si="5"/>
        <v>444.79197753136282</v>
      </c>
      <c r="P17" s="13">
        <f>'2010-10'!P17</f>
        <v>593797</v>
      </c>
      <c r="Q17" s="22">
        <f t="shared" si="6"/>
        <v>4545121.265768392</v>
      </c>
      <c r="R17" s="13">
        <f t="shared" si="7"/>
        <v>593797</v>
      </c>
      <c r="W17" s="18">
        <f t="shared" si="10"/>
        <v>0.41245469435271798</v>
      </c>
    </row>
    <row r="18" spans="1:23">
      <c r="A18" s="18" t="s">
        <v>38</v>
      </c>
      <c r="B18" s="4">
        <f>'2010-10'!B18</f>
        <v>63.831016736397409</v>
      </c>
      <c r="C18" s="4">
        <f>'2010-10'!C18</f>
        <v>74.742968134682343</v>
      </c>
      <c r="D18" s="16">
        <f t="shared" si="8"/>
        <v>87200.129490462743</v>
      </c>
      <c r="E18" s="4">
        <f>'Interval Circuities'!H18</f>
        <v>1.2212395547829722</v>
      </c>
      <c r="F18" s="4">
        <f t="shared" si="0"/>
        <v>52.267400352702211</v>
      </c>
      <c r="G18" s="4">
        <f t="shared" si="1"/>
        <v>60.978633744819248</v>
      </c>
      <c r="H18" s="4">
        <f t="shared" si="2"/>
        <v>11681.678561619745</v>
      </c>
      <c r="I18" s="4">
        <f t="shared" si="9"/>
        <v>691.70595675577363</v>
      </c>
      <c r="J18" s="33">
        <f>'2010-10'!J18</f>
        <v>1337.0695900000001</v>
      </c>
      <c r="K18" s="33">
        <f>'2010-10'!K18</f>
        <v>924859</v>
      </c>
      <c r="L18" s="22">
        <f t="shared" si="3"/>
        <v>8080286.6459785951</v>
      </c>
      <c r="M18" s="22">
        <f t="shared" si="4"/>
        <v>924859</v>
      </c>
      <c r="N18" s="19" t="s">
        <v>91</v>
      </c>
      <c r="O18" s="4">
        <f t="shared" si="5"/>
        <v>395.88290987905873</v>
      </c>
      <c r="P18" s="13">
        <f>'2010-10'!P18</f>
        <v>529323</v>
      </c>
      <c r="Q18" s="22">
        <f t="shared" si="6"/>
        <v>4624576.9012458418</v>
      </c>
      <c r="R18" s="13">
        <f t="shared" si="7"/>
        <v>529323</v>
      </c>
      <c r="W18" s="18">
        <f t="shared" si="10"/>
        <v>0.57232832247942655</v>
      </c>
    </row>
    <row r="19" spans="1:23">
      <c r="A19" s="18" t="s">
        <v>80</v>
      </c>
      <c r="B19" s="4">
        <f>'2010-10'!B19</f>
        <v>54.710932805374171</v>
      </c>
      <c r="C19" s="4">
        <f>'2010-10'!C19</f>
        <v>67.860376115847075</v>
      </c>
      <c r="D19" s="16">
        <f t="shared" si="8"/>
        <v>79170.438801821583</v>
      </c>
      <c r="E19" s="4">
        <f>'Interval Circuities'!H19</f>
        <v>1.4457945737747382</v>
      </c>
      <c r="F19" s="4">
        <f t="shared" si="0"/>
        <v>37.841429064526565</v>
      </c>
      <c r="G19" s="4">
        <f t="shared" si="1"/>
        <v>44.148333908614326</v>
      </c>
      <c r="H19" s="4">
        <f t="shared" si="2"/>
        <v>6123.2009167981614</v>
      </c>
      <c r="I19" s="4">
        <f t="shared" si="9"/>
        <v>1820.7093992818395</v>
      </c>
      <c r="J19" s="33">
        <f>'2010-10'!J19</f>
        <v>440.73974700000002</v>
      </c>
      <c r="K19" s="33">
        <f>'2010-10'!K19</f>
        <v>802459</v>
      </c>
      <c r="L19" s="22">
        <f t="shared" si="3"/>
        <v>11148569.462905589</v>
      </c>
      <c r="M19" s="22">
        <f t="shared" si="4"/>
        <v>802459</v>
      </c>
      <c r="N19" s="19" t="s">
        <v>91</v>
      </c>
      <c r="O19" s="4">
        <f t="shared" si="5"/>
        <v>762.20491182520914</v>
      </c>
      <c r="P19" s="13">
        <f>'2010-10'!P19</f>
        <v>335934</v>
      </c>
      <c r="Q19" s="22">
        <f t="shared" si="6"/>
        <v>4667133.814876182</v>
      </c>
      <c r="R19" s="13">
        <f t="shared" si="7"/>
        <v>335934</v>
      </c>
      <c r="W19" s="18">
        <f t="shared" si="10"/>
        <v>0.41863073378203747</v>
      </c>
    </row>
    <row r="20" spans="1:23">
      <c r="A20" s="18" t="s">
        <v>39</v>
      </c>
      <c r="B20" s="4">
        <f>'2010-10'!B20</f>
        <v>66.693022833822994</v>
      </c>
      <c r="C20" s="4">
        <f>'2010-10'!C20</f>
        <v>78.916174325560149</v>
      </c>
      <c r="D20" s="16">
        <f t="shared" si="8"/>
        <v>92068.870046486845</v>
      </c>
      <c r="E20" s="4">
        <f>'Interval Circuities'!H20</f>
        <v>1.244523848534959</v>
      </c>
      <c r="F20" s="4">
        <f t="shared" si="0"/>
        <v>53.589188276571278</v>
      </c>
      <c r="G20" s="4">
        <f t="shared" si="1"/>
        <v>62.520719655999827</v>
      </c>
      <c r="H20" s="4">
        <f t="shared" si="2"/>
        <v>12279.984241668122</v>
      </c>
      <c r="I20" s="4">
        <f t="shared" si="9"/>
        <v>1149.9995031423985</v>
      </c>
      <c r="J20" s="33">
        <f>'2010-10'!J20</f>
        <v>4299.4209879999999</v>
      </c>
      <c r="K20" s="33">
        <f>'2010-10'!K20</f>
        <v>4944332</v>
      </c>
      <c r="L20" s="22">
        <f t="shared" si="3"/>
        <v>14121975.776514823</v>
      </c>
      <c r="M20" s="22">
        <f t="shared" si="4"/>
        <v>4944332</v>
      </c>
      <c r="N20" s="19" t="s">
        <v>91</v>
      </c>
      <c r="O20" s="4">
        <f t="shared" si="5"/>
        <v>506.24654019109983</v>
      </c>
      <c r="P20" s="13">
        <f>'2010-10'!P20</f>
        <v>2176567</v>
      </c>
      <c r="Q20" s="22">
        <f t="shared" si="6"/>
        <v>6216699.5359457135</v>
      </c>
      <c r="R20" s="13">
        <f t="shared" si="7"/>
        <v>2176567</v>
      </c>
      <c r="W20" s="18">
        <f t="shared" si="10"/>
        <v>0.44021457296961453</v>
      </c>
    </row>
    <row r="21" spans="1:23">
      <c r="A21" s="18" t="s">
        <v>40</v>
      </c>
      <c r="B21" s="4">
        <f>'2010-10'!B21</f>
        <v>62.662263546111326</v>
      </c>
      <c r="C21" s="4">
        <f>'2010-10'!C21</f>
        <v>72.333701669204501</v>
      </c>
      <c r="D21" s="16">
        <f t="shared" si="8"/>
        <v>84389.318614071919</v>
      </c>
      <c r="E21" s="4">
        <f>'Interval Circuities'!H21</f>
        <v>1.1881337656936146</v>
      </c>
      <c r="F21" s="4">
        <f t="shared" si="0"/>
        <v>52.740074691446921</v>
      </c>
      <c r="G21" s="4">
        <f t="shared" si="1"/>
        <v>61.530087140021415</v>
      </c>
      <c r="H21" s="4">
        <f t="shared" si="2"/>
        <v>11893.917807103979</v>
      </c>
      <c r="I21" s="4">
        <f t="shared" si="9"/>
        <v>813.78264340099747</v>
      </c>
      <c r="J21" s="33">
        <f>'2010-10'!J21</f>
        <v>1827.8627739999999</v>
      </c>
      <c r="K21" s="33">
        <f>'2010-10'!K21</f>
        <v>1487483</v>
      </c>
      <c r="L21" s="22">
        <f t="shared" si="3"/>
        <v>9679063.8734592702</v>
      </c>
      <c r="M21" s="22">
        <f t="shared" si="4"/>
        <v>1487483</v>
      </c>
      <c r="N21" s="19" t="s">
        <v>91</v>
      </c>
      <c r="O21" s="4">
        <f t="shared" si="5"/>
        <v>406.44134262564722</v>
      </c>
      <c r="P21" s="13">
        <f>'2010-10'!P21</f>
        <v>742919</v>
      </c>
      <c r="Q21" s="22">
        <f t="shared" si="6"/>
        <v>4834179.9225984346</v>
      </c>
      <c r="R21" s="13">
        <f t="shared" si="7"/>
        <v>742919</v>
      </c>
      <c r="W21" s="18">
        <f t="shared" si="10"/>
        <v>0.49944705250412946</v>
      </c>
    </row>
    <row r="22" spans="1:23" ht="16">
      <c r="A22" s="18" t="s">
        <v>118</v>
      </c>
      <c r="B22" s="4">
        <f>'2010-10'!B22</f>
        <v>72.107428140171564</v>
      </c>
      <c r="C22" s="4">
        <f>'2010-10'!C22</f>
        <v>84.099901925483479</v>
      </c>
      <c r="D22" s="16">
        <f t="shared" si="8"/>
        <v>98116.552246397405</v>
      </c>
      <c r="E22" s="4">
        <f>'Interval Circuities'!H22</f>
        <v>1.340855665082751</v>
      </c>
      <c r="F22" s="4">
        <f t="shared" si="0"/>
        <v>53.77717379873355</v>
      </c>
      <c r="G22" s="4">
        <f t="shared" si="1"/>
        <v>62.740036098522481</v>
      </c>
      <c r="H22" s="4">
        <f t="shared" si="2"/>
        <v>12366.289268725683</v>
      </c>
      <c r="I22" s="4">
        <f t="shared" si="9"/>
        <v>1369.2709398652264</v>
      </c>
      <c r="J22" s="33">
        <f>'2010-10'!J22</f>
        <v>1411.4562309999999</v>
      </c>
      <c r="K22" s="33">
        <f>'2010-10'!K22</f>
        <v>1932666</v>
      </c>
      <c r="L22" s="22">
        <f t="shared" si="3"/>
        <v>16932800.52963328</v>
      </c>
      <c r="M22" s="22">
        <f t="shared" si="4"/>
        <v>1932666</v>
      </c>
      <c r="N22" s="19" t="s">
        <v>91</v>
      </c>
      <c r="O22" s="4">
        <f t="shared" si="5"/>
        <v>678.25411725430968</v>
      </c>
      <c r="P22" s="13">
        <f>'2010-10'!P22</f>
        <v>957326</v>
      </c>
      <c r="Q22" s="22">
        <f t="shared" si="6"/>
        <v>8387486.6116709802</v>
      </c>
      <c r="R22" s="13">
        <f t="shared" si="7"/>
        <v>957326</v>
      </c>
      <c r="W22" s="18">
        <f t="shared" si="10"/>
        <v>0.49533959825443186</v>
      </c>
    </row>
    <row r="23" spans="1:23">
      <c r="A23" s="18" t="s">
        <v>41</v>
      </c>
      <c r="B23" s="4">
        <f>'2010-10'!B23</f>
        <v>69.127068300037649</v>
      </c>
      <c r="C23" s="4">
        <f>'2010-10'!C23</f>
        <v>78.497147187767681</v>
      </c>
      <c r="D23" s="16">
        <f t="shared" si="8"/>
        <v>91580.005052395631</v>
      </c>
      <c r="E23" s="4">
        <f>'Interval Circuities'!H23</f>
        <v>1.2868751983865299</v>
      </c>
      <c r="F23" s="4">
        <f t="shared" si="0"/>
        <v>53.716994768963154</v>
      </c>
      <c r="G23" s="4">
        <f t="shared" si="1"/>
        <v>62.669827230457017</v>
      </c>
      <c r="H23" s="4">
        <f t="shared" si="2"/>
        <v>12338.627908112181</v>
      </c>
      <c r="I23" s="4">
        <f t="shared" si="9"/>
        <v>775.48585132918799</v>
      </c>
      <c r="J23" s="33">
        <f>'2010-10'!J23</f>
        <v>1373.6150029999999</v>
      </c>
      <c r="K23" s="33">
        <f>'2010-10'!K23</f>
        <v>1065219</v>
      </c>
      <c r="L23" s="22">
        <f t="shared" si="3"/>
        <v>9568431.3675564528</v>
      </c>
      <c r="M23" s="22">
        <f t="shared" si="4"/>
        <v>1065219</v>
      </c>
      <c r="N23" s="19" t="s">
        <v>91</v>
      </c>
      <c r="O23" s="4">
        <f t="shared" si="5"/>
        <v>626.55110647477409</v>
      </c>
      <c r="P23" s="13">
        <f>'2010-10'!P23</f>
        <v>860640</v>
      </c>
      <c r="Q23" s="22">
        <f t="shared" si="6"/>
        <v>7730780.9682082143</v>
      </c>
      <c r="R23" s="13">
        <f t="shared" si="7"/>
        <v>860640</v>
      </c>
      <c r="W23" s="18">
        <f t="shared" si="10"/>
        <v>0.80794653493788604</v>
      </c>
    </row>
    <row r="24" spans="1:23">
      <c r="A24" s="18" t="s">
        <v>74</v>
      </c>
      <c r="B24" s="4">
        <f>'2010-10'!B24</f>
        <v>67.812288769795572</v>
      </c>
      <c r="C24" s="4">
        <f>'2010-10'!C24</f>
        <v>74.592726606374868</v>
      </c>
      <c r="D24" s="16">
        <f t="shared" si="8"/>
        <v>87024.847707437351</v>
      </c>
      <c r="E24" s="4">
        <f>'Interval Circuities'!H24</f>
        <v>1.2339380343866972</v>
      </c>
      <c r="F24" s="4">
        <f t="shared" si="0"/>
        <v>54.955992019080789</v>
      </c>
      <c r="G24" s="4">
        <f t="shared" si="1"/>
        <v>64.115324022260921</v>
      </c>
      <c r="H24" s="4">
        <f t="shared" si="2"/>
        <v>12914.379832067063</v>
      </c>
      <c r="I24" s="4">
        <f t="shared" si="9"/>
        <v>865.47479649931279</v>
      </c>
      <c r="J24" s="33">
        <f>'2010-10'!J24</f>
        <v>1755.5878070000001</v>
      </c>
      <c r="K24" s="33">
        <f>'2010-10'!K24</f>
        <v>1519417</v>
      </c>
      <c r="L24" s="22">
        <f t="shared" si="3"/>
        <v>11177070.257073071</v>
      </c>
      <c r="M24" s="22">
        <f t="shared" si="4"/>
        <v>1519417</v>
      </c>
      <c r="N24" s="19" t="s">
        <v>91</v>
      </c>
      <c r="O24" s="4">
        <f t="shared" si="5"/>
        <v>528.94933326453656</v>
      </c>
      <c r="P24" s="13">
        <f>'2010-10'!P24</f>
        <v>928617</v>
      </c>
      <c r="Q24" s="22">
        <f t="shared" si="6"/>
        <v>6831052.6016968507</v>
      </c>
      <c r="R24" s="13">
        <f t="shared" si="7"/>
        <v>928617</v>
      </c>
      <c r="W24" s="18">
        <f t="shared" si="10"/>
        <v>0.61116665141959059</v>
      </c>
    </row>
    <row r="25" spans="1:23">
      <c r="A25" s="18" t="s">
        <v>62</v>
      </c>
      <c r="B25" s="4">
        <f>'2010-10'!B25</f>
        <v>62.454008275887581</v>
      </c>
      <c r="C25" s="4">
        <f>'2010-10'!C25</f>
        <v>72.980903634295757</v>
      </c>
      <c r="D25" s="16">
        <f t="shared" si="8"/>
        <v>85144.387573345055</v>
      </c>
      <c r="E25" s="4">
        <f>'Interval Circuities'!H25</f>
        <v>1.3118575590900703</v>
      </c>
      <c r="F25" s="4">
        <f t="shared" si="0"/>
        <v>47.607309073408004</v>
      </c>
      <c r="G25" s="4">
        <f t="shared" si="1"/>
        <v>55.541860585642674</v>
      </c>
      <c r="H25" s="4">
        <f t="shared" si="2"/>
        <v>9691.4937650845095</v>
      </c>
      <c r="I25" s="4">
        <f t="shared" si="9"/>
        <v>1746.9193703498715</v>
      </c>
      <c r="J25" s="33">
        <f>'2010-10'!J25</f>
        <v>1079.621093</v>
      </c>
      <c r="K25" s="33">
        <f>'2010-10'!K25</f>
        <v>1886011</v>
      </c>
      <c r="L25" s="22">
        <f t="shared" si="3"/>
        <v>16930258.185851138</v>
      </c>
      <c r="M25" s="22">
        <f t="shared" si="4"/>
        <v>1886011</v>
      </c>
      <c r="N25" s="19" t="s">
        <v>91</v>
      </c>
      <c r="O25" s="4">
        <f t="shared" si="5"/>
        <v>677.90079755323939</v>
      </c>
      <c r="P25" s="13">
        <f>'2010-10'!P25</f>
        <v>731876</v>
      </c>
      <c r="Q25" s="22">
        <f t="shared" si="6"/>
        <v>6569871.3528330354</v>
      </c>
      <c r="R25" s="13">
        <f t="shared" si="7"/>
        <v>731876</v>
      </c>
      <c r="W25" s="18">
        <f t="shared" si="10"/>
        <v>0.38805500073965632</v>
      </c>
    </row>
    <row r="26" spans="1:23" ht="16">
      <c r="A26" s="18" t="s">
        <v>119</v>
      </c>
      <c r="B26" s="4">
        <f>'2010-10'!B26</f>
        <v>67.712654237264687</v>
      </c>
      <c r="C26" s="4">
        <f>'2010-10'!C26</f>
        <v>83.333789923093292</v>
      </c>
      <c r="D26" s="16">
        <f t="shared" si="8"/>
        <v>97222.754910275515</v>
      </c>
      <c r="E26" s="4">
        <f>'Interval Circuities'!H26</f>
        <v>1.2372388226799365</v>
      </c>
      <c r="F26" s="4">
        <f t="shared" si="0"/>
        <v>54.728847006752389</v>
      </c>
      <c r="G26" s="4">
        <f t="shared" si="1"/>
        <v>63.850321507877794</v>
      </c>
      <c r="H26" s="4">
        <f t="shared" si="2"/>
        <v>12807.844599289007</v>
      </c>
      <c r="I26" s="4">
        <f t="shared" si="9"/>
        <v>2702.4637693066888</v>
      </c>
      <c r="J26" s="33">
        <f>'2010-10'!J26</f>
        <v>4496.2660139999998</v>
      </c>
      <c r="K26" s="33">
        <f>'2010-10'!K26</f>
        <v>12150996</v>
      </c>
      <c r="L26" s="22">
        <f t="shared" si="3"/>
        <v>34612735.992488883</v>
      </c>
      <c r="M26" s="22">
        <f t="shared" si="4"/>
        <v>12150996</v>
      </c>
      <c r="N26" s="19" t="s">
        <v>91</v>
      </c>
      <c r="O26" s="4">
        <f t="shared" si="5"/>
        <v>1079.1963787042962</v>
      </c>
      <c r="P26" s="13">
        <f>'2010-10'!P26</f>
        <v>4852354</v>
      </c>
      <c r="Q26" s="22">
        <f t="shared" si="6"/>
        <v>13822179.510560073</v>
      </c>
      <c r="R26" s="13">
        <f t="shared" si="7"/>
        <v>4852354</v>
      </c>
      <c r="W26" s="18">
        <f t="shared" si="10"/>
        <v>0.39933796373564767</v>
      </c>
    </row>
    <row r="27" spans="1:23">
      <c r="A27" s="18" t="s">
        <v>42</v>
      </c>
      <c r="B27" s="4">
        <f>'2010-10'!B27</f>
        <v>69.762390899595417</v>
      </c>
      <c r="C27" s="4">
        <f>'2010-10'!C27</f>
        <v>80.633405227489121</v>
      </c>
      <c r="D27" s="16">
        <f t="shared" si="8"/>
        <v>94072.306098737317</v>
      </c>
      <c r="E27" s="4">
        <f>'Interval Circuities'!H27</f>
        <v>1.3035823978090557</v>
      </c>
      <c r="F27" s="4">
        <f t="shared" si="0"/>
        <v>53.515904339338874</v>
      </c>
      <c r="G27" s="4">
        <f t="shared" si="1"/>
        <v>62.435221729228694</v>
      </c>
      <c r="H27" s="4">
        <f t="shared" si="2"/>
        <v>12246.421118466842</v>
      </c>
      <c r="I27" s="4">
        <f t="shared" si="9"/>
        <v>787.6776339629688</v>
      </c>
      <c r="J27" s="33">
        <f>'2010-10'!J27</f>
        <v>1234.70054</v>
      </c>
      <c r="K27" s="33">
        <f>'2010-10'!K27</f>
        <v>972546</v>
      </c>
      <c r="L27" s="22">
        <f t="shared" si="3"/>
        <v>9646232.0111080967</v>
      </c>
      <c r="M27" s="22">
        <f t="shared" si="4"/>
        <v>972546</v>
      </c>
      <c r="N27" s="19" t="s">
        <v>91</v>
      </c>
      <c r="O27" s="4">
        <f t="shared" si="5"/>
        <v>417.10518730314965</v>
      </c>
      <c r="P27" s="13">
        <f>'2010-10'!P27</f>
        <v>515000</v>
      </c>
      <c r="Q27" s="22">
        <f t="shared" si="6"/>
        <v>5108045.7744113598</v>
      </c>
      <c r="R27" s="13">
        <f t="shared" si="7"/>
        <v>515000</v>
      </c>
      <c r="W27" s="18">
        <f t="shared" si="10"/>
        <v>0.52953793445245778</v>
      </c>
    </row>
    <row r="28" spans="1:23">
      <c r="A28" s="18" t="s">
        <v>43</v>
      </c>
      <c r="B28" s="4">
        <f>'2010-10'!B28</f>
        <v>66.011797525453602</v>
      </c>
      <c r="C28" s="4">
        <f>'2010-10'!C28</f>
        <v>76.864865322833012</v>
      </c>
      <c r="D28" s="16">
        <f t="shared" si="8"/>
        <v>89675.676209971847</v>
      </c>
      <c r="E28" s="4">
        <f>'Interval Circuities'!H28</f>
        <v>1.2390192666572288</v>
      </c>
      <c r="F28" s="4">
        <f t="shared" si="0"/>
        <v>53.277458472092974</v>
      </c>
      <c r="G28" s="4">
        <f t="shared" si="1"/>
        <v>62.157034884108477</v>
      </c>
      <c r="H28" s="4">
        <f t="shared" si="2"/>
        <v>12137.53374707788</v>
      </c>
      <c r="I28" s="4">
        <f t="shared" si="9"/>
        <v>823.01437699234145</v>
      </c>
      <c r="J28" s="33">
        <f>'2010-10'!J28</f>
        <v>1288.022457</v>
      </c>
      <c r="K28" s="33">
        <f>'2010-10'!K28</f>
        <v>1060061</v>
      </c>
      <c r="L28" s="22">
        <f t="shared" si="3"/>
        <v>9989364.775074821</v>
      </c>
      <c r="M28" s="22">
        <f t="shared" si="4"/>
        <v>1060061</v>
      </c>
      <c r="N28" s="19" t="s">
        <v>91</v>
      </c>
      <c r="O28" s="4">
        <f t="shared" si="5"/>
        <v>395.30832496967867</v>
      </c>
      <c r="P28" s="13">
        <f>'2010-10'!P28</f>
        <v>509166</v>
      </c>
      <c r="Q28" s="22">
        <f t="shared" si="6"/>
        <v>4798068.1348203039</v>
      </c>
      <c r="R28" s="13">
        <f t="shared" si="7"/>
        <v>509166</v>
      </c>
      <c r="W28" s="18">
        <f t="shared" si="10"/>
        <v>0.48031764209795474</v>
      </c>
    </row>
    <row r="29" spans="1:23">
      <c r="A29" s="18" t="s">
        <v>44</v>
      </c>
      <c r="B29" s="4">
        <f>'2010-10'!B29</f>
        <v>66.575024815111192</v>
      </c>
      <c r="C29" s="4">
        <f>'2010-10'!C29</f>
        <v>73.723640962925515</v>
      </c>
      <c r="D29" s="16">
        <f t="shared" si="8"/>
        <v>86010.914456746439</v>
      </c>
      <c r="E29" s="4">
        <f>'Interval Circuities'!H29</f>
        <v>1.1632682250826336</v>
      </c>
      <c r="F29" s="4">
        <f t="shared" si="0"/>
        <v>57.231018074427318</v>
      </c>
      <c r="G29" s="4">
        <f t="shared" si="1"/>
        <v>66.769521086831872</v>
      </c>
      <c r="H29" s="4">
        <f t="shared" si="2"/>
        <v>14005.750809733754</v>
      </c>
      <c r="I29" s="4">
        <f t="shared" si="9"/>
        <v>974.04787636700348</v>
      </c>
      <c r="J29" s="33">
        <f>'2010-10'!J29</f>
        <v>1413.1502499999999</v>
      </c>
      <c r="K29" s="33">
        <f>'2010-10'!K29</f>
        <v>1376476</v>
      </c>
      <c r="L29" s="22">
        <f t="shared" si="3"/>
        <v>13642271.833146602</v>
      </c>
      <c r="M29" s="22">
        <f t="shared" si="4"/>
        <v>1376476</v>
      </c>
      <c r="N29" s="19" t="s">
        <v>91</v>
      </c>
      <c r="O29" s="4">
        <f t="shared" si="5"/>
        <v>521.72725440907652</v>
      </c>
      <c r="P29" s="13">
        <f>'2010-10'!P29</f>
        <v>737279</v>
      </c>
      <c r="Q29" s="22">
        <f t="shared" si="6"/>
        <v>7307181.9159000916</v>
      </c>
      <c r="R29" s="13">
        <f t="shared" si="7"/>
        <v>737279</v>
      </c>
      <c r="W29" s="18">
        <f t="shared" si="10"/>
        <v>0.53562793684742782</v>
      </c>
    </row>
    <row r="30" spans="1:23">
      <c r="A30" s="18" t="s">
        <v>45</v>
      </c>
      <c r="B30" s="4">
        <f>'2010-10'!B30</f>
        <v>72.35417413894163</v>
      </c>
      <c r="C30" s="4">
        <f>'2010-10'!C30</f>
        <v>80.92665935101023</v>
      </c>
      <c r="D30" s="16">
        <f t="shared" si="8"/>
        <v>94414.435909511943</v>
      </c>
      <c r="E30" s="4">
        <f>'Interval Circuities'!H30</f>
        <v>1.2154627812004615</v>
      </c>
      <c r="F30" s="4">
        <f t="shared" si="0"/>
        <v>59.528086962465814</v>
      </c>
      <c r="G30" s="4">
        <f t="shared" si="1"/>
        <v>69.44943478954346</v>
      </c>
      <c r="H30" s="4">
        <f t="shared" si="2"/>
        <v>15152.605061729506</v>
      </c>
      <c r="I30" s="4">
        <f t="shared" si="9"/>
        <v>1001.6752173390063</v>
      </c>
      <c r="J30" s="33">
        <f>'2010-10'!J30</f>
        <v>2646.4566100000002</v>
      </c>
      <c r="K30" s="33">
        <f>'2010-10'!K30</f>
        <v>2650890</v>
      </c>
      <c r="L30" s="22">
        <f t="shared" si="3"/>
        <v>15177988.968460029</v>
      </c>
      <c r="M30" s="22">
        <f t="shared" si="4"/>
        <v>2650890</v>
      </c>
      <c r="N30" s="19" t="s">
        <v>91</v>
      </c>
      <c r="O30" s="4">
        <f t="shared" si="5"/>
        <v>594.14576987906855</v>
      </c>
      <c r="P30" s="13">
        <f>'2010-10'!P30</f>
        <v>1572381</v>
      </c>
      <c r="Q30" s="22">
        <f t="shared" si="6"/>
        <v>9002856.2000747491</v>
      </c>
      <c r="R30" s="13">
        <f t="shared" si="7"/>
        <v>1572381</v>
      </c>
      <c r="W30" s="18">
        <f t="shared" si="10"/>
        <v>0.59315211117775546</v>
      </c>
    </row>
    <row r="31" spans="1:23">
      <c r="A31" s="18" t="s">
        <v>46</v>
      </c>
      <c r="B31" s="4">
        <f>'2010-10'!B31</f>
        <v>66.509434242873198</v>
      </c>
      <c r="C31" s="4">
        <f>'2010-10'!C31</f>
        <v>79.192244463512992</v>
      </c>
      <c r="D31" s="16">
        <f t="shared" si="8"/>
        <v>92390.951874098493</v>
      </c>
      <c r="E31" s="4">
        <f>'Interval Circuities'!H31</f>
        <v>1.2561544008741909</v>
      </c>
      <c r="F31" s="4">
        <f t="shared" si="0"/>
        <v>52.946862421201985</v>
      </c>
      <c r="G31" s="4">
        <f t="shared" si="1"/>
        <v>61.771339491402323</v>
      </c>
      <c r="H31" s="4">
        <f t="shared" si="2"/>
        <v>11987.370006971487</v>
      </c>
      <c r="I31" s="4">
        <f t="shared" si="9"/>
        <v>664.38482730522799</v>
      </c>
      <c r="J31" s="33">
        <f>'2010-10'!J31</f>
        <v>1459.375591</v>
      </c>
      <c r="K31" s="33">
        <f>'2010-10'!K31</f>
        <v>969587</v>
      </c>
      <c r="L31" s="22">
        <f t="shared" si="3"/>
        <v>7964226.7519256212</v>
      </c>
      <c r="M31" s="22">
        <f t="shared" si="4"/>
        <v>969587</v>
      </c>
      <c r="N31" s="19" t="s">
        <v>91</v>
      </c>
      <c r="O31" s="4">
        <f t="shared" si="5"/>
        <v>447.40709932841406</v>
      </c>
      <c r="P31" s="13">
        <f>'2010-10'!P31</f>
        <v>652935</v>
      </c>
      <c r="Q31" s="22">
        <f t="shared" si="6"/>
        <v>5363234.4433955438</v>
      </c>
      <c r="R31" s="13">
        <f t="shared" si="7"/>
        <v>652935</v>
      </c>
      <c r="W31" s="18">
        <f t="shared" si="10"/>
        <v>0.67341558828655912</v>
      </c>
    </row>
    <row r="32" spans="1:23">
      <c r="A32" s="18" t="s">
        <v>47</v>
      </c>
      <c r="B32" s="4">
        <f>'2010-10'!B32</f>
        <v>70.113916315490926</v>
      </c>
      <c r="C32" s="4">
        <f>'2010-10'!C32</f>
        <v>78.214496785983556</v>
      </c>
      <c r="D32" s="16">
        <f t="shared" si="8"/>
        <v>91250.246250314143</v>
      </c>
      <c r="E32" s="4">
        <f>'Interval Circuities'!H32</f>
        <v>1.3505891851756389</v>
      </c>
      <c r="F32" s="4">
        <f t="shared" si="0"/>
        <v>51.913577485349762</v>
      </c>
      <c r="G32" s="4">
        <f t="shared" si="1"/>
        <v>60.565840399574725</v>
      </c>
      <c r="H32" s="4">
        <f t="shared" si="2"/>
        <v>11524.056218564145</v>
      </c>
      <c r="I32" s="4">
        <f t="shared" si="9"/>
        <v>1381.8089483990395</v>
      </c>
      <c r="J32" s="33">
        <f>'2010-10'!J32</f>
        <v>651.10520599999995</v>
      </c>
      <c r="K32" s="33">
        <f>'2010-10'!K32</f>
        <v>899703</v>
      </c>
      <c r="L32" s="22">
        <f t="shared" si="3"/>
        <v>15924044.004665533</v>
      </c>
      <c r="M32" s="22">
        <f t="shared" si="4"/>
        <v>899703</v>
      </c>
      <c r="N32" s="19" t="s">
        <v>91</v>
      </c>
      <c r="O32" s="4">
        <f t="shared" si="5"/>
        <v>685.12276647347221</v>
      </c>
      <c r="P32" s="13">
        <f>'2010-10'!P32</f>
        <v>446087</v>
      </c>
      <c r="Q32" s="22">
        <f t="shared" si="6"/>
        <v>7895393.277458488</v>
      </c>
      <c r="R32" s="13">
        <f t="shared" si="7"/>
        <v>446087</v>
      </c>
      <c r="W32" s="18">
        <f t="shared" si="10"/>
        <v>0.49581584144990071</v>
      </c>
    </row>
    <row r="33" spans="1:23">
      <c r="A33" s="18" t="s">
        <v>64</v>
      </c>
      <c r="B33" s="4">
        <f>'2010-10'!B33</f>
        <v>60.636060061572778</v>
      </c>
      <c r="C33" s="4">
        <f>'2010-10'!C33</f>
        <v>75.646262173189555</v>
      </c>
      <c r="D33" s="16">
        <f t="shared" si="8"/>
        <v>88253.972535387817</v>
      </c>
      <c r="E33" s="4">
        <f>'Interval Circuities'!H33</f>
        <v>1.2059143520027411</v>
      </c>
      <c r="F33" s="4">
        <f t="shared" si="0"/>
        <v>50.282227722781883</v>
      </c>
      <c r="G33" s="4">
        <f t="shared" si="1"/>
        <v>58.662599009912199</v>
      </c>
      <c r="H33" s="4">
        <f t="shared" si="2"/>
        <v>10811.164440587812</v>
      </c>
      <c r="I33" s="4">
        <f t="shared" si="9"/>
        <v>2053.6406982836411</v>
      </c>
      <c r="J33" s="33">
        <f>'2010-10'!J33</f>
        <v>8935.9813599999998</v>
      </c>
      <c r="K33" s="33">
        <f>'2010-10'!K33</f>
        <v>18351295</v>
      </c>
      <c r="L33" s="22">
        <f t="shared" si="3"/>
        <v>22202247.291028026</v>
      </c>
      <c r="M33" s="22">
        <f t="shared" si="4"/>
        <v>18351295</v>
      </c>
      <c r="N33" s="19" t="s">
        <v>91</v>
      </c>
      <c r="O33" s="4">
        <f t="shared" si="5"/>
        <v>813.93354652208006</v>
      </c>
      <c r="P33" s="13">
        <f>'2010-10'!P33</f>
        <v>7273295</v>
      </c>
      <c r="Q33" s="22">
        <f t="shared" si="6"/>
        <v>8799569.4151610378</v>
      </c>
      <c r="R33" s="13">
        <f t="shared" si="7"/>
        <v>7273295</v>
      </c>
      <c r="W33" s="18">
        <f t="shared" si="10"/>
        <v>0.39633687976788556</v>
      </c>
    </row>
    <row r="34" spans="1:23">
      <c r="A34" s="18" t="s">
        <v>65</v>
      </c>
      <c r="B34" s="4">
        <f>'2010-10'!B34</f>
        <v>62.746727907823015</v>
      </c>
      <c r="C34" s="4">
        <f>'2010-10'!C34</f>
        <v>70.343795554466837</v>
      </c>
      <c r="D34" s="16">
        <f t="shared" si="8"/>
        <v>82067.761480211324</v>
      </c>
      <c r="E34" s="4">
        <f>'Interval Circuities'!H34</f>
        <v>1.227948305822975</v>
      </c>
      <c r="F34" s="4">
        <f t="shared" si="0"/>
        <v>51.098835032611532</v>
      </c>
      <c r="G34" s="4">
        <f t="shared" si="1"/>
        <v>59.615307538046793</v>
      </c>
      <c r="H34" s="4">
        <f t="shared" si="2"/>
        <v>11165.1728303652</v>
      </c>
      <c r="I34" s="4">
        <f t="shared" si="9"/>
        <v>810.03967977262835</v>
      </c>
      <c r="J34" s="33">
        <f>'2010-10'!J34</f>
        <v>1063.53432</v>
      </c>
      <c r="K34" s="33">
        <f>'2010-10'!K34</f>
        <v>861505</v>
      </c>
      <c r="L34" s="22">
        <f t="shared" si="3"/>
        <v>9044233.0241150763</v>
      </c>
      <c r="M34" s="22">
        <f t="shared" si="4"/>
        <v>861505</v>
      </c>
      <c r="N34" s="19" t="s">
        <v>91</v>
      </c>
      <c r="O34" s="4">
        <f t="shared" si="5"/>
        <v>425.70699552037024</v>
      </c>
      <c r="P34" s="13">
        <f>'2010-10'!P34</f>
        <v>452754</v>
      </c>
      <c r="Q34" s="22">
        <f t="shared" si="6"/>
        <v>4753092.180080438</v>
      </c>
      <c r="R34" s="13">
        <f t="shared" si="7"/>
        <v>452754</v>
      </c>
      <c r="W34" s="18">
        <f t="shared" si="10"/>
        <v>0.52553844725219245</v>
      </c>
    </row>
    <row r="35" spans="1:23">
      <c r="A35" s="18" t="s">
        <v>48</v>
      </c>
      <c r="B35" s="4">
        <f>'2010-10'!B35</f>
        <v>63.67703994300269</v>
      </c>
      <c r="C35" s="4">
        <f>'2010-10'!C35</f>
        <v>76.278541762827089</v>
      </c>
      <c r="D35" s="16">
        <f t="shared" si="8"/>
        <v>88991.632056631614</v>
      </c>
      <c r="E35" s="4">
        <f>'Interval Circuities'!H35</f>
        <v>1.3015389438384548</v>
      </c>
      <c r="F35" s="4">
        <f t="shared" si="0"/>
        <v>48.924421543014695</v>
      </c>
      <c r="G35" s="4">
        <f t="shared" si="1"/>
        <v>57.078491800183812</v>
      </c>
      <c r="H35" s="4">
        <f t="shared" si="2"/>
        <v>10235.165062710375</v>
      </c>
      <c r="I35" s="4">
        <f t="shared" si="9"/>
        <v>975.7775860793671</v>
      </c>
      <c r="J35" s="33">
        <f>'2010-10'!J35</f>
        <v>1548.012602</v>
      </c>
      <c r="K35" s="33">
        <f>'2010-10'!K35</f>
        <v>1510516</v>
      </c>
      <c r="L35" s="22">
        <f t="shared" si="3"/>
        <v>9987244.6580154039</v>
      </c>
      <c r="M35" s="22">
        <f t="shared" si="4"/>
        <v>1510516</v>
      </c>
      <c r="N35" s="19" t="s">
        <v>91</v>
      </c>
      <c r="O35" s="4">
        <f t="shared" si="5"/>
        <v>552.87922003622032</v>
      </c>
      <c r="P35" s="13">
        <f>'2010-10'!P35</f>
        <v>855864</v>
      </c>
      <c r="Q35" s="22">
        <f t="shared" si="6"/>
        <v>5658810.0768132843</v>
      </c>
      <c r="R35" s="13">
        <f t="shared" si="7"/>
        <v>855864</v>
      </c>
      <c r="W35" s="18">
        <f t="shared" si="10"/>
        <v>0.56660373011606624</v>
      </c>
    </row>
    <row r="36" spans="1:23">
      <c r="A36" s="18" t="s">
        <v>66</v>
      </c>
      <c r="B36" s="4">
        <f>'2010-10'!B36</f>
        <v>57.583198277252201</v>
      </c>
      <c r="C36" s="4">
        <f>'2010-10'!C36</f>
        <v>70.0901022214275</v>
      </c>
      <c r="D36" s="16">
        <f t="shared" si="8"/>
        <v>81771.785924998752</v>
      </c>
      <c r="E36" s="4">
        <f>'Interval Circuities'!H36</f>
        <v>1.1592931878775155</v>
      </c>
      <c r="F36" s="4">
        <f t="shared" si="0"/>
        <v>49.670953715063256</v>
      </c>
      <c r="G36" s="4">
        <f t="shared" si="1"/>
        <v>57.949446000907137</v>
      </c>
      <c r="H36" s="4">
        <f t="shared" si="2"/>
        <v>10549.902587295319</v>
      </c>
      <c r="I36" s="4">
        <f t="shared" si="9"/>
        <v>1060.3784681288619</v>
      </c>
      <c r="J36" s="33">
        <f>'2010-10'!J36</f>
        <v>5131.7215159999996</v>
      </c>
      <c r="K36" s="33">
        <f>'2010-10'!K36</f>
        <v>5441567</v>
      </c>
      <c r="L36" s="22">
        <f t="shared" si="3"/>
        <v>11186889.544424927</v>
      </c>
      <c r="M36" s="22">
        <f t="shared" si="4"/>
        <v>5441567</v>
      </c>
      <c r="N36" s="19" t="s">
        <v>91</v>
      </c>
      <c r="O36" s="4">
        <f t="shared" si="5"/>
        <v>471.88667437424527</v>
      </c>
      <c r="P36" s="13">
        <f>'2010-10'!P36</f>
        <v>2421591</v>
      </c>
      <c r="Q36" s="22">
        <f t="shared" si="6"/>
        <v>4978358.446891034</v>
      </c>
      <c r="R36" s="13">
        <f t="shared" si="7"/>
        <v>2421591</v>
      </c>
      <c r="W36" s="18">
        <f t="shared" si="10"/>
        <v>0.44501721654810095</v>
      </c>
    </row>
    <row r="37" spans="1:23">
      <c r="A37" s="18" t="s">
        <v>49</v>
      </c>
      <c r="B37" s="4">
        <f>'2010-10'!B37</f>
        <v>65.523113774601583</v>
      </c>
      <c r="C37" s="4">
        <f>'2010-10'!C37</f>
        <v>75.058272553254923</v>
      </c>
      <c r="D37" s="16">
        <f t="shared" si="8"/>
        <v>87567.984645464079</v>
      </c>
      <c r="E37" s="4">
        <f>'Interval Circuities'!H37</f>
        <v>1.2658272140371463</v>
      </c>
      <c r="F37" s="4">
        <f t="shared" si="0"/>
        <v>51.763078758297873</v>
      </c>
      <c r="G37" s="4">
        <f t="shared" si="1"/>
        <v>60.390258551347522</v>
      </c>
      <c r="H37" s="4">
        <f t="shared" si="2"/>
        <v>11457.336030690705</v>
      </c>
      <c r="I37" s="4">
        <f t="shared" si="9"/>
        <v>1222.0875996258867</v>
      </c>
      <c r="J37" s="33">
        <f>'2010-10'!J37</f>
        <v>2969.6021799999999</v>
      </c>
      <c r="K37" s="33">
        <f>'2010-10'!K37</f>
        <v>3629114</v>
      </c>
      <c r="L37" s="22">
        <f t="shared" si="3"/>
        <v>14001868.287853988</v>
      </c>
      <c r="M37" s="22">
        <f t="shared" si="4"/>
        <v>3629114</v>
      </c>
      <c r="N37" s="19" t="s">
        <v>91</v>
      </c>
      <c r="O37" s="4">
        <f t="shared" si="5"/>
        <v>489.41201949144585</v>
      </c>
      <c r="P37" s="13">
        <f>'2010-10'!P37</f>
        <v>1453359</v>
      </c>
      <c r="Q37" s="22">
        <f t="shared" si="6"/>
        <v>5607357.9647724442</v>
      </c>
      <c r="R37" s="13">
        <f t="shared" si="7"/>
        <v>1453359</v>
      </c>
      <c r="W37" s="18">
        <f t="shared" si="10"/>
        <v>0.40047212625450729</v>
      </c>
    </row>
    <row r="38" spans="1:23">
      <c r="A38" s="18" t="s">
        <v>50</v>
      </c>
      <c r="B38" s="4">
        <f>'2010-10'!B38</f>
        <v>59.807444822625882</v>
      </c>
      <c r="C38" s="4">
        <f>'2010-10'!C38</f>
        <v>71.241563498997948</v>
      </c>
      <c r="D38" s="16">
        <f t="shared" si="8"/>
        <v>83115.157415497612</v>
      </c>
      <c r="E38" s="4">
        <f>'Interval Circuities'!H38</f>
        <v>1.2454120748006281</v>
      </c>
      <c r="F38" s="4">
        <f t="shared" si="0"/>
        <v>48.022213717656591</v>
      </c>
      <c r="G38" s="4">
        <f t="shared" si="1"/>
        <v>56.025916003932693</v>
      </c>
      <c r="H38" s="4">
        <f t="shared" si="2"/>
        <v>9861.1554347618749</v>
      </c>
      <c r="I38" s="4">
        <f t="shared" si="9"/>
        <v>739.57535155262258</v>
      </c>
      <c r="J38" s="33">
        <f>'2010-10'!J38</f>
        <v>2344.389921</v>
      </c>
      <c r="K38" s="33">
        <f>'2010-10'!K38</f>
        <v>1733853</v>
      </c>
      <c r="L38" s="22">
        <f t="shared" si="3"/>
        <v>7293067.4973790683</v>
      </c>
      <c r="M38" s="22">
        <f t="shared" si="4"/>
        <v>1733853</v>
      </c>
      <c r="N38" s="19" t="s">
        <v>91</v>
      </c>
      <c r="O38" s="4">
        <f t="shared" si="5"/>
        <v>439.74681462555225</v>
      </c>
      <c r="P38" s="13">
        <f>'2010-10'!P38</f>
        <v>1030938</v>
      </c>
      <c r="Q38" s="22">
        <f t="shared" si="6"/>
        <v>4336411.6909639873</v>
      </c>
      <c r="R38" s="13">
        <f t="shared" si="7"/>
        <v>1030938</v>
      </c>
      <c r="W38" s="18">
        <f t="shared" si="10"/>
        <v>0.59459365932406039</v>
      </c>
    </row>
    <row r="39" spans="1:23">
      <c r="A39" s="18" t="s">
        <v>51</v>
      </c>
      <c r="B39" s="4">
        <f>'2010-10'!B39</f>
        <v>58.331030650507813</v>
      </c>
      <c r="C39" s="4">
        <f>'2010-10'!C39</f>
        <v>69.29589065244727</v>
      </c>
      <c r="D39" s="16">
        <f t="shared" si="8"/>
        <v>80845.205761188481</v>
      </c>
      <c r="E39" s="4">
        <f>'Interval Circuities'!H39</f>
        <v>1.4261614774445286</v>
      </c>
      <c r="F39" s="4">
        <f t="shared" si="0"/>
        <v>40.900719570008604</v>
      </c>
      <c r="G39" s="4">
        <f t="shared" si="1"/>
        <v>47.717506165010043</v>
      </c>
      <c r="H39" s="4">
        <f t="shared" si="2"/>
        <v>7153.2820482146908</v>
      </c>
      <c r="I39" s="4">
        <f t="shared" si="9"/>
        <v>1362.0759506608479</v>
      </c>
      <c r="J39" s="33">
        <f>'2010-10'!J39</f>
        <v>1358.1459970000001</v>
      </c>
      <c r="K39" s="33">
        <f>'2010-10'!K39</f>
        <v>1849898</v>
      </c>
      <c r="L39" s="22">
        <f t="shared" si="3"/>
        <v>9743313.4461672027</v>
      </c>
      <c r="M39" s="22">
        <f t="shared" si="4"/>
        <v>1849898</v>
      </c>
      <c r="N39" s="19" t="s">
        <v>91</v>
      </c>
      <c r="O39" s="4">
        <f t="shared" si="5"/>
        <v>641.16376436958274</v>
      </c>
      <c r="P39" s="13">
        <f>'2010-10'!P39</f>
        <v>870794</v>
      </c>
      <c r="Q39" s="22">
        <f t="shared" si="6"/>
        <v>4586425.2456306899</v>
      </c>
      <c r="R39" s="13">
        <f t="shared" si="7"/>
        <v>870794</v>
      </c>
      <c r="W39" s="18">
        <f t="shared" si="10"/>
        <v>0.47072541296871495</v>
      </c>
    </row>
    <row r="40" spans="1:23">
      <c r="A40" s="18" t="s">
        <v>52</v>
      </c>
      <c r="B40" s="4">
        <f>'2010-10'!B40</f>
        <v>61.333480923569354</v>
      </c>
      <c r="C40" s="4">
        <f>'2010-10'!C40</f>
        <v>68.947108687192596</v>
      </c>
      <c r="D40" s="16">
        <f t="shared" si="8"/>
        <v>80438.293468391363</v>
      </c>
      <c r="E40" s="4">
        <f>'Interval Circuities'!H40</f>
        <v>1.2378648301781199</v>
      </c>
      <c r="F40" s="4">
        <f t="shared" si="0"/>
        <v>49.547801527525351</v>
      </c>
      <c r="G40" s="4">
        <f t="shared" si="1"/>
        <v>57.805768448779581</v>
      </c>
      <c r="H40" s="4">
        <f t="shared" si="2"/>
        <v>10497.653422000692</v>
      </c>
      <c r="I40" s="4">
        <f t="shared" si="9"/>
        <v>843.65595688883184</v>
      </c>
      <c r="J40" s="33">
        <f>'2010-10'!J40</f>
        <v>1411.6607489999999</v>
      </c>
      <c r="K40" s="33">
        <f>'2010-10'!K40</f>
        <v>1190956</v>
      </c>
      <c r="L40" s="22">
        <f t="shared" si="3"/>
        <v>8856407.842825314</v>
      </c>
      <c r="M40" s="22">
        <f t="shared" si="4"/>
        <v>1190956</v>
      </c>
      <c r="N40" s="19" t="s">
        <v>91</v>
      </c>
      <c r="O40" s="4">
        <f t="shared" si="5"/>
        <v>418.3023438303448</v>
      </c>
      <c r="P40" s="13">
        <f>'2010-10'!P40</f>
        <v>590501</v>
      </c>
      <c r="Q40" s="22">
        <f t="shared" si="6"/>
        <v>4391193.0311415289</v>
      </c>
      <c r="R40" s="13">
        <f t="shared" si="7"/>
        <v>590501</v>
      </c>
      <c r="W40" s="18">
        <f t="shared" si="10"/>
        <v>0.49582100430242593</v>
      </c>
    </row>
    <row r="41" spans="1:23">
      <c r="A41" s="18" t="s">
        <v>53</v>
      </c>
      <c r="B41" s="4">
        <f>'2010-10'!B41</f>
        <v>70.888143113567551</v>
      </c>
      <c r="C41" s="4">
        <f>'2010-10'!C41</f>
        <v>80.329607978863407</v>
      </c>
      <c r="D41" s="16">
        <f t="shared" si="8"/>
        <v>93717.875975340648</v>
      </c>
      <c r="E41" s="4">
        <f>'Interval Circuities'!H41</f>
        <v>1.1908050726732355</v>
      </c>
      <c r="F41" s="4">
        <f t="shared" si="0"/>
        <v>59.529594507378881</v>
      </c>
      <c r="G41" s="4">
        <f t="shared" si="1"/>
        <v>69.45119359194203</v>
      </c>
      <c r="H41" s="4">
        <f t="shared" si="2"/>
        <v>15153.372548914051</v>
      </c>
      <c r="I41" s="4">
        <f t="shared" si="9"/>
        <v>659.39427440794395</v>
      </c>
      <c r="J41" s="33">
        <f>'2010-10'!J41</f>
        <v>1341.975559</v>
      </c>
      <c r="K41" s="33">
        <f>'2010-10'!K41</f>
        <v>884891</v>
      </c>
      <c r="L41" s="22">
        <f t="shared" si="3"/>
        <v>9992047.0967244357</v>
      </c>
      <c r="M41" s="22">
        <f t="shared" si="4"/>
        <v>884891</v>
      </c>
      <c r="N41" s="19" t="s">
        <v>91</v>
      </c>
      <c r="O41" s="4">
        <f t="shared" si="5"/>
        <v>305.97949213469991</v>
      </c>
      <c r="P41" s="13">
        <f>'2010-10'!P41</f>
        <v>410617</v>
      </c>
      <c r="Q41" s="22">
        <f t="shared" si="6"/>
        <v>4636621.2366446247</v>
      </c>
      <c r="R41" s="13">
        <f t="shared" si="7"/>
        <v>410617</v>
      </c>
      <c r="W41" s="18">
        <f t="shared" si="10"/>
        <v>0.46403116316020854</v>
      </c>
    </row>
    <row r="42" spans="1:23">
      <c r="A42" s="18" t="s">
        <v>81</v>
      </c>
      <c r="B42" s="4">
        <f>'2010-10'!B42</f>
        <v>64.044695759894694</v>
      </c>
      <c r="C42" s="4">
        <f>'2010-10'!C42</f>
        <v>72.196124164991133</v>
      </c>
      <c r="D42" s="16">
        <f t="shared" si="8"/>
        <v>84228.811525822995</v>
      </c>
      <c r="E42" s="4">
        <f>'Interval Circuities'!H42</f>
        <v>1.1983418382894222</v>
      </c>
      <c r="F42" s="4">
        <f t="shared" si="0"/>
        <v>53.444429388625494</v>
      </c>
      <c r="G42" s="4">
        <f t="shared" si="1"/>
        <v>62.351834286729748</v>
      </c>
      <c r="H42" s="4">
        <f t="shared" si="2"/>
        <v>12213.730731175083</v>
      </c>
      <c r="I42" s="4">
        <f t="shared" si="9"/>
        <v>857.44540355569529</v>
      </c>
      <c r="J42" s="33">
        <f>'2010-10'!J42</f>
        <v>840.37070700000004</v>
      </c>
      <c r="K42" s="33">
        <f>'2010-10'!K42</f>
        <v>720572</v>
      </c>
      <c r="L42" s="22">
        <f t="shared" si="3"/>
        <v>10472607.275713015</v>
      </c>
      <c r="M42" s="22">
        <f t="shared" si="4"/>
        <v>720572</v>
      </c>
      <c r="N42" s="19" t="s">
        <v>91</v>
      </c>
      <c r="O42" s="4">
        <f t="shared" si="5"/>
        <v>493.93082902876574</v>
      </c>
      <c r="P42" s="13">
        <f>'2010-10'!P42</f>
        <v>415085</v>
      </c>
      <c r="Q42" s="22">
        <f t="shared" si="6"/>
        <v>6032738.1455834219</v>
      </c>
      <c r="R42" s="13">
        <f t="shared" si="7"/>
        <v>415085</v>
      </c>
      <c r="W42" s="18">
        <f t="shared" si="10"/>
        <v>0.57604930527414344</v>
      </c>
    </row>
    <row r="43" spans="1:23">
      <c r="A43" s="18" t="s">
        <v>54</v>
      </c>
      <c r="B43" s="4">
        <f>'2010-10'!B43</f>
        <v>69.851259887217722</v>
      </c>
      <c r="C43" s="4">
        <f>'2010-10'!C43</f>
        <v>81.455388016103115</v>
      </c>
      <c r="D43" s="16">
        <f t="shared" si="8"/>
        <v>95031.286018786966</v>
      </c>
      <c r="E43" s="4">
        <f>'Interval Circuities'!H43</f>
        <v>1.3968698866346807</v>
      </c>
      <c r="F43" s="4">
        <f t="shared" si="0"/>
        <v>50.005559254700806</v>
      </c>
      <c r="G43" s="4">
        <f t="shared" si="1"/>
        <v>58.33981913048428</v>
      </c>
      <c r="H43" s="4">
        <f t="shared" si="2"/>
        <v>10692.518969431047</v>
      </c>
      <c r="I43" s="4">
        <f t="shared" si="9"/>
        <v>1413.0147860308737</v>
      </c>
      <c r="J43" s="33">
        <f>'2010-10'!J43</f>
        <v>1219.8272919999999</v>
      </c>
      <c r="K43" s="33">
        <f>'2010-10'!K43</f>
        <v>1723634</v>
      </c>
      <c r="L43" s="22">
        <f t="shared" si="3"/>
        <v>15108687.403721668</v>
      </c>
      <c r="M43" s="22">
        <f t="shared" si="4"/>
        <v>1723634</v>
      </c>
      <c r="N43" s="19" t="s">
        <v>91</v>
      </c>
      <c r="O43" s="4">
        <f t="shared" si="5"/>
        <v>509.14420760475986</v>
      </c>
      <c r="P43" s="13">
        <f>'2010-10'!P43</f>
        <v>621068</v>
      </c>
      <c r="Q43" s="22">
        <f t="shared" si="6"/>
        <v>5444034.0979898339</v>
      </c>
      <c r="R43" s="13">
        <f t="shared" si="7"/>
        <v>621068</v>
      </c>
      <c r="W43" s="18">
        <f t="shared" si="10"/>
        <v>0.36032475571960176</v>
      </c>
    </row>
    <row r="44" spans="1:23">
      <c r="A44" s="18" t="s">
        <v>55</v>
      </c>
      <c r="B44" s="4">
        <f>'2010-10'!B44</f>
        <v>64.533357950473999</v>
      </c>
      <c r="C44" s="4">
        <f>'2010-10'!C44</f>
        <v>73.630820924041743</v>
      </c>
      <c r="D44" s="16">
        <f t="shared" si="8"/>
        <v>85902.624411382028</v>
      </c>
      <c r="E44" s="4">
        <f>'Interval Circuities'!H44</f>
        <v>1.3925352790776591</v>
      </c>
      <c r="F44" s="4">
        <f t="shared" si="0"/>
        <v>46.342350474034269</v>
      </c>
      <c r="G44" s="4">
        <f t="shared" si="1"/>
        <v>54.066075553039987</v>
      </c>
      <c r="H44" s="4">
        <f t="shared" si="2"/>
        <v>9183.3168009718065</v>
      </c>
      <c r="I44" s="4">
        <f t="shared" si="9"/>
        <v>1418.9468389746553</v>
      </c>
      <c r="J44" s="33">
        <f>'2010-10'!J44</f>
        <v>719.71900000000005</v>
      </c>
      <c r="K44" s="33">
        <f>'2010-10'!K44</f>
        <v>1021243</v>
      </c>
      <c r="L44" s="22">
        <f t="shared" si="3"/>
        <v>13030638.346041789</v>
      </c>
      <c r="M44" s="22">
        <f t="shared" si="4"/>
        <v>1021243</v>
      </c>
      <c r="N44" s="19" t="s">
        <v>91</v>
      </c>
      <c r="O44" s="4">
        <f t="shared" si="5"/>
        <v>731.05892716462949</v>
      </c>
      <c r="P44" s="13">
        <f>'2010-10'!P44</f>
        <v>526157</v>
      </c>
      <c r="Q44" s="22">
        <f t="shared" si="6"/>
        <v>6713545.7283313666</v>
      </c>
      <c r="R44" s="13">
        <f t="shared" si="7"/>
        <v>526157</v>
      </c>
      <c r="W44" s="18">
        <f t="shared" si="10"/>
        <v>0.51521234417273853</v>
      </c>
    </row>
    <row r="45" spans="1:23">
      <c r="A45" s="18" t="s">
        <v>67</v>
      </c>
      <c r="B45" s="4">
        <f>'2010-10'!B45</f>
        <v>70.329269785649885</v>
      </c>
      <c r="C45" s="4">
        <f>'2010-10'!C45</f>
        <v>78.441220996603292</v>
      </c>
      <c r="D45" s="16">
        <f t="shared" si="8"/>
        <v>91514.757829370516</v>
      </c>
      <c r="E45" s="4">
        <f>'Interval Circuities'!H45</f>
        <v>1.2642616847774233</v>
      </c>
      <c r="F45" s="4">
        <f t="shared" si="0"/>
        <v>55.628728318244924</v>
      </c>
      <c r="G45" s="4">
        <f t="shared" si="1"/>
        <v>64.900183037952416</v>
      </c>
      <c r="H45" s="4">
        <f t="shared" si="2"/>
        <v>13232.494311935123</v>
      </c>
      <c r="I45" s="4">
        <f t="shared" si="9"/>
        <v>1136.9073371227814</v>
      </c>
      <c r="J45" s="33">
        <f>'2010-10'!J45</f>
        <v>1546.484874</v>
      </c>
      <c r="K45" s="33">
        <f>'2010-10'!K45</f>
        <v>1758210</v>
      </c>
      <c r="L45" s="22">
        <f t="shared" si="3"/>
        <v>15044119.871674512</v>
      </c>
      <c r="M45" s="22">
        <f t="shared" si="4"/>
        <v>1758210</v>
      </c>
      <c r="N45" s="19" t="s">
        <v>91</v>
      </c>
      <c r="O45" s="4">
        <f t="shared" si="5"/>
        <v>464.39186834232174</v>
      </c>
      <c r="P45" s="13">
        <f>'2010-10'!P45</f>
        <v>718175</v>
      </c>
      <c r="Q45" s="22">
        <f t="shared" si="6"/>
        <v>6145062.7563486965</v>
      </c>
      <c r="R45" s="13">
        <f t="shared" si="7"/>
        <v>718175</v>
      </c>
      <c r="W45" s="18">
        <f t="shared" si="10"/>
        <v>0.40846940922870417</v>
      </c>
    </row>
    <row r="46" spans="1:23">
      <c r="A46" s="18" t="s">
        <v>68</v>
      </c>
      <c r="B46" s="4">
        <f>'2010-10'!B46</f>
        <v>74.208902356796543</v>
      </c>
      <c r="C46" s="4">
        <f>'2010-10'!C46</f>
        <v>85.358369483865644</v>
      </c>
      <c r="D46" s="16">
        <f t="shared" si="8"/>
        <v>99584.764397843261</v>
      </c>
      <c r="E46" s="4">
        <f>'Interval Circuities'!H46</f>
        <v>1.3884116405651341</v>
      </c>
      <c r="F46" s="4">
        <f t="shared" si="0"/>
        <v>53.448775700692636</v>
      </c>
      <c r="G46" s="4">
        <f t="shared" si="1"/>
        <v>62.356904984141416</v>
      </c>
      <c r="H46" s="4">
        <f t="shared" si="2"/>
        <v>12215.717349589655</v>
      </c>
      <c r="I46" s="4">
        <f t="shared" si="9"/>
        <v>1558.6954968295993</v>
      </c>
      <c r="J46" s="33">
        <f>'2010-10'!J46</f>
        <v>1896.936256</v>
      </c>
      <c r="K46" s="33">
        <f>'2010-10'!K46</f>
        <v>2956746</v>
      </c>
      <c r="L46" s="22">
        <f t="shared" si="3"/>
        <v>19040583.623348601</v>
      </c>
      <c r="M46" s="22">
        <f t="shared" si="4"/>
        <v>2956746</v>
      </c>
      <c r="N46" s="19" t="s">
        <v>91</v>
      </c>
      <c r="O46" s="4">
        <f t="shared" si="5"/>
        <v>580.58039457916288</v>
      </c>
      <c r="P46" s="13">
        <f>'2010-10'!P46</f>
        <v>1101324</v>
      </c>
      <c r="Q46" s="22">
        <f t="shared" si="6"/>
        <v>7092205.9988922877</v>
      </c>
      <c r="R46" s="13">
        <f t="shared" si="7"/>
        <v>1101324</v>
      </c>
      <c r="W46" s="18">
        <f t="shared" si="10"/>
        <v>0.37247839347715361</v>
      </c>
    </row>
    <row r="47" spans="1:23" ht="16">
      <c r="A47" s="18" t="s">
        <v>113</v>
      </c>
      <c r="B47" s="4">
        <f>'2010-10'!B47</f>
        <v>72.542200404561456</v>
      </c>
      <c r="C47" s="4">
        <f>'2010-10'!C47</f>
        <v>85.183417252245661</v>
      </c>
      <c r="D47" s="16">
        <f t="shared" si="8"/>
        <v>99380.653460953283</v>
      </c>
      <c r="E47" s="4">
        <f>'Interval Circuities'!H47</f>
        <v>1.3809694805902639</v>
      </c>
      <c r="F47" s="4">
        <f t="shared" si="0"/>
        <v>52.529908462245629</v>
      </c>
      <c r="G47" s="4">
        <f t="shared" si="1"/>
        <v>61.284893205953239</v>
      </c>
      <c r="H47" s="4">
        <f t="shared" si="2"/>
        <v>11799.313493821206</v>
      </c>
      <c r="I47" s="4">
        <f t="shared" si="9"/>
        <v>2419.4675820015173</v>
      </c>
      <c r="J47" s="33">
        <f>'2010-10'!J47</f>
        <v>1356.1710949999999</v>
      </c>
      <c r="K47" s="33">
        <f>'2010-10'!K47</f>
        <v>3281212</v>
      </c>
      <c r="L47" s="22">
        <f t="shared" si="3"/>
        <v>28548056.488173466</v>
      </c>
      <c r="M47" s="22">
        <f t="shared" si="4"/>
        <v>3281212</v>
      </c>
      <c r="N47" s="19" t="s">
        <v>91</v>
      </c>
      <c r="O47" s="4">
        <f t="shared" si="5"/>
        <v>1303.5176804148005</v>
      </c>
      <c r="P47" s="13">
        <f>'2010-10'!P47</f>
        <v>1767793</v>
      </c>
      <c r="Q47" s="22">
        <f t="shared" si="6"/>
        <v>15380613.755952874</v>
      </c>
      <c r="R47" s="13">
        <f t="shared" si="7"/>
        <v>1767793</v>
      </c>
      <c r="W47" s="18">
        <f t="shared" si="10"/>
        <v>0.53876220128415975</v>
      </c>
    </row>
    <row r="48" spans="1:23" ht="16">
      <c r="A48" s="18" t="s">
        <v>71</v>
      </c>
      <c r="B48" s="4">
        <f>'2010-10'!B48</f>
        <v>67.913980035971221</v>
      </c>
      <c r="C48" s="4">
        <f>'2010-10'!C48</f>
        <v>78.194542652624932</v>
      </c>
      <c r="D48" s="16">
        <f t="shared" si="8"/>
        <v>91226.966428062427</v>
      </c>
      <c r="E48" s="4">
        <f>'Interval Circuities'!H48</f>
        <v>1.3907196655034559</v>
      </c>
      <c r="F48" s="4">
        <f t="shared" si="0"/>
        <v>48.833695043339745</v>
      </c>
      <c r="G48" s="4">
        <f t="shared" si="1"/>
        <v>56.972644217229707</v>
      </c>
      <c r="H48" s="4">
        <f t="shared" si="2"/>
        <v>10197.239639704057</v>
      </c>
      <c r="I48" s="4">
        <f t="shared" si="9"/>
        <v>2247.211920874815</v>
      </c>
      <c r="J48" s="33">
        <f>'2010-10'!J48</f>
        <v>740.69382800000005</v>
      </c>
      <c r="K48" s="33">
        <f>'2010-10'!K48</f>
        <v>1664496</v>
      </c>
      <c r="L48" s="22">
        <f t="shared" si="3"/>
        <v>22915358.478360161</v>
      </c>
      <c r="M48" s="22">
        <f t="shared" si="4"/>
        <v>1664496</v>
      </c>
      <c r="N48" s="19" t="s">
        <v>91</v>
      </c>
      <c r="O48" s="4">
        <f t="shared" si="5"/>
        <v>1157.0664795656971</v>
      </c>
      <c r="P48" s="13">
        <f>'2010-10'!P48</f>
        <v>857032</v>
      </c>
      <c r="Q48" s="22">
        <f t="shared" si="6"/>
        <v>11798884.171200152</v>
      </c>
      <c r="R48" s="13">
        <f t="shared" si="7"/>
        <v>857032</v>
      </c>
      <c r="W48" s="18">
        <f t="shared" si="10"/>
        <v>0.51488979246570743</v>
      </c>
    </row>
    <row r="49" spans="1:23">
      <c r="A49" s="18" t="s">
        <v>56</v>
      </c>
      <c r="B49" s="4">
        <f>'2010-10'!B49</f>
        <v>59.237163329958236</v>
      </c>
      <c r="C49" s="4">
        <f>'2010-10'!C49</f>
        <v>69.529876568500782</v>
      </c>
      <c r="D49" s="16">
        <f t="shared" si="8"/>
        <v>81118.189329917586</v>
      </c>
      <c r="E49" s="4">
        <f>'Interval Circuities'!H49</f>
        <v>1.3981914201363681</v>
      </c>
      <c r="F49" s="4">
        <f t="shared" si="0"/>
        <v>42.366991011989427</v>
      </c>
      <c r="G49" s="4">
        <f t="shared" si="1"/>
        <v>49.428156180654334</v>
      </c>
      <c r="H49" s="4">
        <f t="shared" si="2"/>
        <v>7675.3589174057188</v>
      </c>
      <c r="I49" s="4">
        <f t="shared" si="9"/>
        <v>1169.1810890127867</v>
      </c>
      <c r="J49" s="33">
        <f>'2010-10'!J49</f>
        <v>2616.6973010000002</v>
      </c>
      <c r="K49" s="33">
        <f>'2010-10'!K49</f>
        <v>3059393</v>
      </c>
      <c r="L49" s="22">
        <f t="shared" si="3"/>
        <v>8973884.4976164214</v>
      </c>
      <c r="M49" s="22">
        <f t="shared" si="4"/>
        <v>3059393</v>
      </c>
      <c r="N49" s="19" t="s">
        <v>91</v>
      </c>
      <c r="O49" s="4">
        <f t="shared" si="5"/>
        <v>548.69319406998534</v>
      </c>
      <c r="P49" s="13">
        <f>'2010-10'!P49</f>
        <v>1435764</v>
      </c>
      <c r="Q49" s="22">
        <f t="shared" si="6"/>
        <v>4211417.2000248889</v>
      </c>
      <c r="R49" s="13">
        <f t="shared" si="7"/>
        <v>1435764</v>
      </c>
      <c r="W49" s="18">
        <f t="shared" si="10"/>
        <v>0.46929701414627023</v>
      </c>
    </row>
    <row r="50" spans="1:23">
      <c r="A50" s="18" t="s">
        <v>75</v>
      </c>
      <c r="B50" s="4">
        <f>'2010-10'!B50</f>
        <v>59.396208684850201</v>
      </c>
      <c r="C50" s="4">
        <f>'2010-10'!C50</f>
        <v>72.013674499161084</v>
      </c>
      <c r="D50" s="16">
        <f t="shared" si="8"/>
        <v>84015.953582354603</v>
      </c>
      <c r="E50" s="4">
        <f>'Interval Circuities'!H50</f>
        <v>1.2330872661002497</v>
      </c>
      <c r="F50" s="4">
        <f t="shared" si="0"/>
        <v>48.168698451242712</v>
      </c>
      <c r="G50" s="4">
        <f t="shared" si="1"/>
        <v>56.196814859783167</v>
      </c>
      <c r="H50" s="4">
        <f t="shared" si="2"/>
        <v>9921.4072118428776</v>
      </c>
      <c r="I50" s="4">
        <f t="shared" si="9"/>
        <v>1715.2084870415904</v>
      </c>
      <c r="J50" s="33">
        <f>'2010-10'!J50</f>
        <v>3207.994271</v>
      </c>
      <c r="K50" s="33">
        <f>'2010-10'!K50</f>
        <v>5502379</v>
      </c>
      <c r="L50" s="22">
        <f t="shared" si="3"/>
        <v>17017281.853148546</v>
      </c>
      <c r="M50" s="22">
        <f t="shared" si="4"/>
        <v>5502379</v>
      </c>
      <c r="N50" s="19" t="s">
        <v>91</v>
      </c>
      <c r="O50" s="4">
        <f t="shared" si="5"/>
        <v>567.61603861355525</v>
      </c>
      <c r="P50" s="13">
        <f>'2010-10'!P50</f>
        <v>1820909</v>
      </c>
      <c r="Q50" s="22">
        <f t="shared" si="6"/>
        <v>5631549.8590582125</v>
      </c>
      <c r="R50" s="13">
        <f t="shared" si="7"/>
        <v>1820909</v>
      </c>
      <c r="W50" s="18">
        <f t="shared" si="10"/>
        <v>0.33093122084102172</v>
      </c>
    </row>
    <row r="51" spans="1:23">
      <c r="A51" s="18" t="s">
        <v>57</v>
      </c>
      <c r="B51" s="4">
        <f>'2010-10'!B51</f>
        <v>55.946693712217225</v>
      </c>
      <c r="C51" s="4">
        <f>'2010-10'!C51</f>
        <v>67.155256306515241</v>
      </c>
      <c r="D51" s="16">
        <f t="shared" si="8"/>
        <v>78347.799024267792</v>
      </c>
      <c r="E51" s="4">
        <f>'Interval Circuities'!H51</f>
        <v>1.3009918403315728</v>
      </c>
      <c r="F51" s="4">
        <f t="shared" si="0"/>
        <v>43.003108841911384</v>
      </c>
      <c r="G51" s="4">
        <f t="shared" si="1"/>
        <v>50.170293648896617</v>
      </c>
      <c r="H51" s="4">
        <f t="shared" si="2"/>
        <v>7907.5720675643042</v>
      </c>
      <c r="I51" s="4">
        <f t="shared" si="9"/>
        <v>899.04720299169355</v>
      </c>
      <c r="J51" s="33">
        <f>'2010-10'!J51</f>
        <v>2392.2058740000002</v>
      </c>
      <c r="K51" s="33">
        <f>'2010-10'!K51</f>
        <v>2150706</v>
      </c>
      <c r="L51" s="22">
        <f t="shared" si="3"/>
        <v>7109280.549798931</v>
      </c>
      <c r="M51" s="22">
        <f t="shared" si="4"/>
        <v>2150706</v>
      </c>
      <c r="N51" s="19" t="s">
        <v>91</v>
      </c>
      <c r="O51" s="4">
        <f t="shared" si="5"/>
        <v>488.93826936569087</v>
      </c>
      <c r="P51" s="13">
        <f>'2010-10'!P51</f>
        <v>1169641</v>
      </c>
      <c r="Q51" s="22">
        <f t="shared" si="6"/>
        <v>3866314.6015993687</v>
      </c>
      <c r="R51" s="13">
        <f t="shared" si="7"/>
        <v>1169641</v>
      </c>
      <c r="W51" s="18">
        <f t="shared" si="10"/>
        <v>0.5438404877282158</v>
      </c>
    </row>
    <row r="52" spans="1:23">
      <c r="A52" s="18" t="s">
        <v>70</v>
      </c>
      <c r="B52" s="4">
        <f>'2010-10'!B52</f>
        <v>65.037009428922346</v>
      </c>
      <c r="C52" s="4">
        <f>'2010-10'!C52</f>
        <v>76.223831707390744</v>
      </c>
      <c r="D52" s="16">
        <f t="shared" si="8"/>
        <v>88927.803658622535</v>
      </c>
      <c r="E52" s="4">
        <f>'Interval Circuities'!H52</f>
        <v>1.2632713910422415</v>
      </c>
      <c r="F52" s="4">
        <f t="shared" si="0"/>
        <v>51.483006652485514</v>
      </c>
      <c r="G52" s="4">
        <f t="shared" si="1"/>
        <v>60.063507761233105</v>
      </c>
      <c r="H52" s="4">
        <f t="shared" si="2"/>
        <v>11333.688085643318</v>
      </c>
      <c r="I52" s="4">
        <f t="shared" si="9"/>
        <v>985.14575645956916</v>
      </c>
      <c r="J52" s="33">
        <f>'2010-10'!J52</f>
        <v>2478.5875430000001</v>
      </c>
      <c r="K52" s="33">
        <f>'2010-10'!K52</f>
        <v>2441770</v>
      </c>
      <c r="L52" s="22">
        <f t="shared" si="3"/>
        <v>11165334.722607892</v>
      </c>
      <c r="M52" s="22">
        <f t="shared" si="4"/>
        <v>2441770</v>
      </c>
      <c r="N52" s="19" t="s">
        <v>91</v>
      </c>
      <c r="O52" s="4">
        <f t="shared" si="5"/>
        <v>376.11380829892278</v>
      </c>
      <c r="P52" s="13">
        <f>'2010-10'!P52</f>
        <v>932231</v>
      </c>
      <c r="Q52" s="22">
        <f t="shared" si="6"/>
        <v>4262756.5879634358</v>
      </c>
      <c r="R52" s="13">
        <f t="shared" si="7"/>
        <v>932231</v>
      </c>
      <c r="W52" s="18">
        <f t="shared" si="10"/>
        <v>0.38178493469900937</v>
      </c>
    </row>
    <row r="53" spans="1:23" ht="16">
      <c r="A53" s="18" t="s">
        <v>116</v>
      </c>
      <c r="B53" s="4">
        <f>'2010-10'!B53</f>
        <v>60.647730141730513</v>
      </c>
      <c r="C53" s="4">
        <f>'2010-10'!C53</f>
        <v>74.545005322142316</v>
      </c>
      <c r="D53" s="16">
        <f t="shared" si="8"/>
        <v>86969.172875832708</v>
      </c>
      <c r="E53" s="4">
        <f>'Interval Circuities'!H53</f>
        <v>1.2676619008406249</v>
      </c>
      <c r="F53" s="4">
        <f t="shared" si="0"/>
        <v>47.842196804615782</v>
      </c>
      <c r="G53" s="4">
        <f t="shared" si="1"/>
        <v>55.815896272051745</v>
      </c>
      <c r="H53" s="4">
        <f t="shared" si="2"/>
        <v>9787.3626044200646</v>
      </c>
      <c r="I53" s="4">
        <f t="shared" si="9"/>
        <v>1339.8831695910785</v>
      </c>
      <c r="J53" s="33">
        <f>'2010-10'!J53</f>
        <v>3423.2611499999998</v>
      </c>
      <c r="K53" s="33">
        <f>'2010-10'!K53</f>
        <v>4586770</v>
      </c>
      <c r="L53" s="22">
        <f t="shared" si="3"/>
        <v>13113922.428347548</v>
      </c>
      <c r="M53" s="22">
        <f t="shared" si="4"/>
        <v>4586770</v>
      </c>
      <c r="N53" s="19" t="s">
        <v>91</v>
      </c>
      <c r="O53" s="4">
        <f t="shared" si="5"/>
        <v>692.47740564578316</v>
      </c>
      <c r="P53" s="13">
        <f>'2010-10'!P53</f>
        <v>2370531</v>
      </c>
      <c r="Q53" s="22">
        <f t="shared" si="6"/>
        <v>6777527.4644233622</v>
      </c>
      <c r="R53" s="13">
        <f t="shared" si="7"/>
        <v>2370531</v>
      </c>
      <c r="W53" s="18">
        <f t="shared" si="10"/>
        <v>0.51681924317112049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opLeftCell="K1" workbookViewId="0">
      <selection activeCell="W1" sqref="W1:W53"/>
    </sheetView>
  </sheetViews>
  <sheetFormatPr baseColWidth="10" defaultColWidth="11.5" defaultRowHeight="14" x14ac:dyDescent="0"/>
  <cols>
    <col min="4" max="4" width="11.5" style="18"/>
  </cols>
  <sheetData>
    <row r="1" spans="1:23" ht="56">
      <c r="A1" s="18">
        <f>8/6</f>
        <v>1.3333333333333333</v>
      </c>
      <c r="B1" s="1" t="s">
        <v>59</v>
      </c>
      <c r="C1" s="1" t="s">
        <v>60</v>
      </c>
      <c r="D1" s="1" t="s">
        <v>167</v>
      </c>
      <c r="E1" s="7" t="s">
        <v>90</v>
      </c>
      <c r="F1" s="1" t="s">
        <v>21</v>
      </c>
      <c r="G1" s="1" t="s">
        <v>20</v>
      </c>
      <c r="H1" s="1" t="s">
        <v>129</v>
      </c>
      <c r="I1" s="1" t="s">
        <v>25</v>
      </c>
      <c r="J1" s="8" t="s">
        <v>83</v>
      </c>
      <c r="K1" s="23" t="s">
        <v>78</v>
      </c>
      <c r="L1" s="21" t="s">
        <v>76</v>
      </c>
      <c r="M1" s="27" t="s">
        <v>103</v>
      </c>
      <c r="N1" s="19" t="s">
        <v>91</v>
      </c>
      <c r="O1" s="1" t="s">
        <v>89</v>
      </c>
      <c r="P1" s="1" t="s">
        <v>87</v>
      </c>
      <c r="Q1" s="21" t="s">
        <v>88</v>
      </c>
      <c r="R1" s="18" t="s">
        <v>102</v>
      </c>
      <c r="W1" s="18" t="s">
        <v>579</v>
      </c>
    </row>
    <row r="2" spans="1:23" ht="16">
      <c r="A2" s="18" t="s">
        <v>16</v>
      </c>
      <c r="B2" s="18" t="s">
        <v>18</v>
      </c>
      <c r="C2" s="18" t="s">
        <v>120</v>
      </c>
      <c r="E2" s="18" t="s">
        <v>114</v>
      </c>
      <c r="F2" s="18" t="s">
        <v>17</v>
      </c>
      <c r="G2" s="18" t="s">
        <v>19</v>
      </c>
      <c r="H2" s="18" t="s">
        <v>130</v>
      </c>
      <c r="I2" s="18" t="s">
        <v>24</v>
      </c>
      <c r="J2" s="9" t="s">
        <v>16</v>
      </c>
      <c r="K2" s="13" t="s">
        <v>121</v>
      </c>
      <c r="L2" s="22" t="s">
        <v>127</v>
      </c>
      <c r="M2" s="22" t="s">
        <v>122</v>
      </c>
      <c r="N2" s="19" t="s">
        <v>91</v>
      </c>
      <c r="O2" s="18" t="s">
        <v>123</v>
      </c>
      <c r="P2" s="18" t="s">
        <v>124</v>
      </c>
      <c r="Q2" s="22" t="s">
        <v>126</v>
      </c>
      <c r="R2" s="18" t="s">
        <v>125</v>
      </c>
      <c r="W2" s="18" t="s">
        <v>580</v>
      </c>
    </row>
    <row r="3" spans="1:23">
      <c r="A3" s="18" t="s">
        <v>26</v>
      </c>
      <c r="B3" s="4">
        <f>'2010-10'!B3</f>
        <v>66.682397163757059</v>
      </c>
      <c r="C3" s="4">
        <f>'2010-10'!C3</f>
        <v>79.773749080561657</v>
      </c>
      <c r="D3" s="16">
        <f>C3*$A$1*1000</f>
        <v>106364.99877408221</v>
      </c>
      <c r="E3" s="4">
        <f>'Interval Circuities'!I3</f>
        <v>1.1933849385737794</v>
      </c>
      <c r="F3" s="4">
        <f t="shared" ref="F3:F53" si="0">B3/E3</f>
        <v>55.876687402682947</v>
      </c>
      <c r="G3" s="4">
        <f t="shared" ref="G3:G53" si="1">F3*$A$1</f>
        <v>74.502249870243929</v>
      </c>
      <c r="H3" s="4">
        <f t="shared" ref="H3:H53" si="2">PI()*G3^2</f>
        <v>17437.677799687877</v>
      </c>
      <c r="I3" s="4">
        <f t="shared" ref="I3:I53" si="3">K3/J3</f>
        <v>659.04777089359266</v>
      </c>
      <c r="J3" s="33">
        <f>'2010-10'!J3</f>
        <v>6851.4289849999996</v>
      </c>
      <c r="K3" s="33">
        <f>'2010-10'!K3</f>
        <v>4515419</v>
      </c>
      <c r="L3" s="22">
        <f t="shared" ref="L3:L53" si="4">H3*I3</f>
        <v>11492262.683444982</v>
      </c>
      <c r="M3" s="22">
        <f t="shared" ref="M3:M53" si="5">MIN(K3,L3)</f>
        <v>4515419</v>
      </c>
      <c r="N3" s="19" t="s">
        <v>91</v>
      </c>
      <c r="O3" s="4">
        <f t="shared" ref="O3:O53" si="6">P3/J3</f>
        <v>292.35463206074525</v>
      </c>
      <c r="P3" s="13">
        <f>'2010-10'!P3</f>
        <v>2003047</v>
      </c>
      <c r="Q3" s="22">
        <f t="shared" ref="Q3:Q53" si="7">H3*O3</f>
        <v>5097985.8771215752</v>
      </c>
      <c r="R3" s="13">
        <f t="shared" ref="R3:R53" si="8">MIN(Q3,P3)</f>
        <v>2003047</v>
      </c>
      <c r="W3" s="18">
        <f>Q3/L3</f>
        <v>0.44360157938831379</v>
      </c>
    </row>
    <row r="4" spans="1:23">
      <c r="A4" s="18" t="s">
        <v>27</v>
      </c>
      <c r="B4" s="4">
        <f>'2010-10'!B4</f>
        <v>67.132189228567199</v>
      </c>
      <c r="C4" s="4">
        <f>'2010-10'!C4</f>
        <v>79.519027593680846</v>
      </c>
      <c r="D4" s="16">
        <f t="shared" ref="D4:D53" si="9">C4*$A$1*1000</f>
        <v>106025.3701249078</v>
      </c>
      <c r="E4" s="4">
        <f>'Interval Circuities'!I4</f>
        <v>1.2630063192455665</v>
      </c>
      <c r="F4" s="4">
        <f t="shared" si="0"/>
        <v>53.152694650544085</v>
      </c>
      <c r="G4" s="4">
        <f t="shared" si="1"/>
        <v>70.870259534058775</v>
      </c>
      <c r="H4" s="4">
        <f t="shared" si="2"/>
        <v>15778.943427238783</v>
      </c>
      <c r="I4" s="4">
        <f t="shared" si="3"/>
        <v>1005.7320851324054</v>
      </c>
      <c r="J4" s="33">
        <f>'2010-10'!J4</f>
        <v>1354.6510249999999</v>
      </c>
      <c r="K4" s="33">
        <f>'2010-10'!K4</f>
        <v>1362416</v>
      </c>
      <c r="L4" s="22">
        <f t="shared" si="4"/>
        <v>15869389.674263123</v>
      </c>
      <c r="M4" s="22">
        <f t="shared" si="5"/>
        <v>1362416</v>
      </c>
      <c r="N4" s="19" t="s">
        <v>91</v>
      </c>
      <c r="O4" s="4">
        <f t="shared" si="6"/>
        <v>472.86200517952591</v>
      </c>
      <c r="P4" s="13">
        <f>'2010-10'!P4</f>
        <v>640563</v>
      </c>
      <c r="Q4" s="22">
        <f t="shared" si="7"/>
        <v>7461262.8286184315</v>
      </c>
      <c r="R4" s="13">
        <f t="shared" si="8"/>
        <v>640563</v>
      </c>
      <c r="W4" s="18">
        <f t="shared" ref="W4:W53" si="10">Q4/L4</f>
        <v>0.47016696809197778</v>
      </c>
    </row>
    <row r="5" spans="1:23" ht="16">
      <c r="A5" s="18" t="s">
        <v>117</v>
      </c>
      <c r="B5" s="4">
        <f>'2010-10'!B5</f>
        <v>64.331330728262358</v>
      </c>
      <c r="C5" s="4">
        <f>'2010-10'!C5</f>
        <v>77.152319954484682</v>
      </c>
      <c r="D5" s="16">
        <f t="shared" si="9"/>
        <v>102869.75993931291</v>
      </c>
      <c r="E5" s="4">
        <f>'Interval Circuities'!I5</f>
        <v>1.2268115098360695</v>
      </c>
      <c r="F5" s="4">
        <f t="shared" si="0"/>
        <v>52.43782782642667</v>
      </c>
      <c r="G5" s="4">
        <f t="shared" si="1"/>
        <v>69.917103768568893</v>
      </c>
      <c r="H5" s="4">
        <f t="shared" si="2"/>
        <v>15357.365924105447</v>
      </c>
      <c r="I5" s="4">
        <f t="shared" si="3"/>
        <v>1186.6066340855928</v>
      </c>
      <c r="J5" s="33">
        <f>'2010-10'!J5</f>
        <v>1857.1133319999999</v>
      </c>
      <c r="K5" s="33">
        <f>'2010-10'!K5</f>
        <v>2203663</v>
      </c>
      <c r="L5" s="22">
        <f t="shared" si="4"/>
        <v>18223152.287623543</v>
      </c>
      <c r="M5" s="22">
        <f t="shared" si="5"/>
        <v>2203663</v>
      </c>
      <c r="N5" s="19" t="s">
        <v>91</v>
      </c>
      <c r="O5" s="4">
        <f t="shared" si="6"/>
        <v>570.56830175187179</v>
      </c>
      <c r="P5" s="13">
        <f>'2010-10'!P5</f>
        <v>1059610</v>
      </c>
      <c r="Q5" s="22">
        <f t="shared" si="7"/>
        <v>8762426.1946989093</v>
      </c>
      <c r="R5" s="13">
        <f t="shared" si="8"/>
        <v>1059610</v>
      </c>
      <c r="W5" s="18">
        <f t="shared" si="10"/>
        <v>0.48084030997480104</v>
      </c>
    </row>
    <row r="6" spans="1:23">
      <c r="A6" s="18" t="s">
        <v>29</v>
      </c>
      <c r="B6" s="4">
        <f>'2010-10'!B6</f>
        <v>59.083844176305647</v>
      </c>
      <c r="C6" s="4">
        <f>'2010-10'!C6</f>
        <v>71.201949648545863</v>
      </c>
      <c r="D6" s="16">
        <f t="shared" si="9"/>
        <v>94935.932864727816</v>
      </c>
      <c r="E6" s="4">
        <f>'Interval Circuities'!I6</f>
        <v>1.1822577092208564</v>
      </c>
      <c r="F6" s="4">
        <f t="shared" si="0"/>
        <v>49.975435740862025</v>
      </c>
      <c r="G6" s="4">
        <f t="shared" si="1"/>
        <v>66.633914321149362</v>
      </c>
      <c r="H6" s="4">
        <f t="shared" si="2"/>
        <v>13948.918115583105</v>
      </c>
      <c r="I6" s="4">
        <f t="shared" si="3"/>
        <v>861.67001828332229</v>
      </c>
      <c r="J6" s="33">
        <f>'2010-10'!J6</f>
        <v>4852.2275479999998</v>
      </c>
      <c r="K6" s="33">
        <f>'2010-10'!K6</f>
        <v>4181019</v>
      </c>
      <c r="L6" s="22">
        <f t="shared" si="4"/>
        <v>12019364.52768706</v>
      </c>
      <c r="M6" s="22">
        <f t="shared" si="5"/>
        <v>4181019</v>
      </c>
      <c r="N6" s="19" t="s">
        <v>91</v>
      </c>
      <c r="O6" s="4">
        <f t="shared" si="6"/>
        <v>598.22977617701781</v>
      </c>
      <c r="P6" s="13">
        <f>'2010-10'!P6</f>
        <v>2902747</v>
      </c>
      <c r="Q6" s="22">
        <f t="shared" si="7"/>
        <v>8344658.1621968299</v>
      </c>
      <c r="R6" s="13">
        <f t="shared" si="8"/>
        <v>2902747</v>
      </c>
      <c r="W6" s="18">
        <f t="shared" si="10"/>
        <v>0.6942678327938715</v>
      </c>
    </row>
    <row r="7" spans="1:23">
      <c r="A7" s="18" t="s">
        <v>30</v>
      </c>
      <c r="B7" s="4">
        <f>'2010-10'!B7</f>
        <v>61.52546201403905</v>
      </c>
      <c r="C7" s="4">
        <f>'2010-10'!C7</f>
        <v>70.650556777808134</v>
      </c>
      <c r="D7" s="16">
        <f t="shared" si="9"/>
        <v>94200.742370410837</v>
      </c>
      <c r="E7" s="4">
        <f>'Interval Circuities'!I7</f>
        <v>1.1659230811658463</v>
      </c>
      <c r="F7" s="4">
        <f t="shared" si="0"/>
        <v>52.769743568776114</v>
      </c>
      <c r="G7" s="4">
        <f t="shared" si="1"/>
        <v>70.359658091701476</v>
      </c>
      <c r="H7" s="4">
        <f t="shared" si="2"/>
        <v>15552.396270603884</v>
      </c>
      <c r="I7" s="4">
        <f t="shared" si="3"/>
        <v>951.10925507842603</v>
      </c>
      <c r="J7" s="33">
        <f>'2010-10'!J7</f>
        <v>984.01523799999995</v>
      </c>
      <c r="K7" s="33">
        <f>'2010-10'!K7</f>
        <v>935906</v>
      </c>
      <c r="L7" s="22">
        <f t="shared" si="4"/>
        <v>14792028.03161855</v>
      </c>
      <c r="M7" s="22">
        <f t="shared" si="5"/>
        <v>935906</v>
      </c>
      <c r="N7" s="19" t="s">
        <v>91</v>
      </c>
      <c r="O7" s="4">
        <f t="shared" si="6"/>
        <v>463.10664957405874</v>
      </c>
      <c r="P7" s="13">
        <f>'2010-10'!P7</f>
        <v>455704</v>
      </c>
      <c r="Q7" s="22">
        <f t="shared" si="7"/>
        <v>7202418.1297274511</v>
      </c>
      <c r="R7" s="13">
        <f t="shared" si="8"/>
        <v>455704</v>
      </c>
      <c r="W7" s="18">
        <f t="shared" si="10"/>
        <v>0.48691214716007802</v>
      </c>
    </row>
    <row r="8" spans="1:23">
      <c r="A8" s="18" t="s">
        <v>31</v>
      </c>
      <c r="B8" s="4">
        <f>'2010-10'!B8</f>
        <v>64.052681514079197</v>
      </c>
      <c r="C8" s="4">
        <f>'2010-10'!C8</f>
        <v>75.74245959811465</v>
      </c>
      <c r="D8" s="16">
        <f t="shared" si="9"/>
        <v>100989.94613081953</v>
      </c>
      <c r="E8" s="4">
        <f>'Interval Circuities'!I8</f>
        <v>1.2188102793904707</v>
      </c>
      <c r="F8" s="4">
        <f t="shared" si="0"/>
        <v>52.553447076367014</v>
      </c>
      <c r="G8" s="4">
        <f t="shared" si="1"/>
        <v>70.071262768489348</v>
      </c>
      <c r="H8" s="4">
        <f t="shared" si="2"/>
        <v>15425.162959392597</v>
      </c>
      <c r="I8" s="4">
        <f t="shared" si="3"/>
        <v>650.59688341284709</v>
      </c>
      <c r="J8" s="33">
        <f>'2010-10'!J8</f>
        <v>1920.4549420000001</v>
      </c>
      <c r="K8" s="33">
        <f>'2010-10'!K8</f>
        <v>1249442</v>
      </c>
      <c r="L8" s="22">
        <f t="shared" si="4"/>
        <v>10035562.947516114</v>
      </c>
      <c r="M8" s="22">
        <f t="shared" si="5"/>
        <v>1249442</v>
      </c>
      <c r="N8" s="19" t="s">
        <v>91</v>
      </c>
      <c r="O8" s="4">
        <f t="shared" si="6"/>
        <v>378.75608747294422</v>
      </c>
      <c r="P8" s="13">
        <f>'2010-10'!P8</f>
        <v>727384</v>
      </c>
      <c r="Q8" s="22">
        <f t="shared" si="7"/>
        <v>5842374.3711321214</v>
      </c>
      <c r="R8" s="13">
        <f t="shared" si="8"/>
        <v>727384</v>
      </c>
      <c r="W8" s="18">
        <f t="shared" si="10"/>
        <v>0.58216707938423706</v>
      </c>
    </row>
    <row r="9" spans="1:23">
      <c r="A9" s="18" t="s">
        <v>32</v>
      </c>
      <c r="B9" s="4">
        <f>'2010-10'!B9</f>
        <v>62.255871883980589</v>
      </c>
      <c r="C9" s="4">
        <f>'2010-10'!C9</f>
        <v>73.232676356180107</v>
      </c>
      <c r="D9" s="16">
        <f t="shared" si="9"/>
        <v>97643.568474906802</v>
      </c>
      <c r="E9" s="4">
        <f>'Interval Circuities'!I9</f>
        <v>1.1765397413486474</v>
      </c>
      <c r="F9" s="4">
        <f t="shared" si="0"/>
        <v>52.914380786336849</v>
      </c>
      <c r="G9" s="4">
        <f t="shared" si="1"/>
        <v>70.552507715115794</v>
      </c>
      <c r="H9" s="4">
        <f t="shared" si="2"/>
        <v>15637.768605205676</v>
      </c>
      <c r="I9" s="4">
        <f t="shared" si="3"/>
        <v>1360.6187423043561</v>
      </c>
      <c r="J9" s="33">
        <f>'2010-10'!J9</f>
        <v>6326.6863320000002</v>
      </c>
      <c r="K9" s="33">
        <f>'2010-10'!K9</f>
        <v>8608208</v>
      </c>
      <c r="L9" s="22">
        <f t="shared" si="4"/>
        <v>21277041.052061494</v>
      </c>
      <c r="M9" s="22">
        <f t="shared" si="5"/>
        <v>8608208</v>
      </c>
      <c r="N9" s="19" t="s">
        <v>91</v>
      </c>
      <c r="O9" s="4">
        <f t="shared" si="6"/>
        <v>600.27821843973788</v>
      </c>
      <c r="P9" s="13">
        <f>'2010-10'!P9</f>
        <v>3797772</v>
      </c>
      <c r="Q9" s="22">
        <f t="shared" si="7"/>
        <v>9387011.8787057288</v>
      </c>
      <c r="R9" s="13">
        <f t="shared" si="8"/>
        <v>3797772</v>
      </c>
      <c r="W9" s="18">
        <f t="shared" si="10"/>
        <v>0.4411803246389957</v>
      </c>
    </row>
    <row r="10" spans="1:23">
      <c r="A10" s="18" t="s">
        <v>33</v>
      </c>
      <c r="B10" s="4">
        <f>'2010-10'!B10</f>
        <v>63.816269796049951</v>
      </c>
      <c r="C10" s="4">
        <f>'2010-10'!C10</f>
        <v>74.14207195492925</v>
      </c>
      <c r="D10" s="16">
        <f t="shared" si="9"/>
        <v>98856.095939905659</v>
      </c>
      <c r="E10" s="4">
        <f>'Interval Circuities'!I10</f>
        <v>1.2721393245922437</v>
      </c>
      <c r="F10" s="4">
        <f t="shared" si="0"/>
        <v>50.164528807805588</v>
      </c>
      <c r="G10" s="4">
        <f t="shared" si="1"/>
        <v>66.886038410407451</v>
      </c>
      <c r="H10" s="4">
        <f t="shared" si="2"/>
        <v>14054.675422978795</v>
      </c>
      <c r="I10" s="4">
        <f t="shared" si="3"/>
        <v>796.39106388024629</v>
      </c>
      <c r="J10" s="33">
        <f>'2010-10'!J10</f>
        <v>2040.237609</v>
      </c>
      <c r="K10" s="33">
        <f>'2010-10'!K10</f>
        <v>1624827</v>
      </c>
      <c r="L10" s="22">
        <f t="shared" si="4"/>
        <v>11193017.912597632</v>
      </c>
      <c r="M10" s="22">
        <f t="shared" si="5"/>
        <v>1624827</v>
      </c>
      <c r="N10" s="19" t="s">
        <v>91</v>
      </c>
      <c r="O10" s="4">
        <f t="shared" si="6"/>
        <v>428.64958284375984</v>
      </c>
      <c r="P10" s="13">
        <f>'2010-10'!P10</f>
        <v>874547</v>
      </c>
      <c r="Q10" s="22">
        <f t="shared" si="7"/>
        <v>6024530.7570643043</v>
      </c>
      <c r="R10" s="13">
        <f t="shared" si="8"/>
        <v>874547</v>
      </c>
      <c r="W10" s="18">
        <f t="shared" si="10"/>
        <v>0.53824007109679994</v>
      </c>
    </row>
    <row r="11" spans="1:23">
      <c r="A11" s="18" t="s">
        <v>34</v>
      </c>
      <c r="B11" s="4">
        <f>'2010-10'!B11</f>
        <v>60.599390167439914</v>
      </c>
      <c r="C11" s="4">
        <f>'2010-10'!C11</f>
        <v>69.653954039848372</v>
      </c>
      <c r="D11" s="16">
        <f t="shared" si="9"/>
        <v>92871.938719797821</v>
      </c>
      <c r="E11" s="4">
        <f>'Interval Circuities'!I11</f>
        <v>1.1513174285753958</v>
      </c>
      <c r="F11" s="4">
        <f t="shared" si="0"/>
        <v>52.634823953306871</v>
      </c>
      <c r="G11" s="4">
        <f t="shared" si="1"/>
        <v>70.179765271075823</v>
      </c>
      <c r="H11" s="4">
        <f t="shared" si="2"/>
        <v>15472.970420590431</v>
      </c>
      <c r="I11" s="4">
        <f t="shared" si="3"/>
        <v>890.6045978114746</v>
      </c>
      <c r="J11" s="33">
        <f>'2010-10'!J11</f>
        <v>1999.3979420000001</v>
      </c>
      <c r="K11" s="33">
        <f>'2010-10'!K11</f>
        <v>1780673</v>
      </c>
      <c r="L11" s="22">
        <f t="shared" si="4"/>
        <v>13780298.598378783</v>
      </c>
      <c r="M11" s="22">
        <f t="shared" si="5"/>
        <v>1780673</v>
      </c>
      <c r="N11" s="19" t="s">
        <v>91</v>
      </c>
      <c r="O11" s="4">
        <f t="shared" si="6"/>
        <v>435.21001083435146</v>
      </c>
      <c r="P11" s="13">
        <f>'2010-10'!P11</f>
        <v>870158</v>
      </c>
      <c r="Q11" s="22">
        <f t="shared" si="7"/>
        <v>6733991.6243847609</v>
      </c>
      <c r="R11" s="13">
        <f t="shared" si="8"/>
        <v>870158</v>
      </c>
      <c r="W11" s="18">
        <f t="shared" si="10"/>
        <v>0.48866804854119761</v>
      </c>
    </row>
    <row r="12" spans="1:23">
      <c r="A12" s="18" t="s">
        <v>35</v>
      </c>
      <c r="B12" s="4">
        <f>'2010-10'!B12</f>
        <v>64.046411741712433</v>
      </c>
      <c r="C12" s="4">
        <f>'2010-10'!C12</f>
        <v>74.901794999095003</v>
      </c>
      <c r="D12" s="16">
        <f t="shared" si="9"/>
        <v>99869.059998793338</v>
      </c>
      <c r="E12" s="4">
        <f>'Interval Circuities'!I12</f>
        <v>1.1687761854315619</v>
      </c>
      <c r="F12" s="4">
        <f t="shared" si="0"/>
        <v>54.797841143609347</v>
      </c>
      <c r="G12" s="4">
        <f t="shared" si="1"/>
        <v>73.063788191479119</v>
      </c>
      <c r="H12" s="4">
        <f t="shared" si="2"/>
        <v>16770.817924916737</v>
      </c>
      <c r="I12" s="4">
        <f t="shared" si="3"/>
        <v>1034.7499169004755</v>
      </c>
      <c r="J12" s="33">
        <f>'2010-10'!J12</f>
        <v>1322.0923989999999</v>
      </c>
      <c r="K12" s="33">
        <f>'2010-10'!K12</f>
        <v>1368035</v>
      </c>
      <c r="L12" s="22">
        <f t="shared" si="4"/>
        <v>17353602.454160597</v>
      </c>
      <c r="M12" s="22">
        <f t="shared" si="5"/>
        <v>1368035</v>
      </c>
      <c r="N12" s="19" t="s">
        <v>91</v>
      </c>
      <c r="O12" s="4">
        <f t="shared" si="6"/>
        <v>567.53143771761449</v>
      </c>
      <c r="P12" s="13">
        <f>'2010-10'!P12</f>
        <v>750329</v>
      </c>
      <c r="Q12" s="22">
        <f t="shared" si="7"/>
        <v>9517966.4086283352</v>
      </c>
      <c r="R12" s="13">
        <f t="shared" si="8"/>
        <v>750329</v>
      </c>
      <c r="W12" s="18">
        <f t="shared" si="10"/>
        <v>0.54847207856524127</v>
      </c>
    </row>
    <row r="13" spans="1:23">
      <c r="A13" s="18" t="s">
        <v>61</v>
      </c>
      <c r="B13" s="4">
        <f>'2010-10'!B13</f>
        <v>65.991437704144019</v>
      </c>
      <c r="C13" s="4">
        <f>'2010-10'!C13</f>
        <v>78.097331458401655</v>
      </c>
      <c r="D13" s="16">
        <f t="shared" si="9"/>
        <v>104129.77527786887</v>
      </c>
      <c r="E13" s="4">
        <f>'Interval Circuities'!I13</f>
        <v>1.2096246171132026</v>
      </c>
      <c r="F13" s="4">
        <f t="shared" si="0"/>
        <v>54.55530316639399</v>
      </c>
      <c r="G13" s="4">
        <f t="shared" si="1"/>
        <v>72.740404221858654</v>
      </c>
      <c r="H13" s="4">
        <f t="shared" si="2"/>
        <v>16622.689511139775</v>
      </c>
      <c r="I13" s="4">
        <f t="shared" si="3"/>
        <v>1111.5370303722236</v>
      </c>
      <c r="J13" s="33">
        <f>'2010-10'!J13</f>
        <v>4607.9364519999999</v>
      </c>
      <c r="K13" s="33">
        <f>'2010-10'!K13</f>
        <v>5121892</v>
      </c>
      <c r="L13" s="22">
        <f t="shared" si="4"/>
        <v>18476734.936011817</v>
      </c>
      <c r="M13" s="22">
        <f t="shared" si="5"/>
        <v>5121892</v>
      </c>
      <c r="N13" s="19" t="s">
        <v>91</v>
      </c>
      <c r="O13" s="4">
        <f t="shared" si="6"/>
        <v>544.77313785663296</v>
      </c>
      <c r="P13" s="13">
        <f>'2010-10'!P13</f>
        <v>2510280</v>
      </c>
      <c r="Q13" s="22">
        <f t="shared" si="7"/>
        <v>9055594.7246001549</v>
      </c>
      <c r="R13" s="13">
        <f t="shared" si="8"/>
        <v>2510280</v>
      </c>
      <c r="W13" s="18">
        <f t="shared" si="10"/>
        <v>0.4901079522957531</v>
      </c>
    </row>
    <row r="14" spans="1:23">
      <c r="A14" s="18" t="s">
        <v>36</v>
      </c>
      <c r="B14" s="4">
        <f>'2010-10'!B14</f>
        <v>60.705617754852213</v>
      </c>
      <c r="C14" s="4">
        <f>'2010-10'!C14</f>
        <v>72.576467255996263</v>
      </c>
      <c r="D14" s="16">
        <f t="shared" si="9"/>
        <v>96768.623007995018</v>
      </c>
      <c r="E14" s="4">
        <f>'Interval Circuities'!I14</f>
        <v>1.3292653370679421</v>
      </c>
      <c r="F14" s="4">
        <f t="shared" si="0"/>
        <v>45.668547927951721</v>
      </c>
      <c r="G14" s="4">
        <f t="shared" si="1"/>
        <v>60.891397237268961</v>
      </c>
      <c r="H14" s="4">
        <f t="shared" si="2"/>
        <v>11648.278669441141</v>
      </c>
      <c r="I14" s="4">
        <f t="shared" si="3"/>
        <v>1372.3806261261409</v>
      </c>
      <c r="J14" s="33">
        <f>'2010-10'!J14</f>
        <v>1729.9887180000001</v>
      </c>
      <c r="K14" s="33">
        <f>'2010-10'!K14</f>
        <v>2374203</v>
      </c>
      <c r="L14" s="22">
        <f t="shared" si="4"/>
        <v>15985871.973659404</v>
      </c>
      <c r="M14" s="22">
        <f t="shared" si="5"/>
        <v>2374203</v>
      </c>
      <c r="N14" s="19" t="s">
        <v>91</v>
      </c>
      <c r="O14" s="4">
        <f t="shared" si="6"/>
        <v>600.08830647183447</v>
      </c>
      <c r="P14" s="13">
        <f>'2010-10'!P14</f>
        <v>1038146</v>
      </c>
      <c r="Q14" s="22">
        <f t="shared" si="7"/>
        <v>6989995.8200569274</v>
      </c>
      <c r="R14" s="13">
        <f t="shared" si="8"/>
        <v>1038146</v>
      </c>
      <c r="W14" s="18">
        <f t="shared" si="10"/>
        <v>0.43726084079583766</v>
      </c>
    </row>
    <row r="15" spans="1:23">
      <c r="A15" s="18" t="s">
        <v>37</v>
      </c>
      <c r="B15" s="4">
        <f>'2010-10'!B15</f>
        <v>62.147901133486052</v>
      </c>
      <c r="C15" s="4">
        <f>'2010-10'!C15</f>
        <v>71.579622920369374</v>
      </c>
      <c r="D15" s="16">
        <f t="shared" si="9"/>
        <v>95439.497227159169</v>
      </c>
      <c r="E15" s="4">
        <f>'Interval Circuities'!I15</f>
        <v>1.1812733520638485</v>
      </c>
      <c r="F15" s="4">
        <f t="shared" si="0"/>
        <v>52.610939732878116</v>
      </c>
      <c r="G15" s="4">
        <f t="shared" si="1"/>
        <v>70.147919643837483</v>
      </c>
      <c r="H15" s="4">
        <f t="shared" si="2"/>
        <v>15458.931198627846</v>
      </c>
      <c r="I15" s="4">
        <f t="shared" si="3"/>
        <v>1078.2087468947925</v>
      </c>
      <c r="J15" s="33">
        <f>'2010-10'!J15</f>
        <v>3463.2347500000001</v>
      </c>
      <c r="K15" s="33">
        <f>'2010-10'!K15</f>
        <v>3734090</v>
      </c>
      <c r="L15" s="22">
        <f t="shared" si="4"/>
        <v>16667954.836005343</v>
      </c>
      <c r="M15" s="22">
        <f t="shared" si="5"/>
        <v>3734090</v>
      </c>
      <c r="N15" s="19" t="s">
        <v>91</v>
      </c>
      <c r="O15" s="4">
        <f t="shared" si="6"/>
        <v>433.40348210585495</v>
      </c>
      <c r="P15" s="13">
        <f>'2010-10'!P15</f>
        <v>1500978</v>
      </c>
      <c r="Q15" s="22">
        <f t="shared" si="7"/>
        <v>6699954.6111201467</v>
      </c>
      <c r="R15" s="13">
        <f t="shared" si="8"/>
        <v>1500978</v>
      </c>
      <c r="W15" s="18">
        <f t="shared" si="10"/>
        <v>0.4019662086345</v>
      </c>
    </row>
    <row r="16" spans="1:23">
      <c r="A16" s="18" t="s">
        <v>79</v>
      </c>
      <c r="B16" s="4">
        <f>'2010-10'!B16</f>
        <v>67.784674216887879</v>
      </c>
      <c r="C16" s="4">
        <f>'2010-10'!C16</f>
        <v>73.484930426832634</v>
      </c>
      <c r="D16" s="16">
        <f t="shared" si="9"/>
        <v>97979.907235776831</v>
      </c>
      <c r="E16" s="4">
        <f>'Interval Circuities'!I16</f>
        <v>1.2343026815133216</v>
      </c>
      <c r="F16" s="4">
        <f t="shared" si="0"/>
        <v>54.917383906012596</v>
      </c>
      <c r="G16" s="4">
        <f t="shared" si="1"/>
        <v>73.223178541350123</v>
      </c>
      <c r="H16" s="4">
        <f t="shared" si="2"/>
        <v>16844.06959513238</v>
      </c>
      <c r="I16" s="4">
        <f t="shared" si="3"/>
        <v>784.29737505885555</v>
      </c>
      <c r="J16" s="33">
        <f>'2010-10'!J16</f>
        <v>726.68227400000001</v>
      </c>
      <c r="K16" s="33">
        <f>'2010-10'!K16</f>
        <v>569935</v>
      </c>
      <c r="L16" s="22">
        <f t="shared" si="4"/>
        <v>13210759.568771005</v>
      </c>
      <c r="M16" s="22">
        <f t="shared" si="5"/>
        <v>569935</v>
      </c>
      <c r="N16" s="19" t="s">
        <v>91</v>
      </c>
      <c r="O16" s="4">
        <f t="shared" si="6"/>
        <v>438.1103150453344</v>
      </c>
      <c r="P16" s="13">
        <f>'2010-10'!P16</f>
        <v>318367</v>
      </c>
      <c r="Q16" s="22">
        <f t="shared" si="7"/>
        <v>7379560.6369689852</v>
      </c>
      <c r="R16" s="13">
        <f t="shared" si="8"/>
        <v>318367</v>
      </c>
      <c r="W16" s="18">
        <f t="shared" si="10"/>
        <v>0.55860229675313855</v>
      </c>
    </row>
    <row r="17" spans="1:23">
      <c r="A17" s="18" t="s">
        <v>511</v>
      </c>
      <c r="B17" s="4">
        <f>'2010-10'!B17</f>
        <v>64.715366633523445</v>
      </c>
      <c r="C17" s="4">
        <f>'2010-10'!C17</f>
        <v>75.511487142105324</v>
      </c>
      <c r="D17" s="16">
        <f t="shared" si="9"/>
        <v>100681.98285614043</v>
      </c>
      <c r="E17" s="4">
        <f>'Interval Circuities'!I17</f>
        <v>1.3331220930334835</v>
      </c>
      <c r="F17" s="4">
        <f t="shared" si="0"/>
        <v>48.544215846176073</v>
      </c>
      <c r="G17" s="4">
        <f t="shared" si="1"/>
        <v>64.725621128234764</v>
      </c>
      <c r="H17" s="4">
        <f t="shared" si="2"/>
        <v>13161.407208121858</v>
      </c>
      <c r="I17" s="4">
        <f t="shared" si="3"/>
        <v>1078.4020248075806</v>
      </c>
      <c r="J17" s="33">
        <f>'2010-10'!J17</f>
        <v>1334.9993480000001</v>
      </c>
      <c r="K17" s="33">
        <f>'2010-10'!K17</f>
        <v>1439666</v>
      </c>
      <c r="L17" s="22">
        <f t="shared" si="4"/>
        <v>14193288.182555698</v>
      </c>
      <c r="M17" s="22">
        <f t="shared" si="5"/>
        <v>1439666</v>
      </c>
      <c r="N17" s="19" t="s">
        <v>91</v>
      </c>
      <c r="O17" s="4">
        <f t="shared" si="6"/>
        <v>444.79197753136282</v>
      </c>
      <c r="P17" s="13">
        <f>'2010-10'!P17</f>
        <v>593797</v>
      </c>
      <c r="Q17" s="22">
        <f t="shared" si="7"/>
        <v>5854088.3391960543</v>
      </c>
      <c r="R17" s="13">
        <f t="shared" si="8"/>
        <v>593797</v>
      </c>
      <c r="W17" s="18">
        <f t="shared" si="10"/>
        <v>0.41245469435271798</v>
      </c>
    </row>
    <row r="18" spans="1:23">
      <c r="A18" s="18" t="s">
        <v>38</v>
      </c>
      <c r="B18" s="4">
        <f>'2010-10'!B18</f>
        <v>63.831016736397409</v>
      </c>
      <c r="C18" s="4">
        <f>'2010-10'!C18</f>
        <v>74.742968134682343</v>
      </c>
      <c r="D18" s="16">
        <f t="shared" si="9"/>
        <v>99657.290846243108</v>
      </c>
      <c r="E18" s="4">
        <f>'Interval Circuities'!I18</f>
        <v>1.2209157982173557</v>
      </c>
      <c r="F18" s="4">
        <f t="shared" si="0"/>
        <v>52.281260369958595</v>
      </c>
      <c r="G18" s="4">
        <f t="shared" si="1"/>
        <v>69.708347159944793</v>
      </c>
      <c r="H18" s="4">
        <f t="shared" si="2"/>
        <v>15265.795612033464</v>
      </c>
      <c r="I18" s="4">
        <f t="shared" si="3"/>
        <v>691.70595675577363</v>
      </c>
      <c r="J18" s="33">
        <f>'2010-10'!J18</f>
        <v>1337.0695900000001</v>
      </c>
      <c r="K18" s="33">
        <f>'2010-10'!K18</f>
        <v>924859</v>
      </c>
      <c r="L18" s="22">
        <f t="shared" si="4"/>
        <v>10559441.759459699</v>
      </c>
      <c r="M18" s="22">
        <f t="shared" si="5"/>
        <v>924859</v>
      </c>
      <c r="N18" s="19" t="s">
        <v>91</v>
      </c>
      <c r="O18" s="4">
        <f t="shared" si="6"/>
        <v>395.88290987905873</v>
      </c>
      <c r="P18" s="13">
        <f>'2010-10'!P18</f>
        <v>529323</v>
      </c>
      <c r="Q18" s="22">
        <f t="shared" si="7"/>
        <v>6043467.5885107741</v>
      </c>
      <c r="R18" s="13">
        <f t="shared" si="8"/>
        <v>529323</v>
      </c>
      <c r="W18" s="18">
        <f t="shared" si="10"/>
        <v>0.57232832247942655</v>
      </c>
    </row>
    <row r="19" spans="1:23">
      <c r="A19" s="18" t="s">
        <v>80</v>
      </c>
      <c r="B19" s="4">
        <f>'2010-10'!B19</f>
        <v>54.710932805374171</v>
      </c>
      <c r="C19" s="4">
        <f>'2010-10'!C19</f>
        <v>67.860376115847075</v>
      </c>
      <c r="D19" s="16">
        <f t="shared" si="9"/>
        <v>90480.501487796093</v>
      </c>
      <c r="E19" s="4">
        <f>'Interval Circuities'!I19</f>
        <v>1.4620608998697906</v>
      </c>
      <c r="F19" s="4">
        <f t="shared" si="0"/>
        <v>37.42041990880589</v>
      </c>
      <c r="G19" s="4">
        <f t="shared" si="1"/>
        <v>49.893893211741187</v>
      </c>
      <c r="H19" s="4">
        <f t="shared" si="2"/>
        <v>7820.6825734192389</v>
      </c>
      <c r="I19" s="4">
        <f t="shared" si="3"/>
        <v>1820.7093992818395</v>
      </c>
      <c r="J19" s="33">
        <f>'2010-10'!J19</f>
        <v>440.73974700000002</v>
      </c>
      <c r="K19" s="33">
        <f>'2010-10'!K19</f>
        <v>802459</v>
      </c>
      <c r="L19" s="22">
        <f t="shared" si="4"/>
        <v>14239190.270224093</v>
      </c>
      <c r="M19" s="22">
        <f t="shared" si="5"/>
        <v>802459</v>
      </c>
      <c r="N19" s="19" t="s">
        <v>91</v>
      </c>
      <c r="O19" s="4">
        <f t="shared" si="6"/>
        <v>762.20491182520914</v>
      </c>
      <c r="P19" s="13">
        <f>'2010-10'!P19</f>
        <v>335934</v>
      </c>
      <c r="Q19" s="22">
        <f t="shared" si="7"/>
        <v>5960962.6712859608</v>
      </c>
      <c r="R19" s="13">
        <f t="shared" si="8"/>
        <v>335934</v>
      </c>
      <c r="W19" s="18">
        <f t="shared" si="10"/>
        <v>0.41863073378203752</v>
      </c>
    </row>
    <row r="20" spans="1:23">
      <c r="A20" s="18" t="s">
        <v>39</v>
      </c>
      <c r="B20" s="4">
        <f>'2010-10'!B20</f>
        <v>66.693022833822994</v>
      </c>
      <c r="C20" s="4">
        <f>'2010-10'!C20</f>
        <v>78.916174325560149</v>
      </c>
      <c r="D20" s="16">
        <f t="shared" si="9"/>
        <v>105221.56576741353</v>
      </c>
      <c r="E20" s="4">
        <f>'Interval Circuities'!I20</f>
        <v>1.2376203077049825</v>
      </c>
      <c r="F20" s="4">
        <f t="shared" si="0"/>
        <v>53.888112871626319</v>
      </c>
      <c r="G20" s="4">
        <f t="shared" si="1"/>
        <v>71.850817162168426</v>
      </c>
      <c r="H20" s="4">
        <f t="shared" si="2"/>
        <v>16218.597508123041</v>
      </c>
      <c r="I20" s="4">
        <f t="shared" si="3"/>
        <v>1149.9995031423985</v>
      </c>
      <c r="J20" s="33">
        <f>'2010-10'!J20</f>
        <v>4299.4209879999999</v>
      </c>
      <c r="K20" s="33">
        <f>'2010-10'!K20</f>
        <v>4944332</v>
      </c>
      <c r="L20" s="22">
        <f t="shared" si="4"/>
        <v>18651379.07600804</v>
      </c>
      <c r="M20" s="22">
        <f t="shared" si="5"/>
        <v>4944332</v>
      </c>
      <c r="N20" s="19" t="s">
        <v>91</v>
      </c>
      <c r="O20" s="4">
        <f t="shared" si="6"/>
        <v>506.24654019109983</v>
      </c>
      <c r="P20" s="13">
        <f>'2010-10'!P20</f>
        <v>2176567</v>
      </c>
      <c r="Q20" s="22">
        <f t="shared" si="7"/>
        <v>8210608.8752392828</v>
      </c>
      <c r="R20" s="13">
        <f t="shared" si="8"/>
        <v>2176567</v>
      </c>
      <c r="W20" s="18">
        <f t="shared" si="10"/>
        <v>0.44021457296961453</v>
      </c>
    </row>
    <row r="21" spans="1:23">
      <c r="A21" s="18" t="s">
        <v>40</v>
      </c>
      <c r="B21" s="4">
        <f>'2010-10'!B21</f>
        <v>62.662263546111326</v>
      </c>
      <c r="C21" s="4">
        <f>'2010-10'!C21</f>
        <v>72.333701669204501</v>
      </c>
      <c r="D21" s="16">
        <f t="shared" si="9"/>
        <v>96444.935558939338</v>
      </c>
      <c r="E21" s="4">
        <f>'Interval Circuities'!I21</f>
        <v>1.1835544609982929</v>
      </c>
      <c r="F21" s="4">
        <f t="shared" si="0"/>
        <v>52.944131944091168</v>
      </c>
      <c r="G21" s="4">
        <f t="shared" si="1"/>
        <v>70.592175925454882</v>
      </c>
      <c r="H21" s="4">
        <f t="shared" si="2"/>
        <v>15655.358247381178</v>
      </c>
      <c r="I21" s="4">
        <f t="shared" si="3"/>
        <v>813.78264340099747</v>
      </c>
      <c r="J21" s="33">
        <f>'2010-10'!J21</f>
        <v>1827.8627739999999</v>
      </c>
      <c r="K21" s="33">
        <f>'2010-10'!K21</f>
        <v>1487483</v>
      </c>
      <c r="L21" s="22">
        <f t="shared" si="4"/>
        <v>12740058.817943463</v>
      </c>
      <c r="M21" s="22">
        <f t="shared" si="5"/>
        <v>1487483</v>
      </c>
      <c r="N21" s="19" t="s">
        <v>91</v>
      </c>
      <c r="O21" s="4">
        <f t="shared" si="6"/>
        <v>406.44134262564722</v>
      </c>
      <c r="P21" s="13">
        <f>'2010-10'!P21</f>
        <v>742919</v>
      </c>
      <c r="Q21" s="22">
        <f t="shared" si="7"/>
        <v>6362984.825351106</v>
      </c>
      <c r="R21" s="13">
        <f t="shared" si="8"/>
        <v>742919</v>
      </c>
      <c r="W21" s="18">
        <f t="shared" si="10"/>
        <v>0.49944705250412941</v>
      </c>
    </row>
    <row r="22" spans="1:23" ht="16">
      <c r="A22" s="18" t="s">
        <v>118</v>
      </c>
      <c r="B22" s="4">
        <f>'2010-10'!B22</f>
        <v>72.107428140171564</v>
      </c>
      <c r="C22" s="4">
        <f>'2010-10'!C22</f>
        <v>84.099901925483479</v>
      </c>
      <c r="D22" s="16">
        <f t="shared" si="9"/>
        <v>112133.20256731129</v>
      </c>
      <c r="E22" s="4">
        <f>'Interval Circuities'!I22</f>
        <v>1.3360729352383633</v>
      </c>
      <c r="F22" s="4">
        <f t="shared" si="0"/>
        <v>53.969679527493135</v>
      </c>
      <c r="G22" s="4">
        <f t="shared" si="1"/>
        <v>71.95957270332417</v>
      </c>
      <c r="H22" s="4">
        <f t="shared" si="2"/>
        <v>16267.732572575957</v>
      </c>
      <c r="I22" s="4">
        <f t="shared" si="3"/>
        <v>1369.2709398652264</v>
      </c>
      <c r="J22" s="33">
        <f>'2010-10'!J22</f>
        <v>1411.4562309999999</v>
      </c>
      <c r="K22" s="33">
        <f>'2010-10'!K22</f>
        <v>1932666</v>
      </c>
      <c r="L22" s="22">
        <f t="shared" si="4"/>
        <v>22274933.469127238</v>
      </c>
      <c r="M22" s="22">
        <f t="shared" si="5"/>
        <v>1932666</v>
      </c>
      <c r="N22" s="19" t="s">
        <v>91</v>
      </c>
      <c r="O22" s="4">
        <f t="shared" si="6"/>
        <v>678.25411725430968</v>
      </c>
      <c r="P22" s="13">
        <f>'2010-10'!P22</f>
        <v>957326</v>
      </c>
      <c r="Q22" s="22">
        <f t="shared" si="7"/>
        <v>11033656.595741685</v>
      </c>
      <c r="R22" s="13">
        <f t="shared" si="8"/>
        <v>957326</v>
      </c>
      <c r="W22" s="18">
        <f t="shared" si="10"/>
        <v>0.49533959825443191</v>
      </c>
    </row>
    <row r="23" spans="1:23">
      <c r="A23" s="18" t="s">
        <v>41</v>
      </c>
      <c r="B23" s="4">
        <f>'2010-10'!B23</f>
        <v>69.127068300037649</v>
      </c>
      <c r="C23" s="4">
        <f>'2010-10'!C23</f>
        <v>78.497147187767681</v>
      </c>
      <c r="D23" s="16">
        <f t="shared" si="9"/>
        <v>104662.86291702358</v>
      </c>
      <c r="E23" s="4">
        <f>'Interval Circuities'!I23</f>
        <v>1.2841484821523987</v>
      </c>
      <c r="F23" s="4">
        <f t="shared" si="0"/>
        <v>53.831055567788979</v>
      </c>
      <c r="G23" s="4">
        <f t="shared" si="1"/>
        <v>71.774740757051973</v>
      </c>
      <c r="H23" s="4">
        <f t="shared" si="2"/>
        <v>16184.27084532178</v>
      </c>
      <c r="I23" s="4">
        <f t="shared" si="3"/>
        <v>775.48585132918799</v>
      </c>
      <c r="J23" s="33">
        <f>'2010-10'!J23</f>
        <v>1373.6150029999999</v>
      </c>
      <c r="K23" s="33">
        <f>'2010-10'!K23</f>
        <v>1065219</v>
      </c>
      <c r="L23" s="22">
        <f t="shared" si="4"/>
        <v>12550673.054626517</v>
      </c>
      <c r="M23" s="22">
        <f t="shared" si="5"/>
        <v>1065219</v>
      </c>
      <c r="N23" s="19" t="s">
        <v>91</v>
      </c>
      <c r="O23" s="4">
        <f t="shared" si="6"/>
        <v>626.55110647477409</v>
      </c>
      <c r="P23" s="13">
        <f>'2010-10'!P23</f>
        <v>860640</v>
      </c>
      <c r="Q23" s="22">
        <f t="shared" si="7"/>
        <v>10140272.805623788</v>
      </c>
      <c r="R23" s="13">
        <f t="shared" si="8"/>
        <v>860640</v>
      </c>
      <c r="W23" s="18">
        <f t="shared" si="10"/>
        <v>0.80794653493788604</v>
      </c>
    </row>
    <row r="24" spans="1:23">
      <c r="A24" s="18" t="s">
        <v>74</v>
      </c>
      <c r="B24" s="4">
        <f>'2010-10'!B24</f>
        <v>67.812288769795572</v>
      </c>
      <c r="C24" s="4">
        <f>'2010-10'!C24</f>
        <v>74.592726606374868</v>
      </c>
      <c r="D24" s="16">
        <f t="shared" si="9"/>
        <v>99456.96880849982</v>
      </c>
      <c r="E24" s="4">
        <f>'Interval Circuities'!I24</f>
        <v>1.2277932150007076</v>
      </c>
      <c r="F24" s="4">
        <f t="shared" si="0"/>
        <v>55.231033973222026</v>
      </c>
      <c r="G24" s="4">
        <f t="shared" si="1"/>
        <v>73.641378630962691</v>
      </c>
      <c r="H24" s="4">
        <f t="shared" si="2"/>
        <v>17037.022354805413</v>
      </c>
      <c r="I24" s="4">
        <f t="shared" si="3"/>
        <v>865.47479649931279</v>
      </c>
      <c r="J24" s="33">
        <f>'2010-10'!J24</f>
        <v>1755.5878070000001</v>
      </c>
      <c r="K24" s="33">
        <f>'2010-10'!K24</f>
        <v>1519417</v>
      </c>
      <c r="L24" s="22">
        <f t="shared" si="4"/>
        <v>14745113.455479458</v>
      </c>
      <c r="M24" s="22">
        <f t="shared" si="5"/>
        <v>1519417</v>
      </c>
      <c r="N24" s="19" t="s">
        <v>91</v>
      </c>
      <c r="O24" s="4">
        <f t="shared" si="6"/>
        <v>528.94933326453656</v>
      </c>
      <c r="P24" s="13">
        <f>'2010-10'!P24</f>
        <v>928617</v>
      </c>
      <c r="Q24" s="22">
        <f t="shared" si="7"/>
        <v>9011721.615387328</v>
      </c>
      <c r="R24" s="13">
        <f t="shared" si="8"/>
        <v>928617</v>
      </c>
      <c r="W24" s="18">
        <f t="shared" si="10"/>
        <v>0.61116665141959059</v>
      </c>
    </row>
    <row r="25" spans="1:23">
      <c r="A25" s="18" t="s">
        <v>62</v>
      </c>
      <c r="B25" s="4">
        <f>'2010-10'!B25</f>
        <v>62.454008275887581</v>
      </c>
      <c r="C25" s="4">
        <f>'2010-10'!C25</f>
        <v>72.980903634295757</v>
      </c>
      <c r="D25" s="16">
        <f t="shared" si="9"/>
        <v>97307.87151239434</v>
      </c>
      <c r="E25" s="4">
        <f>'Interval Circuities'!I25</f>
        <v>1.3133868922800092</v>
      </c>
      <c r="F25" s="4">
        <f t="shared" si="0"/>
        <v>47.551874198674902</v>
      </c>
      <c r="G25" s="4">
        <f t="shared" si="1"/>
        <v>63.402498931566534</v>
      </c>
      <c r="H25" s="4">
        <f t="shared" si="2"/>
        <v>12628.815645538061</v>
      </c>
      <c r="I25" s="4">
        <f t="shared" si="3"/>
        <v>1746.9193703498715</v>
      </c>
      <c r="J25" s="33">
        <f>'2010-10'!J25</f>
        <v>1079.621093</v>
      </c>
      <c r="K25" s="33">
        <f>'2010-10'!K25</f>
        <v>1886011</v>
      </c>
      <c r="L25" s="22">
        <f t="shared" si="4"/>
        <v>22061522.675767958</v>
      </c>
      <c r="M25" s="22">
        <f t="shared" si="5"/>
        <v>1886011</v>
      </c>
      <c r="N25" s="19" t="s">
        <v>91</v>
      </c>
      <c r="O25" s="4">
        <f t="shared" si="6"/>
        <v>677.90079755323939</v>
      </c>
      <c r="P25" s="13">
        <f>'2010-10'!P25</f>
        <v>731876</v>
      </c>
      <c r="Q25" s="22">
        <f t="shared" si="7"/>
        <v>8561084.1982630789</v>
      </c>
      <c r="R25" s="13">
        <f t="shared" si="8"/>
        <v>731876</v>
      </c>
      <c r="W25" s="18">
        <f t="shared" si="10"/>
        <v>0.38805500073965626</v>
      </c>
    </row>
    <row r="26" spans="1:23" ht="16">
      <c r="A26" s="18" t="s">
        <v>119</v>
      </c>
      <c r="B26" s="4">
        <f>'2010-10'!B26</f>
        <v>67.712654237264687</v>
      </c>
      <c r="C26" s="4">
        <f>'2010-10'!C26</f>
        <v>83.333789923093292</v>
      </c>
      <c r="D26" s="16">
        <f t="shared" si="9"/>
        <v>111111.71989745772</v>
      </c>
      <c r="E26" s="4">
        <f>'Interval Circuities'!I26</f>
        <v>1.2425894448042694</v>
      </c>
      <c r="F26" s="4">
        <f t="shared" si="0"/>
        <v>54.493183183228048</v>
      </c>
      <c r="G26" s="4">
        <f t="shared" si="1"/>
        <v>72.657577577637397</v>
      </c>
      <c r="H26" s="4">
        <f t="shared" si="2"/>
        <v>16584.855854594018</v>
      </c>
      <c r="I26" s="4">
        <f t="shared" si="3"/>
        <v>2702.4637693066888</v>
      </c>
      <c r="J26" s="33">
        <f>'2010-10'!J26</f>
        <v>4496.2660139999998</v>
      </c>
      <c r="K26" s="33">
        <f>'2010-10'!K26</f>
        <v>12150996</v>
      </c>
      <c r="L26" s="22">
        <f t="shared" si="4"/>
        <v>44819972.066214256</v>
      </c>
      <c r="M26" s="22">
        <f t="shared" si="5"/>
        <v>12150996</v>
      </c>
      <c r="N26" s="19" t="s">
        <v>91</v>
      </c>
      <c r="O26" s="4">
        <f t="shared" si="6"/>
        <v>1079.1963787042962</v>
      </c>
      <c r="P26" s="13">
        <f>'2010-10'!P26</f>
        <v>4852354</v>
      </c>
      <c r="Q26" s="22">
        <f t="shared" si="7"/>
        <v>17898316.379610609</v>
      </c>
      <c r="R26" s="13">
        <f t="shared" si="8"/>
        <v>4852354</v>
      </c>
      <c r="W26" s="18">
        <f t="shared" si="10"/>
        <v>0.39933796373564767</v>
      </c>
    </row>
    <row r="27" spans="1:23">
      <c r="A27" s="18" t="s">
        <v>42</v>
      </c>
      <c r="B27" s="4">
        <f>'2010-10'!B27</f>
        <v>69.762390899595417</v>
      </c>
      <c r="C27" s="4">
        <f>'2010-10'!C27</f>
        <v>80.633405227489121</v>
      </c>
      <c r="D27" s="16">
        <f t="shared" si="9"/>
        <v>107511.20696998549</v>
      </c>
      <c r="E27" s="4">
        <f>'Interval Circuities'!I27</f>
        <v>1.3108224413438658</v>
      </c>
      <c r="F27" s="4">
        <f t="shared" si="0"/>
        <v>53.220320845342293</v>
      </c>
      <c r="G27" s="4">
        <f t="shared" si="1"/>
        <v>70.960427793789719</v>
      </c>
      <c r="H27" s="4">
        <f t="shared" si="2"/>
        <v>15819.12008152407</v>
      </c>
      <c r="I27" s="4">
        <f t="shared" si="3"/>
        <v>787.6776339629688</v>
      </c>
      <c r="J27" s="33">
        <f>'2010-10'!J27</f>
        <v>1234.70054</v>
      </c>
      <c r="K27" s="33">
        <f>'2010-10'!K27</f>
        <v>972546</v>
      </c>
      <c r="L27" s="22">
        <f t="shared" si="4"/>
        <v>12460367.077190965</v>
      </c>
      <c r="M27" s="22">
        <f t="shared" si="5"/>
        <v>972546</v>
      </c>
      <c r="N27" s="19" t="s">
        <v>91</v>
      </c>
      <c r="O27" s="4">
        <f t="shared" si="6"/>
        <v>417.10518730314965</v>
      </c>
      <c r="P27" s="13">
        <f>'2010-10'!P27</f>
        <v>515000</v>
      </c>
      <c r="Q27" s="22">
        <f t="shared" si="7"/>
        <v>6598237.0445751129</v>
      </c>
      <c r="R27" s="13">
        <f t="shared" si="8"/>
        <v>515000</v>
      </c>
      <c r="W27" s="18">
        <f t="shared" si="10"/>
        <v>0.52953793445245778</v>
      </c>
    </row>
    <row r="28" spans="1:23">
      <c r="A28" s="18" t="s">
        <v>43</v>
      </c>
      <c r="B28" s="4">
        <f>'2010-10'!B28</f>
        <v>66.011797525453602</v>
      </c>
      <c r="C28" s="4">
        <f>'2010-10'!C28</f>
        <v>76.864865322833012</v>
      </c>
      <c r="D28" s="16">
        <f t="shared" si="9"/>
        <v>102486.48709711069</v>
      </c>
      <c r="E28" s="4">
        <f>'Interval Circuities'!I28</f>
        <v>1.2370359335006367</v>
      </c>
      <c r="F28" s="4">
        <f t="shared" si="0"/>
        <v>53.362877938920946</v>
      </c>
      <c r="G28" s="4">
        <f t="shared" si="1"/>
        <v>71.150503918561256</v>
      </c>
      <c r="H28" s="4">
        <f t="shared" si="2"/>
        <v>15903.980453004835</v>
      </c>
      <c r="I28" s="4">
        <f t="shared" si="3"/>
        <v>823.01437699234145</v>
      </c>
      <c r="J28" s="33">
        <f>'2010-10'!J28</f>
        <v>1288.022457</v>
      </c>
      <c r="K28" s="33">
        <f>'2010-10'!K28</f>
        <v>1060061</v>
      </c>
      <c r="L28" s="22">
        <f t="shared" si="4"/>
        <v>13089204.564228151</v>
      </c>
      <c r="M28" s="22">
        <f t="shared" si="5"/>
        <v>1060061</v>
      </c>
      <c r="N28" s="19" t="s">
        <v>91</v>
      </c>
      <c r="O28" s="4">
        <f t="shared" si="6"/>
        <v>395.30832496967867</v>
      </c>
      <c r="P28" s="13">
        <f>'2010-10'!P28</f>
        <v>509166</v>
      </c>
      <c r="Q28" s="22">
        <f t="shared" si="7"/>
        <v>6286975.8732278524</v>
      </c>
      <c r="R28" s="13">
        <f t="shared" si="8"/>
        <v>509166</v>
      </c>
      <c r="W28" s="18">
        <f t="shared" si="10"/>
        <v>0.48031764209795474</v>
      </c>
    </row>
    <row r="29" spans="1:23">
      <c r="A29" s="18" t="s">
        <v>44</v>
      </c>
      <c r="B29" s="4">
        <f>'2010-10'!B29</f>
        <v>66.575024815111192</v>
      </c>
      <c r="C29" s="4">
        <f>'2010-10'!C29</f>
        <v>73.723640962925515</v>
      </c>
      <c r="D29" s="16">
        <f t="shared" si="9"/>
        <v>98298.187950567357</v>
      </c>
      <c r="E29" s="4">
        <f>'Interval Circuities'!I29</f>
        <v>1.1639337982848545</v>
      </c>
      <c r="F29" s="4">
        <f t="shared" si="0"/>
        <v>57.198291615222949</v>
      </c>
      <c r="G29" s="4">
        <f t="shared" si="1"/>
        <v>76.264388820297256</v>
      </c>
      <c r="H29" s="4">
        <f t="shared" si="2"/>
        <v>18272.310269292739</v>
      </c>
      <c r="I29" s="4">
        <f t="shared" si="3"/>
        <v>974.04787636700348</v>
      </c>
      <c r="J29" s="33">
        <f>'2010-10'!J29</f>
        <v>1413.1502499999999</v>
      </c>
      <c r="K29" s="33">
        <f>'2010-10'!K29</f>
        <v>1376476</v>
      </c>
      <c r="L29" s="22">
        <f t="shared" si="4"/>
        <v>17798105.014123581</v>
      </c>
      <c r="M29" s="22">
        <f t="shared" si="5"/>
        <v>1376476</v>
      </c>
      <c r="N29" s="19" t="s">
        <v>91</v>
      </c>
      <c r="O29" s="4">
        <f t="shared" si="6"/>
        <v>521.72725440907652</v>
      </c>
      <c r="P29" s="13">
        <f>'2010-10'!P29</f>
        <v>737279</v>
      </c>
      <c r="Q29" s="22">
        <f t="shared" si="7"/>
        <v>9533162.2685088739</v>
      </c>
      <c r="R29" s="13">
        <f t="shared" si="8"/>
        <v>737279</v>
      </c>
      <c r="W29" s="18">
        <f t="shared" si="10"/>
        <v>0.53562793684742782</v>
      </c>
    </row>
    <row r="30" spans="1:23">
      <c r="A30" s="18" t="s">
        <v>45</v>
      </c>
      <c r="B30" s="4">
        <f>'2010-10'!B30</f>
        <v>72.35417413894163</v>
      </c>
      <c r="C30" s="4">
        <f>'2010-10'!C30</f>
        <v>80.92665935101023</v>
      </c>
      <c r="D30" s="16">
        <f t="shared" si="9"/>
        <v>107902.21246801363</v>
      </c>
      <c r="E30" s="4">
        <f>'Interval Circuities'!I30</f>
        <v>1.2097168280185802</v>
      </c>
      <c r="F30" s="4">
        <f t="shared" si="0"/>
        <v>59.81083544770722</v>
      </c>
      <c r="G30" s="4">
        <f t="shared" si="1"/>
        <v>79.74778059694296</v>
      </c>
      <c r="H30" s="4">
        <f t="shared" si="2"/>
        <v>19979.613534422504</v>
      </c>
      <c r="I30" s="4">
        <f t="shared" si="3"/>
        <v>1001.6752173390063</v>
      </c>
      <c r="J30" s="33">
        <f>'2010-10'!J30</f>
        <v>2646.4566100000002</v>
      </c>
      <c r="K30" s="33">
        <f>'2010-10'!K30</f>
        <v>2650890</v>
      </c>
      <c r="L30" s="22">
        <f t="shared" si="4"/>
        <v>20013083.729442012</v>
      </c>
      <c r="M30" s="22">
        <f t="shared" si="5"/>
        <v>2650890</v>
      </c>
      <c r="N30" s="19" t="s">
        <v>91</v>
      </c>
      <c r="O30" s="4">
        <f t="shared" si="6"/>
        <v>594.14576987906855</v>
      </c>
      <c r="P30" s="13">
        <f>'2010-10'!P30</f>
        <v>1572381</v>
      </c>
      <c r="Q30" s="22">
        <f t="shared" si="7"/>
        <v>11870802.865295717</v>
      </c>
      <c r="R30" s="13">
        <f t="shared" si="8"/>
        <v>1572381</v>
      </c>
      <c r="W30" s="18">
        <f t="shared" si="10"/>
        <v>0.59315211117775546</v>
      </c>
    </row>
    <row r="31" spans="1:23">
      <c r="A31" s="18" t="s">
        <v>46</v>
      </c>
      <c r="B31" s="4">
        <f>'2010-10'!B31</f>
        <v>66.509434242873198</v>
      </c>
      <c r="C31" s="4">
        <f>'2010-10'!C31</f>
        <v>79.192244463512992</v>
      </c>
      <c r="D31" s="16">
        <f t="shared" si="9"/>
        <v>105589.65928468399</v>
      </c>
      <c r="E31" s="4">
        <f>'Interval Circuities'!I31</f>
        <v>1.2471312517026993</v>
      </c>
      <c r="F31" s="4">
        <f t="shared" si="0"/>
        <v>53.329939532882641</v>
      </c>
      <c r="G31" s="4">
        <f t="shared" si="1"/>
        <v>71.106586043843521</v>
      </c>
      <c r="H31" s="4">
        <f t="shared" si="2"/>
        <v>15884.352947464304</v>
      </c>
      <c r="I31" s="4">
        <f t="shared" si="3"/>
        <v>664.38482730522799</v>
      </c>
      <c r="J31" s="33">
        <f>'2010-10'!J31</f>
        <v>1459.375591</v>
      </c>
      <c r="K31" s="33">
        <f>'2010-10'!K31</f>
        <v>969587</v>
      </c>
      <c r="L31" s="22">
        <f t="shared" si="4"/>
        <v>10553323.08985636</v>
      </c>
      <c r="M31" s="22">
        <f t="shared" si="5"/>
        <v>969587</v>
      </c>
      <c r="N31" s="19" t="s">
        <v>91</v>
      </c>
      <c r="O31" s="4">
        <f t="shared" si="6"/>
        <v>447.40709932841406</v>
      </c>
      <c r="P31" s="13">
        <f>'2010-10'!P31</f>
        <v>652935</v>
      </c>
      <c r="Q31" s="22">
        <f t="shared" si="7"/>
        <v>7106772.2769337483</v>
      </c>
      <c r="R31" s="13">
        <f t="shared" si="8"/>
        <v>652935</v>
      </c>
      <c r="W31" s="18">
        <f t="shared" si="10"/>
        <v>0.67341558828655912</v>
      </c>
    </row>
    <row r="32" spans="1:23">
      <c r="A32" s="18" t="s">
        <v>47</v>
      </c>
      <c r="B32" s="4">
        <f>'2010-10'!B32</f>
        <v>70.113916315490926</v>
      </c>
      <c r="C32" s="4">
        <f>'2010-10'!C32</f>
        <v>78.214496785983556</v>
      </c>
      <c r="D32" s="16">
        <f t="shared" si="9"/>
        <v>104285.99571464474</v>
      </c>
      <c r="E32" s="4">
        <f>'Interval Circuities'!I32</f>
        <v>1.3695515239576628</v>
      </c>
      <c r="F32" s="4">
        <f t="shared" si="0"/>
        <v>51.194799968444542</v>
      </c>
      <c r="G32" s="4">
        <f t="shared" si="1"/>
        <v>68.25973329125938</v>
      </c>
      <c r="H32" s="4">
        <f t="shared" si="2"/>
        <v>14637.909129544136</v>
      </c>
      <c r="I32" s="4">
        <f t="shared" si="3"/>
        <v>1381.8089483990395</v>
      </c>
      <c r="J32" s="33">
        <f>'2010-10'!J32</f>
        <v>651.10520599999995</v>
      </c>
      <c r="K32" s="33">
        <f>'2010-10'!K32</f>
        <v>899703</v>
      </c>
      <c r="L32" s="22">
        <f t="shared" si="4"/>
        <v>20226793.821056083</v>
      </c>
      <c r="M32" s="22">
        <f t="shared" si="5"/>
        <v>899703</v>
      </c>
      <c r="N32" s="19" t="s">
        <v>91</v>
      </c>
      <c r="O32" s="4">
        <f t="shared" si="6"/>
        <v>685.12276647347221</v>
      </c>
      <c r="P32" s="13">
        <f>'2010-10'!P32</f>
        <v>446087</v>
      </c>
      <c r="Q32" s="22">
        <f t="shared" si="7"/>
        <v>10028764.798220573</v>
      </c>
      <c r="R32" s="13">
        <f t="shared" si="8"/>
        <v>446087</v>
      </c>
      <c r="W32" s="18">
        <f t="shared" si="10"/>
        <v>0.49581584144990065</v>
      </c>
    </row>
    <row r="33" spans="1:23">
      <c r="A33" s="18" t="s">
        <v>64</v>
      </c>
      <c r="B33" s="4">
        <f>'2010-10'!B33</f>
        <v>60.636060061572778</v>
      </c>
      <c r="C33" s="4">
        <f>'2010-10'!C33</f>
        <v>75.646262173189555</v>
      </c>
      <c r="D33" s="16">
        <f t="shared" si="9"/>
        <v>100861.68289758607</v>
      </c>
      <c r="E33" s="4">
        <f>'Interval Circuities'!I33</f>
        <v>1.2046254703094295</v>
      </c>
      <c r="F33" s="4">
        <f t="shared" si="0"/>
        <v>50.336026886429131</v>
      </c>
      <c r="G33" s="4">
        <f t="shared" si="1"/>
        <v>67.114702515238832</v>
      </c>
      <c r="H33" s="4">
        <f t="shared" si="2"/>
        <v>14150.937464468807</v>
      </c>
      <c r="I33" s="4">
        <f t="shared" si="3"/>
        <v>2053.6406982836411</v>
      </c>
      <c r="J33" s="33">
        <f>'2010-10'!J33</f>
        <v>8935.9813599999998</v>
      </c>
      <c r="K33" s="33">
        <f>'2010-10'!K33</f>
        <v>18351295</v>
      </c>
      <c r="L33" s="22">
        <f t="shared" si="4"/>
        <v>29060941.095899858</v>
      </c>
      <c r="M33" s="22">
        <f t="shared" si="5"/>
        <v>18351295</v>
      </c>
      <c r="N33" s="19" t="s">
        <v>91</v>
      </c>
      <c r="O33" s="4">
        <f t="shared" si="6"/>
        <v>813.93354652208006</v>
      </c>
      <c r="P33" s="13">
        <f>'2010-10'!P33</f>
        <v>7273295</v>
      </c>
      <c r="Q33" s="22">
        <f t="shared" si="7"/>
        <v>11517922.717067268</v>
      </c>
      <c r="R33" s="13">
        <f t="shared" si="8"/>
        <v>7273295</v>
      </c>
      <c r="W33" s="18">
        <f t="shared" si="10"/>
        <v>0.39633687976788562</v>
      </c>
    </row>
    <row r="34" spans="1:23">
      <c r="A34" s="18" t="s">
        <v>65</v>
      </c>
      <c r="B34" s="4">
        <f>'2010-10'!B34</f>
        <v>62.746727907823015</v>
      </c>
      <c r="C34" s="4">
        <f>'2010-10'!C34</f>
        <v>70.343795554466837</v>
      </c>
      <c r="D34" s="16">
        <f t="shared" si="9"/>
        <v>93791.727405955782</v>
      </c>
      <c r="E34" s="4">
        <f>'Interval Circuities'!I34</f>
        <v>1.2226100071300814</v>
      </c>
      <c r="F34" s="4">
        <f t="shared" si="0"/>
        <v>51.32194857059352</v>
      </c>
      <c r="G34" s="4">
        <f t="shared" si="1"/>
        <v>68.429264760791355</v>
      </c>
      <c r="H34" s="4">
        <f t="shared" si="2"/>
        <v>14710.709528508927</v>
      </c>
      <c r="I34" s="4">
        <f t="shared" si="3"/>
        <v>810.03967977262835</v>
      </c>
      <c r="J34" s="33">
        <f>'2010-10'!J34</f>
        <v>1063.53432</v>
      </c>
      <c r="K34" s="33">
        <f>'2010-10'!K34</f>
        <v>861505</v>
      </c>
      <c r="L34" s="22">
        <f t="shared" si="4"/>
        <v>11916258.435701523</v>
      </c>
      <c r="M34" s="22">
        <f t="shared" si="5"/>
        <v>861505</v>
      </c>
      <c r="N34" s="19" t="s">
        <v>91</v>
      </c>
      <c r="O34" s="4">
        <f t="shared" si="6"/>
        <v>425.70699552037024</v>
      </c>
      <c r="P34" s="13">
        <f>'2010-10'!P34</f>
        <v>452754</v>
      </c>
      <c r="Q34" s="22">
        <f t="shared" si="7"/>
        <v>6262451.9553544177</v>
      </c>
      <c r="R34" s="13">
        <f t="shared" si="8"/>
        <v>452754</v>
      </c>
      <c r="W34" s="18">
        <f t="shared" si="10"/>
        <v>0.52553844725219245</v>
      </c>
    </row>
    <row r="35" spans="1:23">
      <c r="A35" s="18" t="s">
        <v>48</v>
      </c>
      <c r="B35" s="4">
        <f>'2010-10'!B35</f>
        <v>63.67703994300269</v>
      </c>
      <c r="C35" s="4">
        <f>'2010-10'!C35</f>
        <v>76.278541762827089</v>
      </c>
      <c r="D35" s="16">
        <f t="shared" si="9"/>
        <v>101704.72235043612</v>
      </c>
      <c r="E35" s="4">
        <f>'Interval Circuities'!I35</f>
        <v>1.2938955646318264</v>
      </c>
      <c r="F35" s="4">
        <f t="shared" si="0"/>
        <v>49.213430885453086</v>
      </c>
      <c r="G35" s="4">
        <f t="shared" si="1"/>
        <v>65.617907847270772</v>
      </c>
      <c r="H35" s="4">
        <f t="shared" si="2"/>
        <v>13526.786371211927</v>
      </c>
      <c r="I35" s="4">
        <f t="shared" si="3"/>
        <v>975.7775860793671</v>
      </c>
      <c r="J35" s="33">
        <f>'2010-10'!J35</f>
        <v>1548.012602</v>
      </c>
      <c r="K35" s="33">
        <f>'2010-10'!K35</f>
        <v>1510516</v>
      </c>
      <c r="L35" s="22">
        <f t="shared" si="4"/>
        <v>13199134.952712456</v>
      </c>
      <c r="M35" s="22">
        <f t="shared" si="5"/>
        <v>1510516</v>
      </c>
      <c r="N35" s="19" t="s">
        <v>91</v>
      </c>
      <c r="O35" s="4">
        <f t="shared" si="6"/>
        <v>552.87922003622032</v>
      </c>
      <c r="P35" s="13">
        <f>'2010-10'!P35</f>
        <v>855864</v>
      </c>
      <c r="Q35" s="22">
        <f t="shared" si="7"/>
        <v>7478679.0985122249</v>
      </c>
      <c r="R35" s="13">
        <f t="shared" si="8"/>
        <v>855864</v>
      </c>
      <c r="W35" s="18">
        <f t="shared" si="10"/>
        <v>0.56660373011606624</v>
      </c>
    </row>
    <row r="36" spans="1:23">
      <c r="A36" s="18" t="s">
        <v>66</v>
      </c>
      <c r="B36" s="4">
        <f>'2010-10'!B36</f>
        <v>57.583198277252201</v>
      </c>
      <c r="C36" s="4">
        <f>'2010-10'!C36</f>
        <v>70.0901022214275</v>
      </c>
      <c r="D36" s="16">
        <f t="shared" si="9"/>
        <v>93453.46962856999</v>
      </c>
      <c r="E36" s="4">
        <f>'Interval Circuities'!I36</f>
        <v>1.153822612145486</v>
      </c>
      <c r="F36" s="4">
        <f t="shared" si="0"/>
        <v>49.906456738769052</v>
      </c>
      <c r="G36" s="4">
        <f t="shared" si="1"/>
        <v>66.541942318358736</v>
      </c>
      <c r="H36" s="4">
        <f t="shared" si="2"/>
        <v>13910.438474233164</v>
      </c>
      <c r="I36" s="4">
        <f t="shared" si="3"/>
        <v>1060.3784681288619</v>
      </c>
      <c r="J36" s="33">
        <f>'2010-10'!J36</f>
        <v>5131.7215159999996</v>
      </c>
      <c r="K36" s="33">
        <f>'2010-10'!K36</f>
        <v>5441567</v>
      </c>
      <c r="L36" s="22">
        <f t="shared" si="4"/>
        <v>14750329.440308144</v>
      </c>
      <c r="M36" s="22">
        <f t="shared" si="5"/>
        <v>5441567</v>
      </c>
      <c r="N36" s="19" t="s">
        <v>91</v>
      </c>
      <c r="O36" s="4">
        <f t="shared" si="6"/>
        <v>471.88667437424527</v>
      </c>
      <c r="P36" s="13">
        <f>'2010-10'!P36</f>
        <v>2421591</v>
      </c>
      <c r="Q36" s="22">
        <f t="shared" si="7"/>
        <v>6564150.5506934384</v>
      </c>
      <c r="R36" s="13">
        <f t="shared" si="8"/>
        <v>2421591</v>
      </c>
      <c r="W36" s="18">
        <f t="shared" si="10"/>
        <v>0.44501721654810095</v>
      </c>
    </row>
    <row r="37" spans="1:23">
      <c r="A37" s="18" t="s">
        <v>49</v>
      </c>
      <c r="B37" s="4">
        <f>'2010-10'!B37</f>
        <v>65.523113774601583</v>
      </c>
      <c r="C37" s="4">
        <f>'2010-10'!C37</f>
        <v>75.058272553254923</v>
      </c>
      <c r="D37" s="16">
        <f t="shared" si="9"/>
        <v>100077.69673767322</v>
      </c>
      <c r="E37" s="4">
        <f>'Interval Circuities'!I37</f>
        <v>1.2585556789471462</v>
      </c>
      <c r="F37" s="4">
        <f t="shared" si="0"/>
        <v>52.062149391289083</v>
      </c>
      <c r="G37" s="4">
        <f t="shared" si="1"/>
        <v>69.416199188385434</v>
      </c>
      <c r="H37" s="4">
        <f t="shared" si="2"/>
        <v>15138.105723110843</v>
      </c>
      <c r="I37" s="4">
        <f t="shared" si="3"/>
        <v>1222.0875996258867</v>
      </c>
      <c r="J37" s="33">
        <f>'2010-10'!J37</f>
        <v>2969.6021799999999</v>
      </c>
      <c r="K37" s="33">
        <f>'2010-10'!K37</f>
        <v>3629114</v>
      </c>
      <c r="L37" s="22">
        <f t="shared" si="4"/>
        <v>18500091.286039427</v>
      </c>
      <c r="M37" s="22">
        <f t="shared" si="5"/>
        <v>3629114</v>
      </c>
      <c r="N37" s="19" t="s">
        <v>91</v>
      </c>
      <c r="O37" s="4">
        <f t="shared" si="6"/>
        <v>489.41201949144585</v>
      </c>
      <c r="P37" s="13">
        <f>'2010-10'!P37</f>
        <v>1453359</v>
      </c>
      <c r="Q37" s="22">
        <f t="shared" si="7"/>
        <v>7408770.8932226915</v>
      </c>
      <c r="R37" s="13">
        <f t="shared" si="8"/>
        <v>1453359</v>
      </c>
      <c r="W37" s="18">
        <f t="shared" si="10"/>
        <v>0.40047212625450729</v>
      </c>
    </row>
    <row r="38" spans="1:23">
      <c r="A38" s="18" t="s">
        <v>50</v>
      </c>
      <c r="B38" s="4">
        <f>'2010-10'!B38</f>
        <v>59.807444822625882</v>
      </c>
      <c r="C38" s="4">
        <f>'2010-10'!C38</f>
        <v>71.241563498997948</v>
      </c>
      <c r="D38" s="16">
        <f t="shared" si="9"/>
        <v>94988.751331997264</v>
      </c>
      <c r="E38" s="4">
        <f>'Interval Circuities'!I38</f>
        <v>1.238920592591702</v>
      </c>
      <c r="F38" s="4">
        <f t="shared" si="0"/>
        <v>48.273832221574828</v>
      </c>
      <c r="G38" s="4">
        <f t="shared" si="1"/>
        <v>64.365109628766433</v>
      </c>
      <c r="H38" s="4">
        <f t="shared" si="2"/>
        <v>13015.201592359743</v>
      </c>
      <c r="I38" s="4">
        <f t="shared" si="3"/>
        <v>739.57535155262258</v>
      </c>
      <c r="J38" s="33">
        <f>'2010-10'!J38</f>
        <v>2344.389921</v>
      </c>
      <c r="K38" s="33">
        <f>'2010-10'!K38</f>
        <v>1733853</v>
      </c>
      <c r="L38" s="22">
        <f t="shared" si="4"/>
        <v>9625722.2931977101</v>
      </c>
      <c r="M38" s="22">
        <f t="shared" si="5"/>
        <v>1733853</v>
      </c>
      <c r="N38" s="19" t="s">
        <v>91</v>
      </c>
      <c r="O38" s="4">
        <f t="shared" si="6"/>
        <v>439.74681462555225</v>
      </c>
      <c r="P38" s="13">
        <f>'2010-10'!P38</f>
        <v>1030938</v>
      </c>
      <c r="Q38" s="22">
        <f t="shared" si="7"/>
        <v>5723393.4419496125</v>
      </c>
      <c r="R38" s="13">
        <f t="shared" si="8"/>
        <v>1030938</v>
      </c>
      <c r="W38" s="18">
        <f t="shared" si="10"/>
        <v>0.59459365932406039</v>
      </c>
    </row>
    <row r="39" spans="1:23">
      <c r="A39" s="18" t="s">
        <v>51</v>
      </c>
      <c r="B39" s="4">
        <f>'2010-10'!B39</f>
        <v>58.331030650507813</v>
      </c>
      <c r="C39" s="4">
        <f>'2010-10'!C39</f>
        <v>69.29589065244727</v>
      </c>
      <c r="D39" s="16">
        <f t="shared" si="9"/>
        <v>92394.520869929693</v>
      </c>
      <c r="E39" s="4">
        <f>'Interval Circuities'!I39</f>
        <v>1.4293416108501145</v>
      </c>
      <c r="F39" s="4">
        <f t="shared" si="0"/>
        <v>40.809719809258809</v>
      </c>
      <c r="G39" s="4">
        <f t="shared" si="1"/>
        <v>54.412959745678407</v>
      </c>
      <c r="H39" s="4">
        <f t="shared" si="2"/>
        <v>9301.5338724832545</v>
      </c>
      <c r="I39" s="4">
        <f t="shared" si="3"/>
        <v>1362.0759506608479</v>
      </c>
      <c r="J39" s="33">
        <f>'2010-10'!J39</f>
        <v>1358.1459970000001</v>
      </c>
      <c r="K39" s="33">
        <f>'2010-10'!K39</f>
        <v>1849898</v>
      </c>
      <c r="L39" s="22">
        <f t="shared" si="4"/>
        <v>12669395.591966707</v>
      </c>
      <c r="M39" s="22">
        <f t="shared" si="5"/>
        <v>1849898</v>
      </c>
      <c r="N39" s="19" t="s">
        <v>91</v>
      </c>
      <c r="O39" s="4">
        <f t="shared" si="6"/>
        <v>641.16376436958274</v>
      </c>
      <c r="P39" s="13">
        <f>'2010-10'!P39</f>
        <v>870794</v>
      </c>
      <c r="Q39" s="22">
        <f t="shared" si="7"/>
        <v>5963806.4720925456</v>
      </c>
      <c r="R39" s="13">
        <f t="shared" si="8"/>
        <v>870794</v>
      </c>
      <c r="W39" s="18">
        <f t="shared" si="10"/>
        <v>0.47072541296871501</v>
      </c>
    </row>
    <row r="40" spans="1:23">
      <c r="A40" s="18" t="s">
        <v>52</v>
      </c>
      <c r="B40" s="4">
        <f>'2010-10'!B40</f>
        <v>61.333480923569354</v>
      </c>
      <c r="C40" s="4">
        <f>'2010-10'!C40</f>
        <v>68.947108687192596</v>
      </c>
      <c r="D40" s="16">
        <f t="shared" si="9"/>
        <v>91929.478249590116</v>
      </c>
      <c r="E40" s="4">
        <f>'Interval Circuities'!I40</f>
        <v>1.2391867314568445</v>
      </c>
      <c r="F40" s="4">
        <f t="shared" si="0"/>
        <v>49.494946456909616</v>
      </c>
      <c r="G40" s="4">
        <f t="shared" si="1"/>
        <v>65.993261942546155</v>
      </c>
      <c r="H40" s="4">
        <f t="shared" si="2"/>
        <v>13681.983535072768</v>
      </c>
      <c r="I40" s="4">
        <f t="shared" si="3"/>
        <v>843.65595688883184</v>
      </c>
      <c r="J40" s="33">
        <f>'2010-10'!J40</f>
        <v>1411.6607489999999</v>
      </c>
      <c r="K40" s="33">
        <f>'2010-10'!K40</f>
        <v>1190956</v>
      </c>
      <c r="L40" s="22">
        <f t="shared" si="4"/>
        <v>11542886.911419058</v>
      </c>
      <c r="M40" s="22">
        <f t="shared" si="5"/>
        <v>1190956</v>
      </c>
      <c r="N40" s="19" t="s">
        <v>91</v>
      </c>
      <c r="O40" s="4">
        <f t="shared" si="6"/>
        <v>418.3023438303448</v>
      </c>
      <c r="P40" s="13">
        <f>'2010-10'!P40</f>
        <v>590501</v>
      </c>
      <c r="Q40" s="22">
        <f t="shared" si="7"/>
        <v>5723205.7809691252</v>
      </c>
      <c r="R40" s="13">
        <f t="shared" si="8"/>
        <v>590501</v>
      </c>
      <c r="W40" s="18">
        <f t="shared" si="10"/>
        <v>0.49582100430242598</v>
      </c>
    </row>
    <row r="41" spans="1:23">
      <c r="A41" s="18" t="s">
        <v>53</v>
      </c>
      <c r="B41" s="4">
        <f>'2010-10'!B41</f>
        <v>70.888143113567551</v>
      </c>
      <c r="C41" s="4">
        <f>'2010-10'!C41</f>
        <v>80.329607978863407</v>
      </c>
      <c r="D41" s="16">
        <f t="shared" si="9"/>
        <v>107106.14397181787</v>
      </c>
      <c r="E41" s="4">
        <f>'Interval Circuities'!I41</f>
        <v>1.188697239807107</v>
      </c>
      <c r="F41" s="4">
        <f t="shared" si="0"/>
        <v>59.635154133167468</v>
      </c>
      <c r="G41" s="4">
        <f t="shared" si="1"/>
        <v>79.513538844223291</v>
      </c>
      <c r="H41" s="4">
        <f t="shared" si="2"/>
        <v>19862.414376540222</v>
      </c>
      <c r="I41" s="4">
        <f t="shared" si="3"/>
        <v>659.39427440794395</v>
      </c>
      <c r="J41" s="33">
        <f>'2010-10'!J41</f>
        <v>1341.975559</v>
      </c>
      <c r="K41" s="33">
        <f>'2010-10'!K41</f>
        <v>884891</v>
      </c>
      <c r="L41" s="22">
        <f t="shared" si="4"/>
        <v>13097162.315808654</v>
      </c>
      <c r="M41" s="22">
        <f t="shared" si="5"/>
        <v>884891</v>
      </c>
      <c r="N41" s="19" t="s">
        <v>91</v>
      </c>
      <c r="O41" s="4">
        <f t="shared" si="6"/>
        <v>305.97949213469991</v>
      </c>
      <c r="P41" s="13">
        <f>'2010-10'!P41</f>
        <v>410617</v>
      </c>
      <c r="Q41" s="22">
        <f t="shared" si="7"/>
        <v>6077491.4635027396</v>
      </c>
      <c r="R41" s="13">
        <f t="shared" si="8"/>
        <v>410617</v>
      </c>
      <c r="W41" s="18">
        <f t="shared" si="10"/>
        <v>0.46403116316020848</v>
      </c>
    </row>
    <row r="42" spans="1:23">
      <c r="A42" s="18" t="s">
        <v>81</v>
      </c>
      <c r="B42" s="4">
        <f>'2010-10'!B42</f>
        <v>64.044695759894694</v>
      </c>
      <c r="C42" s="4">
        <f>'2010-10'!C42</f>
        <v>72.196124164991133</v>
      </c>
      <c r="D42" s="16">
        <f t="shared" si="9"/>
        <v>96261.498886654837</v>
      </c>
      <c r="E42" s="4">
        <f>'Interval Circuities'!I42</f>
        <v>1.1972716138765835</v>
      </c>
      <c r="F42" s="4">
        <f t="shared" si="0"/>
        <v>53.492202619360285</v>
      </c>
      <c r="G42" s="4">
        <f t="shared" si="1"/>
        <v>71.322936825813713</v>
      </c>
      <c r="H42" s="4">
        <f t="shared" si="2"/>
        <v>15981.160304024694</v>
      </c>
      <c r="I42" s="4">
        <f t="shared" si="3"/>
        <v>857.44540355569529</v>
      </c>
      <c r="J42" s="33">
        <f>'2010-10'!J42</f>
        <v>840.37070700000004</v>
      </c>
      <c r="K42" s="33">
        <f>'2010-10'!K42</f>
        <v>720572</v>
      </c>
      <c r="L42" s="22">
        <f t="shared" si="4"/>
        <v>13702972.446172712</v>
      </c>
      <c r="M42" s="22">
        <f t="shared" si="5"/>
        <v>720572</v>
      </c>
      <c r="N42" s="19" t="s">
        <v>91</v>
      </c>
      <c r="O42" s="4">
        <f t="shared" si="6"/>
        <v>493.93082902876574</v>
      </c>
      <c r="P42" s="13">
        <f>'2010-10'!P42</f>
        <v>415085</v>
      </c>
      <c r="Q42" s="22">
        <f t="shared" si="7"/>
        <v>7893587.7578085186</v>
      </c>
      <c r="R42" s="13">
        <f t="shared" si="8"/>
        <v>415085</v>
      </c>
      <c r="W42" s="18">
        <f t="shared" si="10"/>
        <v>0.57604930527414322</v>
      </c>
    </row>
    <row r="43" spans="1:23">
      <c r="A43" s="18" t="s">
        <v>54</v>
      </c>
      <c r="B43" s="4">
        <f>'2010-10'!B43</f>
        <v>69.851259887217722</v>
      </c>
      <c r="C43" s="4">
        <f>'2010-10'!C43</f>
        <v>81.455388016103115</v>
      </c>
      <c r="D43" s="16">
        <f t="shared" si="9"/>
        <v>108607.18402147082</v>
      </c>
      <c r="E43" s="4">
        <f>'Interval Circuities'!I43</f>
        <v>1.3968817478060891</v>
      </c>
      <c r="F43" s="4">
        <f t="shared" si="0"/>
        <v>50.00513464860181</v>
      </c>
      <c r="G43" s="4">
        <f t="shared" si="1"/>
        <v>66.673512864802404</v>
      </c>
      <c r="H43" s="4">
        <f t="shared" si="2"/>
        <v>13965.501891971531</v>
      </c>
      <c r="I43" s="4">
        <f t="shared" si="3"/>
        <v>1413.0147860308737</v>
      </c>
      <c r="J43" s="33">
        <f>'2010-10'!J43</f>
        <v>1219.8272919999999</v>
      </c>
      <c r="K43" s="33">
        <f>'2010-10'!K43</f>
        <v>1723634</v>
      </c>
      <c r="L43" s="22">
        <f t="shared" si="4"/>
        <v>19733460.667697914</v>
      </c>
      <c r="M43" s="22">
        <f t="shared" si="5"/>
        <v>1723634</v>
      </c>
      <c r="N43" s="19" t="s">
        <v>91</v>
      </c>
      <c r="O43" s="4">
        <f t="shared" si="6"/>
        <v>509.14420760475986</v>
      </c>
      <c r="P43" s="13">
        <f>'2010-10'!P43</f>
        <v>621068</v>
      </c>
      <c r="Q43" s="22">
        <f t="shared" si="7"/>
        <v>7110454.39459062</v>
      </c>
      <c r="R43" s="13">
        <f t="shared" si="8"/>
        <v>621068</v>
      </c>
      <c r="W43" s="18">
        <f t="shared" si="10"/>
        <v>0.36032475571960176</v>
      </c>
    </row>
    <row r="44" spans="1:23">
      <c r="A44" s="18" t="s">
        <v>55</v>
      </c>
      <c r="B44" s="4">
        <f>'2010-10'!B44</f>
        <v>64.533357950473999</v>
      </c>
      <c r="C44" s="4">
        <f>'2010-10'!C44</f>
        <v>73.630820924041743</v>
      </c>
      <c r="D44" s="16">
        <f t="shared" si="9"/>
        <v>98174.427898722308</v>
      </c>
      <c r="E44" s="4">
        <f>'Interval Circuities'!I44</f>
        <v>1.3909277673330938</v>
      </c>
      <c r="F44" s="4">
        <f t="shared" si="0"/>
        <v>46.395908879012126</v>
      </c>
      <c r="G44" s="4">
        <f t="shared" si="1"/>
        <v>61.861211838682834</v>
      </c>
      <c r="H44" s="4">
        <f t="shared" si="2"/>
        <v>12022.276706607883</v>
      </c>
      <c r="I44" s="4">
        <f t="shared" si="3"/>
        <v>1418.9468389746553</v>
      </c>
      <c r="J44" s="33">
        <f>'2010-10'!J44</f>
        <v>719.71900000000005</v>
      </c>
      <c r="K44" s="33">
        <f>'2010-10'!K44</f>
        <v>1021243</v>
      </c>
      <c r="L44" s="22">
        <f t="shared" si="4"/>
        <v>17058971.530119885</v>
      </c>
      <c r="M44" s="22">
        <f t="shared" si="5"/>
        <v>1021243</v>
      </c>
      <c r="N44" s="19" t="s">
        <v>91</v>
      </c>
      <c r="O44" s="4">
        <f t="shared" si="6"/>
        <v>731.05892716462949</v>
      </c>
      <c r="P44" s="13">
        <f>'2010-10'!P44</f>
        <v>526157</v>
      </c>
      <c r="Q44" s="22">
        <f t="shared" si="7"/>
        <v>8788992.7112090737</v>
      </c>
      <c r="R44" s="13">
        <f t="shared" si="8"/>
        <v>526157</v>
      </c>
      <c r="W44" s="18">
        <f t="shared" si="10"/>
        <v>0.51521234417273853</v>
      </c>
    </row>
    <row r="45" spans="1:23">
      <c r="A45" s="18" t="s">
        <v>67</v>
      </c>
      <c r="B45" s="4">
        <f>'2010-10'!B45</f>
        <v>70.329269785649885</v>
      </c>
      <c r="C45" s="4">
        <f>'2010-10'!C45</f>
        <v>78.441220996603292</v>
      </c>
      <c r="D45" s="16">
        <f t="shared" si="9"/>
        <v>104588.29466213772</v>
      </c>
      <c r="E45" s="4">
        <f>'Interval Circuities'!I45</f>
        <v>1.2555532060267511</v>
      </c>
      <c r="F45" s="4">
        <f t="shared" si="0"/>
        <v>56.014567481540432</v>
      </c>
      <c r="G45" s="4">
        <f t="shared" si="1"/>
        <v>74.686089975387233</v>
      </c>
      <c r="H45" s="4">
        <f t="shared" si="2"/>
        <v>17523.841633341286</v>
      </c>
      <c r="I45" s="4">
        <f t="shared" si="3"/>
        <v>1136.9073371227814</v>
      </c>
      <c r="J45" s="33">
        <f>'2010-10'!J45</f>
        <v>1546.484874</v>
      </c>
      <c r="K45" s="33">
        <f>'2010-10'!K45</f>
        <v>1758210</v>
      </c>
      <c r="L45" s="22">
        <f t="shared" si="4"/>
        <v>19922984.127523374</v>
      </c>
      <c r="M45" s="22">
        <f t="shared" si="5"/>
        <v>1758210</v>
      </c>
      <c r="N45" s="19" t="s">
        <v>91</v>
      </c>
      <c r="O45" s="4">
        <f t="shared" si="6"/>
        <v>464.39186834232174</v>
      </c>
      <c r="P45" s="13">
        <f>'2010-10'!P45</f>
        <v>718175</v>
      </c>
      <c r="Q45" s="22">
        <f t="shared" si="7"/>
        <v>8137929.5566423228</v>
      </c>
      <c r="R45" s="13">
        <f t="shared" si="8"/>
        <v>718175</v>
      </c>
      <c r="W45" s="18">
        <f t="shared" si="10"/>
        <v>0.40846940922870417</v>
      </c>
    </row>
    <row r="46" spans="1:23">
      <c r="A46" s="18" t="s">
        <v>68</v>
      </c>
      <c r="B46" s="4">
        <f>'2010-10'!B46</f>
        <v>74.208902356796543</v>
      </c>
      <c r="C46" s="4">
        <f>'2010-10'!C46</f>
        <v>85.358369483865644</v>
      </c>
      <c r="D46" s="16">
        <f t="shared" si="9"/>
        <v>113811.15931182085</v>
      </c>
      <c r="E46" s="4">
        <f>'Interval Circuities'!I46</f>
        <v>1.3873822171543784</v>
      </c>
      <c r="F46" s="4">
        <f t="shared" si="0"/>
        <v>53.488434145425614</v>
      </c>
      <c r="G46" s="4">
        <f t="shared" si="1"/>
        <v>71.31791219390081</v>
      </c>
      <c r="H46" s="4">
        <f t="shared" si="2"/>
        <v>15978.908668768681</v>
      </c>
      <c r="I46" s="4">
        <f t="shared" si="3"/>
        <v>1558.6954968295993</v>
      </c>
      <c r="J46" s="33">
        <f>'2010-10'!J46</f>
        <v>1896.936256</v>
      </c>
      <c r="K46" s="33">
        <f>'2010-10'!K46</f>
        <v>2956746</v>
      </c>
      <c r="L46" s="22">
        <f t="shared" si="4"/>
        <v>24906252.986261189</v>
      </c>
      <c r="M46" s="22">
        <f t="shared" si="5"/>
        <v>2956746</v>
      </c>
      <c r="N46" s="19" t="s">
        <v>91</v>
      </c>
      <c r="O46" s="4">
        <f t="shared" si="6"/>
        <v>580.58039457916288</v>
      </c>
      <c r="P46" s="13">
        <f>'2010-10'!P46</f>
        <v>1101324</v>
      </c>
      <c r="Q46" s="22">
        <f t="shared" si="7"/>
        <v>9277041.0998581275</v>
      </c>
      <c r="R46" s="13">
        <f t="shared" si="8"/>
        <v>1101324</v>
      </c>
      <c r="W46" s="18">
        <f t="shared" si="10"/>
        <v>0.37247839347715361</v>
      </c>
    </row>
    <row r="47" spans="1:23" ht="16">
      <c r="A47" s="18" t="s">
        <v>113</v>
      </c>
      <c r="B47" s="4">
        <f>'2010-10'!B47</f>
        <v>72.542200404561456</v>
      </c>
      <c r="C47" s="4">
        <f>'2010-10'!C47</f>
        <v>85.183417252245661</v>
      </c>
      <c r="D47" s="16">
        <f t="shared" si="9"/>
        <v>113577.88966966087</v>
      </c>
      <c r="E47" s="4">
        <f>'Interval Circuities'!I47</f>
        <v>1.3779719461955984</v>
      </c>
      <c r="F47" s="4">
        <f t="shared" si="0"/>
        <v>52.644177992767595</v>
      </c>
      <c r="G47" s="4">
        <f t="shared" si="1"/>
        <v>70.192237323690122</v>
      </c>
      <c r="H47" s="4">
        <f t="shared" si="2"/>
        <v>15478.470491678157</v>
      </c>
      <c r="I47" s="4">
        <f t="shared" si="3"/>
        <v>2419.4675820015173</v>
      </c>
      <c r="J47" s="33">
        <f>'2010-10'!J47</f>
        <v>1356.1710949999999</v>
      </c>
      <c r="K47" s="33">
        <f>'2010-10'!K47</f>
        <v>3281212</v>
      </c>
      <c r="L47" s="22">
        <f t="shared" si="4"/>
        <v>37449657.573582388</v>
      </c>
      <c r="M47" s="22">
        <f t="shared" si="5"/>
        <v>3281212</v>
      </c>
      <c r="N47" s="19" t="s">
        <v>91</v>
      </c>
      <c r="O47" s="4">
        <f t="shared" si="6"/>
        <v>1303.5176804148005</v>
      </c>
      <c r="P47" s="13">
        <f>'2010-10'!P47</f>
        <v>1767793</v>
      </c>
      <c r="Q47" s="22">
        <f t="shared" si="7"/>
        <v>20176459.951681249</v>
      </c>
      <c r="R47" s="13">
        <f t="shared" si="8"/>
        <v>1767793</v>
      </c>
      <c r="W47" s="18">
        <f t="shared" si="10"/>
        <v>0.53876220128415964</v>
      </c>
    </row>
    <row r="48" spans="1:23" ht="16">
      <c r="A48" s="18" t="s">
        <v>71</v>
      </c>
      <c r="B48" s="4">
        <f>'2010-10'!B48</f>
        <v>67.913980035971221</v>
      </c>
      <c r="C48" s="4">
        <f>'2010-10'!C48</f>
        <v>78.194542652624932</v>
      </c>
      <c r="D48" s="16">
        <f t="shared" si="9"/>
        <v>104259.3902034999</v>
      </c>
      <c r="E48" s="4">
        <f>'Interval Circuities'!I48</f>
        <v>1.3695757394795991</v>
      </c>
      <c r="F48" s="4">
        <f t="shared" si="0"/>
        <v>49.587604451709005</v>
      </c>
      <c r="G48" s="4">
        <f t="shared" si="1"/>
        <v>66.116805935612007</v>
      </c>
      <c r="H48" s="4">
        <f t="shared" si="2"/>
        <v>13733.258742090511</v>
      </c>
      <c r="I48" s="4">
        <f t="shared" si="3"/>
        <v>2247.211920874815</v>
      </c>
      <c r="J48" s="33">
        <f>'2010-10'!J48</f>
        <v>740.69382800000005</v>
      </c>
      <c r="K48" s="33">
        <f>'2010-10'!K48</f>
        <v>1664496</v>
      </c>
      <c r="L48" s="22">
        <f t="shared" si="4"/>
        <v>30861542.757684063</v>
      </c>
      <c r="M48" s="22">
        <f t="shared" si="5"/>
        <v>1664496</v>
      </c>
      <c r="N48" s="19" t="s">
        <v>91</v>
      </c>
      <c r="O48" s="4">
        <f t="shared" si="6"/>
        <v>1157.0664795656971</v>
      </c>
      <c r="P48" s="13">
        <f>'2010-10'!P48</f>
        <v>857032</v>
      </c>
      <c r="Q48" s="22">
        <f t="shared" si="7"/>
        <v>15890293.345675502</v>
      </c>
      <c r="R48" s="13">
        <f t="shared" si="8"/>
        <v>857032</v>
      </c>
      <c r="W48" s="18">
        <f t="shared" si="10"/>
        <v>0.51488979246570743</v>
      </c>
    </row>
    <row r="49" spans="1:23">
      <c r="A49" s="18" t="s">
        <v>56</v>
      </c>
      <c r="B49" s="4">
        <f>'2010-10'!B49</f>
        <v>59.237163329958236</v>
      </c>
      <c r="C49" s="4">
        <f>'2010-10'!C49</f>
        <v>69.529876568500782</v>
      </c>
      <c r="D49" s="16">
        <f t="shared" si="9"/>
        <v>92706.502091334376</v>
      </c>
      <c r="E49" s="4">
        <f>'Interval Circuities'!I49</f>
        <v>1.3911691748531416</v>
      </c>
      <c r="F49" s="4">
        <f t="shared" si="0"/>
        <v>42.580848110159998</v>
      </c>
      <c r="G49" s="4">
        <f t="shared" si="1"/>
        <v>56.774464146879993</v>
      </c>
      <c r="H49" s="4">
        <f t="shared" si="2"/>
        <v>10126.420570249646</v>
      </c>
      <c r="I49" s="4">
        <f t="shared" si="3"/>
        <v>1169.1810890127867</v>
      </c>
      <c r="J49" s="33">
        <f>'2010-10'!J49</f>
        <v>2616.6973010000002</v>
      </c>
      <c r="K49" s="33">
        <f>'2010-10'!K49</f>
        <v>3059393</v>
      </c>
      <c r="L49" s="22">
        <f t="shared" si="4"/>
        <v>11839619.430125965</v>
      </c>
      <c r="M49" s="22">
        <f t="shared" si="5"/>
        <v>3059393</v>
      </c>
      <c r="N49" s="19" t="s">
        <v>91</v>
      </c>
      <c r="O49" s="4">
        <f t="shared" si="6"/>
        <v>548.69319406998534</v>
      </c>
      <c r="P49" s="13">
        <f>'2010-10'!P49</f>
        <v>1435764</v>
      </c>
      <c r="Q49" s="22">
        <f t="shared" si="7"/>
        <v>5556298.0471862806</v>
      </c>
      <c r="R49" s="13">
        <f t="shared" si="8"/>
        <v>1435764</v>
      </c>
      <c r="W49" s="18">
        <f t="shared" si="10"/>
        <v>0.46929701414627023</v>
      </c>
    </row>
    <row r="50" spans="1:23">
      <c r="A50" s="18" t="s">
        <v>75</v>
      </c>
      <c r="B50" s="4">
        <f>'2010-10'!B50</f>
        <v>59.396208684850201</v>
      </c>
      <c r="C50" s="4">
        <f>'2010-10'!C50</f>
        <v>72.013674499161084</v>
      </c>
      <c r="D50" s="16">
        <f t="shared" si="9"/>
        <v>96018.232665548116</v>
      </c>
      <c r="E50" s="4">
        <f>'Interval Circuities'!I50</f>
        <v>1.2273165367301029</v>
      </c>
      <c r="F50" s="4">
        <f t="shared" si="0"/>
        <v>48.395183236997255</v>
      </c>
      <c r="G50" s="4">
        <f t="shared" si="1"/>
        <v>64.526910982662997</v>
      </c>
      <c r="H50" s="4">
        <f t="shared" si="2"/>
        <v>13080.71920380255</v>
      </c>
      <c r="I50" s="4">
        <f t="shared" si="3"/>
        <v>1715.2084870415904</v>
      </c>
      <c r="J50" s="33">
        <f>'2010-10'!J50</f>
        <v>3207.994271</v>
      </c>
      <c r="K50" s="33">
        <f>'2010-10'!K50</f>
        <v>5502379</v>
      </c>
      <c r="L50" s="22">
        <f t="shared" si="4"/>
        <v>22436160.594970047</v>
      </c>
      <c r="M50" s="22">
        <f t="shared" si="5"/>
        <v>5502379</v>
      </c>
      <c r="N50" s="19" t="s">
        <v>91</v>
      </c>
      <c r="O50" s="4">
        <f t="shared" si="6"/>
        <v>567.61603861355525</v>
      </c>
      <c r="P50" s="13">
        <f>'2010-10'!P50</f>
        <v>1820909</v>
      </c>
      <c r="Q50" s="22">
        <f t="shared" si="7"/>
        <v>7424826.016678662</v>
      </c>
      <c r="R50" s="13">
        <f t="shared" si="8"/>
        <v>1820909</v>
      </c>
      <c r="W50" s="18">
        <f t="shared" si="10"/>
        <v>0.33093122084102172</v>
      </c>
    </row>
    <row r="51" spans="1:23">
      <c r="A51" s="18" t="s">
        <v>57</v>
      </c>
      <c r="B51" s="4">
        <f>'2010-10'!B51</f>
        <v>55.946693712217225</v>
      </c>
      <c r="C51" s="4">
        <f>'2010-10'!C51</f>
        <v>67.155256306515241</v>
      </c>
      <c r="D51" s="16">
        <f t="shared" si="9"/>
        <v>89540.341742020319</v>
      </c>
      <c r="E51" s="4">
        <f>'Interval Circuities'!I51</f>
        <v>1.2932002637774029</v>
      </c>
      <c r="F51" s="4">
        <f t="shared" si="0"/>
        <v>43.262204067913231</v>
      </c>
      <c r="G51" s="4">
        <f t="shared" si="1"/>
        <v>57.682938757217642</v>
      </c>
      <c r="H51" s="4">
        <f t="shared" si="2"/>
        <v>10453.088540730214</v>
      </c>
      <c r="I51" s="4">
        <f t="shared" si="3"/>
        <v>899.04720299169355</v>
      </c>
      <c r="J51" s="33">
        <f>'2010-10'!J51</f>
        <v>2392.2058740000002</v>
      </c>
      <c r="K51" s="33">
        <f>'2010-10'!K51</f>
        <v>2150706</v>
      </c>
      <c r="L51" s="22">
        <f t="shared" si="4"/>
        <v>9397820.0151680224</v>
      </c>
      <c r="M51" s="22">
        <f t="shared" si="5"/>
        <v>2150706</v>
      </c>
      <c r="N51" s="19" t="s">
        <v>91</v>
      </c>
      <c r="O51" s="4">
        <f t="shared" si="6"/>
        <v>488.93826936569087</v>
      </c>
      <c r="P51" s="13">
        <f>'2010-10'!P51</f>
        <v>1169641</v>
      </c>
      <c r="Q51" s="22">
        <f t="shared" si="7"/>
        <v>5110915.0206309659</v>
      </c>
      <c r="R51" s="13">
        <f t="shared" si="8"/>
        <v>1169641</v>
      </c>
      <c r="W51" s="18">
        <f t="shared" si="10"/>
        <v>0.5438404877282158</v>
      </c>
    </row>
    <row r="52" spans="1:23">
      <c r="A52" s="18" t="s">
        <v>70</v>
      </c>
      <c r="B52" s="4">
        <f>'2010-10'!B52</f>
        <v>65.037009428922346</v>
      </c>
      <c r="C52" s="4">
        <f>'2010-10'!C52</f>
        <v>76.223831707390744</v>
      </c>
      <c r="D52" s="16">
        <f t="shared" si="9"/>
        <v>101631.77560985432</v>
      </c>
      <c r="E52" s="4">
        <f>'Interval Circuities'!I52</f>
        <v>1.261409388199902</v>
      </c>
      <c r="F52" s="4">
        <f t="shared" si="0"/>
        <v>51.559002206043196</v>
      </c>
      <c r="G52" s="4">
        <f t="shared" si="1"/>
        <v>68.745336274724252</v>
      </c>
      <c r="H52" s="4">
        <f t="shared" si="2"/>
        <v>14846.919510367305</v>
      </c>
      <c r="I52" s="4">
        <f t="shared" si="3"/>
        <v>985.14575645956916</v>
      </c>
      <c r="J52" s="33">
        <f>'2010-10'!J52</f>
        <v>2478.5875430000001</v>
      </c>
      <c r="K52" s="33">
        <f>'2010-10'!K52</f>
        <v>2441770</v>
      </c>
      <c r="L52" s="22">
        <f t="shared" si="4"/>
        <v>14626379.752135135</v>
      </c>
      <c r="M52" s="22">
        <f t="shared" si="5"/>
        <v>2441770</v>
      </c>
      <c r="N52" s="19" t="s">
        <v>91</v>
      </c>
      <c r="O52" s="4">
        <f t="shared" si="6"/>
        <v>376.11380829892278</v>
      </c>
      <c r="P52" s="13">
        <f>'2010-10'!P52</f>
        <v>932231</v>
      </c>
      <c r="Q52" s="22">
        <f t="shared" si="7"/>
        <v>5584131.4385518245</v>
      </c>
      <c r="R52" s="13">
        <f t="shared" si="8"/>
        <v>932231</v>
      </c>
      <c r="W52" s="18">
        <f t="shared" si="10"/>
        <v>0.38178493469900932</v>
      </c>
    </row>
    <row r="53" spans="1:23" ht="16">
      <c r="A53" s="18" t="s">
        <v>116</v>
      </c>
      <c r="B53" s="4">
        <f>'2010-10'!B53</f>
        <v>60.647730141730513</v>
      </c>
      <c r="C53" s="4">
        <f>'2010-10'!C53</f>
        <v>74.545005322142316</v>
      </c>
      <c r="D53" s="16">
        <f t="shared" si="9"/>
        <v>99393.340429523072</v>
      </c>
      <c r="E53" s="4">
        <f>'Interval Circuities'!I53</f>
        <v>1.2644910226602037</v>
      </c>
      <c r="F53" s="4">
        <f t="shared" si="0"/>
        <v>47.962167429343531</v>
      </c>
      <c r="G53" s="4">
        <f t="shared" si="1"/>
        <v>63.949556572458036</v>
      </c>
      <c r="H53" s="4">
        <f t="shared" si="2"/>
        <v>12847.686997232393</v>
      </c>
      <c r="I53" s="4">
        <f t="shared" si="3"/>
        <v>1339.8831695910785</v>
      </c>
      <c r="J53" s="33">
        <f>'2010-10'!J53</f>
        <v>3423.2611499999998</v>
      </c>
      <c r="K53" s="33">
        <f>'2010-10'!K53</f>
        <v>4586770</v>
      </c>
      <c r="L53" s="22">
        <f t="shared" si="4"/>
        <v>17214399.575765826</v>
      </c>
      <c r="M53" s="22">
        <f t="shared" si="5"/>
        <v>4586770</v>
      </c>
      <c r="N53" s="19" t="s">
        <v>91</v>
      </c>
      <c r="O53" s="4">
        <f t="shared" si="6"/>
        <v>692.47740564578316</v>
      </c>
      <c r="P53" s="13">
        <f>'2010-10'!P53</f>
        <v>2370531</v>
      </c>
      <c r="Q53" s="22">
        <f t="shared" si="7"/>
        <v>8896732.9603925496</v>
      </c>
      <c r="R53" s="13">
        <f t="shared" si="8"/>
        <v>2370531</v>
      </c>
      <c r="W53" s="18">
        <f t="shared" si="10"/>
        <v>0.51681924317112038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opLeftCell="D1" workbookViewId="0">
      <selection activeCell="W1" sqref="W1:W53"/>
    </sheetView>
  </sheetViews>
  <sheetFormatPr baseColWidth="10" defaultColWidth="11.5" defaultRowHeight="14" x14ac:dyDescent="0"/>
  <cols>
    <col min="4" max="4" width="11.5" style="18"/>
  </cols>
  <sheetData>
    <row r="1" spans="1:23" ht="56">
      <c r="A1" s="18">
        <f>9/6</f>
        <v>1.5</v>
      </c>
      <c r="B1" s="1" t="s">
        <v>59</v>
      </c>
      <c r="C1" s="1" t="s">
        <v>60</v>
      </c>
      <c r="D1" s="1" t="s">
        <v>168</v>
      </c>
      <c r="E1" s="7" t="s">
        <v>90</v>
      </c>
      <c r="F1" s="1" t="s">
        <v>21</v>
      </c>
      <c r="G1" s="1" t="s">
        <v>20</v>
      </c>
      <c r="H1" s="1" t="s">
        <v>129</v>
      </c>
      <c r="I1" s="1" t="s">
        <v>25</v>
      </c>
      <c r="J1" s="8" t="s">
        <v>83</v>
      </c>
      <c r="K1" s="23" t="s">
        <v>78</v>
      </c>
      <c r="L1" s="21" t="s">
        <v>76</v>
      </c>
      <c r="M1" s="27" t="s">
        <v>103</v>
      </c>
      <c r="N1" s="19" t="s">
        <v>91</v>
      </c>
      <c r="O1" s="1" t="s">
        <v>89</v>
      </c>
      <c r="P1" s="1" t="s">
        <v>87</v>
      </c>
      <c r="Q1" s="21" t="s">
        <v>88</v>
      </c>
      <c r="R1" s="18" t="s">
        <v>102</v>
      </c>
      <c r="W1" s="18" t="s">
        <v>579</v>
      </c>
    </row>
    <row r="2" spans="1:23" ht="16">
      <c r="A2" s="18" t="s">
        <v>16</v>
      </c>
      <c r="B2" s="18" t="s">
        <v>18</v>
      </c>
      <c r="C2" s="18" t="s">
        <v>120</v>
      </c>
      <c r="E2" s="18" t="s">
        <v>114</v>
      </c>
      <c r="F2" s="18" t="s">
        <v>17</v>
      </c>
      <c r="G2" s="18" t="s">
        <v>19</v>
      </c>
      <c r="H2" s="18" t="s">
        <v>130</v>
      </c>
      <c r="I2" s="18" t="s">
        <v>24</v>
      </c>
      <c r="J2" s="9" t="s">
        <v>16</v>
      </c>
      <c r="K2" s="13" t="s">
        <v>121</v>
      </c>
      <c r="L2" s="22" t="s">
        <v>127</v>
      </c>
      <c r="M2" s="22" t="s">
        <v>122</v>
      </c>
      <c r="N2" s="19" t="s">
        <v>91</v>
      </c>
      <c r="O2" s="18" t="s">
        <v>123</v>
      </c>
      <c r="P2" s="18" t="s">
        <v>124</v>
      </c>
      <c r="Q2" s="22" t="s">
        <v>126</v>
      </c>
      <c r="R2" s="18" t="s">
        <v>125</v>
      </c>
      <c r="W2" s="18" t="s">
        <v>580</v>
      </c>
    </row>
    <row r="3" spans="1:23">
      <c r="A3" s="18" t="s">
        <v>26</v>
      </c>
      <c r="B3" s="4">
        <f>'2010-10'!B3</f>
        <v>66.682397163757059</v>
      </c>
      <c r="C3" s="4">
        <f>'2010-10'!C3</f>
        <v>79.773749080561657</v>
      </c>
      <c r="D3" s="16">
        <f>C3*$A$1*1000</f>
        <v>119660.62362084248</v>
      </c>
      <c r="E3" s="34">
        <f>'Interval Circuities'!J3</f>
        <v>1.1877771935320718</v>
      </c>
      <c r="F3" s="4">
        <f t="shared" ref="F3:F53" si="0">B3/E3</f>
        <v>56.14049295345098</v>
      </c>
      <c r="G3" s="4">
        <f t="shared" ref="G3:G53" si="1">F3*$A$1</f>
        <v>84.210739430176474</v>
      </c>
      <c r="H3" s="4">
        <f t="shared" ref="H3:H53" si="2">PI()*G3^2</f>
        <v>22278.442936209995</v>
      </c>
      <c r="I3" s="4">
        <f t="shared" ref="I3:I53" si="3">K3/J3</f>
        <v>659.04777089359266</v>
      </c>
      <c r="J3" s="33">
        <f>'2010-10'!J3</f>
        <v>6851.4289849999996</v>
      </c>
      <c r="K3" s="33">
        <f>'2010-10'!K3</f>
        <v>4515419</v>
      </c>
      <c r="L3" s="22">
        <f t="shared" ref="L3:L53" si="4">H3*I3</f>
        <v>14682558.156089302</v>
      </c>
      <c r="M3" s="22">
        <f t="shared" ref="M3:M53" si="5">MIN(K3,L3)</f>
        <v>4515419</v>
      </c>
      <c r="N3" s="19" t="s">
        <v>91</v>
      </c>
      <c r="O3" s="4">
        <f t="shared" ref="O3:O53" si="6">P3/J3</f>
        <v>292.35463206074525</v>
      </c>
      <c r="P3" s="13">
        <f>'2010-10'!P3</f>
        <v>2003047</v>
      </c>
      <c r="Q3" s="22">
        <f t="shared" ref="Q3:Q53" si="7">H3*O3</f>
        <v>6513205.9875019817</v>
      </c>
      <c r="R3" s="13">
        <f t="shared" ref="R3:R53" si="8">MIN(Q3,P3)</f>
        <v>2003047</v>
      </c>
      <c r="W3" s="18">
        <f>Q3/L3</f>
        <v>0.44360157938831374</v>
      </c>
    </row>
    <row r="4" spans="1:23">
      <c r="A4" s="18" t="s">
        <v>27</v>
      </c>
      <c r="B4" s="4">
        <f>'2010-10'!B4</f>
        <v>67.132189228567199</v>
      </c>
      <c r="C4" s="4">
        <f>'2010-10'!C4</f>
        <v>79.519027593680846</v>
      </c>
      <c r="D4" s="16">
        <f t="shared" ref="D4:D53" si="9">C4*$A$1*1000</f>
        <v>119278.54139052126</v>
      </c>
      <c r="E4" s="34">
        <f>'Interval Circuities'!J4</f>
        <v>1.2582890434326388</v>
      </c>
      <c r="F4" s="4">
        <f t="shared" si="0"/>
        <v>53.351961998674952</v>
      </c>
      <c r="G4" s="4">
        <f t="shared" si="1"/>
        <v>80.027942998012435</v>
      </c>
      <c r="H4" s="4">
        <f t="shared" si="2"/>
        <v>20120.241118729231</v>
      </c>
      <c r="I4" s="4">
        <f t="shared" si="3"/>
        <v>1005.7320851324054</v>
      </c>
      <c r="J4" s="33">
        <f>'2010-10'!J4</f>
        <v>1354.6510249999999</v>
      </c>
      <c r="K4" s="33">
        <f>'2010-10'!K4</f>
        <v>1362416</v>
      </c>
      <c r="L4" s="22">
        <f t="shared" si="4"/>
        <v>20235572.053706311</v>
      </c>
      <c r="M4" s="22">
        <f t="shared" si="5"/>
        <v>1362416</v>
      </c>
      <c r="N4" s="19" t="s">
        <v>91</v>
      </c>
      <c r="O4" s="4">
        <f t="shared" si="6"/>
        <v>472.86200517952591</v>
      </c>
      <c r="P4" s="13">
        <f>'2010-10'!P4</f>
        <v>640563</v>
      </c>
      <c r="Q4" s="22">
        <f t="shared" si="7"/>
        <v>9514097.5600978509</v>
      </c>
      <c r="R4" s="13">
        <f t="shared" si="8"/>
        <v>640563</v>
      </c>
      <c r="W4" s="18">
        <f t="shared" ref="W4:W53" si="10">Q4/L4</f>
        <v>0.47016696809197772</v>
      </c>
    </row>
    <row r="5" spans="1:23" ht="16">
      <c r="A5" s="18" t="s">
        <v>117</v>
      </c>
      <c r="B5" s="4">
        <f>'2010-10'!B5</f>
        <v>64.331330728262358</v>
      </c>
      <c r="C5" s="4">
        <f>'2010-10'!C5</f>
        <v>77.152319954484682</v>
      </c>
      <c r="D5" s="16">
        <f t="shared" si="9"/>
        <v>115728.47993172702</v>
      </c>
      <c r="E5" s="34">
        <f>'Interval Circuities'!J5</f>
        <v>1.2337415965111269</v>
      </c>
      <c r="F5" s="4">
        <f t="shared" si="0"/>
        <v>52.14327774161432</v>
      </c>
      <c r="G5" s="4">
        <f t="shared" si="1"/>
        <v>78.214916612421476</v>
      </c>
      <c r="H5" s="4">
        <f t="shared" si="2"/>
        <v>19218.922962247507</v>
      </c>
      <c r="I5" s="4">
        <f t="shared" si="3"/>
        <v>1186.6066340855928</v>
      </c>
      <c r="J5" s="33">
        <f>'2010-10'!J5</f>
        <v>1857.1133319999999</v>
      </c>
      <c r="K5" s="33">
        <f>'2010-10'!K5</f>
        <v>2203663</v>
      </c>
      <c r="L5" s="22">
        <f t="shared" si="4"/>
        <v>22805301.486982822</v>
      </c>
      <c r="M5" s="22">
        <f t="shared" si="5"/>
        <v>2203663</v>
      </c>
      <c r="N5" s="19" t="s">
        <v>91</v>
      </c>
      <c r="O5" s="4">
        <f t="shared" si="6"/>
        <v>570.56830175187179</v>
      </c>
      <c r="P5" s="13">
        <f>'2010-10'!P5</f>
        <v>1059610</v>
      </c>
      <c r="Q5" s="22">
        <f t="shared" si="7"/>
        <v>10965708.236069612</v>
      </c>
      <c r="R5" s="13">
        <f t="shared" si="8"/>
        <v>1059610</v>
      </c>
      <c r="W5" s="18">
        <f t="shared" si="10"/>
        <v>0.48084030997480109</v>
      </c>
    </row>
    <row r="6" spans="1:23">
      <c r="A6" s="18" t="s">
        <v>29</v>
      </c>
      <c r="B6" s="4">
        <f>'2010-10'!B6</f>
        <v>59.083844176305647</v>
      </c>
      <c r="C6" s="4">
        <f>'2010-10'!C6</f>
        <v>71.201949648545863</v>
      </c>
      <c r="D6" s="16">
        <f t="shared" si="9"/>
        <v>106802.92447281881</v>
      </c>
      <c r="E6" s="34">
        <f>'Interval Circuities'!J6</f>
        <v>1.1792959449191527</v>
      </c>
      <c r="F6" s="4">
        <f t="shared" si="0"/>
        <v>50.100947460101864</v>
      </c>
      <c r="G6" s="4">
        <f t="shared" si="1"/>
        <v>75.151421190152803</v>
      </c>
      <c r="H6" s="4">
        <f t="shared" si="2"/>
        <v>17742.886262850068</v>
      </c>
      <c r="I6" s="4">
        <f t="shared" si="3"/>
        <v>861.67001828332229</v>
      </c>
      <c r="J6" s="33">
        <f>'2010-10'!J6</f>
        <v>4852.2275479999998</v>
      </c>
      <c r="K6" s="33">
        <f>'2010-10'!K6</f>
        <v>4181019</v>
      </c>
      <c r="L6" s="22">
        <f t="shared" si="4"/>
        <v>15288513.130508926</v>
      </c>
      <c r="M6" s="22">
        <f t="shared" si="5"/>
        <v>4181019</v>
      </c>
      <c r="N6" s="19" t="s">
        <v>91</v>
      </c>
      <c r="O6" s="4">
        <f t="shared" si="6"/>
        <v>598.22977617701781</v>
      </c>
      <c r="P6" s="13">
        <f>'2010-10'!P6</f>
        <v>2902747</v>
      </c>
      <c r="Q6" s="22">
        <f t="shared" si="7"/>
        <v>10614322.87775908</v>
      </c>
      <c r="R6" s="13">
        <f t="shared" si="8"/>
        <v>2902747</v>
      </c>
      <c r="W6" s="18">
        <f t="shared" si="10"/>
        <v>0.6942678327938715</v>
      </c>
    </row>
    <row r="7" spans="1:23">
      <c r="A7" s="18" t="s">
        <v>30</v>
      </c>
      <c r="B7" s="4">
        <f>'2010-10'!B7</f>
        <v>61.52546201403905</v>
      </c>
      <c r="C7" s="4">
        <f>'2010-10'!C7</f>
        <v>70.650556777808134</v>
      </c>
      <c r="D7" s="16">
        <f t="shared" si="9"/>
        <v>105975.8351667122</v>
      </c>
      <c r="E7" s="34">
        <f>'Interval Circuities'!J7</f>
        <v>1.1646573299473928</v>
      </c>
      <c r="F7" s="4">
        <f t="shared" si="0"/>
        <v>52.827093800043428</v>
      </c>
      <c r="G7" s="4">
        <f t="shared" si="1"/>
        <v>79.240640700065143</v>
      </c>
      <c r="H7" s="4">
        <f t="shared" si="2"/>
        <v>19726.308892999034</v>
      </c>
      <c r="I7" s="4">
        <f t="shared" si="3"/>
        <v>951.10925507842603</v>
      </c>
      <c r="J7" s="33">
        <f>'2010-10'!J7</f>
        <v>984.01523799999995</v>
      </c>
      <c r="K7" s="33">
        <f>'2010-10'!K7</f>
        <v>935906</v>
      </c>
      <c r="L7" s="22">
        <f t="shared" si="4"/>
        <v>18761874.956667241</v>
      </c>
      <c r="M7" s="22">
        <f t="shared" si="5"/>
        <v>935906</v>
      </c>
      <c r="N7" s="19" t="s">
        <v>91</v>
      </c>
      <c r="O7" s="4">
        <f t="shared" si="6"/>
        <v>463.10664957405874</v>
      </c>
      <c r="P7" s="13">
        <f>'2010-10'!P7</f>
        <v>455704</v>
      </c>
      <c r="Q7" s="22">
        <f t="shared" si="7"/>
        <v>9135384.8198997416</v>
      </c>
      <c r="R7" s="13">
        <f t="shared" si="8"/>
        <v>455704</v>
      </c>
      <c r="W7" s="18">
        <f t="shared" si="10"/>
        <v>0.48691214716007802</v>
      </c>
    </row>
    <row r="8" spans="1:23">
      <c r="A8" s="18" t="s">
        <v>31</v>
      </c>
      <c r="B8" s="4">
        <f>'2010-10'!B8</f>
        <v>64.052681514079197</v>
      </c>
      <c r="C8" s="4">
        <f>'2010-10'!C8</f>
        <v>75.74245959811465</v>
      </c>
      <c r="D8" s="16">
        <f t="shared" si="9"/>
        <v>113613.68939717198</v>
      </c>
      <c r="E8" s="34">
        <f>'Interval Circuities'!J8</f>
        <v>1.2184606076717244</v>
      </c>
      <c r="F8" s="4">
        <f t="shared" si="0"/>
        <v>52.568528773755943</v>
      </c>
      <c r="G8" s="4">
        <f t="shared" si="1"/>
        <v>78.852793160633922</v>
      </c>
      <c r="H8" s="4">
        <f t="shared" si="2"/>
        <v>19533.678528739154</v>
      </c>
      <c r="I8" s="4">
        <f t="shared" si="3"/>
        <v>650.59688341284709</v>
      </c>
      <c r="J8" s="33">
        <f>'2010-10'!J8</f>
        <v>1920.4549420000001</v>
      </c>
      <c r="K8" s="33">
        <f>'2010-10'!K8</f>
        <v>1249442</v>
      </c>
      <c r="L8" s="22">
        <f t="shared" si="4"/>
        <v>12708550.372386143</v>
      </c>
      <c r="M8" s="22">
        <f t="shared" si="5"/>
        <v>1249442</v>
      </c>
      <c r="N8" s="19" t="s">
        <v>91</v>
      </c>
      <c r="O8" s="4">
        <f t="shared" si="6"/>
        <v>378.75608747294422</v>
      </c>
      <c r="P8" s="13">
        <f>'2010-10'!P8</f>
        <v>727384</v>
      </c>
      <c r="Q8" s="22">
        <f t="shared" si="7"/>
        <v>7398499.653499499</v>
      </c>
      <c r="R8" s="13">
        <f t="shared" si="8"/>
        <v>727384</v>
      </c>
      <c r="W8" s="18">
        <f t="shared" si="10"/>
        <v>0.58216707938423706</v>
      </c>
    </row>
    <row r="9" spans="1:23">
      <c r="A9" s="18" t="s">
        <v>32</v>
      </c>
      <c r="B9" s="4">
        <f>'2010-10'!B9</f>
        <v>62.255871883980589</v>
      </c>
      <c r="C9" s="4">
        <f>'2010-10'!C9</f>
        <v>73.232676356180107</v>
      </c>
      <c r="D9" s="16">
        <f t="shared" si="9"/>
        <v>109849.01453427017</v>
      </c>
      <c r="E9" s="34">
        <f>'Interval Circuities'!J9</f>
        <v>1.1715001469840343</v>
      </c>
      <c r="F9" s="4">
        <f t="shared" si="0"/>
        <v>53.142009451945071</v>
      </c>
      <c r="G9" s="4">
        <f t="shared" si="1"/>
        <v>79.713014177917614</v>
      </c>
      <c r="H9" s="4">
        <f t="shared" si="2"/>
        <v>19962.196919199767</v>
      </c>
      <c r="I9" s="4">
        <f t="shared" si="3"/>
        <v>1360.6187423043561</v>
      </c>
      <c r="J9" s="33">
        <f>'2010-10'!J9</f>
        <v>6326.6863320000002</v>
      </c>
      <c r="K9" s="33">
        <f>'2010-10'!K9</f>
        <v>8608208</v>
      </c>
      <c r="L9" s="22">
        <f t="shared" si="4"/>
        <v>27160939.265833478</v>
      </c>
      <c r="M9" s="22">
        <f t="shared" si="5"/>
        <v>8608208</v>
      </c>
      <c r="N9" s="19" t="s">
        <v>91</v>
      </c>
      <c r="O9" s="4">
        <f t="shared" si="6"/>
        <v>600.27821843973788</v>
      </c>
      <c r="P9" s="13">
        <f>'2010-10'!P9</f>
        <v>3797772</v>
      </c>
      <c r="Q9" s="22">
        <f t="shared" si="7"/>
        <v>11982872.002800461</v>
      </c>
      <c r="R9" s="13">
        <f t="shared" si="8"/>
        <v>3797772</v>
      </c>
      <c r="W9" s="18">
        <f t="shared" si="10"/>
        <v>0.44118032463899576</v>
      </c>
    </row>
    <row r="10" spans="1:23">
      <c r="A10" s="18" t="s">
        <v>33</v>
      </c>
      <c r="B10" s="4">
        <f>'2010-10'!B10</f>
        <v>63.816269796049951</v>
      </c>
      <c r="C10" s="4">
        <f>'2010-10'!C10</f>
        <v>74.14207195492925</v>
      </c>
      <c r="D10" s="16">
        <f t="shared" si="9"/>
        <v>111213.10793239388</v>
      </c>
      <c r="E10" s="34">
        <f>'Interval Circuities'!J10</f>
        <v>1.2779855759070877</v>
      </c>
      <c r="F10" s="4">
        <f t="shared" si="0"/>
        <v>49.935046998284378</v>
      </c>
      <c r="G10" s="4">
        <f t="shared" si="1"/>
        <v>74.902570497426566</v>
      </c>
      <c r="H10" s="4">
        <f t="shared" si="2"/>
        <v>17625.575926606751</v>
      </c>
      <c r="I10" s="4">
        <f t="shared" si="3"/>
        <v>796.39106388024629</v>
      </c>
      <c r="J10" s="33">
        <f>'2010-10'!J10</f>
        <v>2040.237609</v>
      </c>
      <c r="K10" s="33">
        <f>'2010-10'!K10</f>
        <v>1624827</v>
      </c>
      <c r="L10" s="22">
        <f t="shared" si="4"/>
        <v>14036851.163692407</v>
      </c>
      <c r="M10" s="22">
        <f t="shared" si="5"/>
        <v>1624827</v>
      </c>
      <c r="N10" s="19" t="s">
        <v>91</v>
      </c>
      <c r="O10" s="4">
        <f t="shared" si="6"/>
        <v>428.64958284375984</v>
      </c>
      <c r="P10" s="13">
        <f>'2010-10'!P10</f>
        <v>874547</v>
      </c>
      <c r="Q10" s="22">
        <f t="shared" si="7"/>
        <v>7555195.768321</v>
      </c>
      <c r="R10" s="13">
        <f t="shared" si="8"/>
        <v>874547</v>
      </c>
      <c r="W10" s="18">
        <f t="shared" si="10"/>
        <v>0.53824007109679994</v>
      </c>
    </row>
    <row r="11" spans="1:23">
      <c r="A11" s="18" t="s">
        <v>34</v>
      </c>
      <c r="B11" s="4">
        <f>'2010-10'!B11</f>
        <v>60.599390167439914</v>
      </c>
      <c r="C11" s="4">
        <f>'2010-10'!C11</f>
        <v>69.653954039848372</v>
      </c>
      <c r="D11" s="16">
        <f t="shared" si="9"/>
        <v>104480.93105977256</v>
      </c>
      <c r="E11" s="34">
        <f>'Interval Circuities'!J11</f>
        <v>1.1498564950576229</v>
      </c>
      <c r="F11" s="4">
        <f t="shared" si="0"/>
        <v>52.701698366632343</v>
      </c>
      <c r="G11" s="4">
        <f t="shared" si="1"/>
        <v>79.052547549948514</v>
      </c>
      <c r="H11" s="4">
        <f t="shared" si="2"/>
        <v>19632.771539268342</v>
      </c>
      <c r="I11" s="4">
        <f t="shared" si="3"/>
        <v>890.6045978114746</v>
      </c>
      <c r="J11" s="33">
        <f>'2010-10'!J11</f>
        <v>1999.3979420000001</v>
      </c>
      <c r="K11" s="33">
        <f>'2010-10'!K11</f>
        <v>1780673</v>
      </c>
      <c r="L11" s="22">
        <f t="shared" si="4"/>
        <v>17485036.600654647</v>
      </c>
      <c r="M11" s="22">
        <f t="shared" si="5"/>
        <v>1780673</v>
      </c>
      <c r="N11" s="19" t="s">
        <v>91</v>
      </c>
      <c r="O11" s="4">
        <f t="shared" si="6"/>
        <v>435.21001083435146</v>
      </c>
      <c r="P11" s="13">
        <f>'2010-10'!P11</f>
        <v>870158</v>
      </c>
      <c r="Q11" s="22">
        <f t="shared" si="7"/>
        <v>8544378.7143133227</v>
      </c>
      <c r="R11" s="13">
        <f t="shared" si="8"/>
        <v>870158</v>
      </c>
      <c r="W11" s="18">
        <f t="shared" si="10"/>
        <v>0.48866804854119766</v>
      </c>
    </row>
    <row r="12" spans="1:23">
      <c r="A12" s="18" t="s">
        <v>35</v>
      </c>
      <c r="B12" s="4">
        <f>'2010-10'!B12</f>
        <v>64.046411741712433</v>
      </c>
      <c r="C12" s="4">
        <f>'2010-10'!C12</f>
        <v>74.901794999095003</v>
      </c>
      <c r="D12" s="16">
        <f t="shared" si="9"/>
        <v>112352.69249864251</v>
      </c>
      <c r="E12" s="34">
        <f>'Interval Circuities'!J12</f>
        <v>1.1666680790044779</v>
      </c>
      <c r="F12" s="4">
        <f t="shared" si="0"/>
        <v>54.896857893260837</v>
      </c>
      <c r="G12" s="4">
        <f t="shared" si="1"/>
        <v>82.345286839891259</v>
      </c>
      <c r="H12" s="4">
        <f t="shared" si="2"/>
        <v>21302.342651176084</v>
      </c>
      <c r="I12" s="4">
        <f t="shared" si="3"/>
        <v>1034.7499169004755</v>
      </c>
      <c r="J12" s="33">
        <f>'2010-10'!J12</f>
        <v>1322.0923989999999</v>
      </c>
      <c r="K12" s="33">
        <f>'2010-10'!K12</f>
        <v>1368035</v>
      </c>
      <c r="L12" s="22">
        <f t="shared" si="4"/>
        <v>22042597.288089909</v>
      </c>
      <c r="M12" s="22">
        <f t="shared" si="5"/>
        <v>1368035</v>
      </c>
      <c r="N12" s="19" t="s">
        <v>91</v>
      </c>
      <c r="O12" s="4">
        <f t="shared" si="6"/>
        <v>567.53143771761449</v>
      </c>
      <c r="P12" s="13">
        <f>'2010-10'!P12</f>
        <v>750329</v>
      </c>
      <c r="Q12" s="22">
        <f t="shared" si="7"/>
        <v>12089749.151575223</v>
      </c>
      <c r="R12" s="13">
        <f t="shared" si="8"/>
        <v>750329</v>
      </c>
      <c r="W12" s="18">
        <f t="shared" si="10"/>
        <v>0.54847207856524127</v>
      </c>
    </row>
    <row r="13" spans="1:23">
      <c r="A13" s="18" t="s">
        <v>61</v>
      </c>
      <c r="B13" s="4">
        <f>'2010-10'!B13</f>
        <v>65.991437704144019</v>
      </c>
      <c r="C13" s="4">
        <f>'2010-10'!C13</f>
        <v>78.097331458401655</v>
      </c>
      <c r="D13" s="16">
        <f t="shared" si="9"/>
        <v>117145.99718760249</v>
      </c>
      <c r="E13" s="34">
        <f>'Interval Circuities'!J13</f>
        <v>1.2015060407013247</v>
      </c>
      <c r="F13" s="4">
        <f t="shared" si="0"/>
        <v>54.923933354196464</v>
      </c>
      <c r="G13" s="4">
        <f t="shared" si="1"/>
        <v>82.385900031294696</v>
      </c>
      <c r="H13" s="4">
        <f t="shared" si="2"/>
        <v>21323.360720400146</v>
      </c>
      <c r="I13" s="4">
        <f t="shared" si="3"/>
        <v>1111.5370303722236</v>
      </c>
      <c r="J13" s="33">
        <f>'2010-10'!J13</f>
        <v>4607.9364519999999</v>
      </c>
      <c r="K13" s="33">
        <f>'2010-10'!K13</f>
        <v>5121892</v>
      </c>
      <c r="L13" s="22">
        <f t="shared" si="4"/>
        <v>23701705.052709296</v>
      </c>
      <c r="M13" s="22">
        <f t="shared" si="5"/>
        <v>5121892</v>
      </c>
      <c r="N13" s="19" t="s">
        <v>91</v>
      </c>
      <c r="O13" s="4">
        <f t="shared" si="6"/>
        <v>544.77313785663296</v>
      </c>
      <c r="P13" s="13">
        <f>'2010-10'!P13</f>
        <v>2510280</v>
      </c>
      <c r="Q13" s="22">
        <f t="shared" si="7"/>
        <v>11616394.129301261</v>
      </c>
      <c r="R13" s="13">
        <f t="shared" si="8"/>
        <v>2510280</v>
      </c>
      <c r="W13" s="18">
        <f t="shared" si="10"/>
        <v>0.49010795229575321</v>
      </c>
    </row>
    <row r="14" spans="1:23">
      <c r="A14" s="18" t="s">
        <v>36</v>
      </c>
      <c r="B14" s="4">
        <f>'2010-10'!B14</f>
        <v>60.705617754852213</v>
      </c>
      <c r="C14" s="4">
        <f>'2010-10'!C14</f>
        <v>72.576467255996263</v>
      </c>
      <c r="D14" s="16">
        <f t="shared" si="9"/>
        <v>108864.7008839944</v>
      </c>
      <c r="E14" s="34">
        <f>'Interval Circuities'!J14</f>
        <v>1.3276510683394664</v>
      </c>
      <c r="F14" s="4">
        <f t="shared" si="0"/>
        <v>45.724075551551792</v>
      </c>
      <c r="G14" s="4">
        <f t="shared" si="1"/>
        <v>68.586113327327695</v>
      </c>
      <c r="H14" s="4">
        <f t="shared" si="2"/>
        <v>14778.224445824902</v>
      </c>
      <c r="I14" s="4">
        <f t="shared" si="3"/>
        <v>1372.3806261261409</v>
      </c>
      <c r="J14" s="33">
        <f>'2010-10'!J14</f>
        <v>1729.9887180000001</v>
      </c>
      <c r="K14" s="33">
        <f>'2010-10'!K14</f>
        <v>2374203</v>
      </c>
      <c r="L14" s="22">
        <f t="shared" si="4"/>
        <v>20281348.917993821</v>
      </c>
      <c r="M14" s="22">
        <f t="shared" si="5"/>
        <v>2374203</v>
      </c>
      <c r="N14" s="19" t="s">
        <v>91</v>
      </c>
      <c r="O14" s="4">
        <f t="shared" si="6"/>
        <v>600.08830647183447</v>
      </c>
      <c r="P14" s="13">
        <f>'2010-10'!P14</f>
        <v>1038146</v>
      </c>
      <c r="Q14" s="22">
        <f t="shared" si="7"/>
        <v>8868239.6803557295</v>
      </c>
      <c r="R14" s="13">
        <f t="shared" si="8"/>
        <v>1038146</v>
      </c>
      <c r="W14" s="18">
        <f t="shared" si="10"/>
        <v>0.4372608407958376</v>
      </c>
    </row>
    <row r="15" spans="1:23">
      <c r="A15" s="18" t="s">
        <v>37</v>
      </c>
      <c r="B15" s="4">
        <f>'2010-10'!B15</f>
        <v>62.147901133486052</v>
      </c>
      <c r="C15" s="4">
        <f>'2010-10'!C15</f>
        <v>71.579622920369374</v>
      </c>
      <c r="D15" s="16">
        <f t="shared" si="9"/>
        <v>107369.43438055406</v>
      </c>
      <c r="E15" s="34">
        <f>'Interval Circuities'!J15</f>
        <v>1.1793589097336392</v>
      </c>
      <c r="F15" s="4">
        <f t="shared" si="0"/>
        <v>52.696342581175983</v>
      </c>
      <c r="G15" s="4">
        <f t="shared" si="1"/>
        <v>79.044513871763968</v>
      </c>
      <c r="H15" s="4">
        <f t="shared" si="2"/>
        <v>19628.781399569536</v>
      </c>
      <c r="I15" s="4">
        <f t="shared" si="3"/>
        <v>1078.2087468947925</v>
      </c>
      <c r="J15" s="33">
        <f>'2010-10'!J15</f>
        <v>3463.2347500000001</v>
      </c>
      <c r="K15" s="33">
        <f>'2010-10'!K15</f>
        <v>3734090</v>
      </c>
      <c r="L15" s="22">
        <f t="shared" si="4"/>
        <v>21163923.795901682</v>
      </c>
      <c r="M15" s="22">
        <f t="shared" si="5"/>
        <v>3734090</v>
      </c>
      <c r="N15" s="19" t="s">
        <v>91</v>
      </c>
      <c r="O15" s="4">
        <f t="shared" si="6"/>
        <v>433.40348210585495</v>
      </c>
      <c r="P15" s="13">
        <f>'2010-10'!P15</f>
        <v>1500978</v>
      </c>
      <c r="Q15" s="22">
        <f t="shared" si="7"/>
        <v>8507182.2080680747</v>
      </c>
      <c r="R15" s="13">
        <f t="shared" si="8"/>
        <v>1500978</v>
      </c>
      <c r="W15" s="18">
        <f t="shared" si="10"/>
        <v>0.4019662086345</v>
      </c>
    </row>
    <row r="16" spans="1:23">
      <c r="A16" s="18" t="s">
        <v>79</v>
      </c>
      <c r="B16" s="4">
        <f>'2010-10'!B16</f>
        <v>67.784674216887879</v>
      </c>
      <c r="C16" s="4">
        <f>'2010-10'!C16</f>
        <v>73.484930426832634</v>
      </c>
      <c r="D16" s="16">
        <f t="shared" si="9"/>
        <v>110227.39564024894</v>
      </c>
      <c r="E16" s="34">
        <f>'Interval Circuities'!J16</f>
        <v>1.2368611790095092</v>
      </c>
      <c r="F16" s="4">
        <f t="shared" si="0"/>
        <v>54.803785070827857</v>
      </c>
      <c r="G16" s="4">
        <f t="shared" si="1"/>
        <v>82.205677606241778</v>
      </c>
      <c r="H16" s="4">
        <f t="shared" si="2"/>
        <v>21230.171364515689</v>
      </c>
      <c r="I16" s="4">
        <f t="shared" si="3"/>
        <v>784.29737505885555</v>
      </c>
      <c r="J16" s="33">
        <f>'2010-10'!J16</f>
        <v>726.68227400000001</v>
      </c>
      <c r="K16" s="33">
        <f>'2010-10'!K16</f>
        <v>569935</v>
      </c>
      <c r="L16" s="22">
        <f t="shared" si="4"/>
        <v>16650767.673239335</v>
      </c>
      <c r="M16" s="22">
        <f t="shared" si="5"/>
        <v>569935</v>
      </c>
      <c r="N16" s="19" t="s">
        <v>91</v>
      </c>
      <c r="O16" s="4">
        <f t="shared" si="6"/>
        <v>438.1103150453344</v>
      </c>
      <c r="P16" s="13">
        <f>'2010-10'!P16</f>
        <v>318367</v>
      </c>
      <c r="Q16" s="22">
        <f t="shared" si="7"/>
        <v>9301157.0649744049</v>
      </c>
      <c r="R16" s="13">
        <f t="shared" si="8"/>
        <v>318367</v>
      </c>
      <c r="W16" s="18">
        <f t="shared" si="10"/>
        <v>0.55860229675313855</v>
      </c>
    </row>
    <row r="17" spans="1:23">
      <c r="A17" s="18" t="s">
        <v>511</v>
      </c>
      <c r="B17" s="4">
        <f>'2010-10'!B17</f>
        <v>64.715366633523445</v>
      </c>
      <c r="C17" s="4">
        <f>'2010-10'!C17</f>
        <v>75.511487142105324</v>
      </c>
      <c r="D17" s="16">
        <f t="shared" si="9"/>
        <v>113267.23071315799</v>
      </c>
      <c r="E17" s="34">
        <f>'Interval Circuities'!J17</f>
        <v>1.3441760531206133</v>
      </c>
      <c r="F17" s="4">
        <f t="shared" si="0"/>
        <v>48.145007853161417</v>
      </c>
      <c r="G17" s="4">
        <f t="shared" si="1"/>
        <v>72.217511779742125</v>
      </c>
      <c r="H17" s="4">
        <f t="shared" si="2"/>
        <v>16384.564960215728</v>
      </c>
      <c r="I17" s="4">
        <f t="shared" si="3"/>
        <v>1078.4020248075806</v>
      </c>
      <c r="J17" s="33">
        <f>'2010-10'!J17</f>
        <v>1334.9993480000001</v>
      </c>
      <c r="K17" s="33">
        <f>'2010-10'!K17</f>
        <v>1439666</v>
      </c>
      <c r="L17" s="22">
        <f t="shared" si="4"/>
        <v>17669148.028687976</v>
      </c>
      <c r="M17" s="22">
        <f t="shared" si="5"/>
        <v>1439666</v>
      </c>
      <c r="N17" s="19" t="s">
        <v>91</v>
      </c>
      <c r="O17" s="4">
        <f t="shared" si="6"/>
        <v>444.79197753136282</v>
      </c>
      <c r="P17" s="13">
        <f>'2010-10'!P17</f>
        <v>593797</v>
      </c>
      <c r="Q17" s="22">
        <f t="shared" si="7"/>
        <v>7287723.0496454285</v>
      </c>
      <c r="R17" s="13">
        <f t="shared" si="8"/>
        <v>593797</v>
      </c>
      <c r="W17" s="18">
        <f t="shared" si="10"/>
        <v>0.41245469435271798</v>
      </c>
    </row>
    <row r="18" spans="1:23">
      <c r="A18" s="18" t="s">
        <v>38</v>
      </c>
      <c r="B18" s="4">
        <f>'2010-10'!B18</f>
        <v>63.831016736397409</v>
      </c>
      <c r="C18" s="4">
        <f>'2010-10'!C18</f>
        <v>74.742968134682343</v>
      </c>
      <c r="D18" s="16">
        <f t="shared" si="9"/>
        <v>112114.45220202352</v>
      </c>
      <c r="E18" s="34">
        <f>'Interval Circuities'!J18</f>
        <v>1.2211596606105135</v>
      </c>
      <c r="F18" s="4">
        <f t="shared" si="0"/>
        <v>52.270819938881182</v>
      </c>
      <c r="G18" s="4">
        <f t="shared" si="1"/>
        <v>78.406229908321777</v>
      </c>
      <c r="H18" s="4">
        <f t="shared" si="2"/>
        <v>19313.056726384719</v>
      </c>
      <c r="I18" s="4">
        <f t="shared" si="3"/>
        <v>691.70595675577363</v>
      </c>
      <c r="J18" s="33">
        <f>'2010-10'!J18</f>
        <v>1337.0695900000001</v>
      </c>
      <c r="K18" s="33">
        <f>'2010-10'!K18</f>
        <v>924859</v>
      </c>
      <c r="L18" s="22">
        <f t="shared" si="4"/>
        <v>13358956.380802471</v>
      </c>
      <c r="M18" s="22">
        <f t="shared" si="5"/>
        <v>924859</v>
      </c>
      <c r="N18" s="19" t="s">
        <v>91</v>
      </c>
      <c r="O18" s="4">
        <f t="shared" si="6"/>
        <v>395.88290987905873</v>
      </c>
      <c r="P18" s="13">
        <f>'2010-10'!P18</f>
        <v>529323</v>
      </c>
      <c r="Q18" s="22">
        <f t="shared" si="7"/>
        <v>7645709.0955005102</v>
      </c>
      <c r="R18" s="13">
        <f t="shared" si="8"/>
        <v>529323</v>
      </c>
      <c r="W18" s="18">
        <f t="shared" si="10"/>
        <v>0.57232832247942655</v>
      </c>
    </row>
    <row r="19" spans="1:23">
      <c r="A19" s="18" t="s">
        <v>80</v>
      </c>
      <c r="B19" s="4">
        <f>'2010-10'!B19</f>
        <v>54.710932805374171</v>
      </c>
      <c r="C19" s="4">
        <f>'2010-10'!C19</f>
        <v>67.860376115847075</v>
      </c>
      <c r="D19" s="16">
        <f t="shared" si="9"/>
        <v>101790.5641737706</v>
      </c>
      <c r="E19" s="34">
        <f>'Interval Circuities'!J19</f>
        <v>1.4625638767711695</v>
      </c>
      <c r="F19" s="4">
        <f t="shared" si="0"/>
        <v>37.407550996102003</v>
      </c>
      <c r="G19" s="4">
        <f t="shared" si="1"/>
        <v>56.111326494153005</v>
      </c>
      <c r="H19" s="4">
        <f t="shared" si="2"/>
        <v>9891.2446568358173</v>
      </c>
      <c r="I19" s="4">
        <f t="shared" si="3"/>
        <v>1820.7093992818395</v>
      </c>
      <c r="J19" s="33">
        <f>'2010-10'!J19</f>
        <v>440.73974700000002</v>
      </c>
      <c r="K19" s="33">
        <f>'2010-10'!K19</f>
        <v>802459</v>
      </c>
      <c r="L19" s="22">
        <f t="shared" si="4"/>
        <v>18009082.117297247</v>
      </c>
      <c r="M19" s="22">
        <f t="shared" si="5"/>
        <v>802459</v>
      </c>
      <c r="N19" s="19" t="s">
        <v>91</v>
      </c>
      <c r="O19" s="4">
        <f t="shared" si="6"/>
        <v>762.20491182520914</v>
      </c>
      <c r="P19" s="13">
        <f>'2010-10'!P19</f>
        <v>335934</v>
      </c>
      <c r="Q19" s="22">
        <f t="shared" si="7"/>
        <v>7539155.2615051148</v>
      </c>
      <c r="R19" s="13">
        <f t="shared" si="8"/>
        <v>335934</v>
      </c>
      <c r="W19" s="18">
        <f t="shared" si="10"/>
        <v>0.41863073378203741</v>
      </c>
    </row>
    <row r="20" spans="1:23">
      <c r="A20" s="18" t="s">
        <v>39</v>
      </c>
      <c r="B20" s="4">
        <f>'2010-10'!B20</f>
        <v>66.693022833822994</v>
      </c>
      <c r="C20" s="4">
        <f>'2010-10'!C20</f>
        <v>78.916174325560149</v>
      </c>
      <c r="D20" s="16">
        <f t="shared" si="9"/>
        <v>118374.26148834023</v>
      </c>
      <c r="E20" s="34">
        <f>'Interval Circuities'!J20</f>
        <v>1.2321501144350759</v>
      </c>
      <c r="F20" s="4">
        <f t="shared" si="0"/>
        <v>54.127351896891909</v>
      </c>
      <c r="G20" s="4">
        <f t="shared" si="1"/>
        <v>81.191027845337857</v>
      </c>
      <c r="H20" s="4">
        <f t="shared" si="2"/>
        <v>20709.325373501742</v>
      </c>
      <c r="I20" s="4">
        <f t="shared" si="3"/>
        <v>1149.9995031423985</v>
      </c>
      <c r="J20" s="33">
        <f>'2010-10'!J20</f>
        <v>4299.4209879999999</v>
      </c>
      <c r="K20" s="33">
        <f>'2010-10'!K20</f>
        <v>4944332</v>
      </c>
      <c r="L20" s="22">
        <f t="shared" si="4"/>
        <v>23815713.889941268</v>
      </c>
      <c r="M20" s="22">
        <f t="shared" si="5"/>
        <v>4944332</v>
      </c>
      <c r="N20" s="19" t="s">
        <v>91</v>
      </c>
      <c r="O20" s="4">
        <f t="shared" si="6"/>
        <v>506.24654019109983</v>
      </c>
      <c r="P20" s="13">
        <f>'2010-10'!P20</f>
        <v>2176567</v>
      </c>
      <c r="Q20" s="22">
        <f t="shared" si="7"/>
        <v>10484024.320027012</v>
      </c>
      <c r="R20" s="13">
        <f t="shared" si="8"/>
        <v>2176567</v>
      </c>
      <c r="W20" s="18">
        <f t="shared" si="10"/>
        <v>0.44021457296961453</v>
      </c>
    </row>
    <row r="21" spans="1:23">
      <c r="A21" s="18" t="s">
        <v>40</v>
      </c>
      <c r="B21" s="4">
        <f>'2010-10'!B21</f>
        <v>62.662263546111326</v>
      </c>
      <c r="C21" s="4">
        <f>'2010-10'!C21</f>
        <v>72.333701669204501</v>
      </c>
      <c r="D21" s="16">
        <f t="shared" si="9"/>
        <v>108500.55250380674</v>
      </c>
      <c r="E21" s="34">
        <f>'Interval Circuities'!J21</f>
        <v>1.1802346118410132</v>
      </c>
      <c r="F21" s="4">
        <f t="shared" si="0"/>
        <v>53.093057022252808</v>
      </c>
      <c r="G21" s="4">
        <f t="shared" si="1"/>
        <v>79.639585533379204</v>
      </c>
      <c r="H21" s="4">
        <f t="shared" si="2"/>
        <v>19925.43700093032</v>
      </c>
      <c r="I21" s="4">
        <f t="shared" si="3"/>
        <v>813.78264340099747</v>
      </c>
      <c r="J21" s="33">
        <f>'2010-10'!J21</f>
        <v>1827.8627739999999</v>
      </c>
      <c r="K21" s="33">
        <f>'2010-10'!K21</f>
        <v>1487483</v>
      </c>
      <c r="L21" s="22">
        <f t="shared" si="4"/>
        <v>16214974.793537119</v>
      </c>
      <c r="M21" s="22">
        <f t="shared" si="5"/>
        <v>1487483</v>
      </c>
      <c r="N21" s="19" t="s">
        <v>91</v>
      </c>
      <c r="O21" s="4">
        <f t="shared" si="6"/>
        <v>406.44134262564722</v>
      </c>
      <c r="P21" s="13">
        <f>'2010-10'!P21</f>
        <v>742919</v>
      </c>
      <c r="Q21" s="22">
        <f t="shared" si="7"/>
        <v>8098521.367060869</v>
      </c>
      <c r="R21" s="13">
        <f t="shared" si="8"/>
        <v>742919</v>
      </c>
      <c r="W21" s="18">
        <f t="shared" si="10"/>
        <v>0.49944705250412941</v>
      </c>
    </row>
    <row r="22" spans="1:23" ht="16">
      <c r="A22" s="18" t="s">
        <v>118</v>
      </c>
      <c r="B22" s="4">
        <f>'2010-10'!B22</f>
        <v>72.107428140171564</v>
      </c>
      <c r="C22" s="4">
        <f>'2010-10'!C22</f>
        <v>84.099901925483479</v>
      </c>
      <c r="D22" s="16">
        <f t="shared" si="9"/>
        <v>126149.85288822521</v>
      </c>
      <c r="E22" s="34">
        <f>'Interval Circuities'!J22</f>
        <v>1.330115441516819</v>
      </c>
      <c r="F22" s="4">
        <f t="shared" si="0"/>
        <v>54.211405934768088</v>
      </c>
      <c r="G22" s="4">
        <f t="shared" si="1"/>
        <v>81.317108902152128</v>
      </c>
      <c r="H22" s="4">
        <f t="shared" si="2"/>
        <v>20773.694086229098</v>
      </c>
      <c r="I22" s="4">
        <f t="shared" si="3"/>
        <v>1369.2709398652264</v>
      </c>
      <c r="J22" s="33">
        <f>'2010-10'!J22</f>
        <v>1411.4562309999999</v>
      </c>
      <c r="K22" s="33">
        <f>'2010-10'!K22</f>
        <v>1932666</v>
      </c>
      <c r="L22" s="22">
        <f t="shared" si="4"/>
        <v>28444815.625923611</v>
      </c>
      <c r="M22" s="22">
        <f t="shared" si="5"/>
        <v>1932666</v>
      </c>
      <c r="N22" s="19" t="s">
        <v>91</v>
      </c>
      <c r="O22" s="4">
        <f t="shared" si="6"/>
        <v>678.25411725430968</v>
      </c>
      <c r="P22" s="13">
        <f>'2010-10'!P22</f>
        <v>957326</v>
      </c>
      <c r="Q22" s="22">
        <f t="shared" si="7"/>
        <v>14089843.544566389</v>
      </c>
      <c r="R22" s="13">
        <f t="shared" si="8"/>
        <v>957326</v>
      </c>
      <c r="W22" s="18">
        <f t="shared" si="10"/>
        <v>0.49533959825443191</v>
      </c>
    </row>
    <row r="23" spans="1:23">
      <c r="A23" s="18" t="s">
        <v>41</v>
      </c>
      <c r="B23" s="4">
        <f>'2010-10'!B23</f>
        <v>69.127068300037649</v>
      </c>
      <c r="C23" s="4">
        <f>'2010-10'!C23</f>
        <v>78.497147187767681</v>
      </c>
      <c r="D23" s="16">
        <f t="shared" si="9"/>
        <v>117745.72078165153</v>
      </c>
      <c r="E23" s="34">
        <f>'Interval Circuities'!J23</f>
        <v>1.2812723689433594</v>
      </c>
      <c r="F23" s="4">
        <f t="shared" si="0"/>
        <v>53.951891865931216</v>
      </c>
      <c r="G23" s="4">
        <f t="shared" si="1"/>
        <v>80.927837798896832</v>
      </c>
      <c r="H23" s="4">
        <f t="shared" si="2"/>
        <v>20575.279672661534</v>
      </c>
      <c r="I23" s="4">
        <f t="shared" si="3"/>
        <v>775.48585132918799</v>
      </c>
      <c r="J23" s="33">
        <f>'2010-10'!J23</f>
        <v>1373.6150029999999</v>
      </c>
      <c r="K23" s="33">
        <f>'2010-10'!K23</f>
        <v>1065219</v>
      </c>
      <c r="L23" s="22">
        <f t="shared" si="4"/>
        <v>15955838.273290066</v>
      </c>
      <c r="M23" s="22">
        <f t="shared" si="5"/>
        <v>1065219</v>
      </c>
      <c r="N23" s="19" t="s">
        <v>91</v>
      </c>
      <c r="O23" s="4">
        <f t="shared" si="6"/>
        <v>626.55110647477409</v>
      </c>
      <c r="P23" s="13">
        <f>'2010-10'!P23</f>
        <v>860640</v>
      </c>
      <c r="Q23" s="22">
        <f t="shared" si="7"/>
        <v>12891464.244934011</v>
      </c>
      <c r="R23" s="13">
        <f t="shared" si="8"/>
        <v>860640</v>
      </c>
      <c r="W23" s="18">
        <f t="shared" si="10"/>
        <v>0.80794653493788604</v>
      </c>
    </row>
    <row r="24" spans="1:23">
      <c r="A24" s="18" t="s">
        <v>74</v>
      </c>
      <c r="B24" s="4">
        <f>'2010-10'!B24</f>
        <v>67.812288769795572</v>
      </c>
      <c r="C24" s="4">
        <f>'2010-10'!C24</f>
        <v>74.592726606374868</v>
      </c>
      <c r="D24" s="16">
        <f t="shared" si="9"/>
        <v>111889.0899095623</v>
      </c>
      <c r="E24" s="34">
        <f>'Interval Circuities'!J24</f>
        <v>1.2226839970421781</v>
      </c>
      <c r="F24" s="4">
        <f t="shared" si="0"/>
        <v>55.461827368184892</v>
      </c>
      <c r="G24" s="4">
        <f t="shared" si="1"/>
        <v>83.192741052277341</v>
      </c>
      <c r="H24" s="4">
        <f t="shared" si="2"/>
        <v>21743.063801025331</v>
      </c>
      <c r="I24" s="4">
        <f t="shared" si="3"/>
        <v>865.47479649931279</v>
      </c>
      <c r="J24" s="33">
        <f>'2010-10'!J24</f>
        <v>1755.5878070000001</v>
      </c>
      <c r="K24" s="33">
        <f>'2010-10'!K24</f>
        <v>1519417</v>
      </c>
      <c r="L24" s="22">
        <f t="shared" si="4"/>
        <v>18818073.718463972</v>
      </c>
      <c r="M24" s="22">
        <f t="shared" si="5"/>
        <v>1519417</v>
      </c>
      <c r="N24" s="19" t="s">
        <v>91</v>
      </c>
      <c r="O24" s="4">
        <f t="shared" si="6"/>
        <v>528.94933326453656</v>
      </c>
      <c r="P24" s="13">
        <f>'2010-10'!P24</f>
        <v>928617</v>
      </c>
      <c r="Q24" s="22">
        <f t="shared" si="7"/>
        <v>11500979.100680629</v>
      </c>
      <c r="R24" s="13">
        <f t="shared" si="8"/>
        <v>928617</v>
      </c>
      <c r="W24" s="18">
        <f t="shared" si="10"/>
        <v>0.61116665141959059</v>
      </c>
    </row>
    <row r="25" spans="1:23">
      <c r="A25" s="18" t="s">
        <v>62</v>
      </c>
      <c r="B25" s="4">
        <f>'2010-10'!B25</f>
        <v>62.454008275887581</v>
      </c>
      <c r="C25" s="4">
        <f>'2010-10'!C25</f>
        <v>72.980903634295757</v>
      </c>
      <c r="D25" s="16">
        <f t="shared" si="9"/>
        <v>109471.35545144363</v>
      </c>
      <c r="E25" s="34">
        <f>'Interval Circuities'!J25</f>
        <v>1.3159071047354585</v>
      </c>
      <c r="F25" s="4">
        <f t="shared" si="0"/>
        <v>47.460803312892615</v>
      </c>
      <c r="G25" s="4">
        <f t="shared" si="1"/>
        <v>71.191204969338926</v>
      </c>
      <c r="H25" s="4">
        <f t="shared" si="2"/>
        <v>15922.181135335766</v>
      </c>
      <c r="I25" s="4">
        <f t="shared" si="3"/>
        <v>1746.9193703498715</v>
      </c>
      <c r="J25" s="33">
        <f>'2010-10'!J25</f>
        <v>1079.621093</v>
      </c>
      <c r="K25" s="33">
        <f>'2010-10'!K25</f>
        <v>1886011</v>
      </c>
      <c r="L25" s="22">
        <f t="shared" si="4"/>
        <v>27814766.643537361</v>
      </c>
      <c r="M25" s="22">
        <f t="shared" si="5"/>
        <v>1886011</v>
      </c>
      <c r="N25" s="19" t="s">
        <v>91</v>
      </c>
      <c r="O25" s="4">
        <f t="shared" si="6"/>
        <v>677.90079755323939</v>
      </c>
      <c r="P25" s="13">
        <f>'2010-10'!P25</f>
        <v>731876</v>
      </c>
      <c r="Q25" s="22">
        <f t="shared" si="7"/>
        <v>10793659.290431259</v>
      </c>
      <c r="R25" s="13">
        <f t="shared" si="8"/>
        <v>731876</v>
      </c>
      <c r="W25" s="18">
        <f t="shared" si="10"/>
        <v>0.38805500073965632</v>
      </c>
    </row>
    <row r="26" spans="1:23" ht="16">
      <c r="A26" s="18" t="s">
        <v>119</v>
      </c>
      <c r="B26" s="4">
        <f>'2010-10'!B26</f>
        <v>67.712654237264687</v>
      </c>
      <c r="C26" s="4">
        <f>'2010-10'!C26</f>
        <v>83.333789923093292</v>
      </c>
      <c r="D26" s="16">
        <f t="shared" si="9"/>
        <v>125000.68488463994</v>
      </c>
      <c r="E26" s="34">
        <f>'Interval Circuities'!J26</f>
        <v>1.2534168829186265</v>
      </c>
      <c r="F26" s="4">
        <f t="shared" si="0"/>
        <v>54.02245267320265</v>
      </c>
      <c r="G26" s="4">
        <f t="shared" si="1"/>
        <v>81.033679009803976</v>
      </c>
      <c r="H26" s="4">
        <f t="shared" si="2"/>
        <v>20629.133491859258</v>
      </c>
      <c r="I26" s="4">
        <f t="shared" si="3"/>
        <v>2702.4637693066888</v>
      </c>
      <c r="J26" s="33">
        <f>'2010-10'!J26</f>
        <v>4496.2660139999998</v>
      </c>
      <c r="K26" s="33">
        <f>'2010-10'!K26</f>
        <v>12150996</v>
      </c>
      <c r="L26" s="22">
        <f t="shared" si="4"/>
        <v>55749485.85394083</v>
      </c>
      <c r="M26" s="22">
        <f t="shared" si="5"/>
        <v>12150996</v>
      </c>
      <c r="N26" s="19" t="s">
        <v>91</v>
      </c>
      <c r="O26" s="4">
        <f t="shared" si="6"/>
        <v>1079.1963787042962</v>
      </c>
      <c r="P26" s="13">
        <f>'2010-10'!P26</f>
        <v>4852354</v>
      </c>
      <c r="Q26" s="22">
        <f t="shared" si="7"/>
        <v>22262886.160222024</v>
      </c>
      <c r="R26" s="13">
        <f t="shared" si="8"/>
        <v>4852354</v>
      </c>
      <c r="W26" s="18">
        <f t="shared" si="10"/>
        <v>0.39933796373564762</v>
      </c>
    </row>
    <row r="27" spans="1:23">
      <c r="A27" s="18" t="s">
        <v>42</v>
      </c>
      <c r="B27" s="4">
        <f>'2010-10'!B27</f>
        <v>69.762390899595417</v>
      </c>
      <c r="C27" s="4">
        <f>'2010-10'!C27</f>
        <v>80.633405227489121</v>
      </c>
      <c r="D27" s="16">
        <f t="shared" si="9"/>
        <v>120950.10784123369</v>
      </c>
      <c r="E27" s="34">
        <f>'Interval Circuities'!J27</f>
        <v>1.3216362304730513</v>
      </c>
      <c r="F27" s="4">
        <f t="shared" si="0"/>
        <v>52.784865677165541</v>
      </c>
      <c r="G27" s="4">
        <f t="shared" si="1"/>
        <v>79.177298515748305</v>
      </c>
      <c r="H27" s="4">
        <f t="shared" si="2"/>
        <v>19694.784461178187</v>
      </c>
      <c r="I27" s="4">
        <f t="shared" si="3"/>
        <v>787.6776339629688</v>
      </c>
      <c r="J27" s="33">
        <f>'2010-10'!J27</f>
        <v>1234.70054</v>
      </c>
      <c r="K27" s="33">
        <f>'2010-10'!K27</f>
        <v>972546</v>
      </c>
      <c r="L27" s="22">
        <f t="shared" si="4"/>
        <v>15513141.225791479</v>
      </c>
      <c r="M27" s="22">
        <f t="shared" si="5"/>
        <v>972546</v>
      </c>
      <c r="N27" s="19" t="s">
        <v>91</v>
      </c>
      <c r="O27" s="4">
        <f t="shared" si="6"/>
        <v>417.10518730314965</v>
      </c>
      <c r="P27" s="13">
        <f>'2010-10'!P27</f>
        <v>515000</v>
      </c>
      <c r="Q27" s="22">
        <f t="shared" si="7"/>
        <v>8214796.7615748895</v>
      </c>
      <c r="R27" s="13">
        <f t="shared" si="8"/>
        <v>515000</v>
      </c>
      <c r="W27" s="18">
        <f t="shared" si="10"/>
        <v>0.52953793445245789</v>
      </c>
    </row>
    <row r="28" spans="1:23">
      <c r="A28" s="18" t="s">
        <v>43</v>
      </c>
      <c r="B28" s="4">
        <f>'2010-10'!B28</f>
        <v>66.011797525453602</v>
      </c>
      <c r="C28" s="4">
        <f>'2010-10'!C28</f>
        <v>76.864865322833012</v>
      </c>
      <c r="D28" s="16">
        <f t="shared" si="9"/>
        <v>115297.29798424953</v>
      </c>
      <c r="E28" s="34">
        <f>'Interval Circuities'!J28</f>
        <v>1.2355569211642343</v>
      </c>
      <c r="F28" s="4">
        <f t="shared" si="0"/>
        <v>53.426755493589354</v>
      </c>
      <c r="G28" s="4">
        <f t="shared" si="1"/>
        <v>80.140133240384031</v>
      </c>
      <c r="H28" s="4">
        <f t="shared" si="2"/>
        <v>20176.693324813095</v>
      </c>
      <c r="I28" s="4">
        <f t="shared" si="3"/>
        <v>823.01437699234145</v>
      </c>
      <c r="J28" s="33">
        <f>'2010-10'!J28</f>
        <v>1288.022457</v>
      </c>
      <c r="K28" s="33">
        <f>'2010-10'!K28</f>
        <v>1060061</v>
      </c>
      <c r="L28" s="22">
        <f t="shared" si="4"/>
        <v>16605708.686486585</v>
      </c>
      <c r="M28" s="22">
        <f t="shared" si="5"/>
        <v>1060061</v>
      </c>
      <c r="N28" s="19" t="s">
        <v>91</v>
      </c>
      <c r="O28" s="4">
        <f t="shared" si="6"/>
        <v>395.30832496967867</v>
      </c>
      <c r="P28" s="13">
        <f>'2010-10'!P28</f>
        <v>509166</v>
      </c>
      <c r="Q28" s="22">
        <f t="shared" si="7"/>
        <v>7976014.8416587617</v>
      </c>
      <c r="R28" s="13">
        <f t="shared" si="8"/>
        <v>509166</v>
      </c>
      <c r="W28" s="18">
        <f t="shared" si="10"/>
        <v>0.48031764209795474</v>
      </c>
    </row>
    <row r="29" spans="1:23">
      <c r="A29" s="18" t="s">
        <v>44</v>
      </c>
      <c r="B29" s="4">
        <f>'2010-10'!B29</f>
        <v>66.575024815111192</v>
      </c>
      <c r="C29" s="4">
        <f>'2010-10'!C29</f>
        <v>73.723640962925515</v>
      </c>
      <c r="D29" s="16">
        <f t="shared" si="9"/>
        <v>110585.46144438827</v>
      </c>
      <c r="E29" s="34">
        <f>'Interval Circuities'!J29</f>
        <v>1.1642077478462736</v>
      </c>
      <c r="F29" s="4">
        <f t="shared" si="0"/>
        <v>57.184832293266965</v>
      </c>
      <c r="G29" s="4">
        <f t="shared" si="1"/>
        <v>85.777248439900447</v>
      </c>
      <c r="H29" s="4">
        <f t="shared" si="2"/>
        <v>23115.01046396052</v>
      </c>
      <c r="I29" s="4">
        <f t="shared" si="3"/>
        <v>974.04787636700348</v>
      </c>
      <c r="J29" s="33">
        <f>'2010-10'!J29</f>
        <v>1413.1502499999999</v>
      </c>
      <c r="K29" s="33">
        <f>'2010-10'!K29</f>
        <v>1376476</v>
      </c>
      <c r="L29" s="22">
        <f t="shared" si="4"/>
        <v>22515126.854621809</v>
      </c>
      <c r="M29" s="22">
        <f t="shared" si="5"/>
        <v>1376476</v>
      </c>
      <c r="N29" s="19" t="s">
        <v>91</v>
      </c>
      <c r="O29" s="4">
        <f t="shared" si="6"/>
        <v>521.72725440907652</v>
      </c>
      <c r="P29" s="13">
        <f>'2010-10'!P29</f>
        <v>737279</v>
      </c>
      <c r="Q29" s="22">
        <f t="shared" si="7"/>
        <v>12059730.944999196</v>
      </c>
      <c r="R29" s="13">
        <f t="shared" si="8"/>
        <v>737279</v>
      </c>
      <c r="W29" s="18">
        <f t="shared" si="10"/>
        <v>0.53562793684742782</v>
      </c>
    </row>
    <row r="30" spans="1:23">
      <c r="A30" s="18" t="s">
        <v>45</v>
      </c>
      <c r="B30" s="4">
        <f>'2010-10'!B30</f>
        <v>72.35417413894163</v>
      </c>
      <c r="C30" s="4">
        <f>'2010-10'!C30</f>
        <v>80.92665935101023</v>
      </c>
      <c r="D30" s="16">
        <f t="shared" si="9"/>
        <v>121389.98902651534</v>
      </c>
      <c r="E30" s="34">
        <f>'Interval Circuities'!J30</f>
        <v>1.2049005979112202</v>
      </c>
      <c r="F30" s="4">
        <f t="shared" si="0"/>
        <v>60.049911390510282</v>
      </c>
      <c r="G30" s="4">
        <f t="shared" si="1"/>
        <v>90.074867085765419</v>
      </c>
      <c r="H30" s="4">
        <f t="shared" si="2"/>
        <v>25489.254442551679</v>
      </c>
      <c r="I30" s="4">
        <f t="shared" si="3"/>
        <v>1001.6752173390063</v>
      </c>
      <c r="J30" s="33">
        <f>'2010-10'!J30</f>
        <v>2646.4566100000002</v>
      </c>
      <c r="K30" s="33">
        <f>'2010-10'!K30</f>
        <v>2650890</v>
      </c>
      <c r="L30" s="22">
        <f t="shared" si="4"/>
        <v>25531954.483552184</v>
      </c>
      <c r="M30" s="22">
        <f t="shared" si="5"/>
        <v>2650890</v>
      </c>
      <c r="N30" s="19" t="s">
        <v>91</v>
      </c>
      <c r="O30" s="4">
        <f t="shared" si="6"/>
        <v>594.14576987906855</v>
      </c>
      <c r="P30" s="13">
        <f>'2010-10'!P30</f>
        <v>1572381</v>
      </c>
      <c r="Q30" s="22">
        <f t="shared" si="7"/>
        <v>15144332.704413336</v>
      </c>
      <c r="R30" s="13">
        <f t="shared" si="8"/>
        <v>1572381</v>
      </c>
      <c r="W30" s="18">
        <f t="shared" si="10"/>
        <v>0.59315211117775546</v>
      </c>
    </row>
    <row r="31" spans="1:23">
      <c r="A31" s="18" t="s">
        <v>46</v>
      </c>
      <c r="B31" s="4">
        <f>'2010-10'!B31</f>
        <v>66.509434242873198</v>
      </c>
      <c r="C31" s="4">
        <f>'2010-10'!C31</f>
        <v>79.192244463512992</v>
      </c>
      <c r="D31" s="16">
        <f t="shared" si="9"/>
        <v>118788.36669526949</v>
      </c>
      <c r="E31" s="34">
        <f>'Interval Circuities'!J31</f>
        <v>1.2404771540001511</v>
      </c>
      <c r="F31" s="4">
        <f t="shared" si="0"/>
        <v>53.616008991702152</v>
      </c>
      <c r="G31" s="4">
        <f t="shared" si="1"/>
        <v>80.424013487553225</v>
      </c>
      <c r="H31" s="4">
        <f t="shared" si="2"/>
        <v>20319.890227071166</v>
      </c>
      <c r="I31" s="4">
        <f t="shared" si="3"/>
        <v>664.38482730522799</v>
      </c>
      <c r="J31" s="33">
        <f>'2010-10'!J31</f>
        <v>1459.375591</v>
      </c>
      <c r="K31" s="33">
        <f>'2010-10'!K31</f>
        <v>969587</v>
      </c>
      <c r="L31" s="22">
        <f t="shared" si="4"/>
        <v>13500226.759373866</v>
      </c>
      <c r="M31" s="22">
        <f t="shared" si="5"/>
        <v>969587</v>
      </c>
      <c r="N31" s="19" t="s">
        <v>91</v>
      </c>
      <c r="O31" s="4">
        <f t="shared" si="6"/>
        <v>447.40709932841406</v>
      </c>
      <c r="P31" s="13">
        <f>'2010-10'!P31</f>
        <v>652935</v>
      </c>
      <c r="Q31" s="22">
        <f t="shared" si="7"/>
        <v>9091263.1451656986</v>
      </c>
      <c r="R31" s="13">
        <f t="shared" si="8"/>
        <v>652935</v>
      </c>
      <c r="W31" s="18">
        <f t="shared" si="10"/>
        <v>0.67341558828655901</v>
      </c>
    </row>
    <row r="32" spans="1:23">
      <c r="A32" s="18" t="s">
        <v>47</v>
      </c>
      <c r="B32" s="4">
        <f>'2010-10'!B32</f>
        <v>70.113916315490926</v>
      </c>
      <c r="C32" s="4">
        <f>'2010-10'!C32</f>
        <v>78.214496785983556</v>
      </c>
      <c r="D32" s="16">
        <f t="shared" si="9"/>
        <v>117321.74517897534</v>
      </c>
      <c r="E32" s="34">
        <f>'Interval Circuities'!J32</f>
        <v>1.3966039300244457</v>
      </c>
      <c r="F32" s="4">
        <f t="shared" si="0"/>
        <v>50.203149803726866</v>
      </c>
      <c r="G32" s="4">
        <f t="shared" si="1"/>
        <v>75.304724705590303</v>
      </c>
      <c r="H32" s="4">
        <f t="shared" si="2"/>
        <v>17815.348530238381</v>
      </c>
      <c r="I32" s="4">
        <f t="shared" si="3"/>
        <v>1381.8089483990395</v>
      </c>
      <c r="J32" s="33">
        <f>'2010-10'!J32</f>
        <v>651.10520599999995</v>
      </c>
      <c r="K32" s="33">
        <f>'2010-10'!K32</f>
        <v>899703</v>
      </c>
      <c r="L32" s="22">
        <f t="shared" si="4"/>
        <v>24617408.017931074</v>
      </c>
      <c r="M32" s="22">
        <f t="shared" si="5"/>
        <v>899703</v>
      </c>
      <c r="N32" s="19" t="s">
        <v>91</v>
      </c>
      <c r="O32" s="4">
        <f t="shared" si="6"/>
        <v>685.12276647347221</v>
      </c>
      <c r="P32" s="13">
        <f>'2010-10'!P32</f>
        <v>446087</v>
      </c>
      <c r="Q32" s="22">
        <f t="shared" si="7"/>
        <v>12205700.870726027</v>
      </c>
      <c r="R32" s="13">
        <f t="shared" si="8"/>
        <v>446087</v>
      </c>
      <c r="W32" s="18">
        <f t="shared" si="10"/>
        <v>0.49581584144990065</v>
      </c>
    </row>
    <row r="33" spans="1:23">
      <c r="A33" s="18" t="s">
        <v>64</v>
      </c>
      <c r="B33" s="4">
        <f>'2010-10'!B33</f>
        <v>60.636060061572778</v>
      </c>
      <c r="C33" s="4">
        <f>'2010-10'!C33</f>
        <v>75.646262173189555</v>
      </c>
      <c r="D33" s="16">
        <f t="shared" si="9"/>
        <v>113469.39325978434</v>
      </c>
      <c r="E33" s="34">
        <f>'Interval Circuities'!J33</f>
        <v>1.2044434075797017</v>
      </c>
      <c r="F33" s="4">
        <f t="shared" si="0"/>
        <v>50.343635641145973</v>
      </c>
      <c r="G33" s="4">
        <f t="shared" si="1"/>
        <v>75.515453461718963</v>
      </c>
      <c r="H33" s="4">
        <f t="shared" si="2"/>
        <v>17915.195094620456</v>
      </c>
      <c r="I33" s="4">
        <f t="shared" si="3"/>
        <v>2053.6406982836411</v>
      </c>
      <c r="J33" s="33">
        <f>'2010-10'!J33</f>
        <v>8935.9813599999998</v>
      </c>
      <c r="K33" s="33">
        <f>'2010-10'!K33</f>
        <v>18351295</v>
      </c>
      <c r="L33" s="22">
        <f t="shared" si="4"/>
        <v>36791373.764004014</v>
      </c>
      <c r="M33" s="22">
        <f t="shared" si="5"/>
        <v>18351295</v>
      </c>
      <c r="N33" s="19" t="s">
        <v>91</v>
      </c>
      <c r="O33" s="4">
        <f t="shared" si="6"/>
        <v>813.93354652208006</v>
      </c>
      <c r="P33" s="13">
        <f>'2010-10'!P33</f>
        <v>7273295</v>
      </c>
      <c r="Q33" s="22">
        <f t="shared" si="7"/>
        <v>14581778.2799994</v>
      </c>
      <c r="R33" s="13">
        <f t="shared" si="8"/>
        <v>7273295</v>
      </c>
      <c r="W33" s="18">
        <f t="shared" si="10"/>
        <v>0.39633687976788562</v>
      </c>
    </row>
    <row r="34" spans="1:23">
      <c r="A34" s="18" t="s">
        <v>65</v>
      </c>
      <c r="B34" s="4">
        <f>'2010-10'!B34</f>
        <v>62.746727907823015</v>
      </c>
      <c r="C34" s="4">
        <f>'2010-10'!C34</f>
        <v>70.343795554466837</v>
      </c>
      <c r="D34" s="16">
        <f t="shared" si="9"/>
        <v>105515.69333170025</v>
      </c>
      <c r="E34" s="34">
        <f>'Interval Circuities'!J34</f>
        <v>1.2192662129771015</v>
      </c>
      <c r="F34" s="4">
        <f t="shared" si="0"/>
        <v>51.462697186214442</v>
      </c>
      <c r="G34" s="4">
        <f t="shared" si="1"/>
        <v>77.194045779321669</v>
      </c>
      <c r="H34" s="4">
        <f t="shared" si="2"/>
        <v>18720.501506319397</v>
      </c>
      <c r="I34" s="4">
        <f t="shared" si="3"/>
        <v>810.03967977262835</v>
      </c>
      <c r="J34" s="33">
        <f>'2010-10'!J34</f>
        <v>1063.53432</v>
      </c>
      <c r="K34" s="33">
        <f>'2010-10'!K34</f>
        <v>861505</v>
      </c>
      <c r="L34" s="22">
        <f t="shared" si="4"/>
        <v>15164349.045361971</v>
      </c>
      <c r="M34" s="22">
        <f t="shared" si="5"/>
        <v>861505</v>
      </c>
      <c r="N34" s="19" t="s">
        <v>91</v>
      </c>
      <c r="O34" s="4">
        <f t="shared" si="6"/>
        <v>425.70699552037024</v>
      </c>
      <c r="P34" s="13">
        <f>'2010-10'!P34</f>
        <v>452754</v>
      </c>
      <c r="Q34" s="22">
        <f t="shared" si="7"/>
        <v>7969448.450889796</v>
      </c>
      <c r="R34" s="13">
        <f t="shared" si="8"/>
        <v>452754</v>
      </c>
      <c r="W34" s="18">
        <f t="shared" si="10"/>
        <v>0.52553844725219234</v>
      </c>
    </row>
    <row r="35" spans="1:23">
      <c r="A35" s="18" t="s">
        <v>48</v>
      </c>
      <c r="B35" s="4">
        <f>'2010-10'!B35</f>
        <v>63.67703994300269</v>
      </c>
      <c r="C35" s="4">
        <f>'2010-10'!C35</f>
        <v>76.278541762827089</v>
      </c>
      <c r="D35" s="16">
        <f t="shared" si="9"/>
        <v>114417.81264424062</v>
      </c>
      <c r="E35" s="34">
        <f>'Interval Circuities'!J35</f>
        <v>1.2873404494690579</v>
      </c>
      <c r="F35" s="4">
        <f t="shared" si="0"/>
        <v>49.464024818970941</v>
      </c>
      <c r="G35" s="4">
        <f t="shared" si="1"/>
        <v>74.196037228456419</v>
      </c>
      <c r="H35" s="4">
        <f t="shared" si="2"/>
        <v>17294.630733611266</v>
      </c>
      <c r="I35" s="4">
        <f t="shared" si="3"/>
        <v>975.7775860793671</v>
      </c>
      <c r="J35" s="33">
        <f>'2010-10'!J35</f>
        <v>1548.012602</v>
      </c>
      <c r="K35" s="33">
        <f>'2010-10'!K35</f>
        <v>1510516</v>
      </c>
      <c r="L35" s="22">
        <f t="shared" si="4"/>
        <v>16875713.029377233</v>
      </c>
      <c r="M35" s="22">
        <f t="shared" si="5"/>
        <v>1510516</v>
      </c>
      <c r="N35" s="19" t="s">
        <v>91</v>
      </c>
      <c r="O35" s="4">
        <f t="shared" si="6"/>
        <v>552.87922003622032</v>
      </c>
      <c r="P35" s="13">
        <f>'2010-10'!P35</f>
        <v>855864</v>
      </c>
      <c r="Q35" s="22">
        <f t="shared" si="7"/>
        <v>9561841.9508134406</v>
      </c>
      <c r="R35" s="13">
        <f t="shared" si="8"/>
        <v>855864</v>
      </c>
      <c r="W35" s="18">
        <f t="shared" si="10"/>
        <v>0.56660373011606624</v>
      </c>
    </row>
    <row r="36" spans="1:23">
      <c r="A36" s="18" t="s">
        <v>66</v>
      </c>
      <c r="B36" s="4">
        <f>'2010-10'!B36</f>
        <v>57.583198277252201</v>
      </c>
      <c r="C36" s="4">
        <f>'2010-10'!C36</f>
        <v>70.0901022214275</v>
      </c>
      <c r="D36" s="16">
        <f t="shared" si="9"/>
        <v>105135.15333214124</v>
      </c>
      <c r="E36" s="34">
        <f>'Interval Circuities'!J36</f>
        <v>1.1493697375302219</v>
      </c>
      <c r="F36" s="4">
        <f t="shared" si="0"/>
        <v>50.099803741994812</v>
      </c>
      <c r="G36" s="4">
        <f t="shared" si="1"/>
        <v>75.149705612992221</v>
      </c>
      <c r="H36" s="4">
        <f t="shared" si="2"/>
        <v>17742.076193192963</v>
      </c>
      <c r="I36" s="4">
        <f t="shared" si="3"/>
        <v>1060.3784681288619</v>
      </c>
      <c r="J36" s="33">
        <f>'2010-10'!J36</f>
        <v>5131.7215159999996</v>
      </c>
      <c r="K36" s="33">
        <f>'2010-10'!K36</f>
        <v>5441567</v>
      </c>
      <c r="L36" s="22">
        <f t="shared" si="4"/>
        <v>18813315.575163502</v>
      </c>
      <c r="M36" s="22">
        <f t="shared" si="5"/>
        <v>5441567</v>
      </c>
      <c r="N36" s="19" t="s">
        <v>91</v>
      </c>
      <c r="O36" s="4">
        <f t="shared" si="6"/>
        <v>471.88667437424527</v>
      </c>
      <c r="P36" s="13">
        <f>'2010-10'!P36</f>
        <v>2421591</v>
      </c>
      <c r="Q36" s="22">
        <f t="shared" si="7"/>
        <v>8372249.3313002968</v>
      </c>
      <c r="R36" s="13">
        <f t="shared" si="8"/>
        <v>2421591</v>
      </c>
      <c r="W36" s="18">
        <f t="shared" si="10"/>
        <v>0.44501721654810095</v>
      </c>
    </row>
    <row r="37" spans="1:23">
      <c r="A37" s="18" t="s">
        <v>49</v>
      </c>
      <c r="B37" s="4">
        <f>'2010-10'!B37</f>
        <v>65.523113774601583</v>
      </c>
      <c r="C37" s="4">
        <f>'2010-10'!C37</f>
        <v>75.058272553254923</v>
      </c>
      <c r="D37" s="16">
        <f t="shared" si="9"/>
        <v>112587.40882988238</v>
      </c>
      <c r="E37" s="34">
        <f>'Interval Circuities'!J37</f>
        <v>1.2523532277965723</v>
      </c>
      <c r="F37" s="4">
        <f t="shared" si="0"/>
        <v>52.319994327706496</v>
      </c>
      <c r="G37" s="4">
        <f t="shared" si="1"/>
        <v>78.479991491559744</v>
      </c>
      <c r="H37" s="4">
        <f t="shared" si="2"/>
        <v>19349.411789739537</v>
      </c>
      <c r="I37" s="4">
        <f t="shared" si="3"/>
        <v>1222.0875996258867</v>
      </c>
      <c r="J37" s="33">
        <f>'2010-10'!J37</f>
        <v>2969.6021799999999</v>
      </c>
      <c r="K37" s="33">
        <f>'2010-10'!K37</f>
        <v>3629114</v>
      </c>
      <c r="L37" s="22">
        <f t="shared" si="4"/>
        <v>23646676.208295625</v>
      </c>
      <c r="M37" s="22">
        <f t="shared" si="5"/>
        <v>3629114</v>
      </c>
      <c r="N37" s="19" t="s">
        <v>91</v>
      </c>
      <c r="O37" s="4">
        <f t="shared" si="6"/>
        <v>489.41201949144585</v>
      </c>
      <c r="P37" s="13">
        <f>'2010-10'!P37</f>
        <v>1453359</v>
      </c>
      <c r="Q37" s="22">
        <f t="shared" si="7"/>
        <v>9469834.6999880187</v>
      </c>
      <c r="R37" s="13">
        <f t="shared" si="8"/>
        <v>1453359</v>
      </c>
      <c r="W37" s="18">
        <f t="shared" si="10"/>
        <v>0.40047212625450729</v>
      </c>
    </row>
    <row r="38" spans="1:23">
      <c r="A38" s="18" t="s">
        <v>50</v>
      </c>
      <c r="B38" s="4">
        <f>'2010-10'!B38</f>
        <v>59.807444822625882</v>
      </c>
      <c r="C38" s="4">
        <f>'2010-10'!C38</f>
        <v>71.241563498997948</v>
      </c>
      <c r="D38" s="16">
        <f t="shared" si="9"/>
        <v>106862.34524849692</v>
      </c>
      <c r="E38" s="34">
        <f>'Interval Circuities'!J38</f>
        <v>1.2344561116309156</v>
      </c>
      <c r="F38" s="4">
        <f t="shared" si="0"/>
        <v>48.448417290113781</v>
      </c>
      <c r="G38" s="4">
        <f t="shared" si="1"/>
        <v>72.672625935170672</v>
      </c>
      <c r="H38" s="4">
        <f t="shared" si="2"/>
        <v>16591.72645760627</v>
      </c>
      <c r="I38" s="4">
        <f t="shared" si="3"/>
        <v>739.57535155262258</v>
      </c>
      <c r="J38" s="33">
        <f>'2010-10'!J38</f>
        <v>2344.389921</v>
      </c>
      <c r="K38" s="33">
        <f>'2010-10'!K38</f>
        <v>1733853</v>
      </c>
      <c r="L38" s="22">
        <f t="shared" si="4"/>
        <v>12270831.927749107</v>
      </c>
      <c r="M38" s="22">
        <f t="shared" si="5"/>
        <v>1733853</v>
      </c>
      <c r="N38" s="19" t="s">
        <v>91</v>
      </c>
      <c r="O38" s="4">
        <f t="shared" si="6"/>
        <v>439.74681462555225</v>
      </c>
      <c r="P38" s="13">
        <f>'2010-10'!P38</f>
        <v>1030938</v>
      </c>
      <c r="Q38" s="22">
        <f t="shared" si="7"/>
        <v>7296158.8588708546</v>
      </c>
      <c r="R38" s="13">
        <f t="shared" si="8"/>
        <v>1030938</v>
      </c>
      <c r="W38" s="18">
        <f t="shared" si="10"/>
        <v>0.59459365932406028</v>
      </c>
    </row>
    <row r="39" spans="1:23">
      <c r="A39" s="18" t="s">
        <v>51</v>
      </c>
      <c r="B39" s="4">
        <f>'2010-10'!B39</f>
        <v>58.331030650507813</v>
      </c>
      <c r="C39" s="4">
        <f>'2010-10'!C39</f>
        <v>69.29589065244727</v>
      </c>
      <c r="D39" s="16">
        <f t="shared" si="9"/>
        <v>103943.8359786709</v>
      </c>
      <c r="E39" s="34">
        <f>'Interval Circuities'!J39</f>
        <v>1.4320189723752634</v>
      </c>
      <c r="F39" s="4">
        <f t="shared" si="0"/>
        <v>40.733420279869065</v>
      </c>
      <c r="G39" s="4">
        <f t="shared" si="1"/>
        <v>61.100130419803598</v>
      </c>
      <c r="H39" s="4">
        <f t="shared" si="2"/>
        <v>11728.275178865984</v>
      </c>
      <c r="I39" s="4">
        <f t="shared" si="3"/>
        <v>1362.0759506608479</v>
      </c>
      <c r="J39" s="33">
        <f>'2010-10'!J39</f>
        <v>1358.1459970000001</v>
      </c>
      <c r="K39" s="33">
        <f>'2010-10'!K39</f>
        <v>1849898</v>
      </c>
      <c r="L39" s="22">
        <f t="shared" si="4"/>
        <v>15974801.563865911</v>
      </c>
      <c r="M39" s="22">
        <f t="shared" si="5"/>
        <v>1849898</v>
      </c>
      <c r="N39" s="19" t="s">
        <v>91</v>
      </c>
      <c r="O39" s="4">
        <f t="shared" si="6"/>
        <v>641.16376436958274</v>
      </c>
      <c r="P39" s="13">
        <f>'2010-10'!P39</f>
        <v>870794</v>
      </c>
      <c r="Q39" s="22">
        <f t="shared" si="7"/>
        <v>7519745.063244056</v>
      </c>
      <c r="R39" s="13">
        <f t="shared" si="8"/>
        <v>870794</v>
      </c>
      <c r="W39" s="18">
        <f t="shared" si="10"/>
        <v>0.47072541296871506</v>
      </c>
    </row>
    <row r="40" spans="1:23">
      <c r="A40" s="18" t="s">
        <v>52</v>
      </c>
      <c r="B40" s="4">
        <f>'2010-10'!B40</f>
        <v>61.333480923569354</v>
      </c>
      <c r="C40" s="4">
        <f>'2010-10'!C40</f>
        <v>68.947108687192596</v>
      </c>
      <c r="D40" s="16">
        <f t="shared" si="9"/>
        <v>103420.66303078888</v>
      </c>
      <c r="E40" s="34">
        <f>'Interval Circuities'!J40</f>
        <v>1.2398242295003903</v>
      </c>
      <c r="F40" s="4">
        <f t="shared" si="0"/>
        <v>49.469496936904349</v>
      </c>
      <c r="G40" s="4">
        <f t="shared" si="1"/>
        <v>74.204245405356517</v>
      </c>
      <c r="H40" s="4">
        <f t="shared" si="2"/>
        <v>17298.457494339582</v>
      </c>
      <c r="I40" s="4">
        <f t="shared" si="3"/>
        <v>843.65595688883184</v>
      </c>
      <c r="J40" s="33">
        <f>'2010-10'!J40</f>
        <v>1411.6607489999999</v>
      </c>
      <c r="K40" s="33">
        <f>'2010-10'!K40</f>
        <v>1190956</v>
      </c>
      <c r="L40" s="22">
        <f t="shared" si="4"/>
        <v>14593946.710087845</v>
      </c>
      <c r="M40" s="22">
        <f t="shared" si="5"/>
        <v>1190956</v>
      </c>
      <c r="N40" s="19" t="s">
        <v>91</v>
      </c>
      <c r="O40" s="4">
        <f t="shared" si="6"/>
        <v>418.3023438303448</v>
      </c>
      <c r="P40" s="13">
        <f>'2010-10'!P40</f>
        <v>590501</v>
      </c>
      <c r="Q40" s="22">
        <f t="shared" si="7"/>
        <v>7235985.3145318404</v>
      </c>
      <c r="R40" s="13">
        <f t="shared" si="8"/>
        <v>590501</v>
      </c>
      <c r="W40" s="18">
        <f t="shared" si="10"/>
        <v>0.49582100430242593</v>
      </c>
    </row>
    <row r="41" spans="1:23">
      <c r="A41" s="18" t="s">
        <v>53</v>
      </c>
      <c r="B41" s="4">
        <f>'2010-10'!B41</f>
        <v>70.888143113567551</v>
      </c>
      <c r="C41" s="4">
        <f>'2010-10'!C41</f>
        <v>80.329607978863407</v>
      </c>
      <c r="D41" s="16">
        <f t="shared" si="9"/>
        <v>120494.41196829511</v>
      </c>
      <c r="E41" s="34">
        <f>'Interval Circuities'!J41</f>
        <v>1.1881349038874762</v>
      </c>
      <c r="F41" s="4">
        <f t="shared" si="0"/>
        <v>59.663379033498288</v>
      </c>
      <c r="G41" s="4">
        <f t="shared" si="1"/>
        <v>89.495068550247424</v>
      </c>
      <c r="H41" s="4">
        <f t="shared" si="2"/>
        <v>25162.169453288399</v>
      </c>
      <c r="I41" s="4">
        <f t="shared" si="3"/>
        <v>659.39427440794395</v>
      </c>
      <c r="J41" s="33">
        <f>'2010-10'!J41</f>
        <v>1341.975559</v>
      </c>
      <c r="K41" s="33">
        <f>'2010-10'!K41</f>
        <v>884891</v>
      </c>
      <c r="L41" s="22">
        <f t="shared" si="4"/>
        <v>16591790.469180835</v>
      </c>
      <c r="M41" s="22">
        <f t="shared" si="5"/>
        <v>884891</v>
      </c>
      <c r="N41" s="19" t="s">
        <v>91</v>
      </c>
      <c r="O41" s="4">
        <f t="shared" si="6"/>
        <v>305.97949213469991</v>
      </c>
      <c r="P41" s="13">
        <f>'2010-10'!P41</f>
        <v>410617</v>
      </c>
      <c r="Q41" s="22">
        <f t="shared" si="7"/>
        <v>7699107.830324444</v>
      </c>
      <c r="R41" s="13">
        <f t="shared" si="8"/>
        <v>410617</v>
      </c>
      <c r="W41" s="18">
        <f t="shared" si="10"/>
        <v>0.46403116316020848</v>
      </c>
    </row>
    <row r="42" spans="1:23">
      <c r="A42" s="18" t="s">
        <v>81</v>
      </c>
      <c r="B42" s="4">
        <f>'2010-10'!B42</f>
        <v>64.044695759894694</v>
      </c>
      <c r="C42" s="4">
        <f>'2010-10'!C42</f>
        <v>72.196124164991133</v>
      </c>
      <c r="D42" s="16">
        <f t="shared" si="9"/>
        <v>108294.18624748669</v>
      </c>
      <c r="E42" s="34">
        <f>'Interval Circuities'!J42</f>
        <v>1.1976784755170091</v>
      </c>
      <c r="F42" s="4">
        <f t="shared" si="0"/>
        <v>53.474030859783241</v>
      </c>
      <c r="G42" s="4">
        <f t="shared" si="1"/>
        <v>80.211046289674869</v>
      </c>
      <c r="H42" s="4">
        <f t="shared" si="2"/>
        <v>20212.416346910162</v>
      </c>
      <c r="I42" s="4">
        <f t="shared" si="3"/>
        <v>857.44540355569529</v>
      </c>
      <c r="J42" s="33">
        <f>'2010-10'!J42</f>
        <v>840.37070700000004</v>
      </c>
      <c r="K42" s="33">
        <f>'2010-10'!K42</f>
        <v>720572</v>
      </c>
      <c r="L42" s="22">
        <f t="shared" si="4"/>
        <v>17331043.491412118</v>
      </c>
      <c r="M42" s="22">
        <f t="shared" si="5"/>
        <v>720572</v>
      </c>
      <c r="N42" s="19" t="s">
        <v>91</v>
      </c>
      <c r="O42" s="4">
        <f t="shared" si="6"/>
        <v>493.93082902876574</v>
      </c>
      <c r="P42" s="13">
        <f>'2010-10'!P42</f>
        <v>415085</v>
      </c>
      <c r="Q42" s="22">
        <f t="shared" si="7"/>
        <v>9983535.5629039127</v>
      </c>
      <c r="R42" s="13">
        <f t="shared" si="8"/>
        <v>415085</v>
      </c>
      <c r="W42" s="18">
        <f t="shared" si="10"/>
        <v>0.57604930527414322</v>
      </c>
    </row>
    <row r="43" spans="1:23">
      <c r="A43" s="18" t="s">
        <v>54</v>
      </c>
      <c r="B43" s="4">
        <f>'2010-10'!B43</f>
        <v>69.851259887217722</v>
      </c>
      <c r="C43" s="4">
        <f>'2010-10'!C43</f>
        <v>81.455388016103115</v>
      </c>
      <c r="D43" s="16">
        <f t="shared" si="9"/>
        <v>122183.08202415468</v>
      </c>
      <c r="E43" s="34">
        <f>'Interval Circuities'!J43</f>
        <v>1.3982014018055617</v>
      </c>
      <c r="F43" s="4">
        <f t="shared" si="0"/>
        <v>49.957938675369356</v>
      </c>
      <c r="G43" s="4">
        <f t="shared" si="1"/>
        <v>74.936908013054037</v>
      </c>
      <c r="H43" s="4">
        <f t="shared" si="2"/>
        <v>17641.739783459114</v>
      </c>
      <c r="I43" s="4">
        <f t="shared" si="3"/>
        <v>1413.0147860308737</v>
      </c>
      <c r="J43" s="33">
        <f>'2010-10'!J43</f>
        <v>1219.8272919999999</v>
      </c>
      <c r="K43" s="33">
        <f>'2010-10'!K43</f>
        <v>1723634</v>
      </c>
      <c r="L43" s="22">
        <f t="shared" si="4"/>
        <v>24928039.165336832</v>
      </c>
      <c r="M43" s="22">
        <f t="shared" si="5"/>
        <v>1723634</v>
      </c>
      <c r="N43" s="19" t="s">
        <v>91</v>
      </c>
      <c r="O43" s="4">
        <f t="shared" si="6"/>
        <v>509.14420760475986</v>
      </c>
      <c r="P43" s="13">
        <f>'2010-10'!P43</f>
        <v>621068</v>
      </c>
      <c r="Q43" s="22">
        <f t="shared" si="7"/>
        <v>8982189.6228186581</v>
      </c>
      <c r="R43" s="13">
        <f t="shared" si="8"/>
        <v>621068</v>
      </c>
      <c r="W43" s="18">
        <f t="shared" si="10"/>
        <v>0.36032475571960171</v>
      </c>
    </row>
    <row r="44" spans="1:23">
      <c r="A44" s="18" t="s">
        <v>55</v>
      </c>
      <c r="B44" s="4">
        <f>'2010-10'!B44</f>
        <v>64.533357950473999</v>
      </c>
      <c r="C44" s="4">
        <f>'2010-10'!C44</f>
        <v>73.630820924041743</v>
      </c>
      <c r="D44" s="16">
        <f t="shared" si="9"/>
        <v>110446.2313860626</v>
      </c>
      <c r="E44" s="34">
        <f>'Interval Circuities'!J44</f>
        <v>1.3874547008609153</v>
      </c>
      <c r="F44" s="4">
        <f t="shared" si="0"/>
        <v>46.512046779207324</v>
      </c>
      <c r="G44" s="4">
        <f t="shared" si="1"/>
        <v>69.768070168810993</v>
      </c>
      <c r="H44" s="4">
        <f t="shared" si="2"/>
        <v>15291.964925869797</v>
      </c>
      <c r="I44" s="4">
        <f t="shared" si="3"/>
        <v>1418.9468389746553</v>
      </c>
      <c r="J44" s="33">
        <f>'2010-10'!J44</f>
        <v>719.71900000000005</v>
      </c>
      <c r="K44" s="33">
        <f>'2010-10'!K44</f>
        <v>1021243</v>
      </c>
      <c r="L44" s="22">
        <f t="shared" si="4"/>
        <v>21698485.293274246</v>
      </c>
      <c r="M44" s="22">
        <f t="shared" si="5"/>
        <v>1021243</v>
      </c>
      <c r="N44" s="19" t="s">
        <v>91</v>
      </c>
      <c r="O44" s="4">
        <f t="shared" si="6"/>
        <v>731.05892716462949</v>
      </c>
      <c r="P44" s="13">
        <f>'2010-10'!P44</f>
        <v>526157</v>
      </c>
      <c r="Q44" s="22">
        <f t="shared" si="7"/>
        <v>11179327.472945517</v>
      </c>
      <c r="R44" s="13">
        <f t="shared" si="8"/>
        <v>526157</v>
      </c>
      <c r="W44" s="18">
        <f t="shared" si="10"/>
        <v>0.51521234417273853</v>
      </c>
    </row>
    <row r="45" spans="1:23">
      <c r="A45" s="18" t="s">
        <v>67</v>
      </c>
      <c r="B45" s="4">
        <f>'2010-10'!B45</f>
        <v>70.329269785649885</v>
      </c>
      <c r="C45" s="4">
        <f>'2010-10'!C45</f>
        <v>78.441220996603292</v>
      </c>
      <c r="D45" s="16">
        <f t="shared" si="9"/>
        <v>117661.83149490492</v>
      </c>
      <c r="E45" s="34">
        <f>'Interval Circuities'!J45</f>
        <v>1.2491587964112882</v>
      </c>
      <c r="F45" s="4">
        <f t="shared" si="0"/>
        <v>56.301304516046351</v>
      </c>
      <c r="G45" s="4">
        <f t="shared" si="1"/>
        <v>84.451956774069529</v>
      </c>
      <c r="H45" s="4">
        <f t="shared" si="2"/>
        <v>22406.256646553687</v>
      </c>
      <c r="I45" s="4">
        <f t="shared" si="3"/>
        <v>1136.9073371227814</v>
      </c>
      <c r="J45" s="33">
        <f>'2010-10'!J45</f>
        <v>1546.484874</v>
      </c>
      <c r="K45" s="33">
        <f>'2010-10'!K45</f>
        <v>1758210</v>
      </c>
      <c r="L45" s="22">
        <f t="shared" si="4"/>
        <v>25473837.578922976</v>
      </c>
      <c r="M45" s="22">
        <f t="shared" si="5"/>
        <v>1758210</v>
      </c>
      <c r="N45" s="19" t="s">
        <v>91</v>
      </c>
      <c r="O45" s="4">
        <f t="shared" si="6"/>
        <v>464.39186834232174</v>
      </c>
      <c r="P45" s="13">
        <f>'2010-10'!P45</f>
        <v>718175</v>
      </c>
      <c r="Q45" s="22">
        <f t="shared" si="7"/>
        <v>10405283.386650631</v>
      </c>
      <c r="R45" s="13">
        <f t="shared" si="8"/>
        <v>718175</v>
      </c>
      <c r="W45" s="18">
        <f t="shared" si="10"/>
        <v>0.40846940922870417</v>
      </c>
    </row>
    <row r="46" spans="1:23">
      <c r="A46" s="18" t="s">
        <v>68</v>
      </c>
      <c r="B46" s="4">
        <f>'2010-10'!B46</f>
        <v>74.208902356796543</v>
      </c>
      <c r="C46" s="4">
        <f>'2010-10'!C46</f>
        <v>85.358369483865644</v>
      </c>
      <c r="D46" s="16">
        <f t="shared" si="9"/>
        <v>128037.55422579846</v>
      </c>
      <c r="E46" s="34">
        <f>'Interval Circuities'!J46</f>
        <v>1.3874839144677951</v>
      </c>
      <c r="F46" s="4">
        <f t="shared" si="0"/>
        <v>53.484513645883432</v>
      </c>
      <c r="G46" s="4">
        <f t="shared" si="1"/>
        <v>80.226770468825151</v>
      </c>
      <c r="H46" s="4">
        <f t="shared" si="2"/>
        <v>20220.341809117563</v>
      </c>
      <c r="I46" s="4">
        <f t="shared" si="3"/>
        <v>1558.6954968295993</v>
      </c>
      <c r="J46" s="33">
        <f>'2010-10'!J46</f>
        <v>1896.936256</v>
      </c>
      <c r="K46" s="33">
        <f>'2010-10'!K46</f>
        <v>2956746</v>
      </c>
      <c r="L46" s="22">
        <f t="shared" si="4"/>
        <v>31517355.722226817</v>
      </c>
      <c r="M46" s="22">
        <f t="shared" si="5"/>
        <v>2956746</v>
      </c>
      <c r="N46" s="19" t="s">
        <v>91</v>
      </c>
      <c r="O46" s="4">
        <f t="shared" si="6"/>
        <v>580.58039457916288</v>
      </c>
      <c r="P46" s="13">
        <f>'2010-10'!P46</f>
        <v>1101324</v>
      </c>
      <c r="Q46" s="22">
        <f t="shared" si="7"/>
        <v>11739534.026063019</v>
      </c>
      <c r="R46" s="13">
        <f t="shared" si="8"/>
        <v>1101324</v>
      </c>
      <c r="W46" s="18">
        <f t="shared" si="10"/>
        <v>0.37247839347715361</v>
      </c>
    </row>
    <row r="47" spans="1:23" ht="16">
      <c r="A47" s="18" t="s">
        <v>113</v>
      </c>
      <c r="B47" s="4">
        <f>'2010-10'!B47</f>
        <v>72.542200404561456</v>
      </c>
      <c r="C47" s="4">
        <f>'2010-10'!C47</f>
        <v>85.183417252245661</v>
      </c>
      <c r="D47" s="16">
        <f t="shared" si="9"/>
        <v>127775.1258783685</v>
      </c>
      <c r="E47" s="34">
        <f>'Interval Circuities'!J47</f>
        <v>1.3798353964556946</v>
      </c>
      <c r="F47" s="4">
        <f t="shared" si="0"/>
        <v>52.573082695875549</v>
      </c>
      <c r="G47" s="4">
        <f t="shared" si="1"/>
        <v>78.859624043813326</v>
      </c>
      <c r="H47" s="4">
        <f t="shared" si="2"/>
        <v>19537.063013936207</v>
      </c>
      <c r="I47" s="4">
        <f t="shared" si="3"/>
        <v>2419.4675820015173</v>
      </c>
      <c r="J47" s="33">
        <f>'2010-10'!J47</f>
        <v>1356.1710949999999</v>
      </c>
      <c r="K47" s="33">
        <f>'2010-10'!K47</f>
        <v>3281212</v>
      </c>
      <c r="L47" s="22">
        <f t="shared" si="4"/>
        <v>47269290.609739512</v>
      </c>
      <c r="M47" s="22">
        <f t="shared" si="5"/>
        <v>3281212</v>
      </c>
      <c r="N47" s="19" t="s">
        <v>91</v>
      </c>
      <c r="O47" s="4">
        <f t="shared" si="6"/>
        <v>1303.5176804148005</v>
      </c>
      <c r="P47" s="13">
        <f>'2010-10'!P47</f>
        <v>1767793</v>
      </c>
      <c r="Q47" s="22">
        <f t="shared" si="7"/>
        <v>25466907.062043916</v>
      </c>
      <c r="R47" s="13">
        <f t="shared" si="8"/>
        <v>1767793</v>
      </c>
      <c r="W47" s="18">
        <f t="shared" si="10"/>
        <v>0.53876220128415964</v>
      </c>
    </row>
    <row r="48" spans="1:23" ht="16">
      <c r="A48" s="18" t="s">
        <v>71</v>
      </c>
      <c r="B48" s="4">
        <f>'2010-10'!B48</f>
        <v>67.913980035971221</v>
      </c>
      <c r="C48" s="4">
        <f>'2010-10'!C48</f>
        <v>78.194542652624932</v>
      </c>
      <c r="D48" s="16">
        <f t="shared" si="9"/>
        <v>117291.8139789374</v>
      </c>
      <c r="E48" s="34">
        <f>'Interval Circuities'!J48</f>
        <v>1.3538688331181019</v>
      </c>
      <c r="F48" s="4">
        <f t="shared" si="0"/>
        <v>50.162894938321465</v>
      </c>
      <c r="G48" s="4">
        <f t="shared" si="1"/>
        <v>75.244342407482193</v>
      </c>
      <c r="H48" s="4">
        <f t="shared" si="2"/>
        <v>17786.789886461072</v>
      </c>
      <c r="I48" s="4">
        <f t="shared" si="3"/>
        <v>2247.211920874815</v>
      </c>
      <c r="J48" s="33">
        <f>'2010-10'!J48</f>
        <v>740.69382800000005</v>
      </c>
      <c r="K48" s="33">
        <f>'2010-10'!K48</f>
        <v>1664496</v>
      </c>
      <c r="L48" s="22">
        <f t="shared" si="4"/>
        <v>39970686.26695092</v>
      </c>
      <c r="M48" s="22">
        <f t="shared" si="5"/>
        <v>1664496</v>
      </c>
      <c r="N48" s="19" t="s">
        <v>91</v>
      </c>
      <c r="O48" s="4">
        <f t="shared" si="6"/>
        <v>1157.0664795656971</v>
      </c>
      <c r="P48" s="13">
        <f>'2010-10'!P48</f>
        <v>857032</v>
      </c>
      <c r="Q48" s="22">
        <f t="shared" si="7"/>
        <v>20580498.356702261</v>
      </c>
      <c r="R48" s="13">
        <f t="shared" si="8"/>
        <v>857032</v>
      </c>
      <c r="W48" s="18">
        <f t="shared" si="10"/>
        <v>0.51488979246570743</v>
      </c>
    </row>
    <row r="49" spans="1:23">
      <c r="A49" s="18" t="s">
        <v>56</v>
      </c>
      <c r="B49" s="4">
        <f>'2010-10'!B49</f>
        <v>59.237163329958236</v>
      </c>
      <c r="C49" s="4">
        <f>'2010-10'!C49</f>
        <v>69.529876568500782</v>
      </c>
      <c r="D49" s="16">
        <f t="shared" si="9"/>
        <v>104294.81485275118</v>
      </c>
      <c r="E49" s="34">
        <f>'Interval Circuities'!J49</f>
        <v>1.3877189496448212</v>
      </c>
      <c r="F49" s="4">
        <f t="shared" si="0"/>
        <v>42.686715019002698</v>
      </c>
      <c r="G49" s="4">
        <f t="shared" si="1"/>
        <v>64.03007252850405</v>
      </c>
      <c r="H49" s="4">
        <f t="shared" si="2"/>
        <v>12880.059231456777</v>
      </c>
      <c r="I49" s="4">
        <f t="shared" si="3"/>
        <v>1169.1810890127867</v>
      </c>
      <c r="J49" s="33">
        <f>'2010-10'!J49</f>
        <v>2616.6973010000002</v>
      </c>
      <c r="K49" s="33">
        <f>'2010-10'!K49</f>
        <v>3059393</v>
      </c>
      <c r="L49" s="22">
        <f t="shared" si="4"/>
        <v>15059121.67878383</v>
      </c>
      <c r="M49" s="22">
        <f t="shared" si="5"/>
        <v>3059393</v>
      </c>
      <c r="N49" s="19" t="s">
        <v>91</v>
      </c>
      <c r="O49" s="4">
        <f t="shared" si="6"/>
        <v>548.69319406998534</v>
      </c>
      <c r="P49" s="13">
        <f>'2010-10'!P49</f>
        <v>1435764</v>
      </c>
      <c r="Q49" s="22">
        <f t="shared" si="7"/>
        <v>7067200.8395186197</v>
      </c>
      <c r="R49" s="13">
        <f t="shared" si="8"/>
        <v>1435764</v>
      </c>
      <c r="W49" s="18">
        <f t="shared" si="10"/>
        <v>0.46929701414627023</v>
      </c>
    </row>
    <row r="50" spans="1:23">
      <c r="A50" s="18" t="s">
        <v>75</v>
      </c>
      <c r="B50" s="4">
        <f>'2010-10'!B50</f>
        <v>59.396208684850201</v>
      </c>
      <c r="C50" s="4">
        <f>'2010-10'!C50</f>
        <v>72.013674499161084</v>
      </c>
      <c r="D50" s="16">
        <f t="shared" si="9"/>
        <v>108020.51174874163</v>
      </c>
      <c r="E50" s="34">
        <f>'Interval Circuities'!J50</f>
        <v>1.2208577984067597</v>
      </c>
      <c r="F50" s="4">
        <f t="shared" si="0"/>
        <v>48.651209635031428</v>
      </c>
      <c r="G50" s="4">
        <f t="shared" si="1"/>
        <v>72.976814452547146</v>
      </c>
      <c r="H50" s="4">
        <f t="shared" si="2"/>
        <v>16730.914366154837</v>
      </c>
      <c r="I50" s="4">
        <f t="shared" si="3"/>
        <v>1715.2084870415904</v>
      </c>
      <c r="J50" s="33">
        <f>'2010-10'!J50</f>
        <v>3207.994271</v>
      </c>
      <c r="K50" s="33">
        <f>'2010-10'!K50</f>
        <v>5502379</v>
      </c>
      <c r="L50" s="22">
        <f t="shared" si="4"/>
        <v>28697006.316794846</v>
      </c>
      <c r="M50" s="22">
        <f t="shared" si="5"/>
        <v>5502379</v>
      </c>
      <c r="N50" s="19" t="s">
        <v>91</v>
      </c>
      <c r="O50" s="4">
        <f t="shared" si="6"/>
        <v>567.61603861355525</v>
      </c>
      <c r="P50" s="13">
        <f>'2010-10'!P50</f>
        <v>1820909</v>
      </c>
      <c r="Q50" s="22">
        <f t="shared" si="7"/>
        <v>9496735.3348994292</v>
      </c>
      <c r="R50" s="13">
        <f t="shared" si="8"/>
        <v>1820909</v>
      </c>
      <c r="W50" s="18">
        <f t="shared" si="10"/>
        <v>0.33093122084102167</v>
      </c>
    </row>
    <row r="51" spans="1:23">
      <c r="A51" s="18" t="s">
        <v>57</v>
      </c>
      <c r="B51" s="4">
        <f>'2010-10'!B51</f>
        <v>55.946693712217225</v>
      </c>
      <c r="C51" s="4">
        <f>'2010-10'!C51</f>
        <v>67.155256306515241</v>
      </c>
      <c r="D51" s="16">
        <f t="shared" si="9"/>
        <v>100732.88445977286</v>
      </c>
      <c r="E51" s="34">
        <f>'Interval Circuities'!J51</f>
        <v>1.286841212715055</v>
      </c>
      <c r="F51" s="4">
        <f t="shared" si="0"/>
        <v>43.475988458729518</v>
      </c>
      <c r="G51" s="4">
        <f t="shared" si="1"/>
        <v>65.213982688094276</v>
      </c>
      <c r="H51" s="4">
        <f t="shared" si="2"/>
        <v>13360.764847835972</v>
      </c>
      <c r="I51" s="4">
        <f t="shared" si="3"/>
        <v>899.04720299169355</v>
      </c>
      <c r="J51" s="33">
        <f>'2010-10'!J51</f>
        <v>2392.2058740000002</v>
      </c>
      <c r="K51" s="33">
        <f>'2010-10'!K51</f>
        <v>2150706</v>
      </c>
      <c r="L51" s="22">
        <f t="shared" si="4"/>
        <v>12011958.266276671</v>
      </c>
      <c r="M51" s="22">
        <f t="shared" si="5"/>
        <v>2150706</v>
      </c>
      <c r="N51" s="19" t="s">
        <v>91</v>
      </c>
      <c r="O51" s="4">
        <f t="shared" si="6"/>
        <v>488.93826936569087</v>
      </c>
      <c r="P51" s="13">
        <f>'2010-10'!P51</f>
        <v>1169641</v>
      </c>
      <c r="Q51" s="22">
        <f t="shared" si="7"/>
        <v>6532589.2421028782</v>
      </c>
      <c r="R51" s="13">
        <f t="shared" si="8"/>
        <v>1169641</v>
      </c>
      <c r="W51" s="18">
        <f t="shared" si="10"/>
        <v>0.5438404877282158</v>
      </c>
    </row>
    <row r="52" spans="1:23">
      <c r="A52" s="18" t="s">
        <v>70</v>
      </c>
      <c r="B52" s="4">
        <f>'2010-10'!B52</f>
        <v>65.037009428922346</v>
      </c>
      <c r="C52" s="4">
        <f>'2010-10'!C52</f>
        <v>76.223831707390744</v>
      </c>
      <c r="D52" s="16">
        <f t="shared" si="9"/>
        <v>114335.74756108613</v>
      </c>
      <c r="E52" s="34">
        <f>'Interval Circuities'!J52</f>
        <v>1.2582428496249867</v>
      </c>
      <c r="F52" s="4">
        <f t="shared" si="0"/>
        <v>51.688757419369651</v>
      </c>
      <c r="G52" s="4">
        <f t="shared" si="1"/>
        <v>77.533136129054469</v>
      </c>
      <c r="H52" s="4">
        <f t="shared" si="2"/>
        <v>18885.329859140926</v>
      </c>
      <c r="I52" s="4">
        <f t="shared" si="3"/>
        <v>985.14575645956916</v>
      </c>
      <c r="J52" s="33">
        <f>'2010-10'!J52</f>
        <v>2478.5875430000001</v>
      </c>
      <c r="K52" s="33">
        <f>'2010-10'!K52</f>
        <v>2441770</v>
      </c>
      <c r="L52" s="22">
        <f t="shared" si="4"/>
        <v>18604802.570071876</v>
      </c>
      <c r="M52" s="22">
        <f t="shared" si="5"/>
        <v>2441770</v>
      </c>
      <c r="N52" s="19" t="s">
        <v>91</v>
      </c>
      <c r="O52" s="4">
        <f t="shared" si="6"/>
        <v>376.11380829892278</v>
      </c>
      <c r="P52" s="13">
        <f>'2010-10'!P52</f>
        <v>932231</v>
      </c>
      <c r="Q52" s="22">
        <f t="shared" si="7"/>
        <v>7103033.3343028529</v>
      </c>
      <c r="R52" s="13">
        <f t="shared" si="8"/>
        <v>932231</v>
      </c>
      <c r="W52" s="18">
        <f t="shared" si="10"/>
        <v>0.38178493469900937</v>
      </c>
    </row>
    <row r="53" spans="1:23" ht="16">
      <c r="A53" s="18" t="s">
        <v>116</v>
      </c>
      <c r="B53" s="4">
        <f>'2010-10'!B53</f>
        <v>60.647730141730513</v>
      </c>
      <c r="C53" s="4">
        <f>'2010-10'!C53</f>
        <v>74.545005322142316</v>
      </c>
      <c r="D53" s="16">
        <f t="shared" si="9"/>
        <v>111817.50798321348</v>
      </c>
      <c r="E53" s="34">
        <f>'Interval Circuities'!J53</f>
        <v>1.2618164588235785</v>
      </c>
      <c r="F53" s="4">
        <f t="shared" si="0"/>
        <v>48.063828711089911</v>
      </c>
      <c r="G53" s="4">
        <f t="shared" si="1"/>
        <v>72.095743066634867</v>
      </c>
      <c r="H53" s="4">
        <f t="shared" si="2"/>
        <v>16329.358257283424</v>
      </c>
      <c r="I53" s="4">
        <f t="shared" si="3"/>
        <v>1339.8831695910785</v>
      </c>
      <c r="J53" s="33">
        <f>'2010-10'!J53</f>
        <v>3423.2611499999998</v>
      </c>
      <c r="K53" s="33">
        <f>'2010-10'!K53</f>
        <v>4586770</v>
      </c>
      <c r="L53" s="22">
        <f t="shared" si="4"/>
        <v>21879432.299157165</v>
      </c>
      <c r="M53" s="22">
        <f t="shared" si="5"/>
        <v>4586770</v>
      </c>
      <c r="N53" s="19" t="s">
        <v>91</v>
      </c>
      <c r="O53" s="4">
        <f t="shared" si="6"/>
        <v>692.47740564578316</v>
      </c>
      <c r="P53" s="13">
        <f>'2010-10'!P53</f>
        <v>2370531</v>
      </c>
      <c r="Q53" s="22">
        <f t="shared" si="7"/>
        <v>11307711.641864173</v>
      </c>
      <c r="R53" s="13">
        <f t="shared" si="8"/>
        <v>2370531</v>
      </c>
      <c r="W53" s="18">
        <f t="shared" si="10"/>
        <v>0.51681924317112038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"/>
  <sheetViews>
    <sheetView topLeftCell="A2" workbookViewId="0">
      <selection activeCell="B3" sqref="B3"/>
    </sheetView>
  </sheetViews>
  <sheetFormatPr baseColWidth="10" defaultColWidth="8.83203125" defaultRowHeight="14" x14ac:dyDescent="0"/>
  <cols>
    <col min="1" max="1" width="19.1640625" bestFit="1" customWidth="1"/>
    <col min="2" max="8" width="5.5" bestFit="1" customWidth="1"/>
    <col min="9" max="10" width="7.6640625" bestFit="1" customWidth="1"/>
    <col min="11" max="19" width="5.5" bestFit="1" customWidth="1"/>
    <col min="20" max="20" width="8.33203125" customWidth="1"/>
    <col min="21" max="21" width="7.5" bestFit="1" customWidth="1"/>
    <col min="22" max="22" width="10.83203125" style="18" bestFit="1" customWidth="1"/>
    <col min="23" max="23" width="6.6640625" customWidth="1"/>
    <col min="25" max="25" width="10.83203125" bestFit="1" customWidth="1"/>
    <col min="26" max="26" width="5.5" bestFit="1" customWidth="1"/>
    <col min="27" max="27" width="6.6640625" bestFit="1" customWidth="1"/>
    <col min="28" max="28" width="6.33203125" bestFit="1" customWidth="1"/>
  </cols>
  <sheetData>
    <row r="1" spans="1:28" ht="15" thickBot="1">
      <c r="A1" s="37"/>
      <c r="B1" s="151" t="s">
        <v>169</v>
      </c>
      <c r="C1" s="152"/>
      <c r="D1" s="152"/>
      <c r="E1" s="152"/>
      <c r="F1" s="152"/>
      <c r="G1" s="152"/>
      <c r="H1" s="152"/>
      <c r="I1" s="152"/>
      <c r="J1" s="153"/>
      <c r="K1" s="154" t="s">
        <v>171</v>
      </c>
      <c r="L1" s="155"/>
      <c r="M1" s="155"/>
      <c r="N1" s="155"/>
      <c r="O1" s="155"/>
      <c r="P1" s="155"/>
      <c r="Q1" s="155"/>
      <c r="R1" s="155"/>
      <c r="S1" s="156"/>
      <c r="T1" s="157" t="s">
        <v>175</v>
      </c>
      <c r="U1" s="158"/>
      <c r="V1" s="158"/>
      <c r="W1" s="158"/>
      <c r="X1" s="157" t="s">
        <v>176</v>
      </c>
      <c r="Y1" s="158"/>
      <c r="Z1" s="158"/>
      <c r="AA1" s="18" t="s">
        <v>177</v>
      </c>
      <c r="AB1" s="18" t="s">
        <v>178</v>
      </c>
    </row>
    <row r="2" spans="1:28" ht="17" thickBot="1">
      <c r="A2" s="38"/>
      <c r="B2" s="39">
        <v>10</v>
      </c>
      <c r="C2" s="40">
        <v>20</v>
      </c>
      <c r="D2" s="40">
        <v>30</v>
      </c>
      <c r="E2" s="40">
        <v>40</v>
      </c>
      <c r="F2" s="40">
        <v>50</v>
      </c>
      <c r="G2" s="40">
        <v>60</v>
      </c>
      <c r="H2" s="40">
        <v>70</v>
      </c>
      <c r="I2" s="40">
        <v>80</v>
      </c>
      <c r="J2" s="53">
        <v>90</v>
      </c>
      <c r="K2" s="54">
        <f>LN(B2)</f>
        <v>2.3025850929940459</v>
      </c>
      <c r="L2" s="55">
        <f t="shared" ref="L2:S2" si="0">LN(C2)</f>
        <v>2.9957322735539909</v>
      </c>
      <c r="M2" s="55">
        <f t="shared" si="0"/>
        <v>3.4011973816621555</v>
      </c>
      <c r="N2" s="55">
        <f t="shared" si="0"/>
        <v>3.6888794541139363</v>
      </c>
      <c r="O2" s="55">
        <f t="shared" si="0"/>
        <v>3.912023005428146</v>
      </c>
      <c r="P2" s="55">
        <f t="shared" si="0"/>
        <v>4.0943445622221004</v>
      </c>
      <c r="Q2" s="55">
        <f t="shared" si="0"/>
        <v>4.2484952420493594</v>
      </c>
      <c r="R2" s="55">
        <f t="shared" si="0"/>
        <v>4.3820266346738812</v>
      </c>
      <c r="S2" s="64">
        <f t="shared" si="0"/>
        <v>4.499809670330265</v>
      </c>
      <c r="T2" s="66" t="s">
        <v>170</v>
      </c>
      <c r="U2" s="67"/>
      <c r="V2" s="67" t="s">
        <v>174</v>
      </c>
      <c r="W2" s="65" t="s">
        <v>172</v>
      </c>
      <c r="X2" s="66" t="s">
        <v>170</v>
      </c>
      <c r="Y2" s="67" t="s">
        <v>174</v>
      </c>
      <c r="Z2" s="65" t="s">
        <v>172</v>
      </c>
      <c r="AA2" s="65" t="s">
        <v>172</v>
      </c>
      <c r="AB2" s="65" t="s">
        <v>172</v>
      </c>
    </row>
    <row r="3" spans="1:28">
      <c r="A3" s="41" t="s">
        <v>26</v>
      </c>
      <c r="B3" s="47">
        <v>1.3810679080102386</v>
      </c>
      <c r="C3" s="48">
        <v>1.3087124907830403</v>
      </c>
      <c r="D3" s="48">
        <v>1.2678601947095567</v>
      </c>
      <c r="E3" s="48">
        <v>1.2411800167011908</v>
      </c>
      <c r="F3" s="48">
        <v>1.2210426501549614</v>
      </c>
      <c r="G3" s="48">
        <v>1.2084405776911233</v>
      </c>
      <c r="H3" s="48">
        <v>1.1994894097934046</v>
      </c>
      <c r="I3" s="48">
        <v>1.1933849385737794</v>
      </c>
      <c r="J3" s="48">
        <v>1.1877771935320718</v>
      </c>
      <c r="K3" s="56">
        <f>LN(B3)</f>
        <v>0.322857046288611</v>
      </c>
      <c r="L3" s="57">
        <f t="shared" ref="L3:S3" si="1">LN(C3)</f>
        <v>0.26904382245419817</v>
      </c>
      <c r="M3" s="57">
        <f t="shared" si="1"/>
        <v>0.23733059339813076</v>
      </c>
      <c r="N3" s="57">
        <f t="shared" si="1"/>
        <v>0.21606255347955483</v>
      </c>
      <c r="O3" s="57">
        <f t="shared" si="1"/>
        <v>0.1997051250303554</v>
      </c>
      <c r="P3" s="57">
        <f t="shared" si="1"/>
        <v>0.18933074965140401</v>
      </c>
      <c r="Q3" s="57">
        <f t="shared" si="1"/>
        <v>0.18189597440778696</v>
      </c>
      <c r="R3" s="57">
        <f t="shared" si="1"/>
        <v>0.17679375542437675</v>
      </c>
      <c r="S3" s="35">
        <f t="shared" si="1"/>
        <v>0.17208365581928947</v>
      </c>
      <c r="T3" s="63">
        <f t="array" ref="T3:U3">LINEST(K3:S3,$K$2:$S$2)</f>
        <v>-6.9617199576356065E-2</v>
      </c>
      <c r="U3" s="63">
        <v>0.47766959869124426</v>
      </c>
      <c r="V3" s="63">
        <f>EXP(U3)</f>
        <v>1.6123126851485563</v>
      </c>
      <c r="W3" s="68">
        <f>RSQ(K3:S3,$K$2:$S$2)</f>
        <v>0.99087232339769415</v>
      </c>
      <c r="X3">
        <f t="array" ref="X3:Y3">LINEST(B3:J3,$K$2:$S$2)</f>
        <v>-8.8754905111722265E-2</v>
      </c>
      <c r="Y3" s="63">
        <v>1.5760524284626454</v>
      </c>
      <c r="Z3" s="68">
        <f>RSQ(B3:J3,$K$2:$S$2)</f>
        <v>0.98706704475546636</v>
      </c>
      <c r="AA3" s="68">
        <f>RSQ(K3:S3,$B$2:$J$2)</f>
        <v>0.85229675331646837</v>
      </c>
      <c r="AB3" s="68">
        <f>RSQ(B3:J3,$B$2:$J$2)</f>
        <v>0.83791617489060366</v>
      </c>
    </row>
    <row r="4" spans="1:28">
      <c r="A4" s="42" t="s">
        <v>27</v>
      </c>
      <c r="B4" s="49">
        <v>1.4404458654112589</v>
      </c>
      <c r="C4" s="45">
        <v>1.3723222910878397</v>
      </c>
      <c r="D4" s="45">
        <v>1.3315156958904781</v>
      </c>
      <c r="E4" s="45">
        <v>1.3069706181282645</v>
      </c>
      <c r="F4" s="45">
        <v>1.2879992795041273</v>
      </c>
      <c r="G4" s="45">
        <v>1.2747371883868555</v>
      </c>
      <c r="H4" s="45">
        <v>1.2686558801685661</v>
      </c>
      <c r="I4" s="45">
        <v>1.2630063192455665</v>
      </c>
      <c r="J4" s="45">
        <v>1.2582890434326388</v>
      </c>
      <c r="K4" s="58">
        <f t="shared" ref="K4:K53" si="2">LN(B4)</f>
        <v>0.36495269442063649</v>
      </c>
      <c r="L4" s="59">
        <f t="shared" ref="L4:L53" si="3">LN(C4)</f>
        <v>0.31650440775828897</v>
      </c>
      <c r="M4" s="59">
        <f t="shared" ref="M4:M53" si="4">LN(D4)</f>
        <v>0.28631791432890302</v>
      </c>
      <c r="N4" s="59">
        <f t="shared" ref="N4:N53" si="5">LN(E4)</f>
        <v>0.26771195399786268</v>
      </c>
      <c r="O4" s="59">
        <f t="shared" ref="O4:O53" si="6">LN(F4)</f>
        <v>0.25309006829079989</v>
      </c>
      <c r="P4" s="59">
        <f t="shared" ref="P4:P53" si="7">LN(G4)</f>
        <v>0.24274003060794255</v>
      </c>
      <c r="Q4" s="59">
        <f t="shared" ref="Q4:Q53" si="8">LN(H4)</f>
        <v>0.23795797793788526</v>
      </c>
      <c r="R4" s="59">
        <f t="shared" ref="R4:R53" si="9">LN(I4)</f>
        <v>0.23349484671733095</v>
      </c>
      <c r="S4" s="36">
        <f t="shared" ref="S4:S53" si="10">LN(J4)</f>
        <v>0.22975289614136471</v>
      </c>
      <c r="T4" s="63">
        <f t="array" ref="T4:U4">LINEST(K4:S4,$K$2:$S$2)</f>
        <v>-6.2664774617578689E-2</v>
      </c>
      <c r="U4" s="63">
        <v>0.50370724521620669</v>
      </c>
      <c r="V4" s="63">
        <f t="shared" ref="V4:V53" si="11">EXP(U4)</f>
        <v>1.6548448284956179</v>
      </c>
      <c r="W4" s="68">
        <f t="shared" ref="W4:W53" si="12">RSQ(K4:S4,$K$2:$S$2)</f>
        <v>0.98751276060708959</v>
      </c>
      <c r="X4" s="18">
        <f t="array" ref="X4:Y4">LINEST(B4:J4,$K$2:$S$2)</f>
        <v>-8.3982791460064377E-2</v>
      </c>
      <c r="Y4" s="63">
        <v>1.6243859002198606</v>
      </c>
      <c r="Z4" s="68">
        <f t="shared" ref="Z4:Z53" si="13">RSQ(B4:J4,$K$2:$S$2)</f>
        <v>0.98384776110721428</v>
      </c>
      <c r="AA4" s="68">
        <f t="shared" ref="AA4:AA53" si="14">RSQ(K4:S4,$B$2:$J$2)</f>
        <v>0.8414190918053216</v>
      </c>
      <c r="AB4" s="68">
        <f t="shared" ref="AB4:AB53" si="15">RSQ(B4:J4,$B$2:$J$2)</f>
        <v>0.82860406590875602</v>
      </c>
    </row>
    <row r="5" spans="1:28">
      <c r="A5" s="42" t="s">
        <v>28</v>
      </c>
      <c r="B5" s="50">
        <v>1.3822949804670155</v>
      </c>
      <c r="C5" s="46">
        <v>1.3092658889264803</v>
      </c>
      <c r="D5" s="46">
        <v>1.2716628995034032</v>
      </c>
      <c r="E5" s="46">
        <v>1.2476796419595966</v>
      </c>
      <c r="F5" s="46">
        <v>1.2338763577562017</v>
      </c>
      <c r="G5" s="46">
        <v>1.2261163596071283</v>
      </c>
      <c r="H5" s="46">
        <v>1.2246097283275779</v>
      </c>
      <c r="I5" s="46">
        <v>1.2268115098360695</v>
      </c>
      <c r="J5" s="46">
        <v>1.2337415965111269</v>
      </c>
      <c r="K5" s="58">
        <f t="shared" si="2"/>
        <v>0.32374514719098996</v>
      </c>
      <c r="L5" s="59">
        <f t="shared" si="3"/>
        <v>0.26946659000336637</v>
      </c>
      <c r="M5" s="59">
        <f t="shared" si="4"/>
        <v>0.24032541368127783</v>
      </c>
      <c r="N5" s="59">
        <f t="shared" si="5"/>
        <v>0.22128553984712462</v>
      </c>
      <c r="O5" s="59">
        <f t="shared" si="6"/>
        <v>0.21016072415543255</v>
      </c>
      <c r="P5" s="59">
        <f t="shared" si="7"/>
        <v>0.20385174296722927</v>
      </c>
      <c r="Q5" s="59">
        <f t="shared" si="8"/>
        <v>0.2026222041160505</v>
      </c>
      <c r="R5" s="59">
        <f t="shared" si="9"/>
        <v>0.20441853521270115</v>
      </c>
      <c r="S5" s="36">
        <f t="shared" si="10"/>
        <v>0.21005150040385806</v>
      </c>
      <c r="T5" s="63">
        <f t="array" ref="T5:U5">LINEST(K5:S5,$K$2:$S$2)</f>
        <v>-5.4393675571153079E-2</v>
      </c>
      <c r="U5" s="63">
        <v>0.43438671632856413</v>
      </c>
      <c r="V5" s="63">
        <f t="shared" si="11"/>
        <v>1.5440158488182545</v>
      </c>
      <c r="W5" s="68">
        <f t="shared" si="12"/>
        <v>0.91522047434923626</v>
      </c>
      <c r="X5" s="18">
        <f t="array" ref="X5:Y5">LINEST(B5:J5,$K$2:$S$2)</f>
        <v>-7.038242612316245E-2</v>
      </c>
      <c r="Y5" s="63">
        <v>1.5239595962836048</v>
      </c>
      <c r="Z5" s="68">
        <f t="shared" si="13"/>
        <v>0.91053107024368318</v>
      </c>
      <c r="AA5" s="68">
        <f t="shared" si="14"/>
        <v>0.68724128193426659</v>
      </c>
      <c r="AB5" s="68">
        <f t="shared" si="15"/>
        <v>0.67826313354173906</v>
      </c>
    </row>
    <row r="6" spans="1:28">
      <c r="A6" s="42" t="s">
        <v>29</v>
      </c>
      <c r="B6" s="49">
        <v>1.3221707933341669</v>
      </c>
      <c r="C6" s="45">
        <v>1.2579493722607327</v>
      </c>
      <c r="D6" s="45">
        <v>1.225852846145757</v>
      </c>
      <c r="E6" s="45">
        <v>1.2078231024802963</v>
      </c>
      <c r="F6" s="45">
        <v>1.1956866082763671</v>
      </c>
      <c r="G6" s="45">
        <v>1.1905717622441363</v>
      </c>
      <c r="H6" s="45">
        <v>1.1860014644783186</v>
      </c>
      <c r="I6" s="45">
        <v>1.1822577092208564</v>
      </c>
      <c r="J6" s="45">
        <v>1.1792959449191527</v>
      </c>
      <c r="K6" s="58">
        <f t="shared" si="2"/>
        <v>0.27927492622711425</v>
      </c>
      <c r="L6" s="59">
        <f t="shared" si="3"/>
        <v>0.22948291284260341</v>
      </c>
      <c r="M6" s="59">
        <f t="shared" si="4"/>
        <v>0.20363680269655413</v>
      </c>
      <c r="N6" s="59">
        <f t="shared" si="5"/>
        <v>0.18881965044535648</v>
      </c>
      <c r="O6" s="59">
        <f t="shared" si="6"/>
        <v>0.17872058797799917</v>
      </c>
      <c r="P6" s="59">
        <f t="shared" si="7"/>
        <v>0.17443366420756262</v>
      </c>
      <c r="Q6" s="59">
        <f t="shared" si="8"/>
        <v>0.17058753537942442</v>
      </c>
      <c r="R6" s="59">
        <f t="shared" si="9"/>
        <v>0.16742592332486467</v>
      </c>
      <c r="S6" s="36">
        <f t="shared" si="10"/>
        <v>0.16491760355886562</v>
      </c>
      <c r="T6" s="63">
        <f t="array" ref="T6:U6">LINEST(K6:S6,$K$2:$S$2)</f>
        <v>-5.1330124285923102E-2</v>
      </c>
      <c r="U6" s="63">
        <v>0.38646075703561733</v>
      </c>
      <c r="V6" s="63">
        <f t="shared" si="11"/>
        <v>1.4717626396042605</v>
      </c>
      <c r="W6" s="68">
        <f t="shared" si="12"/>
        <v>0.96052049859506883</v>
      </c>
      <c r="X6" s="18">
        <f t="array" ref="X6:Y6">LINEST(B6:J6,$K$2:$S$2)</f>
        <v>-6.3790396534822408E-2</v>
      </c>
      <c r="Y6" s="63">
        <v>1.4540209555466572</v>
      </c>
      <c r="Z6" s="68">
        <f t="shared" si="13"/>
        <v>0.95475564922464107</v>
      </c>
      <c r="AA6" s="68">
        <f t="shared" si="14"/>
        <v>0.76970686749788186</v>
      </c>
      <c r="AB6" s="68">
        <f t="shared" si="15"/>
        <v>0.75774828294759933</v>
      </c>
    </row>
    <row r="7" spans="1:28">
      <c r="A7" s="42" t="s">
        <v>30</v>
      </c>
      <c r="B7" s="49">
        <v>1.2726128167623416</v>
      </c>
      <c r="C7" s="45">
        <v>1.2242186729132589</v>
      </c>
      <c r="D7" s="45">
        <v>1.2021720891550782</v>
      </c>
      <c r="E7" s="45">
        <v>1.1895929057749248</v>
      </c>
      <c r="F7" s="45">
        <v>1.1803913897988716</v>
      </c>
      <c r="G7" s="45">
        <v>1.1734589731007847</v>
      </c>
      <c r="H7" s="45">
        <v>1.1689289949876671</v>
      </c>
      <c r="I7" s="45">
        <v>1.1659230811658463</v>
      </c>
      <c r="J7" s="45">
        <v>1.1646573299473928</v>
      </c>
      <c r="K7" s="58">
        <f t="shared" si="2"/>
        <v>0.24107212308623976</v>
      </c>
      <c r="L7" s="59">
        <f t="shared" si="3"/>
        <v>0.20230282247424586</v>
      </c>
      <c r="M7" s="59">
        <f t="shared" si="4"/>
        <v>0.18412999487951878</v>
      </c>
      <c r="N7" s="59">
        <f t="shared" si="5"/>
        <v>0.17361115260779902</v>
      </c>
      <c r="O7" s="59">
        <f t="shared" si="6"/>
        <v>0.16584606975207317</v>
      </c>
      <c r="P7" s="59">
        <f t="shared" si="7"/>
        <v>0.15995577455657167</v>
      </c>
      <c r="Q7" s="59">
        <f t="shared" si="8"/>
        <v>0.15608794068596132</v>
      </c>
      <c r="R7" s="59">
        <f t="shared" si="9"/>
        <v>0.15351311762696193</v>
      </c>
      <c r="S7" s="36">
        <f t="shared" si="10"/>
        <v>0.15242690636656681</v>
      </c>
      <c r="T7" s="63">
        <f t="array" ref="T7:U7">LINEST(K7:S7,$K$2:$S$2)</f>
        <v>-4.0006621183642323E-2</v>
      </c>
      <c r="U7" s="63">
        <v>0.32557462339072574</v>
      </c>
      <c r="V7" s="63">
        <f t="shared" si="11"/>
        <v>1.3848261709051384</v>
      </c>
      <c r="W7" s="68">
        <f t="shared" si="12"/>
        <v>0.97218112390476641</v>
      </c>
      <c r="X7" s="18">
        <f t="array" ref="X7:Y7">LINEST(B7:J7,$K$2:$S$2)</f>
        <v>-4.8513540119075049E-2</v>
      </c>
      <c r="Y7" s="63">
        <v>1.3742641348041702</v>
      </c>
      <c r="Z7" s="68">
        <f t="shared" si="13"/>
        <v>0.9680178703545681</v>
      </c>
      <c r="AA7" s="68">
        <f t="shared" si="14"/>
        <v>0.79665019994323771</v>
      </c>
      <c r="AB7" s="68">
        <f t="shared" si="15"/>
        <v>0.78703647553881428</v>
      </c>
    </row>
    <row r="8" spans="1:28">
      <c r="A8" s="42" t="s">
        <v>31</v>
      </c>
      <c r="B8" s="50">
        <v>1.3548292070349812</v>
      </c>
      <c r="C8" s="46">
        <v>1.2718268758603823</v>
      </c>
      <c r="D8" s="46">
        <v>1.2406030547023881</v>
      </c>
      <c r="E8" s="46">
        <v>1.2259980336163547</v>
      </c>
      <c r="F8" s="46">
        <v>1.219339743976918</v>
      </c>
      <c r="G8" s="46">
        <v>1.2204535484710273</v>
      </c>
      <c r="H8" s="46">
        <v>1.2189910044278438</v>
      </c>
      <c r="I8" s="46">
        <v>1.2188102793904707</v>
      </c>
      <c r="J8" s="46">
        <v>1.2184606076717244</v>
      </c>
      <c r="K8" s="58">
        <f t="shared" si="2"/>
        <v>0.30367539991849196</v>
      </c>
      <c r="L8" s="59">
        <f t="shared" si="3"/>
        <v>0.24045435177160918</v>
      </c>
      <c r="M8" s="59">
        <f t="shared" si="4"/>
        <v>0.21559759583209154</v>
      </c>
      <c r="N8" s="59">
        <f t="shared" si="5"/>
        <v>0.20375523361090203</v>
      </c>
      <c r="O8" s="59">
        <f t="shared" si="6"/>
        <v>0.19830951878558295</v>
      </c>
      <c r="P8" s="59">
        <f t="shared" si="7"/>
        <v>0.1992225507009765</v>
      </c>
      <c r="Q8" s="59">
        <f t="shared" si="8"/>
        <v>0.19802347100336118</v>
      </c>
      <c r="R8" s="59">
        <f t="shared" si="9"/>
        <v>0.19787520211950771</v>
      </c>
      <c r="S8" s="36">
        <f t="shared" si="10"/>
        <v>0.19758826501866952</v>
      </c>
      <c r="T8" s="63">
        <f t="array" ref="T8:U8">LINEST(K8:S8,$K$2:$S$2)</f>
        <v>-4.5198212871998315E-2</v>
      </c>
      <c r="U8" s="63">
        <v>0.38553065478420301</v>
      </c>
      <c r="V8" s="63">
        <f t="shared" si="11"/>
        <v>1.4703943862660107</v>
      </c>
      <c r="W8" s="68">
        <f t="shared" si="12"/>
        <v>0.84481710571852342</v>
      </c>
      <c r="X8" s="18">
        <f t="array" ref="X8:Y8">LINEST(B8:J8,$K$2:$S$2)</f>
        <v>-5.7730040035274773E-2</v>
      </c>
      <c r="Y8" s="63">
        <v>1.4583019260589372</v>
      </c>
      <c r="Z8" s="68">
        <f t="shared" si="13"/>
        <v>0.83784177237702195</v>
      </c>
      <c r="AA8" s="68">
        <f t="shared" si="14"/>
        <v>0.58318461742536265</v>
      </c>
      <c r="AB8" s="68">
        <f t="shared" si="15"/>
        <v>0.5744740435560679</v>
      </c>
    </row>
    <row r="9" spans="1:28">
      <c r="A9" s="42" t="s">
        <v>32</v>
      </c>
      <c r="B9" s="50">
        <v>1.3236002256090809</v>
      </c>
      <c r="C9" s="46">
        <v>1.2622043331825756</v>
      </c>
      <c r="D9" s="46">
        <v>1.237014203266307</v>
      </c>
      <c r="E9" s="46">
        <v>1.2158976337091789</v>
      </c>
      <c r="F9" s="46">
        <v>1.2018060236875545</v>
      </c>
      <c r="G9" s="46">
        <v>1.1904326141515926</v>
      </c>
      <c r="H9" s="46">
        <v>1.1823958559597361</v>
      </c>
      <c r="I9" s="46">
        <v>1.1765397413486474</v>
      </c>
      <c r="J9" s="46">
        <v>1.1715001469840343</v>
      </c>
      <c r="K9" s="58">
        <f t="shared" si="2"/>
        <v>0.28035546751640922</v>
      </c>
      <c r="L9" s="59">
        <f t="shared" si="3"/>
        <v>0.23285966320170332</v>
      </c>
      <c r="M9" s="59">
        <f t="shared" si="4"/>
        <v>0.21270057537055007</v>
      </c>
      <c r="N9" s="59">
        <f t="shared" si="5"/>
        <v>0.19548259719545252</v>
      </c>
      <c r="O9" s="59">
        <f t="shared" si="6"/>
        <v>0.18382544512642621</v>
      </c>
      <c r="P9" s="59">
        <f t="shared" si="7"/>
        <v>0.17431678236216869</v>
      </c>
      <c r="Q9" s="59">
        <f t="shared" si="8"/>
        <v>0.16754276643547594</v>
      </c>
      <c r="R9" s="59">
        <f t="shared" si="9"/>
        <v>0.16257770791664006</v>
      </c>
      <c r="S9" s="36">
        <f t="shared" si="10"/>
        <v>0.15828510443223062</v>
      </c>
      <c r="T9" s="63">
        <f t="array" ref="T9:U9">LINEST(K9:S9,$K$2:$S$2)</f>
        <v>-5.5240016904955634E-2</v>
      </c>
      <c r="U9" s="63">
        <v>0.40220809234776578</v>
      </c>
      <c r="V9" s="63">
        <f t="shared" si="11"/>
        <v>1.4951224238424492</v>
      </c>
      <c r="W9" s="68">
        <f t="shared" si="12"/>
        <v>0.99288486051588942</v>
      </c>
      <c r="X9" s="18">
        <f t="array" ref="X9:Y9">LINEST(B9:J9,$K$2:$S$2)</f>
        <v>-6.8534319130845747E-2</v>
      </c>
      <c r="Y9" s="63">
        <v>1.4732233580199199</v>
      </c>
      <c r="Z9" s="68">
        <f t="shared" si="13"/>
        <v>0.9896597298359846</v>
      </c>
      <c r="AA9" s="68">
        <f t="shared" si="14"/>
        <v>0.86099053319724761</v>
      </c>
      <c r="AB9" s="68">
        <f t="shared" si="15"/>
        <v>0.84866720831701348</v>
      </c>
    </row>
    <row r="10" spans="1:28">
      <c r="A10" s="42" t="s">
        <v>33</v>
      </c>
      <c r="B10" s="50">
        <v>1.4101242469920043</v>
      </c>
      <c r="C10" s="46">
        <v>1.3346635676863023</v>
      </c>
      <c r="D10" s="46">
        <v>1.3006549921101749</v>
      </c>
      <c r="E10" s="46">
        <v>1.2806447263853369</v>
      </c>
      <c r="F10" s="46">
        <v>1.2719049532677678</v>
      </c>
      <c r="G10" s="46">
        <v>1.2662934799155141</v>
      </c>
      <c r="H10" s="46">
        <v>1.2682519023005123</v>
      </c>
      <c r="I10" s="46">
        <v>1.2721393245922437</v>
      </c>
      <c r="J10" s="46">
        <v>1.2779855759070877</v>
      </c>
      <c r="K10" s="58">
        <f t="shared" si="2"/>
        <v>0.3436778189419214</v>
      </c>
      <c r="L10" s="59">
        <f t="shared" si="3"/>
        <v>0.28867925086880891</v>
      </c>
      <c r="M10" s="59">
        <f t="shared" si="4"/>
        <v>0.26286797766744341</v>
      </c>
      <c r="N10" s="59">
        <f t="shared" si="5"/>
        <v>0.24736364360958926</v>
      </c>
      <c r="O10" s="59">
        <f t="shared" si="6"/>
        <v>0.24051573985231475</v>
      </c>
      <c r="P10" s="59">
        <f t="shared" si="7"/>
        <v>0.23609411353557103</v>
      </c>
      <c r="Q10" s="59">
        <f t="shared" si="8"/>
        <v>0.23763949740480475</v>
      </c>
      <c r="R10" s="59">
        <f t="shared" si="9"/>
        <v>0.24069999083188975</v>
      </c>
      <c r="S10" s="36">
        <f t="shared" si="10"/>
        <v>0.24528506943397269</v>
      </c>
      <c r="T10" s="63">
        <f t="array" ref="T10:U10">LINEST(K10:S10,$K$2:$S$2)</f>
        <v>-4.5587402455558042E-2</v>
      </c>
      <c r="U10" s="63">
        <v>0.43012722483886723</v>
      </c>
      <c r="V10" s="63">
        <f t="shared" si="11"/>
        <v>1.5374531133306877</v>
      </c>
      <c r="W10" s="68">
        <f t="shared" si="12"/>
        <v>0.85739761261646585</v>
      </c>
      <c r="X10" s="18">
        <f t="array" ref="X10:Y10">LINEST(B10:J10,$K$2:$S$2)</f>
        <v>-6.0676039546008205E-2</v>
      </c>
      <c r="Y10" s="63">
        <v>1.524092517449394</v>
      </c>
      <c r="Z10" s="68">
        <f t="shared" si="13"/>
        <v>0.85290351367224637</v>
      </c>
      <c r="AA10" s="68">
        <f t="shared" si="14"/>
        <v>0.59658430840464871</v>
      </c>
      <c r="AB10" s="68">
        <f t="shared" si="15"/>
        <v>0.5900589160640195</v>
      </c>
    </row>
    <row r="11" spans="1:28">
      <c r="A11" s="42" t="s">
        <v>34</v>
      </c>
      <c r="B11" s="50">
        <v>1.2785144324718047</v>
      </c>
      <c r="C11" s="46">
        <v>1.2210242271152514</v>
      </c>
      <c r="D11" s="46">
        <v>1.1941029193577641</v>
      </c>
      <c r="E11" s="46">
        <v>1.1762375387586297</v>
      </c>
      <c r="F11" s="46">
        <v>1.1657850372312006</v>
      </c>
      <c r="G11" s="46">
        <v>1.1590296676460083</v>
      </c>
      <c r="H11" s="46">
        <v>1.1538473690936333</v>
      </c>
      <c r="I11" s="46">
        <v>1.1513174285753958</v>
      </c>
      <c r="J11" s="46">
        <v>1.1498564950576229</v>
      </c>
      <c r="K11" s="58">
        <f t="shared" si="2"/>
        <v>0.24569880428281107</v>
      </c>
      <c r="L11" s="59">
        <f t="shared" si="3"/>
        <v>0.19969003695895013</v>
      </c>
      <c r="M11" s="59">
        <f t="shared" si="4"/>
        <v>0.1773952083727077</v>
      </c>
      <c r="N11" s="59">
        <f t="shared" si="5"/>
        <v>0.16232081781978752</v>
      </c>
      <c r="O11" s="59">
        <f t="shared" si="6"/>
        <v>0.15339471178214989</v>
      </c>
      <c r="P11" s="59">
        <f t="shared" si="7"/>
        <v>0.1475831616538219</v>
      </c>
      <c r="Q11" s="59">
        <f t="shared" si="8"/>
        <v>0.14310189685460087</v>
      </c>
      <c r="R11" s="59">
        <f t="shared" si="9"/>
        <v>0.14090687675313943</v>
      </c>
      <c r="S11" s="36">
        <f t="shared" si="10"/>
        <v>0.13963714768221003</v>
      </c>
      <c r="T11" s="63">
        <f t="array" ref="T11:U11">LINEST(K11:S11,$K$2:$S$2)</f>
        <v>-4.8215741559827947E-2</v>
      </c>
      <c r="U11" s="63">
        <v>0.3473517663670122</v>
      </c>
      <c r="V11" s="63">
        <f t="shared" si="11"/>
        <v>1.4153144978545766</v>
      </c>
      <c r="W11" s="68">
        <f t="shared" si="12"/>
        <v>0.96699484262309887</v>
      </c>
      <c r="X11" s="18">
        <f t="array" ref="X11:Y11">LINEST(B11:J11,$K$2:$S$2)</f>
        <v>-5.8175786105671215E-2</v>
      </c>
      <c r="Y11" s="63">
        <v>1.4000070859212657</v>
      </c>
      <c r="Z11" s="68">
        <f t="shared" si="13"/>
        <v>0.96201931827979636</v>
      </c>
      <c r="AA11" s="68">
        <f t="shared" si="14"/>
        <v>0.78350554224416891</v>
      </c>
      <c r="AB11" s="68">
        <f t="shared" si="15"/>
        <v>0.77244645825622515</v>
      </c>
    </row>
    <row r="12" spans="1:28">
      <c r="A12" s="42" t="s">
        <v>35</v>
      </c>
      <c r="B12" s="50">
        <v>1.3249637252937287</v>
      </c>
      <c r="C12" s="46">
        <v>1.247954909153181</v>
      </c>
      <c r="D12" s="46">
        <v>1.2132024431612698</v>
      </c>
      <c r="E12" s="46">
        <v>1.1959404878863944</v>
      </c>
      <c r="F12" s="46">
        <v>1.184989187914482</v>
      </c>
      <c r="G12" s="46">
        <v>1.1775894338342325</v>
      </c>
      <c r="H12" s="46">
        <v>1.1724940871079761</v>
      </c>
      <c r="I12" s="46">
        <v>1.1687761854315619</v>
      </c>
      <c r="J12" s="46">
        <v>1.1666680790044779</v>
      </c>
      <c r="K12" s="58">
        <f t="shared" si="2"/>
        <v>0.28138508192661638</v>
      </c>
      <c r="L12" s="59">
        <f t="shared" si="3"/>
        <v>0.22150613880828099</v>
      </c>
      <c r="M12" s="59">
        <f t="shared" si="4"/>
        <v>0.19326351064601283</v>
      </c>
      <c r="N12" s="59">
        <f t="shared" si="5"/>
        <v>0.17893289499809295</v>
      </c>
      <c r="O12" s="59">
        <f t="shared" si="6"/>
        <v>0.1697336504226695</v>
      </c>
      <c r="P12" s="59">
        <f t="shared" si="7"/>
        <v>0.16346949632504024</v>
      </c>
      <c r="Q12" s="59">
        <f t="shared" si="8"/>
        <v>0.15913317834730953</v>
      </c>
      <c r="R12" s="59">
        <f t="shared" si="9"/>
        <v>0.15595720601710505</v>
      </c>
      <c r="S12" s="36">
        <f t="shared" si="10"/>
        <v>0.15415189040179231</v>
      </c>
      <c r="T12" s="63">
        <f t="array" ref="T12:U12">LINEST(K12:S12,$K$2:$S$2)</f>
        <v>-5.6421266601697821E-2</v>
      </c>
      <c r="U12" s="63">
        <v>0.39656236397552752</v>
      </c>
      <c r="V12" s="63">
        <f t="shared" si="11"/>
        <v>1.4867051519274657</v>
      </c>
      <c r="W12" s="68">
        <f t="shared" si="12"/>
        <v>0.94980597715406678</v>
      </c>
      <c r="X12" s="18">
        <f t="array" ref="X12:Y12">LINEST(B12:J12,$K$2:$S$2)</f>
        <v>-6.9750288225122026E-2</v>
      </c>
      <c r="Y12" s="63">
        <v>1.4656626067137899</v>
      </c>
      <c r="Z12" s="68">
        <f t="shared" si="13"/>
        <v>0.94224957781162488</v>
      </c>
      <c r="AA12" s="68">
        <f t="shared" si="14"/>
        <v>0.74855195826461118</v>
      </c>
      <c r="AB12" s="68">
        <f t="shared" si="15"/>
        <v>0.73457724847221861</v>
      </c>
    </row>
    <row r="13" spans="1:28">
      <c r="A13" s="42" t="s">
        <v>61</v>
      </c>
      <c r="B13" s="50">
        <v>1.3824701219183075</v>
      </c>
      <c r="C13" s="46">
        <v>1.3241222203723044</v>
      </c>
      <c r="D13" s="46">
        <v>1.2867507208792124</v>
      </c>
      <c r="E13" s="46">
        <v>1.2625860685913481</v>
      </c>
      <c r="F13" s="46">
        <v>1.2464302544174806</v>
      </c>
      <c r="G13" s="46">
        <v>1.2313593343456124</v>
      </c>
      <c r="H13" s="46">
        <v>1.2194440762579295</v>
      </c>
      <c r="I13" s="46">
        <v>1.2096246171132026</v>
      </c>
      <c r="J13" s="46">
        <v>1.2015060407013247</v>
      </c>
      <c r="K13" s="58">
        <f t="shared" si="2"/>
        <v>0.32387184254849083</v>
      </c>
      <c r="L13" s="59">
        <f t="shared" si="3"/>
        <v>0.28074976471382029</v>
      </c>
      <c r="M13" s="59">
        <f t="shared" si="4"/>
        <v>0.25212021978310334</v>
      </c>
      <c r="N13" s="59">
        <f t="shared" si="5"/>
        <v>0.23316205298535672</v>
      </c>
      <c r="O13" s="59">
        <f t="shared" si="6"/>
        <v>0.22028366928124751</v>
      </c>
      <c r="P13" s="59">
        <f t="shared" si="7"/>
        <v>0.20811870903023985</v>
      </c>
      <c r="Q13" s="59">
        <f t="shared" si="8"/>
        <v>0.19839507969525397</v>
      </c>
      <c r="R13" s="59">
        <f t="shared" si="9"/>
        <v>0.19031007768545044</v>
      </c>
      <c r="S13" s="36">
        <f t="shared" si="10"/>
        <v>0.1835758038149771</v>
      </c>
      <c r="T13" s="63">
        <f t="array" ref="T13:U13">LINEST(K13:S13,$K$2:$S$2)</f>
        <v>-6.4344577633708641E-2</v>
      </c>
      <c r="U13" s="63">
        <v>0.47197168768364084</v>
      </c>
      <c r="V13" s="63">
        <f t="shared" si="11"/>
        <v>1.6031519941376051</v>
      </c>
      <c r="W13" s="68">
        <f t="shared" si="12"/>
        <v>0.99958714125995385</v>
      </c>
      <c r="X13" s="18">
        <f t="array" ref="X13:Y13">LINEST(B13:J13,$K$2:$S$2)</f>
        <v>-8.2752458315241917E-2</v>
      </c>
      <c r="Y13" s="63">
        <v>1.5709530379809631</v>
      </c>
      <c r="Z13" s="68">
        <f t="shared" si="13"/>
        <v>0.99880088244293552</v>
      </c>
      <c r="AA13" s="68">
        <f t="shared" si="14"/>
        <v>0.90538449320822101</v>
      </c>
      <c r="AB13" s="68">
        <f t="shared" si="15"/>
        <v>0.89322531386878068</v>
      </c>
    </row>
    <row r="14" spans="1:28">
      <c r="A14" s="42" t="s">
        <v>36</v>
      </c>
      <c r="B14" s="50">
        <v>1.3957008737903487</v>
      </c>
      <c r="C14" s="46">
        <v>1.382383812463321</v>
      </c>
      <c r="D14" s="46">
        <v>1.3693023353302707</v>
      </c>
      <c r="E14" s="46">
        <v>1.3585032737296159</v>
      </c>
      <c r="F14" s="46">
        <v>1.3458448279862103</v>
      </c>
      <c r="G14" s="46">
        <v>1.338527756308961</v>
      </c>
      <c r="H14" s="46">
        <v>1.3325880714466081</v>
      </c>
      <c r="I14" s="46">
        <v>1.3292653370679421</v>
      </c>
      <c r="J14" s="46">
        <v>1.3276510683394664</v>
      </c>
      <c r="K14" s="58">
        <f t="shared" si="2"/>
        <v>0.333396707591124</v>
      </c>
      <c r="L14" s="59">
        <f t="shared" si="3"/>
        <v>0.32380940926480717</v>
      </c>
      <c r="M14" s="59">
        <f t="shared" si="4"/>
        <v>0.31430136584665141</v>
      </c>
      <c r="N14" s="59">
        <f t="shared" si="5"/>
        <v>0.306383559693372</v>
      </c>
      <c r="O14" s="59">
        <f t="shared" si="6"/>
        <v>0.29702194076273813</v>
      </c>
      <c r="P14" s="59">
        <f t="shared" si="7"/>
        <v>0.2915703206395891</v>
      </c>
      <c r="Q14" s="59">
        <f t="shared" si="8"/>
        <v>0.28712296976795626</v>
      </c>
      <c r="R14" s="59">
        <f t="shared" si="9"/>
        <v>0.28462641147224665</v>
      </c>
      <c r="S14" s="36">
        <f t="shared" si="10"/>
        <v>0.28341126678510264</v>
      </c>
      <c r="T14" s="63">
        <f t="array" ref="T14:U14">LINEST(K14:S14,$K$2:$S$2)</f>
        <v>-2.4909854918608174E-2</v>
      </c>
      <c r="U14" s="63">
        <v>0.39519435138706138</v>
      </c>
      <c r="V14" s="63">
        <f t="shared" si="11"/>
        <v>1.4846727110835902</v>
      </c>
      <c r="W14" s="68">
        <f t="shared" si="12"/>
        <v>0.97543746543552801</v>
      </c>
      <c r="X14" s="18">
        <f t="array" ref="X14:Y14">LINEST(B14:J14,$K$2:$S$2)</f>
        <v>-3.3887056122908599E-2</v>
      </c>
      <c r="Y14" s="63">
        <v>1.4795371194691795</v>
      </c>
      <c r="Z14" s="68">
        <f t="shared" si="13"/>
        <v>0.97686433037290887</v>
      </c>
      <c r="AA14" s="68">
        <f t="shared" si="14"/>
        <v>0.94645902471637067</v>
      </c>
      <c r="AB14" s="68">
        <f t="shared" si="15"/>
        <v>0.94406380978703852</v>
      </c>
    </row>
    <row r="15" spans="1:28">
      <c r="A15" s="42" t="s">
        <v>37</v>
      </c>
      <c r="B15" s="50">
        <v>1.3026208565751525</v>
      </c>
      <c r="C15" s="46">
        <v>1.2461037288193979</v>
      </c>
      <c r="D15" s="46">
        <v>1.2213340937624941</v>
      </c>
      <c r="E15" s="46">
        <v>1.2059623625482374</v>
      </c>
      <c r="F15" s="46">
        <v>1.1960712699174072</v>
      </c>
      <c r="G15" s="46">
        <v>1.1893966318471174</v>
      </c>
      <c r="H15" s="46">
        <v>1.1843590512748781</v>
      </c>
      <c r="I15" s="46">
        <v>1.1812733520638485</v>
      </c>
      <c r="J15" s="46">
        <v>1.1793589097336392</v>
      </c>
      <c r="K15" s="58">
        <f t="shared" si="2"/>
        <v>0.26437827849833684</v>
      </c>
      <c r="L15" s="59">
        <f t="shared" si="3"/>
        <v>0.22002166635398832</v>
      </c>
      <c r="M15" s="59">
        <f t="shared" si="4"/>
        <v>0.19994378076570979</v>
      </c>
      <c r="N15" s="59">
        <f t="shared" si="5"/>
        <v>0.18727788931736597</v>
      </c>
      <c r="O15" s="59">
        <f t="shared" si="6"/>
        <v>0.17904224398495847</v>
      </c>
      <c r="P15" s="59">
        <f t="shared" si="7"/>
        <v>0.17344614647797052</v>
      </c>
      <c r="Q15" s="59">
        <f t="shared" si="8"/>
        <v>0.16920174325593204</v>
      </c>
      <c r="R15" s="59">
        <f t="shared" si="9"/>
        <v>0.16659296857335304</v>
      </c>
      <c r="S15" s="36">
        <f t="shared" si="10"/>
        <v>0.16497099400247145</v>
      </c>
      <c r="T15" s="63">
        <f t="array" ref="T15:U15">LINEST(K15:S15,$K$2:$S$2)</f>
        <v>-4.4611861536590129E-2</v>
      </c>
      <c r="U15" s="63">
        <v>0.35783250358784419</v>
      </c>
      <c r="V15" s="63">
        <f t="shared" si="11"/>
        <v>1.430226042685526</v>
      </c>
      <c r="W15" s="68">
        <f t="shared" si="12"/>
        <v>0.96721298626411001</v>
      </c>
      <c r="X15" s="18">
        <f t="array" ref="X15:Y15">LINEST(B15:J15,$K$2:$S$2)</f>
        <v>-5.5053904787590126E-2</v>
      </c>
      <c r="Y15" s="63">
        <v>1.4169075057792113</v>
      </c>
      <c r="Z15" s="68">
        <f t="shared" si="13"/>
        <v>0.96221268701959717</v>
      </c>
      <c r="AA15" s="68">
        <f t="shared" si="14"/>
        <v>0.78474823621853074</v>
      </c>
      <c r="AB15" s="68">
        <f t="shared" si="15"/>
        <v>0.77392636140866355</v>
      </c>
    </row>
    <row r="16" spans="1:28">
      <c r="A16" s="42" t="s">
        <v>79</v>
      </c>
      <c r="B16" s="49">
        <v>1.3210528558171648</v>
      </c>
      <c r="C16" s="45">
        <v>1.276401235569196</v>
      </c>
      <c r="D16" s="45">
        <v>1.2534629398347654</v>
      </c>
      <c r="E16" s="45">
        <v>1.2427824351070944</v>
      </c>
      <c r="F16" s="45">
        <v>1.2372127864425393</v>
      </c>
      <c r="G16" s="45">
        <v>1.2335421845251597</v>
      </c>
      <c r="H16" s="45">
        <v>1.2332093689133028</v>
      </c>
      <c r="I16" s="45">
        <v>1.2343026815133216</v>
      </c>
      <c r="J16" s="45">
        <v>1.2368611790095092</v>
      </c>
      <c r="K16" s="58">
        <f t="shared" si="2"/>
        <v>0.27842903671336028</v>
      </c>
      <c r="L16" s="59">
        <f t="shared" si="3"/>
        <v>0.24404458343244811</v>
      </c>
      <c r="M16" s="59">
        <f t="shared" si="4"/>
        <v>0.22591007282993761</v>
      </c>
      <c r="N16" s="59">
        <f t="shared" si="5"/>
        <v>0.21735276511461826</v>
      </c>
      <c r="O16" s="59">
        <f t="shared" si="6"/>
        <v>0.21286109675964229</v>
      </c>
      <c r="P16" s="59">
        <f t="shared" si="7"/>
        <v>0.20988985545005576</v>
      </c>
      <c r="Q16" s="59">
        <f t="shared" si="8"/>
        <v>0.20962001423851381</v>
      </c>
      <c r="R16" s="59">
        <f t="shared" si="9"/>
        <v>0.21050618026260845</v>
      </c>
      <c r="S16" s="36">
        <f t="shared" si="10"/>
        <v>0.2125768631916026</v>
      </c>
      <c r="T16" s="63">
        <f t="array" ref="T16:U16">LINEST(K16:S16,$K$2:$S$2)</f>
        <v>-3.019209991719583E-2</v>
      </c>
      <c r="U16" s="63">
        <v>0.33704260390597857</v>
      </c>
      <c r="V16" s="63">
        <f t="shared" si="11"/>
        <v>1.4007987419651611</v>
      </c>
      <c r="W16" s="68">
        <f t="shared" si="12"/>
        <v>0.88734204153631335</v>
      </c>
      <c r="X16" s="18">
        <f t="array" ref="X16:Y16">LINEST(B16:J16,$K$2:$S$2)</f>
        <v>-3.840202793593369E-2</v>
      </c>
      <c r="Y16" s="63">
        <v>1.3951399152052602</v>
      </c>
      <c r="Z16" s="68">
        <f t="shared" si="13"/>
        <v>0.88383945051510127</v>
      </c>
      <c r="AA16" s="68">
        <f t="shared" si="14"/>
        <v>0.64002295839072465</v>
      </c>
      <c r="AB16" s="68">
        <f t="shared" si="15"/>
        <v>0.63469072136302862</v>
      </c>
    </row>
    <row r="17" spans="1:28">
      <c r="A17" s="42" t="s">
        <v>511</v>
      </c>
      <c r="B17" s="50">
        <v>1.4040824100816749</v>
      </c>
      <c r="C17" s="46">
        <v>1.3392188111212502</v>
      </c>
      <c r="D17" s="46">
        <v>1.3109661328414999</v>
      </c>
      <c r="E17" s="46">
        <v>1.3015601427125245</v>
      </c>
      <c r="F17" s="46">
        <v>1.3069173513439627</v>
      </c>
      <c r="G17" s="46">
        <v>1.3154823264242705</v>
      </c>
      <c r="H17" s="46">
        <v>1.3238381040403082</v>
      </c>
      <c r="I17" s="46">
        <v>1.3331220930334835</v>
      </c>
      <c r="J17" s="46">
        <v>1.3441760531206133</v>
      </c>
      <c r="K17" s="58">
        <f t="shared" si="2"/>
        <v>0.33938400052040862</v>
      </c>
      <c r="L17" s="59">
        <f t="shared" si="3"/>
        <v>0.29208646719060061</v>
      </c>
      <c r="M17" s="59">
        <f t="shared" si="4"/>
        <v>0.27076437137503795</v>
      </c>
      <c r="N17" s="59">
        <f t="shared" si="5"/>
        <v>0.26356365469025539</v>
      </c>
      <c r="O17" s="59">
        <f t="shared" si="6"/>
        <v>0.26767119725164301</v>
      </c>
      <c r="P17" s="59">
        <f t="shared" si="7"/>
        <v>0.27420338653473514</v>
      </c>
      <c r="Q17" s="59">
        <f t="shared" si="8"/>
        <v>0.28053517212308765</v>
      </c>
      <c r="R17" s="59">
        <f t="shared" si="9"/>
        <v>0.28752362967549977</v>
      </c>
      <c r="S17" s="36">
        <f t="shared" si="10"/>
        <v>0.29578122542748553</v>
      </c>
      <c r="T17" s="63">
        <f t="array" ref="T17:U17">LINEST(K17:S17,$K$2:$S$2)</f>
        <v>-1.8531209682638994E-2</v>
      </c>
      <c r="U17" s="63">
        <v>0.35475262651962625</v>
      </c>
      <c r="V17" s="63">
        <f t="shared" si="11"/>
        <v>1.4258278986423827</v>
      </c>
      <c r="W17" s="68">
        <f t="shared" si="12"/>
        <v>0.33641648644131428</v>
      </c>
      <c r="X17" s="18">
        <f t="array" ref="X17:Y17">LINEST(B17:J17,$K$2:$S$2)</f>
        <v>-2.5316680848066736E-2</v>
      </c>
      <c r="Y17" s="63">
        <v>1.4253452791809373</v>
      </c>
      <c r="Z17" s="68">
        <f t="shared" si="13"/>
        <v>0.34330292794163964</v>
      </c>
      <c r="AA17" s="68">
        <f t="shared" si="14"/>
        <v>9.8382772224778842E-2</v>
      </c>
      <c r="AB17" s="68">
        <f t="shared" si="15"/>
        <v>0.10274361242373693</v>
      </c>
    </row>
    <row r="18" spans="1:28">
      <c r="A18" s="42" t="s">
        <v>38</v>
      </c>
      <c r="B18" s="50">
        <v>1.3288885485099737</v>
      </c>
      <c r="C18" s="46">
        <v>1.2718012066329836</v>
      </c>
      <c r="D18" s="46">
        <v>1.2482031115877554</v>
      </c>
      <c r="E18" s="46">
        <v>1.2343532827288761</v>
      </c>
      <c r="F18" s="46">
        <v>1.2269265395465623</v>
      </c>
      <c r="G18" s="46">
        <v>1.2229075630591091</v>
      </c>
      <c r="H18" s="46">
        <v>1.2212395547829722</v>
      </c>
      <c r="I18" s="46">
        <v>1.2209157982173557</v>
      </c>
      <c r="J18" s="46">
        <v>1.2211596606105135</v>
      </c>
      <c r="K18" s="58">
        <f t="shared" si="2"/>
        <v>0.28434291504825387</v>
      </c>
      <c r="L18" s="59">
        <f t="shared" si="3"/>
        <v>0.24043416861073252</v>
      </c>
      <c r="M18" s="59">
        <f t="shared" si="4"/>
        <v>0.22170500637462104</v>
      </c>
      <c r="N18" s="59">
        <f t="shared" si="5"/>
        <v>0.210547175213946</v>
      </c>
      <c r="O18" s="59">
        <f t="shared" si="6"/>
        <v>0.20451229396629428</v>
      </c>
      <c r="P18" s="59">
        <f t="shared" si="7"/>
        <v>0.2012312717219141</v>
      </c>
      <c r="Q18" s="59">
        <f t="shared" si="8"/>
        <v>0.19986637144818487</v>
      </c>
      <c r="R18" s="59">
        <f t="shared" si="9"/>
        <v>0.19960123142167888</v>
      </c>
      <c r="S18" s="36">
        <f t="shared" si="10"/>
        <v>0.19980094875071291</v>
      </c>
      <c r="T18" s="63">
        <f t="array" ref="T18:U18">LINEST(K18:S18,$K$2:$S$2)</f>
        <v>-3.770656371982882E-2</v>
      </c>
      <c r="U18" s="63">
        <v>0.35846193888089528</v>
      </c>
      <c r="V18" s="63">
        <f t="shared" si="11"/>
        <v>1.4311265608130475</v>
      </c>
      <c r="W18" s="68">
        <f t="shared" si="12"/>
        <v>0.9143425001563158</v>
      </c>
      <c r="X18" s="18">
        <f t="array" ref="X18:Y18">LINEST(B18:J18,$K$2:$S$2)</f>
        <v>-4.7791821234923017E-2</v>
      </c>
      <c r="Y18" s="63">
        <v>1.4220689480408457</v>
      </c>
      <c r="Z18" s="68">
        <f t="shared" si="13"/>
        <v>0.90906184660535283</v>
      </c>
      <c r="AA18" s="68">
        <f t="shared" si="14"/>
        <v>0.68329895090684722</v>
      </c>
      <c r="AB18" s="68">
        <f t="shared" si="15"/>
        <v>0.67497244908196308</v>
      </c>
    </row>
    <row r="19" spans="1:28">
      <c r="A19" s="42" t="s">
        <v>80</v>
      </c>
      <c r="B19" s="50">
        <v>1.4170125027894218</v>
      </c>
      <c r="C19" s="46">
        <v>1.4172580385913462</v>
      </c>
      <c r="D19" s="46">
        <v>1.4345819636227921</v>
      </c>
      <c r="E19" s="46">
        <v>1.4322616900458065</v>
      </c>
      <c r="F19" s="46">
        <v>1.4435399462955427</v>
      </c>
      <c r="G19" s="46">
        <v>1.4453004287893763</v>
      </c>
      <c r="H19" s="43">
        <v>1.4457945737747382</v>
      </c>
      <c r="I19" s="43">
        <v>1.4620608998697906</v>
      </c>
      <c r="J19" s="46">
        <v>1.4625638767711695</v>
      </c>
      <c r="K19" s="58">
        <f t="shared" si="2"/>
        <v>0.34855078409193324</v>
      </c>
      <c r="L19" s="59">
        <f t="shared" si="3"/>
        <v>0.34872404617044961</v>
      </c>
      <c r="M19" s="59">
        <f t="shared" si="4"/>
        <v>0.36087349222268189</v>
      </c>
      <c r="N19" s="59">
        <f t="shared" si="5"/>
        <v>0.3592547962881173</v>
      </c>
      <c r="O19" s="59">
        <f t="shared" si="6"/>
        <v>0.36709839295966917</v>
      </c>
      <c r="P19" s="59">
        <f t="shared" si="7"/>
        <v>0.36831720915107385</v>
      </c>
      <c r="Q19" s="59">
        <f t="shared" si="8"/>
        <v>0.36865904848166353</v>
      </c>
      <c r="R19" s="59">
        <f t="shared" si="9"/>
        <v>0.37984701563772927</v>
      </c>
      <c r="S19" s="36">
        <f t="shared" si="10"/>
        <v>0.38019097559481851</v>
      </c>
      <c r="T19" s="63">
        <f t="array" ref="T19:U19">LINEST(K19:S19,$K$2:$S$2)</f>
        <v>1.4948887842140756E-2</v>
      </c>
      <c r="U19" s="63">
        <v>0.30892810007828714</v>
      </c>
      <c r="V19" s="63">
        <f t="shared" si="11"/>
        <v>1.3619644418461883</v>
      </c>
      <c r="W19" s="68">
        <f t="shared" si="12"/>
        <v>0.86910630927818044</v>
      </c>
      <c r="X19" s="18">
        <f t="array" ref="X19:Y19">LINEST(B19:J19,$K$2:$S$2)</f>
        <v>2.1491540283930931E-2</v>
      </c>
      <c r="Y19" s="63">
        <v>1.3599853363338372</v>
      </c>
      <c r="Z19" s="68">
        <f t="shared" si="13"/>
        <v>0.86699936717231851</v>
      </c>
      <c r="AA19" s="68">
        <f t="shared" si="14"/>
        <v>0.93674604724987531</v>
      </c>
      <c r="AB19" s="68">
        <f t="shared" si="15"/>
        <v>0.93701401454841438</v>
      </c>
    </row>
    <row r="20" spans="1:28">
      <c r="A20" s="42" t="s">
        <v>39</v>
      </c>
      <c r="B20" s="50">
        <v>1.4112669682919152</v>
      </c>
      <c r="C20" s="46">
        <v>1.3398457759675975</v>
      </c>
      <c r="D20" s="46">
        <v>1.3068171566560105</v>
      </c>
      <c r="E20" s="46">
        <v>1.2834405439564254</v>
      </c>
      <c r="F20" s="46">
        <v>1.2654610127146704</v>
      </c>
      <c r="G20" s="46">
        <v>1.2531681942574937</v>
      </c>
      <c r="H20" s="46">
        <v>1.244523848534959</v>
      </c>
      <c r="I20" s="46">
        <v>1.2376203077049825</v>
      </c>
      <c r="J20" s="46">
        <v>1.2321501144350759</v>
      </c>
      <c r="K20" s="58">
        <f t="shared" si="2"/>
        <v>0.3444878599998259</v>
      </c>
      <c r="L20" s="59">
        <f t="shared" si="3"/>
        <v>0.29255451477766847</v>
      </c>
      <c r="M20" s="59">
        <f t="shared" si="4"/>
        <v>0.26759452941281348</v>
      </c>
      <c r="N20" s="59">
        <f t="shared" si="5"/>
        <v>0.24954439688751595</v>
      </c>
      <c r="O20" s="59">
        <f t="shared" si="6"/>
        <v>0.23543649271706901</v>
      </c>
      <c r="P20" s="59">
        <f t="shared" si="7"/>
        <v>0.22567490015165928</v>
      </c>
      <c r="Q20" s="59">
        <f t="shared" si="8"/>
        <v>0.21875300578770768</v>
      </c>
      <c r="R20" s="59">
        <f t="shared" si="9"/>
        <v>0.21319042908277167</v>
      </c>
      <c r="S20" s="36">
        <f t="shared" si="10"/>
        <v>0.20876070382105782</v>
      </c>
      <c r="T20" s="63">
        <f t="array" ref="T20:U20">LINEST(K20:S20,$K$2:$S$2)</f>
        <v>-6.1690470095534813E-2</v>
      </c>
      <c r="U20" s="63">
        <v>0.48046395548469018</v>
      </c>
      <c r="V20" s="63">
        <f t="shared" si="11"/>
        <v>1.6168243627361591</v>
      </c>
      <c r="W20" s="68">
        <f t="shared" si="12"/>
        <v>0.99183225162439592</v>
      </c>
      <c r="X20" s="18">
        <f t="array" ref="X20:Y20">LINEST(B20:J20,$K$2:$S$2)</f>
        <v>-8.101283303996204E-2</v>
      </c>
      <c r="Y20" s="63">
        <v>1.5878063011178507</v>
      </c>
      <c r="Z20" s="68">
        <f t="shared" si="13"/>
        <v>0.98803645297973397</v>
      </c>
      <c r="AA20" s="68">
        <f t="shared" si="14"/>
        <v>0.85493367225291106</v>
      </c>
      <c r="AB20" s="68">
        <f t="shared" si="15"/>
        <v>0.84128371285315195</v>
      </c>
    </row>
    <row r="21" spans="1:28">
      <c r="A21" s="42" t="s">
        <v>40</v>
      </c>
      <c r="B21" s="50">
        <v>1.3307390130691796</v>
      </c>
      <c r="C21" s="46">
        <v>1.271809639354645</v>
      </c>
      <c r="D21" s="46">
        <v>1.2377454480083434</v>
      </c>
      <c r="E21" s="46">
        <v>1.217214506898558</v>
      </c>
      <c r="F21" s="46">
        <v>1.2032297568764418</v>
      </c>
      <c r="G21" s="46">
        <v>1.1942370623952343</v>
      </c>
      <c r="H21" s="46">
        <v>1.1881337656936146</v>
      </c>
      <c r="I21" s="46">
        <v>1.1835544609982929</v>
      </c>
      <c r="J21" s="46">
        <v>1.1802346118410132</v>
      </c>
      <c r="K21" s="58">
        <f t="shared" si="2"/>
        <v>0.28573443684215505</v>
      </c>
      <c r="L21" s="59">
        <f t="shared" si="3"/>
        <v>0.24044079912315916</v>
      </c>
      <c r="M21" s="59">
        <f t="shared" si="4"/>
        <v>0.21329153761849304</v>
      </c>
      <c r="N21" s="59">
        <f t="shared" si="5"/>
        <v>0.19656505722348397</v>
      </c>
      <c r="O21" s="59">
        <f t="shared" si="6"/>
        <v>0.18500940535413199</v>
      </c>
      <c r="P21" s="59">
        <f t="shared" si="7"/>
        <v>0.17750753998264271</v>
      </c>
      <c r="Q21" s="59">
        <f t="shared" si="8"/>
        <v>0.17238381198704089</v>
      </c>
      <c r="R21" s="59">
        <f t="shared" si="9"/>
        <v>0.16852216581074247</v>
      </c>
      <c r="S21" s="36">
        <f t="shared" si="10"/>
        <v>0.16571324230886109</v>
      </c>
      <c r="T21" s="63">
        <f t="array" ref="T21:U21">LINEST(K21:S21,$K$2:$S$2)</f>
        <v>-5.5195414209786804E-2</v>
      </c>
      <c r="U21" s="63">
        <v>0.40617771203397995</v>
      </c>
      <c r="V21" s="63">
        <f t="shared" si="11"/>
        <v>1.5010692868324715</v>
      </c>
      <c r="W21" s="68">
        <f t="shared" si="12"/>
        <v>0.98266948862023973</v>
      </c>
      <c r="X21" s="18">
        <f t="array" ref="X21:Y21">LINEST(B21:J21,$K$2:$S$2)</f>
        <v>-6.8870747601684712E-2</v>
      </c>
      <c r="Y21" s="63">
        <v>1.4795329450328085</v>
      </c>
      <c r="Z21" s="68">
        <f t="shared" si="13"/>
        <v>0.97861297355943067</v>
      </c>
      <c r="AA21" s="68">
        <f t="shared" si="14"/>
        <v>0.82449971103106334</v>
      </c>
      <c r="AB21" s="68">
        <f t="shared" si="15"/>
        <v>0.81265156915152714</v>
      </c>
    </row>
    <row r="22" spans="1:28">
      <c r="A22" s="42" t="s">
        <v>84</v>
      </c>
      <c r="B22" s="50">
        <v>1.3734377415845354</v>
      </c>
      <c r="C22" s="46">
        <v>1.3661627731164396</v>
      </c>
      <c r="D22" s="46">
        <v>1.3623371102112816</v>
      </c>
      <c r="E22" s="46">
        <v>1.35986028467875</v>
      </c>
      <c r="F22" s="46">
        <v>1.3524307658097707</v>
      </c>
      <c r="G22" s="46">
        <v>1.3458390291766396</v>
      </c>
      <c r="H22" s="46">
        <v>1.340855665082751</v>
      </c>
      <c r="I22" s="46">
        <v>1.3360729352383633</v>
      </c>
      <c r="J22" s="46">
        <v>1.330115441516819</v>
      </c>
      <c r="K22" s="58">
        <f t="shared" si="2"/>
        <v>0.31731689722917167</v>
      </c>
      <c r="L22" s="59">
        <f t="shared" si="3"/>
        <v>0.31200591445691056</v>
      </c>
      <c r="M22" s="59">
        <f t="shared" si="4"/>
        <v>0.30920168826982664</v>
      </c>
      <c r="N22" s="59">
        <f t="shared" si="5"/>
        <v>0.30738196261682199</v>
      </c>
      <c r="O22" s="59">
        <f t="shared" si="6"/>
        <v>0.30190354063880892</v>
      </c>
      <c r="P22" s="59">
        <f t="shared" si="7"/>
        <v>0.29701763207726212</v>
      </c>
      <c r="Q22" s="59">
        <f t="shared" si="8"/>
        <v>0.29330796620457045</v>
      </c>
      <c r="R22" s="59">
        <f t="shared" si="9"/>
        <v>0.28973466586863561</v>
      </c>
      <c r="S22" s="36">
        <f t="shared" si="10"/>
        <v>0.28526573659986909</v>
      </c>
      <c r="T22" s="63">
        <f t="array" ref="T22:U22">LINEST(K22:S22,$K$2:$S$2)</f>
        <v>-1.4266126676883711E-2</v>
      </c>
      <c r="U22" s="63">
        <v>0.35460102578632713</v>
      </c>
      <c r="V22" s="63">
        <f t="shared" si="11"/>
        <v>1.4256117584713084</v>
      </c>
      <c r="W22" s="68">
        <f t="shared" si="12"/>
        <v>0.89248941355488742</v>
      </c>
      <c r="X22" s="18">
        <f t="array" ref="X22:Y22">LINEST(B22:J22,$K$2:$S$2)</f>
        <v>-1.9306229880411037E-2</v>
      </c>
      <c r="Y22" s="63">
        <v>1.4238172116395691</v>
      </c>
      <c r="Z22" s="68">
        <f t="shared" si="13"/>
        <v>0.89496929373624001</v>
      </c>
      <c r="AA22" s="68">
        <f t="shared" si="14"/>
        <v>0.99333455349191657</v>
      </c>
      <c r="AB22" s="68">
        <f t="shared" si="15"/>
        <v>0.99350468786331914</v>
      </c>
    </row>
    <row r="23" spans="1:28">
      <c r="A23" s="42" t="s">
        <v>41</v>
      </c>
      <c r="B23" s="50">
        <v>1.3923352643282094</v>
      </c>
      <c r="C23" s="46">
        <v>1.3647991426543529</v>
      </c>
      <c r="D23" s="46">
        <v>1.3385303871253407</v>
      </c>
      <c r="E23" s="46">
        <v>1.3181635459497134</v>
      </c>
      <c r="F23" s="46">
        <v>1.3025038256942751</v>
      </c>
      <c r="G23" s="46">
        <v>1.2915527198385739</v>
      </c>
      <c r="H23" s="46">
        <v>1.2868751983865299</v>
      </c>
      <c r="I23" s="46">
        <v>1.2841484821523987</v>
      </c>
      <c r="J23" s="46">
        <v>1.2812723689433594</v>
      </c>
      <c r="K23" s="58">
        <f t="shared" si="2"/>
        <v>0.33098238372282307</v>
      </c>
      <c r="L23" s="59">
        <f t="shared" si="3"/>
        <v>0.31100726957098951</v>
      </c>
      <c r="M23" s="59">
        <f t="shared" si="4"/>
        <v>0.29157228609288799</v>
      </c>
      <c r="N23" s="59">
        <f t="shared" si="5"/>
        <v>0.27623951483876313</v>
      </c>
      <c r="O23" s="59">
        <f t="shared" si="6"/>
        <v>0.26428843183437284</v>
      </c>
      <c r="P23" s="59">
        <f t="shared" si="7"/>
        <v>0.2558451533466925</v>
      </c>
      <c r="Q23" s="59">
        <f t="shared" si="8"/>
        <v>0.25221695296136576</v>
      </c>
      <c r="R23" s="59">
        <f t="shared" si="9"/>
        <v>0.25009583888755121</v>
      </c>
      <c r="S23" s="36">
        <f t="shared" si="10"/>
        <v>0.24785362243968015</v>
      </c>
      <c r="T23" s="63">
        <f t="array" ref="T23:U23">LINEST(K23:S23,$K$2:$S$2)</f>
        <v>-4.1003411153479531E-2</v>
      </c>
      <c r="U23" s="63">
        <v>0.42830495988133216</v>
      </c>
      <c r="V23" s="63">
        <f t="shared" si="11"/>
        <v>1.5346540175200842</v>
      </c>
      <c r="W23" s="68">
        <f t="shared" si="12"/>
        <v>0.98536111138886173</v>
      </c>
      <c r="X23" s="18">
        <f t="array" ref="X23:Y23">LINEST(B23:J23,$K$2:$S$2)</f>
        <v>-5.4649161328500999E-2</v>
      </c>
      <c r="Y23" s="63">
        <v>1.5213665742564511</v>
      </c>
      <c r="Z23" s="68">
        <f t="shared" si="13"/>
        <v>0.98565646093988823</v>
      </c>
      <c r="AA23" s="68">
        <f t="shared" si="14"/>
        <v>0.89079517563640731</v>
      </c>
      <c r="AB23" s="68">
        <f t="shared" si="15"/>
        <v>0.88523016119558495</v>
      </c>
    </row>
    <row r="24" spans="1:28">
      <c r="A24" s="42" t="s">
        <v>74</v>
      </c>
      <c r="B24" s="50">
        <v>1.3476779649684636</v>
      </c>
      <c r="C24" s="46">
        <v>1.2987080429934756</v>
      </c>
      <c r="D24" s="46">
        <v>1.2759958465633252</v>
      </c>
      <c r="E24" s="46">
        <v>1.2592053557284943</v>
      </c>
      <c r="F24" s="46">
        <v>1.2489204814532937</v>
      </c>
      <c r="G24" s="46">
        <v>1.2416589206724986</v>
      </c>
      <c r="H24" s="46">
        <v>1.2339380343866972</v>
      </c>
      <c r="I24" s="46">
        <v>1.2277932150007076</v>
      </c>
      <c r="J24" s="46">
        <v>1.2226839970421781</v>
      </c>
      <c r="K24" s="58">
        <f t="shared" si="2"/>
        <v>0.29838308555800147</v>
      </c>
      <c r="L24" s="59">
        <f t="shared" si="3"/>
        <v>0.26136995722589962</v>
      </c>
      <c r="M24" s="59">
        <f t="shared" si="4"/>
        <v>0.2437269298728845</v>
      </c>
      <c r="N24" s="59">
        <f t="shared" si="5"/>
        <v>0.23048085195062107</v>
      </c>
      <c r="O24" s="59">
        <f t="shared" si="6"/>
        <v>0.22227956334670845</v>
      </c>
      <c r="P24" s="59">
        <f t="shared" si="7"/>
        <v>0.21644832475938947</v>
      </c>
      <c r="Q24" s="59">
        <f t="shared" si="8"/>
        <v>0.21021070897658012</v>
      </c>
      <c r="R24" s="59">
        <f t="shared" si="9"/>
        <v>0.20521842385224287</v>
      </c>
      <c r="S24" s="36">
        <f t="shared" si="10"/>
        <v>0.2010484398695303</v>
      </c>
      <c r="T24" s="63">
        <f t="array" ref="T24:U24">LINEST(K24:S24,$K$2:$S$2)</f>
        <v>-4.3523648375598314E-2</v>
      </c>
      <c r="U24" s="63">
        <v>0.39425562874458892</v>
      </c>
      <c r="V24" s="63">
        <f t="shared" si="11"/>
        <v>1.4832796691353403</v>
      </c>
      <c r="W24" s="68">
        <f t="shared" si="12"/>
        <v>0.99298637348193997</v>
      </c>
      <c r="X24" s="18">
        <f t="array" ref="X24:Y24">LINEST(B24:J24,$K$2:$S$2)</f>
        <v>-5.573173189114531E-2</v>
      </c>
      <c r="Y24" s="63">
        <v>1.4694437079088176</v>
      </c>
      <c r="Z24" s="68">
        <f t="shared" si="13"/>
        <v>0.99037692131029853</v>
      </c>
      <c r="AA24" s="68">
        <f t="shared" si="14"/>
        <v>0.86156113948002433</v>
      </c>
      <c r="AB24" s="68">
        <f t="shared" si="15"/>
        <v>0.85160210352870358</v>
      </c>
    </row>
    <row r="25" spans="1:28">
      <c r="A25" s="42" t="s">
        <v>62</v>
      </c>
      <c r="B25" s="50">
        <v>1.3286382614132926</v>
      </c>
      <c r="C25" s="46">
        <v>1.3223049937334725</v>
      </c>
      <c r="D25" s="46">
        <v>1.3201192530937347</v>
      </c>
      <c r="E25" s="46">
        <v>1.3200789561058746</v>
      </c>
      <c r="F25" s="46">
        <v>1.3166391133124675</v>
      </c>
      <c r="G25" s="46">
        <v>1.3134289998384046</v>
      </c>
      <c r="H25" s="46">
        <v>1.3118575590900703</v>
      </c>
      <c r="I25" s="46">
        <v>1.3133868922800092</v>
      </c>
      <c r="J25" s="46">
        <v>1.3159071047354585</v>
      </c>
      <c r="K25" s="58">
        <f t="shared" si="2"/>
        <v>0.28415455412825363</v>
      </c>
      <c r="L25" s="59">
        <f t="shared" si="3"/>
        <v>0.27937642112457345</v>
      </c>
      <c r="M25" s="59">
        <f t="shared" si="4"/>
        <v>0.27772207577040292</v>
      </c>
      <c r="N25" s="59">
        <f t="shared" si="5"/>
        <v>0.27769155004114299</v>
      </c>
      <c r="O25" s="59">
        <f t="shared" si="6"/>
        <v>0.27508236342783055</v>
      </c>
      <c r="P25" s="59">
        <f t="shared" si="7"/>
        <v>0.27264127450539716</v>
      </c>
      <c r="Q25" s="59">
        <f t="shared" si="8"/>
        <v>0.27144411686127601</v>
      </c>
      <c r="R25" s="59">
        <f t="shared" si="9"/>
        <v>0.27260921473407834</v>
      </c>
      <c r="S25" s="36">
        <f t="shared" si="10"/>
        <v>0.27452624130480274</v>
      </c>
      <c r="T25" s="63">
        <f t="array" ref="T25:U25">LINEST(K25:S25,$K$2:$S$2)</f>
        <v>-5.2787187476875169E-3</v>
      </c>
      <c r="U25" s="63">
        <v>0.29580192783425846</v>
      </c>
      <c r="V25" s="63">
        <f t="shared" si="11"/>
        <v>1.3442038810880914</v>
      </c>
      <c r="W25" s="68">
        <f t="shared" si="12"/>
        <v>0.88643307515809144</v>
      </c>
      <c r="X25" s="18">
        <f t="array" ref="X25:Y25">LINEST(B25:J25,$K$2:$S$2)</f>
        <v>-6.9692589590226563E-3</v>
      </c>
      <c r="Y25" s="63">
        <v>1.3440006878393946</v>
      </c>
      <c r="Z25" s="68">
        <f t="shared" si="13"/>
        <v>0.88694968351434589</v>
      </c>
      <c r="AA25" s="68">
        <f t="shared" si="14"/>
        <v>0.74816877955058858</v>
      </c>
      <c r="AB25" s="68">
        <f t="shared" si="15"/>
        <v>0.74796572715308285</v>
      </c>
    </row>
    <row r="26" spans="1:28">
      <c r="A26" s="42" t="s">
        <v>63</v>
      </c>
      <c r="B26" s="50">
        <v>1.3492227990003094</v>
      </c>
      <c r="C26" s="46">
        <v>1.2809084236066279</v>
      </c>
      <c r="D26" s="46">
        <v>1.2573733592111536</v>
      </c>
      <c r="E26" s="46">
        <v>1.2436425461187828</v>
      </c>
      <c r="F26" s="46">
        <v>1.2373045629983925</v>
      </c>
      <c r="G26" s="46">
        <v>1.234819235892737</v>
      </c>
      <c r="H26" s="46">
        <v>1.2372388226799365</v>
      </c>
      <c r="I26" s="46">
        <v>1.2425894448042694</v>
      </c>
      <c r="J26" s="46">
        <v>1.2534168829186265</v>
      </c>
      <c r="K26" s="58">
        <f t="shared" si="2"/>
        <v>0.29952872222468879</v>
      </c>
      <c r="L26" s="59">
        <f t="shared" si="3"/>
        <v>0.24756953215203345</v>
      </c>
      <c r="M26" s="59">
        <f t="shared" si="4"/>
        <v>0.22902490953953536</v>
      </c>
      <c r="N26" s="59">
        <f t="shared" si="5"/>
        <v>0.21804461067801989</v>
      </c>
      <c r="O26" s="59">
        <f t="shared" si="6"/>
        <v>0.21293527409844012</v>
      </c>
      <c r="P26" s="59">
        <f t="shared" si="7"/>
        <v>0.21092459166895497</v>
      </c>
      <c r="Q26" s="59">
        <f t="shared" si="8"/>
        <v>0.21288214080617132</v>
      </c>
      <c r="R26" s="59">
        <f t="shared" si="9"/>
        <v>0.21719746416768726</v>
      </c>
      <c r="S26" s="36">
        <f t="shared" si="10"/>
        <v>0.22587332841504698</v>
      </c>
      <c r="T26" s="63">
        <f t="array" ref="T26:U26">LINEST(K26:S26,$K$2:$S$2)</f>
        <v>-3.4254950716996871E-2</v>
      </c>
      <c r="U26" s="63">
        <v>0.35804233256756546</v>
      </c>
      <c r="V26" s="63">
        <f t="shared" si="11"/>
        <v>1.4305261770441753</v>
      </c>
      <c r="W26" s="68">
        <f t="shared" si="12"/>
        <v>0.75714006894536412</v>
      </c>
      <c r="X26" s="18">
        <f t="array" ref="X26:Y26">LINEST(B26:J26,$K$2:$S$2)</f>
        <v>-4.414872906380795E-2</v>
      </c>
      <c r="Y26" s="63">
        <v>1.4240673709914642</v>
      </c>
      <c r="Z26" s="68">
        <f t="shared" si="13"/>
        <v>0.75498662207122069</v>
      </c>
      <c r="AA26" s="68">
        <f t="shared" si="14"/>
        <v>0.46966133171737573</v>
      </c>
      <c r="AB26" s="68">
        <f t="shared" si="15"/>
        <v>0.46719198329845041</v>
      </c>
    </row>
    <row r="27" spans="1:28">
      <c r="A27" s="42" t="s">
        <v>42</v>
      </c>
      <c r="B27" s="50">
        <v>1.415233679267091</v>
      </c>
      <c r="C27" s="46">
        <v>1.3522400482999783</v>
      </c>
      <c r="D27" s="46">
        <v>1.3257298869873992</v>
      </c>
      <c r="E27" s="46">
        <v>1.3143591509138175</v>
      </c>
      <c r="F27" s="46">
        <v>1.3072061245298374</v>
      </c>
      <c r="G27" s="46">
        <v>1.3030928137601026</v>
      </c>
      <c r="H27" s="46">
        <v>1.3035823978090557</v>
      </c>
      <c r="I27" s="46">
        <v>1.3108224413438658</v>
      </c>
      <c r="J27" s="46">
        <v>1.3216362304730513</v>
      </c>
      <c r="K27" s="58">
        <f t="shared" si="2"/>
        <v>0.34729466181874069</v>
      </c>
      <c r="L27" s="59">
        <f t="shared" si="3"/>
        <v>0.30176251237828011</v>
      </c>
      <c r="M27" s="59">
        <f t="shared" si="4"/>
        <v>0.28196316587525316</v>
      </c>
      <c r="N27" s="59">
        <f t="shared" si="5"/>
        <v>0.27334920913398875</v>
      </c>
      <c r="O27" s="59">
        <f t="shared" si="6"/>
        <v>0.26789213034046955</v>
      </c>
      <c r="P27" s="59">
        <f t="shared" si="7"/>
        <v>0.26474052642717416</v>
      </c>
      <c r="Q27" s="59">
        <f t="shared" si="8"/>
        <v>0.26511616513546982</v>
      </c>
      <c r="R27" s="59">
        <f t="shared" si="9"/>
        <v>0.27065475803764477</v>
      </c>
      <c r="S27" s="36">
        <f t="shared" si="10"/>
        <v>0.27887053750767549</v>
      </c>
      <c r="T27" s="63">
        <f t="array" ref="T27:U27">LINEST(K27:S27,$K$2:$S$2)</f>
        <v>-3.2545141629922503E-2</v>
      </c>
      <c r="U27" s="63">
        <v>0.40474695297930408</v>
      </c>
      <c r="V27" s="63">
        <f t="shared" si="11"/>
        <v>1.4989231540242214</v>
      </c>
      <c r="W27" s="68">
        <f t="shared" si="12"/>
        <v>0.77881872016586273</v>
      </c>
      <c r="X27" s="18">
        <f t="array" ref="X27:Y27">LINEST(B27:J27,$K$2:$S$2)</f>
        <v>-4.4124888569831773E-2</v>
      </c>
      <c r="Y27" s="63">
        <v>1.4925770866990298</v>
      </c>
      <c r="Z27" s="68">
        <f t="shared" si="13"/>
        <v>0.7768576558292023</v>
      </c>
      <c r="AA27" s="68">
        <f t="shared" si="14"/>
        <v>0.49611194750693333</v>
      </c>
      <c r="AB27" s="68">
        <f t="shared" si="15"/>
        <v>0.49351224069627286</v>
      </c>
    </row>
    <row r="28" spans="1:28">
      <c r="A28" s="42" t="s">
        <v>43</v>
      </c>
      <c r="B28" s="50">
        <v>1.3836709660756512</v>
      </c>
      <c r="C28" s="46">
        <v>1.3247813076937356</v>
      </c>
      <c r="D28" s="46">
        <v>1.2910194406980002</v>
      </c>
      <c r="E28" s="46">
        <v>1.2669879637731756</v>
      </c>
      <c r="F28" s="46">
        <v>1.2518208107538271</v>
      </c>
      <c r="G28" s="46">
        <v>1.2434385553193854</v>
      </c>
      <c r="H28" s="46">
        <v>1.2390192666572288</v>
      </c>
      <c r="I28" s="46">
        <v>1.2370359335006367</v>
      </c>
      <c r="J28" s="46">
        <v>1.2355569211642343</v>
      </c>
      <c r="K28" s="58">
        <f t="shared" si="2"/>
        <v>0.32474008765572254</v>
      </c>
      <c r="L28" s="59">
        <f t="shared" si="3"/>
        <v>0.28124739501862306</v>
      </c>
      <c r="M28" s="59">
        <f t="shared" si="4"/>
        <v>0.25543217038629207</v>
      </c>
      <c r="N28" s="59">
        <f t="shared" si="5"/>
        <v>0.23664240150948695</v>
      </c>
      <c r="O28" s="59">
        <f t="shared" si="6"/>
        <v>0.22459914003382203</v>
      </c>
      <c r="P28" s="59">
        <f t="shared" si="7"/>
        <v>0.21788057034999292</v>
      </c>
      <c r="Q28" s="59">
        <f t="shared" si="8"/>
        <v>0.21432015269335772</v>
      </c>
      <c r="R28" s="59">
        <f t="shared" si="9"/>
        <v>0.2127181418976041</v>
      </c>
      <c r="S28" s="36">
        <f t="shared" si="10"/>
        <v>0.21152181674442888</v>
      </c>
      <c r="T28" s="63">
        <f t="array" ref="T28:U28">LINEST(K28:S28,$K$2:$S$2)</f>
        <v>-5.3150765640578843E-2</v>
      </c>
      <c r="U28" s="63">
        <v>0.44010958380680171</v>
      </c>
      <c r="V28" s="63">
        <f t="shared" si="11"/>
        <v>1.5528773794024577</v>
      </c>
      <c r="W28" s="68">
        <f t="shared" si="12"/>
        <v>0.97170301603725617</v>
      </c>
      <c r="X28" s="18">
        <f t="array" ref="X28:Y28">LINEST(B28:J28,$K$2:$S$2)</f>
        <v>-6.9130101227458371E-2</v>
      </c>
      <c r="Y28" s="63">
        <v>1.5323249178113332</v>
      </c>
      <c r="Z28" s="68">
        <f t="shared" si="13"/>
        <v>0.96797534888827264</v>
      </c>
      <c r="AA28" s="68">
        <f t="shared" si="14"/>
        <v>0.79890222005308065</v>
      </c>
      <c r="AB28" s="68">
        <f t="shared" si="15"/>
        <v>0.78856105456886505</v>
      </c>
    </row>
    <row r="29" spans="1:28">
      <c r="A29" s="42" t="s">
        <v>44</v>
      </c>
      <c r="B29" s="50">
        <v>1.2592779729384731</v>
      </c>
      <c r="C29" s="46">
        <v>1.2090730434913919</v>
      </c>
      <c r="D29" s="46">
        <v>1.1867090038683803</v>
      </c>
      <c r="E29" s="46">
        <v>1.1751798551073691</v>
      </c>
      <c r="F29" s="46">
        <v>1.1682466585186182</v>
      </c>
      <c r="G29" s="46">
        <v>1.1641474476052645</v>
      </c>
      <c r="H29" s="46">
        <v>1.1632682250826336</v>
      </c>
      <c r="I29" s="46">
        <v>1.1639337982848545</v>
      </c>
      <c r="J29" s="46">
        <v>1.1642077478462736</v>
      </c>
      <c r="K29" s="58">
        <f t="shared" si="2"/>
        <v>0.23053851936431591</v>
      </c>
      <c r="L29" s="59">
        <f t="shared" si="3"/>
        <v>0.18985398626041941</v>
      </c>
      <c r="M29" s="59">
        <f t="shared" si="4"/>
        <v>0.17118393297657988</v>
      </c>
      <c r="N29" s="59">
        <f t="shared" si="5"/>
        <v>0.16142120405886862</v>
      </c>
      <c r="O29" s="59">
        <f t="shared" si="6"/>
        <v>0.15550404234917056</v>
      </c>
      <c r="P29" s="59">
        <f t="shared" si="7"/>
        <v>0.15198901448727273</v>
      </c>
      <c r="Q29" s="59">
        <f t="shared" si="8"/>
        <v>0.15123347900233752</v>
      </c>
      <c r="R29" s="59">
        <f t="shared" si="9"/>
        <v>0.15180547336611397</v>
      </c>
      <c r="S29" s="36">
        <f t="shared" si="10"/>
        <v>0.1520408109151892</v>
      </c>
      <c r="T29" s="63">
        <f t="array" ref="T29:U29">LINEST(K29:S29,$K$2:$S$2)</f>
        <v>-3.5209068535435359E-2</v>
      </c>
      <c r="U29" s="63">
        <v>0.29955086344848536</v>
      </c>
      <c r="V29" s="63">
        <f t="shared" si="11"/>
        <v>1.3492526727749732</v>
      </c>
      <c r="W29" s="68">
        <f t="shared" si="12"/>
        <v>0.90788232415735681</v>
      </c>
      <c r="X29" s="18">
        <f t="array" ref="X29:Y29">LINEST(B29:J29,$K$2:$S$2)</f>
        <v>-4.2421737099645473E-2</v>
      </c>
      <c r="Y29" s="63">
        <v>1.3418040497421442</v>
      </c>
      <c r="Z29" s="68">
        <f t="shared" si="13"/>
        <v>0.90316061288769856</v>
      </c>
      <c r="AA29" s="68">
        <f t="shared" si="14"/>
        <v>0.67235125771409532</v>
      </c>
      <c r="AB29" s="68">
        <f t="shared" si="15"/>
        <v>0.66498213422572261</v>
      </c>
    </row>
    <row r="30" spans="1:28">
      <c r="A30" s="42" t="s">
        <v>45</v>
      </c>
      <c r="B30" s="50">
        <v>1.367956699688347</v>
      </c>
      <c r="C30" s="46">
        <v>1.3031870861864812</v>
      </c>
      <c r="D30" s="46">
        <v>1.2701199260392533</v>
      </c>
      <c r="E30" s="46">
        <v>1.2488143236567024</v>
      </c>
      <c r="F30" s="46">
        <v>1.2342826281339614</v>
      </c>
      <c r="G30" s="46">
        <v>1.2240781563469771</v>
      </c>
      <c r="H30" s="46">
        <v>1.2154627812004615</v>
      </c>
      <c r="I30" s="46">
        <v>1.2097168280185802</v>
      </c>
      <c r="J30" s="46">
        <v>1.2049005979112202</v>
      </c>
      <c r="K30" s="58">
        <f t="shared" si="2"/>
        <v>0.31331816642481475</v>
      </c>
      <c r="L30" s="59">
        <f t="shared" si="3"/>
        <v>0.26481286894604306</v>
      </c>
      <c r="M30" s="59">
        <f t="shared" si="4"/>
        <v>0.23911132596444057</v>
      </c>
      <c r="N30" s="59">
        <f t="shared" si="5"/>
        <v>0.22219456008980701</v>
      </c>
      <c r="O30" s="59">
        <f t="shared" si="6"/>
        <v>0.21048993340309563</v>
      </c>
      <c r="P30" s="59">
        <f t="shared" si="7"/>
        <v>0.2021880352762585</v>
      </c>
      <c r="Q30" s="59">
        <f t="shared" si="8"/>
        <v>0.19512489414929984</v>
      </c>
      <c r="R30" s="59">
        <f t="shared" si="9"/>
        <v>0.19038630578926588</v>
      </c>
      <c r="S30" s="36">
        <f t="shared" si="10"/>
        <v>0.18639707218003571</v>
      </c>
      <c r="T30" s="63">
        <f t="array" ref="T30:U30">LINEST(K30:S30,$K$2:$S$2)</f>
        <v>-5.7640758807232587E-2</v>
      </c>
      <c r="U30" s="63">
        <v>0.43960388667775885</v>
      </c>
      <c r="V30" s="63">
        <f t="shared" si="11"/>
        <v>1.5520922922948175</v>
      </c>
      <c r="W30" s="68">
        <f t="shared" si="12"/>
        <v>0.9889858531366712</v>
      </c>
      <c r="X30" s="18">
        <f t="array" ref="X30:Y30">LINEST(B30:J30,$K$2:$S$2)</f>
        <v>-7.3706088399742076E-2</v>
      </c>
      <c r="Y30" s="63">
        <v>1.5277247243129382</v>
      </c>
      <c r="Z30" s="68">
        <f t="shared" si="13"/>
        <v>0.98496872788042222</v>
      </c>
      <c r="AA30" s="68">
        <f t="shared" si="14"/>
        <v>0.84368552590342549</v>
      </c>
      <c r="AB30" s="68">
        <f t="shared" si="15"/>
        <v>0.83075531468276709</v>
      </c>
    </row>
    <row r="31" spans="1:28">
      <c r="A31" s="42" t="s">
        <v>46</v>
      </c>
      <c r="B31" s="50">
        <v>1.4297597712771255</v>
      </c>
      <c r="C31" s="46">
        <v>1.359871384808002</v>
      </c>
      <c r="D31" s="46">
        <v>1.3223570330949683</v>
      </c>
      <c r="E31" s="46">
        <v>1.2979029443773333</v>
      </c>
      <c r="F31" s="46">
        <v>1.2809747773730242</v>
      </c>
      <c r="G31" s="46">
        <v>1.2671990831726268</v>
      </c>
      <c r="H31" s="46">
        <v>1.2561544008741909</v>
      </c>
      <c r="I31" s="46">
        <v>1.2471312517026993</v>
      </c>
      <c r="J31" s="46">
        <v>1.2404771540001511</v>
      </c>
      <c r="K31" s="58">
        <f t="shared" si="2"/>
        <v>0.35750643804566196</v>
      </c>
      <c r="L31" s="59">
        <f t="shared" si="3"/>
        <v>0.30739012528182058</v>
      </c>
      <c r="M31" s="59">
        <f t="shared" si="4"/>
        <v>0.27941577538683804</v>
      </c>
      <c r="N31" s="59">
        <f t="shared" si="5"/>
        <v>0.26074984227925757</v>
      </c>
      <c r="O31" s="59">
        <f t="shared" si="6"/>
        <v>0.24762133292607791</v>
      </c>
      <c r="P31" s="59">
        <f t="shared" si="7"/>
        <v>0.23680901857131278</v>
      </c>
      <c r="Q31" s="59">
        <f t="shared" si="8"/>
        <v>0.22805499112297356</v>
      </c>
      <c r="R31" s="59">
        <f t="shared" si="9"/>
        <v>0.22084591513078031</v>
      </c>
      <c r="S31" s="36">
        <f t="shared" si="10"/>
        <v>0.21549610721281726</v>
      </c>
      <c r="T31" s="63">
        <f t="array" ref="T31:U31">LINEST(K31:S31,$K$2:$S$2)</f>
        <v>-6.4604724621711809E-2</v>
      </c>
      <c r="U31" s="63">
        <v>0.50219655195792412</v>
      </c>
      <c r="V31" s="63">
        <f t="shared" si="11"/>
        <v>1.6523467529577336</v>
      </c>
      <c r="W31" s="68">
        <f t="shared" si="12"/>
        <v>0.99650358840631814</v>
      </c>
      <c r="X31" s="18">
        <f t="array" ref="X31:Y31">LINEST(B31:J31,$K$2:$S$2)</f>
        <v>-8.5746446082306541E-2</v>
      </c>
      <c r="Y31" s="63">
        <v>1.6196094896881053</v>
      </c>
      <c r="Z31" s="68">
        <f t="shared" si="13"/>
        <v>0.99363917265716939</v>
      </c>
      <c r="AA31" s="68">
        <f t="shared" si="14"/>
        <v>0.87566452094722635</v>
      </c>
      <c r="AB31" s="68">
        <f t="shared" si="15"/>
        <v>0.86190577846285188</v>
      </c>
    </row>
    <row r="32" spans="1:28">
      <c r="A32" s="42" t="s">
        <v>47</v>
      </c>
      <c r="B32" s="50">
        <v>1.4163225470795091</v>
      </c>
      <c r="C32" s="46">
        <v>1.3838875737878413</v>
      </c>
      <c r="D32" s="46">
        <v>1.3489148947289156</v>
      </c>
      <c r="E32" s="46">
        <v>1.3389833968635285</v>
      </c>
      <c r="F32" s="46">
        <v>1.3343557809401991</v>
      </c>
      <c r="G32" s="46">
        <v>1.3385224152730324</v>
      </c>
      <c r="H32" s="46">
        <v>1.3505891851756389</v>
      </c>
      <c r="I32" s="46">
        <v>1.3695515239576628</v>
      </c>
      <c r="J32" s="46">
        <v>1.3966039300244457</v>
      </c>
      <c r="K32" s="58">
        <f t="shared" si="2"/>
        <v>0.34806375681742685</v>
      </c>
      <c r="L32" s="59">
        <f t="shared" si="3"/>
        <v>0.32489662108366085</v>
      </c>
      <c r="M32" s="59">
        <f t="shared" si="4"/>
        <v>0.29930048756235411</v>
      </c>
      <c r="N32" s="59">
        <f t="shared" si="5"/>
        <v>0.29191066697833423</v>
      </c>
      <c r="O32" s="59">
        <f t="shared" si="6"/>
        <v>0.28844861428865382</v>
      </c>
      <c r="P32" s="59">
        <f t="shared" si="7"/>
        <v>0.29156633039989516</v>
      </c>
      <c r="Q32" s="59">
        <f t="shared" si="8"/>
        <v>0.30054093070439097</v>
      </c>
      <c r="R32" s="59">
        <f t="shared" si="9"/>
        <v>0.31448333147233432</v>
      </c>
      <c r="S32" s="36">
        <f t="shared" si="10"/>
        <v>0.33404352542014315</v>
      </c>
      <c r="T32" s="63">
        <f t="array" ref="T32:U32">LINEST(K32:S32,$K$2:$S$2)</f>
        <v>-1.3314346315399879E-2</v>
      </c>
      <c r="U32" s="63">
        <v>0.35995766304513349</v>
      </c>
      <c r="V32" s="63">
        <f t="shared" si="11"/>
        <v>1.4332687330421516</v>
      </c>
      <c r="W32" s="68">
        <f t="shared" si="12"/>
        <v>0.20361695218528242</v>
      </c>
      <c r="X32" s="18">
        <f t="array" ref="X32:Y32">LINEST(B32:J32,$K$2:$S$2)</f>
        <v>-1.841274104370047E-2</v>
      </c>
      <c r="Y32" s="63">
        <v>1.4327800121714556</v>
      </c>
      <c r="Z32" s="68">
        <f t="shared" si="13"/>
        <v>0.20671519650133607</v>
      </c>
      <c r="AA32" s="68">
        <f t="shared" si="14"/>
        <v>3.3564277740396838E-2</v>
      </c>
      <c r="AB32" s="68">
        <f t="shared" si="15"/>
        <v>3.4767830577829978E-2</v>
      </c>
    </row>
    <row r="33" spans="1:28">
      <c r="A33" s="42" t="s">
        <v>64</v>
      </c>
      <c r="B33" s="50">
        <v>1.3157627494011674</v>
      </c>
      <c r="C33" s="46">
        <v>1.2629348483479246</v>
      </c>
      <c r="D33" s="46">
        <v>1.2364276854478877</v>
      </c>
      <c r="E33" s="46">
        <v>1.222552045843428</v>
      </c>
      <c r="F33" s="46">
        <v>1.2136941168258051</v>
      </c>
      <c r="G33" s="46">
        <v>1.208396652771828</v>
      </c>
      <c r="H33" s="46">
        <v>1.2059143520027411</v>
      </c>
      <c r="I33" s="46">
        <v>1.2046254703094295</v>
      </c>
      <c r="J33" s="46">
        <v>1.2044434075797017</v>
      </c>
      <c r="K33" s="58">
        <f t="shared" si="2"/>
        <v>0.27441653504038743</v>
      </c>
      <c r="L33" s="59">
        <f t="shared" si="3"/>
        <v>0.23343825719847919</v>
      </c>
      <c r="M33" s="59">
        <f t="shared" si="4"/>
        <v>0.21222632300821365</v>
      </c>
      <c r="N33" s="59">
        <f t="shared" si="5"/>
        <v>0.20094051474773106</v>
      </c>
      <c r="O33" s="59">
        <f t="shared" si="6"/>
        <v>0.19366869781333459</v>
      </c>
      <c r="P33" s="59">
        <f t="shared" si="7"/>
        <v>0.18929440055950275</v>
      </c>
      <c r="Q33" s="59">
        <f t="shared" si="8"/>
        <v>0.18723807754322927</v>
      </c>
      <c r="R33" s="59">
        <f t="shared" si="9"/>
        <v>0.18616870560901988</v>
      </c>
      <c r="S33" s="36">
        <f t="shared" si="10"/>
        <v>0.18601755780934889</v>
      </c>
      <c r="T33" s="63">
        <f t="array" ref="T33:U33">LINEST(K33:S33,$K$2:$S$2)</f>
        <v>-4.0102033600013597E-2</v>
      </c>
      <c r="U33" s="63">
        <v>0.35642594310803222</v>
      </c>
      <c r="V33" s="63">
        <f t="shared" si="11"/>
        <v>1.4282157573820482</v>
      </c>
      <c r="W33" s="68">
        <f t="shared" si="12"/>
        <v>0.94221568518161347</v>
      </c>
      <c r="X33" s="18">
        <f t="array" ref="X33:Y33">LINEST(B33:J33,$K$2:$S$2)</f>
        <v>-5.0240737008365843E-2</v>
      </c>
      <c r="Y33" s="63">
        <v>1.4176751916724035</v>
      </c>
      <c r="Z33" s="68">
        <f t="shared" si="13"/>
        <v>0.93742674997488684</v>
      </c>
      <c r="AA33" s="68">
        <f t="shared" si="14"/>
        <v>0.73207370981902797</v>
      </c>
      <c r="AB33" s="68">
        <f t="shared" si="15"/>
        <v>0.72320878425352619</v>
      </c>
    </row>
    <row r="34" spans="1:28">
      <c r="A34" s="42" t="s">
        <v>65</v>
      </c>
      <c r="B34" s="50">
        <v>1.3330075580666654</v>
      </c>
      <c r="C34" s="46">
        <v>1.302577181329865</v>
      </c>
      <c r="D34" s="46">
        <v>1.2782037611934325</v>
      </c>
      <c r="E34" s="46">
        <v>1.2586490530021517</v>
      </c>
      <c r="F34" s="46">
        <v>1.243847517949237</v>
      </c>
      <c r="G34" s="46">
        <v>1.2344875734787604</v>
      </c>
      <c r="H34" s="46">
        <v>1.227948305822975</v>
      </c>
      <c r="I34" s="46">
        <v>1.2226100071300814</v>
      </c>
      <c r="J34" s="46">
        <v>1.2192662129771015</v>
      </c>
      <c r="K34" s="58">
        <f t="shared" si="2"/>
        <v>0.28743771114798833</v>
      </c>
      <c r="L34" s="59">
        <f t="shared" si="3"/>
        <v>0.26434474918912032</v>
      </c>
      <c r="M34" s="59">
        <f t="shared" si="4"/>
        <v>0.24545578080007369</v>
      </c>
      <c r="N34" s="59">
        <f t="shared" si="5"/>
        <v>0.23003896561004011</v>
      </c>
      <c r="O34" s="59">
        <f t="shared" si="6"/>
        <v>0.21820941280839135</v>
      </c>
      <c r="P34" s="59">
        <f t="shared" si="7"/>
        <v>0.2106559637165982</v>
      </c>
      <c r="Q34" s="59">
        <f t="shared" si="8"/>
        <v>0.20534473260351693</v>
      </c>
      <c r="R34" s="59">
        <f t="shared" si="9"/>
        <v>0.20098792370092805</v>
      </c>
      <c r="S34" s="36">
        <f t="shared" si="10"/>
        <v>0.1982492130197997</v>
      </c>
      <c r="T34" s="63">
        <f t="array" ref="T34:U34">LINEST(K34:S34,$K$2:$S$2)</f>
        <v>-4.2929363134162415E-2</v>
      </c>
      <c r="U34" s="63">
        <v>0.38888170641220315</v>
      </c>
      <c r="V34" s="63">
        <f t="shared" si="11"/>
        <v>1.4753300189291028</v>
      </c>
      <c r="W34" s="68">
        <f t="shared" si="12"/>
        <v>0.99328805222106109</v>
      </c>
      <c r="X34" s="18">
        <f t="array" ref="X34:Y34">LINEST(B34:J34,$K$2:$S$2)</f>
        <v>-5.4628822247676331E-2</v>
      </c>
      <c r="Y34" s="63">
        <v>1.4613370594003277</v>
      </c>
      <c r="Z34" s="68">
        <f t="shared" si="13"/>
        <v>0.99360628149870656</v>
      </c>
      <c r="AA34" s="68">
        <f t="shared" si="14"/>
        <v>0.90697071193975576</v>
      </c>
      <c r="AB34" s="68">
        <f t="shared" si="15"/>
        <v>0.90052284058223697</v>
      </c>
    </row>
    <row r="35" spans="1:28">
      <c r="A35" s="42" t="s">
        <v>48</v>
      </c>
      <c r="B35" s="50">
        <v>1.4073453796667255</v>
      </c>
      <c r="C35" s="46">
        <v>1.368037812411222</v>
      </c>
      <c r="D35" s="46">
        <v>1.3529409382116724</v>
      </c>
      <c r="E35" s="46">
        <v>1.3357222696848219</v>
      </c>
      <c r="F35" s="46">
        <v>1.3227647345428062</v>
      </c>
      <c r="G35" s="46">
        <v>1.3109961293844155</v>
      </c>
      <c r="H35" s="46">
        <v>1.3015389438384548</v>
      </c>
      <c r="I35" s="46">
        <v>1.2938955646318264</v>
      </c>
      <c r="J35" s="46">
        <v>1.2873404494690579</v>
      </c>
      <c r="K35" s="58">
        <f t="shared" si="2"/>
        <v>0.34170522040877899</v>
      </c>
      <c r="L35" s="59">
        <f t="shared" si="3"/>
        <v>0.31337745946984102</v>
      </c>
      <c r="M35" s="59">
        <f t="shared" si="4"/>
        <v>0.30228069576850203</v>
      </c>
      <c r="N35" s="59">
        <f t="shared" si="5"/>
        <v>0.28947217153156302</v>
      </c>
      <c r="O35" s="59">
        <f t="shared" si="6"/>
        <v>0.27972404206556301</v>
      </c>
      <c r="P35" s="59">
        <f t="shared" si="7"/>
        <v>0.2707872523625709</v>
      </c>
      <c r="Q35" s="59">
        <f t="shared" si="8"/>
        <v>0.26354736727793238</v>
      </c>
      <c r="R35" s="59">
        <f t="shared" si="9"/>
        <v>0.25765748542743094</v>
      </c>
      <c r="S35" s="36">
        <f t="shared" si="10"/>
        <v>0.25257842313421741</v>
      </c>
      <c r="T35" s="63">
        <f t="array" ref="T35:U35">LINEST(K35:S35,$K$2:$S$2)</f>
        <v>-4.0510771707869611E-2</v>
      </c>
      <c r="U35" s="63">
        <v>0.43658416881083795</v>
      </c>
      <c r="V35" s="63">
        <f t="shared" si="11"/>
        <v>1.5474124808798839</v>
      </c>
      <c r="W35" s="68">
        <f t="shared" si="12"/>
        <v>0.99532298883482206</v>
      </c>
      <c r="X35" s="18">
        <f t="array" ref="X35:Y35">LINEST(B35:J35,$K$2:$S$2)</f>
        <v>-5.4470711085145895E-2</v>
      </c>
      <c r="Y35" s="63">
        <v>1.5340797660017096</v>
      </c>
      <c r="Z35" s="68">
        <f t="shared" si="13"/>
        <v>0.99651908032001646</v>
      </c>
      <c r="AA35" s="68">
        <f t="shared" si="14"/>
        <v>0.93828949041466658</v>
      </c>
      <c r="AB35" s="68">
        <f t="shared" si="15"/>
        <v>0.93169922860815801</v>
      </c>
    </row>
    <row r="36" spans="1:28">
      <c r="A36" s="42" t="s">
        <v>66</v>
      </c>
      <c r="B36" s="50">
        <v>1.2908066509637137</v>
      </c>
      <c r="C36" s="46">
        <v>1.221294302281372</v>
      </c>
      <c r="D36" s="46">
        <v>1.20124627478735</v>
      </c>
      <c r="E36" s="46">
        <v>1.1855169545716866</v>
      </c>
      <c r="F36" s="46">
        <v>1.1733077141049333</v>
      </c>
      <c r="G36" s="46">
        <v>1.1653283208068956</v>
      </c>
      <c r="H36" s="46">
        <v>1.1592931878775155</v>
      </c>
      <c r="I36" s="46">
        <v>1.153822612145486</v>
      </c>
      <c r="J36" s="46">
        <v>1.1493697375302219</v>
      </c>
      <c r="K36" s="58">
        <f t="shared" si="2"/>
        <v>0.25526733377281485</v>
      </c>
      <c r="L36" s="59">
        <f t="shared" si="3"/>
        <v>0.19991119989406345</v>
      </c>
      <c r="M36" s="59">
        <f t="shared" si="4"/>
        <v>0.18335958018400836</v>
      </c>
      <c r="N36" s="59">
        <f t="shared" si="5"/>
        <v>0.1701789280420484</v>
      </c>
      <c r="O36" s="59">
        <f t="shared" si="6"/>
        <v>0.15982686613385921</v>
      </c>
      <c r="P36" s="59">
        <f t="shared" si="7"/>
        <v>0.15300286774884803</v>
      </c>
      <c r="Q36" s="59">
        <f t="shared" si="8"/>
        <v>0.14781049861166987</v>
      </c>
      <c r="R36" s="59">
        <f t="shared" si="9"/>
        <v>0.14308044062528774</v>
      </c>
      <c r="S36" s="36">
        <f t="shared" si="10"/>
        <v>0.1392137378169484</v>
      </c>
      <c r="T36" s="63">
        <f t="array" ref="T36:U36">LINEST(K36:S36,$K$2:$S$2)</f>
        <v>-5.0442913212442472E-2</v>
      </c>
      <c r="U36" s="63">
        <v>0.36030609171771344</v>
      </c>
      <c r="V36" s="63">
        <f t="shared" si="11"/>
        <v>1.4337682119755935</v>
      </c>
      <c r="W36" s="68">
        <f t="shared" si="12"/>
        <v>0.97069092540412649</v>
      </c>
      <c r="X36" s="18">
        <f t="array" ref="X36:Y36">LINEST(B36:J36,$K$2:$S$2)</f>
        <v>-6.1190584154239086E-2</v>
      </c>
      <c r="Y36" s="63">
        <v>1.4168228665514986</v>
      </c>
      <c r="Z36" s="68">
        <f t="shared" si="13"/>
        <v>0.9645159119089951</v>
      </c>
      <c r="AA36" s="68">
        <f t="shared" si="14"/>
        <v>0.80300601212045974</v>
      </c>
      <c r="AB36" s="68">
        <f t="shared" si="15"/>
        <v>0.78924923982610307</v>
      </c>
    </row>
    <row r="37" spans="1:28">
      <c r="A37" s="42" t="s">
        <v>49</v>
      </c>
      <c r="B37" s="50">
        <v>1.3444279137541839</v>
      </c>
      <c r="C37" s="46">
        <v>1.3330034239016018</v>
      </c>
      <c r="D37" s="46">
        <v>1.3052617006945595</v>
      </c>
      <c r="E37" s="46">
        <v>1.2881022315645838</v>
      </c>
      <c r="F37" s="46">
        <v>1.2802850434359947</v>
      </c>
      <c r="G37" s="46">
        <v>1.2712116017778166</v>
      </c>
      <c r="H37" s="46">
        <v>1.2658272140371463</v>
      </c>
      <c r="I37" s="46">
        <v>1.2585556789471462</v>
      </c>
      <c r="J37" s="46">
        <v>1.2523532277965723</v>
      </c>
      <c r="K37" s="58">
        <f t="shared" si="2"/>
        <v>0.29596857963614581</v>
      </c>
      <c r="L37" s="59">
        <f t="shared" si="3"/>
        <v>0.28743460976161628</v>
      </c>
      <c r="M37" s="59">
        <f t="shared" si="4"/>
        <v>0.26640355760051115</v>
      </c>
      <c r="N37" s="59">
        <f t="shared" si="5"/>
        <v>0.25316999686509634</v>
      </c>
      <c r="O37" s="59">
        <f t="shared" si="6"/>
        <v>0.24708274332411806</v>
      </c>
      <c r="P37" s="59">
        <f t="shared" si="7"/>
        <v>0.2399704628332533</v>
      </c>
      <c r="Q37" s="59">
        <f t="shared" si="8"/>
        <v>0.23572583260429361</v>
      </c>
      <c r="R37" s="59">
        <f t="shared" si="9"/>
        <v>0.22996477692458023</v>
      </c>
      <c r="S37" s="36">
        <f t="shared" si="10"/>
        <v>0.225024363714422</v>
      </c>
      <c r="T37" s="63">
        <f t="array" ref="T37:U37">LINEST(K37:S37,$K$2:$S$2)</f>
        <v>-3.4394842710667763E-2</v>
      </c>
      <c r="U37" s="63">
        <v>0.38153724830707436</v>
      </c>
      <c r="V37" s="63">
        <f t="shared" si="11"/>
        <v>1.4645342126154937</v>
      </c>
      <c r="W37" s="68">
        <f t="shared" si="12"/>
        <v>0.97403860492611505</v>
      </c>
      <c r="X37" s="18">
        <f t="array" ref="X37:Y37">LINEST(B37:J37,$K$2:$S$2)</f>
        <v>-4.4674069471875119E-2</v>
      </c>
      <c r="Y37" s="63">
        <v>1.4551922648672895</v>
      </c>
      <c r="Z37" s="68">
        <f t="shared" si="13"/>
        <v>0.97490006506628479</v>
      </c>
      <c r="AA37" s="68">
        <f t="shared" si="14"/>
        <v>0.93398494427672218</v>
      </c>
      <c r="AB37" s="68">
        <f t="shared" si="15"/>
        <v>0.92951122943008491</v>
      </c>
    </row>
    <row r="38" spans="1:28">
      <c r="A38" s="42" t="s">
        <v>50</v>
      </c>
      <c r="B38" s="50">
        <v>1.4115605231076185</v>
      </c>
      <c r="C38" s="46">
        <v>1.3399770609126298</v>
      </c>
      <c r="D38" s="46">
        <v>1.3051406812780726</v>
      </c>
      <c r="E38" s="46">
        <v>1.2817943808930483</v>
      </c>
      <c r="F38" s="46">
        <v>1.2648153813211274</v>
      </c>
      <c r="G38" s="46">
        <v>1.2535936164248203</v>
      </c>
      <c r="H38" s="46">
        <v>1.2454120748006281</v>
      </c>
      <c r="I38" s="46">
        <v>1.238920592591702</v>
      </c>
      <c r="J38" s="46">
        <v>1.2344561116309156</v>
      </c>
      <c r="K38" s="58">
        <f t="shared" si="2"/>
        <v>0.34469584636644296</v>
      </c>
      <c r="L38" s="59">
        <f t="shared" si="3"/>
        <v>0.29265249509437496</v>
      </c>
      <c r="M38" s="59">
        <f t="shared" si="4"/>
        <v>0.26631083671011563</v>
      </c>
      <c r="N38" s="59">
        <f t="shared" si="5"/>
        <v>0.24826095631574091</v>
      </c>
      <c r="O38" s="59">
        <f t="shared" si="6"/>
        <v>0.23492616790901505</v>
      </c>
      <c r="P38" s="59">
        <f t="shared" si="7"/>
        <v>0.22601431985208548</v>
      </c>
      <c r="Q38" s="59">
        <f t="shared" si="8"/>
        <v>0.21946645892922945</v>
      </c>
      <c r="R38" s="59">
        <f t="shared" si="9"/>
        <v>0.21424051067524275</v>
      </c>
      <c r="S38" s="36">
        <f t="shared" si="10"/>
        <v>0.21063047763683362</v>
      </c>
      <c r="T38" s="63">
        <f t="array" ref="T38:U38">LINEST(K38:S38,$K$2:$S$2)</f>
        <v>-6.105336889685592E-2</v>
      </c>
      <c r="U38" s="63">
        <v>0.4782242176750115</v>
      </c>
      <c r="V38" s="63">
        <f t="shared" si="11"/>
        <v>1.6132071523928371</v>
      </c>
      <c r="W38" s="68">
        <f t="shared" si="12"/>
        <v>0.98806738412638806</v>
      </c>
      <c r="X38" s="18">
        <f t="array" ref="X38:Y38">LINEST(B38:J38,$K$2:$S$2)</f>
        <v>-8.0232060138232197E-2</v>
      </c>
      <c r="Y38" s="63">
        <v>1.5850508584569101</v>
      </c>
      <c r="Z38" s="68">
        <f t="shared" si="13"/>
        <v>0.98372712945105489</v>
      </c>
      <c r="AA38" s="68">
        <f t="shared" si="14"/>
        <v>0.84066465371584664</v>
      </c>
      <c r="AB38" s="68">
        <f t="shared" si="15"/>
        <v>0.82701571584947897</v>
      </c>
    </row>
    <row r="39" spans="1:28">
      <c r="A39" s="42" t="s">
        <v>51</v>
      </c>
      <c r="B39" s="50">
        <v>1.5301276739734433</v>
      </c>
      <c r="C39" s="46">
        <v>1.4913588455422746</v>
      </c>
      <c r="D39" s="46">
        <v>1.4731281162210448</v>
      </c>
      <c r="E39" s="46">
        <v>1.4562699715471381</v>
      </c>
      <c r="F39" s="46">
        <v>1.4407046826983154</v>
      </c>
      <c r="G39" s="46">
        <v>1.4297790976947944</v>
      </c>
      <c r="H39" s="46">
        <v>1.4261614774445286</v>
      </c>
      <c r="I39" s="46">
        <v>1.4293416108501145</v>
      </c>
      <c r="J39" s="46">
        <v>1.4320189723752634</v>
      </c>
      <c r="K39" s="58">
        <f t="shared" si="2"/>
        <v>0.42535117896429964</v>
      </c>
      <c r="L39" s="59">
        <f t="shared" si="3"/>
        <v>0.39968768123312637</v>
      </c>
      <c r="M39" s="59">
        <f t="shared" si="4"/>
        <v>0.38738811008729884</v>
      </c>
      <c r="N39" s="59">
        <f t="shared" si="5"/>
        <v>0.37587835260496605</v>
      </c>
      <c r="O39" s="59">
        <f t="shared" si="6"/>
        <v>0.36513235687383427</v>
      </c>
      <c r="P39" s="59">
        <f t="shared" si="7"/>
        <v>0.35751995520248675</v>
      </c>
      <c r="Q39" s="59">
        <f t="shared" si="8"/>
        <v>0.35498655362080273</v>
      </c>
      <c r="R39" s="59">
        <f t="shared" si="9"/>
        <v>0.35721392625674353</v>
      </c>
      <c r="S39" s="36">
        <f t="shared" si="10"/>
        <v>0.35908531731609583</v>
      </c>
      <c r="T39" s="63">
        <f t="array" ref="T39:U39">LINEST(K39:S39,$K$2:$S$2)</f>
        <v>-3.2972325917448309E-2</v>
      </c>
      <c r="U39" s="63">
        <v>0.49862708171350728</v>
      </c>
      <c r="V39" s="63">
        <f t="shared" si="11"/>
        <v>1.6464592642485707</v>
      </c>
      <c r="W39" s="68">
        <f t="shared" si="12"/>
        <v>0.96427065364974374</v>
      </c>
      <c r="X39" s="18">
        <f t="array" ref="X39:Y39">LINEST(B39:J39,$K$2:$S$2)</f>
        <v>-4.8576515541374349E-2</v>
      </c>
      <c r="Y39" s="63">
        <v>1.6374914072097277</v>
      </c>
      <c r="Z39" s="68">
        <f t="shared" si="13"/>
        <v>0.96373207831205365</v>
      </c>
      <c r="AA39" s="68">
        <f t="shared" si="14"/>
        <v>0.80807636070990996</v>
      </c>
      <c r="AB39" s="68">
        <f t="shared" si="15"/>
        <v>0.80339929407910138</v>
      </c>
    </row>
    <row r="40" spans="1:28">
      <c r="A40" s="42" t="s">
        <v>52</v>
      </c>
      <c r="B40" s="50">
        <v>1.3413795461632436</v>
      </c>
      <c r="C40" s="46">
        <v>1.2792927288201636</v>
      </c>
      <c r="D40" s="46">
        <v>1.2492145533947989</v>
      </c>
      <c r="E40" s="46">
        <v>1.2359886141697098</v>
      </c>
      <c r="F40" s="46">
        <v>1.2335825315465978</v>
      </c>
      <c r="G40" s="46">
        <v>1.2346713669311957</v>
      </c>
      <c r="H40" s="46">
        <v>1.2378648301781199</v>
      </c>
      <c r="I40" s="46">
        <v>1.2391867314568445</v>
      </c>
      <c r="J40" s="46">
        <v>1.2398242295003903</v>
      </c>
      <c r="K40" s="58">
        <f t="shared" si="2"/>
        <v>0.2936985964408434</v>
      </c>
      <c r="L40" s="59">
        <f t="shared" si="3"/>
        <v>0.24630736960716967</v>
      </c>
      <c r="M40" s="59">
        <f t="shared" si="4"/>
        <v>0.22251499653087292</v>
      </c>
      <c r="N40" s="59">
        <f t="shared" si="5"/>
        <v>0.21187114715626545</v>
      </c>
      <c r="O40" s="59">
        <f t="shared" si="6"/>
        <v>0.20992256317754018</v>
      </c>
      <c r="P40" s="59">
        <f t="shared" si="7"/>
        <v>0.21080483501829275</v>
      </c>
      <c r="Q40" s="59">
        <f t="shared" si="8"/>
        <v>0.21338798427725911</v>
      </c>
      <c r="R40" s="59">
        <f t="shared" si="9"/>
        <v>0.21445530271720403</v>
      </c>
      <c r="S40" s="36">
        <f t="shared" si="10"/>
        <v>0.21496961916649657</v>
      </c>
      <c r="T40" s="63">
        <f t="array" ref="T40:U40">LINEST(K40:S40,$K$2:$S$2)</f>
        <v>-3.4024985370192315E-2</v>
      </c>
      <c r="U40" s="63">
        <v>0.35318035819312776</v>
      </c>
      <c r="V40" s="63">
        <f t="shared" si="11"/>
        <v>1.4235878760180707</v>
      </c>
      <c r="W40" s="68">
        <f t="shared" si="12"/>
        <v>0.78432304403018116</v>
      </c>
      <c r="X40" s="18">
        <f t="array" ref="X40:Y40">LINEST(B40:J40,$K$2:$S$2)</f>
        <v>-4.3650260834194515E-2</v>
      </c>
      <c r="Y40" s="63">
        <v>1.4171537999933383</v>
      </c>
      <c r="Z40" s="68">
        <f t="shared" si="13"/>
        <v>0.78148299453491055</v>
      </c>
      <c r="AA40" s="68">
        <f t="shared" si="14"/>
        <v>0.50396590444641809</v>
      </c>
      <c r="AB40" s="68">
        <f t="shared" si="15"/>
        <v>0.50064892511904335</v>
      </c>
    </row>
    <row r="41" spans="1:28">
      <c r="A41" s="42" t="s">
        <v>53</v>
      </c>
      <c r="B41" s="49">
        <v>1.3599560158886321</v>
      </c>
      <c r="C41" s="45">
        <v>1.2841673699040268</v>
      </c>
      <c r="D41" s="45">
        <v>1.2442193027437145</v>
      </c>
      <c r="E41" s="45">
        <v>1.2214655452556848</v>
      </c>
      <c r="F41" s="45">
        <v>1.205287459552572</v>
      </c>
      <c r="G41" s="45">
        <v>1.1953550018287182</v>
      </c>
      <c r="H41" s="45">
        <v>1.1908050726732355</v>
      </c>
      <c r="I41" s="45">
        <v>1.188697239807107</v>
      </c>
      <c r="J41" s="45">
        <v>1.1881349038874762</v>
      </c>
      <c r="K41" s="58">
        <f t="shared" si="2"/>
        <v>0.30745235796661213</v>
      </c>
      <c r="L41" s="59">
        <f t="shared" si="3"/>
        <v>0.25011054716543946</v>
      </c>
      <c r="M41" s="59">
        <f t="shared" si="4"/>
        <v>0.21850826715920907</v>
      </c>
      <c r="N41" s="59">
        <f t="shared" si="5"/>
        <v>0.20005140440476554</v>
      </c>
      <c r="O41" s="59">
        <f t="shared" si="6"/>
        <v>0.18671809413803284</v>
      </c>
      <c r="P41" s="59">
        <f t="shared" si="7"/>
        <v>0.17844321392614373</v>
      </c>
      <c r="Q41" s="59">
        <f t="shared" si="8"/>
        <v>0.17462961003723962</v>
      </c>
      <c r="R41" s="59">
        <f t="shared" si="9"/>
        <v>0.172857950975252</v>
      </c>
      <c r="S41" s="36">
        <f t="shared" si="10"/>
        <v>0.17238476995435847</v>
      </c>
      <c r="T41" s="63">
        <f t="array" ref="T41:U41">LINEST(K41:S41,$K$2:$S$2)</f>
        <v>-6.2420075338390092E-2</v>
      </c>
      <c r="U41" s="63">
        <v>0.43931056292249904</v>
      </c>
      <c r="V41" s="63">
        <f t="shared" si="11"/>
        <v>1.5516370935187027</v>
      </c>
      <c r="W41" s="68">
        <f t="shared" si="12"/>
        <v>0.96167509862112388</v>
      </c>
      <c r="X41" s="18">
        <f t="array" ref="X41:Y41">LINEST(B41:J41,$K$2:$S$2)</f>
        <v>-7.8807438371130814E-2</v>
      </c>
      <c r="Y41" s="63">
        <v>1.5244571818899169</v>
      </c>
      <c r="Z41" s="68">
        <f t="shared" si="13"/>
        <v>0.95566739497083064</v>
      </c>
      <c r="AA41" s="68">
        <f t="shared" si="14"/>
        <v>0.77215438358458488</v>
      </c>
      <c r="AB41" s="68">
        <f t="shared" si="15"/>
        <v>0.7588654126873805</v>
      </c>
    </row>
    <row r="42" spans="1:28">
      <c r="A42" s="42" t="s">
        <v>158</v>
      </c>
      <c r="B42" s="49">
        <v>1.3054372101690606</v>
      </c>
      <c r="C42" s="45">
        <v>1.2619074783498458</v>
      </c>
      <c r="D42" s="45">
        <v>1.235017216450139</v>
      </c>
      <c r="E42" s="45">
        <v>1.2194277529157018</v>
      </c>
      <c r="F42" s="45">
        <v>1.2093921289472145</v>
      </c>
      <c r="G42" s="45">
        <v>1.2027779213679537</v>
      </c>
      <c r="H42" s="45">
        <v>1.1983418382894222</v>
      </c>
      <c r="I42" s="45">
        <v>1.1972716138765835</v>
      </c>
      <c r="J42" s="45">
        <v>1.1976784755170091</v>
      </c>
      <c r="K42" s="58">
        <f t="shared" si="2"/>
        <v>0.26653801161513163</v>
      </c>
      <c r="L42" s="59">
        <f t="shared" si="3"/>
        <v>0.2326244479210314</v>
      </c>
      <c r="M42" s="59">
        <f t="shared" si="4"/>
        <v>0.21108491042823005</v>
      </c>
      <c r="N42" s="59">
        <f t="shared" si="5"/>
        <v>0.19838169371733363</v>
      </c>
      <c r="O42" s="59">
        <f t="shared" si="6"/>
        <v>0.19011786060627353</v>
      </c>
      <c r="P42" s="59">
        <f t="shared" si="7"/>
        <v>0.18463381593445943</v>
      </c>
      <c r="Q42" s="59">
        <f t="shared" si="8"/>
        <v>0.18093879980051183</v>
      </c>
      <c r="R42" s="59">
        <f t="shared" si="9"/>
        <v>0.1800453130127587</v>
      </c>
      <c r="S42" s="36">
        <f t="shared" si="10"/>
        <v>0.18038507929527248</v>
      </c>
      <c r="T42" s="63">
        <f t="array" ref="T42:U42">LINEST(K42:S42,$K$2:$S$2)</f>
        <v>-4.0538882896848726E-2</v>
      </c>
      <c r="U42" s="63">
        <v>0.35375775160176903</v>
      </c>
      <c r="V42" s="63">
        <f t="shared" si="11"/>
        <v>1.4244100836200875</v>
      </c>
      <c r="W42" s="68">
        <f t="shared" si="12"/>
        <v>0.96762252335930099</v>
      </c>
      <c r="X42" s="18">
        <f t="array" ref="X42:Y42">LINEST(B42:J42,$K$2:$S$2)</f>
        <v>-5.0460787093328657E-2</v>
      </c>
      <c r="Y42" s="63">
        <v>1.41321713689305</v>
      </c>
      <c r="Z42" s="68">
        <f t="shared" si="13"/>
        <v>0.9644709970489449</v>
      </c>
      <c r="AA42" s="68">
        <f t="shared" si="14"/>
        <v>0.78773229677532397</v>
      </c>
      <c r="AB42" s="68">
        <f t="shared" si="15"/>
        <v>0.77966606419312279</v>
      </c>
    </row>
    <row r="43" spans="1:28">
      <c r="A43" s="42" t="s">
        <v>54</v>
      </c>
      <c r="B43" s="50">
        <v>1.4338792967235054</v>
      </c>
      <c r="C43" s="46">
        <v>1.4013492588209344</v>
      </c>
      <c r="D43" s="46">
        <v>1.4014419587257636</v>
      </c>
      <c r="E43" s="46">
        <v>1.400056122836252</v>
      </c>
      <c r="F43" s="46">
        <v>1.3967920476447633</v>
      </c>
      <c r="G43" s="46">
        <v>1.3967267442968094</v>
      </c>
      <c r="H43" s="46">
        <v>1.3968698866346807</v>
      </c>
      <c r="I43" s="46">
        <v>1.3968817478060891</v>
      </c>
      <c r="J43" s="46">
        <v>1.3982014018055617</v>
      </c>
      <c r="K43" s="58">
        <f t="shared" si="2"/>
        <v>0.3603835661964494</v>
      </c>
      <c r="L43" s="59">
        <f t="shared" si="3"/>
        <v>0.33743552880694871</v>
      </c>
      <c r="M43" s="59">
        <f t="shared" si="4"/>
        <v>0.33750167708391104</v>
      </c>
      <c r="N43" s="59">
        <f t="shared" si="5"/>
        <v>0.33651232355790095</v>
      </c>
      <c r="O43" s="59">
        <f t="shared" si="6"/>
        <v>0.33417821282007193</v>
      </c>
      <c r="P43" s="59">
        <f t="shared" si="7"/>
        <v>0.33413145935046645</v>
      </c>
      <c r="Q43" s="59">
        <f t="shared" si="8"/>
        <v>0.33423393823837144</v>
      </c>
      <c r="R43" s="59">
        <f t="shared" si="9"/>
        <v>0.3342424294523092</v>
      </c>
      <c r="S43" s="36">
        <f t="shared" si="10"/>
        <v>0.33518669767396186</v>
      </c>
      <c r="T43" s="63">
        <f t="array" ref="T43:U43">LINEST(K43:S43,$K$2:$S$2)</f>
        <v>-9.6589909681845144E-3</v>
      </c>
      <c r="U43" s="63">
        <v>0.3741804896374562</v>
      </c>
      <c r="V43" s="63">
        <f t="shared" si="11"/>
        <v>1.4537995225271751</v>
      </c>
      <c r="W43" s="68">
        <f t="shared" si="12"/>
        <v>0.6783274910385374</v>
      </c>
      <c r="X43" s="18">
        <f t="array" ref="X43:Y43">LINEST(B43:J43,$K$2:$S$2)</f>
        <v>-1.3659695904533113E-2</v>
      </c>
      <c r="Y43" s="63">
        <v>1.4533490050195619</v>
      </c>
      <c r="Z43" s="68">
        <f t="shared" si="13"/>
        <v>0.67696752282482819</v>
      </c>
      <c r="AA43" s="68">
        <f t="shared" si="14"/>
        <v>0.41659912452732667</v>
      </c>
      <c r="AB43" s="68">
        <f t="shared" si="15"/>
        <v>0.4152615573877485</v>
      </c>
    </row>
    <row r="44" spans="1:28">
      <c r="A44" s="42" t="s">
        <v>55</v>
      </c>
      <c r="B44" s="50">
        <v>1.3973954385618328</v>
      </c>
      <c r="C44" s="46">
        <v>1.3751662227690009</v>
      </c>
      <c r="D44" s="46">
        <v>1.37473562290319</v>
      </c>
      <c r="E44" s="46">
        <v>1.3815334547515212</v>
      </c>
      <c r="F44" s="46">
        <v>1.3850097173055014</v>
      </c>
      <c r="G44" s="46">
        <v>1.3899925563291859</v>
      </c>
      <c r="H44" s="46">
        <v>1.3925352790776591</v>
      </c>
      <c r="I44" s="46">
        <v>1.3909277673330938</v>
      </c>
      <c r="J44" s="46">
        <v>1.3874547008609153</v>
      </c>
      <c r="K44" s="58">
        <f t="shared" si="2"/>
        <v>0.33461010289862059</v>
      </c>
      <c r="L44" s="59">
        <f t="shared" si="3"/>
        <v>0.31857461309855978</v>
      </c>
      <c r="M44" s="59">
        <f t="shared" si="4"/>
        <v>0.31826143837924531</v>
      </c>
      <c r="N44" s="59">
        <f t="shared" si="5"/>
        <v>0.32319408133967903</v>
      </c>
      <c r="O44" s="59">
        <f t="shared" si="6"/>
        <v>0.32570715571974423</v>
      </c>
      <c r="P44" s="59">
        <f t="shared" si="7"/>
        <v>0.32929839196940247</v>
      </c>
      <c r="Q44" s="59">
        <f t="shared" si="8"/>
        <v>0.33112602756312087</v>
      </c>
      <c r="R44" s="59">
        <f t="shared" si="9"/>
        <v>0.32997098300425237</v>
      </c>
      <c r="S44" s="36">
        <f t="shared" si="10"/>
        <v>0.32747091807732487</v>
      </c>
      <c r="T44" s="63">
        <f t="array" ref="T44:U44">LINEST(K44:S44,$K$2:$S$2)</f>
        <v>8.144289142345087E-4</v>
      </c>
      <c r="U44" s="63">
        <v>0.32343443407779465</v>
      </c>
      <c r="V44" s="63">
        <f t="shared" si="11"/>
        <v>1.3818655500085726</v>
      </c>
      <c r="W44" s="68">
        <f t="shared" si="12"/>
        <v>1.097064097609346E-2</v>
      </c>
      <c r="X44" s="18">
        <f t="array" ref="X44:Y44">LINEST(B44:J44,$K$2:$S$2)</f>
        <v>1.1056230168543333E-3</v>
      </c>
      <c r="Y44" s="63">
        <v>1.3819649605642677</v>
      </c>
      <c r="Z44" s="68">
        <f t="shared" si="13"/>
        <v>1.0539247678809434E-2</v>
      </c>
      <c r="AA44" s="68">
        <f t="shared" si="14"/>
        <v>9.3493528649994773E-2</v>
      </c>
      <c r="AB44" s="68">
        <f t="shared" si="15"/>
        <v>9.237283907348269E-2</v>
      </c>
    </row>
    <row r="45" spans="1:28">
      <c r="A45" s="42" t="s">
        <v>67</v>
      </c>
      <c r="B45" s="50">
        <v>1.4317823771593792</v>
      </c>
      <c r="C45" s="46">
        <v>1.3730841421652697</v>
      </c>
      <c r="D45" s="46">
        <v>1.3398515854253352</v>
      </c>
      <c r="E45" s="46">
        <v>1.3117239067101567</v>
      </c>
      <c r="F45" s="46">
        <v>1.2913153607253793</v>
      </c>
      <c r="G45" s="46">
        <v>1.2757965860482567</v>
      </c>
      <c r="H45" s="46">
        <v>1.2642616847774233</v>
      </c>
      <c r="I45" s="46">
        <v>1.2555532060267511</v>
      </c>
      <c r="J45" s="46">
        <v>1.2491587964112882</v>
      </c>
      <c r="K45" s="58">
        <f t="shared" si="2"/>
        <v>0.35892008573223549</v>
      </c>
      <c r="L45" s="59">
        <f t="shared" si="3"/>
        <v>0.31705940834964635</v>
      </c>
      <c r="M45" s="59">
        <f t="shared" si="4"/>
        <v>0.29255885068352222</v>
      </c>
      <c r="N45" s="59">
        <f t="shared" si="5"/>
        <v>0.27134223141821168</v>
      </c>
      <c r="O45" s="59">
        <f t="shared" si="6"/>
        <v>0.25566135835100623</v>
      </c>
      <c r="P45" s="59">
        <f t="shared" si="7"/>
        <v>0.24357075689194219</v>
      </c>
      <c r="Q45" s="59">
        <f t="shared" si="8"/>
        <v>0.23448830339316246</v>
      </c>
      <c r="R45" s="59">
        <f t="shared" si="9"/>
        <v>0.2275762770741972</v>
      </c>
      <c r="S45" s="36">
        <f t="shared" si="10"/>
        <v>0.22247036190208594</v>
      </c>
      <c r="T45" s="63">
        <f t="array" ref="T45:U45">LINEST(K45:S45,$K$2:$S$2)</f>
        <v>-6.3760677911327168E-2</v>
      </c>
      <c r="U45" s="63">
        <v>0.50680336785891233</v>
      </c>
      <c r="V45" s="63">
        <f t="shared" si="11"/>
        <v>1.6599763708823392</v>
      </c>
      <c r="W45" s="68">
        <f t="shared" si="12"/>
        <v>0.99845542221694561</v>
      </c>
      <c r="X45" s="18">
        <f t="array" ref="X45:Y45">LINEST(B45:J45,$K$2:$S$2)</f>
        <v>-8.5037046010169023E-2</v>
      </c>
      <c r="Y45" s="63">
        <v>1.6270447275938387</v>
      </c>
      <c r="Z45" s="68">
        <f t="shared" si="13"/>
        <v>0.99823801665225909</v>
      </c>
      <c r="AA45" s="68">
        <f t="shared" si="14"/>
        <v>0.90799654660837548</v>
      </c>
      <c r="AB45" s="68">
        <f t="shared" si="15"/>
        <v>0.89689701653615117</v>
      </c>
    </row>
    <row r="46" spans="1:28">
      <c r="A46" s="42" t="s">
        <v>68</v>
      </c>
      <c r="B46" s="50">
        <v>1.4519495177769537</v>
      </c>
      <c r="C46" s="46">
        <v>1.4206259686722074</v>
      </c>
      <c r="D46" s="46">
        <v>1.4062579681100151</v>
      </c>
      <c r="E46" s="46">
        <v>1.4002313458230131</v>
      </c>
      <c r="F46" s="46">
        <v>1.3933131344330476</v>
      </c>
      <c r="G46" s="46">
        <v>1.3922798957924276</v>
      </c>
      <c r="H46" s="46">
        <v>1.3884116405651341</v>
      </c>
      <c r="I46" s="46">
        <v>1.3873822171543784</v>
      </c>
      <c r="J46" s="46">
        <v>1.3874839144677951</v>
      </c>
      <c r="K46" s="58">
        <f t="shared" si="2"/>
        <v>0.37290714842696127</v>
      </c>
      <c r="L46" s="59">
        <f t="shared" si="3"/>
        <v>0.35109759748784852</v>
      </c>
      <c r="M46" s="59">
        <f t="shared" si="4"/>
        <v>0.34093225316610659</v>
      </c>
      <c r="N46" s="59">
        <f t="shared" si="5"/>
        <v>0.33663746998586658</v>
      </c>
      <c r="O46" s="59">
        <f t="shared" si="6"/>
        <v>0.33168446094508847</v>
      </c>
      <c r="P46" s="59">
        <f t="shared" si="7"/>
        <v>0.33094261626297289</v>
      </c>
      <c r="Q46" s="59">
        <f t="shared" si="8"/>
        <v>0.32816038912846751</v>
      </c>
      <c r="R46" s="59">
        <f t="shared" si="9"/>
        <v>0.32741867449783174</v>
      </c>
      <c r="S46" s="36">
        <f t="shared" si="10"/>
        <v>0.32749197339488723</v>
      </c>
      <c r="T46" s="63">
        <f t="array" ref="T46:U46">LINEST(K46:S46,$K$2:$S$2)</f>
        <v>-2.03293398905369E-2</v>
      </c>
      <c r="U46" s="63">
        <v>0.41431284446665084</v>
      </c>
      <c r="V46" s="63">
        <f t="shared" si="11"/>
        <v>1.5133304899060138</v>
      </c>
      <c r="W46" s="68">
        <f t="shared" si="12"/>
        <v>0.94692848893451143</v>
      </c>
      <c r="X46" s="18">
        <f t="array" ref="X46:Y46">LINEST(B46:J46,$K$2:$S$2)</f>
        <v>-2.8783619686922904E-2</v>
      </c>
      <c r="Y46" s="63">
        <v>1.510323237644545</v>
      </c>
      <c r="Z46" s="68">
        <f t="shared" si="13"/>
        <v>0.94430113780947167</v>
      </c>
      <c r="AA46" s="68">
        <f t="shared" si="14"/>
        <v>0.74386859147351192</v>
      </c>
      <c r="AB46" s="68">
        <f t="shared" si="15"/>
        <v>0.7389377219582276</v>
      </c>
    </row>
    <row r="47" spans="1:28">
      <c r="A47" s="42" t="s">
        <v>69</v>
      </c>
      <c r="B47" s="50">
        <v>1.4529772069649314</v>
      </c>
      <c r="C47" s="46">
        <v>1.4357618484653247</v>
      </c>
      <c r="D47" s="46">
        <v>1.424503733426794</v>
      </c>
      <c r="E47" s="46">
        <v>1.4139365512475086</v>
      </c>
      <c r="F47" s="46">
        <v>1.4012673218427656</v>
      </c>
      <c r="G47" s="46">
        <v>1.3884703455577154</v>
      </c>
      <c r="H47" s="46">
        <v>1.3809694805902639</v>
      </c>
      <c r="I47" s="46">
        <v>1.3779719461955984</v>
      </c>
      <c r="J47" s="46">
        <v>1.3798353964556946</v>
      </c>
      <c r="K47" s="58">
        <f t="shared" si="2"/>
        <v>0.37361469758618693</v>
      </c>
      <c r="L47" s="59">
        <f t="shared" si="3"/>
        <v>0.36169561318534776</v>
      </c>
      <c r="M47" s="59">
        <f t="shared" si="4"/>
        <v>0.35382349582062173</v>
      </c>
      <c r="N47" s="59">
        <f t="shared" si="5"/>
        <v>0.34637769464830998</v>
      </c>
      <c r="O47" s="59">
        <f t="shared" si="6"/>
        <v>0.33737705703542098</v>
      </c>
      <c r="P47" s="59">
        <f t="shared" si="7"/>
        <v>0.32820267035819456</v>
      </c>
      <c r="Q47" s="59">
        <f t="shared" si="8"/>
        <v>0.32278577468278657</v>
      </c>
      <c r="R47" s="59">
        <f t="shared" si="9"/>
        <v>0.32061281403561048</v>
      </c>
      <c r="S47" s="36">
        <f t="shared" si="10"/>
        <v>0.32196421412427917</v>
      </c>
      <c r="T47" s="63">
        <f t="array" ref="T47:U47">LINEST(K47:S47,$K$2:$S$2)</f>
        <v>-2.631599221684763E-2</v>
      </c>
      <c r="U47" s="63">
        <v>0.43874445847519489</v>
      </c>
      <c r="V47" s="63">
        <f t="shared" si="11"/>
        <v>1.5507589534424127</v>
      </c>
      <c r="W47" s="68">
        <f t="shared" si="12"/>
        <v>0.96461493980629476</v>
      </c>
      <c r="X47" s="18">
        <f t="array" ref="X47:Y47">LINEST(B47:J47,$K$2:$S$2)</f>
        <v>-3.7198711492485437E-2</v>
      </c>
      <c r="Y47" s="63">
        <v>1.5447537894228187</v>
      </c>
      <c r="Z47" s="68">
        <f t="shared" si="13"/>
        <v>0.96672036841126174</v>
      </c>
      <c r="AA47" s="68">
        <f t="shared" si="14"/>
        <v>0.94336602542323211</v>
      </c>
      <c r="AB47" s="68">
        <f t="shared" si="15"/>
        <v>0.94144243022864771</v>
      </c>
    </row>
    <row r="48" spans="1:28">
      <c r="A48" s="42" t="s">
        <v>85</v>
      </c>
      <c r="B48" s="50">
        <v>1.3990667972183513</v>
      </c>
      <c r="C48" s="46">
        <v>1.4014055067960625</v>
      </c>
      <c r="D48" s="46">
        <v>1.3973659459287573</v>
      </c>
      <c r="E48" s="46">
        <v>1.4014142336739903</v>
      </c>
      <c r="F48" s="46">
        <v>1.4030034944504302</v>
      </c>
      <c r="G48" s="46">
        <v>1.4006797245444369</v>
      </c>
      <c r="H48" s="46">
        <v>1.3907196655034559</v>
      </c>
      <c r="I48" s="46">
        <v>1.3695757394795991</v>
      </c>
      <c r="J48" s="46">
        <v>1.3538688331181019</v>
      </c>
      <c r="K48" s="58">
        <f t="shared" si="2"/>
        <v>0.33580544094691706</v>
      </c>
      <c r="L48" s="59">
        <f t="shared" si="3"/>
        <v>0.33747566644283866</v>
      </c>
      <c r="M48" s="59">
        <f t="shared" si="4"/>
        <v>0.33458899724484975</v>
      </c>
      <c r="N48" s="59">
        <f t="shared" si="5"/>
        <v>0.33748189365595682</v>
      </c>
      <c r="O48" s="59">
        <f t="shared" si="6"/>
        <v>0.33861529181603189</v>
      </c>
      <c r="P48" s="59">
        <f t="shared" si="7"/>
        <v>0.33695763632745279</v>
      </c>
      <c r="Q48" s="59">
        <f t="shared" si="8"/>
        <v>0.32982135812543451</v>
      </c>
      <c r="R48" s="59">
        <f t="shared" si="9"/>
        <v>0.31450101266755309</v>
      </c>
      <c r="S48" s="36">
        <f t="shared" si="10"/>
        <v>0.30296629617722226</v>
      </c>
      <c r="T48" s="63">
        <f t="array" ref="T48:U48">LINEST(K48:S48,$K$2:$S$2)</f>
        <v>-1.027070309583138E-2</v>
      </c>
      <c r="U48" s="63">
        <v>0.36805998590261013</v>
      </c>
      <c r="V48" s="63">
        <f t="shared" si="11"/>
        <v>1.4449287117272618</v>
      </c>
      <c r="W48" s="68">
        <f t="shared" si="12"/>
        <v>0.34649942343411488</v>
      </c>
      <c r="X48" s="18">
        <f t="array" ref="X48:Y48">LINEST(B48:J48,$K$2:$S$2)</f>
        <v>-1.4176606173299838E-2</v>
      </c>
      <c r="Y48" s="63">
        <v>1.4435968872879794</v>
      </c>
      <c r="Z48" s="68">
        <f t="shared" si="13"/>
        <v>0.3469351606522626</v>
      </c>
      <c r="AA48" s="68">
        <f t="shared" si="14"/>
        <v>0.58523560077717041</v>
      </c>
      <c r="AB48" s="68">
        <f t="shared" si="15"/>
        <v>0.5858777095999842</v>
      </c>
    </row>
    <row r="49" spans="1:28">
      <c r="A49" s="42" t="s">
        <v>56</v>
      </c>
      <c r="B49" s="50">
        <v>1.4725838457083096</v>
      </c>
      <c r="C49" s="46">
        <v>1.4789578076803838</v>
      </c>
      <c r="D49" s="46">
        <v>1.4529281790243918</v>
      </c>
      <c r="E49" s="46">
        <v>1.4364536820651199</v>
      </c>
      <c r="F49" s="46">
        <v>1.4185698685624268</v>
      </c>
      <c r="G49" s="46">
        <v>1.4052977562776781</v>
      </c>
      <c r="H49" s="46">
        <v>1.3981914201363681</v>
      </c>
      <c r="I49" s="46">
        <v>1.3911691748531416</v>
      </c>
      <c r="J49" s="46">
        <v>1.3877189496448212</v>
      </c>
      <c r="K49" s="58">
        <f t="shared" si="2"/>
        <v>0.38701857598079897</v>
      </c>
      <c r="L49" s="59">
        <f t="shared" si="3"/>
        <v>0.39133765572227297</v>
      </c>
      <c r="M49" s="59">
        <f t="shared" si="4"/>
        <v>0.37358095392696072</v>
      </c>
      <c r="N49" s="59">
        <f t="shared" si="5"/>
        <v>0.36217735531494843</v>
      </c>
      <c r="O49" s="59">
        <f t="shared" si="6"/>
        <v>0.34964922929693243</v>
      </c>
      <c r="P49" s="59">
        <f t="shared" si="7"/>
        <v>0.34024920650881252</v>
      </c>
      <c r="Q49" s="59">
        <f t="shared" si="8"/>
        <v>0.33517955871328703</v>
      </c>
      <c r="R49" s="59">
        <f t="shared" si="9"/>
        <v>0.33014452657636389</v>
      </c>
      <c r="S49" s="36">
        <f t="shared" si="10"/>
        <v>0.32766135573491534</v>
      </c>
      <c r="T49" s="63">
        <f t="array" ref="T49:U49">LINEST(K49:S49,$K$2:$S$2)</f>
        <v>-3.2052825247383877E-2</v>
      </c>
      <c r="U49" s="63">
        <v>0.47461915280758044</v>
      </c>
      <c r="V49" s="63">
        <f t="shared" si="11"/>
        <v>1.6074019063953717</v>
      </c>
      <c r="W49" s="68">
        <f t="shared" si="12"/>
        <v>0.89588212220950381</v>
      </c>
      <c r="X49" s="18">
        <f t="array" ref="X49:Y49">LINEST(B49:J49,$K$2:$S$2)</f>
        <v>-4.5936592346699535E-2</v>
      </c>
      <c r="Y49" s="63">
        <v>1.5979888032268901</v>
      </c>
      <c r="Z49" s="68">
        <f t="shared" si="13"/>
        <v>0.89684868774305249</v>
      </c>
      <c r="AA49" s="68">
        <f t="shared" si="14"/>
        <v>0.9485794594477206</v>
      </c>
      <c r="AB49" s="68">
        <f t="shared" si="15"/>
        <v>0.94600935469115566</v>
      </c>
    </row>
    <row r="50" spans="1:28">
      <c r="A50" s="42" t="s">
        <v>75</v>
      </c>
      <c r="B50" s="49">
        <v>1.336871859668785</v>
      </c>
      <c r="C50" s="45">
        <v>1.2828613575676235</v>
      </c>
      <c r="D50" s="45">
        <v>1.2629261489074812</v>
      </c>
      <c r="E50" s="45">
        <v>1.2494539986202935</v>
      </c>
      <c r="F50" s="45">
        <v>1.2404318709255826</v>
      </c>
      <c r="G50" s="45">
        <v>1.2361288587570294</v>
      </c>
      <c r="H50" s="45">
        <v>1.2330872661002497</v>
      </c>
      <c r="I50" s="45">
        <v>1.2273165367301029</v>
      </c>
      <c r="J50" s="45">
        <v>1.2208577984067597</v>
      </c>
      <c r="K50" s="58">
        <f t="shared" si="2"/>
        <v>0.29033245184291762</v>
      </c>
      <c r="L50" s="59">
        <f t="shared" si="3"/>
        <v>0.24909301866245864</v>
      </c>
      <c r="M50" s="59">
        <f t="shared" si="4"/>
        <v>0.23343136890141705</v>
      </c>
      <c r="N50" s="59">
        <f t="shared" si="5"/>
        <v>0.22270665478505347</v>
      </c>
      <c r="O50" s="59">
        <f t="shared" si="6"/>
        <v>0.21545960198500066</v>
      </c>
      <c r="P50" s="59">
        <f t="shared" si="7"/>
        <v>0.21198460825915064</v>
      </c>
      <c r="Q50" s="59">
        <f t="shared" si="8"/>
        <v>0.2095209971037382</v>
      </c>
      <c r="R50" s="59">
        <f t="shared" si="9"/>
        <v>0.20483010860380357</v>
      </c>
      <c r="S50" s="36">
        <f t="shared" si="10"/>
        <v>0.19955372512487302</v>
      </c>
      <c r="T50" s="63">
        <f t="array" ref="T50:U50">LINEST(K50:S50,$K$2:$S$2)</f>
        <v>-3.8855242698862667E-2</v>
      </c>
      <c r="U50" s="63">
        <v>0.37105979695595004</v>
      </c>
      <c r="V50" s="63">
        <f t="shared" si="11"/>
        <v>1.4492697327140036</v>
      </c>
      <c r="W50" s="68">
        <f t="shared" si="12"/>
        <v>0.96667315861182068</v>
      </c>
      <c r="X50" s="18">
        <f t="array" ref="X50:Y50">LINEST(B50:J50,$K$2:$S$2)</f>
        <v>-4.951998454189234E-2</v>
      </c>
      <c r="Y50" s="63">
        <v>1.4388997553898475</v>
      </c>
      <c r="Z50" s="68">
        <f t="shared" si="13"/>
        <v>0.96194282046884094</v>
      </c>
      <c r="AA50" s="68">
        <f t="shared" si="14"/>
        <v>0.79265481826918616</v>
      </c>
      <c r="AB50" s="68">
        <f t="shared" si="15"/>
        <v>0.78223995116734923</v>
      </c>
    </row>
    <row r="51" spans="1:28">
      <c r="A51" s="42" t="s">
        <v>57</v>
      </c>
      <c r="B51" s="50">
        <v>1.443560196227148</v>
      </c>
      <c r="C51" s="46">
        <v>1.399372508003506</v>
      </c>
      <c r="D51" s="46">
        <v>1.3725412244961106</v>
      </c>
      <c r="E51" s="46">
        <v>1.3484888260380745</v>
      </c>
      <c r="F51" s="46">
        <v>1.3285645889956852</v>
      </c>
      <c r="G51" s="46">
        <v>1.3133949871020121</v>
      </c>
      <c r="H51" s="46">
        <v>1.3009918403315728</v>
      </c>
      <c r="I51" s="46">
        <v>1.2932002637774029</v>
      </c>
      <c r="J51" s="46">
        <v>1.286841212715055</v>
      </c>
      <c r="K51" s="58">
        <f t="shared" si="2"/>
        <v>0.36711242082888468</v>
      </c>
      <c r="L51" s="59">
        <f t="shared" si="3"/>
        <v>0.33602392757680422</v>
      </c>
      <c r="M51" s="59">
        <f t="shared" si="4"/>
        <v>0.31666393001321513</v>
      </c>
      <c r="N51" s="59">
        <f t="shared" si="5"/>
        <v>0.29898457734757666</v>
      </c>
      <c r="O51" s="59">
        <f t="shared" si="6"/>
        <v>0.28409910302288177</v>
      </c>
      <c r="P51" s="59">
        <f t="shared" si="7"/>
        <v>0.27261537803379232</v>
      </c>
      <c r="Q51" s="59">
        <f t="shared" si="8"/>
        <v>0.26312692766717422</v>
      </c>
      <c r="R51" s="59">
        <f t="shared" si="9"/>
        <v>0.25711997084174848</v>
      </c>
      <c r="S51" s="36">
        <f t="shared" si="10"/>
        <v>0.25219054315853728</v>
      </c>
      <c r="T51" s="63">
        <f t="array" ref="T51:U51">LINEST(K51:S51,$K$2:$S$2)</f>
        <v>-5.4292139636669068E-2</v>
      </c>
      <c r="U51" s="63">
        <v>0.49645398068789492</v>
      </c>
      <c r="V51" s="63">
        <f t="shared" si="11"/>
        <v>1.642885226711615</v>
      </c>
      <c r="W51" s="68">
        <f t="shared" si="12"/>
        <v>0.99455638448418981</v>
      </c>
      <c r="X51" s="18">
        <f t="array" ref="X51:Y51">LINEST(B51:J51,$K$2:$S$2)</f>
        <v>-7.3880676977968338E-2</v>
      </c>
      <c r="Y51" s="63">
        <v>1.6182013597442388</v>
      </c>
      <c r="Z51" s="68">
        <f t="shared" si="13"/>
        <v>0.9962135107520691</v>
      </c>
      <c r="AA51" s="68">
        <f t="shared" si="14"/>
        <v>0.9356888360494332</v>
      </c>
      <c r="AB51" s="68">
        <f t="shared" si="15"/>
        <v>0.9278703339788521</v>
      </c>
    </row>
    <row r="52" spans="1:28">
      <c r="A52" s="42" t="s">
        <v>70</v>
      </c>
      <c r="B52" s="50">
        <v>1.3634427948695305</v>
      </c>
      <c r="C52" s="46">
        <v>1.3116335868847857</v>
      </c>
      <c r="D52" s="46">
        <v>1.288975134924683</v>
      </c>
      <c r="E52" s="46">
        <v>1.2770054812680482</v>
      </c>
      <c r="F52" s="46">
        <v>1.270428052024559</v>
      </c>
      <c r="G52" s="46">
        <v>1.264854950694025</v>
      </c>
      <c r="H52" s="46">
        <v>1.2632713910422415</v>
      </c>
      <c r="I52" s="46">
        <v>1.261409388199902</v>
      </c>
      <c r="J52" s="46">
        <v>1.2582428496249867</v>
      </c>
      <c r="K52" s="58">
        <f t="shared" si="2"/>
        <v>0.31001296779891285</v>
      </c>
      <c r="L52" s="59">
        <f t="shared" si="3"/>
        <v>0.27127337322741824</v>
      </c>
      <c r="M52" s="59">
        <f t="shared" si="4"/>
        <v>0.25384743356516026</v>
      </c>
      <c r="N52" s="59">
        <f t="shared" si="5"/>
        <v>0.2445178693419329</v>
      </c>
      <c r="O52" s="59">
        <f t="shared" si="6"/>
        <v>0.23935389252053557</v>
      </c>
      <c r="P52" s="59">
        <f t="shared" si="7"/>
        <v>0.23495745212213962</v>
      </c>
      <c r="Q52" s="59">
        <f t="shared" si="8"/>
        <v>0.23370469838689864</v>
      </c>
      <c r="R52" s="59">
        <f t="shared" si="9"/>
        <v>0.23222965790237296</v>
      </c>
      <c r="S52" s="36">
        <f t="shared" si="10"/>
        <v>0.22971618386461212</v>
      </c>
      <c r="T52" s="63">
        <f t="array" ref="T52:U52">LINEST(K52:S52,$K$2:$S$2)</f>
        <v>-3.5130394747184761E-2</v>
      </c>
      <c r="U52" s="63">
        <v>0.38081814343259762</v>
      </c>
      <c r="V52" s="63">
        <f t="shared" si="11"/>
        <v>1.4634814374975902</v>
      </c>
      <c r="W52" s="68">
        <f t="shared" si="12"/>
        <v>0.94042562498151427</v>
      </c>
      <c r="X52" s="18">
        <f t="array" ref="X52:Y52">LINEST(B52:J52,$K$2:$S$2)</f>
        <v>-4.5852891322216857E-2</v>
      </c>
      <c r="Y52" s="63">
        <v>1.4551651211072909</v>
      </c>
      <c r="Z52" s="68">
        <f t="shared" si="13"/>
        <v>0.93550827690686578</v>
      </c>
      <c r="AA52" s="68">
        <f t="shared" si="14"/>
        <v>0.73126487166806331</v>
      </c>
      <c r="AB52" s="68">
        <f t="shared" si="15"/>
        <v>0.7225829771195913</v>
      </c>
    </row>
    <row r="53" spans="1:28" ht="15" thickBot="1">
      <c r="A53" s="44" t="s">
        <v>58</v>
      </c>
      <c r="B53" s="51">
        <v>1.4280755763678319</v>
      </c>
      <c r="C53" s="52">
        <v>1.3586072661967159</v>
      </c>
      <c r="D53" s="52">
        <v>1.3128038200118335</v>
      </c>
      <c r="E53" s="52">
        <v>1.2903552897310631</v>
      </c>
      <c r="F53" s="52">
        <v>1.2769936789718903</v>
      </c>
      <c r="G53" s="52">
        <v>1.271908405391577</v>
      </c>
      <c r="H53" s="52">
        <v>1.2676619008406249</v>
      </c>
      <c r="I53" s="52">
        <v>1.2644910226602037</v>
      </c>
      <c r="J53" s="52">
        <v>1.2618164588235785</v>
      </c>
      <c r="K53" s="60">
        <f t="shared" si="2"/>
        <v>0.35632778714426722</v>
      </c>
      <c r="L53" s="61">
        <f t="shared" si="3"/>
        <v>0.30646010605806545</v>
      </c>
      <c r="M53" s="61">
        <f t="shared" si="4"/>
        <v>0.27216517060961531</v>
      </c>
      <c r="N53" s="61">
        <f t="shared" si="5"/>
        <v>0.25491759884906973</v>
      </c>
      <c r="O53" s="61">
        <f t="shared" si="6"/>
        <v>0.24450862713360194</v>
      </c>
      <c r="P53" s="61">
        <f t="shared" si="7"/>
        <v>0.24051845398525024</v>
      </c>
      <c r="Q53" s="61">
        <f t="shared" si="8"/>
        <v>0.23717418074474939</v>
      </c>
      <c r="R53" s="61">
        <f t="shared" si="9"/>
        <v>0.23466968758524634</v>
      </c>
      <c r="S53" s="62">
        <f t="shared" si="10"/>
        <v>0.23255231679371899</v>
      </c>
      <c r="T53" s="63">
        <f t="array" ref="T53:U53">LINEST(K53:S53,$K$2:$S$2)</f>
        <v>-5.6686157260832579E-2</v>
      </c>
      <c r="U53" s="63">
        <v>0.47552251565074599</v>
      </c>
      <c r="V53" s="63">
        <f t="shared" si="11"/>
        <v>1.6088546296209416</v>
      </c>
      <c r="W53" s="68">
        <f t="shared" si="12"/>
        <v>0.9516004171074437</v>
      </c>
      <c r="X53" s="18">
        <f t="array" ref="X53:Y53">LINEST(B53:J53,$K$2:$S$2)</f>
        <v>-7.5684881635399298E-2</v>
      </c>
      <c r="Y53" s="63">
        <v>1.5855617931678101</v>
      </c>
      <c r="Z53" s="68">
        <f t="shared" si="13"/>
        <v>0.94605010783738763</v>
      </c>
      <c r="AA53" s="68">
        <f t="shared" si="14"/>
        <v>0.75345986015808952</v>
      </c>
      <c r="AB53" s="68">
        <f t="shared" si="15"/>
        <v>0.74182858906457816</v>
      </c>
    </row>
    <row r="54" spans="1:28">
      <c r="T54" s="18"/>
      <c r="U54" s="18"/>
      <c r="V54" s="69" t="s">
        <v>173</v>
      </c>
      <c r="W54" s="70">
        <f>AVERAGE(W3:W53)</f>
        <v>0.88157889844846249</v>
      </c>
      <c r="Y54" s="18"/>
      <c r="Z54" s="70">
        <f>AVERAGE(Z3:Z53)</f>
        <v>0.87919987182963033</v>
      </c>
      <c r="AA54" s="70">
        <f>AVERAGE(AA3:AA53)</f>
        <v>0.74034379374174153</v>
      </c>
      <c r="AB54" s="70">
        <f>AVERAGE(AB3:AB53)</f>
        <v>0.73293038830719259</v>
      </c>
    </row>
  </sheetData>
  <mergeCells count="4">
    <mergeCell ref="B1:J1"/>
    <mergeCell ref="K1:S1"/>
    <mergeCell ref="T1:W1"/>
    <mergeCell ref="X1:Z1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13"/>
  <sheetViews>
    <sheetView workbookViewId="0">
      <selection activeCell="D75" sqref="D75"/>
    </sheetView>
  </sheetViews>
  <sheetFormatPr baseColWidth="10" defaultRowHeight="14" x14ac:dyDescent="0"/>
  <cols>
    <col min="1" max="1" width="10.83203125" style="18"/>
  </cols>
  <sheetData>
    <row r="1" spans="1:54" s="18" customFormat="1">
      <c r="B1" s="76"/>
      <c r="C1" s="77"/>
      <c r="D1" s="76"/>
      <c r="E1" s="78"/>
      <c r="F1" s="79"/>
      <c r="G1" s="80"/>
      <c r="H1" s="80"/>
      <c r="I1" s="79"/>
      <c r="J1" s="79"/>
      <c r="K1" s="78"/>
      <c r="L1" s="79"/>
      <c r="M1" s="81"/>
      <c r="N1" s="82"/>
      <c r="O1" s="83"/>
      <c r="P1" s="84"/>
      <c r="Q1" s="85"/>
      <c r="R1" s="86"/>
      <c r="S1" s="79"/>
      <c r="T1" s="80"/>
      <c r="U1" s="87"/>
      <c r="V1" s="79"/>
      <c r="W1" s="79"/>
      <c r="X1" s="79"/>
      <c r="Y1" s="88"/>
      <c r="Z1" s="79"/>
      <c r="AA1" s="79"/>
      <c r="AB1" s="79"/>
      <c r="AC1" s="88"/>
      <c r="AD1" s="83"/>
      <c r="AE1" s="89"/>
      <c r="AF1" s="85"/>
      <c r="AG1" s="88"/>
      <c r="AH1" s="89"/>
      <c r="AI1" s="89"/>
      <c r="AJ1" s="89"/>
      <c r="AK1" s="89"/>
      <c r="AL1" s="78"/>
      <c r="AM1" s="89"/>
      <c r="AN1" s="89"/>
      <c r="AO1" s="89"/>
      <c r="AP1" s="78"/>
      <c r="AQ1" s="89"/>
      <c r="AR1" s="78"/>
      <c r="AS1" s="79"/>
      <c r="AT1" s="79"/>
      <c r="AU1" s="79"/>
      <c r="AV1" s="78"/>
      <c r="AW1" s="89"/>
      <c r="AX1" s="88"/>
      <c r="AY1" s="79"/>
      <c r="AZ1" s="79"/>
      <c r="BA1" s="88"/>
      <c r="BB1" s="87"/>
    </row>
    <row r="2" spans="1:54" s="18" customFormat="1">
      <c r="B2" s="90" t="s">
        <v>203</v>
      </c>
      <c r="C2" s="91" t="s">
        <v>78</v>
      </c>
      <c r="D2" s="76"/>
      <c r="E2" s="92" t="s">
        <v>78</v>
      </c>
      <c r="F2" s="93"/>
      <c r="G2" s="94" t="s">
        <v>204</v>
      </c>
      <c r="H2" s="94" t="s">
        <v>205</v>
      </c>
      <c r="I2" s="93" t="s">
        <v>206</v>
      </c>
      <c r="J2" s="93"/>
      <c r="K2" s="92" t="s">
        <v>207</v>
      </c>
      <c r="L2" s="93"/>
      <c r="M2" s="95" t="s">
        <v>208</v>
      </c>
      <c r="N2" s="96"/>
      <c r="O2" s="161" t="s">
        <v>209</v>
      </c>
      <c r="P2" s="162"/>
      <c r="Q2" s="162"/>
      <c r="R2" s="163"/>
      <c r="S2" s="97" t="s">
        <v>210</v>
      </c>
      <c r="T2" s="94" t="s">
        <v>211</v>
      </c>
      <c r="U2" s="98" t="s">
        <v>212</v>
      </c>
      <c r="V2" s="93" t="s">
        <v>213</v>
      </c>
      <c r="W2" s="93"/>
      <c r="X2" s="93"/>
      <c r="Y2" s="99"/>
      <c r="Z2" s="93" t="s">
        <v>214</v>
      </c>
      <c r="AA2" s="93"/>
      <c r="AB2" s="93"/>
      <c r="AC2" s="99"/>
      <c r="AD2" s="164" t="s">
        <v>215</v>
      </c>
      <c r="AE2" s="165"/>
      <c r="AF2" s="165" t="s">
        <v>216</v>
      </c>
      <c r="AG2" s="166"/>
      <c r="AH2" s="164" t="s">
        <v>217</v>
      </c>
      <c r="AI2" s="165"/>
      <c r="AJ2" s="165"/>
      <c r="AK2" s="165"/>
      <c r="AL2" s="164" t="s">
        <v>218</v>
      </c>
      <c r="AM2" s="165"/>
      <c r="AN2" s="165"/>
      <c r="AO2" s="166"/>
      <c r="AP2" s="100" t="s">
        <v>219</v>
      </c>
      <c r="AQ2" s="101" t="s">
        <v>219</v>
      </c>
      <c r="AR2" s="92" t="s">
        <v>220</v>
      </c>
      <c r="AS2" s="93"/>
      <c r="AT2" s="93"/>
      <c r="AU2" s="93"/>
      <c r="AV2" s="92" t="s">
        <v>221</v>
      </c>
      <c r="AW2" s="102"/>
      <c r="AX2" s="99"/>
      <c r="AY2" s="93" t="s">
        <v>222</v>
      </c>
      <c r="AZ2" s="93"/>
      <c r="BA2" s="99"/>
      <c r="BB2" s="98" t="s">
        <v>223</v>
      </c>
    </row>
    <row r="3" spans="1:54" s="18" customFormat="1">
      <c r="B3" s="76"/>
      <c r="C3" s="91" t="s">
        <v>224</v>
      </c>
      <c r="D3" s="90" t="s">
        <v>225</v>
      </c>
      <c r="E3" s="103" t="s">
        <v>226</v>
      </c>
      <c r="F3" s="97" t="s">
        <v>128</v>
      </c>
      <c r="G3" s="94" t="s">
        <v>227</v>
      </c>
      <c r="H3" s="104" t="s">
        <v>226</v>
      </c>
      <c r="I3" s="97" t="s">
        <v>228</v>
      </c>
      <c r="J3" s="97" t="s">
        <v>229</v>
      </c>
      <c r="K3" s="100" t="s">
        <v>228</v>
      </c>
      <c r="L3" s="97" t="s">
        <v>229</v>
      </c>
      <c r="M3" s="105" t="s">
        <v>230</v>
      </c>
      <c r="N3" s="106" t="s">
        <v>231</v>
      </c>
      <c r="O3" s="107" t="s">
        <v>232</v>
      </c>
      <c r="P3" s="108" t="s">
        <v>233</v>
      </c>
      <c r="Q3" s="109" t="s">
        <v>234</v>
      </c>
      <c r="R3" s="109" t="s">
        <v>234</v>
      </c>
      <c r="S3" s="94" t="s">
        <v>235</v>
      </c>
      <c r="T3" s="94" t="s">
        <v>236</v>
      </c>
      <c r="U3" s="98" t="s">
        <v>237</v>
      </c>
      <c r="V3" s="97" t="s">
        <v>238</v>
      </c>
      <c r="W3" s="97"/>
      <c r="X3" s="97" t="s">
        <v>239</v>
      </c>
      <c r="Y3" s="110"/>
      <c r="Z3" s="97" t="s">
        <v>240</v>
      </c>
      <c r="AA3" s="97"/>
      <c r="AB3" s="97" t="s">
        <v>241</v>
      </c>
      <c r="AC3" s="110"/>
      <c r="AD3" s="83"/>
      <c r="AE3" s="89"/>
      <c r="AF3" s="85"/>
      <c r="AG3" s="88"/>
      <c r="AH3" s="167" t="s">
        <v>242</v>
      </c>
      <c r="AI3" s="159"/>
      <c r="AJ3" s="159" t="s">
        <v>243</v>
      </c>
      <c r="AK3" s="159"/>
      <c r="AL3" s="167" t="s">
        <v>244</v>
      </c>
      <c r="AM3" s="159"/>
      <c r="AN3" s="159" t="s">
        <v>245</v>
      </c>
      <c r="AO3" s="160"/>
      <c r="AP3" s="100" t="s">
        <v>246</v>
      </c>
      <c r="AQ3" s="101" t="s">
        <v>247</v>
      </c>
      <c r="AR3" s="100" t="s">
        <v>248</v>
      </c>
      <c r="AS3" s="97"/>
      <c r="AT3" s="97" t="s">
        <v>241</v>
      </c>
      <c r="AU3" s="97"/>
      <c r="AV3" s="100" t="s">
        <v>249</v>
      </c>
      <c r="AW3" s="101" t="s">
        <v>249</v>
      </c>
      <c r="AX3" s="110" t="s">
        <v>250</v>
      </c>
      <c r="AY3" s="97" t="s">
        <v>251</v>
      </c>
      <c r="AZ3" s="97" t="s">
        <v>251</v>
      </c>
      <c r="BA3" s="110" t="s">
        <v>252</v>
      </c>
      <c r="BB3" s="98" t="s">
        <v>246</v>
      </c>
    </row>
    <row r="4" spans="1:54" s="18" customFormat="1">
      <c r="B4" s="76"/>
      <c r="C4" s="77"/>
      <c r="D4" s="76"/>
      <c r="E4" s="78"/>
      <c r="F4" s="79"/>
      <c r="G4" s="104" t="s">
        <v>226</v>
      </c>
      <c r="H4" s="104"/>
      <c r="I4" s="97" t="s">
        <v>253</v>
      </c>
      <c r="J4" s="97"/>
      <c r="K4" s="100" t="s">
        <v>253</v>
      </c>
      <c r="L4" s="97"/>
      <c r="M4" s="105" t="s">
        <v>254</v>
      </c>
      <c r="N4" s="106" t="s">
        <v>255</v>
      </c>
      <c r="O4" s="111" t="s">
        <v>256</v>
      </c>
      <c r="P4" s="108" t="s">
        <v>232</v>
      </c>
      <c r="Q4" s="109" t="s">
        <v>257</v>
      </c>
      <c r="R4" s="109" t="s">
        <v>258</v>
      </c>
      <c r="S4" s="104" t="s">
        <v>259</v>
      </c>
      <c r="T4" s="104" t="s">
        <v>260</v>
      </c>
      <c r="U4" s="98" t="s">
        <v>261</v>
      </c>
      <c r="V4" s="112" t="s">
        <v>226</v>
      </c>
      <c r="W4" s="97" t="s">
        <v>128</v>
      </c>
      <c r="X4" s="97" t="s">
        <v>262</v>
      </c>
      <c r="Y4" s="110" t="s">
        <v>128</v>
      </c>
      <c r="Z4" s="112" t="s">
        <v>226</v>
      </c>
      <c r="AA4" s="97" t="s">
        <v>128</v>
      </c>
      <c r="AB4" s="97" t="s">
        <v>263</v>
      </c>
      <c r="AC4" s="110" t="s">
        <v>128</v>
      </c>
      <c r="AD4" s="107" t="s">
        <v>264</v>
      </c>
      <c r="AE4" s="101" t="s">
        <v>128</v>
      </c>
      <c r="AF4" s="109" t="s">
        <v>264</v>
      </c>
      <c r="AG4" s="110" t="s">
        <v>128</v>
      </c>
      <c r="AH4" s="101" t="s">
        <v>264</v>
      </c>
      <c r="AI4" s="101" t="s">
        <v>128</v>
      </c>
      <c r="AJ4" s="101" t="s">
        <v>264</v>
      </c>
      <c r="AK4" s="101" t="s">
        <v>128</v>
      </c>
      <c r="AL4" s="100" t="s">
        <v>265</v>
      </c>
      <c r="AM4" s="101" t="s">
        <v>128</v>
      </c>
      <c r="AN4" s="159" t="s">
        <v>262</v>
      </c>
      <c r="AO4" s="160"/>
      <c r="AP4" s="100" t="s">
        <v>266</v>
      </c>
      <c r="AQ4" s="101" t="s">
        <v>267</v>
      </c>
      <c r="AR4" s="103" t="s">
        <v>268</v>
      </c>
      <c r="AS4" s="97" t="s">
        <v>128</v>
      </c>
      <c r="AT4" s="97" t="s">
        <v>269</v>
      </c>
      <c r="AU4" s="97" t="s">
        <v>128</v>
      </c>
      <c r="AV4" s="103" t="s">
        <v>270</v>
      </c>
      <c r="AW4" s="101" t="s">
        <v>271</v>
      </c>
      <c r="AX4" s="110" t="s">
        <v>272</v>
      </c>
      <c r="AY4" s="97" t="s">
        <v>273</v>
      </c>
      <c r="AZ4" s="97" t="s">
        <v>274</v>
      </c>
      <c r="BA4" s="110" t="s">
        <v>275</v>
      </c>
      <c r="BB4" s="98" t="s">
        <v>276</v>
      </c>
    </row>
    <row r="5" spans="1:54" s="18" customFormat="1" ht="15" thickBot="1">
      <c r="A5" s="18" t="s">
        <v>396</v>
      </c>
      <c r="B5" s="113"/>
      <c r="C5" s="114"/>
      <c r="D5" s="113"/>
      <c r="E5" s="115"/>
      <c r="F5" s="116"/>
      <c r="G5" s="117"/>
      <c r="H5" s="117"/>
      <c r="I5" s="118" t="s">
        <v>226</v>
      </c>
      <c r="J5" s="119"/>
      <c r="K5" s="120" t="s">
        <v>226</v>
      </c>
      <c r="L5" s="119"/>
      <c r="M5" s="121" t="s">
        <v>268</v>
      </c>
      <c r="N5" s="122" t="s">
        <v>268</v>
      </c>
      <c r="O5" s="123"/>
      <c r="P5" s="124" t="s">
        <v>256</v>
      </c>
      <c r="Q5" s="124" t="s">
        <v>277</v>
      </c>
      <c r="R5" s="124" t="s">
        <v>277</v>
      </c>
      <c r="S5" s="125"/>
      <c r="T5" s="125"/>
      <c r="U5" s="126" t="s">
        <v>278</v>
      </c>
      <c r="V5" s="116"/>
      <c r="W5" s="116"/>
      <c r="X5" s="116"/>
      <c r="Y5" s="127"/>
      <c r="Z5" s="116"/>
      <c r="AA5" s="116"/>
      <c r="AB5" s="116"/>
      <c r="AC5" s="127"/>
      <c r="AD5" s="128"/>
      <c r="AE5" s="116"/>
      <c r="AF5" s="129"/>
      <c r="AG5" s="127"/>
      <c r="AH5" s="116"/>
      <c r="AI5" s="116"/>
      <c r="AJ5" s="116"/>
      <c r="AK5" s="116"/>
      <c r="AL5" s="115"/>
      <c r="AM5" s="116"/>
      <c r="AN5" s="119" t="s">
        <v>279</v>
      </c>
      <c r="AO5" s="119" t="s">
        <v>128</v>
      </c>
      <c r="AP5" s="115"/>
      <c r="AQ5" s="116"/>
      <c r="AR5" s="115"/>
      <c r="AS5" s="116"/>
      <c r="AT5" s="116"/>
      <c r="AU5" s="116"/>
      <c r="AV5" s="130"/>
      <c r="AW5" s="118" t="s">
        <v>280</v>
      </c>
      <c r="AX5" s="131"/>
      <c r="AY5" s="118" t="s">
        <v>270</v>
      </c>
      <c r="AZ5" s="119" t="s">
        <v>281</v>
      </c>
      <c r="BA5" s="132" t="s">
        <v>282</v>
      </c>
      <c r="BB5" s="133"/>
    </row>
    <row r="6" spans="1:54" s="18" customFormat="1"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28"/>
      <c r="P6" s="28"/>
      <c r="Q6" s="28"/>
      <c r="R6" s="28"/>
      <c r="S6" s="134"/>
      <c r="T6" s="134"/>
      <c r="U6" s="28"/>
      <c r="V6" s="134"/>
      <c r="X6" s="134"/>
      <c r="Z6" s="134"/>
      <c r="AB6" s="134"/>
      <c r="AD6" s="28"/>
      <c r="AF6" s="28"/>
      <c r="AH6" s="28"/>
      <c r="AJ6" s="28"/>
      <c r="AL6" s="134"/>
      <c r="AN6" s="134"/>
      <c r="AP6" s="134"/>
      <c r="AQ6" s="134"/>
      <c r="AR6" s="134"/>
      <c r="AT6" s="134"/>
      <c r="AV6" s="134"/>
      <c r="AW6" s="134"/>
      <c r="AX6" s="135"/>
      <c r="AY6" s="134"/>
      <c r="AZ6" s="134"/>
      <c r="BA6" s="135"/>
      <c r="BB6" s="28"/>
    </row>
    <row r="7" spans="1:54" s="18" customFormat="1"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28"/>
      <c r="P7" s="28"/>
      <c r="Q7" s="28"/>
      <c r="R7" s="28"/>
      <c r="S7" s="134"/>
      <c r="T7" s="134"/>
      <c r="U7" s="28"/>
      <c r="V7" s="134"/>
      <c r="X7" s="134"/>
      <c r="Z7" s="134"/>
      <c r="AB7" s="134"/>
      <c r="AD7" s="28"/>
      <c r="AF7" s="28"/>
      <c r="AH7" s="28"/>
      <c r="AJ7" s="28"/>
      <c r="AL7" s="134"/>
      <c r="AN7" s="134"/>
      <c r="AP7" s="134"/>
      <c r="AQ7" s="134"/>
      <c r="AR7" s="134"/>
      <c r="AT7" s="134"/>
      <c r="AV7" s="134"/>
      <c r="AW7" s="134"/>
      <c r="AX7" s="135"/>
      <c r="AY7" s="134"/>
      <c r="AZ7" s="134"/>
      <c r="BA7" s="135"/>
      <c r="BB7" s="28"/>
    </row>
    <row r="8" spans="1:54" s="18" customFormat="1">
      <c r="A8" s="18" t="str">
        <f>LEFT(B8,5)</f>
        <v>All 4</v>
      </c>
      <c r="B8" s="18" t="s">
        <v>283</v>
      </c>
      <c r="C8" s="136" t="s">
        <v>284</v>
      </c>
      <c r="D8" s="18" t="s">
        <v>285</v>
      </c>
      <c r="E8" s="134">
        <v>452.0140562248996</v>
      </c>
      <c r="F8" s="134"/>
      <c r="G8" s="134">
        <v>248.83333333333334</v>
      </c>
      <c r="H8" s="134">
        <v>223.83734939759037</v>
      </c>
      <c r="I8" s="134">
        <v>3724.0461847389556</v>
      </c>
      <c r="J8" s="134">
        <v>266.56626506024094</v>
      </c>
      <c r="K8" s="134">
        <v>4022.9417670682733</v>
      </c>
      <c r="L8" s="134">
        <v>831.47791164658634</v>
      </c>
      <c r="M8" s="134">
        <v>112.5</v>
      </c>
      <c r="N8" s="134">
        <v>22</v>
      </c>
      <c r="O8" s="28">
        <v>16.79</v>
      </c>
      <c r="P8" s="28">
        <v>86.81</v>
      </c>
      <c r="Q8" s="28">
        <v>3.4</v>
      </c>
      <c r="R8" s="28">
        <v>3.75</v>
      </c>
      <c r="S8" s="134">
        <v>55</v>
      </c>
      <c r="T8" s="134">
        <v>43</v>
      </c>
      <c r="U8" s="28">
        <v>4.25</v>
      </c>
      <c r="V8" s="134">
        <v>5791.5361445783128</v>
      </c>
      <c r="X8" s="134">
        <v>19</v>
      </c>
      <c r="Z8" s="134">
        <v>11084.748995983935</v>
      </c>
      <c r="AB8" s="134">
        <v>38</v>
      </c>
      <c r="AD8" s="28">
        <v>1.18</v>
      </c>
      <c r="AF8" s="28">
        <v>1.29</v>
      </c>
      <c r="AH8" s="28">
        <v>3.09</v>
      </c>
      <c r="AJ8" s="28">
        <v>1.65</v>
      </c>
      <c r="AL8" s="134">
        <v>113.24497991967871</v>
      </c>
      <c r="AN8" s="134">
        <v>380</v>
      </c>
      <c r="AP8" s="134">
        <v>54.299196787148595</v>
      </c>
      <c r="AQ8" s="134">
        <v>15000</v>
      </c>
      <c r="AR8" s="134">
        <v>243.34939759036143</v>
      </c>
      <c r="AT8" s="134">
        <v>818</v>
      </c>
      <c r="AV8" s="134">
        <v>751.50602409638554</v>
      </c>
      <c r="AW8" s="134">
        <v>3</v>
      </c>
      <c r="AX8" s="135">
        <v>17.036144578313252</v>
      </c>
      <c r="AY8" s="134">
        <v>1736.9477911646586</v>
      </c>
      <c r="AZ8" s="134">
        <v>6</v>
      </c>
      <c r="BA8" s="135">
        <v>41.76706827309237</v>
      </c>
      <c r="BB8" s="28">
        <v>0.99</v>
      </c>
    </row>
    <row r="9" spans="1:54" s="18" customFormat="1">
      <c r="A9" s="18" t="str">
        <f t="shared" ref="A9:A72" si="0">LEFT(B9,5)</f>
        <v>101 A</v>
      </c>
      <c r="B9" s="18" t="s">
        <v>286</v>
      </c>
      <c r="C9" s="136" t="s">
        <v>287</v>
      </c>
      <c r="D9" s="18" t="s">
        <v>285</v>
      </c>
      <c r="E9" s="134">
        <v>1717.7524752475247</v>
      </c>
      <c r="F9" s="134"/>
      <c r="G9" s="134">
        <v>943.7227722772277</v>
      </c>
      <c r="H9" s="134">
        <v>839.37623762376234</v>
      </c>
      <c r="I9" s="134">
        <v>15677.782178217822</v>
      </c>
      <c r="J9" s="134">
        <v>1050.1485148514851</v>
      </c>
      <c r="K9" s="134">
        <v>14739.09900990099</v>
      </c>
      <c r="L9" s="134">
        <v>2876.4455445544554</v>
      </c>
      <c r="M9" s="134">
        <v>511.40891089108914</v>
      </c>
      <c r="N9" s="134">
        <v>95.787128712871322</v>
      </c>
      <c r="O9" s="28">
        <v>16.790000000000003</v>
      </c>
      <c r="P9" s="28">
        <v>86.810000000000016</v>
      </c>
      <c r="Q9" s="28">
        <v>3.4077020674749074</v>
      </c>
      <c r="R9" s="28">
        <v>3.7686428816723394</v>
      </c>
      <c r="S9" s="134">
        <v>62.828039080695483</v>
      </c>
      <c r="T9" s="134">
        <v>49.519401843361472</v>
      </c>
      <c r="U9" s="28">
        <v>4.8691989694362663</v>
      </c>
      <c r="V9" s="134">
        <v>22021.475247524751</v>
      </c>
      <c r="X9" s="134">
        <v>20.181172143025002</v>
      </c>
      <c r="Z9" s="134">
        <v>47254.564356435643</v>
      </c>
      <c r="AB9" s="134">
        <v>43.305568182952378</v>
      </c>
      <c r="AD9" s="28">
        <v>1.2290800574850147</v>
      </c>
      <c r="AF9" s="28">
        <v>1.3321281531718479</v>
      </c>
      <c r="AH9" s="28">
        <v>3.54</v>
      </c>
      <c r="AJ9" s="28">
        <v>1.8209917421134536</v>
      </c>
      <c r="AL9" s="134">
        <v>426.16831683168317</v>
      </c>
      <c r="AN9" s="134">
        <v>384.5358946230881</v>
      </c>
      <c r="AP9" s="134">
        <v>222.43564356435644</v>
      </c>
      <c r="AQ9" s="134">
        <v>59690.504950495051</v>
      </c>
      <c r="AR9" s="134">
        <v>1023.8118811881188</v>
      </c>
      <c r="AT9" s="134">
        <v>921.63448086881317</v>
      </c>
      <c r="AV9" s="134">
        <v>3342.2772277227723</v>
      </c>
      <c r="AW9" s="134">
        <v>3.3182152391961659</v>
      </c>
      <c r="AX9" s="135">
        <v>72.226732673267321</v>
      </c>
      <c r="AY9" s="134">
        <v>8305.5346534653472</v>
      </c>
      <c r="AZ9" s="134">
        <v>8.2457407866127213</v>
      </c>
      <c r="BA9" s="135">
        <v>180.56534653465351</v>
      </c>
      <c r="BB9" s="28">
        <v>1.06</v>
      </c>
    </row>
    <row r="10" spans="1:54" s="18" customFormat="1">
      <c r="A10" s="18" t="str">
        <f t="shared" si="0"/>
        <v xml:space="preserve">Very </v>
      </c>
      <c r="B10" s="18" t="s">
        <v>288</v>
      </c>
      <c r="C10" s="18" t="s">
        <v>289</v>
      </c>
      <c r="D10" s="18" t="s">
        <v>285</v>
      </c>
      <c r="E10" s="134">
        <v>6158.7333333333336</v>
      </c>
      <c r="F10" s="134"/>
      <c r="G10" s="134">
        <v>3309.3333333333335</v>
      </c>
      <c r="H10" s="134">
        <v>2816.8</v>
      </c>
      <c r="I10" s="134">
        <v>55317.73333333333</v>
      </c>
      <c r="J10" s="134">
        <v>3175.6</v>
      </c>
      <c r="K10" s="134">
        <v>50187.466666666667</v>
      </c>
      <c r="L10" s="134">
        <v>9329.2666666666664</v>
      </c>
      <c r="M10" s="134">
        <v>2880.1733333333332</v>
      </c>
      <c r="N10" s="134">
        <v>531.79333333333341</v>
      </c>
      <c r="O10" s="28">
        <v>16.79</v>
      </c>
      <c r="P10" s="28">
        <v>86.809999999999988</v>
      </c>
      <c r="Q10" s="28">
        <v>3.4537582792127774</v>
      </c>
      <c r="R10" s="28">
        <v>3.8203284830194786</v>
      </c>
      <c r="S10" s="134">
        <v>76.966679051522263</v>
      </c>
      <c r="T10" s="134">
        <v>56.903758298169187</v>
      </c>
      <c r="U10" s="28">
        <v>6.0044820855591317</v>
      </c>
      <c r="V10" s="134">
        <v>90936.266666666663</v>
      </c>
      <c r="X10" s="134">
        <v>23.833489903072408</v>
      </c>
      <c r="Z10" s="134">
        <v>195831.13333333333</v>
      </c>
      <c r="AB10" s="134">
        <v>52.478888573321967</v>
      </c>
      <c r="AD10" s="28">
        <v>1.2673679654336152</v>
      </c>
      <c r="AF10" s="28">
        <v>1.3196873139902108</v>
      </c>
      <c r="AH10" s="28">
        <v>4.08</v>
      </c>
      <c r="AJ10" s="28">
        <v>2.0299999999999998</v>
      </c>
      <c r="AL10" s="134">
        <v>1747.2666666666667</v>
      </c>
      <c r="AN10" s="134">
        <v>464.15538272198307</v>
      </c>
      <c r="AP10" s="134">
        <v>932.86666666666667</v>
      </c>
      <c r="AQ10" s="134">
        <v>208893.13333333333</v>
      </c>
      <c r="AR10" s="134">
        <v>4254.0666666666666</v>
      </c>
      <c r="AT10" s="134">
        <v>1127.7292581507295</v>
      </c>
      <c r="AV10" s="134">
        <v>16473.066666666666</v>
      </c>
      <c r="AW10" s="134">
        <v>4.8734576666982239</v>
      </c>
      <c r="AX10" s="135">
        <v>356.32666666666665</v>
      </c>
      <c r="AY10" s="134">
        <v>49464.800000000003</v>
      </c>
      <c r="AZ10" s="134">
        <v>14.633863485752155</v>
      </c>
      <c r="BA10" s="135">
        <v>1076.54</v>
      </c>
      <c r="BB10" s="28">
        <v>1.2</v>
      </c>
    </row>
    <row r="11" spans="1:54" s="18" customFormat="1">
      <c r="A11" s="18" t="str">
        <f t="shared" si="0"/>
        <v>Large</v>
      </c>
      <c r="B11" s="18" t="s">
        <v>290</v>
      </c>
      <c r="C11" s="18" t="s">
        <v>291</v>
      </c>
      <c r="D11" s="18" t="s">
        <v>285</v>
      </c>
      <c r="E11" s="134">
        <v>1609.25</v>
      </c>
      <c r="F11" s="134"/>
      <c r="G11" s="134">
        <v>909.84375</v>
      </c>
      <c r="H11" s="134">
        <v>843.8125</v>
      </c>
      <c r="I11" s="134">
        <v>15487.34375</v>
      </c>
      <c r="J11" s="134">
        <v>1125.03125</v>
      </c>
      <c r="K11" s="134">
        <v>14205.46875</v>
      </c>
      <c r="L11" s="134">
        <v>2785.34375</v>
      </c>
      <c r="M11" s="134">
        <v>200.22812499999998</v>
      </c>
      <c r="N11" s="134">
        <v>40.21875</v>
      </c>
      <c r="O11" s="28">
        <v>16.79</v>
      </c>
      <c r="P11" s="28">
        <v>86.81</v>
      </c>
      <c r="Q11" s="28">
        <v>3.3528805582158987</v>
      </c>
      <c r="R11" s="28">
        <v>3.7020768494058962</v>
      </c>
      <c r="S11" s="134">
        <v>55.3682372628056</v>
      </c>
      <c r="T11" s="134">
        <v>46.0739520296368</v>
      </c>
      <c r="U11" s="28">
        <v>4.2699740572739611</v>
      </c>
      <c r="V11" s="134">
        <v>18265</v>
      </c>
      <c r="X11" s="134">
        <v>16.650618472705723</v>
      </c>
      <c r="Z11" s="134">
        <v>39747</v>
      </c>
      <c r="AB11" s="134">
        <v>37.233897204195699</v>
      </c>
      <c r="AD11" s="28">
        <v>1.2000212277802922</v>
      </c>
      <c r="AF11" s="28">
        <v>1.2503501373438437</v>
      </c>
      <c r="AH11" s="28">
        <v>3.12</v>
      </c>
      <c r="AJ11" s="28">
        <v>1.66</v>
      </c>
      <c r="AL11" s="134">
        <v>359.4375</v>
      </c>
      <c r="AN11" s="134">
        <v>328.66803598593833</v>
      </c>
      <c r="AP11" s="134">
        <v>181.59375</v>
      </c>
      <c r="AQ11" s="134">
        <v>63077</v>
      </c>
      <c r="AR11" s="134">
        <v>855.875</v>
      </c>
      <c r="AT11" s="134">
        <v>780.22710568447928</v>
      </c>
      <c r="AV11" s="134">
        <v>2193.9375</v>
      </c>
      <c r="AW11" s="134">
        <v>2.1666913561958374</v>
      </c>
      <c r="AX11" s="135">
        <v>47.065624999999997</v>
      </c>
      <c r="AY11" s="134">
        <v>2524.03125</v>
      </c>
      <c r="AZ11" s="134">
        <v>2.4926857269831864</v>
      </c>
      <c r="BA11" s="135">
        <v>54.29999999999999</v>
      </c>
      <c r="BB11" s="28">
        <v>0.99</v>
      </c>
    </row>
    <row r="12" spans="1:54" s="18" customFormat="1">
      <c r="A12" s="18" t="str">
        <f t="shared" si="0"/>
        <v>Mediu</v>
      </c>
      <c r="B12" s="18" t="s">
        <v>292</v>
      </c>
      <c r="C12" s="18" t="s">
        <v>293</v>
      </c>
      <c r="D12" s="18" t="s">
        <v>285</v>
      </c>
      <c r="E12" s="134">
        <v>673.72727272727275</v>
      </c>
      <c r="F12" s="134"/>
      <c r="G12" s="134">
        <v>376.33333333333331</v>
      </c>
      <c r="H12" s="134">
        <v>352.72727272727275</v>
      </c>
      <c r="I12" s="134">
        <v>5853.636363636364</v>
      </c>
      <c r="J12" s="134">
        <v>498.24242424242425</v>
      </c>
      <c r="K12" s="134">
        <v>6394.060606060606</v>
      </c>
      <c r="L12" s="134">
        <v>1385.4242424242425</v>
      </c>
      <c r="M12" s="134">
        <v>48.418181818181822</v>
      </c>
      <c r="N12" s="134">
        <v>9.7636363636363654</v>
      </c>
      <c r="O12" s="28">
        <v>16.789999999999996</v>
      </c>
      <c r="P12" s="28">
        <v>86.809999999999988</v>
      </c>
      <c r="Q12" s="28">
        <v>3.3822163721565461</v>
      </c>
      <c r="R12" s="28">
        <v>3.7491620935537666</v>
      </c>
      <c r="S12" s="134">
        <v>36.917077793227669</v>
      </c>
      <c r="T12" s="134">
        <v>34.863870511215467</v>
      </c>
      <c r="U12" s="28">
        <v>2.9116797468417066</v>
      </c>
      <c r="V12" s="134">
        <v>6633.69696969697</v>
      </c>
      <c r="X12" s="134">
        <v>14.466825270948982</v>
      </c>
      <c r="Z12" s="134">
        <v>13516.272727272728</v>
      </c>
      <c r="AB12" s="134">
        <v>29.476407613005549</v>
      </c>
      <c r="AD12" s="28">
        <v>1.148430106835175</v>
      </c>
      <c r="AF12" s="28">
        <v>1.170370013904902</v>
      </c>
      <c r="AH12" s="28">
        <v>2.66</v>
      </c>
      <c r="AJ12" s="28">
        <v>1.4653605114665837</v>
      </c>
      <c r="AL12" s="134">
        <v>128.75757575757575</v>
      </c>
      <c r="AN12" s="134">
        <v>277.79566481628336</v>
      </c>
      <c r="AP12" s="134">
        <v>62.333333333333336</v>
      </c>
      <c r="AQ12" s="134">
        <v>18665.78787878788</v>
      </c>
      <c r="AR12" s="134">
        <v>292.969696969697</v>
      </c>
      <c r="AT12" s="134">
        <v>627.91091726143281</v>
      </c>
      <c r="AV12" s="134">
        <v>491.57575757575756</v>
      </c>
      <c r="AW12" s="134">
        <v>1.1613688430698741</v>
      </c>
      <c r="AX12" s="135">
        <v>10.745454545454546</v>
      </c>
      <c r="AY12" s="134">
        <v>372.18181818181819</v>
      </c>
      <c r="AZ12" s="134">
        <v>0.87929553264604821</v>
      </c>
      <c r="BA12" s="135">
        <v>8.0363636363636353</v>
      </c>
      <c r="BB12" s="28">
        <v>0.86</v>
      </c>
    </row>
    <row r="13" spans="1:54" s="18" customFormat="1">
      <c r="A13" s="18" t="str">
        <f t="shared" si="0"/>
        <v>Small</v>
      </c>
      <c r="B13" s="18" t="s">
        <v>294</v>
      </c>
      <c r="C13" s="18" t="s">
        <v>295</v>
      </c>
      <c r="D13" s="18" t="s">
        <v>285</v>
      </c>
      <c r="E13" s="134">
        <v>351.57142857142856</v>
      </c>
      <c r="F13" s="134"/>
      <c r="G13" s="134">
        <v>197.23809523809524</v>
      </c>
      <c r="H13" s="134">
        <v>184.9047619047619</v>
      </c>
      <c r="I13" s="134">
        <v>3091.6666666666665</v>
      </c>
      <c r="J13" s="134">
        <v>285.14285714285717</v>
      </c>
      <c r="K13" s="134">
        <v>3345.6190476190477</v>
      </c>
      <c r="L13" s="134">
        <v>749.14285714285711</v>
      </c>
      <c r="M13" s="134">
        <v>21.171428571428571</v>
      </c>
      <c r="N13" s="134">
        <v>4.2095238095238088</v>
      </c>
      <c r="O13" s="28">
        <v>16.790000000000003</v>
      </c>
      <c r="P13" s="28">
        <v>86.81</v>
      </c>
      <c r="Q13" s="28">
        <v>3.330050746025758</v>
      </c>
      <c r="R13" s="28">
        <v>3.6896845757232795</v>
      </c>
      <c r="S13" s="134">
        <v>27.210514635716031</v>
      </c>
      <c r="T13" s="134">
        <v>31.106048837501756</v>
      </c>
      <c r="U13" s="28">
        <v>1.6429784070482236</v>
      </c>
      <c r="V13" s="134">
        <v>2701.5714285714284</v>
      </c>
      <c r="X13" s="134">
        <v>11.238931040630757</v>
      </c>
      <c r="Z13" s="134">
        <v>5585.8571428571431</v>
      </c>
      <c r="AB13" s="134">
        <v>23</v>
      </c>
      <c r="AD13" s="28">
        <v>1.1091541835881731</v>
      </c>
      <c r="AF13" s="28">
        <v>1.125886760909286</v>
      </c>
      <c r="AH13" s="28">
        <v>2.09</v>
      </c>
      <c r="AJ13" s="28">
        <v>1.29</v>
      </c>
      <c r="AL13" s="134">
        <v>51.476190476190474</v>
      </c>
      <c r="AN13" s="134">
        <v>209.1484577745201</v>
      </c>
      <c r="AP13" s="134">
        <v>28.80952380952381</v>
      </c>
      <c r="AQ13" s="134">
        <v>12424.238095238095</v>
      </c>
      <c r="AR13" s="134">
        <v>122.85714285714286</v>
      </c>
      <c r="AT13" s="134">
        <v>497.10362725093592</v>
      </c>
      <c r="AV13" s="134">
        <v>192.66666666666666</v>
      </c>
      <c r="AW13" s="134">
        <v>0.86831487681346042</v>
      </c>
      <c r="AX13" s="135">
        <v>4.2523809523809524</v>
      </c>
      <c r="AY13" s="134">
        <v>182.66666666666666</v>
      </c>
      <c r="AZ13" s="134">
        <v>0.82324663061206971</v>
      </c>
      <c r="BA13" s="135">
        <v>4.1047619047619053</v>
      </c>
      <c r="BB13" s="28">
        <v>0.81</v>
      </c>
    </row>
    <row r="14" spans="1:54" s="18" customFormat="1">
      <c r="A14" s="18" t="str">
        <f t="shared" si="0"/>
        <v>Akron</v>
      </c>
      <c r="B14" s="18" t="s">
        <v>296</v>
      </c>
      <c r="C14" s="18" t="s">
        <v>293</v>
      </c>
      <c r="D14" s="18" t="s">
        <v>285</v>
      </c>
      <c r="E14" s="134">
        <v>619</v>
      </c>
      <c r="F14" s="134">
        <v>66</v>
      </c>
      <c r="G14" s="134">
        <v>346</v>
      </c>
      <c r="H14" s="134">
        <v>324</v>
      </c>
      <c r="I14" s="134">
        <v>5729</v>
      </c>
      <c r="J14" s="134">
        <v>487</v>
      </c>
      <c r="K14" s="134">
        <v>4704</v>
      </c>
      <c r="L14" s="134">
        <v>1204</v>
      </c>
      <c r="M14" s="134">
        <v>26.7</v>
      </c>
      <c r="N14" s="134">
        <v>6.9</v>
      </c>
      <c r="O14" s="28">
        <v>16.79</v>
      </c>
      <c r="P14" s="28">
        <v>86.81</v>
      </c>
      <c r="Q14" s="28">
        <v>3.25</v>
      </c>
      <c r="R14" s="28">
        <v>3.69</v>
      </c>
      <c r="S14" s="134">
        <v>20</v>
      </c>
      <c r="T14" s="134">
        <v>19</v>
      </c>
      <c r="U14" s="28">
        <v>2.5</v>
      </c>
      <c r="V14" s="134">
        <v>4147</v>
      </c>
      <c r="W14" s="18">
        <v>77</v>
      </c>
      <c r="X14" s="134">
        <v>10</v>
      </c>
      <c r="Y14" s="18">
        <v>86</v>
      </c>
      <c r="Z14" s="134">
        <v>9789</v>
      </c>
      <c r="AA14" s="18">
        <v>76</v>
      </c>
      <c r="AB14" s="134">
        <v>23</v>
      </c>
      <c r="AC14" s="18">
        <v>83</v>
      </c>
      <c r="AD14" s="28">
        <v>1.1200000000000001</v>
      </c>
      <c r="AE14" s="18">
        <v>74</v>
      </c>
      <c r="AF14" s="28">
        <v>1.1299999999999999</v>
      </c>
      <c r="AG14" s="18">
        <v>81</v>
      </c>
      <c r="AH14" s="28">
        <v>2.23</v>
      </c>
      <c r="AI14" s="18">
        <v>71</v>
      </c>
      <c r="AJ14" s="28">
        <v>1.33</v>
      </c>
      <c r="AK14" s="18">
        <v>68</v>
      </c>
      <c r="AL14" s="134">
        <v>83</v>
      </c>
      <c r="AM14" s="18">
        <v>76</v>
      </c>
      <c r="AN14" s="134">
        <v>195</v>
      </c>
      <c r="AO14" s="18">
        <v>85</v>
      </c>
      <c r="AP14" s="134">
        <v>44</v>
      </c>
      <c r="AQ14" s="134">
        <v>9983</v>
      </c>
      <c r="AR14" s="134">
        <v>209</v>
      </c>
      <c r="AS14" s="18">
        <v>76</v>
      </c>
      <c r="AT14" s="134">
        <v>483</v>
      </c>
      <c r="AU14" s="18">
        <v>85</v>
      </c>
      <c r="AV14" s="134">
        <v>68</v>
      </c>
      <c r="AW14" s="134">
        <v>0</v>
      </c>
      <c r="AX14" s="135">
        <v>1.4</v>
      </c>
      <c r="AY14" s="134">
        <v>226</v>
      </c>
      <c r="AZ14" s="134">
        <v>1</v>
      </c>
      <c r="BA14" s="135">
        <v>4.8</v>
      </c>
      <c r="BB14" s="28">
        <v>0.83</v>
      </c>
    </row>
    <row r="15" spans="1:54" s="18" customFormat="1">
      <c r="A15" s="18" t="str">
        <f t="shared" si="0"/>
        <v>Alban</v>
      </c>
      <c r="B15" s="18" t="s">
        <v>297</v>
      </c>
      <c r="C15" s="18" t="s">
        <v>293</v>
      </c>
      <c r="D15" s="18" t="s">
        <v>285</v>
      </c>
      <c r="E15" s="134">
        <v>616</v>
      </c>
      <c r="F15" s="134">
        <v>67</v>
      </c>
      <c r="G15" s="134">
        <v>344</v>
      </c>
      <c r="H15" s="134">
        <v>323</v>
      </c>
      <c r="I15" s="134">
        <v>7173</v>
      </c>
      <c r="J15" s="134">
        <v>755</v>
      </c>
      <c r="K15" s="134">
        <v>5501</v>
      </c>
      <c r="L15" s="134">
        <v>1162</v>
      </c>
      <c r="M15" s="134">
        <v>47.7</v>
      </c>
      <c r="N15" s="134">
        <v>14.4</v>
      </c>
      <c r="O15" s="28">
        <v>16.79</v>
      </c>
      <c r="P15" s="28">
        <v>86.81</v>
      </c>
      <c r="Q15" s="28">
        <v>3.65</v>
      </c>
      <c r="R15" s="28">
        <v>3.99</v>
      </c>
      <c r="S15" s="134">
        <v>26</v>
      </c>
      <c r="T15" s="134">
        <v>32</v>
      </c>
      <c r="U15" s="28">
        <v>2.5</v>
      </c>
      <c r="V15" s="134">
        <v>8032</v>
      </c>
      <c r="W15" s="18">
        <v>56</v>
      </c>
      <c r="X15" s="134">
        <v>19</v>
      </c>
      <c r="Y15" s="18">
        <v>24</v>
      </c>
      <c r="Z15" s="134">
        <v>13092</v>
      </c>
      <c r="AA15" s="18">
        <v>62</v>
      </c>
      <c r="AB15" s="134">
        <v>31</v>
      </c>
      <c r="AC15" s="18">
        <v>50</v>
      </c>
      <c r="AD15" s="28">
        <v>1.1599999999999999</v>
      </c>
      <c r="AE15" s="18">
        <v>51</v>
      </c>
      <c r="AF15" s="28">
        <v>1.21</v>
      </c>
      <c r="AG15" s="18">
        <v>45</v>
      </c>
      <c r="AH15" s="28">
        <v>2.57</v>
      </c>
      <c r="AI15" s="18">
        <v>60</v>
      </c>
      <c r="AJ15" s="28">
        <v>1.4</v>
      </c>
      <c r="AK15" s="18">
        <v>63</v>
      </c>
      <c r="AL15" s="134">
        <v>162</v>
      </c>
      <c r="AM15" s="18">
        <v>56</v>
      </c>
      <c r="AN15" s="134">
        <v>379</v>
      </c>
      <c r="AO15" s="18">
        <v>28</v>
      </c>
      <c r="AP15" s="134">
        <v>64</v>
      </c>
      <c r="AQ15" s="134">
        <v>33017</v>
      </c>
      <c r="AR15" s="134">
        <v>293</v>
      </c>
      <c r="AS15" s="18">
        <v>60</v>
      </c>
      <c r="AT15" s="134">
        <v>682</v>
      </c>
      <c r="AU15" s="18">
        <v>48</v>
      </c>
      <c r="AV15" s="134">
        <v>369</v>
      </c>
      <c r="AW15" s="134">
        <v>1</v>
      </c>
      <c r="AX15" s="135">
        <v>8.3000000000000007</v>
      </c>
      <c r="AY15" s="134">
        <v>567</v>
      </c>
      <c r="AZ15" s="134">
        <v>2</v>
      </c>
      <c r="BA15" s="135">
        <v>12.7</v>
      </c>
      <c r="BB15" s="28">
        <v>0.74</v>
      </c>
    </row>
    <row r="16" spans="1:54" s="18" customFormat="1">
      <c r="A16" s="18" t="str">
        <f t="shared" si="0"/>
        <v>Albuq</v>
      </c>
      <c r="B16" s="18" t="s">
        <v>298</v>
      </c>
      <c r="C16" s="18" t="s">
        <v>293</v>
      </c>
      <c r="D16" s="18" t="s">
        <v>285</v>
      </c>
      <c r="E16" s="134">
        <v>630</v>
      </c>
      <c r="F16" s="134">
        <v>64</v>
      </c>
      <c r="G16" s="134">
        <v>352</v>
      </c>
      <c r="H16" s="134">
        <v>330</v>
      </c>
      <c r="I16" s="134">
        <v>5469</v>
      </c>
      <c r="J16" s="134">
        <v>393</v>
      </c>
      <c r="K16" s="134">
        <v>7627</v>
      </c>
      <c r="L16" s="134">
        <v>1603</v>
      </c>
      <c r="M16" s="134">
        <v>105</v>
      </c>
      <c r="N16" s="134">
        <v>13.9</v>
      </c>
      <c r="O16" s="28">
        <v>16.79</v>
      </c>
      <c r="P16" s="28">
        <v>86.81</v>
      </c>
      <c r="Q16" s="28">
        <v>3.31</v>
      </c>
      <c r="R16" s="28">
        <v>3.69</v>
      </c>
      <c r="S16" s="134">
        <v>39</v>
      </c>
      <c r="T16" s="134">
        <v>33</v>
      </c>
      <c r="U16" s="28">
        <v>2.5</v>
      </c>
      <c r="V16" s="134">
        <v>6408</v>
      </c>
      <c r="W16" s="18">
        <v>62</v>
      </c>
      <c r="X16" s="134">
        <v>15</v>
      </c>
      <c r="Y16" s="18">
        <v>48</v>
      </c>
      <c r="Z16" s="134">
        <v>12488</v>
      </c>
      <c r="AA16" s="18">
        <v>63</v>
      </c>
      <c r="AB16" s="134">
        <v>29</v>
      </c>
      <c r="AC16" s="18">
        <v>60</v>
      </c>
      <c r="AD16" s="28">
        <v>1.1000000000000001</v>
      </c>
      <c r="AE16" s="18">
        <v>87</v>
      </c>
      <c r="AF16" s="28">
        <v>1.1200000000000001</v>
      </c>
      <c r="AG16" s="18">
        <v>89</v>
      </c>
      <c r="AH16" s="28">
        <v>2.7</v>
      </c>
      <c r="AI16" s="18">
        <v>54</v>
      </c>
      <c r="AJ16" s="28">
        <v>1.52</v>
      </c>
      <c r="AK16" s="18">
        <v>48</v>
      </c>
      <c r="AL16" s="134">
        <v>74</v>
      </c>
      <c r="AM16" s="18">
        <v>79</v>
      </c>
      <c r="AN16" s="134">
        <v>170</v>
      </c>
      <c r="AO16" s="18">
        <v>90</v>
      </c>
      <c r="AP16" s="134">
        <v>82</v>
      </c>
      <c r="AQ16" s="134">
        <v>14125</v>
      </c>
      <c r="AR16" s="134">
        <v>288</v>
      </c>
      <c r="AS16" s="18">
        <v>62</v>
      </c>
      <c r="AT16" s="134">
        <v>658</v>
      </c>
      <c r="AU16" s="18">
        <v>53</v>
      </c>
      <c r="AV16" s="134">
        <v>841</v>
      </c>
      <c r="AW16" s="134">
        <v>3</v>
      </c>
      <c r="AX16" s="135">
        <v>19.399999999999999</v>
      </c>
      <c r="AY16" s="134">
        <v>252</v>
      </c>
      <c r="AZ16" s="134">
        <v>1</v>
      </c>
      <c r="BA16" s="135">
        <v>5.8</v>
      </c>
      <c r="BB16" s="28">
        <v>0.98</v>
      </c>
    </row>
    <row r="17" spans="1:54" s="18" customFormat="1">
      <c r="A17" s="18" t="str">
        <f t="shared" si="0"/>
        <v>Allen</v>
      </c>
      <c r="B17" s="18" t="s">
        <v>299</v>
      </c>
      <c r="C17" s="18" t="s">
        <v>293</v>
      </c>
      <c r="D17" s="18" t="s">
        <v>285</v>
      </c>
      <c r="E17" s="134">
        <v>635</v>
      </c>
      <c r="F17" s="134">
        <v>63</v>
      </c>
      <c r="G17" s="134">
        <v>355</v>
      </c>
      <c r="H17" s="134">
        <v>333</v>
      </c>
      <c r="I17" s="134">
        <v>5096</v>
      </c>
      <c r="J17" s="134">
        <v>448</v>
      </c>
      <c r="K17" s="134">
        <v>5399</v>
      </c>
      <c r="L17" s="134">
        <v>969</v>
      </c>
      <c r="M17" s="134">
        <v>27.3</v>
      </c>
      <c r="N17" s="134">
        <v>6</v>
      </c>
      <c r="O17" s="28">
        <v>16.79</v>
      </c>
      <c r="P17" s="28">
        <v>86.81</v>
      </c>
      <c r="Q17" s="28">
        <v>3.41</v>
      </c>
      <c r="R17" s="28">
        <v>3.79</v>
      </c>
      <c r="S17" s="134">
        <v>38</v>
      </c>
      <c r="T17" s="134">
        <v>42</v>
      </c>
      <c r="U17" s="28">
        <v>2.5</v>
      </c>
      <c r="V17" s="134">
        <v>6339</v>
      </c>
      <c r="W17" s="18">
        <v>64</v>
      </c>
      <c r="X17" s="134">
        <v>14</v>
      </c>
      <c r="Y17" s="18">
        <v>57</v>
      </c>
      <c r="Z17" s="134">
        <v>13247</v>
      </c>
      <c r="AA17" s="18">
        <v>60</v>
      </c>
      <c r="AB17" s="134">
        <v>30</v>
      </c>
      <c r="AC17" s="18">
        <v>53</v>
      </c>
      <c r="AD17" s="28">
        <v>1.17</v>
      </c>
      <c r="AE17" s="18">
        <v>47</v>
      </c>
      <c r="AF17" s="28">
        <v>1.21</v>
      </c>
      <c r="AG17" s="18">
        <v>45</v>
      </c>
      <c r="AH17" s="28">
        <v>2.61</v>
      </c>
      <c r="AI17" s="18">
        <v>58</v>
      </c>
      <c r="AJ17" s="28">
        <v>1.39</v>
      </c>
      <c r="AK17" s="18">
        <v>64</v>
      </c>
      <c r="AL17" s="134">
        <v>128</v>
      </c>
      <c r="AM17" s="18">
        <v>62</v>
      </c>
      <c r="AN17" s="134">
        <v>289</v>
      </c>
      <c r="AO17" s="18">
        <v>54</v>
      </c>
      <c r="AP17" s="134">
        <v>69</v>
      </c>
      <c r="AQ17" s="134">
        <v>16118</v>
      </c>
      <c r="AR17" s="134">
        <v>292</v>
      </c>
      <c r="AS17" s="18">
        <v>61</v>
      </c>
      <c r="AT17" s="134">
        <v>656</v>
      </c>
      <c r="AU17" s="18">
        <v>54</v>
      </c>
      <c r="AV17" s="134">
        <v>318</v>
      </c>
      <c r="AW17" s="134">
        <v>1</v>
      </c>
      <c r="AX17" s="135">
        <v>7</v>
      </c>
      <c r="AY17" s="134">
        <v>344</v>
      </c>
      <c r="AZ17" s="134">
        <v>1</v>
      </c>
      <c r="BA17" s="135">
        <v>7.6</v>
      </c>
      <c r="BB17" s="28">
        <v>0.9</v>
      </c>
    </row>
    <row r="18" spans="1:54" s="18" customFormat="1">
      <c r="A18" s="18" t="str">
        <f t="shared" si="0"/>
        <v>Ancho</v>
      </c>
      <c r="B18" s="18" t="s">
        <v>300</v>
      </c>
      <c r="C18" s="18" t="s">
        <v>295</v>
      </c>
      <c r="D18" s="18" t="s">
        <v>285</v>
      </c>
      <c r="E18" s="134">
        <v>307</v>
      </c>
      <c r="F18" s="134">
        <v>95</v>
      </c>
      <c r="G18" s="134">
        <v>172</v>
      </c>
      <c r="H18" s="134">
        <v>161</v>
      </c>
      <c r="I18" s="134">
        <v>1380</v>
      </c>
      <c r="J18" s="134">
        <v>190</v>
      </c>
      <c r="K18" s="134">
        <v>1992</v>
      </c>
      <c r="L18" s="134">
        <v>386</v>
      </c>
      <c r="M18" s="134">
        <v>32.299999999999997</v>
      </c>
      <c r="N18" s="134">
        <v>4.7</v>
      </c>
      <c r="O18" s="28">
        <v>16.79</v>
      </c>
      <c r="P18" s="28">
        <v>86.81</v>
      </c>
      <c r="Q18" s="28">
        <v>3.8</v>
      </c>
      <c r="R18" s="28">
        <v>4.17</v>
      </c>
      <c r="S18" s="134">
        <v>17</v>
      </c>
      <c r="T18" s="134">
        <v>26</v>
      </c>
      <c r="U18" s="28">
        <v>1.5</v>
      </c>
      <c r="V18" s="134">
        <v>1770</v>
      </c>
      <c r="W18" s="18">
        <v>95</v>
      </c>
      <c r="X18" s="134">
        <v>8</v>
      </c>
      <c r="Y18" s="18">
        <v>91</v>
      </c>
      <c r="Z18" s="134">
        <v>3627</v>
      </c>
      <c r="AA18" s="18">
        <v>96</v>
      </c>
      <c r="AB18" s="134">
        <v>17</v>
      </c>
      <c r="AC18" s="18">
        <v>93</v>
      </c>
      <c r="AD18" s="28">
        <v>1.18</v>
      </c>
      <c r="AE18" s="18">
        <v>37</v>
      </c>
      <c r="AF18" s="28">
        <v>1.23</v>
      </c>
      <c r="AG18" s="18">
        <v>32</v>
      </c>
      <c r="AH18" s="28">
        <v>2.93</v>
      </c>
      <c r="AI18" s="18">
        <v>46</v>
      </c>
      <c r="AJ18" s="28">
        <v>1.79</v>
      </c>
      <c r="AK18" s="18">
        <v>21</v>
      </c>
      <c r="AL18" s="134">
        <v>31</v>
      </c>
      <c r="AM18" s="18">
        <v>93</v>
      </c>
      <c r="AN18" s="134">
        <v>144</v>
      </c>
      <c r="AO18" s="18">
        <v>93</v>
      </c>
      <c r="AP18" s="134">
        <v>16</v>
      </c>
      <c r="AQ18" s="134">
        <v>4507</v>
      </c>
      <c r="AR18" s="134">
        <v>78</v>
      </c>
      <c r="AS18" s="18">
        <v>96</v>
      </c>
      <c r="AT18" s="134">
        <v>367</v>
      </c>
      <c r="AU18" s="18">
        <v>93</v>
      </c>
      <c r="AV18" s="134">
        <v>101</v>
      </c>
      <c r="AW18" s="134">
        <v>1</v>
      </c>
      <c r="AX18" s="135">
        <v>2.2000000000000002</v>
      </c>
      <c r="AY18" s="134">
        <v>258</v>
      </c>
      <c r="AZ18" s="134">
        <v>2</v>
      </c>
      <c r="BA18" s="135">
        <v>5.5</v>
      </c>
      <c r="BB18" s="28">
        <v>0.69</v>
      </c>
    </row>
    <row r="19" spans="1:54" s="18" customFormat="1">
      <c r="A19" s="18" t="str">
        <f t="shared" si="0"/>
        <v>Atlan</v>
      </c>
      <c r="B19" s="18" t="s">
        <v>301</v>
      </c>
      <c r="C19" s="18" t="s">
        <v>289</v>
      </c>
      <c r="D19" s="18" t="s">
        <v>285</v>
      </c>
      <c r="E19" s="134">
        <v>4360</v>
      </c>
      <c r="F19" s="134">
        <v>8</v>
      </c>
      <c r="G19" s="134">
        <v>2372</v>
      </c>
      <c r="H19" s="134">
        <v>2135</v>
      </c>
      <c r="I19" s="134">
        <v>49501</v>
      </c>
      <c r="J19" s="134">
        <v>2970</v>
      </c>
      <c r="K19" s="134">
        <v>43201</v>
      </c>
      <c r="L19" s="134">
        <v>7586</v>
      </c>
      <c r="M19" s="134">
        <v>896.1</v>
      </c>
      <c r="N19" s="134">
        <v>146.4</v>
      </c>
      <c r="O19" s="28">
        <v>16.79</v>
      </c>
      <c r="P19" s="28">
        <v>86.81</v>
      </c>
      <c r="Q19" s="28">
        <v>3.2</v>
      </c>
      <c r="R19" s="28">
        <v>3.64</v>
      </c>
      <c r="S19" s="134">
        <v>78</v>
      </c>
      <c r="T19" s="134">
        <v>59</v>
      </c>
      <c r="U19" s="28">
        <v>5</v>
      </c>
      <c r="V19" s="134">
        <v>63521</v>
      </c>
      <c r="W19" s="18">
        <v>11</v>
      </c>
      <c r="X19" s="134">
        <v>23</v>
      </c>
      <c r="Y19" s="18">
        <v>12</v>
      </c>
      <c r="Z19" s="134">
        <v>142041</v>
      </c>
      <c r="AA19" s="18">
        <v>10</v>
      </c>
      <c r="AB19" s="134">
        <v>51</v>
      </c>
      <c r="AC19" s="18">
        <v>7</v>
      </c>
      <c r="AD19" s="28">
        <v>1.24</v>
      </c>
      <c r="AE19" s="18">
        <v>17</v>
      </c>
      <c r="AF19" s="28">
        <v>1.33</v>
      </c>
      <c r="AG19" s="18">
        <v>13</v>
      </c>
      <c r="AH19" s="28">
        <v>3.71</v>
      </c>
      <c r="AI19" s="18">
        <v>19</v>
      </c>
      <c r="AJ19" s="28">
        <v>1.79</v>
      </c>
      <c r="AK19" s="18">
        <v>21</v>
      </c>
      <c r="AL19" s="134">
        <v>1284</v>
      </c>
      <c r="AM19" s="18">
        <v>11</v>
      </c>
      <c r="AN19" s="134">
        <v>462</v>
      </c>
      <c r="AO19" s="18">
        <v>11</v>
      </c>
      <c r="AP19" s="134">
        <v>775</v>
      </c>
      <c r="AQ19" s="134">
        <v>191563</v>
      </c>
      <c r="AR19" s="134">
        <v>3135</v>
      </c>
      <c r="AS19" s="18">
        <v>9</v>
      </c>
      <c r="AT19" s="134">
        <v>1120</v>
      </c>
      <c r="AU19" s="18">
        <v>7</v>
      </c>
      <c r="AV19" s="134">
        <v>6863</v>
      </c>
      <c r="AW19" s="134">
        <v>3</v>
      </c>
      <c r="AX19" s="135">
        <v>151.5</v>
      </c>
      <c r="AY19" s="134">
        <v>10520</v>
      </c>
      <c r="AZ19" s="134">
        <v>5</v>
      </c>
      <c r="BA19" s="135">
        <v>232.2</v>
      </c>
      <c r="BB19" s="28">
        <v>1.18</v>
      </c>
    </row>
    <row r="20" spans="1:54" s="18" customFormat="1">
      <c r="A20" s="18" t="str">
        <f t="shared" si="0"/>
        <v>Austi</v>
      </c>
      <c r="B20" s="18" t="s">
        <v>302</v>
      </c>
      <c r="C20" s="18" t="s">
        <v>291</v>
      </c>
      <c r="D20" s="18" t="s">
        <v>285</v>
      </c>
      <c r="E20" s="134">
        <v>1345</v>
      </c>
      <c r="F20" s="134">
        <v>35</v>
      </c>
      <c r="G20" s="134">
        <v>767</v>
      </c>
      <c r="H20" s="134">
        <v>712</v>
      </c>
      <c r="I20" s="134">
        <v>12650</v>
      </c>
      <c r="J20" s="134">
        <v>953</v>
      </c>
      <c r="K20" s="134">
        <v>11004</v>
      </c>
      <c r="L20" s="134">
        <v>2052</v>
      </c>
      <c r="M20" s="134">
        <v>154.9</v>
      </c>
      <c r="N20" s="134">
        <v>33.9</v>
      </c>
      <c r="O20" s="28">
        <v>16.79</v>
      </c>
      <c r="P20" s="28">
        <v>86.81</v>
      </c>
      <c r="Q20" s="28">
        <v>3.29</v>
      </c>
      <c r="R20" s="28">
        <v>3.56</v>
      </c>
      <c r="S20" s="134">
        <v>61</v>
      </c>
      <c r="T20" s="134">
        <v>49</v>
      </c>
      <c r="U20" s="28">
        <v>5.75</v>
      </c>
      <c r="V20" s="134">
        <v>17075</v>
      </c>
      <c r="W20" s="18">
        <v>32</v>
      </c>
      <c r="X20" s="134">
        <v>20</v>
      </c>
      <c r="Y20" s="18">
        <v>19</v>
      </c>
      <c r="Z20" s="134">
        <v>38307</v>
      </c>
      <c r="AA20" s="18">
        <v>32</v>
      </c>
      <c r="AB20" s="134">
        <v>44</v>
      </c>
      <c r="AC20" s="18">
        <v>17</v>
      </c>
      <c r="AD20" s="28">
        <v>1.32</v>
      </c>
      <c r="AE20" s="18">
        <v>4</v>
      </c>
      <c r="AF20" s="28">
        <v>1.38</v>
      </c>
      <c r="AG20" s="18">
        <v>5</v>
      </c>
      <c r="AH20" s="28">
        <v>4.26</v>
      </c>
      <c r="AI20" s="18">
        <v>6</v>
      </c>
      <c r="AJ20" s="28">
        <v>2.15</v>
      </c>
      <c r="AK20" s="18">
        <v>4</v>
      </c>
      <c r="AL20" s="134">
        <v>343</v>
      </c>
      <c r="AM20" s="18">
        <v>30</v>
      </c>
      <c r="AN20" s="134">
        <v>398</v>
      </c>
      <c r="AO20" s="18">
        <v>23</v>
      </c>
      <c r="AP20" s="134">
        <v>157</v>
      </c>
      <c r="AQ20" s="134">
        <v>33256</v>
      </c>
      <c r="AR20" s="134">
        <v>810</v>
      </c>
      <c r="AS20" s="18">
        <v>33</v>
      </c>
      <c r="AT20" s="134">
        <v>930</v>
      </c>
      <c r="AU20" s="18">
        <v>18</v>
      </c>
      <c r="AV20" s="134">
        <v>1902</v>
      </c>
      <c r="AW20" s="134">
        <v>3</v>
      </c>
      <c r="AX20" s="135">
        <v>40.200000000000003</v>
      </c>
      <c r="AY20" s="134">
        <v>2395</v>
      </c>
      <c r="AZ20" s="134">
        <v>3</v>
      </c>
      <c r="BA20" s="135">
        <v>50.6</v>
      </c>
      <c r="BB20" s="28">
        <v>0.98</v>
      </c>
    </row>
    <row r="21" spans="1:54" s="18" customFormat="1">
      <c r="A21" s="18" t="str">
        <f t="shared" si="0"/>
        <v>Baker</v>
      </c>
      <c r="B21" s="18" t="s">
        <v>303</v>
      </c>
      <c r="C21" s="18" t="s">
        <v>293</v>
      </c>
      <c r="D21" s="18" t="s">
        <v>285</v>
      </c>
      <c r="E21" s="134">
        <v>544</v>
      </c>
      <c r="F21" s="134">
        <v>76</v>
      </c>
      <c r="G21" s="134">
        <v>304</v>
      </c>
      <c r="H21" s="134">
        <v>285</v>
      </c>
      <c r="I21" s="134">
        <v>2173</v>
      </c>
      <c r="J21" s="134">
        <v>199</v>
      </c>
      <c r="K21" s="134">
        <v>4481</v>
      </c>
      <c r="L21" s="134">
        <v>1061</v>
      </c>
      <c r="M21" s="134">
        <v>26.6</v>
      </c>
      <c r="N21" s="134">
        <v>7.1</v>
      </c>
      <c r="O21" s="28">
        <v>16.79</v>
      </c>
      <c r="P21" s="28">
        <v>86.81</v>
      </c>
      <c r="Q21" s="28">
        <v>3.51</v>
      </c>
      <c r="R21" s="28">
        <v>4.0199999999999996</v>
      </c>
      <c r="S21" s="134">
        <v>34</v>
      </c>
      <c r="T21" s="134">
        <v>30</v>
      </c>
      <c r="U21" s="28">
        <v>2.5</v>
      </c>
      <c r="V21" s="134">
        <v>2240</v>
      </c>
      <c r="W21" s="18">
        <v>92</v>
      </c>
      <c r="X21" s="134">
        <v>6</v>
      </c>
      <c r="Y21" s="18">
        <v>97</v>
      </c>
      <c r="Z21" s="134">
        <v>4752</v>
      </c>
      <c r="AA21" s="18">
        <v>91</v>
      </c>
      <c r="AB21" s="134">
        <v>12</v>
      </c>
      <c r="AC21" s="18">
        <v>100</v>
      </c>
      <c r="AD21" s="28">
        <v>1.1100000000000001</v>
      </c>
      <c r="AE21" s="18">
        <v>79</v>
      </c>
      <c r="AF21" s="28">
        <v>1.1299999999999999</v>
      </c>
      <c r="AG21" s="18">
        <v>81</v>
      </c>
      <c r="AH21" s="28">
        <v>2.2799999999999998</v>
      </c>
      <c r="AI21" s="18">
        <v>70</v>
      </c>
      <c r="AJ21" s="28">
        <v>1.33</v>
      </c>
      <c r="AK21" s="18">
        <v>68</v>
      </c>
      <c r="AL21" s="134">
        <v>45</v>
      </c>
      <c r="AM21" s="18">
        <v>89</v>
      </c>
      <c r="AN21" s="134">
        <v>118</v>
      </c>
      <c r="AO21" s="18">
        <v>95</v>
      </c>
      <c r="AP21" s="134">
        <v>41</v>
      </c>
      <c r="AQ21" s="134">
        <v>10995</v>
      </c>
      <c r="AR21" s="134">
        <v>117</v>
      </c>
      <c r="AS21" s="18">
        <v>91</v>
      </c>
      <c r="AT21" s="134">
        <v>298</v>
      </c>
      <c r="AU21" s="18">
        <v>98</v>
      </c>
      <c r="AV21" s="134">
        <v>187</v>
      </c>
      <c r="AW21" s="134">
        <v>1</v>
      </c>
      <c r="AX21" s="135">
        <v>4.5999999999999996</v>
      </c>
      <c r="AY21" s="134">
        <v>238</v>
      </c>
      <c r="AZ21" s="134">
        <v>1</v>
      </c>
      <c r="BA21" s="135">
        <v>5.9</v>
      </c>
      <c r="BB21" s="28">
        <v>0.81</v>
      </c>
    </row>
    <row r="22" spans="1:54" s="18" customFormat="1">
      <c r="A22" s="18" t="str">
        <f t="shared" si="0"/>
        <v>Balti</v>
      </c>
      <c r="B22" s="18" t="s">
        <v>304</v>
      </c>
      <c r="C22" s="18" t="s">
        <v>291</v>
      </c>
      <c r="D22" s="18" t="s">
        <v>285</v>
      </c>
      <c r="E22" s="134">
        <v>2523</v>
      </c>
      <c r="F22" s="134">
        <v>17</v>
      </c>
      <c r="G22" s="134">
        <v>1438</v>
      </c>
      <c r="H22" s="134">
        <v>1336</v>
      </c>
      <c r="I22" s="134">
        <v>26805</v>
      </c>
      <c r="J22" s="134">
        <v>1561</v>
      </c>
      <c r="K22" s="134">
        <v>18338</v>
      </c>
      <c r="L22" s="134">
        <v>3252</v>
      </c>
      <c r="M22" s="134">
        <v>754.8</v>
      </c>
      <c r="N22" s="134">
        <v>118.1</v>
      </c>
      <c r="O22" s="28">
        <v>16.79</v>
      </c>
      <c r="P22" s="28">
        <v>86.81</v>
      </c>
      <c r="Q22" s="28">
        <v>3.41</v>
      </c>
      <c r="R22" s="28">
        <v>3.66</v>
      </c>
      <c r="S22" s="134">
        <v>77</v>
      </c>
      <c r="T22" s="134">
        <v>58</v>
      </c>
      <c r="U22" s="28">
        <v>4.25</v>
      </c>
      <c r="V22" s="134">
        <v>33060</v>
      </c>
      <c r="W22" s="18">
        <v>16</v>
      </c>
      <c r="X22" s="134">
        <v>19</v>
      </c>
      <c r="Y22" s="18">
        <v>24</v>
      </c>
      <c r="Z22" s="134">
        <v>70263</v>
      </c>
      <c r="AA22" s="18">
        <v>17</v>
      </c>
      <c r="AB22" s="134">
        <v>41</v>
      </c>
      <c r="AC22" s="18">
        <v>23</v>
      </c>
      <c r="AD22" s="28">
        <v>1.23</v>
      </c>
      <c r="AE22" s="18">
        <v>20</v>
      </c>
      <c r="AF22" s="28">
        <v>1.29</v>
      </c>
      <c r="AG22" s="18">
        <v>18</v>
      </c>
      <c r="AH22" s="28">
        <v>3.81</v>
      </c>
      <c r="AI22" s="18">
        <v>15</v>
      </c>
      <c r="AJ22" s="28">
        <v>1.88</v>
      </c>
      <c r="AK22" s="18">
        <v>16</v>
      </c>
      <c r="AL22" s="134">
        <v>667</v>
      </c>
      <c r="AM22" s="18">
        <v>16</v>
      </c>
      <c r="AN22" s="134">
        <v>392</v>
      </c>
      <c r="AO22" s="18">
        <v>25</v>
      </c>
      <c r="AP22" s="134">
        <v>379</v>
      </c>
      <c r="AQ22" s="134">
        <v>96445</v>
      </c>
      <c r="AR22" s="134">
        <v>1557</v>
      </c>
      <c r="AS22" s="18">
        <v>16</v>
      </c>
      <c r="AT22" s="134">
        <v>908</v>
      </c>
      <c r="AU22" s="18">
        <v>22</v>
      </c>
      <c r="AV22" s="134">
        <v>3742</v>
      </c>
      <c r="AW22" s="134">
        <v>3</v>
      </c>
      <c r="AX22" s="135">
        <v>82.9</v>
      </c>
      <c r="AY22" s="134">
        <v>11219</v>
      </c>
      <c r="AZ22" s="134">
        <v>8</v>
      </c>
      <c r="BA22" s="135">
        <v>248.6</v>
      </c>
      <c r="BB22" s="28">
        <v>1.21</v>
      </c>
    </row>
    <row r="23" spans="1:54" s="18" customFormat="1">
      <c r="A23" s="18" t="str">
        <f t="shared" si="0"/>
        <v>Baton</v>
      </c>
      <c r="B23" s="18" t="s">
        <v>305</v>
      </c>
      <c r="C23" s="18" t="s">
        <v>293</v>
      </c>
      <c r="D23" s="18" t="s">
        <v>285</v>
      </c>
      <c r="E23" s="134">
        <v>610</v>
      </c>
      <c r="F23" s="134">
        <v>70</v>
      </c>
      <c r="G23" s="134">
        <v>341</v>
      </c>
      <c r="H23" s="134">
        <v>320</v>
      </c>
      <c r="I23" s="134">
        <v>4858</v>
      </c>
      <c r="J23" s="134">
        <v>283</v>
      </c>
      <c r="K23" s="134">
        <v>8012</v>
      </c>
      <c r="L23" s="134">
        <v>1457</v>
      </c>
      <c r="M23" s="134">
        <v>15.8</v>
      </c>
      <c r="N23" s="134">
        <v>3.6</v>
      </c>
      <c r="O23" s="28">
        <v>16.79</v>
      </c>
      <c r="P23" s="28">
        <v>86.81</v>
      </c>
      <c r="Q23" s="28">
        <v>3.28</v>
      </c>
      <c r="R23" s="28">
        <v>3.56</v>
      </c>
      <c r="S23" s="134">
        <v>44</v>
      </c>
      <c r="T23" s="134">
        <v>39</v>
      </c>
      <c r="U23" s="28">
        <v>5</v>
      </c>
      <c r="V23" s="134">
        <v>10201</v>
      </c>
      <c r="W23" s="18">
        <v>51</v>
      </c>
      <c r="X23" s="134">
        <v>26</v>
      </c>
      <c r="Y23" s="18">
        <v>4</v>
      </c>
      <c r="Z23" s="134">
        <v>17122</v>
      </c>
      <c r="AA23" s="18">
        <v>55</v>
      </c>
      <c r="AB23" s="134">
        <v>42</v>
      </c>
      <c r="AC23" s="18">
        <v>21</v>
      </c>
      <c r="AD23" s="28">
        <v>1.22</v>
      </c>
      <c r="AE23" s="18">
        <v>23</v>
      </c>
      <c r="AF23" s="28">
        <v>1.26</v>
      </c>
      <c r="AG23" s="18">
        <v>28</v>
      </c>
      <c r="AH23" s="28">
        <v>3.74</v>
      </c>
      <c r="AI23" s="18">
        <v>17</v>
      </c>
      <c r="AJ23" s="28">
        <v>1.87</v>
      </c>
      <c r="AK23" s="18">
        <v>18</v>
      </c>
      <c r="AL23" s="134">
        <v>210</v>
      </c>
      <c r="AM23" s="18">
        <v>49</v>
      </c>
      <c r="AN23" s="134">
        <v>526</v>
      </c>
      <c r="AO23" s="18">
        <v>3</v>
      </c>
      <c r="AP23" s="134">
        <v>148</v>
      </c>
      <c r="AQ23" s="134">
        <v>32671</v>
      </c>
      <c r="AR23" s="134">
        <v>424</v>
      </c>
      <c r="AS23" s="18">
        <v>53</v>
      </c>
      <c r="AT23" s="134">
        <v>1052</v>
      </c>
      <c r="AU23" s="18">
        <v>9</v>
      </c>
      <c r="AV23" s="134">
        <v>1024</v>
      </c>
      <c r="AW23" s="134">
        <v>3</v>
      </c>
      <c r="AX23" s="135">
        <v>25.3</v>
      </c>
      <c r="AY23" s="134">
        <v>165</v>
      </c>
      <c r="AZ23" s="134">
        <v>1</v>
      </c>
      <c r="BA23" s="135">
        <v>4.0999999999999996</v>
      </c>
      <c r="BB23" s="28">
        <v>1.18</v>
      </c>
    </row>
    <row r="24" spans="1:54" s="18" customFormat="1">
      <c r="A24" s="18" t="str">
        <f t="shared" si="0"/>
        <v>Beaum</v>
      </c>
      <c r="B24" s="18" t="s">
        <v>306</v>
      </c>
      <c r="C24" s="18" t="s">
        <v>295</v>
      </c>
      <c r="D24" s="18" t="s">
        <v>285</v>
      </c>
      <c r="E24" s="134">
        <v>243</v>
      </c>
      <c r="F24" s="134">
        <v>98</v>
      </c>
      <c r="G24" s="134">
        <v>136</v>
      </c>
      <c r="H24" s="134">
        <v>128</v>
      </c>
      <c r="I24" s="134">
        <v>2985</v>
      </c>
      <c r="J24" s="134">
        <v>254</v>
      </c>
      <c r="K24" s="134">
        <v>3266</v>
      </c>
      <c r="L24" s="134">
        <v>1011</v>
      </c>
      <c r="M24" s="134">
        <v>3.9</v>
      </c>
      <c r="N24" s="134">
        <v>0.7</v>
      </c>
      <c r="O24" s="28">
        <v>16.79</v>
      </c>
      <c r="P24" s="28">
        <v>86.81</v>
      </c>
      <c r="Q24" s="28">
        <v>3.29</v>
      </c>
      <c r="R24" s="28">
        <v>3.56</v>
      </c>
      <c r="S24" s="134">
        <v>15</v>
      </c>
      <c r="T24" s="134">
        <v>15</v>
      </c>
      <c r="U24" s="28">
        <v>1.5</v>
      </c>
      <c r="V24" s="134">
        <v>2089</v>
      </c>
      <c r="W24" s="18">
        <v>94</v>
      </c>
      <c r="X24" s="134">
        <v>12</v>
      </c>
      <c r="Y24" s="18">
        <v>69</v>
      </c>
      <c r="Z24" s="134">
        <v>4205</v>
      </c>
      <c r="AA24" s="18">
        <v>93</v>
      </c>
      <c r="AB24" s="134">
        <v>25</v>
      </c>
      <c r="AC24" s="18">
        <v>75</v>
      </c>
      <c r="AD24" s="28">
        <v>1.1000000000000001</v>
      </c>
      <c r="AE24" s="18">
        <v>87</v>
      </c>
      <c r="AF24" s="28">
        <v>1.1299999999999999</v>
      </c>
      <c r="AG24" s="18">
        <v>81</v>
      </c>
      <c r="AH24" s="28">
        <v>1.9</v>
      </c>
      <c r="AI24" s="18">
        <v>89</v>
      </c>
      <c r="AJ24" s="28">
        <v>1.22</v>
      </c>
      <c r="AK24" s="18">
        <v>90</v>
      </c>
      <c r="AL24" s="134">
        <v>42</v>
      </c>
      <c r="AM24" s="18">
        <v>90</v>
      </c>
      <c r="AN24" s="134">
        <v>248</v>
      </c>
      <c r="AO24" s="18">
        <v>67</v>
      </c>
      <c r="AP24" s="134">
        <v>19</v>
      </c>
      <c r="AQ24" s="134">
        <v>20767</v>
      </c>
      <c r="AR24" s="134">
        <v>91</v>
      </c>
      <c r="AS24" s="18">
        <v>93</v>
      </c>
      <c r="AT24" s="134">
        <v>531</v>
      </c>
      <c r="AU24" s="18">
        <v>76</v>
      </c>
      <c r="AV24" s="134">
        <v>99</v>
      </c>
      <c r="AW24" s="134">
        <v>1</v>
      </c>
      <c r="AX24" s="135">
        <v>2.1</v>
      </c>
      <c r="AY24" s="134">
        <v>40</v>
      </c>
      <c r="AZ24" s="134">
        <v>0</v>
      </c>
      <c r="BA24" s="135">
        <v>0.9</v>
      </c>
      <c r="BB24" s="28">
        <v>0.79</v>
      </c>
    </row>
    <row r="25" spans="1:54" s="18" customFormat="1">
      <c r="A25" s="18" t="str">
        <f t="shared" si="0"/>
        <v>Birmi</v>
      </c>
      <c r="B25" s="18" t="s">
        <v>307</v>
      </c>
      <c r="C25" s="18" t="s">
        <v>293</v>
      </c>
      <c r="D25" s="18" t="s">
        <v>285</v>
      </c>
      <c r="E25" s="134">
        <v>861</v>
      </c>
      <c r="F25" s="134">
        <v>52</v>
      </c>
      <c r="G25" s="134">
        <v>481</v>
      </c>
      <c r="H25" s="134">
        <v>451</v>
      </c>
      <c r="I25" s="134">
        <v>10184</v>
      </c>
      <c r="J25" s="134">
        <v>810</v>
      </c>
      <c r="K25" s="134">
        <v>7969</v>
      </c>
      <c r="L25" s="134">
        <v>1593</v>
      </c>
      <c r="M25" s="134">
        <v>19.2</v>
      </c>
      <c r="N25" s="134">
        <v>2.7</v>
      </c>
      <c r="O25" s="28">
        <v>16.79</v>
      </c>
      <c r="P25" s="28">
        <v>86.81</v>
      </c>
      <c r="Q25" s="28">
        <v>3.12</v>
      </c>
      <c r="R25" s="28">
        <v>3.59</v>
      </c>
      <c r="S25" s="134">
        <v>45</v>
      </c>
      <c r="T25" s="134">
        <v>39</v>
      </c>
      <c r="U25" s="28">
        <v>3.25</v>
      </c>
      <c r="V25" s="134">
        <v>10304</v>
      </c>
      <c r="W25" s="18">
        <v>49</v>
      </c>
      <c r="X25" s="134">
        <v>18</v>
      </c>
      <c r="Y25" s="18">
        <v>30</v>
      </c>
      <c r="Z25" s="134">
        <v>20903</v>
      </c>
      <c r="AA25" s="18">
        <v>49</v>
      </c>
      <c r="AB25" s="134">
        <v>35</v>
      </c>
      <c r="AC25" s="18">
        <v>40</v>
      </c>
      <c r="AD25" s="28">
        <v>1.19</v>
      </c>
      <c r="AE25" s="18">
        <v>35</v>
      </c>
      <c r="AF25" s="28">
        <v>1.23</v>
      </c>
      <c r="AG25" s="18">
        <v>32</v>
      </c>
      <c r="AH25" s="28">
        <v>2.97</v>
      </c>
      <c r="AI25" s="18">
        <v>44</v>
      </c>
      <c r="AJ25" s="28">
        <v>1.52</v>
      </c>
      <c r="AK25" s="18">
        <v>48</v>
      </c>
      <c r="AL25" s="134">
        <v>208</v>
      </c>
      <c r="AM25" s="18">
        <v>50</v>
      </c>
      <c r="AN25" s="134">
        <v>356</v>
      </c>
      <c r="AO25" s="18">
        <v>36</v>
      </c>
      <c r="AP25" s="134">
        <v>107</v>
      </c>
      <c r="AQ25" s="134">
        <v>38716</v>
      </c>
      <c r="AR25" s="134">
        <v>458</v>
      </c>
      <c r="AS25" s="18">
        <v>49</v>
      </c>
      <c r="AT25" s="134">
        <v>773</v>
      </c>
      <c r="AU25" s="18">
        <v>42</v>
      </c>
      <c r="AV25" s="134">
        <v>983</v>
      </c>
      <c r="AW25" s="134">
        <v>2</v>
      </c>
      <c r="AX25" s="135">
        <v>21.5</v>
      </c>
      <c r="AY25" s="134">
        <v>261</v>
      </c>
      <c r="AZ25" s="134">
        <v>1</v>
      </c>
      <c r="BA25" s="135">
        <v>5.7</v>
      </c>
      <c r="BB25" s="28">
        <v>0.92</v>
      </c>
    </row>
    <row r="26" spans="1:54" s="18" customFormat="1">
      <c r="A26" s="18" t="str">
        <f t="shared" si="0"/>
        <v>Boise</v>
      </c>
      <c r="B26" s="18" t="s">
        <v>308</v>
      </c>
      <c r="C26" s="18" t="s">
        <v>295</v>
      </c>
      <c r="D26" s="18" t="s">
        <v>285</v>
      </c>
      <c r="E26" s="134">
        <v>319</v>
      </c>
      <c r="F26" s="134">
        <v>94</v>
      </c>
      <c r="G26" s="134">
        <v>179</v>
      </c>
      <c r="H26" s="134">
        <v>168</v>
      </c>
      <c r="I26" s="134">
        <v>1617</v>
      </c>
      <c r="J26" s="134">
        <v>166</v>
      </c>
      <c r="K26" s="134">
        <v>4225</v>
      </c>
      <c r="L26" s="134">
        <v>739</v>
      </c>
      <c r="M26" s="134">
        <v>8</v>
      </c>
      <c r="N26" s="134">
        <v>1.4</v>
      </c>
      <c r="O26" s="28">
        <v>16.79</v>
      </c>
      <c r="P26" s="28">
        <v>86.81</v>
      </c>
      <c r="Q26" s="28">
        <v>3.31</v>
      </c>
      <c r="R26" s="28">
        <v>3.77</v>
      </c>
      <c r="S26" s="134">
        <v>39</v>
      </c>
      <c r="T26" s="134">
        <v>49</v>
      </c>
      <c r="U26" s="28">
        <v>2</v>
      </c>
      <c r="V26" s="134">
        <v>1662</v>
      </c>
      <c r="W26" s="18">
        <v>96</v>
      </c>
      <c r="X26" s="134">
        <v>8</v>
      </c>
      <c r="Y26" s="18">
        <v>91</v>
      </c>
      <c r="Z26" s="134">
        <v>3636</v>
      </c>
      <c r="AA26" s="18">
        <v>95</v>
      </c>
      <c r="AB26" s="134">
        <v>16</v>
      </c>
      <c r="AC26" s="18">
        <v>94</v>
      </c>
      <c r="AD26" s="28">
        <v>1.06</v>
      </c>
      <c r="AE26" s="18">
        <v>100</v>
      </c>
      <c r="AF26" s="28">
        <v>1.1200000000000001</v>
      </c>
      <c r="AG26" s="18">
        <v>89</v>
      </c>
      <c r="AH26" s="28">
        <v>1.67</v>
      </c>
      <c r="AI26" s="18">
        <v>95</v>
      </c>
      <c r="AJ26" s="28">
        <v>1.17</v>
      </c>
      <c r="AK26" s="18">
        <v>96</v>
      </c>
      <c r="AL26" s="134">
        <v>26</v>
      </c>
      <c r="AM26" s="18">
        <v>95</v>
      </c>
      <c r="AN26" s="134">
        <v>120</v>
      </c>
      <c r="AO26" s="18">
        <v>94</v>
      </c>
      <c r="AP26" s="134">
        <v>10</v>
      </c>
      <c r="AQ26" s="134">
        <v>4879</v>
      </c>
      <c r="AR26" s="134">
        <v>74</v>
      </c>
      <c r="AS26" s="18">
        <v>97</v>
      </c>
      <c r="AT26" s="134">
        <v>334</v>
      </c>
      <c r="AU26" s="18">
        <v>95</v>
      </c>
      <c r="AV26" s="134">
        <v>64</v>
      </c>
      <c r="AW26" s="134">
        <v>0</v>
      </c>
      <c r="AX26" s="135">
        <v>1.3</v>
      </c>
      <c r="AY26" s="134">
        <v>35</v>
      </c>
      <c r="AZ26" s="134">
        <v>0</v>
      </c>
      <c r="BA26" s="135">
        <v>0.7</v>
      </c>
      <c r="BB26" s="28">
        <v>0.91</v>
      </c>
    </row>
    <row r="27" spans="1:54" s="18" customFormat="1">
      <c r="A27" s="18" t="str">
        <f t="shared" si="0"/>
        <v>Bosto</v>
      </c>
      <c r="B27" s="18" t="s">
        <v>309</v>
      </c>
      <c r="C27" s="18" t="s">
        <v>289</v>
      </c>
      <c r="D27" s="18" t="s">
        <v>285</v>
      </c>
      <c r="E27" s="134">
        <v>4320</v>
      </c>
      <c r="F27" s="134">
        <v>9</v>
      </c>
      <c r="G27" s="134">
        <v>2199</v>
      </c>
      <c r="H27" s="134">
        <v>1979</v>
      </c>
      <c r="I27" s="134">
        <v>42357</v>
      </c>
      <c r="J27" s="134">
        <v>2911</v>
      </c>
      <c r="K27" s="134">
        <v>34942</v>
      </c>
      <c r="L27" s="134">
        <v>7265</v>
      </c>
      <c r="M27" s="134">
        <v>1907.5</v>
      </c>
      <c r="N27" s="134">
        <v>398.6</v>
      </c>
      <c r="O27" s="28">
        <v>16.79</v>
      </c>
      <c r="P27" s="28">
        <v>86.81</v>
      </c>
      <c r="Q27" s="28">
        <v>3.49</v>
      </c>
      <c r="R27" s="28">
        <v>3.73</v>
      </c>
      <c r="S27" s="134">
        <v>56</v>
      </c>
      <c r="T27" s="134">
        <v>39</v>
      </c>
      <c r="U27" s="28">
        <v>5</v>
      </c>
      <c r="V27" s="134">
        <v>66615</v>
      </c>
      <c r="W27" s="18">
        <v>8</v>
      </c>
      <c r="X27" s="134">
        <v>26</v>
      </c>
      <c r="Y27" s="18">
        <v>4</v>
      </c>
      <c r="Z27" s="134">
        <v>136966</v>
      </c>
      <c r="AA27" s="18">
        <v>11</v>
      </c>
      <c r="AB27" s="134">
        <v>53</v>
      </c>
      <c r="AC27" s="18">
        <v>5</v>
      </c>
      <c r="AD27" s="28">
        <v>1.28</v>
      </c>
      <c r="AE27" s="18">
        <v>6</v>
      </c>
      <c r="AF27" s="28">
        <v>1.35</v>
      </c>
      <c r="AG27" s="18">
        <v>6</v>
      </c>
      <c r="AH27" s="28">
        <v>4.25</v>
      </c>
      <c r="AI27" s="18">
        <v>8</v>
      </c>
      <c r="AJ27" s="28">
        <v>2.02</v>
      </c>
      <c r="AK27" s="18">
        <v>8</v>
      </c>
      <c r="AL27" s="134">
        <v>1338</v>
      </c>
      <c r="AM27" s="18">
        <v>8</v>
      </c>
      <c r="AN27" s="134">
        <v>526</v>
      </c>
      <c r="AO27" s="18">
        <v>3</v>
      </c>
      <c r="AP27" s="134">
        <v>561</v>
      </c>
      <c r="AQ27" s="134">
        <v>129308</v>
      </c>
      <c r="AR27" s="134">
        <v>2922</v>
      </c>
      <c r="AS27" s="18">
        <v>11</v>
      </c>
      <c r="AT27" s="134">
        <v>1147</v>
      </c>
      <c r="AU27" s="18">
        <v>6</v>
      </c>
      <c r="AV27" s="134">
        <v>5827</v>
      </c>
      <c r="AW27" s="134">
        <v>3</v>
      </c>
      <c r="AX27" s="135">
        <v>124.3</v>
      </c>
      <c r="AY27" s="134">
        <v>37943</v>
      </c>
      <c r="AZ27" s="134">
        <v>19</v>
      </c>
      <c r="BA27" s="135">
        <v>809.4</v>
      </c>
      <c r="BB27" s="28">
        <v>1.02</v>
      </c>
    </row>
    <row r="28" spans="1:54" s="18" customFormat="1">
      <c r="A28" s="18" t="str">
        <f t="shared" si="0"/>
        <v>Bould</v>
      </c>
      <c r="B28" s="18" t="s">
        <v>310</v>
      </c>
      <c r="C28" s="18" t="s">
        <v>295</v>
      </c>
      <c r="D28" s="18" t="s">
        <v>285</v>
      </c>
      <c r="E28" s="134">
        <v>152</v>
      </c>
      <c r="F28" s="134">
        <v>101</v>
      </c>
      <c r="G28" s="134">
        <v>85</v>
      </c>
      <c r="H28" s="134">
        <v>80</v>
      </c>
      <c r="I28" s="134">
        <v>682</v>
      </c>
      <c r="J28" s="134">
        <v>63</v>
      </c>
      <c r="K28" s="134">
        <v>1039</v>
      </c>
      <c r="L28" s="134">
        <v>200</v>
      </c>
      <c r="M28" s="134"/>
      <c r="N28" s="134"/>
      <c r="O28" s="28">
        <v>16.79</v>
      </c>
      <c r="P28" s="28">
        <v>86.81</v>
      </c>
      <c r="Q28" s="28">
        <v>3.27</v>
      </c>
      <c r="R28" s="28">
        <v>3.67</v>
      </c>
      <c r="S28" s="134">
        <v>17</v>
      </c>
      <c r="T28" s="134">
        <v>22</v>
      </c>
      <c r="U28" s="28">
        <v>3</v>
      </c>
      <c r="V28" s="134">
        <v>1193</v>
      </c>
      <c r="W28" s="18">
        <v>100</v>
      </c>
      <c r="X28" s="134">
        <v>12</v>
      </c>
      <c r="Y28" s="18">
        <v>69</v>
      </c>
      <c r="Z28" s="134">
        <v>2237</v>
      </c>
      <c r="AA28" s="18">
        <v>101</v>
      </c>
      <c r="AB28" s="134">
        <v>22</v>
      </c>
      <c r="AC28" s="18">
        <v>86</v>
      </c>
      <c r="AD28" s="28">
        <v>1.18</v>
      </c>
      <c r="AE28" s="18">
        <v>37</v>
      </c>
      <c r="AF28" s="28">
        <v>1.2</v>
      </c>
      <c r="AG28" s="18">
        <v>50</v>
      </c>
      <c r="AH28" s="28">
        <v>3.68</v>
      </c>
      <c r="AI28" s="18">
        <v>20</v>
      </c>
      <c r="AJ28" s="28">
        <v>1.79</v>
      </c>
      <c r="AK28" s="18">
        <v>21</v>
      </c>
      <c r="AL28" s="134">
        <v>24</v>
      </c>
      <c r="AM28" s="18">
        <v>97</v>
      </c>
      <c r="AN28" s="134">
        <v>229</v>
      </c>
      <c r="AO28" s="18">
        <v>75</v>
      </c>
      <c r="AP28" s="134">
        <v>5</v>
      </c>
      <c r="AQ28" s="134">
        <v>825</v>
      </c>
      <c r="AR28" s="134">
        <v>45</v>
      </c>
      <c r="AS28" s="18">
        <v>101</v>
      </c>
      <c r="AT28" s="134">
        <v>436</v>
      </c>
      <c r="AU28" s="18">
        <v>88</v>
      </c>
      <c r="AV28" s="134">
        <v>50</v>
      </c>
      <c r="AW28" s="134">
        <v>1</v>
      </c>
      <c r="AX28" s="135">
        <v>1</v>
      </c>
      <c r="AY28" s="134">
        <v>116</v>
      </c>
      <c r="AZ28" s="134">
        <v>1</v>
      </c>
      <c r="BA28" s="135">
        <v>2.4</v>
      </c>
      <c r="BB28" s="28">
        <v>0.87</v>
      </c>
    </row>
    <row r="29" spans="1:54" s="18" customFormat="1">
      <c r="A29" s="18" t="str">
        <f t="shared" si="0"/>
        <v>Bridg</v>
      </c>
      <c r="B29" s="18" t="s">
        <v>311</v>
      </c>
      <c r="C29" s="18" t="s">
        <v>293</v>
      </c>
      <c r="D29" s="18" t="s">
        <v>285</v>
      </c>
      <c r="E29" s="134">
        <v>938</v>
      </c>
      <c r="F29" s="134">
        <v>50</v>
      </c>
      <c r="G29" s="134">
        <v>524</v>
      </c>
      <c r="H29" s="134">
        <v>491</v>
      </c>
      <c r="I29" s="134">
        <v>10873</v>
      </c>
      <c r="J29" s="134">
        <v>686</v>
      </c>
      <c r="K29" s="134">
        <v>5974</v>
      </c>
      <c r="L29" s="134">
        <v>1354</v>
      </c>
      <c r="M29" s="134">
        <v>39.1</v>
      </c>
      <c r="N29" s="134">
        <v>11.6</v>
      </c>
      <c r="O29" s="28">
        <v>16.79</v>
      </c>
      <c r="P29" s="28">
        <v>86.81</v>
      </c>
      <c r="Q29" s="28">
        <v>3.59</v>
      </c>
      <c r="R29" s="28">
        <v>3.9</v>
      </c>
      <c r="S29" s="134">
        <v>59</v>
      </c>
      <c r="T29" s="134">
        <v>40</v>
      </c>
      <c r="U29" s="28">
        <v>5</v>
      </c>
      <c r="V29" s="134">
        <v>12226</v>
      </c>
      <c r="W29" s="18">
        <v>41</v>
      </c>
      <c r="X29" s="134">
        <v>19</v>
      </c>
      <c r="Y29" s="18">
        <v>24</v>
      </c>
      <c r="Z29" s="134">
        <v>26503</v>
      </c>
      <c r="AA29" s="18">
        <v>41</v>
      </c>
      <c r="AB29" s="134">
        <v>42</v>
      </c>
      <c r="AC29" s="18">
        <v>21</v>
      </c>
      <c r="AD29" s="28">
        <v>1.27</v>
      </c>
      <c r="AE29" s="18">
        <v>8</v>
      </c>
      <c r="AF29" s="28">
        <v>1.27</v>
      </c>
      <c r="AG29" s="18">
        <v>24</v>
      </c>
      <c r="AH29" s="28">
        <v>4.4000000000000004</v>
      </c>
      <c r="AI29" s="18">
        <v>4</v>
      </c>
      <c r="AJ29" s="28">
        <v>2.0499999999999998</v>
      </c>
      <c r="AK29" s="18">
        <v>7</v>
      </c>
      <c r="AL29" s="134">
        <v>246</v>
      </c>
      <c r="AM29" s="18">
        <v>42</v>
      </c>
      <c r="AN29" s="134">
        <v>392</v>
      </c>
      <c r="AO29" s="18">
        <v>25</v>
      </c>
      <c r="AP29" s="134">
        <v>111</v>
      </c>
      <c r="AQ29" s="134">
        <v>11199</v>
      </c>
      <c r="AR29" s="134">
        <v>566</v>
      </c>
      <c r="AS29" s="18">
        <v>42</v>
      </c>
      <c r="AT29" s="134">
        <v>902</v>
      </c>
      <c r="AU29" s="18">
        <v>24</v>
      </c>
      <c r="AV29" s="134">
        <v>1107</v>
      </c>
      <c r="AW29" s="134">
        <v>2</v>
      </c>
      <c r="AX29" s="135">
        <v>23.7</v>
      </c>
      <c r="AY29" s="134">
        <v>382</v>
      </c>
      <c r="AZ29" s="134">
        <v>1</v>
      </c>
      <c r="BA29" s="135">
        <v>8.1999999999999993</v>
      </c>
      <c r="BB29" s="28">
        <v>1.0900000000000001</v>
      </c>
    </row>
    <row r="30" spans="1:54" s="18" customFormat="1">
      <c r="A30" s="18" t="str">
        <f t="shared" si="0"/>
        <v>Brown</v>
      </c>
      <c r="B30" s="18" t="s">
        <v>312</v>
      </c>
      <c r="C30" s="18" t="s">
        <v>295</v>
      </c>
      <c r="D30" s="18" t="s">
        <v>285</v>
      </c>
      <c r="E30" s="134">
        <v>214</v>
      </c>
      <c r="F30" s="134">
        <v>100</v>
      </c>
      <c r="G30" s="134">
        <v>120</v>
      </c>
      <c r="H30" s="134">
        <v>112</v>
      </c>
      <c r="I30" s="134">
        <v>842</v>
      </c>
      <c r="J30" s="134">
        <v>81</v>
      </c>
      <c r="K30" s="134">
        <v>1517</v>
      </c>
      <c r="L30" s="134">
        <v>432</v>
      </c>
      <c r="M30" s="134">
        <v>15.1</v>
      </c>
      <c r="N30" s="134">
        <v>1.8</v>
      </c>
      <c r="O30" s="28">
        <v>16.79</v>
      </c>
      <c r="P30" s="28">
        <v>86.81</v>
      </c>
      <c r="Q30" s="28">
        <v>3.29</v>
      </c>
      <c r="R30" s="28">
        <v>3.56</v>
      </c>
      <c r="S30" s="134">
        <v>17</v>
      </c>
      <c r="T30" s="134">
        <v>24</v>
      </c>
      <c r="U30" s="28">
        <v>1.5</v>
      </c>
      <c r="V30" s="134">
        <v>2292</v>
      </c>
      <c r="W30" s="18">
        <v>91</v>
      </c>
      <c r="X30" s="134">
        <v>15</v>
      </c>
      <c r="Y30" s="18">
        <v>48</v>
      </c>
      <c r="Z30" s="134">
        <v>3697</v>
      </c>
      <c r="AA30" s="18">
        <v>94</v>
      </c>
      <c r="AB30" s="134">
        <v>25</v>
      </c>
      <c r="AC30" s="18">
        <v>75</v>
      </c>
      <c r="AD30" s="28">
        <v>1.18</v>
      </c>
      <c r="AE30" s="18">
        <v>37</v>
      </c>
      <c r="AF30" s="28">
        <v>1.19</v>
      </c>
      <c r="AG30" s="18">
        <v>55</v>
      </c>
      <c r="AH30" s="28">
        <v>1.46</v>
      </c>
      <c r="AI30" s="18">
        <v>99</v>
      </c>
      <c r="AJ30" s="28">
        <v>1.18</v>
      </c>
      <c r="AK30" s="18">
        <v>94</v>
      </c>
      <c r="AL30" s="134">
        <v>46</v>
      </c>
      <c r="AM30" s="18">
        <v>88</v>
      </c>
      <c r="AN30" s="134">
        <v>308</v>
      </c>
      <c r="AO30" s="18">
        <v>46</v>
      </c>
      <c r="AP30" s="134">
        <v>23</v>
      </c>
      <c r="AQ30" s="134">
        <v>2414</v>
      </c>
      <c r="AR30" s="134">
        <v>85</v>
      </c>
      <c r="AS30" s="18">
        <v>95</v>
      </c>
      <c r="AT30" s="134">
        <v>565</v>
      </c>
      <c r="AU30" s="18">
        <v>72</v>
      </c>
      <c r="AV30" s="134">
        <v>69</v>
      </c>
      <c r="AW30" s="134">
        <v>1</v>
      </c>
      <c r="AX30" s="135">
        <v>1.6</v>
      </c>
      <c r="AY30" s="134">
        <v>316</v>
      </c>
      <c r="AZ30" s="134">
        <v>3</v>
      </c>
      <c r="BA30" s="135">
        <v>7.3</v>
      </c>
      <c r="BB30" s="28">
        <v>0.73</v>
      </c>
    </row>
    <row r="31" spans="1:54" s="18" customFormat="1">
      <c r="A31" s="18" t="str">
        <f t="shared" si="0"/>
        <v>Buffa</v>
      </c>
      <c r="B31" s="18" t="s">
        <v>313</v>
      </c>
      <c r="C31" s="18" t="s">
        <v>291</v>
      </c>
      <c r="D31" s="18" t="s">
        <v>285</v>
      </c>
      <c r="E31" s="134">
        <v>1048</v>
      </c>
      <c r="F31" s="134">
        <v>46</v>
      </c>
      <c r="G31" s="134">
        <v>508</v>
      </c>
      <c r="H31" s="134">
        <v>472</v>
      </c>
      <c r="I31" s="134">
        <v>6931</v>
      </c>
      <c r="J31" s="134">
        <v>815</v>
      </c>
      <c r="K31" s="134">
        <v>9604</v>
      </c>
      <c r="L31" s="134">
        <v>2380</v>
      </c>
      <c r="M31" s="134">
        <v>101.8</v>
      </c>
      <c r="N31" s="134">
        <v>30.5</v>
      </c>
      <c r="O31" s="28">
        <v>16.79</v>
      </c>
      <c r="P31" s="28">
        <v>86.81</v>
      </c>
      <c r="Q31" s="28">
        <v>3.65</v>
      </c>
      <c r="R31" s="28">
        <v>3.99</v>
      </c>
      <c r="S31" s="134">
        <v>20</v>
      </c>
      <c r="T31" s="134">
        <v>21</v>
      </c>
      <c r="U31" s="28">
        <v>4</v>
      </c>
      <c r="V31" s="134">
        <v>11611</v>
      </c>
      <c r="W31" s="18">
        <v>46</v>
      </c>
      <c r="X31" s="134">
        <v>18</v>
      </c>
      <c r="Y31" s="18">
        <v>30</v>
      </c>
      <c r="Z31" s="134">
        <v>21545</v>
      </c>
      <c r="AA31" s="18">
        <v>48</v>
      </c>
      <c r="AB31" s="134">
        <v>33</v>
      </c>
      <c r="AC31" s="18">
        <v>45</v>
      </c>
      <c r="AD31" s="28">
        <v>1.17</v>
      </c>
      <c r="AE31" s="18">
        <v>47</v>
      </c>
      <c r="AF31" s="28">
        <v>1.19</v>
      </c>
      <c r="AG31" s="18">
        <v>55</v>
      </c>
      <c r="AH31" s="28">
        <v>2.79</v>
      </c>
      <c r="AI31" s="18">
        <v>52</v>
      </c>
      <c r="AJ31" s="28">
        <v>1.48</v>
      </c>
      <c r="AK31" s="18">
        <v>52</v>
      </c>
      <c r="AL31" s="134">
        <v>234</v>
      </c>
      <c r="AM31" s="18">
        <v>46</v>
      </c>
      <c r="AN31" s="134">
        <v>357</v>
      </c>
      <c r="AO31" s="18">
        <v>35</v>
      </c>
      <c r="AP31" s="134">
        <v>102</v>
      </c>
      <c r="AQ31" s="134">
        <v>48933</v>
      </c>
      <c r="AR31" s="134">
        <v>474</v>
      </c>
      <c r="AS31" s="18">
        <v>47</v>
      </c>
      <c r="AT31" s="134">
        <v>718</v>
      </c>
      <c r="AU31" s="18">
        <v>43</v>
      </c>
      <c r="AV31" s="134">
        <v>539</v>
      </c>
      <c r="AW31" s="134">
        <v>1</v>
      </c>
      <c r="AX31" s="135">
        <v>11.9</v>
      </c>
      <c r="AY31" s="134">
        <v>1513</v>
      </c>
      <c r="AZ31" s="134">
        <v>3</v>
      </c>
      <c r="BA31" s="135">
        <v>33.299999999999997</v>
      </c>
      <c r="BB31" s="28">
        <v>0.67</v>
      </c>
    </row>
    <row r="32" spans="1:54" s="18" customFormat="1">
      <c r="A32" s="18" t="str">
        <f t="shared" si="0"/>
        <v xml:space="preserve">Cape </v>
      </c>
      <c r="B32" s="18" t="s">
        <v>314</v>
      </c>
      <c r="C32" s="18" t="s">
        <v>295</v>
      </c>
      <c r="D32" s="18" t="s">
        <v>285</v>
      </c>
      <c r="E32" s="134">
        <v>473</v>
      </c>
      <c r="F32" s="134">
        <v>83</v>
      </c>
      <c r="G32" s="134">
        <v>265</v>
      </c>
      <c r="H32" s="134">
        <v>249</v>
      </c>
      <c r="I32" s="134">
        <v>1793</v>
      </c>
      <c r="J32" s="134">
        <v>154</v>
      </c>
      <c r="K32" s="134">
        <v>5879</v>
      </c>
      <c r="L32" s="134">
        <v>911</v>
      </c>
      <c r="M32" s="134">
        <v>19.100000000000001</v>
      </c>
      <c r="N32" s="134">
        <v>3.5</v>
      </c>
      <c r="O32" s="28">
        <v>16.79</v>
      </c>
      <c r="P32" s="28">
        <v>86.81</v>
      </c>
      <c r="Q32" s="28">
        <v>3.24</v>
      </c>
      <c r="R32" s="28">
        <v>3.65</v>
      </c>
      <c r="S32" s="134">
        <v>43</v>
      </c>
      <c r="T32" s="134">
        <v>40</v>
      </c>
      <c r="U32" s="28">
        <v>2.25</v>
      </c>
      <c r="V32" s="134">
        <v>5118</v>
      </c>
      <c r="W32" s="18">
        <v>68</v>
      </c>
      <c r="X32" s="134">
        <v>15</v>
      </c>
      <c r="Y32" s="18">
        <v>48</v>
      </c>
      <c r="Z32" s="134">
        <v>9964</v>
      </c>
      <c r="AA32" s="18">
        <v>74</v>
      </c>
      <c r="AB32" s="134">
        <v>30</v>
      </c>
      <c r="AC32" s="18">
        <v>53</v>
      </c>
      <c r="AD32" s="28">
        <v>1.1499999999999999</v>
      </c>
      <c r="AE32" s="18">
        <v>57</v>
      </c>
      <c r="AF32" s="28">
        <v>1.2</v>
      </c>
      <c r="AG32" s="18">
        <v>50</v>
      </c>
      <c r="AH32" s="28">
        <v>1.86</v>
      </c>
      <c r="AI32" s="18">
        <v>91</v>
      </c>
      <c r="AJ32" s="28">
        <v>1.1299999999999999</v>
      </c>
      <c r="AK32" s="18">
        <v>98</v>
      </c>
      <c r="AL32" s="134">
        <v>103</v>
      </c>
      <c r="AM32" s="18">
        <v>67</v>
      </c>
      <c r="AN32" s="134">
        <v>302</v>
      </c>
      <c r="AO32" s="18">
        <v>49</v>
      </c>
      <c r="AP32" s="134">
        <v>53</v>
      </c>
      <c r="AQ32" s="134">
        <v>6033</v>
      </c>
      <c r="AR32" s="134">
        <v>220</v>
      </c>
      <c r="AS32" s="18">
        <v>71</v>
      </c>
      <c r="AT32" s="134">
        <v>645</v>
      </c>
      <c r="AU32" s="18">
        <v>56</v>
      </c>
      <c r="AV32" s="134">
        <v>501</v>
      </c>
      <c r="AW32" s="134">
        <v>2</v>
      </c>
      <c r="AX32" s="135">
        <v>11.1</v>
      </c>
      <c r="AY32" s="134">
        <v>173</v>
      </c>
      <c r="AZ32" s="134">
        <v>1</v>
      </c>
      <c r="BA32" s="135">
        <v>3.8</v>
      </c>
      <c r="BB32" s="28">
        <v>1.08</v>
      </c>
    </row>
    <row r="33" spans="1:54" s="18" customFormat="1">
      <c r="A33" s="18" t="str">
        <f t="shared" si="0"/>
        <v>Charl</v>
      </c>
      <c r="B33" s="18" t="s">
        <v>315</v>
      </c>
      <c r="C33" s="18" t="s">
        <v>293</v>
      </c>
      <c r="D33" s="18" t="s">
        <v>285</v>
      </c>
      <c r="E33" s="134">
        <v>535</v>
      </c>
      <c r="F33" s="134">
        <v>77</v>
      </c>
      <c r="G33" s="134">
        <v>299</v>
      </c>
      <c r="H33" s="134">
        <v>280</v>
      </c>
      <c r="I33" s="134">
        <v>3754</v>
      </c>
      <c r="J33" s="134">
        <v>268</v>
      </c>
      <c r="K33" s="134">
        <v>6021</v>
      </c>
      <c r="L33" s="134">
        <v>858</v>
      </c>
      <c r="M33" s="134">
        <v>17.2</v>
      </c>
      <c r="N33" s="134">
        <v>4.5</v>
      </c>
      <c r="O33" s="28">
        <v>16.79</v>
      </c>
      <c r="P33" s="28">
        <v>86.81</v>
      </c>
      <c r="Q33" s="28">
        <v>3.14</v>
      </c>
      <c r="R33" s="28">
        <v>3.53</v>
      </c>
      <c r="S33" s="134">
        <v>52</v>
      </c>
      <c r="T33" s="134">
        <v>51</v>
      </c>
      <c r="U33" s="28">
        <v>4.25</v>
      </c>
      <c r="V33" s="134">
        <v>5108</v>
      </c>
      <c r="W33" s="18">
        <v>70</v>
      </c>
      <c r="X33" s="134">
        <v>14</v>
      </c>
      <c r="Y33" s="18">
        <v>57</v>
      </c>
      <c r="Z33" s="134">
        <v>10885</v>
      </c>
      <c r="AA33" s="18">
        <v>68</v>
      </c>
      <c r="AB33" s="134">
        <v>30</v>
      </c>
      <c r="AC33" s="18">
        <v>53</v>
      </c>
      <c r="AD33" s="28">
        <v>1.1499999999999999</v>
      </c>
      <c r="AE33" s="18">
        <v>57</v>
      </c>
      <c r="AF33" s="28">
        <v>1.18</v>
      </c>
      <c r="AG33" s="18">
        <v>61</v>
      </c>
      <c r="AH33" s="28">
        <v>3.24</v>
      </c>
      <c r="AI33" s="18">
        <v>29</v>
      </c>
      <c r="AJ33" s="28">
        <v>1.56</v>
      </c>
      <c r="AK33" s="18">
        <v>41</v>
      </c>
      <c r="AL33" s="134">
        <v>103</v>
      </c>
      <c r="AM33" s="18">
        <v>67</v>
      </c>
      <c r="AN33" s="134">
        <v>280</v>
      </c>
      <c r="AO33" s="18">
        <v>55</v>
      </c>
      <c r="AP33" s="134">
        <v>58</v>
      </c>
      <c r="AQ33" s="134">
        <v>10677</v>
      </c>
      <c r="AR33" s="134">
        <v>240</v>
      </c>
      <c r="AS33" s="18">
        <v>68</v>
      </c>
      <c r="AT33" s="134">
        <v>647</v>
      </c>
      <c r="AU33" s="18">
        <v>55</v>
      </c>
      <c r="AV33" s="134">
        <v>354</v>
      </c>
      <c r="AW33" s="134">
        <v>1</v>
      </c>
      <c r="AX33" s="135">
        <v>7.8</v>
      </c>
      <c r="AY33" s="134">
        <v>126</v>
      </c>
      <c r="AZ33" s="134">
        <v>0</v>
      </c>
      <c r="BA33" s="135">
        <v>2.8</v>
      </c>
      <c r="BB33" s="28">
        <v>1.1499999999999999</v>
      </c>
    </row>
    <row r="34" spans="1:54" s="18" customFormat="1">
      <c r="A34" s="18" t="str">
        <f t="shared" si="0"/>
        <v>Charl</v>
      </c>
      <c r="B34" s="18" t="s">
        <v>316</v>
      </c>
      <c r="C34" s="18" t="s">
        <v>291</v>
      </c>
      <c r="D34" s="18" t="s">
        <v>285</v>
      </c>
      <c r="E34" s="134">
        <v>1070</v>
      </c>
      <c r="F34" s="134">
        <v>43</v>
      </c>
      <c r="G34" s="134">
        <v>610</v>
      </c>
      <c r="H34" s="134">
        <v>567</v>
      </c>
      <c r="I34" s="134">
        <v>12797</v>
      </c>
      <c r="J34" s="134">
        <v>978</v>
      </c>
      <c r="K34" s="134">
        <v>10066</v>
      </c>
      <c r="L34" s="134">
        <v>1686</v>
      </c>
      <c r="M34" s="134">
        <v>139.30000000000001</v>
      </c>
      <c r="N34" s="134">
        <v>26.9</v>
      </c>
      <c r="O34" s="28">
        <v>16.79</v>
      </c>
      <c r="P34" s="28">
        <v>86.81</v>
      </c>
      <c r="Q34" s="28">
        <v>3.32</v>
      </c>
      <c r="R34" s="28">
        <v>3.64</v>
      </c>
      <c r="S34" s="134">
        <v>59</v>
      </c>
      <c r="T34" s="134">
        <v>51</v>
      </c>
      <c r="U34" s="28">
        <v>4</v>
      </c>
      <c r="V34" s="134">
        <v>14599</v>
      </c>
      <c r="W34" s="18">
        <v>37</v>
      </c>
      <c r="X34" s="134">
        <v>20</v>
      </c>
      <c r="Y34" s="18">
        <v>19</v>
      </c>
      <c r="Z34" s="134">
        <v>28974</v>
      </c>
      <c r="AA34" s="18">
        <v>38</v>
      </c>
      <c r="AB34" s="134">
        <v>40</v>
      </c>
      <c r="AC34" s="18">
        <v>25</v>
      </c>
      <c r="AD34" s="28">
        <v>1.2</v>
      </c>
      <c r="AE34" s="18">
        <v>27</v>
      </c>
      <c r="AF34" s="28">
        <v>1.26</v>
      </c>
      <c r="AG34" s="18">
        <v>28</v>
      </c>
      <c r="AH34" s="28">
        <v>3.2</v>
      </c>
      <c r="AI34" s="18">
        <v>31</v>
      </c>
      <c r="AJ34" s="28">
        <v>1.61</v>
      </c>
      <c r="AK34" s="18">
        <v>39</v>
      </c>
      <c r="AL34" s="134">
        <v>296</v>
      </c>
      <c r="AM34" s="18">
        <v>36</v>
      </c>
      <c r="AN34" s="134">
        <v>412</v>
      </c>
      <c r="AO34" s="18">
        <v>19</v>
      </c>
      <c r="AP34" s="134">
        <v>168</v>
      </c>
      <c r="AQ34" s="134">
        <v>69136</v>
      </c>
      <c r="AR34" s="134">
        <v>653</v>
      </c>
      <c r="AS34" s="18">
        <v>37</v>
      </c>
      <c r="AT34" s="134">
        <v>898</v>
      </c>
      <c r="AU34" s="18">
        <v>25</v>
      </c>
      <c r="AV34" s="134">
        <v>1313</v>
      </c>
      <c r="AW34" s="134">
        <v>2</v>
      </c>
      <c r="AX34" s="135">
        <v>29.6</v>
      </c>
      <c r="AY34" s="134">
        <v>1087</v>
      </c>
      <c r="AZ34" s="134">
        <v>2</v>
      </c>
      <c r="BA34" s="135">
        <v>24.5</v>
      </c>
      <c r="BB34" s="28">
        <v>0.99</v>
      </c>
    </row>
    <row r="35" spans="1:54" s="18" customFormat="1">
      <c r="A35" s="18" t="str">
        <f t="shared" si="0"/>
        <v>Chica</v>
      </c>
      <c r="B35" s="18" t="s">
        <v>317</v>
      </c>
      <c r="C35" s="18" t="s">
        <v>289</v>
      </c>
      <c r="D35" s="18" t="s">
        <v>285</v>
      </c>
      <c r="E35" s="134">
        <v>8605</v>
      </c>
      <c r="F35" s="134">
        <v>3</v>
      </c>
      <c r="G35" s="134">
        <v>4707</v>
      </c>
      <c r="H35" s="134">
        <v>3959</v>
      </c>
      <c r="I35" s="134">
        <v>62791</v>
      </c>
      <c r="J35" s="134">
        <v>3500</v>
      </c>
      <c r="K35" s="134">
        <v>51500</v>
      </c>
      <c r="L35" s="134">
        <v>13959</v>
      </c>
      <c r="M35" s="134">
        <v>4098.8999999999996</v>
      </c>
      <c r="N35" s="134">
        <v>646.6</v>
      </c>
      <c r="O35" s="28">
        <v>16.79</v>
      </c>
      <c r="P35" s="28">
        <v>86.81</v>
      </c>
      <c r="Q35" s="28">
        <v>3.51</v>
      </c>
      <c r="R35" s="28">
        <v>3.74</v>
      </c>
      <c r="S35" s="134">
        <v>88</v>
      </c>
      <c r="T35" s="134">
        <v>70</v>
      </c>
      <c r="U35" s="28">
        <v>5.25</v>
      </c>
      <c r="V35" s="134">
        <v>127016</v>
      </c>
      <c r="W35" s="18">
        <v>3</v>
      </c>
      <c r="X35" s="134">
        <v>24</v>
      </c>
      <c r="Y35" s="18">
        <v>8</v>
      </c>
      <c r="Z35" s="134">
        <v>271718</v>
      </c>
      <c r="AA35" s="18">
        <v>3</v>
      </c>
      <c r="AB35" s="134">
        <v>51</v>
      </c>
      <c r="AC35" s="18">
        <v>7</v>
      </c>
      <c r="AD35" s="28">
        <v>1.25</v>
      </c>
      <c r="AE35" s="18">
        <v>14</v>
      </c>
      <c r="AF35" s="28">
        <v>1.31</v>
      </c>
      <c r="AG35" s="18">
        <v>16</v>
      </c>
      <c r="AH35" s="28">
        <v>3.95</v>
      </c>
      <c r="AI35" s="18">
        <v>13</v>
      </c>
      <c r="AJ35" s="28">
        <v>2.02</v>
      </c>
      <c r="AK35" s="18">
        <v>8</v>
      </c>
      <c r="AL35" s="134">
        <v>2320</v>
      </c>
      <c r="AM35" s="18">
        <v>3</v>
      </c>
      <c r="AN35" s="134">
        <v>434</v>
      </c>
      <c r="AO35" s="18">
        <v>16</v>
      </c>
      <c r="AP35" s="134">
        <v>1716</v>
      </c>
      <c r="AQ35" s="134">
        <v>362328</v>
      </c>
      <c r="AR35" s="134">
        <v>6214</v>
      </c>
      <c r="AS35" s="18">
        <v>3</v>
      </c>
      <c r="AT35" s="134">
        <v>1153</v>
      </c>
      <c r="AU35" s="18">
        <v>5</v>
      </c>
      <c r="AV35" s="134">
        <v>11710</v>
      </c>
      <c r="AW35" s="134">
        <v>3</v>
      </c>
      <c r="AX35" s="135">
        <v>267.8</v>
      </c>
      <c r="AY35" s="134">
        <v>67432</v>
      </c>
      <c r="AZ35" s="134">
        <v>17</v>
      </c>
      <c r="BA35" s="135">
        <v>1542.1</v>
      </c>
      <c r="BB35" s="28">
        <v>1.1599999999999999</v>
      </c>
    </row>
    <row r="36" spans="1:54" s="18" customFormat="1">
      <c r="A36" s="18" t="str">
        <f t="shared" si="0"/>
        <v>Cinci</v>
      </c>
      <c r="B36" s="18" t="s">
        <v>318</v>
      </c>
      <c r="C36" s="18" t="s">
        <v>291</v>
      </c>
      <c r="D36" s="18" t="s">
        <v>285</v>
      </c>
      <c r="E36" s="134">
        <v>1717</v>
      </c>
      <c r="F36" s="134">
        <v>27</v>
      </c>
      <c r="G36" s="134">
        <v>986</v>
      </c>
      <c r="H36" s="134">
        <v>887</v>
      </c>
      <c r="I36" s="134">
        <v>19370</v>
      </c>
      <c r="J36" s="134">
        <v>1358</v>
      </c>
      <c r="K36" s="134">
        <v>13323</v>
      </c>
      <c r="L36" s="134">
        <v>2890</v>
      </c>
      <c r="M36" s="134">
        <v>112</v>
      </c>
      <c r="N36" s="134">
        <v>20.7</v>
      </c>
      <c r="O36" s="28">
        <v>16.79</v>
      </c>
      <c r="P36" s="28">
        <v>86.81</v>
      </c>
      <c r="Q36" s="28">
        <v>3.25</v>
      </c>
      <c r="R36" s="28">
        <v>3.69</v>
      </c>
      <c r="S36" s="134">
        <v>47</v>
      </c>
      <c r="T36" s="134">
        <v>35</v>
      </c>
      <c r="U36" s="28">
        <v>4</v>
      </c>
      <c r="V36" s="134">
        <v>20783</v>
      </c>
      <c r="W36" s="18">
        <v>27</v>
      </c>
      <c r="X36" s="134">
        <v>18</v>
      </c>
      <c r="Y36" s="18">
        <v>30</v>
      </c>
      <c r="Z36" s="134">
        <v>42785</v>
      </c>
      <c r="AA36" s="18">
        <v>29</v>
      </c>
      <c r="AB36" s="134">
        <v>37</v>
      </c>
      <c r="AC36" s="18">
        <v>37</v>
      </c>
      <c r="AD36" s="28">
        <v>1.2</v>
      </c>
      <c r="AE36" s="18">
        <v>27</v>
      </c>
      <c r="AF36" s="28">
        <v>1.23</v>
      </c>
      <c r="AG36" s="18">
        <v>32</v>
      </c>
      <c r="AH36" s="28">
        <v>3.2</v>
      </c>
      <c r="AI36" s="18">
        <v>31</v>
      </c>
      <c r="AJ36" s="28">
        <v>1.65</v>
      </c>
      <c r="AK36" s="18">
        <v>33</v>
      </c>
      <c r="AL36" s="134">
        <v>421</v>
      </c>
      <c r="AM36" s="18">
        <v>26</v>
      </c>
      <c r="AN36" s="134">
        <v>364</v>
      </c>
      <c r="AO36" s="18">
        <v>33</v>
      </c>
      <c r="AP36" s="134">
        <v>230</v>
      </c>
      <c r="AQ36" s="134">
        <v>65182</v>
      </c>
      <c r="AR36" s="134">
        <v>947</v>
      </c>
      <c r="AS36" s="18">
        <v>27</v>
      </c>
      <c r="AT36" s="134">
        <v>814</v>
      </c>
      <c r="AU36" s="18">
        <v>33</v>
      </c>
      <c r="AV36" s="134">
        <v>1313</v>
      </c>
      <c r="AW36" s="134">
        <v>1</v>
      </c>
      <c r="AX36" s="135">
        <v>29.1</v>
      </c>
      <c r="AY36" s="134">
        <v>2305</v>
      </c>
      <c r="AZ36" s="134">
        <v>3</v>
      </c>
      <c r="BA36" s="135">
        <v>51</v>
      </c>
      <c r="BB36" s="28">
        <v>1</v>
      </c>
    </row>
    <row r="37" spans="1:54" s="18" customFormat="1">
      <c r="A37" s="18" t="str">
        <f t="shared" si="0"/>
        <v>Cleve</v>
      </c>
      <c r="B37" s="18" t="s">
        <v>319</v>
      </c>
      <c r="C37" s="18" t="s">
        <v>291</v>
      </c>
      <c r="D37" s="18" t="s">
        <v>285</v>
      </c>
      <c r="E37" s="134">
        <v>1700</v>
      </c>
      <c r="F37" s="134">
        <v>28</v>
      </c>
      <c r="G37" s="134">
        <v>955</v>
      </c>
      <c r="H37" s="134">
        <v>857</v>
      </c>
      <c r="I37" s="134">
        <v>18569</v>
      </c>
      <c r="J37" s="134">
        <v>1580</v>
      </c>
      <c r="K37" s="134">
        <v>12222</v>
      </c>
      <c r="L37" s="134">
        <v>3111</v>
      </c>
      <c r="M37" s="134">
        <v>195.2</v>
      </c>
      <c r="N37" s="134">
        <v>47</v>
      </c>
      <c r="O37" s="28">
        <v>16.79</v>
      </c>
      <c r="P37" s="28">
        <v>86.81</v>
      </c>
      <c r="Q37" s="28">
        <v>3.25</v>
      </c>
      <c r="R37" s="28">
        <v>3.69</v>
      </c>
      <c r="S37" s="134">
        <v>21</v>
      </c>
      <c r="T37" s="134">
        <v>21</v>
      </c>
      <c r="U37" s="28">
        <v>4</v>
      </c>
      <c r="V37" s="134">
        <v>17481</v>
      </c>
      <c r="W37" s="18">
        <v>31</v>
      </c>
      <c r="X37" s="134">
        <v>15</v>
      </c>
      <c r="Y37" s="18">
        <v>48</v>
      </c>
      <c r="Z37" s="134">
        <v>34980</v>
      </c>
      <c r="AA37" s="18">
        <v>36</v>
      </c>
      <c r="AB37" s="134">
        <v>31</v>
      </c>
      <c r="AC37" s="18">
        <v>50</v>
      </c>
      <c r="AD37" s="28">
        <v>1.1599999999999999</v>
      </c>
      <c r="AE37" s="18">
        <v>51</v>
      </c>
      <c r="AF37" s="28">
        <v>1.2</v>
      </c>
      <c r="AG37" s="18">
        <v>50</v>
      </c>
      <c r="AH37" s="28">
        <v>2.4900000000000002</v>
      </c>
      <c r="AI37" s="18">
        <v>63</v>
      </c>
      <c r="AJ37" s="28">
        <v>1.48</v>
      </c>
      <c r="AK37" s="18">
        <v>52</v>
      </c>
      <c r="AL37" s="134">
        <v>350</v>
      </c>
      <c r="AM37" s="18">
        <v>29</v>
      </c>
      <c r="AN37" s="134">
        <v>308</v>
      </c>
      <c r="AO37" s="18">
        <v>46</v>
      </c>
      <c r="AP37" s="134">
        <v>130</v>
      </c>
      <c r="AQ37" s="134">
        <v>68720</v>
      </c>
      <c r="AR37" s="134">
        <v>736</v>
      </c>
      <c r="AS37" s="18">
        <v>36</v>
      </c>
      <c r="AT37" s="134">
        <v>642</v>
      </c>
      <c r="AU37" s="18">
        <v>57</v>
      </c>
      <c r="AV37" s="134">
        <v>1193</v>
      </c>
      <c r="AW37" s="134">
        <v>1</v>
      </c>
      <c r="AX37" s="135">
        <v>25.1</v>
      </c>
      <c r="AY37" s="134">
        <v>3432</v>
      </c>
      <c r="AZ37" s="134">
        <v>4</v>
      </c>
      <c r="BA37" s="135">
        <v>72.3</v>
      </c>
      <c r="BB37" s="28">
        <v>0.83</v>
      </c>
    </row>
    <row r="38" spans="1:54" s="18" customFormat="1">
      <c r="A38" s="18" t="str">
        <f t="shared" si="0"/>
        <v>Color</v>
      </c>
      <c r="B38" s="18" t="s">
        <v>320</v>
      </c>
      <c r="C38" s="18" t="s">
        <v>293</v>
      </c>
      <c r="D38" s="18" t="s">
        <v>285</v>
      </c>
      <c r="E38" s="134">
        <v>557</v>
      </c>
      <c r="F38" s="134">
        <v>74</v>
      </c>
      <c r="G38" s="134">
        <v>311</v>
      </c>
      <c r="H38" s="134">
        <v>292</v>
      </c>
      <c r="I38" s="134">
        <v>4624</v>
      </c>
      <c r="J38" s="134">
        <v>407</v>
      </c>
      <c r="K38" s="134">
        <v>5129</v>
      </c>
      <c r="L38" s="134">
        <v>1335</v>
      </c>
      <c r="M38" s="134">
        <v>21.1</v>
      </c>
      <c r="N38" s="134">
        <v>3</v>
      </c>
      <c r="O38" s="28">
        <v>16.79</v>
      </c>
      <c r="P38" s="28">
        <v>86.81</v>
      </c>
      <c r="Q38" s="28">
        <v>3.27</v>
      </c>
      <c r="R38" s="28">
        <v>3.67</v>
      </c>
      <c r="S38" s="134">
        <v>32</v>
      </c>
      <c r="T38" s="134">
        <v>28</v>
      </c>
      <c r="U38" s="28">
        <v>3</v>
      </c>
      <c r="V38" s="134">
        <v>4128</v>
      </c>
      <c r="W38" s="18">
        <v>78</v>
      </c>
      <c r="X38" s="134">
        <v>11</v>
      </c>
      <c r="Y38" s="18">
        <v>80</v>
      </c>
      <c r="Z38" s="134">
        <v>9941</v>
      </c>
      <c r="AA38" s="18">
        <v>75</v>
      </c>
      <c r="AB38" s="134">
        <v>26</v>
      </c>
      <c r="AC38" s="18">
        <v>71</v>
      </c>
      <c r="AD38" s="28">
        <v>1.1299999999999999</v>
      </c>
      <c r="AE38" s="18">
        <v>68</v>
      </c>
      <c r="AF38" s="28">
        <v>1.1599999999999999</v>
      </c>
      <c r="AG38" s="18">
        <v>69</v>
      </c>
      <c r="AH38" s="28">
        <v>3.06</v>
      </c>
      <c r="AI38" s="18">
        <v>39</v>
      </c>
      <c r="AJ38" s="28">
        <v>1.47</v>
      </c>
      <c r="AK38" s="18">
        <v>55</v>
      </c>
      <c r="AL38" s="134">
        <v>83</v>
      </c>
      <c r="AM38" s="18">
        <v>76</v>
      </c>
      <c r="AN38" s="134">
        <v>214</v>
      </c>
      <c r="AO38" s="18">
        <v>81</v>
      </c>
      <c r="AP38" s="134">
        <v>36</v>
      </c>
      <c r="AQ38" s="134">
        <v>6588</v>
      </c>
      <c r="AR38" s="134">
        <v>205</v>
      </c>
      <c r="AS38" s="18">
        <v>77</v>
      </c>
      <c r="AT38" s="134">
        <v>530</v>
      </c>
      <c r="AU38" s="18">
        <v>78</v>
      </c>
      <c r="AV38" s="134">
        <v>343</v>
      </c>
      <c r="AW38" s="134">
        <v>1</v>
      </c>
      <c r="AX38" s="135">
        <v>7.1</v>
      </c>
      <c r="AY38" s="134">
        <v>325</v>
      </c>
      <c r="AZ38" s="134">
        <v>1</v>
      </c>
      <c r="BA38" s="135">
        <v>6.7</v>
      </c>
      <c r="BB38" s="28">
        <v>0.8</v>
      </c>
    </row>
    <row r="39" spans="1:54" s="18" customFormat="1">
      <c r="A39" s="18" t="str">
        <f t="shared" si="0"/>
        <v>Colum</v>
      </c>
      <c r="B39" s="18" t="s">
        <v>321</v>
      </c>
      <c r="C39" s="18" t="s">
        <v>295</v>
      </c>
      <c r="D39" s="18" t="s">
        <v>285</v>
      </c>
      <c r="E39" s="134">
        <v>490</v>
      </c>
      <c r="F39" s="134">
        <v>81</v>
      </c>
      <c r="G39" s="134">
        <v>275</v>
      </c>
      <c r="H39" s="134">
        <v>258</v>
      </c>
      <c r="I39" s="134">
        <v>6106</v>
      </c>
      <c r="J39" s="134">
        <v>495</v>
      </c>
      <c r="K39" s="134">
        <v>5174</v>
      </c>
      <c r="L39" s="134">
        <v>1054</v>
      </c>
      <c r="M39" s="134">
        <v>9.6</v>
      </c>
      <c r="N39" s="134">
        <v>1.8</v>
      </c>
      <c r="O39" s="28">
        <v>16.79</v>
      </c>
      <c r="P39" s="28">
        <v>86.81</v>
      </c>
      <c r="Q39" s="28">
        <v>3.14</v>
      </c>
      <c r="R39" s="28">
        <v>3.53</v>
      </c>
      <c r="S39" s="134">
        <v>34</v>
      </c>
      <c r="T39" s="134">
        <v>40</v>
      </c>
      <c r="U39" s="28">
        <v>1.5</v>
      </c>
      <c r="V39" s="134">
        <v>4850</v>
      </c>
      <c r="W39" s="18">
        <v>73</v>
      </c>
      <c r="X39" s="134">
        <v>14</v>
      </c>
      <c r="Y39" s="18">
        <v>57</v>
      </c>
      <c r="Z39" s="134">
        <v>10081</v>
      </c>
      <c r="AA39" s="18">
        <v>72</v>
      </c>
      <c r="AB39" s="134">
        <v>30</v>
      </c>
      <c r="AC39" s="18">
        <v>53</v>
      </c>
      <c r="AD39" s="28">
        <v>1.1100000000000001</v>
      </c>
      <c r="AE39" s="18">
        <v>79</v>
      </c>
      <c r="AF39" s="28">
        <v>1.1399999999999999</v>
      </c>
      <c r="AG39" s="18">
        <v>78</v>
      </c>
      <c r="AH39" s="28">
        <v>1.95</v>
      </c>
      <c r="AI39" s="18">
        <v>88</v>
      </c>
      <c r="AJ39" s="28">
        <v>1.21</v>
      </c>
      <c r="AK39" s="18">
        <v>91</v>
      </c>
      <c r="AL39" s="134">
        <v>98</v>
      </c>
      <c r="AM39" s="18">
        <v>71</v>
      </c>
      <c r="AN39" s="134">
        <v>291</v>
      </c>
      <c r="AO39" s="18">
        <v>53</v>
      </c>
      <c r="AP39" s="134">
        <v>58</v>
      </c>
      <c r="AQ39" s="134">
        <v>12552</v>
      </c>
      <c r="AR39" s="134">
        <v>225</v>
      </c>
      <c r="AS39" s="18">
        <v>69</v>
      </c>
      <c r="AT39" s="134">
        <v>663</v>
      </c>
      <c r="AU39" s="18">
        <v>52</v>
      </c>
      <c r="AV39" s="134">
        <v>184</v>
      </c>
      <c r="AW39" s="134">
        <v>1</v>
      </c>
      <c r="AX39" s="135">
        <v>4.0999999999999996</v>
      </c>
      <c r="AY39" s="134">
        <v>301</v>
      </c>
      <c r="AZ39" s="134">
        <v>1</v>
      </c>
      <c r="BA39" s="135">
        <v>6.7</v>
      </c>
      <c r="BB39" s="28">
        <v>0.9</v>
      </c>
    </row>
    <row r="40" spans="1:54" s="18" customFormat="1">
      <c r="A40" s="18" t="str">
        <f t="shared" si="0"/>
        <v>Colum</v>
      </c>
      <c r="B40" s="18" t="s">
        <v>322</v>
      </c>
      <c r="C40" s="18" t="s">
        <v>291</v>
      </c>
      <c r="D40" s="18" t="s">
        <v>285</v>
      </c>
      <c r="E40" s="134">
        <v>1289</v>
      </c>
      <c r="F40" s="134">
        <v>36</v>
      </c>
      <c r="G40" s="134">
        <v>735</v>
      </c>
      <c r="H40" s="134">
        <v>683</v>
      </c>
      <c r="I40" s="134">
        <v>16466</v>
      </c>
      <c r="J40" s="134">
        <v>1104</v>
      </c>
      <c r="K40" s="134">
        <v>10872</v>
      </c>
      <c r="L40" s="134">
        <v>2170</v>
      </c>
      <c r="M40" s="134">
        <v>72.3</v>
      </c>
      <c r="N40" s="134">
        <v>19</v>
      </c>
      <c r="O40" s="28">
        <v>16.79</v>
      </c>
      <c r="P40" s="28">
        <v>86.81</v>
      </c>
      <c r="Q40" s="28">
        <v>3.25</v>
      </c>
      <c r="R40" s="28">
        <v>3.69</v>
      </c>
      <c r="S40" s="134">
        <v>49</v>
      </c>
      <c r="T40" s="134">
        <v>36</v>
      </c>
      <c r="U40" s="28">
        <v>4</v>
      </c>
      <c r="V40" s="134">
        <v>15494</v>
      </c>
      <c r="W40" s="18">
        <v>36</v>
      </c>
      <c r="X40" s="134">
        <v>18</v>
      </c>
      <c r="Y40" s="18">
        <v>30</v>
      </c>
      <c r="Z40" s="134">
        <v>35689</v>
      </c>
      <c r="AA40" s="18">
        <v>34</v>
      </c>
      <c r="AB40" s="134">
        <v>40</v>
      </c>
      <c r="AC40" s="18">
        <v>25</v>
      </c>
      <c r="AD40" s="28">
        <v>1.18</v>
      </c>
      <c r="AE40" s="18">
        <v>37</v>
      </c>
      <c r="AF40" s="28">
        <v>1.22</v>
      </c>
      <c r="AG40" s="18">
        <v>37</v>
      </c>
      <c r="AH40" s="28">
        <v>2.86</v>
      </c>
      <c r="AI40" s="18">
        <v>50</v>
      </c>
      <c r="AJ40" s="28">
        <v>1.51</v>
      </c>
      <c r="AK40" s="18">
        <v>50</v>
      </c>
      <c r="AL40" s="134">
        <v>311</v>
      </c>
      <c r="AM40" s="18">
        <v>34</v>
      </c>
      <c r="AN40" s="134">
        <v>353</v>
      </c>
      <c r="AO40" s="18">
        <v>39</v>
      </c>
      <c r="AP40" s="134">
        <v>145</v>
      </c>
      <c r="AQ40" s="134">
        <v>70584</v>
      </c>
      <c r="AR40" s="134">
        <v>753</v>
      </c>
      <c r="AS40" s="18">
        <v>35</v>
      </c>
      <c r="AT40" s="134">
        <v>847</v>
      </c>
      <c r="AU40" s="18">
        <v>29</v>
      </c>
      <c r="AV40" s="134">
        <v>1150</v>
      </c>
      <c r="AW40" s="134">
        <v>2</v>
      </c>
      <c r="AX40" s="135">
        <v>24.3</v>
      </c>
      <c r="AY40" s="134">
        <v>755</v>
      </c>
      <c r="AZ40" s="134">
        <v>1</v>
      </c>
      <c r="BA40" s="135">
        <v>15.9</v>
      </c>
      <c r="BB40" s="28">
        <v>1.05</v>
      </c>
    </row>
    <row r="41" spans="1:54" s="18" customFormat="1">
      <c r="A41" s="18" t="str">
        <f t="shared" si="0"/>
        <v>Corpu</v>
      </c>
      <c r="B41" s="18" t="s">
        <v>323</v>
      </c>
      <c r="C41" s="18" t="s">
        <v>295</v>
      </c>
      <c r="D41" s="18" t="s">
        <v>285</v>
      </c>
      <c r="E41" s="134">
        <v>337</v>
      </c>
      <c r="F41" s="134">
        <v>93</v>
      </c>
      <c r="G41" s="134">
        <v>189</v>
      </c>
      <c r="H41" s="134">
        <v>177</v>
      </c>
      <c r="I41" s="134">
        <v>2942</v>
      </c>
      <c r="J41" s="134">
        <v>320</v>
      </c>
      <c r="K41" s="134">
        <v>2706</v>
      </c>
      <c r="L41" s="134">
        <v>757</v>
      </c>
      <c r="M41" s="134">
        <v>26.7</v>
      </c>
      <c r="N41" s="134">
        <v>6</v>
      </c>
      <c r="O41" s="28">
        <v>16.79</v>
      </c>
      <c r="P41" s="28">
        <v>86.81</v>
      </c>
      <c r="Q41" s="28">
        <v>3.29</v>
      </c>
      <c r="R41" s="28">
        <v>3.56</v>
      </c>
      <c r="S41" s="134">
        <v>12</v>
      </c>
      <c r="T41" s="134">
        <v>16</v>
      </c>
      <c r="U41" s="28">
        <v>1.5</v>
      </c>
      <c r="V41" s="134">
        <v>1340</v>
      </c>
      <c r="W41" s="18">
        <v>99</v>
      </c>
      <c r="X41" s="134">
        <v>6</v>
      </c>
      <c r="Y41" s="18">
        <v>97</v>
      </c>
      <c r="Z41" s="134">
        <v>3160</v>
      </c>
      <c r="AA41" s="18">
        <v>98</v>
      </c>
      <c r="AB41" s="134">
        <v>14</v>
      </c>
      <c r="AC41" s="18">
        <v>98</v>
      </c>
      <c r="AD41" s="28">
        <v>1.04</v>
      </c>
      <c r="AE41" s="18">
        <v>101</v>
      </c>
      <c r="AF41" s="28">
        <v>1.1100000000000001</v>
      </c>
      <c r="AG41" s="18">
        <v>95</v>
      </c>
      <c r="AH41" s="28">
        <v>1.44</v>
      </c>
      <c r="AI41" s="18">
        <v>100</v>
      </c>
      <c r="AJ41" s="28">
        <v>1.1000000000000001</v>
      </c>
      <c r="AK41" s="18">
        <v>99</v>
      </c>
      <c r="AL41" s="134">
        <v>9</v>
      </c>
      <c r="AM41" s="18">
        <v>101</v>
      </c>
      <c r="AN41" s="134">
        <v>39</v>
      </c>
      <c r="AO41" s="18">
        <v>101</v>
      </c>
      <c r="AP41" s="134">
        <v>14</v>
      </c>
      <c r="AQ41" s="134">
        <v>12484</v>
      </c>
      <c r="AR41" s="134">
        <v>67</v>
      </c>
      <c r="AS41" s="18">
        <v>99</v>
      </c>
      <c r="AT41" s="134">
        <v>287</v>
      </c>
      <c r="AU41" s="18">
        <v>100</v>
      </c>
      <c r="AV41" s="134">
        <v>30</v>
      </c>
      <c r="AW41" s="134">
        <v>0</v>
      </c>
      <c r="AX41" s="135">
        <v>0.6</v>
      </c>
      <c r="AY41" s="134">
        <v>122</v>
      </c>
      <c r="AZ41" s="134">
        <v>1</v>
      </c>
      <c r="BA41" s="135">
        <v>2.6</v>
      </c>
      <c r="BB41" s="28">
        <v>0.67</v>
      </c>
    </row>
    <row r="42" spans="1:54" s="18" customFormat="1">
      <c r="A42" s="18" t="str">
        <f t="shared" si="0"/>
        <v>Dalla</v>
      </c>
      <c r="B42" s="18" t="s">
        <v>324</v>
      </c>
      <c r="C42" s="18" t="s">
        <v>289</v>
      </c>
      <c r="D42" s="18" t="s">
        <v>285</v>
      </c>
      <c r="E42" s="134">
        <v>5260</v>
      </c>
      <c r="F42" s="134">
        <v>6</v>
      </c>
      <c r="G42" s="134">
        <v>3161</v>
      </c>
      <c r="H42" s="134">
        <v>3003</v>
      </c>
      <c r="I42" s="134">
        <v>62600</v>
      </c>
      <c r="J42" s="134">
        <v>3650</v>
      </c>
      <c r="K42" s="134">
        <v>44012</v>
      </c>
      <c r="L42" s="134">
        <v>10000</v>
      </c>
      <c r="M42" s="134">
        <v>468.2</v>
      </c>
      <c r="N42" s="134">
        <v>73</v>
      </c>
      <c r="O42" s="28">
        <v>16.79</v>
      </c>
      <c r="P42" s="28">
        <v>86.81</v>
      </c>
      <c r="Q42" s="28">
        <v>3.29</v>
      </c>
      <c r="R42" s="28">
        <v>3.56</v>
      </c>
      <c r="S42" s="134">
        <v>70</v>
      </c>
      <c r="T42" s="134">
        <v>44</v>
      </c>
      <c r="U42" s="28">
        <v>5</v>
      </c>
      <c r="V42" s="134">
        <v>74806</v>
      </c>
      <c r="W42" s="18">
        <v>7</v>
      </c>
      <c r="X42" s="134">
        <v>20</v>
      </c>
      <c r="Y42" s="18">
        <v>19</v>
      </c>
      <c r="Z42" s="134">
        <v>167718</v>
      </c>
      <c r="AA42" s="18">
        <v>6</v>
      </c>
      <c r="AB42" s="134">
        <v>45</v>
      </c>
      <c r="AC42" s="18">
        <v>13</v>
      </c>
      <c r="AD42" s="28">
        <v>1.26</v>
      </c>
      <c r="AE42" s="18">
        <v>10</v>
      </c>
      <c r="AF42" s="28">
        <v>1.33</v>
      </c>
      <c r="AG42" s="18">
        <v>13</v>
      </c>
      <c r="AH42" s="28">
        <v>4</v>
      </c>
      <c r="AI42" s="18">
        <v>11</v>
      </c>
      <c r="AJ42" s="28">
        <v>1.94</v>
      </c>
      <c r="AK42" s="18">
        <v>14</v>
      </c>
      <c r="AL42" s="134">
        <v>1505</v>
      </c>
      <c r="AM42" s="18">
        <v>7</v>
      </c>
      <c r="AN42" s="134">
        <v>405</v>
      </c>
      <c r="AO42" s="18">
        <v>20</v>
      </c>
      <c r="AP42" s="134">
        <v>734</v>
      </c>
      <c r="AQ42" s="134">
        <v>230466</v>
      </c>
      <c r="AR42" s="134">
        <v>3578</v>
      </c>
      <c r="AS42" s="18">
        <v>6</v>
      </c>
      <c r="AT42" s="134">
        <v>957</v>
      </c>
      <c r="AU42" s="18">
        <v>15</v>
      </c>
      <c r="AV42" s="134">
        <v>10595</v>
      </c>
      <c r="AW42" s="134">
        <v>4</v>
      </c>
      <c r="AX42" s="135">
        <v>226</v>
      </c>
      <c r="AY42" s="134">
        <v>6292</v>
      </c>
      <c r="AZ42" s="134">
        <v>2</v>
      </c>
      <c r="BA42" s="135">
        <v>134.19999999999999</v>
      </c>
      <c r="BB42" s="28">
        <v>1.1599999999999999</v>
      </c>
    </row>
    <row r="43" spans="1:54" s="18" customFormat="1">
      <c r="A43" s="18" t="str">
        <f t="shared" si="0"/>
        <v>Dayto</v>
      </c>
      <c r="B43" s="18" t="s">
        <v>325</v>
      </c>
      <c r="C43" s="18" t="s">
        <v>293</v>
      </c>
      <c r="D43" s="18" t="s">
        <v>285</v>
      </c>
      <c r="E43" s="134">
        <v>745</v>
      </c>
      <c r="F43" s="134">
        <v>54</v>
      </c>
      <c r="G43" s="134">
        <v>416</v>
      </c>
      <c r="H43" s="134">
        <v>390</v>
      </c>
      <c r="I43" s="134">
        <v>7384</v>
      </c>
      <c r="J43" s="134">
        <v>681</v>
      </c>
      <c r="K43" s="134">
        <v>6335</v>
      </c>
      <c r="L43" s="134">
        <v>1537</v>
      </c>
      <c r="M43" s="134">
        <v>45.7</v>
      </c>
      <c r="N43" s="134">
        <v>10.6</v>
      </c>
      <c r="O43" s="28">
        <v>16.79</v>
      </c>
      <c r="P43" s="28">
        <v>86.81</v>
      </c>
      <c r="Q43" s="28">
        <v>3.25</v>
      </c>
      <c r="R43" s="28">
        <v>3.69</v>
      </c>
      <c r="S43" s="134">
        <v>25</v>
      </c>
      <c r="T43" s="134">
        <v>24</v>
      </c>
      <c r="U43" s="28">
        <v>2.5</v>
      </c>
      <c r="V43" s="134">
        <v>6106</v>
      </c>
      <c r="W43" s="18">
        <v>66</v>
      </c>
      <c r="X43" s="134">
        <v>12</v>
      </c>
      <c r="Y43" s="18">
        <v>69</v>
      </c>
      <c r="Z43" s="134">
        <v>12442</v>
      </c>
      <c r="AA43" s="18">
        <v>65</v>
      </c>
      <c r="AB43" s="134">
        <v>24</v>
      </c>
      <c r="AC43" s="18">
        <v>80</v>
      </c>
      <c r="AD43" s="28">
        <v>1.1100000000000001</v>
      </c>
      <c r="AE43" s="18">
        <v>79</v>
      </c>
      <c r="AF43" s="28">
        <v>1.1299999999999999</v>
      </c>
      <c r="AG43" s="18">
        <v>81</v>
      </c>
      <c r="AH43" s="28">
        <v>2.37</v>
      </c>
      <c r="AI43" s="18">
        <v>67</v>
      </c>
      <c r="AJ43" s="28">
        <v>1.31</v>
      </c>
      <c r="AK43" s="18">
        <v>73</v>
      </c>
      <c r="AL43" s="134">
        <v>123</v>
      </c>
      <c r="AM43" s="18">
        <v>65</v>
      </c>
      <c r="AN43" s="134">
        <v>235</v>
      </c>
      <c r="AO43" s="18">
        <v>70</v>
      </c>
      <c r="AP43" s="134">
        <v>52</v>
      </c>
      <c r="AQ43" s="134">
        <v>34109</v>
      </c>
      <c r="AR43" s="134">
        <v>265</v>
      </c>
      <c r="AS43" s="18">
        <v>64</v>
      </c>
      <c r="AT43" s="134">
        <v>507</v>
      </c>
      <c r="AU43" s="18">
        <v>81</v>
      </c>
      <c r="AV43" s="134">
        <v>275</v>
      </c>
      <c r="AW43" s="134">
        <v>1</v>
      </c>
      <c r="AX43" s="135">
        <v>5.9</v>
      </c>
      <c r="AY43" s="134">
        <v>347</v>
      </c>
      <c r="AZ43" s="134">
        <v>1</v>
      </c>
      <c r="BA43" s="135">
        <v>7.4</v>
      </c>
      <c r="BB43" s="28">
        <v>0.79</v>
      </c>
    </row>
    <row r="44" spans="1:54" s="18" customFormat="1">
      <c r="A44" s="18" t="str">
        <f t="shared" si="0"/>
        <v>Denve</v>
      </c>
      <c r="B44" s="18" t="s">
        <v>326</v>
      </c>
      <c r="C44" s="18" t="s">
        <v>291</v>
      </c>
      <c r="D44" s="18" t="s">
        <v>285</v>
      </c>
      <c r="E44" s="134">
        <v>2348</v>
      </c>
      <c r="F44" s="134">
        <v>19</v>
      </c>
      <c r="G44" s="134">
        <v>1477</v>
      </c>
      <c r="H44" s="134">
        <v>1396</v>
      </c>
      <c r="I44" s="134">
        <v>22205</v>
      </c>
      <c r="J44" s="134">
        <v>1463</v>
      </c>
      <c r="K44" s="134">
        <v>21575</v>
      </c>
      <c r="L44" s="134">
        <v>3840</v>
      </c>
      <c r="M44" s="134">
        <v>542.20000000000005</v>
      </c>
      <c r="N44" s="134">
        <v>98.1</v>
      </c>
      <c r="O44" s="28">
        <v>16.79</v>
      </c>
      <c r="P44" s="28">
        <v>86.81</v>
      </c>
      <c r="Q44" s="28">
        <v>3.27</v>
      </c>
      <c r="R44" s="28">
        <v>3.67</v>
      </c>
      <c r="S44" s="134">
        <v>72</v>
      </c>
      <c r="T44" s="134">
        <v>59</v>
      </c>
      <c r="U44" s="28">
        <v>5.25</v>
      </c>
      <c r="V44" s="134">
        <v>34510</v>
      </c>
      <c r="W44" s="18">
        <v>15</v>
      </c>
      <c r="X44" s="134">
        <v>20</v>
      </c>
      <c r="Y44" s="18">
        <v>19</v>
      </c>
      <c r="Z44" s="134">
        <v>76154</v>
      </c>
      <c r="AA44" s="18">
        <v>15</v>
      </c>
      <c r="AB44" s="134">
        <v>45</v>
      </c>
      <c r="AC44" s="18">
        <v>13</v>
      </c>
      <c r="AD44" s="28">
        <v>1.27</v>
      </c>
      <c r="AE44" s="18">
        <v>8</v>
      </c>
      <c r="AF44" s="28">
        <v>1.34</v>
      </c>
      <c r="AG44" s="18">
        <v>10</v>
      </c>
      <c r="AH44" s="28">
        <v>4.08</v>
      </c>
      <c r="AI44" s="18">
        <v>9</v>
      </c>
      <c r="AJ44" s="28">
        <v>2.0099999999999998</v>
      </c>
      <c r="AK44" s="18">
        <v>11</v>
      </c>
      <c r="AL44" s="134">
        <v>695</v>
      </c>
      <c r="AM44" s="18">
        <v>15</v>
      </c>
      <c r="AN44" s="134">
        <v>403</v>
      </c>
      <c r="AO44" s="18">
        <v>21</v>
      </c>
      <c r="AP44" s="134">
        <v>316</v>
      </c>
      <c r="AQ44" s="134">
        <v>76748</v>
      </c>
      <c r="AR44" s="134">
        <v>1612</v>
      </c>
      <c r="AS44" s="18">
        <v>15</v>
      </c>
      <c r="AT44" s="134">
        <v>937</v>
      </c>
      <c r="AU44" s="18">
        <v>16</v>
      </c>
      <c r="AV44" s="134">
        <v>4447</v>
      </c>
      <c r="AW44" s="134">
        <v>3</v>
      </c>
      <c r="AX44" s="135">
        <v>94.1</v>
      </c>
      <c r="AY44" s="134">
        <v>6007</v>
      </c>
      <c r="AZ44" s="134">
        <v>4</v>
      </c>
      <c r="BA44" s="135">
        <v>127.1</v>
      </c>
      <c r="BB44" s="28">
        <v>1.0900000000000001</v>
      </c>
    </row>
    <row r="45" spans="1:54" s="18" customFormat="1">
      <c r="A45" s="18" t="str">
        <f t="shared" si="0"/>
        <v>Detro</v>
      </c>
      <c r="B45" s="18" t="s">
        <v>327</v>
      </c>
      <c r="C45" s="18" t="s">
        <v>289</v>
      </c>
      <c r="D45" s="18" t="s">
        <v>285</v>
      </c>
      <c r="E45" s="134">
        <v>3869</v>
      </c>
      <c r="F45" s="134">
        <v>12</v>
      </c>
      <c r="G45" s="134">
        <v>2190</v>
      </c>
      <c r="H45" s="134">
        <v>2054</v>
      </c>
      <c r="I45" s="134">
        <v>32778</v>
      </c>
      <c r="J45" s="134">
        <v>2169</v>
      </c>
      <c r="K45" s="134">
        <v>46953</v>
      </c>
      <c r="L45" s="134">
        <v>8613</v>
      </c>
      <c r="M45" s="134">
        <v>309</v>
      </c>
      <c r="N45" s="134">
        <v>49.6</v>
      </c>
      <c r="O45" s="28">
        <v>16.79</v>
      </c>
      <c r="P45" s="28">
        <v>86.81</v>
      </c>
      <c r="Q45" s="28">
        <v>3.46</v>
      </c>
      <c r="R45" s="28">
        <v>3.74</v>
      </c>
      <c r="S45" s="134">
        <v>60</v>
      </c>
      <c r="T45" s="134">
        <v>47</v>
      </c>
      <c r="U45" s="28">
        <v>5</v>
      </c>
      <c r="V45" s="134">
        <v>48705</v>
      </c>
      <c r="W45" s="18">
        <v>12</v>
      </c>
      <c r="X45" s="134">
        <v>18</v>
      </c>
      <c r="Y45" s="18">
        <v>30</v>
      </c>
      <c r="Z45" s="134">
        <v>106434</v>
      </c>
      <c r="AA45" s="18">
        <v>12</v>
      </c>
      <c r="AB45" s="134">
        <v>40</v>
      </c>
      <c r="AC45" s="18">
        <v>25</v>
      </c>
      <c r="AD45" s="28">
        <v>1.18</v>
      </c>
      <c r="AE45" s="18">
        <v>37</v>
      </c>
      <c r="AF45" s="28">
        <v>1.22</v>
      </c>
      <c r="AG45" s="18">
        <v>37</v>
      </c>
      <c r="AH45" s="28">
        <v>3.22</v>
      </c>
      <c r="AI45" s="18">
        <v>30</v>
      </c>
      <c r="AJ45" s="28">
        <v>1.63</v>
      </c>
      <c r="AK45" s="18">
        <v>36</v>
      </c>
      <c r="AL45" s="134">
        <v>982</v>
      </c>
      <c r="AM45" s="18">
        <v>12</v>
      </c>
      <c r="AN45" s="134">
        <v>370</v>
      </c>
      <c r="AO45" s="18">
        <v>30</v>
      </c>
      <c r="AP45" s="134">
        <v>475</v>
      </c>
      <c r="AQ45" s="134">
        <v>161391</v>
      </c>
      <c r="AR45" s="134">
        <v>2287</v>
      </c>
      <c r="AS45" s="18">
        <v>12</v>
      </c>
      <c r="AT45" s="134">
        <v>859</v>
      </c>
      <c r="AU45" s="18">
        <v>27</v>
      </c>
      <c r="AV45" s="134">
        <v>3853</v>
      </c>
      <c r="AW45" s="134">
        <v>2</v>
      </c>
      <c r="AX45" s="135">
        <v>82.8</v>
      </c>
      <c r="AY45" s="134">
        <v>2355</v>
      </c>
      <c r="AZ45" s="134">
        <v>1</v>
      </c>
      <c r="BA45" s="135">
        <v>50.6</v>
      </c>
      <c r="BB45" s="28">
        <v>1.08</v>
      </c>
    </row>
    <row r="46" spans="1:54" s="18" customFormat="1">
      <c r="A46" s="18" t="str">
        <f t="shared" si="0"/>
        <v>El Pa</v>
      </c>
      <c r="B46" s="18" t="s">
        <v>328</v>
      </c>
      <c r="C46" s="18" t="s">
        <v>293</v>
      </c>
      <c r="D46" s="18" t="s">
        <v>285</v>
      </c>
      <c r="E46" s="134">
        <v>739</v>
      </c>
      <c r="F46" s="134">
        <v>55</v>
      </c>
      <c r="G46" s="134">
        <v>413</v>
      </c>
      <c r="H46" s="134">
        <v>387</v>
      </c>
      <c r="I46" s="134">
        <v>5684</v>
      </c>
      <c r="J46" s="134">
        <v>516</v>
      </c>
      <c r="K46" s="134">
        <v>6314</v>
      </c>
      <c r="L46" s="134">
        <v>1604</v>
      </c>
      <c r="M46" s="134">
        <v>85.7</v>
      </c>
      <c r="N46" s="134">
        <v>16.399999999999999</v>
      </c>
      <c r="O46" s="28">
        <v>16.79</v>
      </c>
      <c r="P46" s="28">
        <v>86.81</v>
      </c>
      <c r="Q46" s="28">
        <v>3.29</v>
      </c>
      <c r="R46" s="28">
        <v>3.56</v>
      </c>
      <c r="S46" s="134">
        <v>31</v>
      </c>
      <c r="T46" s="134">
        <v>25</v>
      </c>
      <c r="U46" s="28">
        <v>3.5</v>
      </c>
      <c r="V46" s="134">
        <v>8500</v>
      </c>
      <c r="W46" s="18">
        <v>54</v>
      </c>
      <c r="X46" s="134">
        <v>17</v>
      </c>
      <c r="Y46" s="18">
        <v>40</v>
      </c>
      <c r="Z46" s="134">
        <v>15990</v>
      </c>
      <c r="AA46" s="18">
        <v>56</v>
      </c>
      <c r="AB46" s="134">
        <v>32</v>
      </c>
      <c r="AC46" s="18">
        <v>47</v>
      </c>
      <c r="AD46" s="28">
        <v>1.21</v>
      </c>
      <c r="AE46" s="18">
        <v>25</v>
      </c>
      <c r="AF46" s="28">
        <v>1.22</v>
      </c>
      <c r="AG46" s="18">
        <v>37</v>
      </c>
      <c r="AH46" s="28">
        <v>3.37</v>
      </c>
      <c r="AI46" s="18">
        <v>27</v>
      </c>
      <c r="AJ46" s="28">
        <v>1.7</v>
      </c>
      <c r="AK46" s="18">
        <v>29</v>
      </c>
      <c r="AL46" s="134">
        <v>171</v>
      </c>
      <c r="AM46" s="18">
        <v>54</v>
      </c>
      <c r="AN46" s="134">
        <v>335</v>
      </c>
      <c r="AO46" s="18">
        <v>41</v>
      </c>
      <c r="AP46" s="134">
        <v>81</v>
      </c>
      <c r="AQ46" s="134">
        <v>32105</v>
      </c>
      <c r="AR46" s="134">
        <v>353</v>
      </c>
      <c r="AS46" s="18">
        <v>56</v>
      </c>
      <c r="AT46" s="134">
        <v>688</v>
      </c>
      <c r="AU46" s="18">
        <v>46</v>
      </c>
      <c r="AV46" s="134">
        <v>1009</v>
      </c>
      <c r="AW46" s="134">
        <v>3</v>
      </c>
      <c r="AX46" s="135">
        <v>22.3</v>
      </c>
      <c r="AY46" s="134">
        <v>1169</v>
      </c>
      <c r="AZ46" s="134">
        <v>3</v>
      </c>
      <c r="BA46" s="135">
        <v>25.8</v>
      </c>
      <c r="BB46" s="28">
        <v>0.79</v>
      </c>
    </row>
    <row r="47" spans="1:54" s="18" customFormat="1">
      <c r="A47" s="18" t="str">
        <f t="shared" si="0"/>
        <v>Eugen</v>
      </c>
      <c r="B47" s="18" t="s">
        <v>329</v>
      </c>
      <c r="C47" s="18" t="s">
        <v>295</v>
      </c>
      <c r="D47" s="18" t="s">
        <v>285</v>
      </c>
      <c r="E47" s="134">
        <v>256</v>
      </c>
      <c r="F47" s="134">
        <v>96</v>
      </c>
      <c r="G47" s="134">
        <v>144</v>
      </c>
      <c r="H47" s="134">
        <v>135</v>
      </c>
      <c r="I47" s="134">
        <v>1763</v>
      </c>
      <c r="J47" s="134">
        <v>164</v>
      </c>
      <c r="K47" s="134">
        <v>1866</v>
      </c>
      <c r="L47" s="134">
        <v>415</v>
      </c>
      <c r="M47" s="134">
        <v>47.2</v>
      </c>
      <c r="N47" s="134">
        <v>11.7</v>
      </c>
      <c r="O47" s="28">
        <v>16.79</v>
      </c>
      <c r="P47" s="28">
        <v>86.81</v>
      </c>
      <c r="Q47" s="28">
        <v>3.56</v>
      </c>
      <c r="R47" s="28">
        <v>3.91</v>
      </c>
      <c r="S47" s="134">
        <v>18</v>
      </c>
      <c r="T47" s="134">
        <v>23</v>
      </c>
      <c r="U47" s="28">
        <v>1.5</v>
      </c>
      <c r="V47" s="134">
        <v>1002</v>
      </c>
      <c r="W47" s="18">
        <v>101</v>
      </c>
      <c r="X47" s="134">
        <v>6</v>
      </c>
      <c r="Y47" s="18">
        <v>97</v>
      </c>
      <c r="Z47" s="134">
        <v>2271</v>
      </c>
      <c r="AA47" s="18">
        <v>100</v>
      </c>
      <c r="AB47" s="134">
        <v>13</v>
      </c>
      <c r="AC47" s="18">
        <v>99</v>
      </c>
      <c r="AD47" s="28">
        <v>1.08</v>
      </c>
      <c r="AE47" s="18">
        <v>95</v>
      </c>
      <c r="AF47" s="28">
        <v>1.0900000000000001</v>
      </c>
      <c r="AG47" s="18">
        <v>99</v>
      </c>
      <c r="AH47" s="28">
        <v>1.73</v>
      </c>
      <c r="AI47" s="18">
        <v>94</v>
      </c>
      <c r="AJ47" s="28">
        <v>1.26</v>
      </c>
      <c r="AK47" s="18">
        <v>84</v>
      </c>
      <c r="AL47" s="134">
        <v>20</v>
      </c>
      <c r="AM47" s="18">
        <v>99</v>
      </c>
      <c r="AN47" s="134">
        <v>114</v>
      </c>
      <c r="AO47" s="18">
        <v>96</v>
      </c>
      <c r="AP47" s="134">
        <v>14</v>
      </c>
      <c r="AQ47" s="134">
        <v>3682</v>
      </c>
      <c r="AR47" s="134">
        <v>51</v>
      </c>
      <c r="AS47" s="18">
        <v>100</v>
      </c>
      <c r="AT47" s="134">
        <v>284</v>
      </c>
      <c r="AU47" s="18">
        <v>101</v>
      </c>
      <c r="AV47" s="134">
        <v>122</v>
      </c>
      <c r="AW47" s="134">
        <v>1</v>
      </c>
      <c r="AX47" s="135">
        <v>2.7</v>
      </c>
      <c r="AY47" s="134">
        <v>339</v>
      </c>
      <c r="AZ47" s="134">
        <v>3</v>
      </c>
      <c r="BA47" s="135">
        <v>7.6</v>
      </c>
      <c r="BB47" s="28">
        <v>0.8</v>
      </c>
    </row>
    <row r="48" spans="1:54" s="18" customFormat="1">
      <c r="A48" s="18" t="str">
        <f t="shared" si="0"/>
        <v>Fresn</v>
      </c>
      <c r="B48" s="18" t="s">
        <v>330</v>
      </c>
      <c r="C48" s="18" t="s">
        <v>293</v>
      </c>
      <c r="D48" s="18" t="s">
        <v>285</v>
      </c>
      <c r="E48" s="134">
        <v>686</v>
      </c>
      <c r="F48" s="134">
        <v>61</v>
      </c>
      <c r="G48" s="134">
        <v>383</v>
      </c>
      <c r="H48" s="134">
        <v>359</v>
      </c>
      <c r="I48" s="134">
        <v>3857</v>
      </c>
      <c r="J48" s="134">
        <v>283</v>
      </c>
      <c r="K48" s="134">
        <v>6318</v>
      </c>
      <c r="L48" s="134">
        <v>1407</v>
      </c>
      <c r="M48" s="134">
        <v>37.700000000000003</v>
      </c>
      <c r="N48" s="134">
        <v>13</v>
      </c>
      <c r="O48" s="28">
        <v>16.79</v>
      </c>
      <c r="P48" s="28">
        <v>86.81</v>
      </c>
      <c r="Q48" s="28">
        <v>3.51</v>
      </c>
      <c r="R48" s="28">
        <v>4.0199999999999996</v>
      </c>
      <c r="S48" s="134">
        <v>42</v>
      </c>
      <c r="T48" s="134">
        <v>38</v>
      </c>
      <c r="U48" s="28">
        <v>2.5</v>
      </c>
      <c r="V48" s="134">
        <v>3124</v>
      </c>
      <c r="W48" s="18">
        <v>83</v>
      </c>
      <c r="X48" s="134">
        <v>7</v>
      </c>
      <c r="Y48" s="18">
        <v>95</v>
      </c>
      <c r="Z48" s="134">
        <v>7376</v>
      </c>
      <c r="AA48" s="18">
        <v>82</v>
      </c>
      <c r="AB48" s="134">
        <v>15</v>
      </c>
      <c r="AC48" s="18">
        <v>95</v>
      </c>
      <c r="AD48" s="28">
        <v>1.08</v>
      </c>
      <c r="AE48" s="18">
        <v>95</v>
      </c>
      <c r="AF48" s="28">
        <v>1.08</v>
      </c>
      <c r="AG48" s="18">
        <v>100</v>
      </c>
      <c r="AH48" s="28">
        <v>1.79</v>
      </c>
      <c r="AI48" s="18">
        <v>92</v>
      </c>
      <c r="AJ48" s="28">
        <v>1.23</v>
      </c>
      <c r="AK48" s="18">
        <v>89</v>
      </c>
      <c r="AL48" s="134">
        <v>40</v>
      </c>
      <c r="AM48" s="18">
        <v>92</v>
      </c>
      <c r="AN48" s="134">
        <v>85</v>
      </c>
      <c r="AO48" s="18">
        <v>97</v>
      </c>
      <c r="AP48" s="134">
        <v>41</v>
      </c>
      <c r="AQ48" s="134">
        <v>9612</v>
      </c>
      <c r="AR48" s="134">
        <v>164</v>
      </c>
      <c r="AS48" s="18">
        <v>82</v>
      </c>
      <c r="AT48" s="134">
        <v>337</v>
      </c>
      <c r="AU48" s="18">
        <v>94</v>
      </c>
      <c r="AV48" s="134">
        <v>527</v>
      </c>
      <c r="AW48" s="134">
        <v>1</v>
      </c>
      <c r="AX48" s="135">
        <v>11.7</v>
      </c>
      <c r="AY48" s="134">
        <v>227</v>
      </c>
      <c r="AZ48" s="134">
        <v>1</v>
      </c>
      <c r="BA48" s="135">
        <v>5</v>
      </c>
      <c r="BB48" s="28">
        <v>0.95</v>
      </c>
    </row>
    <row r="49" spans="1:54" s="18" customFormat="1">
      <c r="A49" s="18" t="str">
        <f t="shared" si="0"/>
        <v>Grand</v>
      </c>
      <c r="B49" s="18" t="s">
        <v>331</v>
      </c>
      <c r="C49" s="18" t="s">
        <v>293</v>
      </c>
      <c r="D49" s="18" t="s">
        <v>285</v>
      </c>
      <c r="E49" s="134">
        <v>612</v>
      </c>
      <c r="F49" s="134">
        <v>69</v>
      </c>
      <c r="G49" s="134">
        <v>342</v>
      </c>
      <c r="H49" s="134">
        <v>321</v>
      </c>
      <c r="I49" s="134">
        <v>5624</v>
      </c>
      <c r="J49" s="134">
        <v>527</v>
      </c>
      <c r="K49" s="134">
        <v>7725</v>
      </c>
      <c r="L49" s="134">
        <v>1769</v>
      </c>
      <c r="M49" s="134">
        <v>43.6</v>
      </c>
      <c r="N49" s="134">
        <v>11</v>
      </c>
      <c r="O49" s="28">
        <v>16.79</v>
      </c>
      <c r="P49" s="28">
        <v>86.81</v>
      </c>
      <c r="Q49" s="28">
        <v>3.46</v>
      </c>
      <c r="R49" s="28">
        <v>3.74</v>
      </c>
      <c r="S49" s="134">
        <v>29</v>
      </c>
      <c r="T49" s="134">
        <v>33</v>
      </c>
      <c r="U49" s="28">
        <v>2.5</v>
      </c>
      <c r="V49" s="134">
        <v>4572</v>
      </c>
      <c r="W49" s="18">
        <v>75</v>
      </c>
      <c r="X49" s="134">
        <v>11</v>
      </c>
      <c r="Y49" s="18">
        <v>80</v>
      </c>
      <c r="Z49" s="134">
        <v>10016</v>
      </c>
      <c r="AA49" s="18">
        <v>73</v>
      </c>
      <c r="AB49" s="134">
        <v>24</v>
      </c>
      <c r="AC49" s="18">
        <v>80</v>
      </c>
      <c r="AD49" s="28">
        <v>1.0900000000000001</v>
      </c>
      <c r="AE49" s="18">
        <v>93</v>
      </c>
      <c r="AF49" s="28">
        <v>1.1200000000000001</v>
      </c>
      <c r="AG49" s="18">
        <v>89</v>
      </c>
      <c r="AH49" s="28">
        <v>1.99</v>
      </c>
      <c r="AI49" s="18">
        <v>86</v>
      </c>
      <c r="AJ49" s="28">
        <v>1.26</v>
      </c>
      <c r="AK49" s="18">
        <v>84</v>
      </c>
      <c r="AL49" s="134">
        <v>92</v>
      </c>
      <c r="AM49" s="18">
        <v>73</v>
      </c>
      <c r="AN49" s="134">
        <v>216</v>
      </c>
      <c r="AO49" s="18">
        <v>79</v>
      </c>
      <c r="AP49" s="134">
        <v>44</v>
      </c>
      <c r="AQ49" s="134">
        <v>38029</v>
      </c>
      <c r="AR49" s="134">
        <v>215</v>
      </c>
      <c r="AS49" s="18">
        <v>73</v>
      </c>
      <c r="AT49" s="134">
        <v>501</v>
      </c>
      <c r="AU49" s="18">
        <v>83</v>
      </c>
      <c r="AV49" s="134">
        <v>207</v>
      </c>
      <c r="AW49" s="134">
        <v>1</v>
      </c>
      <c r="AX49" s="135">
        <v>4.5</v>
      </c>
      <c r="AY49" s="134">
        <v>318</v>
      </c>
      <c r="AZ49" s="134">
        <v>1</v>
      </c>
      <c r="BA49" s="135">
        <v>6.8</v>
      </c>
      <c r="BB49" s="28">
        <v>0.8</v>
      </c>
    </row>
    <row r="50" spans="1:54" s="18" customFormat="1">
      <c r="A50" s="18" t="str">
        <f t="shared" si="0"/>
        <v>Green</v>
      </c>
      <c r="B50" s="18" t="s">
        <v>332</v>
      </c>
      <c r="C50" s="18" t="s">
        <v>295</v>
      </c>
      <c r="D50" s="18" t="s">
        <v>285</v>
      </c>
      <c r="E50" s="134">
        <v>351</v>
      </c>
      <c r="F50" s="134">
        <v>92</v>
      </c>
      <c r="G50" s="134">
        <v>197</v>
      </c>
      <c r="H50" s="134">
        <v>185</v>
      </c>
      <c r="I50" s="134">
        <v>4583</v>
      </c>
      <c r="J50" s="134">
        <v>575</v>
      </c>
      <c r="K50" s="134">
        <v>3178</v>
      </c>
      <c r="L50" s="134">
        <v>728</v>
      </c>
      <c r="M50" s="134">
        <v>44.4</v>
      </c>
      <c r="N50" s="134">
        <v>5.7</v>
      </c>
      <c r="O50" s="28">
        <v>16.79</v>
      </c>
      <c r="P50" s="28">
        <v>86.81</v>
      </c>
      <c r="Q50" s="28">
        <v>3.32</v>
      </c>
      <c r="R50" s="28">
        <v>3.64</v>
      </c>
      <c r="S50" s="134">
        <v>18</v>
      </c>
      <c r="T50" s="134">
        <v>28</v>
      </c>
      <c r="U50" s="28">
        <v>1.5</v>
      </c>
      <c r="V50" s="134">
        <v>3005</v>
      </c>
      <c r="W50" s="18">
        <v>84</v>
      </c>
      <c r="X50" s="134">
        <v>12</v>
      </c>
      <c r="Y50" s="18">
        <v>69</v>
      </c>
      <c r="Z50" s="134">
        <v>6625</v>
      </c>
      <c r="AA50" s="18">
        <v>84</v>
      </c>
      <c r="AB50" s="134">
        <v>27</v>
      </c>
      <c r="AC50" s="18">
        <v>68</v>
      </c>
      <c r="AD50" s="28">
        <v>1.1000000000000001</v>
      </c>
      <c r="AE50" s="18">
        <v>87</v>
      </c>
      <c r="AF50" s="28">
        <v>1.1299999999999999</v>
      </c>
      <c r="AG50" s="18">
        <v>81</v>
      </c>
      <c r="AH50" s="28">
        <v>1.59</v>
      </c>
      <c r="AI50" s="18">
        <v>96</v>
      </c>
      <c r="AJ50" s="28">
        <v>1.1399999999999999</v>
      </c>
      <c r="AK50" s="18">
        <v>97</v>
      </c>
      <c r="AL50" s="134">
        <v>60</v>
      </c>
      <c r="AM50" s="18">
        <v>82</v>
      </c>
      <c r="AN50" s="134">
        <v>245</v>
      </c>
      <c r="AO50" s="18">
        <v>68</v>
      </c>
      <c r="AP50" s="134">
        <v>35</v>
      </c>
      <c r="AQ50" s="134">
        <v>51616</v>
      </c>
      <c r="AR50" s="134">
        <v>146</v>
      </c>
      <c r="AS50" s="18">
        <v>83</v>
      </c>
      <c r="AT50" s="134">
        <v>588</v>
      </c>
      <c r="AU50" s="18">
        <v>66</v>
      </c>
      <c r="AV50" s="134">
        <v>331</v>
      </c>
      <c r="AW50" s="134">
        <v>2</v>
      </c>
      <c r="AX50" s="135">
        <v>7.3</v>
      </c>
      <c r="AY50" s="134">
        <v>191</v>
      </c>
      <c r="AZ50" s="134">
        <v>1</v>
      </c>
      <c r="BA50" s="135">
        <v>4.2</v>
      </c>
      <c r="BB50" s="28">
        <v>0.63</v>
      </c>
    </row>
    <row r="51" spans="1:54" s="18" customFormat="1">
      <c r="A51" s="18" t="str">
        <f t="shared" si="0"/>
        <v>Hartf</v>
      </c>
      <c r="B51" s="18" t="s">
        <v>333</v>
      </c>
      <c r="C51" s="18" t="s">
        <v>293</v>
      </c>
      <c r="D51" s="18" t="s">
        <v>285</v>
      </c>
      <c r="E51" s="134">
        <v>905</v>
      </c>
      <c r="F51" s="134">
        <v>51</v>
      </c>
      <c r="G51" s="134">
        <v>500</v>
      </c>
      <c r="H51" s="134">
        <v>468</v>
      </c>
      <c r="I51" s="134">
        <v>11693</v>
      </c>
      <c r="J51" s="134">
        <v>950</v>
      </c>
      <c r="K51" s="134">
        <v>7428</v>
      </c>
      <c r="L51" s="134">
        <v>1664</v>
      </c>
      <c r="M51" s="134">
        <v>106.5</v>
      </c>
      <c r="N51" s="134">
        <v>17.3</v>
      </c>
      <c r="O51" s="28">
        <v>16.79</v>
      </c>
      <c r="P51" s="28">
        <v>86.81</v>
      </c>
      <c r="Q51" s="28">
        <v>3.59</v>
      </c>
      <c r="R51" s="28">
        <v>3.9</v>
      </c>
      <c r="S51" s="134">
        <v>41</v>
      </c>
      <c r="T51" s="134">
        <v>29</v>
      </c>
      <c r="U51" s="28">
        <v>3.5</v>
      </c>
      <c r="V51" s="134">
        <v>11299</v>
      </c>
      <c r="W51" s="18">
        <v>47</v>
      </c>
      <c r="X51" s="134">
        <v>18</v>
      </c>
      <c r="Y51" s="18">
        <v>30</v>
      </c>
      <c r="Z51" s="134">
        <v>22995</v>
      </c>
      <c r="AA51" s="18">
        <v>45</v>
      </c>
      <c r="AB51" s="134">
        <v>38</v>
      </c>
      <c r="AC51" s="18">
        <v>30</v>
      </c>
      <c r="AD51" s="28">
        <v>1.18</v>
      </c>
      <c r="AE51" s="18">
        <v>37</v>
      </c>
      <c r="AF51" s="28">
        <v>1.21</v>
      </c>
      <c r="AG51" s="18">
        <v>45</v>
      </c>
      <c r="AH51" s="28">
        <v>2.79</v>
      </c>
      <c r="AI51" s="18">
        <v>52</v>
      </c>
      <c r="AJ51" s="28">
        <v>1.53</v>
      </c>
      <c r="AK51" s="18">
        <v>46</v>
      </c>
      <c r="AL51" s="134">
        <v>226</v>
      </c>
      <c r="AM51" s="18">
        <v>47</v>
      </c>
      <c r="AN51" s="134">
        <v>368</v>
      </c>
      <c r="AO51" s="18">
        <v>31</v>
      </c>
      <c r="AP51" s="134">
        <v>75</v>
      </c>
      <c r="AQ51" s="134">
        <v>42754</v>
      </c>
      <c r="AR51" s="134">
        <v>479</v>
      </c>
      <c r="AS51" s="18">
        <v>46</v>
      </c>
      <c r="AT51" s="134">
        <v>781</v>
      </c>
      <c r="AU51" s="18">
        <v>39</v>
      </c>
      <c r="AV51" s="134">
        <v>954</v>
      </c>
      <c r="AW51" s="134">
        <v>2</v>
      </c>
      <c r="AX51" s="135">
        <v>19.899999999999999</v>
      </c>
      <c r="AY51" s="134">
        <v>1460</v>
      </c>
      <c r="AZ51" s="134">
        <v>3</v>
      </c>
      <c r="BA51" s="135">
        <v>30.4</v>
      </c>
      <c r="BB51" s="28">
        <v>0.88</v>
      </c>
    </row>
    <row r="52" spans="1:54" s="18" customFormat="1">
      <c r="A52" s="18" t="str">
        <f t="shared" si="0"/>
        <v>Honol</v>
      </c>
      <c r="B52" s="18" t="s">
        <v>334</v>
      </c>
      <c r="C52" s="18" t="s">
        <v>293</v>
      </c>
      <c r="D52" s="18" t="s">
        <v>285</v>
      </c>
      <c r="E52" s="134">
        <v>719</v>
      </c>
      <c r="F52" s="134">
        <v>56</v>
      </c>
      <c r="G52" s="134">
        <v>402</v>
      </c>
      <c r="H52" s="134">
        <v>377</v>
      </c>
      <c r="I52" s="134">
        <v>6265</v>
      </c>
      <c r="J52" s="134">
        <v>487</v>
      </c>
      <c r="K52" s="134">
        <v>3148</v>
      </c>
      <c r="L52" s="134">
        <v>526</v>
      </c>
      <c r="M52" s="134">
        <v>411.1</v>
      </c>
      <c r="N52" s="134">
        <v>72.2</v>
      </c>
      <c r="O52" s="28">
        <v>16.79</v>
      </c>
      <c r="P52" s="28">
        <v>86.81</v>
      </c>
      <c r="Q52" s="28">
        <v>3.66</v>
      </c>
      <c r="R52" s="28">
        <v>4.43</v>
      </c>
      <c r="S52" s="134">
        <v>60</v>
      </c>
      <c r="T52" s="134">
        <v>52</v>
      </c>
      <c r="U52" s="28">
        <v>4.25</v>
      </c>
      <c r="V52" s="134">
        <v>11298</v>
      </c>
      <c r="W52" s="18">
        <v>48</v>
      </c>
      <c r="X52" s="134">
        <v>24</v>
      </c>
      <c r="Y52" s="18">
        <v>8</v>
      </c>
      <c r="Z52" s="134">
        <v>20873</v>
      </c>
      <c r="AA52" s="18">
        <v>50</v>
      </c>
      <c r="AB52" s="134">
        <v>45</v>
      </c>
      <c r="AC52" s="18">
        <v>13</v>
      </c>
      <c r="AD52" s="28">
        <v>1.36</v>
      </c>
      <c r="AE52" s="18">
        <v>2</v>
      </c>
      <c r="AF52" s="28">
        <v>1.51</v>
      </c>
      <c r="AG52" s="18">
        <v>1</v>
      </c>
      <c r="AH52" s="28">
        <v>3.92</v>
      </c>
      <c r="AI52" s="18">
        <v>14</v>
      </c>
      <c r="AJ52" s="28">
        <v>2.25</v>
      </c>
      <c r="AK52" s="18">
        <v>3</v>
      </c>
      <c r="AL52" s="134">
        <v>225</v>
      </c>
      <c r="AM52" s="18">
        <v>48</v>
      </c>
      <c r="AN52" s="134">
        <v>485</v>
      </c>
      <c r="AO52" s="18">
        <v>9</v>
      </c>
      <c r="AP52" s="134">
        <v>53</v>
      </c>
      <c r="AQ52" s="134">
        <v>10246</v>
      </c>
      <c r="AR52" s="134">
        <v>427</v>
      </c>
      <c r="AS52" s="18">
        <v>52</v>
      </c>
      <c r="AT52" s="134">
        <v>928</v>
      </c>
      <c r="AU52" s="18">
        <v>20</v>
      </c>
      <c r="AV52" s="134">
        <v>1065</v>
      </c>
      <c r="AW52" s="134">
        <v>3</v>
      </c>
      <c r="AX52" s="135">
        <v>21.8</v>
      </c>
      <c r="AY52" s="134">
        <v>643</v>
      </c>
      <c r="AZ52" s="134">
        <v>2</v>
      </c>
      <c r="BA52" s="135">
        <v>13.1</v>
      </c>
      <c r="BB52" s="28">
        <v>0.96</v>
      </c>
    </row>
    <row r="53" spans="1:54" s="18" customFormat="1">
      <c r="A53" s="18" t="str">
        <f t="shared" si="0"/>
        <v>Houst</v>
      </c>
      <c r="B53" s="18" t="s">
        <v>335</v>
      </c>
      <c r="C53" s="18" t="s">
        <v>289</v>
      </c>
      <c r="D53" s="18" t="s">
        <v>285</v>
      </c>
      <c r="E53" s="134">
        <v>4129</v>
      </c>
      <c r="F53" s="134">
        <v>10</v>
      </c>
      <c r="G53" s="134">
        <v>2440</v>
      </c>
      <c r="H53" s="134">
        <v>2274</v>
      </c>
      <c r="I53" s="134">
        <v>54700</v>
      </c>
      <c r="J53" s="134">
        <v>3280</v>
      </c>
      <c r="K53" s="134">
        <v>40768</v>
      </c>
      <c r="L53" s="134">
        <v>8100</v>
      </c>
      <c r="M53" s="134">
        <v>560</v>
      </c>
      <c r="N53" s="134">
        <v>81.900000000000006</v>
      </c>
      <c r="O53" s="28">
        <v>16.79</v>
      </c>
      <c r="P53" s="28">
        <v>86.81</v>
      </c>
      <c r="Q53" s="28">
        <v>3.29</v>
      </c>
      <c r="R53" s="28">
        <v>3.56</v>
      </c>
      <c r="S53" s="134">
        <v>69</v>
      </c>
      <c r="T53" s="134">
        <v>49</v>
      </c>
      <c r="U53" s="28">
        <v>5.75</v>
      </c>
      <c r="V53" s="134">
        <v>65852</v>
      </c>
      <c r="W53" s="18">
        <v>9</v>
      </c>
      <c r="X53" s="134">
        <v>23</v>
      </c>
      <c r="Y53" s="18">
        <v>12</v>
      </c>
      <c r="Z53" s="134">
        <v>145832</v>
      </c>
      <c r="AA53" s="18">
        <v>9</v>
      </c>
      <c r="AB53" s="134">
        <v>52</v>
      </c>
      <c r="AC53" s="18">
        <v>6</v>
      </c>
      <c r="AD53" s="28">
        <v>1.26</v>
      </c>
      <c r="AE53" s="18">
        <v>10</v>
      </c>
      <c r="AF53" s="28">
        <v>1.35</v>
      </c>
      <c r="AG53" s="18">
        <v>6</v>
      </c>
      <c r="AH53" s="28">
        <v>3.67</v>
      </c>
      <c r="AI53" s="18">
        <v>21</v>
      </c>
      <c r="AJ53" s="28">
        <v>1.84</v>
      </c>
      <c r="AK53" s="18">
        <v>19</v>
      </c>
      <c r="AL53" s="134">
        <v>1324</v>
      </c>
      <c r="AM53" s="18">
        <v>9</v>
      </c>
      <c r="AN53" s="134">
        <v>463</v>
      </c>
      <c r="AO53" s="18">
        <v>10</v>
      </c>
      <c r="AP53" s="134">
        <v>646</v>
      </c>
      <c r="AQ53" s="134">
        <v>233723</v>
      </c>
      <c r="AR53" s="134">
        <v>3120</v>
      </c>
      <c r="AS53" s="18">
        <v>10</v>
      </c>
      <c r="AT53" s="134">
        <v>1090</v>
      </c>
      <c r="AU53" s="18">
        <v>8</v>
      </c>
      <c r="AV53" s="134">
        <v>15113</v>
      </c>
      <c r="AW53" s="134">
        <v>7</v>
      </c>
      <c r="AX53" s="135">
        <v>323.39999999999998</v>
      </c>
      <c r="AY53" s="134">
        <v>6733</v>
      </c>
      <c r="AZ53" s="134">
        <v>3</v>
      </c>
      <c r="BA53" s="135">
        <v>144.1</v>
      </c>
      <c r="BB53" s="28">
        <v>1.1499999999999999</v>
      </c>
    </row>
    <row r="54" spans="1:54" s="18" customFormat="1">
      <c r="A54" s="18" t="str">
        <f t="shared" si="0"/>
        <v>India</v>
      </c>
      <c r="B54" s="18" t="s">
        <v>336</v>
      </c>
      <c r="C54" s="18" t="s">
        <v>291</v>
      </c>
      <c r="D54" s="18" t="s">
        <v>285</v>
      </c>
      <c r="E54" s="134">
        <v>1234</v>
      </c>
      <c r="F54" s="134">
        <v>38</v>
      </c>
      <c r="G54" s="134">
        <v>703</v>
      </c>
      <c r="H54" s="134">
        <v>653</v>
      </c>
      <c r="I54" s="134">
        <v>14205</v>
      </c>
      <c r="J54" s="134">
        <v>1082</v>
      </c>
      <c r="K54" s="134">
        <v>14283</v>
      </c>
      <c r="L54" s="134">
        <v>2296</v>
      </c>
      <c r="M54" s="134">
        <v>39.9</v>
      </c>
      <c r="N54" s="134">
        <v>9.5</v>
      </c>
      <c r="O54" s="28">
        <v>16.79</v>
      </c>
      <c r="P54" s="28">
        <v>86.81</v>
      </c>
      <c r="Q54" s="28">
        <v>3.34</v>
      </c>
      <c r="R54" s="28">
        <v>3.7</v>
      </c>
      <c r="S54" s="134">
        <v>62</v>
      </c>
      <c r="T54" s="134">
        <v>57</v>
      </c>
      <c r="U54" s="28">
        <v>4</v>
      </c>
      <c r="V54" s="134">
        <v>16748</v>
      </c>
      <c r="W54" s="18">
        <v>34</v>
      </c>
      <c r="X54" s="134">
        <v>19</v>
      </c>
      <c r="Y54" s="18">
        <v>24</v>
      </c>
      <c r="Z54" s="134">
        <v>35186</v>
      </c>
      <c r="AA54" s="18">
        <v>35</v>
      </c>
      <c r="AB54" s="134">
        <v>41</v>
      </c>
      <c r="AC54" s="18">
        <v>23</v>
      </c>
      <c r="AD54" s="28">
        <v>1.17</v>
      </c>
      <c r="AE54" s="18">
        <v>47</v>
      </c>
      <c r="AF54" s="28">
        <v>1.22</v>
      </c>
      <c r="AG54" s="18">
        <v>37</v>
      </c>
      <c r="AH54" s="28">
        <v>2.5</v>
      </c>
      <c r="AI54" s="18">
        <v>62</v>
      </c>
      <c r="AJ54" s="28">
        <v>1.41</v>
      </c>
      <c r="AK54" s="18">
        <v>61</v>
      </c>
      <c r="AL54" s="134">
        <v>340</v>
      </c>
      <c r="AM54" s="18">
        <v>31</v>
      </c>
      <c r="AN54" s="134">
        <v>393</v>
      </c>
      <c r="AO54" s="18">
        <v>24</v>
      </c>
      <c r="AP54" s="134">
        <v>241</v>
      </c>
      <c r="AQ54" s="134">
        <v>85407</v>
      </c>
      <c r="AR54" s="134">
        <v>817</v>
      </c>
      <c r="AS54" s="18">
        <v>32</v>
      </c>
      <c r="AT54" s="134">
        <v>930</v>
      </c>
      <c r="AU54" s="18">
        <v>18</v>
      </c>
      <c r="AV54" s="134">
        <v>756</v>
      </c>
      <c r="AW54" s="134">
        <v>1</v>
      </c>
      <c r="AX54" s="135">
        <v>17.600000000000001</v>
      </c>
      <c r="AY54" s="134">
        <v>609</v>
      </c>
      <c r="AZ54" s="134">
        <v>1</v>
      </c>
      <c r="BA54" s="135">
        <v>14.1</v>
      </c>
      <c r="BB54" s="28">
        <v>1.02</v>
      </c>
    </row>
    <row r="55" spans="1:54" s="18" customFormat="1">
      <c r="A55" s="18" t="str">
        <f t="shared" si="0"/>
        <v>Indio</v>
      </c>
      <c r="B55" s="18" t="s">
        <v>337</v>
      </c>
      <c r="C55" s="18" t="s">
        <v>293</v>
      </c>
      <c r="D55" s="18" t="s">
        <v>285</v>
      </c>
      <c r="E55" s="134">
        <v>585</v>
      </c>
      <c r="F55" s="134">
        <v>72</v>
      </c>
      <c r="G55" s="134">
        <v>327</v>
      </c>
      <c r="H55" s="134">
        <v>306</v>
      </c>
      <c r="I55" s="134">
        <v>1058</v>
      </c>
      <c r="J55" s="134">
        <v>110</v>
      </c>
      <c r="K55" s="134">
        <v>4473</v>
      </c>
      <c r="L55" s="134">
        <v>817</v>
      </c>
      <c r="M55" s="134">
        <v>24.4</v>
      </c>
      <c r="N55" s="134">
        <v>4.4000000000000004</v>
      </c>
      <c r="O55" s="28">
        <v>16.79</v>
      </c>
      <c r="P55" s="28">
        <v>86.81</v>
      </c>
      <c r="Q55" s="28">
        <v>3.51</v>
      </c>
      <c r="R55" s="28">
        <v>4.0199999999999996</v>
      </c>
      <c r="S55" s="134">
        <v>31</v>
      </c>
      <c r="T55" s="134">
        <v>37</v>
      </c>
      <c r="U55" s="28">
        <v>2.5</v>
      </c>
      <c r="V55" s="134">
        <v>2781</v>
      </c>
      <c r="W55" s="18">
        <v>86</v>
      </c>
      <c r="X55" s="134">
        <v>7</v>
      </c>
      <c r="Y55" s="18">
        <v>95</v>
      </c>
      <c r="Z55" s="134">
        <v>6036</v>
      </c>
      <c r="AA55" s="18">
        <v>87</v>
      </c>
      <c r="AB55" s="134">
        <v>15</v>
      </c>
      <c r="AC55" s="18">
        <v>95</v>
      </c>
      <c r="AD55" s="28">
        <v>1.08</v>
      </c>
      <c r="AE55" s="18">
        <v>95</v>
      </c>
      <c r="AF55" s="28">
        <v>1.1100000000000001</v>
      </c>
      <c r="AG55" s="18">
        <v>95</v>
      </c>
      <c r="AH55" s="28">
        <v>1.88</v>
      </c>
      <c r="AI55" s="18">
        <v>90</v>
      </c>
      <c r="AJ55" s="28">
        <v>1.21</v>
      </c>
      <c r="AK55" s="18">
        <v>91</v>
      </c>
      <c r="AL55" s="134">
        <v>25</v>
      </c>
      <c r="AM55" s="18">
        <v>96</v>
      </c>
      <c r="AN55" s="134">
        <v>61</v>
      </c>
      <c r="AO55" s="18">
        <v>99</v>
      </c>
      <c r="AP55" s="134">
        <v>37</v>
      </c>
      <c r="AQ55" s="134">
        <v>5534</v>
      </c>
      <c r="AR55" s="134">
        <v>138</v>
      </c>
      <c r="AS55" s="18">
        <v>86</v>
      </c>
      <c r="AT55" s="134">
        <v>331</v>
      </c>
      <c r="AU55" s="18">
        <v>96</v>
      </c>
      <c r="AV55" s="134">
        <v>206</v>
      </c>
      <c r="AW55" s="134">
        <v>1</v>
      </c>
      <c r="AX55" s="135">
        <v>4.7</v>
      </c>
      <c r="AY55" s="134">
        <v>168</v>
      </c>
      <c r="AZ55" s="134">
        <v>1</v>
      </c>
      <c r="BA55" s="135">
        <v>3.8</v>
      </c>
      <c r="BB55" s="28">
        <v>0.93</v>
      </c>
    </row>
    <row r="56" spans="1:54" s="18" customFormat="1">
      <c r="A56" s="18" t="str">
        <f t="shared" si="0"/>
        <v>Jacks</v>
      </c>
      <c r="B56" s="18" t="s">
        <v>338</v>
      </c>
      <c r="C56" s="18" t="s">
        <v>295</v>
      </c>
      <c r="D56" s="18" t="s">
        <v>285</v>
      </c>
      <c r="E56" s="134">
        <v>426</v>
      </c>
      <c r="F56" s="134">
        <v>86</v>
      </c>
      <c r="G56" s="134">
        <v>239</v>
      </c>
      <c r="H56" s="134">
        <v>224</v>
      </c>
      <c r="I56" s="134">
        <v>4664</v>
      </c>
      <c r="J56" s="134">
        <v>376</v>
      </c>
      <c r="K56" s="134">
        <v>6501</v>
      </c>
      <c r="L56" s="134">
        <v>1660</v>
      </c>
      <c r="M56" s="134">
        <v>4</v>
      </c>
      <c r="N56" s="134">
        <v>0.6</v>
      </c>
      <c r="O56" s="28">
        <v>16.79</v>
      </c>
      <c r="P56" s="28">
        <v>86.81</v>
      </c>
      <c r="Q56" s="28">
        <v>3.21</v>
      </c>
      <c r="R56" s="28">
        <v>3.54</v>
      </c>
      <c r="S56" s="134">
        <v>23</v>
      </c>
      <c r="T56" s="134">
        <v>22</v>
      </c>
      <c r="U56" s="28">
        <v>1.5</v>
      </c>
      <c r="V56" s="134">
        <v>4024</v>
      </c>
      <c r="W56" s="18">
        <v>79</v>
      </c>
      <c r="X56" s="134">
        <v>13</v>
      </c>
      <c r="Y56" s="18">
        <v>60</v>
      </c>
      <c r="Z56" s="134">
        <v>7535</v>
      </c>
      <c r="AA56" s="18">
        <v>81</v>
      </c>
      <c r="AB56" s="134">
        <v>25</v>
      </c>
      <c r="AC56" s="18">
        <v>75</v>
      </c>
      <c r="AD56" s="28">
        <v>1.1000000000000001</v>
      </c>
      <c r="AE56" s="18">
        <v>87</v>
      </c>
      <c r="AF56" s="28">
        <v>1.1200000000000001</v>
      </c>
      <c r="AG56" s="18">
        <v>89</v>
      </c>
      <c r="AH56" s="28">
        <v>2.2000000000000002</v>
      </c>
      <c r="AI56" s="18">
        <v>74</v>
      </c>
      <c r="AJ56" s="28">
        <v>1.27</v>
      </c>
      <c r="AK56" s="18">
        <v>82</v>
      </c>
      <c r="AL56" s="134">
        <v>83</v>
      </c>
      <c r="AM56" s="18">
        <v>76</v>
      </c>
      <c r="AN56" s="134">
        <v>269</v>
      </c>
      <c r="AO56" s="18">
        <v>59</v>
      </c>
      <c r="AP56" s="134">
        <v>63</v>
      </c>
      <c r="AQ56" s="134">
        <v>17253</v>
      </c>
      <c r="AR56" s="134">
        <v>183</v>
      </c>
      <c r="AS56" s="18">
        <v>79</v>
      </c>
      <c r="AT56" s="134">
        <v>594</v>
      </c>
      <c r="AU56" s="18">
        <v>64</v>
      </c>
      <c r="AV56" s="134">
        <v>260</v>
      </c>
      <c r="AW56" s="134">
        <v>1</v>
      </c>
      <c r="AX56" s="135">
        <v>6.3</v>
      </c>
      <c r="AY56" s="134">
        <v>72</v>
      </c>
      <c r="AZ56" s="134">
        <v>0</v>
      </c>
      <c r="BA56" s="135">
        <v>1.8</v>
      </c>
      <c r="BB56" s="28">
        <v>0.85</v>
      </c>
    </row>
    <row r="57" spans="1:54" s="18" customFormat="1">
      <c r="A57" s="18" t="str">
        <f t="shared" si="0"/>
        <v>Jacks</v>
      </c>
      <c r="B57" s="18" t="s">
        <v>339</v>
      </c>
      <c r="C57" s="18" t="s">
        <v>291</v>
      </c>
      <c r="D57" s="18" t="s">
        <v>285</v>
      </c>
      <c r="E57" s="134">
        <v>1083</v>
      </c>
      <c r="F57" s="134">
        <v>42</v>
      </c>
      <c r="G57" s="134">
        <v>617</v>
      </c>
      <c r="H57" s="134">
        <v>573</v>
      </c>
      <c r="I57" s="134">
        <v>12226</v>
      </c>
      <c r="J57" s="134">
        <v>933</v>
      </c>
      <c r="K57" s="134">
        <v>9360</v>
      </c>
      <c r="L57" s="134">
        <v>1569</v>
      </c>
      <c r="M57" s="134">
        <v>72.900000000000006</v>
      </c>
      <c r="N57" s="134">
        <v>13</v>
      </c>
      <c r="O57" s="28">
        <v>16.79</v>
      </c>
      <c r="P57" s="28">
        <v>86.81</v>
      </c>
      <c r="Q57" s="28">
        <v>3.24</v>
      </c>
      <c r="R57" s="28">
        <v>3.65</v>
      </c>
      <c r="S57" s="134">
        <v>55</v>
      </c>
      <c r="T57" s="134">
        <v>50</v>
      </c>
      <c r="U57" s="28">
        <v>4</v>
      </c>
      <c r="V57" s="134">
        <v>10300</v>
      </c>
      <c r="W57" s="18">
        <v>50</v>
      </c>
      <c r="X57" s="134">
        <v>13</v>
      </c>
      <c r="Y57" s="18">
        <v>60</v>
      </c>
      <c r="Z57" s="134">
        <v>22629</v>
      </c>
      <c r="AA57" s="18">
        <v>46</v>
      </c>
      <c r="AB57" s="134">
        <v>30</v>
      </c>
      <c r="AC57" s="18">
        <v>53</v>
      </c>
      <c r="AD57" s="28">
        <v>1.1399999999999999</v>
      </c>
      <c r="AE57" s="18">
        <v>61</v>
      </c>
      <c r="AF57" s="28">
        <v>1.19</v>
      </c>
      <c r="AG57" s="18">
        <v>55</v>
      </c>
      <c r="AH57" s="28">
        <v>2.4500000000000002</v>
      </c>
      <c r="AI57" s="18">
        <v>65</v>
      </c>
      <c r="AJ57" s="28">
        <v>1.35</v>
      </c>
      <c r="AK57" s="18">
        <v>67</v>
      </c>
      <c r="AL57" s="134">
        <v>207</v>
      </c>
      <c r="AM57" s="18">
        <v>51</v>
      </c>
      <c r="AN57" s="134">
        <v>271</v>
      </c>
      <c r="AO57" s="18">
        <v>57</v>
      </c>
      <c r="AP57" s="134">
        <v>103</v>
      </c>
      <c r="AQ57" s="134">
        <v>42002</v>
      </c>
      <c r="AR57" s="134">
        <v>486</v>
      </c>
      <c r="AS57" s="18">
        <v>45</v>
      </c>
      <c r="AT57" s="134">
        <v>635</v>
      </c>
      <c r="AU57" s="18">
        <v>58</v>
      </c>
      <c r="AV57" s="134">
        <v>1326</v>
      </c>
      <c r="AW57" s="134">
        <v>2</v>
      </c>
      <c r="AX57" s="135">
        <v>28.5</v>
      </c>
      <c r="AY57" s="134">
        <v>501</v>
      </c>
      <c r="AZ57" s="134">
        <v>1</v>
      </c>
      <c r="BA57" s="135">
        <v>10.8</v>
      </c>
      <c r="BB57" s="28">
        <v>0.99</v>
      </c>
    </row>
    <row r="58" spans="1:54" s="18" customFormat="1">
      <c r="A58" s="18" t="str">
        <f t="shared" si="0"/>
        <v>Kansa</v>
      </c>
      <c r="B58" s="18" t="s">
        <v>340</v>
      </c>
      <c r="C58" s="18" t="s">
        <v>291</v>
      </c>
      <c r="D58" s="18" t="s">
        <v>285</v>
      </c>
      <c r="E58" s="134">
        <v>1585</v>
      </c>
      <c r="F58" s="134">
        <v>29</v>
      </c>
      <c r="G58" s="134">
        <v>903</v>
      </c>
      <c r="H58" s="134">
        <v>839</v>
      </c>
      <c r="I58" s="134">
        <v>21701</v>
      </c>
      <c r="J58" s="134">
        <v>2096</v>
      </c>
      <c r="K58" s="134">
        <v>12242</v>
      </c>
      <c r="L58" s="134">
        <v>3419</v>
      </c>
      <c r="M58" s="134">
        <v>69.5</v>
      </c>
      <c r="N58" s="134">
        <v>16.8</v>
      </c>
      <c r="O58" s="28">
        <v>16.79</v>
      </c>
      <c r="P58" s="28">
        <v>86.81</v>
      </c>
      <c r="Q58" s="28">
        <v>3.24</v>
      </c>
      <c r="R58" s="28">
        <v>3.54</v>
      </c>
      <c r="S58" s="134">
        <v>23</v>
      </c>
      <c r="T58" s="134">
        <v>23</v>
      </c>
      <c r="U58" s="28">
        <v>4</v>
      </c>
      <c r="V58" s="134">
        <v>12660</v>
      </c>
      <c r="W58" s="18">
        <v>39</v>
      </c>
      <c r="X58" s="134">
        <v>12</v>
      </c>
      <c r="Y58" s="18">
        <v>69</v>
      </c>
      <c r="Z58" s="134">
        <v>29448</v>
      </c>
      <c r="AA58" s="18">
        <v>37</v>
      </c>
      <c r="AB58" s="134">
        <v>27</v>
      </c>
      <c r="AC58" s="18">
        <v>68</v>
      </c>
      <c r="AD58" s="28">
        <v>1.1299999999999999</v>
      </c>
      <c r="AE58" s="18">
        <v>68</v>
      </c>
      <c r="AF58" s="28">
        <v>1.1499999999999999</v>
      </c>
      <c r="AG58" s="18">
        <v>73</v>
      </c>
      <c r="AH58" s="28">
        <v>2.64</v>
      </c>
      <c r="AI58" s="18">
        <v>55</v>
      </c>
      <c r="AJ58" s="28">
        <v>1.44</v>
      </c>
      <c r="AK58" s="18">
        <v>57</v>
      </c>
      <c r="AL58" s="134">
        <v>256</v>
      </c>
      <c r="AM58" s="18">
        <v>38</v>
      </c>
      <c r="AN58" s="134">
        <v>235</v>
      </c>
      <c r="AO58" s="18">
        <v>70</v>
      </c>
      <c r="AP58" s="134">
        <v>148</v>
      </c>
      <c r="AQ58" s="134">
        <v>72882</v>
      </c>
      <c r="AR58" s="134">
        <v>640</v>
      </c>
      <c r="AS58" s="18">
        <v>38</v>
      </c>
      <c r="AT58" s="134">
        <v>584</v>
      </c>
      <c r="AU58" s="18">
        <v>68</v>
      </c>
      <c r="AV58" s="134">
        <v>1395</v>
      </c>
      <c r="AW58" s="134">
        <v>2</v>
      </c>
      <c r="AX58" s="135">
        <v>30.3</v>
      </c>
      <c r="AY58" s="134">
        <v>538</v>
      </c>
      <c r="AZ58" s="134">
        <v>1</v>
      </c>
      <c r="BA58" s="135">
        <v>11.7</v>
      </c>
      <c r="BB58" s="28">
        <v>0.74</v>
      </c>
    </row>
    <row r="59" spans="1:54" s="18" customFormat="1">
      <c r="A59" s="18" t="str">
        <f t="shared" si="0"/>
        <v>Knoxv</v>
      </c>
      <c r="B59" s="18" t="s">
        <v>341</v>
      </c>
      <c r="C59" s="18" t="s">
        <v>293</v>
      </c>
      <c r="D59" s="18" t="s">
        <v>285</v>
      </c>
      <c r="E59" s="134">
        <v>508</v>
      </c>
      <c r="F59" s="134">
        <v>80</v>
      </c>
      <c r="G59" s="134">
        <v>285</v>
      </c>
      <c r="H59" s="134">
        <v>267</v>
      </c>
      <c r="I59" s="134">
        <v>5438</v>
      </c>
      <c r="J59" s="134">
        <v>373</v>
      </c>
      <c r="K59" s="134">
        <v>6541</v>
      </c>
      <c r="L59" s="134">
        <v>1202</v>
      </c>
      <c r="M59" s="134">
        <v>15.4</v>
      </c>
      <c r="N59" s="134">
        <v>3</v>
      </c>
      <c r="O59" s="28">
        <v>16.79</v>
      </c>
      <c r="P59" s="28">
        <v>86.81</v>
      </c>
      <c r="Q59" s="28">
        <v>3.21</v>
      </c>
      <c r="R59" s="28">
        <v>3.57</v>
      </c>
      <c r="S59" s="134">
        <v>31</v>
      </c>
      <c r="T59" s="134">
        <v>32</v>
      </c>
      <c r="U59" s="28">
        <v>2.5</v>
      </c>
      <c r="V59" s="134">
        <v>6339</v>
      </c>
      <c r="W59" s="18">
        <v>64</v>
      </c>
      <c r="X59" s="134">
        <v>18</v>
      </c>
      <c r="Y59" s="18">
        <v>30</v>
      </c>
      <c r="Z59" s="134">
        <v>13247</v>
      </c>
      <c r="AA59" s="18">
        <v>60</v>
      </c>
      <c r="AB59" s="134">
        <v>37</v>
      </c>
      <c r="AC59" s="18">
        <v>37</v>
      </c>
      <c r="AD59" s="28">
        <v>1.1599999999999999</v>
      </c>
      <c r="AE59" s="18">
        <v>51</v>
      </c>
      <c r="AF59" s="28">
        <v>1.19</v>
      </c>
      <c r="AG59" s="18">
        <v>55</v>
      </c>
      <c r="AH59" s="28">
        <v>2.02</v>
      </c>
      <c r="AI59" s="18">
        <v>84</v>
      </c>
      <c r="AJ59" s="28">
        <v>1.33</v>
      </c>
      <c r="AK59" s="18">
        <v>68</v>
      </c>
      <c r="AL59" s="134">
        <v>128</v>
      </c>
      <c r="AM59" s="18">
        <v>62</v>
      </c>
      <c r="AN59" s="134">
        <v>355</v>
      </c>
      <c r="AO59" s="18">
        <v>37</v>
      </c>
      <c r="AP59" s="134">
        <v>63</v>
      </c>
      <c r="AQ59" s="134">
        <v>12104</v>
      </c>
      <c r="AR59" s="134">
        <v>287</v>
      </c>
      <c r="AS59" s="18">
        <v>63</v>
      </c>
      <c r="AT59" s="134">
        <v>792</v>
      </c>
      <c r="AU59" s="18">
        <v>36</v>
      </c>
      <c r="AV59" s="134">
        <v>560</v>
      </c>
      <c r="AW59" s="134">
        <v>2</v>
      </c>
      <c r="AX59" s="135">
        <v>12.1</v>
      </c>
      <c r="AY59" s="134">
        <v>89</v>
      </c>
      <c r="AZ59" s="134">
        <v>0</v>
      </c>
      <c r="BA59" s="135">
        <v>1.9</v>
      </c>
      <c r="BB59" s="28">
        <v>1.06</v>
      </c>
    </row>
    <row r="60" spans="1:54" s="18" customFormat="1">
      <c r="A60" s="18" t="str">
        <f t="shared" si="0"/>
        <v>Lanca</v>
      </c>
      <c r="B60" s="18" t="s">
        <v>342</v>
      </c>
      <c r="C60" s="18" t="s">
        <v>293</v>
      </c>
      <c r="D60" s="18" t="s">
        <v>285</v>
      </c>
      <c r="E60" s="134">
        <v>606</v>
      </c>
      <c r="F60" s="134">
        <v>71</v>
      </c>
      <c r="G60" s="134">
        <v>339</v>
      </c>
      <c r="H60" s="134">
        <v>317</v>
      </c>
      <c r="I60" s="134">
        <v>1005</v>
      </c>
      <c r="J60" s="134">
        <v>77</v>
      </c>
      <c r="K60" s="134">
        <v>3878</v>
      </c>
      <c r="L60" s="134">
        <v>806</v>
      </c>
      <c r="M60" s="134">
        <v>40.700000000000003</v>
      </c>
      <c r="N60" s="134">
        <v>3.1</v>
      </c>
      <c r="O60" s="28">
        <v>16.79</v>
      </c>
      <c r="P60" s="28">
        <v>86.81</v>
      </c>
      <c r="Q60" s="28">
        <v>3.51</v>
      </c>
      <c r="R60" s="28">
        <v>4.0199999999999996</v>
      </c>
      <c r="S60" s="134">
        <v>29</v>
      </c>
      <c r="T60" s="134">
        <v>32</v>
      </c>
      <c r="U60" s="28">
        <v>2.5</v>
      </c>
      <c r="V60" s="134">
        <v>2744</v>
      </c>
      <c r="W60" s="18">
        <v>88</v>
      </c>
      <c r="X60" s="134">
        <v>6</v>
      </c>
      <c r="Y60" s="18">
        <v>97</v>
      </c>
      <c r="Z60" s="134">
        <v>6541</v>
      </c>
      <c r="AA60" s="18">
        <v>85</v>
      </c>
      <c r="AB60" s="134">
        <v>15</v>
      </c>
      <c r="AC60" s="18">
        <v>95</v>
      </c>
      <c r="AD60" s="28">
        <v>1.08</v>
      </c>
      <c r="AE60" s="18">
        <v>95</v>
      </c>
      <c r="AF60" s="28">
        <v>1.1100000000000001</v>
      </c>
      <c r="AG60" s="18">
        <v>95</v>
      </c>
      <c r="AH60" s="28">
        <v>1.48</v>
      </c>
      <c r="AI60" s="18">
        <v>98</v>
      </c>
      <c r="AJ60" s="28">
        <v>1.18</v>
      </c>
      <c r="AK60" s="18">
        <v>94</v>
      </c>
      <c r="AL60" s="134">
        <v>21</v>
      </c>
      <c r="AM60" s="18">
        <v>98</v>
      </c>
      <c r="AN60" s="134">
        <v>50</v>
      </c>
      <c r="AO60" s="18">
        <v>100</v>
      </c>
      <c r="AP60" s="134">
        <v>24</v>
      </c>
      <c r="AQ60" s="134">
        <v>2767</v>
      </c>
      <c r="AR60" s="134">
        <v>136</v>
      </c>
      <c r="AS60" s="18">
        <v>87</v>
      </c>
      <c r="AT60" s="134">
        <v>317</v>
      </c>
      <c r="AU60" s="18">
        <v>97</v>
      </c>
      <c r="AV60" s="134">
        <v>140</v>
      </c>
      <c r="AW60" s="134">
        <v>0</v>
      </c>
      <c r="AX60" s="135">
        <v>2.9</v>
      </c>
      <c r="AY60" s="134">
        <v>541</v>
      </c>
      <c r="AZ60" s="134">
        <v>2</v>
      </c>
      <c r="BA60" s="135">
        <v>11.3</v>
      </c>
      <c r="BB60" s="28">
        <v>0.95</v>
      </c>
    </row>
    <row r="61" spans="1:54" s="18" customFormat="1">
      <c r="A61" s="18" t="str">
        <f t="shared" si="0"/>
        <v>Lared</v>
      </c>
      <c r="B61" s="18" t="s">
        <v>343</v>
      </c>
      <c r="C61" s="18" t="s">
        <v>295</v>
      </c>
      <c r="D61" s="18" t="s">
        <v>285</v>
      </c>
      <c r="E61" s="134">
        <v>235</v>
      </c>
      <c r="F61" s="134">
        <v>99</v>
      </c>
      <c r="G61" s="134">
        <v>132</v>
      </c>
      <c r="H61" s="134">
        <v>124</v>
      </c>
      <c r="I61" s="134">
        <v>586</v>
      </c>
      <c r="J61" s="134">
        <v>77</v>
      </c>
      <c r="K61" s="134">
        <v>1917</v>
      </c>
      <c r="L61" s="134">
        <v>365</v>
      </c>
      <c r="M61" s="134">
        <v>10.9</v>
      </c>
      <c r="N61" s="134">
        <v>3.2</v>
      </c>
      <c r="O61" s="28">
        <v>16.79</v>
      </c>
      <c r="P61" s="28">
        <v>86.81</v>
      </c>
      <c r="Q61" s="28">
        <v>3.29</v>
      </c>
      <c r="R61" s="28">
        <v>3.56</v>
      </c>
      <c r="S61" s="134">
        <v>96</v>
      </c>
      <c r="T61" s="134">
        <v>125</v>
      </c>
      <c r="U61" s="28">
        <v>1.5</v>
      </c>
      <c r="V61" s="134">
        <v>1423</v>
      </c>
      <c r="W61" s="18">
        <v>97</v>
      </c>
      <c r="X61" s="134">
        <v>8</v>
      </c>
      <c r="Y61" s="18">
        <v>91</v>
      </c>
      <c r="Z61" s="134">
        <v>3074</v>
      </c>
      <c r="AA61" s="18">
        <v>99</v>
      </c>
      <c r="AB61" s="134">
        <v>19</v>
      </c>
      <c r="AC61" s="18">
        <v>92</v>
      </c>
      <c r="AD61" s="28">
        <v>1.1399999999999999</v>
      </c>
      <c r="AE61" s="18">
        <v>61</v>
      </c>
      <c r="AF61" s="28">
        <v>1.1499999999999999</v>
      </c>
      <c r="AG61" s="18">
        <v>73</v>
      </c>
      <c r="AH61" s="28">
        <v>2.0699999999999998</v>
      </c>
      <c r="AI61" s="18">
        <v>81</v>
      </c>
      <c r="AJ61" s="28">
        <v>1.41</v>
      </c>
      <c r="AK61" s="18">
        <v>61</v>
      </c>
      <c r="AL61" s="134">
        <v>29</v>
      </c>
      <c r="AM61" s="18">
        <v>94</v>
      </c>
      <c r="AN61" s="134">
        <v>171</v>
      </c>
      <c r="AO61" s="18">
        <v>89</v>
      </c>
      <c r="AP61" s="134">
        <v>20</v>
      </c>
      <c r="AQ61" s="134">
        <v>31171</v>
      </c>
      <c r="AR61" s="134">
        <v>71</v>
      </c>
      <c r="AS61" s="18">
        <v>98</v>
      </c>
      <c r="AT61" s="134">
        <v>418</v>
      </c>
      <c r="AU61" s="18">
        <v>91</v>
      </c>
      <c r="AV61" s="134">
        <v>60</v>
      </c>
      <c r="AW61" s="134">
        <v>0</v>
      </c>
      <c r="AX61" s="135">
        <v>1.4</v>
      </c>
      <c r="AY61" s="134">
        <v>154</v>
      </c>
      <c r="AZ61" s="134">
        <v>1</v>
      </c>
      <c r="BA61" s="135">
        <v>3.5</v>
      </c>
      <c r="BB61" s="28">
        <v>0.82</v>
      </c>
    </row>
    <row r="62" spans="1:54" s="18" customFormat="1">
      <c r="A62" s="18" t="str">
        <f t="shared" si="0"/>
        <v>Las V</v>
      </c>
      <c r="B62" s="18" t="s">
        <v>344</v>
      </c>
      <c r="C62" s="18" t="s">
        <v>291</v>
      </c>
      <c r="D62" s="18" t="s">
        <v>285</v>
      </c>
      <c r="E62" s="134">
        <v>1443</v>
      </c>
      <c r="F62" s="134">
        <v>34</v>
      </c>
      <c r="G62" s="134">
        <v>823</v>
      </c>
      <c r="H62" s="134">
        <v>764</v>
      </c>
      <c r="I62" s="134">
        <v>11980</v>
      </c>
      <c r="J62" s="134">
        <v>750</v>
      </c>
      <c r="K62" s="134">
        <v>15145</v>
      </c>
      <c r="L62" s="134">
        <v>2750</v>
      </c>
      <c r="M62" s="134">
        <v>209.6</v>
      </c>
      <c r="N62" s="134">
        <v>59.1</v>
      </c>
      <c r="O62" s="28">
        <v>16.79</v>
      </c>
      <c r="P62" s="28">
        <v>86.81</v>
      </c>
      <c r="Q62" s="28">
        <v>3.4</v>
      </c>
      <c r="R62" s="28">
        <v>3.73</v>
      </c>
      <c r="S62" s="134">
        <v>78</v>
      </c>
      <c r="T62" s="134">
        <v>58</v>
      </c>
      <c r="U62" s="28">
        <v>4</v>
      </c>
      <c r="V62" s="134">
        <v>21491</v>
      </c>
      <c r="W62" s="18">
        <v>24</v>
      </c>
      <c r="X62" s="134">
        <v>21</v>
      </c>
      <c r="Y62" s="18">
        <v>17</v>
      </c>
      <c r="Z62" s="134">
        <v>45419</v>
      </c>
      <c r="AA62" s="18">
        <v>28</v>
      </c>
      <c r="AB62" s="134">
        <v>44</v>
      </c>
      <c r="AC62" s="18">
        <v>17</v>
      </c>
      <c r="AD62" s="28">
        <v>1.2</v>
      </c>
      <c r="AE62" s="18">
        <v>27</v>
      </c>
      <c r="AF62" s="28">
        <v>1.28</v>
      </c>
      <c r="AG62" s="18">
        <v>20</v>
      </c>
      <c r="AH62" s="28">
        <v>3.14</v>
      </c>
      <c r="AI62" s="18">
        <v>35</v>
      </c>
      <c r="AJ62" s="28">
        <v>1.63</v>
      </c>
      <c r="AK62" s="18">
        <v>36</v>
      </c>
      <c r="AL62" s="134">
        <v>429</v>
      </c>
      <c r="AM62" s="18">
        <v>24</v>
      </c>
      <c r="AN62" s="134">
        <v>417</v>
      </c>
      <c r="AO62" s="18">
        <v>17</v>
      </c>
      <c r="AP62" s="134">
        <v>137</v>
      </c>
      <c r="AQ62" s="134">
        <v>36032</v>
      </c>
      <c r="AR62" s="134">
        <v>931</v>
      </c>
      <c r="AS62" s="18">
        <v>29</v>
      </c>
      <c r="AT62" s="134">
        <v>906</v>
      </c>
      <c r="AU62" s="18">
        <v>23</v>
      </c>
      <c r="AV62" s="134">
        <v>2531</v>
      </c>
      <c r="AW62" s="134">
        <v>3</v>
      </c>
      <c r="AX62" s="135">
        <v>51.9</v>
      </c>
      <c r="AY62" s="134">
        <v>2184</v>
      </c>
      <c r="AZ62" s="134">
        <v>3</v>
      </c>
      <c r="BA62" s="135">
        <v>44.7</v>
      </c>
      <c r="BB62" s="28">
        <v>1.1299999999999999</v>
      </c>
    </row>
    <row r="63" spans="1:54" s="18" customFormat="1">
      <c r="A63" s="18" t="str">
        <f t="shared" si="0"/>
        <v>Littl</v>
      </c>
      <c r="B63" s="18" t="s">
        <v>345</v>
      </c>
      <c r="C63" s="18" t="s">
        <v>295</v>
      </c>
      <c r="D63" s="18" t="s">
        <v>285</v>
      </c>
      <c r="E63" s="134">
        <v>464</v>
      </c>
      <c r="F63" s="134">
        <v>84</v>
      </c>
      <c r="G63" s="134">
        <v>260</v>
      </c>
      <c r="H63" s="134">
        <v>244</v>
      </c>
      <c r="I63" s="134">
        <v>7915</v>
      </c>
      <c r="J63" s="134">
        <v>672</v>
      </c>
      <c r="K63" s="134">
        <v>4913</v>
      </c>
      <c r="L63" s="134">
        <v>1157</v>
      </c>
      <c r="M63" s="134">
        <v>14.7</v>
      </c>
      <c r="N63" s="134">
        <v>2.8</v>
      </c>
      <c r="O63" s="28">
        <v>16.79</v>
      </c>
      <c r="P63" s="28">
        <v>86.81</v>
      </c>
      <c r="Q63" s="28">
        <v>3.13</v>
      </c>
      <c r="R63" s="28">
        <v>3.61</v>
      </c>
      <c r="S63" s="134">
        <v>32</v>
      </c>
      <c r="T63" s="134">
        <v>32</v>
      </c>
      <c r="U63" s="28">
        <v>2</v>
      </c>
      <c r="V63" s="134">
        <v>3591</v>
      </c>
      <c r="W63" s="18">
        <v>80</v>
      </c>
      <c r="X63" s="134">
        <v>12</v>
      </c>
      <c r="Y63" s="18">
        <v>69</v>
      </c>
      <c r="Z63" s="134">
        <v>8132</v>
      </c>
      <c r="AA63" s="18">
        <v>80</v>
      </c>
      <c r="AB63" s="134">
        <v>26</v>
      </c>
      <c r="AC63" s="18">
        <v>71</v>
      </c>
      <c r="AD63" s="28">
        <v>1.07</v>
      </c>
      <c r="AE63" s="18">
        <v>99</v>
      </c>
      <c r="AF63" s="28">
        <v>1.07</v>
      </c>
      <c r="AG63" s="18">
        <v>101</v>
      </c>
      <c r="AH63" s="28">
        <v>2.2000000000000002</v>
      </c>
      <c r="AI63" s="18">
        <v>74</v>
      </c>
      <c r="AJ63" s="28">
        <v>1.33</v>
      </c>
      <c r="AK63" s="18">
        <v>68</v>
      </c>
      <c r="AL63" s="134">
        <v>49</v>
      </c>
      <c r="AM63" s="18">
        <v>87</v>
      </c>
      <c r="AN63" s="134">
        <v>158</v>
      </c>
      <c r="AO63" s="18">
        <v>92</v>
      </c>
      <c r="AP63" s="134">
        <v>33</v>
      </c>
      <c r="AQ63" s="134">
        <v>15286</v>
      </c>
      <c r="AR63" s="134">
        <v>171</v>
      </c>
      <c r="AS63" s="18">
        <v>81</v>
      </c>
      <c r="AT63" s="134">
        <v>545</v>
      </c>
      <c r="AU63" s="18">
        <v>74</v>
      </c>
      <c r="AV63" s="134">
        <v>474</v>
      </c>
      <c r="AW63" s="134">
        <v>2</v>
      </c>
      <c r="AX63" s="135">
        <v>10</v>
      </c>
      <c r="AY63" s="134">
        <v>23</v>
      </c>
      <c r="AZ63" s="134">
        <v>0</v>
      </c>
      <c r="BA63" s="135">
        <v>0.5</v>
      </c>
      <c r="BB63" s="28">
        <v>0.84</v>
      </c>
    </row>
    <row r="64" spans="1:54" s="18" customFormat="1">
      <c r="A64" s="18" t="str">
        <f t="shared" si="0"/>
        <v>Los A</v>
      </c>
      <c r="B64" s="18" t="s">
        <v>346</v>
      </c>
      <c r="C64" s="18" t="s">
        <v>289</v>
      </c>
      <c r="D64" s="18" t="s">
        <v>285</v>
      </c>
      <c r="E64" s="134">
        <v>13229</v>
      </c>
      <c r="F64" s="134">
        <v>2</v>
      </c>
      <c r="G64" s="134">
        <v>7289</v>
      </c>
      <c r="H64" s="134">
        <v>6597</v>
      </c>
      <c r="I64" s="134">
        <v>137813</v>
      </c>
      <c r="J64" s="134">
        <v>5827</v>
      </c>
      <c r="K64" s="134">
        <v>116970</v>
      </c>
      <c r="L64" s="134">
        <v>20000</v>
      </c>
      <c r="M64" s="134">
        <v>3405.1</v>
      </c>
      <c r="N64" s="134">
        <v>665.8</v>
      </c>
      <c r="O64" s="28">
        <v>16.79</v>
      </c>
      <c r="P64" s="28">
        <v>86.81</v>
      </c>
      <c r="Q64" s="28">
        <v>3.51</v>
      </c>
      <c r="R64" s="28">
        <v>4.0199999999999996</v>
      </c>
      <c r="S64" s="134">
        <v>94</v>
      </c>
      <c r="T64" s="134">
        <v>62</v>
      </c>
      <c r="U64" s="28">
        <v>8</v>
      </c>
      <c r="V64" s="134">
        <v>219710</v>
      </c>
      <c r="W64" s="18">
        <v>2</v>
      </c>
      <c r="X64" s="134">
        <v>27</v>
      </c>
      <c r="Y64" s="18">
        <v>3</v>
      </c>
      <c r="Z64" s="134">
        <v>501881</v>
      </c>
      <c r="AA64" s="18">
        <v>2</v>
      </c>
      <c r="AB64" s="134">
        <v>61</v>
      </c>
      <c r="AC64" s="18">
        <v>2</v>
      </c>
      <c r="AD64" s="28">
        <v>1.37</v>
      </c>
      <c r="AE64" s="18">
        <v>1</v>
      </c>
      <c r="AF64" s="28">
        <v>1.39</v>
      </c>
      <c r="AG64" s="18">
        <v>3</v>
      </c>
      <c r="AH64" s="28">
        <v>4.95</v>
      </c>
      <c r="AI64" s="18">
        <v>2</v>
      </c>
      <c r="AJ64" s="28">
        <v>2.5</v>
      </c>
      <c r="AK64" s="18">
        <v>2</v>
      </c>
      <c r="AL64" s="134">
        <v>3578</v>
      </c>
      <c r="AM64" s="18">
        <v>2</v>
      </c>
      <c r="AN64" s="134">
        <v>436</v>
      </c>
      <c r="AO64" s="18">
        <v>15</v>
      </c>
      <c r="AP64" s="134">
        <v>2290</v>
      </c>
      <c r="AQ64" s="134">
        <v>412152</v>
      </c>
      <c r="AR64" s="134">
        <v>10785</v>
      </c>
      <c r="AS64" s="18">
        <v>2</v>
      </c>
      <c r="AT64" s="134">
        <v>1300</v>
      </c>
      <c r="AU64" s="18">
        <v>2</v>
      </c>
      <c r="AV64" s="134">
        <v>61264</v>
      </c>
      <c r="AW64" s="134">
        <v>9</v>
      </c>
      <c r="AX64" s="135">
        <v>1316.4</v>
      </c>
      <c r="AY64" s="134">
        <v>32345</v>
      </c>
      <c r="AZ64" s="134">
        <v>5</v>
      </c>
      <c r="BA64" s="135">
        <v>695</v>
      </c>
      <c r="BB64" s="28">
        <v>1.57</v>
      </c>
    </row>
    <row r="65" spans="1:54" s="18" customFormat="1">
      <c r="A65" s="18" t="str">
        <f t="shared" si="0"/>
        <v>Louis</v>
      </c>
      <c r="B65" s="18" t="s">
        <v>347</v>
      </c>
      <c r="C65" s="18" t="s">
        <v>291</v>
      </c>
      <c r="D65" s="18" t="s">
        <v>285</v>
      </c>
      <c r="E65" s="134">
        <v>1084</v>
      </c>
      <c r="F65" s="134">
        <v>41</v>
      </c>
      <c r="G65" s="134">
        <v>618</v>
      </c>
      <c r="H65" s="134">
        <v>574</v>
      </c>
      <c r="I65" s="134">
        <v>12250</v>
      </c>
      <c r="J65" s="134">
        <v>864</v>
      </c>
      <c r="K65" s="134">
        <v>9384</v>
      </c>
      <c r="L65" s="134">
        <v>1779</v>
      </c>
      <c r="M65" s="134">
        <v>65.900000000000006</v>
      </c>
      <c r="N65" s="134">
        <v>15.6</v>
      </c>
      <c r="O65" s="28">
        <v>16.79</v>
      </c>
      <c r="P65" s="28">
        <v>86.81</v>
      </c>
      <c r="Q65" s="28">
        <v>3.29</v>
      </c>
      <c r="R65" s="28">
        <v>3.61</v>
      </c>
      <c r="S65" s="134">
        <v>57</v>
      </c>
      <c r="T65" s="134">
        <v>49</v>
      </c>
      <c r="U65" s="28">
        <v>4</v>
      </c>
      <c r="V65" s="134">
        <v>12507</v>
      </c>
      <c r="W65" s="18">
        <v>40</v>
      </c>
      <c r="X65" s="134">
        <v>17</v>
      </c>
      <c r="Y65" s="18">
        <v>40</v>
      </c>
      <c r="Z65" s="134">
        <v>26253</v>
      </c>
      <c r="AA65" s="18">
        <v>42</v>
      </c>
      <c r="AB65" s="134">
        <v>35</v>
      </c>
      <c r="AC65" s="18">
        <v>40</v>
      </c>
      <c r="AD65" s="28">
        <v>1.18</v>
      </c>
      <c r="AE65" s="18">
        <v>37</v>
      </c>
      <c r="AF65" s="28">
        <v>1.22</v>
      </c>
      <c r="AG65" s="18">
        <v>37</v>
      </c>
      <c r="AH65" s="28">
        <v>3.09</v>
      </c>
      <c r="AI65" s="18">
        <v>38</v>
      </c>
      <c r="AJ65" s="28">
        <v>1.64</v>
      </c>
      <c r="AK65" s="18">
        <v>35</v>
      </c>
      <c r="AL65" s="134">
        <v>253</v>
      </c>
      <c r="AM65" s="18">
        <v>40</v>
      </c>
      <c r="AN65" s="134">
        <v>340</v>
      </c>
      <c r="AO65" s="18">
        <v>40</v>
      </c>
      <c r="AP65" s="134">
        <v>145</v>
      </c>
      <c r="AQ65" s="134">
        <v>55941</v>
      </c>
      <c r="AR65" s="134">
        <v>584</v>
      </c>
      <c r="AS65" s="18">
        <v>41</v>
      </c>
      <c r="AT65" s="134">
        <v>776</v>
      </c>
      <c r="AU65" s="18">
        <v>40</v>
      </c>
      <c r="AV65" s="134">
        <v>691</v>
      </c>
      <c r="AW65" s="134">
        <v>1</v>
      </c>
      <c r="AX65" s="135">
        <v>15.4</v>
      </c>
      <c r="AY65" s="134">
        <v>657</v>
      </c>
      <c r="AZ65" s="134">
        <v>1</v>
      </c>
      <c r="BA65" s="135">
        <v>14.6</v>
      </c>
      <c r="BB65" s="28">
        <v>1.02</v>
      </c>
    </row>
    <row r="66" spans="1:54" s="18" customFormat="1">
      <c r="A66" s="18" t="str">
        <f t="shared" si="0"/>
        <v>Madis</v>
      </c>
      <c r="B66" s="18" t="s">
        <v>348</v>
      </c>
      <c r="C66" s="18" t="s">
        <v>295</v>
      </c>
      <c r="D66" s="18" t="s">
        <v>285</v>
      </c>
      <c r="E66" s="134">
        <v>403</v>
      </c>
      <c r="F66" s="134">
        <v>88</v>
      </c>
      <c r="G66" s="134">
        <v>226</v>
      </c>
      <c r="H66" s="134">
        <v>212</v>
      </c>
      <c r="I66" s="134">
        <v>3499</v>
      </c>
      <c r="J66" s="134">
        <v>289</v>
      </c>
      <c r="K66" s="134">
        <v>2935</v>
      </c>
      <c r="L66" s="134">
        <v>755</v>
      </c>
      <c r="M66" s="134">
        <v>53</v>
      </c>
      <c r="N66" s="134">
        <v>15.1</v>
      </c>
      <c r="O66" s="28">
        <v>16.79</v>
      </c>
      <c r="P66" s="28">
        <v>86.81</v>
      </c>
      <c r="Q66" s="28">
        <v>3.42</v>
      </c>
      <c r="R66" s="28">
        <v>3.71</v>
      </c>
      <c r="S66" s="134">
        <v>26</v>
      </c>
      <c r="T66" s="134">
        <v>31</v>
      </c>
      <c r="U66" s="28">
        <v>1.5</v>
      </c>
      <c r="V66" s="134">
        <v>2609</v>
      </c>
      <c r="W66" s="18">
        <v>89</v>
      </c>
      <c r="X66" s="134">
        <v>10</v>
      </c>
      <c r="Y66" s="18">
        <v>86</v>
      </c>
      <c r="Z66" s="134">
        <v>5349</v>
      </c>
      <c r="AA66" s="18">
        <v>90</v>
      </c>
      <c r="AB66" s="134">
        <v>20</v>
      </c>
      <c r="AC66" s="18">
        <v>89</v>
      </c>
      <c r="AD66" s="28">
        <v>1.1100000000000001</v>
      </c>
      <c r="AE66" s="18">
        <v>79</v>
      </c>
      <c r="AF66" s="28">
        <v>1.1200000000000001</v>
      </c>
      <c r="AG66" s="18">
        <v>89</v>
      </c>
      <c r="AH66" s="28">
        <v>2.2999999999999998</v>
      </c>
      <c r="AI66" s="18">
        <v>69</v>
      </c>
      <c r="AJ66" s="28">
        <v>1.38</v>
      </c>
      <c r="AK66" s="18">
        <v>65</v>
      </c>
      <c r="AL66" s="134">
        <v>53</v>
      </c>
      <c r="AM66" s="18">
        <v>85</v>
      </c>
      <c r="AN66" s="134">
        <v>194</v>
      </c>
      <c r="AO66" s="18">
        <v>86</v>
      </c>
      <c r="AP66" s="134">
        <v>29</v>
      </c>
      <c r="AQ66" s="134">
        <v>17534</v>
      </c>
      <c r="AR66" s="134">
        <v>119</v>
      </c>
      <c r="AS66" s="18">
        <v>88</v>
      </c>
      <c r="AT66" s="134">
        <v>436</v>
      </c>
      <c r="AU66" s="18">
        <v>88</v>
      </c>
      <c r="AV66" s="134">
        <v>112</v>
      </c>
      <c r="AW66" s="134">
        <v>1</v>
      </c>
      <c r="AX66" s="135">
        <v>2.5</v>
      </c>
      <c r="AY66" s="134">
        <v>360</v>
      </c>
      <c r="AZ66" s="134">
        <v>2</v>
      </c>
      <c r="BA66" s="135">
        <v>8</v>
      </c>
      <c r="BB66" s="28">
        <v>0.84</v>
      </c>
    </row>
    <row r="67" spans="1:54" s="18" customFormat="1">
      <c r="A67" s="18" t="str">
        <f t="shared" si="0"/>
        <v>McAll</v>
      </c>
      <c r="B67" s="18" t="s">
        <v>349</v>
      </c>
      <c r="C67" s="18" t="s">
        <v>293</v>
      </c>
      <c r="D67" s="18" t="s">
        <v>285</v>
      </c>
      <c r="E67" s="134">
        <v>578</v>
      </c>
      <c r="F67" s="134">
        <v>73</v>
      </c>
      <c r="G67" s="134">
        <v>323</v>
      </c>
      <c r="H67" s="134">
        <v>303</v>
      </c>
      <c r="I67" s="134">
        <v>3192</v>
      </c>
      <c r="J67" s="134">
        <v>275</v>
      </c>
      <c r="K67" s="134">
        <v>6178</v>
      </c>
      <c r="L67" s="134">
        <v>1536</v>
      </c>
      <c r="M67" s="134">
        <v>1.5</v>
      </c>
      <c r="N67" s="134">
        <v>0.1</v>
      </c>
      <c r="O67" s="28">
        <v>16.79</v>
      </c>
      <c r="P67" s="28">
        <v>86.81</v>
      </c>
      <c r="Q67" s="28">
        <v>3.29</v>
      </c>
      <c r="R67" s="28">
        <v>3.56</v>
      </c>
      <c r="S67" s="134">
        <v>30</v>
      </c>
      <c r="T67" s="134">
        <v>41</v>
      </c>
      <c r="U67" s="28">
        <v>2.5</v>
      </c>
      <c r="V67" s="134">
        <v>6487</v>
      </c>
      <c r="W67" s="18">
        <v>61</v>
      </c>
      <c r="X67" s="134">
        <v>16</v>
      </c>
      <c r="Y67" s="18">
        <v>43</v>
      </c>
      <c r="Z67" s="134">
        <v>11469</v>
      </c>
      <c r="AA67" s="18">
        <v>67</v>
      </c>
      <c r="AB67" s="134">
        <v>28</v>
      </c>
      <c r="AC67" s="18">
        <v>63</v>
      </c>
      <c r="AD67" s="28">
        <v>1.1599999999999999</v>
      </c>
      <c r="AE67" s="18">
        <v>51</v>
      </c>
      <c r="AF67" s="28">
        <v>1.2</v>
      </c>
      <c r="AG67" s="18">
        <v>50</v>
      </c>
      <c r="AH67" s="28">
        <v>3.01</v>
      </c>
      <c r="AI67" s="18">
        <v>41</v>
      </c>
      <c r="AJ67" s="28">
        <v>1.44</v>
      </c>
      <c r="AK67" s="18">
        <v>57</v>
      </c>
      <c r="AL67" s="134">
        <v>130</v>
      </c>
      <c r="AM67" s="18">
        <v>61</v>
      </c>
      <c r="AN67" s="134">
        <v>320</v>
      </c>
      <c r="AO67" s="18">
        <v>45</v>
      </c>
      <c r="AP67" s="134">
        <v>44</v>
      </c>
      <c r="AQ67" s="134">
        <v>7788</v>
      </c>
      <c r="AR67" s="134">
        <v>245</v>
      </c>
      <c r="AS67" s="18">
        <v>67</v>
      </c>
      <c r="AT67" s="134">
        <v>599</v>
      </c>
      <c r="AU67" s="18">
        <v>63</v>
      </c>
      <c r="AV67" s="134">
        <v>73</v>
      </c>
      <c r="AW67" s="134">
        <v>0</v>
      </c>
      <c r="AX67" s="135">
        <v>1.6</v>
      </c>
      <c r="AY67" s="134">
        <v>110</v>
      </c>
      <c r="AZ67" s="134">
        <v>0</v>
      </c>
      <c r="BA67" s="135">
        <v>2.4</v>
      </c>
      <c r="BB67" s="28">
        <v>0.82</v>
      </c>
    </row>
    <row r="68" spans="1:54" s="18" customFormat="1">
      <c r="A68" s="18" t="str">
        <f t="shared" si="0"/>
        <v>Memph</v>
      </c>
      <c r="B68" s="18" t="s">
        <v>350</v>
      </c>
      <c r="C68" s="18" t="s">
        <v>291</v>
      </c>
      <c r="D68" s="18" t="s">
        <v>285</v>
      </c>
      <c r="E68" s="134">
        <v>1058</v>
      </c>
      <c r="F68" s="134">
        <v>45</v>
      </c>
      <c r="G68" s="134">
        <v>603</v>
      </c>
      <c r="H68" s="134">
        <v>560</v>
      </c>
      <c r="I68" s="134">
        <v>8541</v>
      </c>
      <c r="J68" s="134">
        <v>667</v>
      </c>
      <c r="K68" s="134">
        <v>12832</v>
      </c>
      <c r="L68" s="134">
        <v>3335</v>
      </c>
      <c r="M68" s="134">
        <v>54</v>
      </c>
      <c r="N68" s="134">
        <v>10.4</v>
      </c>
      <c r="O68" s="28">
        <v>16.79</v>
      </c>
      <c r="P68" s="28">
        <v>86.81</v>
      </c>
      <c r="Q68" s="28">
        <v>3.21</v>
      </c>
      <c r="R68" s="28">
        <v>3.57</v>
      </c>
      <c r="S68" s="134">
        <v>33</v>
      </c>
      <c r="T68" s="134">
        <v>30</v>
      </c>
      <c r="U68" s="28">
        <v>4</v>
      </c>
      <c r="V68" s="134">
        <v>14440</v>
      </c>
      <c r="W68" s="18">
        <v>38</v>
      </c>
      <c r="X68" s="134">
        <v>19</v>
      </c>
      <c r="Y68" s="18">
        <v>24</v>
      </c>
      <c r="Z68" s="134">
        <v>28700</v>
      </c>
      <c r="AA68" s="18">
        <v>39</v>
      </c>
      <c r="AB68" s="134">
        <v>38</v>
      </c>
      <c r="AC68" s="18">
        <v>30</v>
      </c>
      <c r="AD68" s="28">
        <v>1.18</v>
      </c>
      <c r="AE68" s="18">
        <v>37</v>
      </c>
      <c r="AF68" s="28">
        <v>1.23</v>
      </c>
      <c r="AG68" s="18">
        <v>32</v>
      </c>
      <c r="AH68" s="28">
        <v>3</v>
      </c>
      <c r="AI68" s="18">
        <v>43</v>
      </c>
      <c r="AJ68" s="28">
        <v>1.53</v>
      </c>
      <c r="AK68" s="18">
        <v>46</v>
      </c>
      <c r="AL68" s="134">
        <v>291</v>
      </c>
      <c r="AM68" s="18">
        <v>37</v>
      </c>
      <c r="AN68" s="134">
        <v>384</v>
      </c>
      <c r="AO68" s="18">
        <v>27</v>
      </c>
      <c r="AP68" s="134">
        <v>153</v>
      </c>
      <c r="AQ68" s="134">
        <v>99459</v>
      </c>
      <c r="AR68" s="134">
        <v>636</v>
      </c>
      <c r="AS68" s="18">
        <v>39</v>
      </c>
      <c r="AT68" s="134">
        <v>833</v>
      </c>
      <c r="AU68" s="18">
        <v>31</v>
      </c>
      <c r="AV68" s="134">
        <v>1104</v>
      </c>
      <c r="AW68" s="134">
        <v>2</v>
      </c>
      <c r="AX68" s="135">
        <v>24.5</v>
      </c>
      <c r="AY68" s="134">
        <v>690</v>
      </c>
      <c r="AZ68" s="134">
        <v>1</v>
      </c>
      <c r="BA68" s="135">
        <v>15.3</v>
      </c>
      <c r="BB68" s="28">
        <v>0.86</v>
      </c>
    </row>
    <row r="69" spans="1:54" s="18" customFormat="1">
      <c r="A69" s="18" t="str">
        <f t="shared" si="0"/>
        <v>Miami</v>
      </c>
      <c r="B69" s="18" t="s">
        <v>351</v>
      </c>
      <c r="C69" s="18" t="s">
        <v>289</v>
      </c>
      <c r="D69" s="18" t="s">
        <v>285</v>
      </c>
      <c r="E69" s="134">
        <v>5482</v>
      </c>
      <c r="F69" s="134">
        <v>4</v>
      </c>
      <c r="G69" s="134">
        <v>3163</v>
      </c>
      <c r="H69" s="134">
        <v>2875</v>
      </c>
      <c r="I69" s="134">
        <v>43452</v>
      </c>
      <c r="J69" s="134">
        <v>2272</v>
      </c>
      <c r="K69" s="134">
        <v>50848</v>
      </c>
      <c r="L69" s="134">
        <v>7662</v>
      </c>
      <c r="M69" s="134">
        <v>968.4</v>
      </c>
      <c r="N69" s="134">
        <v>163.30000000000001</v>
      </c>
      <c r="O69" s="28">
        <v>16.79</v>
      </c>
      <c r="P69" s="28">
        <v>86.81</v>
      </c>
      <c r="Q69" s="28">
        <v>3.24</v>
      </c>
      <c r="R69" s="28">
        <v>3.65</v>
      </c>
      <c r="S69" s="134">
        <v>94</v>
      </c>
      <c r="T69" s="134">
        <v>81</v>
      </c>
      <c r="U69" s="28">
        <v>5</v>
      </c>
      <c r="V69" s="134">
        <v>93863</v>
      </c>
      <c r="W69" s="18">
        <v>4</v>
      </c>
      <c r="X69" s="134">
        <v>25</v>
      </c>
      <c r="Y69" s="18">
        <v>6</v>
      </c>
      <c r="Z69" s="134">
        <v>174612</v>
      </c>
      <c r="AA69" s="18">
        <v>5</v>
      </c>
      <c r="AB69" s="134">
        <v>47</v>
      </c>
      <c r="AC69" s="18">
        <v>11</v>
      </c>
      <c r="AD69" s="28">
        <v>1.25</v>
      </c>
      <c r="AE69" s="18">
        <v>14</v>
      </c>
      <c r="AF69" s="28">
        <v>1.35</v>
      </c>
      <c r="AG69" s="18">
        <v>6</v>
      </c>
      <c r="AH69" s="28">
        <v>3.6</v>
      </c>
      <c r="AI69" s="18">
        <v>23</v>
      </c>
      <c r="AJ69" s="28">
        <v>1.72</v>
      </c>
      <c r="AK69" s="18">
        <v>28</v>
      </c>
      <c r="AL69" s="134">
        <v>1885</v>
      </c>
      <c r="AM69" s="18">
        <v>4</v>
      </c>
      <c r="AN69" s="134">
        <v>498</v>
      </c>
      <c r="AO69" s="18">
        <v>6</v>
      </c>
      <c r="AP69" s="134">
        <v>739</v>
      </c>
      <c r="AQ69" s="134">
        <v>155425</v>
      </c>
      <c r="AR69" s="134">
        <v>3749</v>
      </c>
      <c r="AS69" s="18">
        <v>5</v>
      </c>
      <c r="AT69" s="134">
        <v>993</v>
      </c>
      <c r="AU69" s="18">
        <v>13</v>
      </c>
      <c r="AV69" s="134">
        <v>15073</v>
      </c>
      <c r="AW69" s="134">
        <v>5</v>
      </c>
      <c r="AX69" s="135">
        <v>323.60000000000002</v>
      </c>
      <c r="AY69" s="134">
        <v>11589</v>
      </c>
      <c r="AZ69" s="134">
        <v>4</v>
      </c>
      <c r="BA69" s="135">
        <v>248.8</v>
      </c>
      <c r="BB69" s="28">
        <v>1.35</v>
      </c>
    </row>
    <row r="70" spans="1:54" s="18" customFormat="1">
      <c r="A70" s="18" t="str">
        <f t="shared" si="0"/>
        <v>Milwa</v>
      </c>
      <c r="B70" s="18" t="s">
        <v>352</v>
      </c>
      <c r="C70" s="18" t="s">
        <v>291</v>
      </c>
      <c r="D70" s="18" t="s">
        <v>285</v>
      </c>
      <c r="E70" s="134">
        <v>1496</v>
      </c>
      <c r="F70" s="134">
        <v>32</v>
      </c>
      <c r="G70" s="134">
        <v>832</v>
      </c>
      <c r="H70" s="134">
        <v>790</v>
      </c>
      <c r="I70" s="134">
        <v>11490</v>
      </c>
      <c r="J70" s="134">
        <v>843</v>
      </c>
      <c r="K70" s="134">
        <v>15200</v>
      </c>
      <c r="L70" s="134">
        <v>4006</v>
      </c>
      <c r="M70" s="134">
        <v>154.5</v>
      </c>
      <c r="N70" s="134">
        <v>47.3</v>
      </c>
      <c r="O70" s="28">
        <v>16.79</v>
      </c>
      <c r="P70" s="28">
        <v>86.81</v>
      </c>
      <c r="Q70" s="28">
        <v>3.42</v>
      </c>
      <c r="R70" s="28">
        <v>3.71</v>
      </c>
      <c r="S70" s="134">
        <v>34</v>
      </c>
      <c r="T70" s="134">
        <v>26</v>
      </c>
      <c r="U70" s="28">
        <v>4</v>
      </c>
      <c r="V70" s="134">
        <v>11797</v>
      </c>
      <c r="W70" s="18">
        <v>45</v>
      </c>
      <c r="X70" s="134">
        <v>12</v>
      </c>
      <c r="Y70" s="18">
        <v>69</v>
      </c>
      <c r="Z70" s="134">
        <v>27755</v>
      </c>
      <c r="AA70" s="18">
        <v>40</v>
      </c>
      <c r="AB70" s="134">
        <v>28</v>
      </c>
      <c r="AC70" s="18">
        <v>63</v>
      </c>
      <c r="AD70" s="28">
        <v>1.1499999999999999</v>
      </c>
      <c r="AE70" s="18">
        <v>57</v>
      </c>
      <c r="AF70" s="28">
        <v>1.19</v>
      </c>
      <c r="AG70" s="18">
        <v>55</v>
      </c>
      <c r="AH70" s="28">
        <v>3.15</v>
      </c>
      <c r="AI70" s="18">
        <v>34</v>
      </c>
      <c r="AJ70" s="28">
        <v>1.66</v>
      </c>
      <c r="AK70" s="18">
        <v>31</v>
      </c>
      <c r="AL70" s="134">
        <v>237</v>
      </c>
      <c r="AM70" s="18">
        <v>45</v>
      </c>
      <c r="AN70" s="134">
        <v>232</v>
      </c>
      <c r="AO70" s="18">
        <v>74</v>
      </c>
      <c r="AP70" s="134">
        <v>131</v>
      </c>
      <c r="AQ70" s="134">
        <v>67328</v>
      </c>
      <c r="AR70" s="134">
        <v>599</v>
      </c>
      <c r="AS70" s="18">
        <v>40</v>
      </c>
      <c r="AT70" s="134">
        <v>585</v>
      </c>
      <c r="AU70" s="18">
        <v>67</v>
      </c>
      <c r="AV70" s="134">
        <v>2113</v>
      </c>
      <c r="AW70" s="134">
        <v>3</v>
      </c>
      <c r="AX70" s="135">
        <v>45.6</v>
      </c>
      <c r="AY70" s="134">
        <v>1922</v>
      </c>
      <c r="AZ70" s="134">
        <v>2</v>
      </c>
      <c r="BA70" s="135">
        <v>41.5</v>
      </c>
      <c r="BB70" s="28">
        <v>0.9</v>
      </c>
    </row>
    <row r="71" spans="1:54" s="18" customFormat="1">
      <c r="A71" s="18" t="str">
        <f t="shared" si="0"/>
        <v>Minne</v>
      </c>
      <c r="B71" s="18" t="s">
        <v>353</v>
      </c>
      <c r="C71" s="18" t="s">
        <v>291</v>
      </c>
      <c r="D71" s="18" t="s">
        <v>285</v>
      </c>
      <c r="E71" s="134">
        <v>2757</v>
      </c>
      <c r="F71" s="134">
        <v>16</v>
      </c>
      <c r="G71" s="134">
        <v>1571</v>
      </c>
      <c r="H71" s="134">
        <v>1460</v>
      </c>
      <c r="I71" s="134">
        <v>30383</v>
      </c>
      <c r="J71" s="134">
        <v>2054</v>
      </c>
      <c r="K71" s="134">
        <v>23919</v>
      </c>
      <c r="L71" s="134">
        <v>5289</v>
      </c>
      <c r="M71" s="134">
        <v>506.4</v>
      </c>
      <c r="N71" s="134">
        <v>94.5</v>
      </c>
      <c r="O71" s="28">
        <v>16.79</v>
      </c>
      <c r="P71" s="28">
        <v>86.81</v>
      </c>
      <c r="Q71" s="28">
        <v>3.39</v>
      </c>
      <c r="R71" s="28">
        <v>3.72</v>
      </c>
      <c r="S71" s="134">
        <v>50</v>
      </c>
      <c r="T71" s="134">
        <v>35</v>
      </c>
      <c r="U71" s="28">
        <v>5</v>
      </c>
      <c r="V71" s="134">
        <v>22100</v>
      </c>
      <c r="W71" s="18">
        <v>22</v>
      </c>
      <c r="X71" s="134">
        <v>12</v>
      </c>
      <c r="Y71" s="18">
        <v>69</v>
      </c>
      <c r="Z71" s="134">
        <v>60788</v>
      </c>
      <c r="AA71" s="18">
        <v>19</v>
      </c>
      <c r="AB71" s="134">
        <v>34</v>
      </c>
      <c r="AC71" s="18">
        <v>44</v>
      </c>
      <c r="AD71" s="28">
        <v>1.21</v>
      </c>
      <c r="AE71" s="18">
        <v>25</v>
      </c>
      <c r="AF71" s="28">
        <v>1.29</v>
      </c>
      <c r="AG71" s="18">
        <v>18</v>
      </c>
      <c r="AH71" s="28">
        <v>3.14</v>
      </c>
      <c r="AI71" s="18">
        <v>35</v>
      </c>
      <c r="AJ71" s="28">
        <v>1.79</v>
      </c>
      <c r="AK71" s="18">
        <v>21</v>
      </c>
      <c r="AL71" s="134">
        <v>444</v>
      </c>
      <c r="AM71" s="18">
        <v>21</v>
      </c>
      <c r="AN71" s="134">
        <v>249</v>
      </c>
      <c r="AO71" s="18">
        <v>65</v>
      </c>
      <c r="AP71" s="134">
        <v>232</v>
      </c>
      <c r="AQ71" s="134">
        <v>97828</v>
      </c>
      <c r="AR71" s="134">
        <v>1260</v>
      </c>
      <c r="AS71" s="18">
        <v>19</v>
      </c>
      <c r="AT71" s="134">
        <v>695</v>
      </c>
      <c r="AU71" s="18">
        <v>45</v>
      </c>
      <c r="AV71" s="134">
        <v>5881</v>
      </c>
      <c r="AW71" s="134">
        <v>4</v>
      </c>
      <c r="AX71" s="135">
        <v>121.9</v>
      </c>
      <c r="AY71" s="134">
        <v>4152</v>
      </c>
      <c r="AZ71" s="134">
        <v>3</v>
      </c>
      <c r="BA71" s="135">
        <v>86.1</v>
      </c>
      <c r="BB71" s="28">
        <v>1.02</v>
      </c>
    </row>
    <row r="72" spans="1:54" s="18" customFormat="1">
      <c r="A72" s="18" t="str">
        <f t="shared" si="0"/>
        <v>Nashv</v>
      </c>
      <c r="B72" s="18" t="s">
        <v>354</v>
      </c>
      <c r="C72" s="18" t="s">
        <v>291</v>
      </c>
      <c r="D72" s="18" t="s">
        <v>285</v>
      </c>
      <c r="E72" s="134">
        <v>1145</v>
      </c>
      <c r="F72" s="134">
        <v>39</v>
      </c>
      <c r="G72" s="134">
        <v>653</v>
      </c>
      <c r="H72" s="134">
        <v>606</v>
      </c>
      <c r="I72" s="134">
        <v>14974</v>
      </c>
      <c r="J72" s="134">
        <v>1077</v>
      </c>
      <c r="K72" s="134">
        <v>11405</v>
      </c>
      <c r="L72" s="134">
        <v>2161</v>
      </c>
      <c r="M72" s="134">
        <v>69.900000000000006</v>
      </c>
      <c r="N72" s="134">
        <v>9.8000000000000007</v>
      </c>
      <c r="O72" s="28">
        <v>16.79</v>
      </c>
      <c r="P72" s="28">
        <v>86.81</v>
      </c>
      <c r="Q72" s="28">
        <v>3.21</v>
      </c>
      <c r="R72" s="28">
        <v>3.57</v>
      </c>
      <c r="S72" s="134">
        <v>48</v>
      </c>
      <c r="T72" s="134">
        <v>49</v>
      </c>
      <c r="U72" s="28">
        <v>4</v>
      </c>
      <c r="V72" s="134">
        <v>18652</v>
      </c>
      <c r="W72" s="18">
        <v>30</v>
      </c>
      <c r="X72" s="134">
        <v>24</v>
      </c>
      <c r="Y72" s="18">
        <v>8</v>
      </c>
      <c r="Z72" s="134">
        <v>35781</v>
      </c>
      <c r="AA72" s="18">
        <v>33</v>
      </c>
      <c r="AB72" s="134">
        <v>47</v>
      </c>
      <c r="AC72" s="18">
        <v>11</v>
      </c>
      <c r="AD72" s="28">
        <v>1.23</v>
      </c>
      <c r="AE72" s="18">
        <v>20</v>
      </c>
      <c r="AF72" s="28">
        <v>1.28</v>
      </c>
      <c r="AG72" s="18">
        <v>20</v>
      </c>
      <c r="AH72" s="28">
        <v>3.63</v>
      </c>
      <c r="AI72" s="18">
        <v>22</v>
      </c>
      <c r="AJ72" s="28">
        <v>1.79</v>
      </c>
      <c r="AK72" s="18">
        <v>21</v>
      </c>
      <c r="AL72" s="134">
        <v>377</v>
      </c>
      <c r="AM72" s="18">
        <v>28</v>
      </c>
      <c r="AN72" s="134">
        <v>491</v>
      </c>
      <c r="AO72" s="18">
        <v>7</v>
      </c>
      <c r="AP72" s="134">
        <v>199</v>
      </c>
      <c r="AQ72" s="134">
        <v>66124</v>
      </c>
      <c r="AR72" s="134">
        <v>801</v>
      </c>
      <c r="AS72" s="18">
        <v>34</v>
      </c>
      <c r="AT72" s="134">
        <v>1034</v>
      </c>
      <c r="AU72" s="18">
        <v>11</v>
      </c>
      <c r="AV72" s="134">
        <v>1406</v>
      </c>
      <c r="AW72" s="134">
        <v>2</v>
      </c>
      <c r="AX72" s="135">
        <v>31.5</v>
      </c>
      <c r="AY72" s="134">
        <v>688</v>
      </c>
      <c r="AZ72" s="134">
        <v>1</v>
      </c>
      <c r="BA72" s="135">
        <v>15.4</v>
      </c>
      <c r="BB72" s="28">
        <v>1.01</v>
      </c>
    </row>
    <row r="73" spans="1:54" s="18" customFormat="1">
      <c r="A73" s="18" t="str">
        <f t="shared" ref="A73:A113" si="1">LEFT(B73,5)</f>
        <v>New H</v>
      </c>
      <c r="B73" s="18" t="s">
        <v>355</v>
      </c>
      <c r="C73" s="18" t="s">
        <v>293</v>
      </c>
      <c r="D73" s="18" t="s">
        <v>285</v>
      </c>
      <c r="E73" s="134">
        <v>616</v>
      </c>
      <c r="F73" s="134">
        <v>67</v>
      </c>
      <c r="G73" s="134">
        <v>344</v>
      </c>
      <c r="H73" s="134">
        <v>323</v>
      </c>
      <c r="I73" s="134">
        <v>7860</v>
      </c>
      <c r="J73" s="134">
        <v>589</v>
      </c>
      <c r="K73" s="134">
        <v>4018</v>
      </c>
      <c r="L73" s="134">
        <v>1014</v>
      </c>
      <c r="M73" s="134">
        <v>32</v>
      </c>
      <c r="N73" s="134">
        <v>9.3000000000000007</v>
      </c>
      <c r="O73" s="28">
        <v>16.79</v>
      </c>
      <c r="P73" s="28">
        <v>86.81</v>
      </c>
      <c r="Q73" s="28">
        <v>3.59</v>
      </c>
      <c r="R73" s="28">
        <v>3.9</v>
      </c>
      <c r="S73" s="134">
        <v>39</v>
      </c>
      <c r="T73" s="134">
        <v>29</v>
      </c>
      <c r="U73" s="28">
        <v>3.25</v>
      </c>
      <c r="V73" s="134">
        <v>6966</v>
      </c>
      <c r="W73" s="18">
        <v>59</v>
      </c>
      <c r="X73" s="134">
        <v>16</v>
      </c>
      <c r="Y73" s="18">
        <v>43</v>
      </c>
      <c r="Z73" s="134">
        <v>14560</v>
      </c>
      <c r="AA73" s="18">
        <v>59</v>
      </c>
      <c r="AB73" s="134">
        <v>35</v>
      </c>
      <c r="AC73" s="18">
        <v>40</v>
      </c>
      <c r="AD73" s="28">
        <v>1.17</v>
      </c>
      <c r="AE73" s="18">
        <v>47</v>
      </c>
      <c r="AF73" s="28">
        <v>1.2</v>
      </c>
      <c r="AG73" s="18">
        <v>50</v>
      </c>
      <c r="AH73" s="28">
        <v>3.02</v>
      </c>
      <c r="AI73" s="18">
        <v>40</v>
      </c>
      <c r="AJ73" s="28">
        <v>1.56</v>
      </c>
      <c r="AK73" s="18">
        <v>41</v>
      </c>
      <c r="AL73" s="134">
        <v>139</v>
      </c>
      <c r="AM73" s="18">
        <v>59</v>
      </c>
      <c r="AN73" s="134">
        <v>327</v>
      </c>
      <c r="AO73" s="18">
        <v>43</v>
      </c>
      <c r="AP73" s="134">
        <v>50</v>
      </c>
      <c r="AQ73" s="134">
        <v>8271</v>
      </c>
      <c r="AR73" s="134">
        <v>304</v>
      </c>
      <c r="AS73" s="18">
        <v>59</v>
      </c>
      <c r="AT73" s="134">
        <v>717</v>
      </c>
      <c r="AU73" s="18">
        <v>44</v>
      </c>
      <c r="AV73" s="134">
        <v>481</v>
      </c>
      <c r="AW73" s="134">
        <v>1</v>
      </c>
      <c r="AX73" s="135">
        <v>10.1</v>
      </c>
      <c r="AY73" s="134">
        <v>336</v>
      </c>
      <c r="AZ73" s="134">
        <v>1</v>
      </c>
      <c r="BA73" s="135">
        <v>7</v>
      </c>
      <c r="BB73" s="28">
        <v>0.93</v>
      </c>
    </row>
    <row r="74" spans="1:54" s="18" customFormat="1">
      <c r="A74" s="18" t="str">
        <f t="shared" si="1"/>
        <v>New O</v>
      </c>
      <c r="B74" s="18" t="s">
        <v>356</v>
      </c>
      <c r="C74" s="18" t="s">
        <v>291</v>
      </c>
      <c r="D74" s="18" t="s">
        <v>285</v>
      </c>
      <c r="E74" s="134">
        <v>1065</v>
      </c>
      <c r="F74" s="134">
        <v>44</v>
      </c>
      <c r="G74" s="134">
        <v>566</v>
      </c>
      <c r="H74" s="134">
        <v>525</v>
      </c>
      <c r="I74" s="134">
        <v>4763</v>
      </c>
      <c r="J74" s="134">
        <v>375</v>
      </c>
      <c r="K74" s="134">
        <v>7670</v>
      </c>
      <c r="L74" s="134">
        <v>1774</v>
      </c>
      <c r="M74" s="134">
        <v>67.2</v>
      </c>
      <c r="N74" s="134">
        <v>19.899999999999999</v>
      </c>
      <c r="O74" s="28">
        <v>16.79</v>
      </c>
      <c r="P74" s="28">
        <v>86.81</v>
      </c>
      <c r="Q74" s="28">
        <v>3.28</v>
      </c>
      <c r="R74" s="28">
        <v>3.56</v>
      </c>
      <c r="S74" s="134">
        <v>44</v>
      </c>
      <c r="T74" s="134">
        <v>36</v>
      </c>
      <c r="U74" s="28">
        <v>4</v>
      </c>
      <c r="V74" s="134">
        <v>9353</v>
      </c>
      <c r="W74" s="18">
        <v>52</v>
      </c>
      <c r="X74" s="134">
        <v>13</v>
      </c>
      <c r="Y74" s="18">
        <v>60</v>
      </c>
      <c r="Z74" s="134">
        <v>19125</v>
      </c>
      <c r="AA74" s="18">
        <v>52</v>
      </c>
      <c r="AB74" s="134">
        <v>28</v>
      </c>
      <c r="AC74" s="18">
        <v>63</v>
      </c>
      <c r="AD74" s="28">
        <v>1.2</v>
      </c>
      <c r="AE74" s="18">
        <v>27</v>
      </c>
      <c r="AF74" s="28">
        <v>1.22</v>
      </c>
      <c r="AG74" s="18">
        <v>37</v>
      </c>
      <c r="AH74" s="28">
        <v>3.8</v>
      </c>
      <c r="AI74" s="18">
        <v>16</v>
      </c>
      <c r="AJ74" s="28">
        <v>1.88</v>
      </c>
      <c r="AK74" s="18">
        <v>16</v>
      </c>
      <c r="AL74" s="134">
        <v>190</v>
      </c>
      <c r="AM74" s="18">
        <v>52</v>
      </c>
      <c r="AN74" s="134">
        <v>270</v>
      </c>
      <c r="AO74" s="18">
        <v>58</v>
      </c>
      <c r="AP74" s="134">
        <v>127</v>
      </c>
      <c r="AQ74" s="134">
        <v>34397</v>
      </c>
      <c r="AR74" s="134">
        <v>441</v>
      </c>
      <c r="AS74" s="18">
        <v>51</v>
      </c>
      <c r="AT74" s="134">
        <v>629</v>
      </c>
      <c r="AU74" s="18">
        <v>59</v>
      </c>
      <c r="AV74" s="134">
        <v>1191</v>
      </c>
      <c r="AW74" s="134">
        <v>2</v>
      </c>
      <c r="AX74" s="135">
        <v>27.4</v>
      </c>
      <c r="AY74" s="134">
        <v>1748</v>
      </c>
      <c r="AZ74" s="134">
        <v>3</v>
      </c>
      <c r="BA74" s="135">
        <v>40.299999999999997</v>
      </c>
      <c r="BB74" s="28">
        <v>0.89</v>
      </c>
    </row>
    <row r="75" spans="1:54" s="18" customFormat="1">
      <c r="A75" s="18" t="str">
        <f t="shared" si="1"/>
        <v>New Y</v>
      </c>
      <c r="B75" s="18" t="s">
        <v>357</v>
      </c>
      <c r="C75" s="18" t="s">
        <v>289</v>
      </c>
      <c r="D75" s="18" t="s">
        <v>285</v>
      </c>
      <c r="E75" s="134">
        <v>18946</v>
      </c>
      <c r="F75" s="134">
        <v>1</v>
      </c>
      <c r="G75" s="134">
        <v>9056</v>
      </c>
      <c r="H75" s="134">
        <v>6040</v>
      </c>
      <c r="I75" s="134">
        <v>117496</v>
      </c>
      <c r="J75" s="134">
        <v>7600</v>
      </c>
      <c r="K75" s="134">
        <v>112322</v>
      </c>
      <c r="L75" s="134">
        <v>19837</v>
      </c>
      <c r="M75" s="134">
        <v>21434.6</v>
      </c>
      <c r="N75" s="134">
        <v>4114.5</v>
      </c>
      <c r="O75" s="28">
        <v>16.79</v>
      </c>
      <c r="P75" s="28">
        <v>86.81</v>
      </c>
      <c r="Q75" s="28">
        <v>3.65</v>
      </c>
      <c r="R75" s="28">
        <v>3.99</v>
      </c>
      <c r="S75" s="134">
        <v>72</v>
      </c>
      <c r="T75" s="134">
        <v>52</v>
      </c>
      <c r="U75" s="28">
        <v>6.75</v>
      </c>
      <c r="V75" s="134">
        <v>255798</v>
      </c>
      <c r="W75" s="18">
        <v>1</v>
      </c>
      <c r="X75" s="134">
        <v>28</v>
      </c>
      <c r="Y75" s="18">
        <v>2</v>
      </c>
      <c r="Z75" s="134">
        <v>544063</v>
      </c>
      <c r="AA75" s="18">
        <v>1</v>
      </c>
      <c r="AB75" s="134">
        <v>59</v>
      </c>
      <c r="AC75" s="18">
        <v>4</v>
      </c>
      <c r="AD75" s="28">
        <v>1.33</v>
      </c>
      <c r="AE75" s="18">
        <v>3</v>
      </c>
      <c r="AF75" s="28">
        <v>1.4</v>
      </c>
      <c r="AG75" s="18">
        <v>2</v>
      </c>
      <c r="AH75" s="28">
        <v>4.4400000000000004</v>
      </c>
      <c r="AI75" s="18">
        <v>3</v>
      </c>
      <c r="AJ75" s="28">
        <v>2.13</v>
      </c>
      <c r="AK75" s="18">
        <v>6</v>
      </c>
      <c r="AL75" s="134">
        <v>5146</v>
      </c>
      <c r="AM75" s="18">
        <v>1</v>
      </c>
      <c r="AN75" s="134">
        <v>557</v>
      </c>
      <c r="AO75" s="18">
        <v>2</v>
      </c>
      <c r="AP75" s="134">
        <v>2541</v>
      </c>
      <c r="AQ75" s="134">
        <v>481177</v>
      </c>
      <c r="AR75" s="134">
        <v>11837</v>
      </c>
      <c r="AS75" s="18">
        <v>1</v>
      </c>
      <c r="AT75" s="134">
        <v>1281</v>
      </c>
      <c r="AU75" s="18">
        <v>3</v>
      </c>
      <c r="AV75" s="134">
        <v>53981</v>
      </c>
      <c r="AW75" s="134">
        <v>9</v>
      </c>
      <c r="AX75" s="135">
        <v>1174.4000000000001</v>
      </c>
      <c r="AY75" s="134">
        <v>440647</v>
      </c>
      <c r="AZ75" s="134">
        <v>49</v>
      </c>
      <c r="BA75" s="135">
        <v>9586.7999999999993</v>
      </c>
      <c r="BB75" s="28">
        <v>1.1100000000000001</v>
      </c>
    </row>
    <row r="76" spans="1:54" s="18" customFormat="1">
      <c r="A76" s="18" t="str">
        <f t="shared" si="1"/>
        <v>Oklah</v>
      </c>
      <c r="B76" s="18" t="s">
        <v>358</v>
      </c>
      <c r="C76" s="18" t="s">
        <v>293</v>
      </c>
      <c r="D76" s="18" t="s">
        <v>285</v>
      </c>
      <c r="E76" s="134">
        <v>983</v>
      </c>
      <c r="F76" s="134">
        <v>48</v>
      </c>
      <c r="G76" s="134">
        <v>549</v>
      </c>
      <c r="H76" s="134">
        <v>515</v>
      </c>
      <c r="I76" s="134">
        <v>10647</v>
      </c>
      <c r="J76" s="134">
        <v>924</v>
      </c>
      <c r="K76" s="134">
        <v>13048</v>
      </c>
      <c r="L76" s="134">
        <v>2751</v>
      </c>
      <c r="M76" s="134">
        <v>14.2</v>
      </c>
      <c r="N76" s="134">
        <v>2.8</v>
      </c>
      <c r="O76" s="28">
        <v>16.79</v>
      </c>
      <c r="P76" s="28">
        <v>86.81</v>
      </c>
      <c r="Q76" s="28">
        <v>3.26</v>
      </c>
      <c r="R76" s="28">
        <v>3.53</v>
      </c>
      <c r="S76" s="134">
        <v>38</v>
      </c>
      <c r="T76" s="134">
        <v>37</v>
      </c>
      <c r="U76" s="28">
        <v>2.5</v>
      </c>
      <c r="V76" s="134">
        <v>12035</v>
      </c>
      <c r="W76" s="18">
        <v>44</v>
      </c>
      <c r="X76" s="134">
        <v>18</v>
      </c>
      <c r="Y76" s="18">
        <v>30</v>
      </c>
      <c r="Z76" s="134">
        <v>25182</v>
      </c>
      <c r="AA76" s="18">
        <v>43</v>
      </c>
      <c r="AB76" s="134">
        <v>38</v>
      </c>
      <c r="AC76" s="18">
        <v>30</v>
      </c>
      <c r="AD76" s="28">
        <v>1.1499999999999999</v>
      </c>
      <c r="AE76" s="18">
        <v>57</v>
      </c>
      <c r="AF76" s="28">
        <v>1.18</v>
      </c>
      <c r="AG76" s="18">
        <v>61</v>
      </c>
      <c r="AH76" s="28">
        <v>2.48</v>
      </c>
      <c r="AI76" s="18">
        <v>64</v>
      </c>
      <c r="AJ76" s="28">
        <v>1.46</v>
      </c>
      <c r="AK76" s="18">
        <v>56</v>
      </c>
      <c r="AL76" s="134">
        <v>242</v>
      </c>
      <c r="AM76" s="18">
        <v>43</v>
      </c>
      <c r="AN76" s="134">
        <v>362</v>
      </c>
      <c r="AO76" s="18">
        <v>34</v>
      </c>
      <c r="AP76" s="134">
        <v>115</v>
      </c>
      <c r="AQ76" s="134">
        <v>38161</v>
      </c>
      <c r="AR76" s="134">
        <v>543</v>
      </c>
      <c r="AS76" s="18">
        <v>43</v>
      </c>
      <c r="AT76" s="134">
        <v>803</v>
      </c>
      <c r="AU76" s="18">
        <v>34</v>
      </c>
      <c r="AV76" s="134">
        <v>274</v>
      </c>
      <c r="AW76" s="134">
        <v>1</v>
      </c>
      <c r="AX76" s="135">
        <v>5.9</v>
      </c>
      <c r="AY76" s="134">
        <v>170</v>
      </c>
      <c r="AZ76" s="134">
        <v>0</v>
      </c>
      <c r="BA76" s="135">
        <v>3.7</v>
      </c>
      <c r="BB76" s="28">
        <v>0.86</v>
      </c>
    </row>
    <row r="77" spans="1:54" s="18" customFormat="1">
      <c r="A77" s="18" t="str">
        <f t="shared" si="1"/>
        <v>Omaha</v>
      </c>
      <c r="B77" s="18" t="s">
        <v>359</v>
      </c>
      <c r="C77" s="18" t="s">
        <v>293</v>
      </c>
      <c r="D77" s="18" t="s">
        <v>285</v>
      </c>
      <c r="E77" s="134">
        <v>646</v>
      </c>
      <c r="F77" s="134">
        <v>62</v>
      </c>
      <c r="G77" s="134">
        <v>361</v>
      </c>
      <c r="H77" s="134">
        <v>338</v>
      </c>
      <c r="I77" s="134">
        <v>5119</v>
      </c>
      <c r="J77" s="134">
        <v>442</v>
      </c>
      <c r="K77" s="134">
        <v>6725</v>
      </c>
      <c r="L77" s="134">
        <v>1384</v>
      </c>
      <c r="M77" s="134">
        <v>19.399999999999999</v>
      </c>
      <c r="N77" s="134">
        <v>4.0999999999999996</v>
      </c>
      <c r="O77" s="28">
        <v>16.79</v>
      </c>
      <c r="P77" s="28">
        <v>86.81</v>
      </c>
      <c r="Q77" s="28">
        <v>3.44</v>
      </c>
      <c r="R77" s="28">
        <v>3.64</v>
      </c>
      <c r="S77" s="134">
        <v>44</v>
      </c>
      <c r="T77" s="134">
        <v>39</v>
      </c>
      <c r="U77" s="28">
        <v>2.5</v>
      </c>
      <c r="V77" s="134">
        <v>4737</v>
      </c>
      <c r="W77" s="18">
        <v>74</v>
      </c>
      <c r="X77" s="134">
        <v>11</v>
      </c>
      <c r="Y77" s="18">
        <v>80</v>
      </c>
      <c r="Z77" s="134">
        <v>10721</v>
      </c>
      <c r="AA77" s="18">
        <v>69</v>
      </c>
      <c r="AB77" s="134">
        <v>24</v>
      </c>
      <c r="AC77" s="18">
        <v>80</v>
      </c>
      <c r="AD77" s="28">
        <v>1.1100000000000001</v>
      </c>
      <c r="AE77" s="18">
        <v>79</v>
      </c>
      <c r="AF77" s="28">
        <v>1.1299999999999999</v>
      </c>
      <c r="AG77" s="18">
        <v>81</v>
      </c>
      <c r="AH77" s="28">
        <v>2.15</v>
      </c>
      <c r="AI77" s="18">
        <v>77</v>
      </c>
      <c r="AJ77" s="28">
        <v>1.29</v>
      </c>
      <c r="AK77" s="18">
        <v>78</v>
      </c>
      <c r="AL77" s="134">
        <v>95</v>
      </c>
      <c r="AM77" s="18">
        <v>72</v>
      </c>
      <c r="AN77" s="134">
        <v>217</v>
      </c>
      <c r="AO77" s="18">
        <v>77</v>
      </c>
      <c r="AP77" s="134">
        <v>32</v>
      </c>
      <c r="AQ77" s="134">
        <v>8764</v>
      </c>
      <c r="AR77" s="134">
        <v>219</v>
      </c>
      <c r="AS77" s="18">
        <v>72</v>
      </c>
      <c r="AT77" s="134">
        <v>494</v>
      </c>
      <c r="AU77" s="18">
        <v>84</v>
      </c>
      <c r="AV77" s="134">
        <v>792</v>
      </c>
      <c r="AW77" s="134">
        <v>2</v>
      </c>
      <c r="AX77" s="135">
        <v>16.2</v>
      </c>
      <c r="AY77" s="134">
        <v>175</v>
      </c>
      <c r="AZ77" s="134">
        <v>1</v>
      </c>
      <c r="BA77" s="135">
        <v>3.6</v>
      </c>
      <c r="BB77" s="28">
        <v>0.87</v>
      </c>
    </row>
    <row r="78" spans="1:54" s="18" customFormat="1">
      <c r="A78" s="18" t="str">
        <f t="shared" si="1"/>
        <v>Orlan</v>
      </c>
      <c r="B78" s="18" t="s">
        <v>360</v>
      </c>
      <c r="C78" s="18" t="s">
        <v>291</v>
      </c>
      <c r="D78" s="18" t="s">
        <v>285</v>
      </c>
      <c r="E78" s="134">
        <v>1475</v>
      </c>
      <c r="F78" s="134">
        <v>33</v>
      </c>
      <c r="G78" s="134">
        <v>841</v>
      </c>
      <c r="H78" s="134">
        <v>781</v>
      </c>
      <c r="I78" s="134">
        <v>13353</v>
      </c>
      <c r="J78" s="134">
        <v>1036</v>
      </c>
      <c r="K78" s="134">
        <v>16909</v>
      </c>
      <c r="L78" s="134">
        <v>2408</v>
      </c>
      <c r="M78" s="134">
        <v>160.80000000000001</v>
      </c>
      <c r="N78" s="134">
        <v>28.5</v>
      </c>
      <c r="O78" s="28">
        <v>16.79</v>
      </c>
      <c r="P78" s="28">
        <v>86.81</v>
      </c>
      <c r="Q78" s="28">
        <v>3.24</v>
      </c>
      <c r="R78" s="28">
        <v>3.65</v>
      </c>
      <c r="S78" s="134">
        <v>80</v>
      </c>
      <c r="T78" s="134">
        <v>75</v>
      </c>
      <c r="U78" s="28">
        <v>4</v>
      </c>
      <c r="V78" s="134">
        <v>23336</v>
      </c>
      <c r="W78" s="18">
        <v>21</v>
      </c>
      <c r="X78" s="134">
        <v>22</v>
      </c>
      <c r="Y78" s="18">
        <v>15</v>
      </c>
      <c r="Z78" s="134">
        <v>46607</v>
      </c>
      <c r="AA78" s="18">
        <v>25</v>
      </c>
      <c r="AB78" s="134">
        <v>45</v>
      </c>
      <c r="AC78" s="18">
        <v>13</v>
      </c>
      <c r="AD78" s="28">
        <v>1.2</v>
      </c>
      <c r="AE78" s="18">
        <v>27</v>
      </c>
      <c r="AF78" s="28">
        <v>1.27</v>
      </c>
      <c r="AG78" s="18">
        <v>24</v>
      </c>
      <c r="AH78" s="28">
        <v>2.58</v>
      </c>
      <c r="AI78" s="18">
        <v>59</v>
      </c>
      <c r="AJ78" s="28">
        <v>1.42</v>
      </c>
      <c r="AK78" s="18">
        <v>60</v>
      </c>
      <c r="AL78" s="134">
        <v>471</v>
      </c>
      <c r="AM78" s="18">
        <v>20</v>
      </c>
      <c r="AN78" s="134">
        <v>450</v>
      </c>
      <c r="AO78" s="18">
        <v>13</v>
      </c>
      <c r="AP78" s="134">
        <v>248</v>
      </c>
      <c r="AQ78" s="134">
        <v>63858</v>
      </c>
      <c r="AR78" s="134">
        <v>1031</v>
      </c>
      <c r="AS78" s="18">
        <v>23</v>
      </c>
      <c r="AT78" s="134">
        <v>984</v>
      </c>
      <c r="AU78" s="18">
        <v>14</v>
      </c>
      <c r="AV78" s="134">
        <v>2746</v>
      </c>
      <c r="AW78" s="134">
        <v>4</v>
      </c>
      <c r="AX78" s="135">
        <v>60.8</v>
      </c>
      <c r="AY78" s="134">
        <v>1704</v>
      </c>
      <c r="AZ78" s="134">
        <v>2</v>
      </c>
      <c r="BA78" s="135">
        <v>37.700000000000003</v>
      </c>
      <c r="BB78" s="28">
        <v>1.07</v>
      </c>
    </row>
    <row r="79" spans="1:54" s="18" customFormat="1">
      <c r="A79" s="18" t="str">
        <f t="shared" si="1"/>
        <v>Oxnar</v>
      </c>
      <c r="B79" s="18" t="s">
        <v>361</v>
      </c>
      <c r="C79" s="18" t="s">
        <v>293</v>
      </c>
      <c r="D79" s="18" t="s">
        <v>285</v>
      </c>
      <c r="E79" s="134">
        <v>710</v>
      </c>
      <c r="F79" s="134">
        <v>59</v>
      </c>
      <c r="G79" s="134">
        <v>397</v>
      </c>
      <c r="H79" s="134">
        <v>372</v>
      </c>
      <c r="I79" s="134">
        <v>7015</v>
      </c>
      <c r="J79" s="134">
        <v>392</v>
      </c>
      <c r="K79" s="134">
        <v>6324</v>
      </c>
      <c r="L79" s="134">
        <v>1214</v>
      </c>
      <c r="M79" s="134">
        <v>21.1</v>
      </c>
      <c r="N79" s="134">
        <v>4.5</v>
      </c>
      <c r="O79" s="28">
        <v>16.79</v>
      </c>
      <c r="P79" s="28">
        <v>86.81</v>
      </c>
      <c r="Q79" s="28">
        <v>3.51</v>
      </c>
      <c r="R79" s="28">
        <v>4.0199999999999996</v>
      </c>
      <c r="S79" s="134">
        <v>59</v>
      </c>
      <c r="T79" s="134">
        <v>43</v>
      </c>
      <c r="U79" s="28">
        <v>2.5</v>
      </c>
      <c r="V79" s="134">
        <v>5029</v>
      </c>
      <c r="W79" s="18">
        <v>71</v>
      </c>
      <c r="X79" s="134">
        <v>10</v>
      </c>
      <c r="Y79" s="18">
        <v>86</v>
      </c>
      <c r="Z79" s="134">
        <v>12445</v>
      </c>
      <c r="AA79" s="18">
        <v>64</v>
      </c>
      <c r="AB79" s="134">
        <v>26</v>
      </c>
      <c r="AC79" s="18">
        <v>71</v>
      </c>
      <c r="AD79" s="28">
        <v>1.1000000000000001</v>
      </c>
      <c r="AE79" s="18">
        <v>87</v>
      </c>
      <c r="AF79" s="28">
        <v>1.1100000000000001</v>
      </c>
      <c r="AG79" s="18">
        <v>95</v>
      </c>
      <c r="AH79" s="28">
        <v>2.44</v>
      </c>
      <c r="AI79" s="18">
        <v>66</v>
      </c>
      <c r="AJ79" s="28">
        <v>1.48</v>
      </c>
      <c r="AK79" s="18">
        <v>52</v>
      </c>
      <c r="AL79" s="134">
        <v>87</v>
      </c>
      <c r="AM79" s="18">
        <v>74</v>
      </c>
      <c r="AN79" s="134">
        <v>182</v>
      </c>
      <c r="AO79" s="18">
        <v>88</v>
      </c>
      <c r="AP79" s="134">
        <v>55</v>
      </c>
      <c r="AQ79" s="134">
        <v>9320</v>
      </c>
      <c r="AR79" s="134">
        <v>265</v>
      </c>
      <c r="AS79" s="18">
        <v>64</v>
      </c>
      <c r="AT79" s="134">
        <v>543</v>
      </c>
      <c r="AU79" s="18">
        <v>75</v>
      </c>
      <c r="AV79" s="134">
        <v>330</v>
      </c>
      <c r="AW79" s="134">
        <v>1</v>
      </c>
      <c r="AX79" s="135">
        <v>7</v>
      </c>
      <c r="AY79" s="134">
        <v>215</v>
      </c>
      <c r="AZ79" s="134">
        <v>1</v>
      </c>
      <c r="BA79" s="135">
        <v>4.5999999999999996</v>
      </c>
      <c r="BB79" s="28">
        <v>1.22</v>
      </c>
    </row>
    <row r="80" spans="1:54" s="18" customFormat="1">
      <c r="A80" s="18" t="str">
        <f t="shared" si="1"/>
        <v>Pensa</v>
      </c>
      <c r="B80" s="18" t="s">
        <v>362</v>
      </c>
      <c r="C80" s="18" t="s">
        <v>295</v>
      </c>
      <c r="D80" s="18" t="s">
        <v>285</v>
      </c>
      <c r="E80" s="134">
        <v>361</v>
      </c>
      <c r="F80" s="134">
        <v>91</v>
      </c>
      <c r="G80" s="134">
        <v>203</v>
      </c>
      <c r="H80" s="134">
        <v>190</v>
      </c>
      <c r="I80" s="134">
        <v>1419</v>
      </c>
      <c r="J80" s="134">
        <v>187</v>
      </c>
      <c r="K80" s="134">
        <v>5058</v>
      </c>
      <c r="L80" s="134">
        <v>820</v>
      </c>
      <c r="M80" s="134">
        <v>6.8</v>
      </c>
      <c r="N80" s="134">
        <v>1.4</v>
      </c>
      <c r="O80" s="28">
        <v>16.79</v>
      </c>
      <c r="P80" s="28">
        <v>86.81</v>
      </c>
      <c r="Q80" s="28">
        <v>3.24</v>
      </c>
      <c r="R80" s="28">
        <v>3.65</v>
      </c>
      <c r="S80" s="134">
        <v>34</v>
      </c>
      <c r="T80" s="134">
        <v>37</v>
      </c>
      <c r="U80" s="28">
        <v>1.5</v>
      </c>
      <c r="V80" s="134">
        <v>2755</v>
      </c>
      <c r="W80" s="18">
        <v>87</v>
      </c>
      <c r="X80" s="134">
        <v>11</v>
      </c>
      <c r="Y80" s="18">
        <v>80</v>
      </c>
      <c r="Z80" s="134">
        <v>5655</v>
      </c>
      <c r="AA80" s="18">
        <v>88</v>
      </c>
      <c r="AB80" s="134">
        <v>22</v>
      </c>
      <c r="AC80" s="18">
        <v>86</v>
      </c>
      <c r="AD80" s="28">
        <v>1.1100000000000001</v>
      </c>
      <c r="AE80" s="18">
        <v>79</v>
      </c>
      <c r="AF80" s="28">
        <v>1.1599999999999999</v>
      </c>
      <c r="AG80" s="18">
        <v>69</v>
      </c>
      <c r="AH80" s="28">
        <v>1.31</v>
      </c>
      <c r="AI80" s="18">
        <v>101</v>
      </c>
      <c r="AJ80" s="28">
        <v>1.0900000000000001</v>
      </c>
      <c r="AK80" s="18">
        <v>100</v>
      </c>
      <c r="AL80" s="134">
        <v>55</v>
      </c>
      <c r="AM80" s="18">
        <v>84</v>
      </c>
      <c r="AN80" s="134">
        <v>215</v>
      </c>
      <c r="AO80" s="18">
        <v>80</v>
      </c>
      <c r="AP80" s="134">
        <v>22</v>
      </c>
      <c r="AQ80" s="134">
        <v>6415</v>
      </c>
      <c r="AR80" s="134">
        <v>119</v>
      </c>
      <c r="AS80" s="18">
        <v>88</v>
      </c>
      <c r="AT80" s="134">
        <v>463</v>
      </c>
      <c r="AU80" s="18">
        <v>86</v>
      </c>
      <c r="AV80" s="134">
        <v>89</v>
      </c>
      <c r="AW80" s="134">
        <v>0</v>
      </c>
      <c r="AX80" s="135">
        <v>1.9</v>
      </c>
      <c r="AY80" s="134">
        <v>54</v>
      </c>
      <c r="AZ80" s="134">
        <v>0</v>
      </c>
      <c r="BA80" s="135">
        <v>1.2</v>
      </c>
      <c r="BB80" s="28">
        <v>0.93</v>
      </c>
    </row>
    <row r="81" spans="1:54" s="18" customFormat="1">
      <c r="A81" s="18" t="str">
        <f t="shared" si="1"/>
        <v>Phila</v>
      </c>
      <c r="B81" s="18" t="s">
        <v>363</v>
      </c>
      <c r="C81" s="18" t="s">
        <v>289</v>
      </c>
      <c r="D81" s="18" t="s">
        <v>285</v>
      </c>
      <c r="E81" s="134">
        <v>5381</v>
      </c>
      <c r="F81" s="134">
        <v>5</v>
      </c>
      <c r="G81" s="134">
        <v>3019</v>
      </c>
      <c r="H81" s="134">
        <v>2406</v>
      </c>
      <c r="I81" s="134">
        <v>34246</v>
      </c>
      <c r="J81" s="134">
        <v>2676</v>
      </c>
      <c r="K81" s="134">
        <v>45784</v>
      </c>
      <c r="L81" s="134">
        <v>8339</v>
      </c>
      <c r="M81" s="134">
        <v>1787.2</v>
      </c>
      <c r="N81" s="134">
        <v>358.6</v>
      </c>
      <c r="O81" s="28">
        <v>16.79</v>
      </c>
      <c r="P81" s="28">
        <v>86.81</v>
      </c>
      <c r="Q81" s="28">
        <v>3.41</v>
      </c>
      <c r="R81" s="28">
        <v>3.79</v>
      </c>
      <c r="S81" s="134">
        <v>61</v>
      </c>
      <c r="T81" s="134">
        <v>54</v>
      </c>
      <c r="U81" s="28">
        <v>5</v>
      </c>
      <c r="V81" s="134">
        <v>75558</v>
      </c>
      <c r="W81" s="18">
        <v>6</v>
      </c>
      <c r="X81" s="134">
        <v>23</v>
      </c>
      <c r="Y81" s="18">
        <v>12</v>
      </c>
      <c r="Z81" s="134">
        <v>156027</v>
      </c>
      <c r="AA81" s="18">
        <v>7</v>
      </c>
      <c r="AB81" s="134">
        <v>48</v>
      </c>
      <c r="AC81" s="18">
        <v>9</v>
      </c>
      <c r="AD81" s="28">
        <v>1.26</v>
      </c>
      <c r="AE81" s="18">
        <v>10</v>
      </c>
      <c r="AF81" s="28">
        <v>1.34</v>
      </c>
      <c r="AG81" s="18">
        <v>10</v>
      </c>
      <c r="AH81" s="28">
        <v>3.46</v>
      </c>
      <c r="AI81" s="18">
        <v>24</v>
      </c>
      <c r="AJ81" s="28">
        <v>1.75</v>
      </c>
      <c r="AK81" s="18">
        <v>27</v>
      </c>
      <c r="AL81" s="134">
        <v>1520</v>
      </c>
      <c r="AM81" s="18">
        <v>6</v>
      </c>
      <c r="AN81" s="134">
        <v>458</v>
      </c>
      <c r="AO81" s="18">
        <v>12</v>
      </c>
      <c r="AP81" s="134">
        <v>730</v>
      </c>
      <c r="AQ81" s="134">
        <v>175393</v>
      </c>
      <c r="AR81" s="134">
        <v>3387</v>
      </c>
      <c r="AS81" s="18">
        <v>7</v>
      </c>
      <c r="AT81" s="134">
        <v>1018</v>
      </c>
      <c r="AU81" s="18">
        <v>12</v>
      </c>
      <c r="AV81" s="134">
        <v>10237</v>
      </c>
      <c r="AW81" s="134">
        <v>4</v>
      </c>
      <c r="AX81" s="135">
        <v>222.2</v>
      </c>
      <c r="AY81" s="134">
        <v>30167</v>
      </c>
      <c r="AZ81" s="134">
        <v>13</v>
      </c>
      <c r="BA81" s="135">
        <v>654.9</v>
      </c>
      <c r="BB81" s="28">
        <v>0.97</v>
      </c>
    </row>
    <row r="82" spans="1:54" s="18" customFormat="1">
      <c r="A82" s="18" t="str">
        <f t="shared" si="1"/>
        <v>Phoen</v>
      </c>
      <c r="B82" s="18" t="s">
        <v>364</v>
      </c>
      <c r="C82" s="18" t="s">
        <v>289</v>
      </c>
      <c r="D82" s="18" t="s">
        <v>285</v>
      </c>
      <c r="E82" s="134">
        <v>3679</v>
      </c>
      <c r="F82" s="134">
        <v>13</v>
      </c>
      <c r="G82" s="134">
        <v>2001</v>
      </c>
      <c r="H82" s="134">
        <v>1801</v>
      </c>
      <c r="I82" s="134">
        <v>29657</v>
      </c>
      <c r="J82" s="134">
        <v>1731</v>
      </c>
      <c r="K82" s="134">
        <v>35248</v>
      </c>
      <c r="L82" s="134">
        <v>7306</v>
      </c>
      <c r="M82" s="134">
        <v>351.9</v>
      </c>
      <c r="N82" s="134">
        <v>71.8</v>
      </c>
      <c r="O82" s="28">
        <v>16.79</v>
      </c>
      <c r="P82" s="28">
        <v>86.81</v>
      </c>
      <c r="Q82" s="28">
        <v>3.19</v>
      </c>
      <c r="R82" s="28">
        <v>3.68</v>
      </c>
      <c r="S82" s="134">
        <v>71</v>
      </c>
      <c r="T82" s="134">
        <v>52</v>
      </c>
      <c r="U82" s="28">
        <v>5</v>
      </c>
      <c r="V82" s="134">
        <v>46166</v>
      </c>
      <c r="W82" s="18">
        <v>14</v>
      </c>
      <c r="X82" s="134">
        <v>20</v>
      </c>
      <c r="Y82" s="18">
        <v>19</v>
      </c>
      <c r="Z82" s="134">
        <v>82554</v>
      </c>
      <c r="AA82" s="18">
        <v>14</v>
      </c>
      <c r="AB82" s="134">
        <v>35</v>
      </c>
      <c r="AC82" s="18">
        <v>40</v>
      </c>
      <c r="AD82" s="28">
        <v>1.18</v>
      </c>
      <c r="AE82" s="18">
        <v>37</v>
      </c>
      <c r="AF82" s="28">
        <v>1.27</v>
      </c>
      <c r="AG82" s="18">
        <v>24</v>
      </c>
      <c r="AH82" s="28">
        <v>3.19</v>
      </c>
      <c r="AI82" s="18">
        <v>33</v>
      </c>
      <c r="AJ82" s="28">
        <v>1.63</v>
      </c>
      <c r="AK82" s="18">
        <v>36</v>
      </c>
      <c r="AL82" s="134">
        <v>944</v>
      </c>
      <c r="AM82" s="18">
        <v>14</v>
      </c>
      <c r="AN82" s="134">
        <v>401</v>
      </c>
      <c r="AO82" s="18">
        <v>22</v>
      </c>
      <c r="AP82" s="134">
        <v>627</v>
      </c>
      <c r="AQ82" s="134">
        <v>131234</v>
      </c>
      <c r="AR82" s="134">
        <v>1969</v>
      </c>
      <c r="AS82" s="18">
        <v>14</v>
      </c>
      <c r="AT82" s="134">
        <v>837</v>
      </c>
      <c r="AU82" s="18">
        <v>30</v>
      </c>
      <c r="AV82" s="134">
        <v>4660</v>
      </c>
      <c r="AW82" s="134">
        <v>3</v>
      </c>
      <c r="AX82" s="135">
        <v>111.2</v>
      </c>
      <c r="AY82" s="134">
        <v>2541</v>
      </c>
      <c r="AZ82" s="134">
        <v>1</v>
      </c>
      <c r="BA82" s="135">
        <v>60.6</v>
      </c>
      <c r="BB82" s="28">
        <v>1.1499999999999999</v>
      </c>
    </row>
    <row r="83" spans="1:54" s="18" customFormat="1">
      <c r="A83" s="18" t="str">
        <f t="shared" si="1"/>
        <v>Pitts</v>
      </c>
      <c r="B83" s="18" t="s">
        <v>365</v>
      </c>
      <c r="C83" s="18" t="s">
        <v>291</v>
      </c>
      <c r="D83" s="18" t="s">
        <v>285</v>
      </c>
      <c r="E83" s="134">
        <v>1761</v>
      </c>
      <c r="F83" s="134">
        <v>26</v>
      </c>
      <c r="G83" s="134">
        <v>997</v>
      </c>
      <c r="H83" s="134">
        <v>926</v>
      </c>
      <c r="I83" s="134">
        <v>11431</v>
      </c>
      <c r="J83" s="134">
        <v>1350</v>
      </c>
      <c r="K83" s="134">
        <v>16218</v>
      </c>
      <c r="L83" s="134">
        <v>3726</v>
      </c>
      <c r="M83" s="134">
        <v>303.7</v>
      </c>
      <c r="N83" s="134">
        <v>65.400000000000006</v>
      </c>
      <c r="O83" s="28">
        <v>16.79</v>
      </c>
      <c r="P83" s="28">
        <v>86.81</v>
      </c>
      <c r="Q83" s="28">
        <v>3.41</v>
      </c>
      <c r="R83" s="28">
        <v>3.79</v>
      </c>
      <c r="S83" s="134">
        <v>25</v>
      </c>
      <c r="T83" s="134">
        <v>34</v>
      </c>
      <c r="U83" s="28">
        <v>4</v>
      </c>
      <c r="V83" s="134">
        <v>21443</v>
      </c>
      <c r="W83" s="18">
        <v>25</v>
      </c>
      <c r="X83" s="134">
        <v>18</v>
      </c>
      <c r="Y83" s="18">
        <v>30</v>
      </c>
      <c r="Z83" s="134">
        <v>46725</v>
      </c>
      <c r="AA83" s="18">
        <v>24</v>
      </c>
      <c r="AB83" s="134">
        <v>39</v>
      </c>
      <c r="AC83" s="18">
        <v>28</v>
      </c>
      <c r="AD83" s="28">
        <v>1.24</v>
      </c>
      <c r="AE83" s="18">
        <v>17</v>
      </c>
      <c r="AF83" s="28">
        <v>1.3</v>
      </c>
      <c r="AG83" s="18">
        <v>17</v>
      </c>
      <c r="AH83" s="28">
        <v>3.14</v>
      </c>
      <c r="AI83" s="18">
        <v>35</v>
      </c>
      <c r="AJ83" s="28">
        <v>1.77</v>
      </c>
      <c r="AK83" s="18">
        <v>26</v>
      </c>
      <c r="AL83" s="134">
        <v>431</v>
      </c>
      <c r="AM83" s="18">
        <v>23</v>
      </c>
      <c r="AN83" s="134">
        <v>355</v>
      </c>
      <c r="AO83" s="18">
        <v>37</v>
      </c>
      <c r="AP83" s="134">
        <v>213</v>
      </c>
      <c r="AQ83" s="134">
        <v>70352</v>
      </c>
      <c r="AR83" s="134">
        <v>1007</v>
      </c>
      <c r="AS83" s="18">
        <v>24</v>
      </c>
      <c r="AT83" s="134">
        <v>826</v>
      </c>
      <c r="AU83" s="18">
        <v>32</v>
      </c>
      <c r="AV83" s="134">
        <v>1686</v>
      </c>
      <c r="AW83" s="134">
        <v>2</v>
      </c>
      <c r="AX83" s="135">
        <v>36.299999999999997</v>
      </c>
      <c r="AY83" s="134">
        <v>5753</v>
      </c>
      <c r="AZ83" s="134">
        <v>6</v>
      </c>
      <c r="BA83" s="135">
        <v>124</v>
      </c>
      <c r="BB83" s="28">
        <v>0.69</v>
      </c>
    </row>
    <row r="84" spans="1:54" s="18" customFormat="1">
      <c r="A84" s="18" t="str">
        <f t="shared" si="1"/>
        <v>Portl</v>
      </c>
      <c r="B84" s="18" t="s">
        <v>366</v>
      </c>
      <c r="C84" s="18" t="s">
        <v>291</v>
      </c>
      <c r="D84" s="18" t="s">
        <v>285</v>
      </c>
      <c r="E84" s="134">
        <v>1925</v>
      </c>
      <c r="F84" s="134">
        <v>23</v>
      </c>
      <c r="G84" s="134">
        <v>1007</v>
      </c>
      <c r="H84" s="134">
        <v>932</v>
      </c>
      <c r="I84" s="134">
        <v>15084</v>
      </c>
      <c r="J84" s="134">
        <v>967</v>
      </c>
      <c r="K84" s="134">
        <v>14039</v>
      </c>
      <c r="L84" s="134">
        <v>2667</v>
      </c>
      <c r="M84" s="134">
        <v>499.3</v>
      </c>
      <c r="N84" s="134">
        <v>113.4</v>
      </c>
      <c r="O84" s="28">
        <v>16.79</v>
      </c>
      <c r="P84" s="28">
        <v>86.81</v>
      </c>
      <c r="Q84" s="28">
        <v>3.56</v>
      </c>
      <c r="R84" s="28">
        <v>3.91</v>
      </c>
      <c r="S84" s="134">
        <v>68</v>
      </c>
      <c r="T84" s="134">
        <v>51</v>
      </c>
      <c r="U84" s="28">
        <v>4.5</v>
      </c>
      <c r="V84" s="134">
        <v>24949</v>
      </c>
      <c r="W84" s="18">
        <v>19</v>
      </c>
      <c r="X84" s="134">
        <v>21</v>
      </c>
      <c r="Y84" s="18">
        <v>17</v>
      </c>
      <c r="Z84" s="134">
        <v>51987</v>
      </c>
      <c r="AA84" s="18">
        <v>20</v>
      </c>
      <c r="AB84" s="134">
        <v>44</v>
      </c>
      <c r="AC84" s="18">
        <v>17</v>
      </c>
      <c r="AD84" s="28">
        <v>1.28</v>
      </c>
      <c r="AE84" s="18">
        <v>6</v>
      </c>
      <c r="AF84" s="28">
        <v>1.35</v>
      </c>
      <c r="AG84" s="18">
        <v>6</v>
      </c>
      <c r="AH84" s="28">
        <v>4.26</v>
      </c>
      <c r="AI84" s="18">
        <v>6</v>
      </c>
      <c r="AJ84" s="28">
        <v>2.15</v>
      </c>
      <c r="AK84" s="18">
        <v>4</v>
      </c>
      <c r="AL84" s="134">
        <v>503</v>
      </c>
      <c r="AM84" s="18">
        <v>18</v>
      </c>
      <c r="AN84" s="134">
        <v>415</v>
      </c>
      <c r="AO84" s="18">
        <v>18</v>
      </c>
      <c r="AP84" s="134">
        <v>244</v>
      </c>
      <c r="AQ84" s="134">
        <v>65610</v>
      </c>
      <c r="AR84" s="134">
        <v>1130</v>
      </c>
      <c r="AS84" s="18">
        <v>21</v>
      </c>
      <c r="AT84" s="134">
        <v>937</v>
      </c>
      <c r="AU84" s="18">
        <v>16</v>
      </c>
      <c r="AV84" s="134">
        <v>4610</v>
      </c>
      <c r="AW84" s="134">
        <v>5</v>
      </c>
      <c r="AX84" s="135">
        <v>100.2</v>
      </c>
      <c r="AY84" s="134">
        <v>6951</v>
      </c>
      <c r="AZ84" s="134">
        <v>7</v>
      </c>
      <c r="BA84" s="135">
        <v>151.1</v>
      </c>
      <c r="BB84" s="28">
        <v>1.1000000000000001</v>
      </c>
    </row>
    <row r="85" spans="1:54" s="18" customFormat="1">
      <c r="A85" s="18" t="str">
        <f t="shared" si="1"/>
        <v>Pough</v>
      </c>
      <c r="B85" s="18" t="s">
        <v>367</v>
      </c>
      <c r="C85" s="18" t="s">
        <v>293</v>
      </c>
      <c r="D85" s="18" t="s">
        <v>285</v>
      </c>
      <c r="E85" s="134">
        <v>550</v>
      </c>
      <c r="F85" s="134">
        <v>75</v>
      </c>
      <c r="G85" s="134">
        <v>307</v>
      </c>
      <c r="H85" s="134">
        <v>288</v>
      </c>
      <c r="I85" s="134">
        <v>5123</v>
      </c>
      <c r="J85" s="134">
        <v>519</v>
      </c>
      <c r="K85" s="134">
        <v>4779</v>
      </c>
      <c r="L85" s="134">
        <v>919</v>
      </c>
      <c r="M85" s="134">
        <v>27.2</v>
      </c>
      <c r="N85" s="134">
        <v>1.7</v>
      </c>
      <c r="O85" s="28">
        <v>16.79</v>
      </c>
      <c r="P85" s="28">
        <v>86.81</v>
      </c>
      <c r="Q85" s="28">
        <v>3.65</v>
      </c>
      <c r="R85" s="28">
        <v>3.99</v>
      </c>
      <c r="S85" s="134">
        <v>29</v>
      </c>
      <c r="T85" s="134">
        <v>37</v>
      </c>
      <c r="U85" s="28">
        <v>2.5</v>
      </c>
      <c r="V85" s="134">
        <v>4965</v>
      </c>
      <c r="W85" s="18">
        <v>72</v>
      </c>
      <c r="X85" s="134">
        <v>13</v>
      </c>
      <c r="Y85" s="18">
        <v>60</v>
      </c>
      <c r="Z85" s="134">
        <v>9787</v>
      </c>
      <c r="AA85" s="18">
        <v>77</v>
      </c>
      <c r="AB85" s="134">
        <v>25</v>
      </c>
      <c r="AC85" s="18">
        <v>75</v>
      </c>
      <c r="AD85" s="28">
        <v>1.1200000000000001</v>
      </c>
      <c r="AE85" s="18">
        <v>74</v>
      </c>
      <c r="AF85" s="28">
        <v>1.1499999999999999</v>
      </c>
      <c r="AG85" s="18">
        <v>73</v>
      </c>
      <c r="AH85" s="28">
        <v>2.13</v>
      </c>
      <c r="AI85" s="18">
        <v>79</v>
      </c>
      <c r="AJ85" s="28">
        <v>1.21</v>
      </c>
      <c r="AK85" s="18">
        <v>91</v>
      </c>
      <c r="AL85" s="134">
        <v>100</v>
      </c>
      <c r="AM85" s="18">
        <v>70</v>
      </c>
      <c r="AN85" s="134">
        <v>251</v>
      </c>
      <c r="AO85" s="18">
        <v>64</v>
      </c>
      <c r="AP85" s="134">
        <v>42</v>
      </c>
      <c r="AQ85" s="134">
        <v>13850</v>
      </c>
      <c r="AR85" s="134">
        <v>212</v>
      </c>
      <c r="AS85" s="18">
        <v>74</v>
      </c>
      <c r="AT85" s="134">
        <v>531</v>
      </c>
      <c r="AU85" s="18">
        <v>76</v>
      </c>
      <c r="AV85" s="134">
        <v>124</v>
      </c>
      <c r="AW85" s="134">
        <v>0</v>
      </c>
      <c r="AX85" s="135">
        <v>2.7</v>
      </c>
      <c r="AY85" s="134">
        <v>395</v>
      </c>
      <c r="AZ85" s="134">
        <v>1</v>
      </c>
      <c r="BA85" s="135">
        <v>8.6</v>
      </c>
      <c r="BB85" s="28">
        <v>0.79</v>
      </c>
    </row>
    <row r="86" spans="1:54" s="18" customFormat="1">
      <c r="A86" s="18" t="str">
        <f t="shared" si="1"/>
        <v>Provi</v>
      </c>
      <c r="B86" s="18" t="s">
        <v>368</v>
      </c>
      <c r="C86" s="18" t="s">
        <v>291</v>
      </c>
      <c r="D86" s="18" t="s">
        <v>285</v>
      </c>
      <c r="E86" s="134">
        <v>1236</v>
      </c>
      <c r="F86" s="134">
        <v>37</v>
      </c>
      <c r="G86" s="134">
        <v>685</v>
      </c>
      <c r="H86" s="134">
        <v>636</v>
      </c>
      <c r="I86" s="134">
        <v>11861</v>
      </c>
      <c r="J86" s="134">
        <v>1069</v>
      </c>
      <c r="K86" s="134">
        <v>10431</v>
      </c>
      <c r="L86" s="134">
        <v>2189</v>
      </c>
      <c r="M86" s="134">
        <v>96.2</v>
      </c>
      <c r="N86" s="134">
        <v>20.2</v>
      </c>
      <c r="O86" s="28">
        <v>16.79</v>
      </c>
      <c r="P86" s="28">
        <v>86.81</v>
      </c>
      <c r="Q86" s="28">
        <v>3.53</v>
      </c>
      <c r="R86" s="28">
        <v>3.76</v>
      </c>
      <c r="S86" s="134">
        <v>33</v>
      </c>
      <c r="T86" s="134">
        <v>34</v>
      </c>
      <c r="U86" s="28">
        <v>4</v>
      </c>
      <c r="V86" s="134">
        <v>12148</v>
      </c>
      <c r="W86" s="18">
        <v>42</v>
      </c>
      <c r="X86" s="134">
        <v>15</v>
      </c>
      <c r="Y86" s="18">
        <v>48</v>
      </c>
      <c r="Z86" s="134">
        <v>24618</v>
      </c>
      <c r="AA86" s="18">
        <v>44</v>
      </c>
      <c r="AB86" s="134">
        <v>30</v>
      </c>
      <c r="AC86" s="18">
        <v>53</v>
      </c>
      <c r="AD86" s="28">
        <v>1.1599999999999999</v>
      </c>
      <c r="AE86" s="18">
        <v>51</v>
      </c>
      <c r="AF86" s="28">
        <v>1.19</v>
      </c>
      <c r="AG86" s="18">
        <v>55</v>
      </c>
      <c r="AH86" s="28">
        <v>2.86</v>
      </c>
      <c r="AI86" s="18">
        <v>50</v>
      </c>
      <c r="AJ86" s="28">
        <v>1.55</v>
      </c>
      <c r="AK86" s="18">
        <v>43</v>
      </c>
      <c r="AL86" s="134">
        <v>242</v>
      </c>
      <c r="AM86" s="18">
        <v>43</v>
      </c>
      <c r="AN86" s="134">
        <v>293</v>
      </c>
      <c r="AO86" s="18">
        <v>51</v>
      </c>
      <c r="AP86" s="134">
        <v>69</v>
      </c>
      <c r="AQ86" s="134">
        <v>21863</v>
      </c>
      <c r="AR86" s="134">
        <v>503</v>
      </c>
      <c r="AS86" s="18">
        <v>44</v>
      </c>
      <c r="AT86" s="134">
        <v>611</v>
      </c>
      <c r="AU86" s="18">
        <v>62</v>
      </c>
      <c r="AV86" s="134">
        <v>513</v>
      </c>
      <c r="AW86" s="134">
        <v>1</v>
      </c>
      <c r="AX86" s="135">
        <v>10.5</v>
      </c>
      <c r="AY86" s="134">
        <v>1184</v>
      </c>
      <c r="AZ86" s="134">
        <v>2</v>
      </c>
      <c r="BA86" s="135">
        <v>24.2</v>
      </c>
      <c r="BB86" s="28">
        <v>0.83</v>
      </c>
    </row>
    <row r="87" spans="1:54" s="18" customFormat="1">
      <c r="A87" s="18" t="str">
        <f t="shared" si="1"/>
        <v>Provo</v>
      </c>
      <c r="B87" s="18" t="s">
        <v>369</v>
      </c>
      <c r="C87" s="18" t="s">
        <v>295</v>
      </c>
      <c r="D87" s="18" t="s">
        <v>285</v>
      </c>
      <c r="E87" s="134">
        <v>479</v>
      </c>
      <c r="F87" s="134">
        <v>82</v>
      </c>
      <c r="G87" s="134">
        <v>269</v>
      </c>
      <c r="H87" s="134">
        <v>252</v>
      </c>
      <c r="I87" s="134">
        <v>4031</v>
      </c>
      <c r="J87" s="134">
        <v>292</v>
      </c>
      <c r="K87" s="134">
        <v>3141</v>
      </c>
      <c r="L87" s="134">
        <v>706</v>
      </c>
      <c r="M87" s="134"/>
      <c r="N87" s="134"/>
      <c r="O87" s="28">
        <v>16.79</v>
      </c>
      <c r="P87" s="28">
        <v>86.81</v>
      </c>
      <c r="Q87" s="28">
        <v>3.33</v>
      </c>
      <c r="R87" s="28">
        <v>3.69</v>
      </c>
      <c r="S87" s="134">
        <v>32</v>
      </c>
      <c r="T87" s="134">
        <v>35</v>
      </c>
      <c r="U87" s="28">
        <v>1.5</v>
      </c>
      <c r="V87" s="134">
        <v>3459</v>
      </c>
      <c r="W87" s="18">
        <v>81</v>
      </c>
      <c r="X87" s="134">
        <v>10</v>
      </c>
      <c r="Y87" s="18">
        <v>86</v>
      </c>
      <c r="Z87" s="134">
        <v>8312</v>
      </c>
      <c r="AA87" s="18">
        <v>79</v>
      </c>
      <c r="AB87" s="134">
        <v>25</v>
      </c>
      <c r="AC87" s="18">
        <v>75</v>
      </c>
      <c r="AD87" s="28">
        <v>1.1399999999999999</v>
      </c>
      <c r="AE87" s="18">
        <v>61</v>
      </c>
      <c r="AF87" s="28">
        <v>1.1499999999999999</v>
      </c>
      <c r="AG87" s="18">
        <v>73</v>
      </c>
      <c r="AH87" s="28">
        <v>4.3899999999999997</v>
      </c>
      <c r="AI87" s="18">
        <v>5</v>
      </c>
      <c r="AJ87" s="28">
        <v>1.54</v>
      </c>
      <c r="AK87" s="18">
        <v>44</v>
      </c>
      <c r="AL87" s="134">
        <v>69</v>
      </c>
      <c r="AM87" s="18">
        <v>81</v>
      </c>
      <c r="AN87" s="134">
        <v>208</v>
      </c>
      <c r="AO87" s="18">
        <v>83</v>
      </c>
      <c r="AP87" s="134">
        <v>30</v>
      </c>
      <c r="AQ87" s="134">
        <v>12905</v>
      </c>
      <c r="AR87" s="134">
        <v>172</v>
      </c>
      <c r="AS87" s="18">
        <v>80</v>
      </c>
      <c r="AT87" s="134">
        <v>514</v>
      </c>
      <c r="AU87" s="18">
        <v>80</v>
      </c>
      <c r="AV87" s="134">
        <v>369</v>
      </c>
      <c r="AW87" s="134">
        <v>1</v>
      </c>
      <c r="AX87" s="135">
        <v>7.7</v>
      </c>
      <c r="AY87" s="134">
        <v>80</v>
      </c>
      <c r="AZ87" s="134">
        <v>0</v>
      </c>
      <c r="BA87" s="135">
        <v>1.7</v>
      </c>
      <c r="BB87" s="28">
        <v>0.97</v>
      </c>
    </row>
    <row r="88" spans="1:54" s="18" customFormat="1">
      <c r="A88" s="18" t="str">
        <f t="shared" si="1"/>
        <v>Ralei</v>
      </c>
      <c r="B88" s="18" t="s">
        <v>370</v>
      </c>
      <c r="C88" s="18" t="s">
        <v>291</v>
      </c>
      <c r="D88" s="18" t="s">
        <v>285</v>
      </c>
      <c r="E88" s="134">
        <v>1142</v>
      </c>
      <c r="F88" s="134">
        <v>40</v>
      </c>
      <c r="G88" s="134">
        <v>651</v>
      </c>
      <c r="H88" s="134">
        <v>605</v>
      </c>
      <c r="I88" s="134">
        <v>12738</v>
      </c>
      <c r="J88" s="134">
        <v>1000</v>
      </c>
      <c r="K88" s="134">
        <v>12427</v>
      </c>
      <c r="L88" s="134">
        <v>2216</v>
      </c>
      <c r="M88" s="134">
        <v>100.4</v>
      </c>
      <c r="N88" s="134">
        <v>24.4</v>
      </c>
      <c r="O88" s="28">
        <v>16.79</v>
      </c>
      <c r="P88" s="28">
        <v>86.81</v>
      </c>
      <c r="Q88" s="28">
        <v>3.32</v>
      </c>
      <c r="R88" s="28">
        <v>3.64</v>
      </c>
      <c r="S88" s="134">
        <v>50</v>
      </c>
      <c r="T88" s="134">
        <v>52</v>
      </c>
      <c r="U88" s="28">
        <v>4</v>
      </c>
      <c r="V88" s="134">
        <v>8407</v>
      </c>
      <c r="W88" s="18">
        <v>55</v>
      </c>
      <c r="X88" s="134">
        <v>11</v>
      </c>
      <c r="Y88" s="18">
        <v>80</v>
      </c>
      <c r="Z88" s="134">
        <v>17923</v>
      </c>
      <c r="AA88" s="18">
        <v>54</v>
      </c>
      <c r="AB88" s="134">
        <v>23</v>
      </c>
      <c r="AC88" s="18">
        <v>83</v>
      </c>
      <c r="AD88" s="28">
        <v>1.1399999999999999</v>
      </c>
      <c r="AE88" s="18">
        <v>61</v>
      </c>
      <c r="AF88" s="28">
        <v>1.21</v>
      </c>
      <c r="AG88" s="18">
        <v>45</v>
      </c>
      <c r="AH88" s="28">
        <v>2.34</v>
      </c>
      <c r="AI88" s="18">
        <v>68</v>
      </c>
      <c r="AJ88" s="28">
        <v>1.33</v>
      </c>
      <c r="AK88" s="18">
        <v>68</v>
      </c>
      <c r="AL88" s="134">
        <v>170</v>
      </c>
      <c r="AM88" s="18">
        <v>55</v>
      </c>
      <c r="AN88" s="134">
        <v>217</v>
      </c>
      <c r="AO88" s="18">
        <v>77</v>
      </c>
      <c r="AP88" s="134">
        <v>96</v>
      </c>
      <c r="AQ88" s="134">
        <v>50194</v>
      </c>
      <c r="AR88" s="134">
        <v>396</v>
      </c>
      <c r="AS88" s="18">
        <v>55</v>
      </c>
      <c r="AT88" s="134">
        <v>502</v>
      </c>
      <c r="AU88" s="18">
        <v>82</v>
      </c>
      <c r="AV88" s="134">
        <v>742</v>
      </c>
      <c r="AW88" s="134">
        <v>1</v>
      </c>
      <c r="AX88" s="135">
        <v>16.399999999999999</v>
      </c>
      <c r="AY88" s="134">
        <v>638</v>
      </c>
      <c r="AZ88" s="134">
        <v>1</v>
      </c>
      <c r="BA88" s="135">
        <v>14.1</v>
      </c>
      <c r="BB88" s="28">
        <v>0.96</v>
      </c>
    </row>
    <row r="89" spans="1:54" s="18" customFormat="1">
      <c r="A89" s="18" t="str">
        <f t="shared" si="1"/>
        <v>Richm</v>
      </c>
      <c r="B89" s="18" t="s">
        <v>371</v>
      </c>
      <c r="C89" s="18" t="s">
        <v>293</v>
      </c>
      <c r="D89" s="18" t="s">
        <v>285</v>
      </c>
      <c r="E89" s="134">
        <v>974</v>
      </c>
      <c r="F89" s="134">
        <v>49</v>
      </c>
      <c r="G89" s="134">
        <v>544</v>
      </c>
      <c r="H89" s="134">
        <v>510</v>
      </c>
      <c r="I89" s="134">
        <v>11843</v>
      </c>
      <c r="J89" s="134">
        <v>1107</v>
      </c>
      <c r="K89" s="134">
        <v>9982</v>
      </c>
      <c r="L89" s="134">
        <v>2254</v>
      </c>
      <c r="M89" s="134">
        <v>65.8</v>
      </c>
      <c r="N89" s="134">
        <v>12.8</v>
      </c>
      <c r="O89" s="28">
        <v>16.79</v>
      </c>
      <c r="P89" s="28">
        <v>86.81</v>
      </c>
      <c r="Q89" s="28">
        <v>3.29</v>
      </c>
      <c r="R89" s="28">
        <v>3.6</v>
      </c>
      <c r="S89" s="134">
        <v>33</v>
      </c>
      <c r="T89" s="134">
        <v>36</v>
      </c>
      <c r="U89" s="28">
        <v>2.5</v>
      </c>
      <c r="V89" s="134">
        <v>7944</v>
      </c>
      <c r="W89" s="18">
        <v>57</v>
      </c>
      <c r="X89" s="134">
        <v>12</v>
      </c>
      <c r="Y89" s="18">
        <v>69</v>
      </c>
      <c r="Z89" s="134">
        <v>19499</v>
      </c>
      <c r="AA89" s="18">
        <v>51</v>
      </c>
      <c r="AB89" s="134">
        <v>29</v>
      </c>
      <c r="AC89" s="18">
        <v>60</v>
      </c>
      <c r="AD89" s="28">
        <v>1.1100000000000001</v>
      </c>
      <c r="AE89" s="18">
        <v>79</v>
      </c>
      <c r="AF89" s="28">
        <v>1.1399999999999999</v>
      </c>
      <c r="AG89" s="18">
        <v>78</v>
      </c>
      <c r="AH89" s="28">
        <v>2.2200000000000002</v>
      </c>
      <c r="AI89" s="18">
        <v>72</v>
      </c>
      <c r="AJ89" s="28">
        <v>1.28</v>
      </c>
      <c r="AK89" s="18">
        <v>80</v>
      </c>
      <c r="AL89" s="134">
        <v>159</v>
      </c>
      <c r="AM89" s="18">
        <v>57</v>
      </c>
      <c r="AN89" s="134">
        <v>234</v>
      </c>
      <c r="AO89" s="18">
        <v>72</v>
      </c>
      <c r="AP89" s="134">
        <v>62</v>
      </c>
      <c r="AQ89" s="134">
        <v>38036</v>
      </c>
      <c r="AR89" s="134">
        <v>398</v>
      </c>
      <c r="AS89" s="18">
        <v>54</v>
      </c>
      <c r="AT89" s="134">
        <v>581</v>
      </c>
      <c r="AU89" s="18">
        <v>69</v>
      </c>
      <c r="AV89" s="134">
        <v>769</v>
      </c>
      <c r="AW89" s="134">
        <v>2</v>
      </c>
      <c r="AX89" s="135">
        <v>15.7</v>
      </c>
      <c r="AY89" s="134">
        <v>806</v>
      </c>
      <c r="AZ89" s="134">
        <v>2</v>
      </c>
      <c r="BA89" s="135">
        <v>16.5</v>
      </c>
      <c r="BB89" s="28">
        <v>0.79</v>
      </c>
    </row>
    <row r="90" spans="1:54" s="18" customFormat="1">
      <c r="A90" s="18" t="str">
        <f t="shared" si="1"/>
        <v>River</v>
      </c>
      <c r="B90" s="18" t="s">
        <v>372</v>
      </c>
      <c r="C90" s="18" t="s">
        <v>291</v>
      </c>
      <c r="D90" s="18" t="s">
        <v>285</v>
      </c>
      <c r="E90" s="134">
        <v>2025</v>
      </c>
      <c r="F90" s="134">
        <v>22</v>
      </c>
      <c r="G90" s="134">
        <v>1112</v>
      </c>
      <c r="H90" s="134">
        <v>1033</v>
      </c>
      <c r="I90" s="134">
        <v>22302</v>
      </c>
      <c r="J90" s="134">
        <v>1060</v>
      </c>
      <c r="K90" s="134">
        <v>14021</v>
      </c>
      <c r="L90" s="134">
        <v>2807</v>
      </c>
      <c r="M90" s="134">
        <v>135</v>
      </c>
      <c r="N90" s="134">
        <v>24.5</v>
      </c>
      <c r="O90" s="28">
        <v>16.79</v>
      </c>
      <c r="P90" s="28">
        <v>86.81</v>
      </c>
      <c r="Q90" s="28">
        <v>3.51</v>
      </c>
      <c r="R90" s="28">
        <v>4.0199999999999996</v>
      </c>
      <c r="S90" s="134">
        <v>82</v>
      </c>
      <c r="T90" s="134">
        <v>52</v>
      </c>
      <c r="U90" s="28">
        <v>4</v>
      </c>
      <c r="V90" s="134">
        <v>21243</v>
      </c>
      <c r="W90" s="18">
        <v>26</v>
      </c>
      <c r="X90" s="134">
        <v>16</v>
      </c>
      <c r="Y90" s="18">
        <v>43</v>
      </c>
      <c r="Z90" s="134">
        <v>51195</v>
      </c>
      <c r="AA90" s="18">
        <v>21</v>
      </c>
      <c r="AB90" s="134">
        <v>38</v>
      </c>
      <c r="AC90" s="18">
        <v>30</v>
      </c>
      <c r="AD90" s="28">
        <v>1.23</v>
      </c>
      <c r="AE90" s="18">
        <v>20</v>
      </c>
      <c r="AF90" s="28">
        <v>1.23</v>
      </c>
      <c r="AG90" s="18">
        <v>32</v>
      </c>
      <c r="AH90" s="28">
        <v>3.31</v>
      </c>
      <c r="AI90" s="18">
        <v>28</v>
      </c>
      <c r="AJ90" s="28">
        <v>1.81</v>
      </c>
      <c r="AK90" s="18">
        <v>20</v>
      </c>
      <c r="AL90" s="134">
        <v>339</v>
      </c>
      <c r="AM90" s="18">
        <v>32</v>
      </c>
      <c r="AN90" s="134">
        <v>257</v>
      </c>
      <c r="AO90" s="18">
        <v>60</v>
      </c>
      <c r="AP90" s="134">
        <v>310</v>
      </c>
      <c r="AQ90" s="134">
        <v>109604</v>
      </c>
      <c r="AR90" s="134">
        <v>1152</v>
      </c>
      <c r="AS90" s="18">
        <v>20</v>
      </c>
      <c r="AT90" s="134">
        <v>854</v>
      </c>
      <c r="AU90" s="18">
        <v>28</v>
      </c>
      <c r="AV90" s="134">
        <v>4554</v>
      </c>
      <c r="AW90" s="134">
        <v>4</v>
      </c>
      <c r="AX90" s="135">
        <v>102.5</v>
      </c>
      <c r="AY90" s="134">
        <v>1428</v>
      </c>
      <c r="AZ90" s="134">
        <v>1</v>
      </c>
      <c r="BA90" s="135">
        <v>32.1</v>
      </c>
      <c r="BB90" s="28">
        <v>1.41</v>
      </c>
    </row>
    <row r="91" spans="1:54" s="18" customFormat="1">
      <c r="A91" s="18" t="str">
        <f t="shared" si="1"/>
        <v>Roche</v>
      </c>
      <c r="B91" s="18" t="s">
        <v>373</v>
      </c>
      <c r="C91" s="18" t="s">
        <v>293</v>
      </c>
      <c r="D91" s="18" t="s">
        <v>285</v>
      </c>
      <c r="E91" s="134">
        <v>749</v>
      </c>
      <c r="F91" s="134">
        <v>53</v>
      </c>
      <c r="G91" s="134">
        <v>419</v>
      </c>
      <c r="H91" s="134">
        <v>392</v>
      </c>
      <c r="I91" s="134">
        <v>6302</v>
      </c>
      <c r="J91" s="134">
        <v>600</v>
      </c>
      <c r="K91" s="134">
        <v>6588</v>
      </c>
      <c r="L91" s="134">
        <v>1572</v>
      </c>
      <c r="M91" s="134">
        <v>64.900000000000006</v>
      </c>
      <c r="N91" s="134">
        <v>17.600000000000001</v>
      </c>
      <c r="O91" s="28">
        <v>16.79</v>
      </c>
      <c r="P91" s="28">
        <v>86.81</v>
      </c>
      <c r="Q91" s="28">
        <v>3.65</v>
      </c>
      <c r="R91" s="28">
        <v>3.99</v>
      </c>
      <c r="S91" s="134">
        <v>17</v>
      </c>
      <c r="T91" s="134">
        <v>18</v>
      </c>
      <c r="U91" s="28">
        <v>2.5</v>
      </c>
      <c r="V91" s="134">
        <v>6719</v>
      </c>
      <c r="W91" s="18">
        <v>60</v>
      </c>
      <c r="X91" s="134">
        <v>13</v>
      </c>
      <c r="Y91" s="18">
        <v>60</v>
      </c>
      <c r="Z91" s="134">
        <v>14850</v>
      </c>
      <c r="AA91" s="18">
        <v>58</v>
      </c>
      <c r="AB91" s="134">
        <v>28</v>
      </c>
      <c r="AC91" s="18">
        <v>63</v>
      </c>
      <c r="AD91" s="28">
        <v>1.1299999999999999</v>
      </c>
      <c r="AE91" s="18">
        <v>68</v>
      </c>
      <c r="AF91" s="28">
        <v>1.17</v>
      </c>
      <c r="AG91" s="18">
        <v>63</v>
      </c>
      <c r="AH91" s="28">
        <v>1.96</v>
      </c>
      <c r="AI91" s="18">
        <v>87</v>
      </c>
      <c r="AJ91" s="28">
        <v>1.28</v>
      </c>
      <c r="AK91" s="18">
        <v>80</v>
      </c>
      <c r="AL91" s="134">
        <v>134</v>
      </c>
      <c r="AM91" s="18">
        <v>60</v>
      </c>
      <c r="AN91" s="134">
        <v>257</v>
      </c>
      <c r="AO91" s="18">
        <v>60</v>
      </c>
      <c r="AP91" s="134">
        <v>51</v>
      </c>
      <c r="AQ91" s="134">
        <v>26369</v>
      </c>
      <c r="AR91" s="134">
        <v>309</v>
      </c>
      <c r="AS91" s="18">
        <v>58</v>
      </c>
      <c r="AT91" s="134">
        <v>590</v>
      </c>
      <c r="AU91" s="18">
        <v>65</v>
      </c>
      <c r="AV91" s="134">
        <v>388</v>
      </c>
      <c r="AW91" s="134">
        <v>1</v>
      </c>
      <c r="AX91" s="135">
        <v>8</v>
      </c>
      <c r="AY91" s="134">
        <v>514</v>
      </c>
      <c r="AZ91" s="134">
        <v>1</v>
      </c>
      <c r="BA91" s="135">
        <v>10.7</v>
      </c>
      <c r="BB91" s="28">
        <v>0.77</v>
      </c>
    </row>
    <row r="92" spans="1:54" s="18" customFormat="1">
      <c r="A92" s="18" t="str">
        <f t="shared" si="1"/>
        <v>Sacra</v>
      </c>
      <c r="B92" s="18" t="s">
        <v>374</v>
      </c>
      <c r="C92" s="18" t="s">
        <v>291</v>
      </c>
      <c r="D92" s="18" t="s">
        <v>285</v>
      </c>
      <c r="E92" s="134">
        <v>1895</v>
      </c>
      <c r="F92" s="134">
        <v>24</v>
      </c>
      <c r="G92" s="134">
        <v>1031</v>
      </c>
      <c r="H92" s="134">
        <v>933</v>
      </c>
      <c r="I92" s="134">
        <v>15556</v>
      </c>
      <c r="J92" s="134">
        <v>835</v>
      </c>
      <c r="K92" s="134">
        <v>14377</v>
      </c>
      <c r="L92" s="134">
        <v>2421</v>
      </c>
      <c r="M92" s="134">
        <v>171.4</v>
      </c>
      <c r="N92" s="134">
        <v>31.4</v>
      </c>
      <c r="O92" s="28">
        <v>16.79</v>
      </c>
      <c r="P92" s="28">
        <v>86.81</v>
      </c>
      <c r="Q92" s="28">
        <v>3.51</v>
      </c>
      <c r="R92" s="28">
        <v>3.65</v>
      </c>
      <c r="S92" s="134">
        <v>81</v>
      </c>
      <c r="T92" s="134">
        <v>60</v>
      </c>
      <c r="U92" s="28">
        <v>4</v>
      </c>
      <c r="V92" s="134">
        <v>16384</v>
      </c>
      <c r="W92" s="18">
        <v>35</v>
      </c>
      <c r="X92" s="134">
        <v>13</v>
      </c>
      <c r="Y92" s="18">
        <v>60</v>
      </c>
      <c r="Z92" s="134">
        <v>39138</v>
      </c>
      <c r="AA92" s="18">
        <v>31</v>
      </c>
      <c r="AB92" s="134">
        <v>32</v>
      </c>
      <c r="AC92" s="18">
        <v>47</v>
      </c>
      <c r="AD92" s="28">
        <v>1.2</v>
      </c>
      <c r="AE92" s="18">
        <v>27</v>
      </c>
      <c r="AF92" s="28">
        <v>1.22</v>
      </c>
      <c r="AG92" s="18">
        <v>37</v>
      </c>
      <c r="AH92" s="28">
        <v>3.01</v>
      </c>
      <c r="AI92" s="18">
        <v>41</v>
      </c>
      <c r="AJ92" s="28">
        <v>1.68</v>
      </c>
      <c r="AK92" s="18">
        <v>30</v>
      </c>
      <c r="AL92" s="134">
        <v>254</v>
      </c>
      <c r="AM92" s="18">
        <v>39</v>
      </c>
      <c r="AN92" s="134">
        <v>207</v>
      </c>
      <c r="AO92" s="18">
        <v>84</v>
      </c>
      <c r="AP92" s="134">
        <v>172</v>
      </c>
      <c r="AQ92" s="134">
        <v>52561</v>
      </c>
      <c r="AR92" s="134">
        <v>834</v>
      </c>
      <c r="AS92" s="18">
        <v>30</v>
      </c>
      <c r="AT92" s="134">
        <v>669</v>
      </c>
      <c r="AU92" s="18">
        <v>50</v>
      </c>
      <c r="AV92" s="134">
        <v>3636</v>
      </c>
      <c r="AW92" s="134">
        <v>4</v>
      </c>
      <c r="AX92" s="135">
        <v>77.5</v>
      </c>
      <c r="AY92" s="134">
        <v>1807</v>
      </c>
      <c r="AZ92" s="134">
        <v>2</v>
      </c>
      <c r="BA92" s="135">
        <v>38.5</v>
      </c>
      <c r="BB92" s="28">
        <v>1.3</v>
      </c>
    </row>
    <row r="93" spans="1:54" s="18" customFormat="1">
      <c r="A93" s="18" t="str">
        <f t="shared" si="1"/>
        <v>Salem</v>
      </c>
      <c r="B93" s="18" t="s">
        <v>375</v>
      </c>
      <c r="C93" s="18" t="s">
        <v>295</v>
      </c>
      <c r="D93" s="18" t="s">
        <v>285</v>
      </c>
      <c r="E93" s="134">
        <v>246</v>
      </c>
      <c r="F93" s="134">
        <v>97</v>
      </c>
      <c r="G93" s="134">
        <v>138</v>
      </c>
      <c r="H93" s="134">
        <v>129</v>
      </c>
      <c r="I93" s="134">
        <v>1617</v>
      </c>
      <c r="J93" s="134">
        <v>152</v>
      </c>
      <c r="K93" s="134">
        <v>2049</v>
      </c>
      <c r="L93" s="134">
        <v>425</v>
      </c>
      <c r="M93" s="134">
        <v>17.5</v>
      </c>
      <c r="N93" s="134">
        <v>4.3</v>
      </c>
      <c r="O93" s="28">
        <v>16.79</v>
      </c>
      <c r="P93" s="28">
        <v>86.81</v>
      </c>
      <c r="Q93" s="28">
        <v>3.56</v>
      </c>
      <c r="R93" s="28">
        <v>3.91</v>
      </c>
      <c r="S93" s="134">
        <v>24</v>
      </c>
      <c r="T93" s="134">
        <v>29</v>
      </c>
      <c r="U93" s="28">
        <v>1.5</v>
      </c>
      <c r="V93" s="134">
        <v>2106</v>
      </c>
      <c r="W93" s="18">
        <v>93</v>
      </c>
      <c r="X93" s="134">
        <v>12</v>
      </c>
      <c r="Y93" s="18">
        <v>69</v>
      </c>
      <c r="Z93" s="134">
        <v>4593</v>
      </c>
      <c r="AA93" s="18">
        <v>92</v>
      </c>
      <c r="AB93" s="134">
        <v>27</v>
      </c>
      <c r="AC93" s="18">
        <v>68</v>
      </c>
      <c r="AD93" s="28">
        <v>1.1399999999999999</v>
      </c>
      <c r="AE93" s="18">
        <v>61</v>
      </c>
      <c r="AF93" s="28">
        <v>1.17</v>
      </c>
      <c r="AG93" s="18">
        <v>63</v>
      </c>
      <c r="AH93" s="28">
        <v>2.15</v>
      </c>
      <c r="AI93" s="18">
        <v>77</v>
      </c>
      <c r="AJ93" s="28">
        <v>1.29</v>
      </c>
      <c r="AK93" s="18">
        <v>78</v>
      </c>
      <c r="AL93" s="134">
        <v>42</v>
      </c>
      <c r="AM93" s="18">
        <v>90</v>
      </c>
      <c r="AN93" s="134">
        <v>244</v>
      </c>
      <c r="AO93" s="18">
        <v>69</v>
      </c>
      <c r="AP93" s="134">
        <v>24</v>
      </c>
      <c r="AQ93" s="134">
        <v>3889</v>
      </c>
      <c r="AR93" s="134">
        <v>101</v>
      </c>
      <c r="AS93" s="18">
        <v>92</v>
      </c>
      <c r="AT93" s="134">
        <v>580</v>
      </c>
      <c r="AU93" s="18">
        <v>70</v>
      </c>
      <c r="AV93" s="134">
        <v>106</v>
      </c>
      <c r="AW93" s="134">
        <v>1</v>
      </c>
      <c r="AX93" s="135">
        <v>2.2999999999999998</v>
      </c>
      <c r="AY93" s="134">
        <v>239</v>
      </c>
      <c r="AZ93" s="134">
        <v>2</v>
      </c>
      <c r="BA93" s="135">
        <v>5.2</v>
      </c>
      <c r="BB93" s="28">
        <v>0.82</v>
      </c>
    </row>
    <row r="94" spans="1:54" s="18" customFormat="1">
      <c r="A94" s="18" t="str">
        <f t="shared" si="1"/>
        <v xml:space="preserve">Salt </v>
      </c>
      <c r="B94" s="18" t="s">
        <v>376</v>
      </c>
      <c r="C94" s="18" t="s">
        <v>291</v>
      </c>
      <c r="D94" s="18" t="s">
        <v>285</v>
      </c>
      <c r="E94" s="134">
        <v>1027</v>
      </c>
      <c r="F94" s="134">
        <v>47</v>
      </c>
      <c r="G94" s="134">
        <v>574</v>
      </c>
      <c r="H94" s="134">
        <v>538</v>
      </c>
      <c r="I94" s="134">
        <v>8444</v>
      </c>
      <c r="J94" s="134">
        <v>612</v>
      </c>
      <c r="K94" s="134">
        <v>8403</v>
      </c>
      <c r="L94" s="134">
        <v>1570</v>
      </c>
      <c r="M94" s="134">
        <v>299.60000000000002</v>
      </c>
      <c r="N94" s="134">
        <v>41.6</v>
      </c>
      <c r="O94" s="28">
        <v>16.79</v>
      </c>
      <c r="P94" s="28">
        <v>86.81</v>
      </c>
      <c r="Q94" s="28">
        <v>3.33</v>
      </c>
      <c r="R94" s="28">
        <v>3.69</v>
      </c>
      <c r="S94" s="134">
        <v>58</v>
      </c>
      <c r="T94" s="134">
        <v>54</v>
      </c>
      <c r="U94" s="28">
        <v>4</v>
      </c>
      <c r="V94" s="134">
        <v>9266</v>
      </c>
      <c r="W94" s="18">
        <v>53</v>
      </c>
      <c r="X94" s="134">
        <v>13</v>
      </c>
      <c r="Y94" s="18">
        <v>60</v>
      </c>
      <c r="Z94" s="134">
        <v>21903</v>
      </c>
      <c r="AA94" s="18">
        <v>47</v>
      </c>
      <c r="AB94" s="134">
        <v>30</v>
      </c>
      <c r="AC94" s="18">
        <v>53</v>
      </c>
      <c r="AD94" s="28">
        <v>1.1399999999999999</v>
      </c>
      <c r="AE94" s="18">
        <v>61</v>
      </c>
      <c r="AF94" s="28">
        <v>1.17</v>
      </c>
      <c r="AG94" s="18">
        <v>63</v>
      </c>
      <c r="AH94" s="28">
        <v>2.02</v>
      </c>
      <c r="AI94" s="18">
        <v>84</v>
      </c>
      <c r="AJ94" s="28">
        <v>1.3</v>
      </c>
      <c r="AK94" s="18">
        <v>76</v>
      </c>
      <c r="AL94" s="134">
        <v>185</v>
      </c>
      <c r="AM94" s="18">
        <v>53</v>
      </c>
      <c r="AN94" s="134">
        <v>257</v>
      </c>
      <c r="AO94" s="18">
        <v>60</v>
      </c>
      <c r="AP94" s="134">
        <v>71</v>
      </c>
      <c r="AQ94" s="134">
        <v>56934</v>
      </c>
      <c r="AR94" s="134">
        <v>449</v>
      </c>
      <c r="AS94" s="18">
        <v>50</v>
      </c>
      <c r="AT94" s="134">
        <v>620</v>
      </c>
      <c r="AU94" s="18">
        <v>61</v>
      </c>
      <c r="AV94" s="134">
        <v>905</v>
      </c>
      <c r="AW94" s="134">
        <v>2</v>
      </c>
      <c r="AX94" s="135">
        <v>18.600000000000001</v>
      </c>
      <c r="AY94" s="134">
        <v>3877</v>
      </c>
      <c r="AZ94" s="134">
        <v>7</v>
      </c>
      <c r="BA94" s="135">
        <v>79.599999999999994</v>
      </c>
      <c r="BB94" s="28">
        <v>1.01</v>
      </c>
    </row>
    <row r="95" spans="1:54" s="18" customFormat="1">
      <c r="A95" s="18" t="str">
        <f t="shared" si="1"/>
        <v>San A</v>
      </c>
      <c r="B95" s="18" t="s">
        <v>377</v>
      </c>
      <c r="C95" s="18" t="s">
        <v>291</v>
      </c>
      <c r="D95" s="18" t="s">
        <v>285</v>
      </c>
      <c r="E95" s="134">
        <v>1558</v>
      </c>
      <c r="F95" s="134">
        <v>30</v>
      </c>
      <c r="G95" s="134">
        <v>888</v>
      </c>
      <c r="H95" s="134">
        <v>825</v>
      </c>
      <c r="I95" s="134">
        <v>19114</v>
      </c>
      <c r="J95" s="134">
        <v>1248</v>
      </c>
      <c r="K95" s="134">
        <v>13345</v>
      </c>
      <c r="L95" s="134">
        <v>3035</v>
      </c>
      <c r="M95" s="134">
        <v>207</v>
      </c>
      <c r="N95" s="134">
        <v>46.1</v>
      </c>
      <c r="O95" s="28">
        <v>16.79</v>
      </c>
      <c r="P95" s="28">
        <v>86.81</v>
      </c>
      <c r="Q95" s="28">
        <v>3.29</v>
      </c>
      <c r="R95" s="28">
        <v>3.56</v>
      </c>
      <c r="S95" s="134">
        <v>63</v>
      </c>
      <c r="T95" s="134">
        <v>46</v>
      </c>
      <c r="U95" s="28">
        <v>4</v>
      </c>
      <c r="V95" s="134">
        <v>16776</v>
      </c>
      <c r="W95" s="18">
        <v>33</v>
      </c>
      <c r="X95" s="134">
        <v>16</v>
      </c>
      <c r="Y95" s="18">
        <v>43</v>
      </c>
      <c r="Z95" s="134">
        <v>39998</v>
      </c>
      <c r="AA95" s="18">
        <v>30</v>
      </c>
      <c r="AB95" s="134">
        <v>38</v>
      </c>
      <c r="AC95" s="18">
        <v>30</v>
      </c>
      <c r="AD95" s="28">
        <v>1.19</v>
      </c>
      <c r="AE95" s="18">
        <v>35</v>
      </c>
      <c r="AF95" s="28">
        <v>1.26</v>
      </c>
      <c r="AG95" s="18">
        <v>28</v>
      </c>
      <c r="AH95" s="28">
        <v>2.91</v>
      </c>
      <c r="AI95" s="18">
        <v>47</v>
      </c>
      <c r="AJ95" s="28">
        <v>1.6</v>
      </c>
      <c r="AK95" s="18">
        <v>40</v>
      </c>
      <c r="AL95" s="134">
        <v>336</v>
      </c>
      <c r="AM95" s="18">
        <v>33</v>
      </c>
      <c r="AN95" s="134">
        <v>323</v>
      </c>
      <c r="AO95" s="18">
        <v>44</v>
      </c>
      <c r="AP95" s="134">
        <v>139</v>
      </c>
      <c r="AQ95" s="134">
        <v>51263</v>
      </c>
      <c r="AR95" s="134">
        <v>825</v>
      </c>
      <c r="AS95" s="18">
        <v>31</v>
      </c>
      <c r="AT95" s="134">
        <v>787</v>
      </c>
      <c r="AU95" s="18">
        <v>38</v>
      </c>
      <c r="AV95" s="134">
        <v>1450</v>
      </c>
      <c r="AW95" s="134">
        <v>2</v>
      </c>
      <c r="AX95" s="135">
        <v>29.9</v>
      </c>
      <c r="AY95" s="134">
        <v>1808</v>
      </c>
      <c r="AZ95" s="134">
        <v>2</v>
      </c>
      <c r="BA95" s="135">
        <v>37.299999999999997</v>
      </c>
      <c r="BB95" s="28">
        <v>1.05</v>
      </c>
    </row>
    <row r="96" spans="1:54" s="18" customFormat="1">
      <c r="A96" s="18" t="str">
        <f t="shared" si="1"/>
        <v>San D</v>
      </c>
      <c r="B96" s="18" t="s">
        <v>378</v>
      </c>
      <c r="C96" s="18" t="s">
        <v>289</v>
      </c>
      <c r="D96" s="18" t="s">
        <v>285</v>
      </c>
      <c r="E96" s="134">
        <v>3121</v>
      </c>
      <c r="F96" s="134">
        <v>15</v>
      </c>
      <c r="G96" s="134">
        <v>1698</v>
      </c>
      <c r="H96" s="134">
        <v>1528</v>
      </c>
      <c r="I96" s="134">
        <v>37243</v>
      </c>
      <c r="J96" s="134">
        <v>1977</v>
      </c>
      <c r="K96" s="134">
        <v>22240</v>
      </c>
      <c r="L96" s="134">
        <v>3637</v>
      </c>
      <c r="M96" s="134">
        <v>608.29999999999995</v>
      </c>
      <c r="N96" s="134">
        <v>102.2</v>
      </c>
      <c r="O96" s="28">
        <v>16.79</v>
      </c>
      <c r="P96" s="28">
        <v>86.81</v>
      </c>
      <c r="Q96" s="28">
        <v>3.51</v>
      </c>
      <c r="R96" s="28">
        <v>4.0199999999999996</v>
      </c>
      <c r="S96" s="134">
        <v>75</v>
      </c>
      <c r="T96" s="134">
        <v>58</v>
      </c>
      <c r="U96" s="28">
        <v>5</v>
      </c>
      <c r="V96" s="134">
        <v>29666</v>
      </c>
      <c r="W96" s="18">
        <v>18</v>
      </c>
      <c r="X96" s="134">
        <v>15</v>
      </c>
      <c r="Y96" s="18">
        <v>48</v>
      </c>
      <c r="Z96" s="134">
        <v>72331</v>
      </c>
      <c r="AA96" s="18">
        <v>16</v>
      </c>
      <c r="AB96" s="134">
        <v>37</v>
      </c>
      <c r="AC96" s="18">
        <v>37</v>
      </c>
      <c r="AD96" s="28">
        <v>1.18</v>
      </c>
      <c r="AE96" s="18">
        <v>37</v>
      </c>
      <c r="AF96" s="28">
        <v>1.27</v>
      </c>
      <c r="AG96" s="18">
        <v>24</v>
      </c>
      <c r="AH96" s="28">
        <v>2.9</v>
      </c>
      <c r="AI96" s="18">
        <v>48</v>
      </c>
      <c r="AJ96" s="28">
        <v>1.66</v>
      </c>
      <c r="AK96" s="18">
        <v>31</v>
      </c>
      <c r="AL96" s="134">
        <v>427</v>
      </c>
      <c r="AM96" s="18">
        <v>25</v>
      </c>
      <c r="AN96" s="134">
        <v>218</v>
      </c>
      <c r="AO96" s="18">
        <v>76</v>
      </c>
      <c r="AP96" s="134">
        <v>314</v>
      </c>
      <c r="AQ96" s="134">
        <v>86817</v>
      </c>
      <c r="AR96" s="134">
        <v>1537</v>
      </c>
      <c r="AS96" s="18">
        <v>17</v>
      </c>
      <c r="AT96" s="134">
        <v>774</v>
      </c>
      <c r="AU96" s="18">
        <v>41</v>
      </c>
      <c r="AV96" s="134">
        <v>6282</v>
      </c>
      <c r="AW96" s="134">
        <v>4</v>
      </c>
      <c r="AX96" s="135">
        <v>133.5</v>
      </c>
      <c r="AY96" s="134">
        <v>6401</v>
      </c>
      <c r="AZ96" s="134">
        <v>4</v>
      </c>
      <c r="BA96" s="135">
        <v>136</v>
      </c>
      <c r="BB96" s="28">
        <v>1.32</v>
      </c>
    </row>
    <row r="97" spans="1:54" s="18" customFormat="1">
      <c r="A97" s="18" t="str">
        <f t="shared" si="1"/>
        <v>San F</v>
      </c>
      <c r="B97" s="18" t="s">
        <v>379</v>
      </c>
      <c r="C97" s="18" t="s">
        <v>289</v>
      </c>
      <c r="D97" s="18" t="s">
        <v>285</v>
      </c>
      <c r="E97" s="134">
        <v>4101</v>
      </c>
      <c r="F97" s="134">
        <v>11</v>
      </c>
      <c r="G97" s="134">
        <v>2165</v>
      </c>
      <c r="H97" s="134">
        <v>1931</v>
      </c>
      <c r="I97" s="134">
        <v>51843</v>
      </c>
      <c r="J97" s="134">
        <v>2533</v>
      </c>
      <c r="K97" s="134">
        <v>30467</v>
      </c>
      <c r="L97" s="134">
        <v>5208</v>
      </c>
      <c r="M97" s="134">
        <v>2568.5</v>
      </c>
      <c r="N97" s="134">
        <v>427.2</v>
      </c>
      <c r="O97" s="28">
        <v>16.79</v>
      </c>
      <c r="P97" s="28">
        <v>86.81</v>
      </c>
      <c r="Q97" s="28">
        <v>3.51</v>
      </c>
      <c r="R97" s="28">
        <v>4.0199999999999996</v>
      </c>
      <c r="S97" s="134">
        <v>79</v>
      </c>
      <c r="T97" s="134">
        <v>59</v>
      </c>
      <c r="U97" s="28">
        <v>6</v>
      </c>
      <c r="V97" s="134">
        <v>64509</v>
      </c>
      <c r="W97" s="18">
        <v>10</v>
      </c>
      <c r="X97" s="134">
        <v>25</v>
      </c>
      <c r="Y97" s="18">
        <v>6</v>
      </c>
      <c r="Z97" s="134">
        <v>155157</v>
      </c>
      <c r="AA97" s="18">
        <v>8</v>
      </c>
      <c r="AB97" s="134">
        <v>61</v>
      </c>
      <c r="AC97" s="18">
        <v>2</v>
      </c>
      <c r="AD97" s="28">
        <v>1.22</v>
      </c>
      <c r="AE97" s="18">
        <v>23</v>
      </c>
      <c r="AF97" s="28">
        <v>1.22</v>
      </c>
      <c r="AG97" s="18">
        <v>37</v>
      </c>
      <c r="AH97" s="28">
        <v>3.74</v>
      </c>
      <c r="AI97" s="18">
        <v>17</v>
      </c>
      <c r="AJ97" s="28">
        <v>2</v>
      </c>
      <c r="AK97" s="18">
        <v>12</v>
      </c>
      <c r="AL97" s="134">
        <v>1298</v>
      </c>
      <c r="AM97" s="18">
        <v>10</v>
      </c>
      <c r="AN97" s="134">
        <v>503</v>
      </c>
      <c r="AO97" s="18">
        <v>5</v>
      </c>
      <c r="AP97" s="134">
        <v>643</v>
      </c>
      <c r="AQ97" s="134">
        <v>132539</v>
      </c>
      <c r="AR97" s="134">
        <v>3279</v>
      </c>
      <c r="AS97" s="18">
        <v>8</v>
      </c>
      <c r="AT97" s="134">
        <v>1266</v>
      </c>
      <c r="AU97" s="18">
        <v>4</v>
      </c>
      <c r="AV97" s="134">
        <v>18956</v>
      </c>
      <c r="AW97" s="134">
        <v>10</v>
      </c>
      <c r="AX97" s="135">
        <v>400.6</v>
      </c>
      <c r="AY97" s="134">
        <v>36714</v>
      </c>
      <c r="AZ97" s="134">
        <v>19</v>
      </c>
      <c r="BA97" s="135">
        <v>775.9</v>
      </c>
      <c r="BB97" s="28">
        <v>1.41</v>
      </c>
    </row>
    <row r="98" spans="1:54" s="18" customFormat="1">
      <c r="A98" s="18" t="str">
        <f t="shared" si="1"/>
        <v>San J</v>
      </c>
      <c r="B98" s="18" t="s">
        <v>380</v>
      </c>
      <c r="C98" s="18" t="s">
        <v>291</v>
      </c>
      <c r="D98" s="18" t="s">
        <v>285</v>
      </c>
      <c r="E98" s="134">
        <v>1838</v>
      </c>
      <c r="F98" s="134">
        <v>25</v>
      </c>
      <c r="G98" s="134">
        <v>1048</v>
      </c>
      <c r="H98" s="134">
        <v>973</v>
      </c>
      <c r="I98" s="134">
        <v>17146</v>
      </c>
      <c r="J98" s="134">
        <v>896</v>
      </c>
      <c r="K98" s="134">
        <v>16563</v>
      </c>
      <c r="L98" s="134">
        <v>2425</v>
      </c>
      <c r="M98" s="134">
        <v>208</v>
      </c>
      <c r="N98" s="134">
        <v>43.2</v>
      </c>
      <c r="O98" s="28">
        <v>16.79</v>
      </c>
      <c r="P98" s="28">
        <v>86.81</v>
      </c>
      <c r="Q98" s="28">
        <v>3.51</v>
      </c>
      <c r="R98" s="28">
        <v>4.0199999999999996</v>
      </c>
      <c r="S98" s="134">
        <v>77</v>
      </c>
      <c r="T98" s="134">
        <v>63</v>
      </c>
      <c r="U98" s="28">
        <v>6</v>
      </c>
      <c r="V98" s="134">
        <v>20028</v>
      </c>
      <c r="W98" s="18">
        <v>28</v>
      </c>
      <c r="X98" s="134">
        <v>17</v>
      </c>
      <c r="Y98" s="18">
        <v>40</v>
      </c>
      <c r="Z98" s="134">
        <v>47385</v>
      </c>
      <c r="AA98" s="18">
        <v>23</v>
      </c>
      <c r="AB98" s="134">
        <v>39</v>
      </c>
      <c r="AC98" s="18">
        <v>28</v>
      </c>
      <c r="AD98" s="28">
        <v>1.24</v>
      </c>
      <c r="AE98" s="18">
        <v>17</v>
      </c>
      <c r="AF98" s="28">
        <v>1.24</v>
      </c>
      <c r="AG98" s="18">
        <v>31</v>
      </c>
      <c r="AH98" s="28">
        <v>3.45</v>
      </c>
      <c r="AI98" s="18">
        <v>25</v>
      </c>
      <c r="AJ98" s="28">
        <v>1.93</v>
      </c>
      <c r="AK98" s="18">
        <v>15</v>
      </c>
      <c r="AL98" s="134">
        <v>302</v>
      </c>
      <c r="AM98" s="18">
        <v>35</v>
      </c>
      <c r="AN98" s="134">
        <v>249</v>
      </c>
      <c r="AO98" s="18">
        <v>65</v>
      </c>
      <c r="AP98" s="134">
        <v>153</v>
      </c>
      <c r="AQ98" s="134">
        <v>52751</v>
      </c>
      <c r="AR98" s="134">
        <v>971</v>
      </c>
      <c r="AS98" s="18">
        <v>26</v>
      </c>
      <c r="AT98" s="134">
        <v>800</v>
      </c>
      <c r="AU98" s="18">
        <v>35</v>
      </c>
      <c r="AV98" s="134">
        <v>3872</v>
      </c>
      <c r="AW98" s="134">
        <v>4</v>
      </c>
      <c r="AX98" s="135">
        <v>79.3</v>
      </c>
      <c r="AY98" s="134">
        <v>2097</v>
      </c>
      <c r="AZ98" s="134">
        <v>2</v>
      </c>
      <c r="BA98" s="135">
        <v>42.9</v>
      </c>
      <c r="BB98" s="28">
        <v>1.37</v>
      </c>
    </row>
    <row r="99" spans="1:54" s="18" customFormat="1">
      <c r="A99" s="18" t="str">
        <f t="shared" si="1"/>
        <v>Saras</v>
      </c>
      <c r="B99" s="18" t="s">
        <v>381</v>
      </c>
      <c r="C99" s="18" t="s">
        <v>293</v>
      </c>
      <c r="D99" s="18" t="s">
        <v>285</v>
      </c>
      <c r="E99" s="134">
        <v>688</v>
      </c>
      <c r="F99" s="134">
        <v>60</v>
      </c>
      <c r="G99" s="134">
        <v>385</v>
      </c>
      <c r="H99" s="134">
        <v>360</v>
      </c>
      <c r="I99" s="134">
        <v>2517</v>
      </c>
      <c r="J99" s="134">
        <v>180</v>
      </c>
      <c r="K99" s="134">
        <v>6308</v>
      </c>
      <c r="L99" s="134">
        <v>993</v>
      </c>
      <c r="M99" s="134">
        <v>34.1</v>
      </c>
      <c r="N99" s="134">
        <v>4.8</v>
      </c>
      <c r="O99" s="28">
        <v>16.79</v>
      </c>
      <c r="P99" s="28">
        <v>86.81</v>
      </c>
      <c r="Q99" s="28">
        <v>3.24</v>
      </c>
      <c r="R99" s="28">
        <v>3.65</v>
      </c>
      <c r="S99" s="134">
        <v>62</v>
      </c>
      <c r="T99" s="134">
        <v>57</v>
      </c>
      <c r="U99" s="28">
        <v>2.5</v>
      </c>
      <c r="V99" s="134">
        <v>5301</v>
      </c>
      <c r="W99" s="18">
        <v>67</v>
      </c>
      <c r="X99" s="134">
        <v>11</v>
      </c>
      <c r="Y99" s="18">
        <v>80</v>
      </c>
      <c r="Z99" s="134">
        <v>10523</v>
      </c>
      <c r="AA99" s="18">
        <v>70</v>
      </c>
      <c r="AB99" s="134">
        <v>21</v>
      </c>
      <c r="AC99" s="18">
        <v>88</v>
      </c>
      <c r="AD99" s="28">
        <v>1.1200000000000001</v>
      </c>
      <c r="AE99" s="18">
        <v>74</v>
      </c>
      <c r="AF99" s="28">
        <v>1.17</v>
      </c>
      <c r="AG99" s="18">
        <v>63</v>
      </c>
      <c r="AH99" s="28">
        <v>1.49</v>
      </c>
      <c r="AI99" s="18">
        <v>97</v>
      </c>
      <c r="AJ99" s="28">
        <v>1.05</v>
      </c>
      <c r="AK99" s="18">
        <v>101</v>
      </c>
      <c r="AL99" s="134">
        <v>107</v>
      </c>
      <c r="AM99" s="18">
        <v>66</v>
      </c>
      <c r="AN99" s="134">
        <v>212</v>
      </c>
      <c r="AO99" s="18">
        <v>82</v>
      </c>
      <c r="AP99" s="134">
        <v>41</v>
      </c>
      <c r="AQ99" s="134">
        <v>7682</v>
      </c>
      <c r="AR99" s="134">
        <v>222</v>
      </c>
      <c r="AS99" s="18">
        <v>70</v>
      </c>
      <c r="AT99" s="134">
        <v>444</v>
      </c>
      <c r="AU99" s="18">
        <v>87</v>
      </c>
      <c r="AV99" s="134">
        <v>668</v>
      </c>
      <c r="AW99" s="134">
        <v>2</v>
      </c>
      <c r="AX99" s="135">
        <v>14.1</v>
      </c>
      <c r="AY99" s="134">
        <v>152</v>
      </c>
      <c r="AZ99" s="134">
        <v>0</v>
      </c>
      <c r="BA99" s="135">
        <v>3.2</v>
      </c>
      <c r="BB99" s="28">
        <v>1.1299999999999999</v>
      </c>
    </row>
    <row r="100" spans="1:54" s="18" customFormat="1">
      <c r="A100" s="18" t="str">
        <f t="shared" si="1"/>
        <v>Seatt</v>
      </c>
      <c r="B100" s="18" t="s">
        <v>382</v>
      </c>
      <c r="C100" s="18" t="s">
        <v>289</v>
      </c>
      <c r="D100" s="18" t="s">
        <v>285</v>
      </c>
      <c r="E100" s="134">
        <v>3286</v>
      </c>
      <c r="F100" s="134">
        <v>14</v>
      </c>
      <c r="G100" s="134">
        <v>1837</v>
      </c>
      <c r="H100" s="134">
        <v>1659</v>
      </c>
      <c r="I100" s="134">
        <v>33207</v>
      </c>
      <c r="J100" s="134">
        <v>2316</v>
      </c>
      <c r="K100" s="134">
        <v>27828</v>
      </c>
      <c r="L100" s="134">
        <v>5328</v>
      </c>
      <c r="M100" s="134">
        <v>1249.2</v>
      </c>
      <c r="N100" s="134">
        <v>192.8</v>
      </c>
      <c r="O100" s="28">
        <v>16.79</v>
      </c>
      <c r="P100" s="28">
        <v>86.81</v>
      </c>
      <c r="Q100" s="28">
        <v>3.6</v>
      </c>
      <c r="R100" s="28">
        <v>3.96</v>
      </c>
      <c r="S100" s="134">
        <v>64</v>
      </c>
      <c r="T100" s="134">
        <v>47</v>
      </c>
      <c r="U100" s="28">
        <v>6</v>
      </c>
      <c r="V100" s="134">
        <v>47156</v>
      </c>
      <c r="W100" s="18">
        <v>13</v>
      </c>
      <c r="X100" s="134">
        <v>22</v>
      </c>
      <c r="Y100" s="18">
        <v>15</v>
      </c>
      <c r="Z100" s="134">
        <v>100802</v>
      </c>
      <c r="AA100" s="18">
        <v>13</v>
      </c>
      <c r="AB100" s="134">
        <v>48</v>
      </c>
      <c r="AC100" s="18">
        <v>9</v>
      </c>
      <c r="AD100" s="28">
        <v>1.26</v>
      </c>
      <c r="AE100" s="18">
        <v>10</v>
      </c>
      <c r="AF100" s="28">
        <v>1.33</v>
      </c>
      <c r="AG100" s="18">
        <v>13</v>
      </c>
      <c r="AH100" s="28">
        <v>3.99</v>
      </c>
      <c r="AI100" s="18">
        <v>12</v>
      </c>
      <c r="AJ100" s="28">
        <v>2.02</v>
      </c>
      <c r="AK100" s="18">
        <v>8</v>
      </c>
      <c r="AL100" s="134">
        <v>955</v>
      </c>
      <c r="AM100" s="18">
        <v>13</v>
      </c>
      <c r="AN100" s="134">
        <v>447</v>
      </c>
      <c r="AO100" s="18">
        <v>14</v>
      </c>
      <c r="AP100" s="134">
        <v>546</v>
      </c>
      <c r="AQ100" s="134">
        <v>152596</v>
      </c>
      <c r="AR100" s="134">
        <v>2241</v>
      </c>
      <c r="AS100" s="18">
        <v>13</v>
      </c>
      <c r="AT100" s="134">
        <v>1050</v>
      </c>
      <c r="AU100" s="18">
        <v>10</v>
      </c>
      <c r="AV100" s="134">
        <v>8497</v>
      </c>
      <c r="AW100" s="134">
        <v>5</v>
      </c>
      <c r="AX100" s="135">
        <v>188.9</v>
      </c>
      <c r="AY100" s="134">
        <v>16483</v>
      </c>
      <c r="AZ100" s="134">
        <v>10</v>
      </c>
      <c r="BA100" s="135">
        <v>366.5</v>
      </c>
      <c r="BB100" s="28">
        <v>1.03</v>
      </c>
    </row>
    <row r="101" spans="1:54" s="18" customFormat="1">
      <c r="A101" s="18" t="str">
        <f t="shared" si="1"/>
        <v>Spoka</v>
      </c>
      <c r="B101" s="18" t="s">
        <v>383</v>
      </c>
      <c r="C101" s="18" t="s">
        <v>295</v>
      </c>
      <c r="D101" s="18" t="s">
        <v>285</v>
      </c>
      <c r="E101" s="134">
        <v>383</v>
      </c>
      <c r="F101" s="134">
        <v>90</v>
      </c>
      <c r="G101" s="134">
        <v>215</v>
      </c>
      <c r="H101" s="134">
        <v>201</v>
      </c>
      <c r="I101" s="134">
        <v>2369</v>
      </c>
      <c r="J101" s="134">
        <v>255</v>
      </c>
      <c r="K101" s="134">
        <v>4262</v>
      </c>
      <c r="L101" s="134">
        <v>1200</v>
      </c>
      <c r="M101" s="134">
        <v>53.1</v>
      </c>
      <c r="N101" s="134">
        <v>11.5</v>
      </c>
      <c r="O101" s="28">
        <v>16.79</v>
      </c>
      <c r="P101" s="28">
        <v>86.81</v>
      </c>
      <c r="Q101" s="28">
        <v>3.6</v>
      </c>
      <c r="R101" s="28">
        <v>3.96</v>
      </c>
      <c r="S101" s="134">
        <v>13</v>
      </c>
      <c r="T101" s="134">
        <v>15</v>
      </c>
      <c r="U101" s="28">
        <v>1.75</v>
      </c>
      <c r="V101" s="134">
        <v>3457</v>
      </c>
      <c r="W101" s="18">
        <v>82</v>
      </c>
      <c r="X101" s="134">
        <v>13</v>
      </c>
      <c r="Y101" s="18">
        <v>60</v>
      </c>
      <c r="Z101" s="134">
        <v>6107</v>
      </c>
      <c r="AA101" s="18">
        <v>86</v>
      </c>
      <c r="AB101" s="134">
        <v>23</v>
      </c>
      <c r="AC101" s="18">
        <v>83</v>
      </c>
      <c r="AD101" s="28">
        <v>1.1200000000000001</v>
      </c>
      <c r="AE101" s="18">
        <v>74</v>
      </c>
      <c r="AF101" s="28">
        <v>1.1299999999999999</v>
      </c>
      <c r="AG101" s="18">
        <v>81</v>
      </c>
      <c r="AH101" s="28">
        <v>2.95</v>
      </c>
      <c r="AI101" s="18">
        <v>45</v>
      </c>
      <c r="AJ101" s="28">
        <v>1.51</v>
      </c>
      <c r="AK101" s="18">
        <v>50</v>
      </c>
      <c r="AL101" s="134">
        <v>70</v>
      </c>
      <c r="AM101" s="18">
        <v>80</v>
      </c>
      <c r="AN101" s="134">
        <v>257</v>
      </c>
      <c r="AO101" s="18">
        <v>60</v>
      </c>
      <c r="AP101" s="134">
        <v>38</v>
      </c>
      <c r="AQ101" s="134">
        <v>7292</v>
      </c>
      <c r="AR101" s="134">
        <v>141</v>
      </c>
      <c r="AS101" s="18">
        <v>85</v>
      </c>
      <c r="AT101" s="134">
        <v>518</v>
      </c>
      <c r="AU101" s="18">
        <v>79</v>
      </c>
      <c r="AV101" s="134">
        <v>274</v>
      </c>
      <c r="AW101" s="134">
        <v>1</v>
      </c>
      <c r="AX101" s="135">
        <v>6.4</v>
      </c>
      <c r="AY101" s="134">
        <v>576</v>
      </c>
      <c r="AZ101" s="134">
        <v>3</v>
      </c>
      <c r="BA101" s="135">
        <v>13.4</v>
      </c>
      <c r="BB101" s="28">
        <v>0.68</v>
      </c>
    </row>
    <row r="102" spans="1:54" s="18" customFormat="1">
      <c r="A102" s="18" t="str">
        <f t="shared" si="1"/>
        <v>Sprin</v>
      </c>
      <c r="B102" s="18" t="s">
        <v>384</v>
      </c>
      <c r="C102" s="18" t="s">
        <v>293</v>
      </c>
      <c r="D102" s="18" t="s">
        <v>285</v>
      </c>
      <c r="E102" s="134">
        <v>628</v>
      </c>
      <c r="F102" s="134">
        <v>65</v>
      </c>
      <c r="G102" s="134">
        <v>351</v>
      </c>
      <c r="H102" s="134">
        <v>329</v>
      </c>
      <c r="I102" s="134">
        <v>5613</v>
      </c>
      <c r="J102" s="134">
        <v>511</v>
      </c>
      <c r="K102" s="134">
        <v>5899</v>
      </c>
      <c r="L102" s="134">
        <v>1480</v>
      </c>
      <c r="M102" s="134">
        <v>33.5</v>
      </c>
      <c r="N102" s="134">
        <v>10.8</v>
      </c>
      <c r="O102" s="28">
        <v>16.79</v>
      </c>
      <c r="P102" s="28">
        <v>86.81</v>
      </c>
      <c r="Q102" s="28">
        <v>3.49</v>
      </c>
      <c r="R102" s="28">
        <v>3.73</v>
      </c>
      <c r="S102" s="134">
        <v>21</v>
      </c>
      <c r="T102" s="134">
        <v>24</v>
      </c>
      <c r="U102" s="28">
        <v>2.5</v>
      </c>
      <c r="V102" s="134">
        <v>6403</v>
      </c>
      <c r="W102" s="18">
        <v>63</v>
      </c>
      <c r="X102" s="134">
        <v>15</v>
      </c>
      <c r="Y102" s="18">
        <v>48</v>
      </c>
      <c r="Z102" s="134">
        <v>12084</v>
      </c>
      <c r="AA102" s="18">
        <v>66</v>
      </c>
      <c r="AB102" s="134">
        <v>28</v>
      </c>
      <c r="AC102" s="18">
        <v>63</v>
      </c>
      <c r="AD102" s="28">
        <v>1.1299999999999999</v>
      </c>
      <c r="AE102" s="18">
        <v>68</v>
      </c>
      <c r="AF102" s="28">
        <v>1.17</v>
      </c>
      <c r="AG102" s="18">
        <v>63</v>
      </c>
      <c r="AH102" s="28">
        <v>2.16</v>
      </c>
      <c r="AI102" s="18">
        <v>76</v>
      </c>
      <c r="AJ102" s="28">
        <v>1.27</v>
      </c>
      <c r="AK102" s="18">
        <v>82</v>
      </c>
      <c r="AL102" s="134">
        <v>128</v>
      </c>
      <c r="AM102" s="18">
        <v>62</v>
      </c>
      <c r="AN102" s="134">
        <v>292</v>
      </c>
      <c r="AO102" s="18">
        <v>52</v>
      </c>
      <c r="AP102" s="134">
        <v>40</v>
      </c>
      <c r="AQ102" s="134">
        <v>9279</v>
      </c>
      <c r="AR102" s="134">
        <v>253</v>
      </c>
      <c r="AS102" s="18">
        <v>66</v>
      </c>
      <c r="AT102" s="134">
        <v>575</v>
      </c>
      <c r="AU102" s="18">
        <v>71</v>
      </c>
      <c r="AV102" s="134">
        <v>224</v>
      </c>
      <c r="AW102" s="134">
        <v>1</v>
      </c>
      <c r="AX102" s="135">
        <v>4.7</v>
      </c>
      <c r="AY102" s="134">
        <v>349</v>
      </c>
      <c r="AZ102" s="134">
        <v>1</v>
      </c>
      <c r="BA102" s="135">
        <v>7.3</v>
      </c>
      <c r="BB102" s="28">
        <v>0.79</v>
      </c>
    </row>
    <row r="103" spans="1:54" s="18" customFormat="1">
      <c r="A103" s="18" t="str">
        <f t="shared" si="1"/>
        <v>St. L</v>
      </c>
      <c r="B103" s="18" t="s">
        <v>385</v>
      </c>
      <c r="C103" s="18" t="s">
        <v>291</v>
      </c>
      <c r="D103" s="18" t="s">
        <v>285</v>
      </c>
      <c r="E103" s="134">
        <v>2343</v>
      </c>
      <c r="F103" s="134">
        <v>20</v>
      </c>
      <c r="G103" s="134">
        <v>1336</v>
      </c>
      <c r="H103" s="134">
        <v>1241</v>
      </c>
      <c r="I103" s="134">
        <v>30207</v>
      </c>
      <c r="J103" s="134">
        <v>2612</v>
      </c>
      <c r="K103" s="134">
        <v>19743</v>
      </c>
      <c r="L103" s="134">
        <v>4689</v>
      </c>
      <c r="M103" s="134">
        <v>300.2</v>
      </c>
      <c r="N103" s="134">
        <v>47.5</v>
      </c>
      <c r="O103" s="28">
        <v>16.79</v>
      </c>
      <c r="P103" s="28">
        <v>86.81</v>
      </c>
      <c r="Q103" s="28">
        <v>3.24</v>
      </c>
      <c r="R103" s="28">
        <v>3.54</v>
      </c>
      <c r="S103" s="134">
        <v>31</v>
      </c>
      <c r="T103" s="134">
        <v>25</v>
      </c>
      <c r="U103" s="28">
        <v>4</v>
      </c>
      <c r="V103" s="134">
        <v>21572</v>
      </c>
      <c r="W103" s="18">
        <v>23</v>
      </c>
      <c r="X103" s="134">
        <v>13</v>
      </c>
      <c r="Y103" s="18">
        <v>60</v>
      </c>
      <c r="Z103" s="134">
        <v>49605</v>
      </c>
      <c r="AA103" s="18">
        <v>22</v>
      </c>
      <c r="AB103" s="134">
        <v>31</v>
      </c>
      <c r="AC103" s="18">
        <v>50</v>
      </c>
      <c r="AD103" s="28">
        <v>1.1399999999999999</v>
      </c>
      <c r="AE103" s="18">
        <v>61</v>
      </c>
      <c r="AF103" s="28">
        <v>1.17</v>
      </c>
      <c r="AG103" s="18">
        <v>63</v>
      </c>
      <c r="AH103" s="28">
        <v>2.64</v>
      </c>
      <c r="AI103" s="18">
        <v>55</v>
      </c>
      <c r="AJ103" s="28">
        <v>1.44</v>
      </c>
      <c r="AK103" s="18">
        <v>57</v>
      </c>
      <c r="AL103" s="134">
        <v>437</v>
      </c>
      <c r="AM103" s="18">
        <v>22</v>
      </c>
      <c r="AN103" s="134">
        <v>272</v>
      </c>
      <c r="AO103" s="18">
        <v>56</v>
      </c>
      <c r="AP103" s="134">
        <v>300</v>
      </c>
      <c r="AQ103" s="134">
        <v>107500</v>
      </c>
      <c r="AR103" s="134">
        <v>1116</v>
      </c>
      <c r="AS103" s="18">
        <v>22</v>
      </c>
      <c r="AT103" s="134">
        <v>686</v>
      </c>
      <c r="AU103" s="18">
        <v>47</v>
      </c>
      <c r="AV103" s="134">
        <v>2083</v>
      </c>
      <c r="AW103" s="134">
        <v>2</v>
      </c>
      <c r="AX103" s="135">
        <v>46.9</v>
      </c>
      <c r="AY103" s="134">
        <v>2958</v>
      </c>
      <c r="AZ103" s="134">
        <v>2</v>
      </c>
      <c r="BA103" s="135">
        <v>66.5</v>
      </c>
      <c r="BB103" s="28">
        <v>0.83</v>
      </c>
    </row>
    <row r="104" spans="1:54" s="18" customFormat="1">
      <c r="A104" s="18" t="str">
        <f t="shared" si="1"/>
        <v>Stock</v>
      </c>
      <c r="B104" s="18" t="s">
        <v>386</v>
      </c>
      <c r="C104" s="18" t="s">
        <v>295</v>
      </c>
      <c r="D104" s="18" t="s">
        <v>285</v>
      </c>
      <c r="E104" s="134">
        <v>409</v>
      </c>
      <c r="F104" s="134">
        <v>87</v>
      </c>
      <c r="G104" s="134">
        <v>229</v>
      </c>
      <c r="H104" s="134">
        <v>215</v>
      </c>
      <c r="I104" s="134">
        <v>3591</v>
      </c>
      <c r="J104" s="134">
        <v>220</v>
      </c>
      <c r="K104" s="134">
        <v>2235</v>
      </c>
      <c r="L104" s="134">
        <v>486</v>
      </c>
      <c r="M104" s="134">
        <v>60.9</v>
      </c>
      <c r="N104" s="134">
        <v>5.0999999999999996</v>
      </c>
      <c r="O104" s="28">
        <v>16.79</v>
      </c>
      <c r="P104" s="28">
        <v>86.81</v>
      </c>
      <c r="Q104" s="28">
        <v>3.51</v>
      </c>
      <c r="R104" s="28">
        <v>4.0199999999999996</v>
      </c>
      <c r="S104" s="134">
        <v>34</v>
      </c>
      <c r="T104" s="134">
        <v>32</v>
      </c>
      <c r="U104" s="28">
        <v>1.5</v>
      </c>
      <c r="V104" s="134">
        <v>1415</v>
      </c>
      <c r="W104" s="18">
        <v>98</v>
      </c>
      <c r="X104" s="134">
        <v>5</v>
      </c>
      <c r="Y104" s="18">
        <v>101</v>
      </c>
      <c r="Z104" s="134">
        <v>3519</v>
      </c>
      <c r="AA104" s="18">
        <v>97</v>
      </c>
      <c r="AB104" s="134">
        <v>12</v>
      </c>
      <c r="AC104" s="18">
        <v>100</v>
      </c>
      <c r="AD104" s="28">
        <v>1.1000000000000001</v>
      </c>
      <c r="AE104" s="18">
        <v>87</v>
      </c>
      <c r="AF104" s="28">
        <v>1.1299999999999999</v>
      </c>
      <c r="AG104" s="18">
        <v>81</v>
      </c>
      <c r="AH104" s="28">
        <v>1.74</v>
      </c>
      <c r="AI104" s="18">
        <v>93</v>
      </c>
      <c r="AJ104" s="28">
        <v>1.25</v>
      </c>
      <c r="AK104" s="18">
        <v>86</v>
      </c>
      <c r="AL104" s="134">
        <v>19</v>
      </c>
      <c r="AM104" s="18">
        <v>100</v>
      </c>
      <c r="AN104" s="134">
        <v>67</v>
      </c>
      <c r="AO104" s="18">
        <v>98</v>
      </c>
      <c r="AP104" s="134">
        <v>35</v>
      </c>
      <c r="AQ104" s="134">
        <v>10413</v>
      </c>
      <c r="AR104" s="134">
        <v>90</v>
      </c>
      <c r="AS104" s="18">
        <v>94</v>
      </c>
      <c r="AT104" s="134">
        <v>293</v>
      </c>
      <c r="AU104" s="18">
        <v>99</v>
      </c>
      <c r="AV104" s="134">
        <v>160</v>
      </c>
      <c r="AW104" s="134">
        <v>1</v>
      </c>
      <c r="AX104" s="135">
        <v>4.0999999999999996</v>
      </c>
      <c r="AY104" s="134">
        <v>237</v>
      </c>
      <c r="AZ104" s="134">
        <v>1</v>
      </c>
      <c r="BA104" s="135">
        <v>6.1</v>
      </c>
      <c r="BB104" s="28">
        <v>1.1200000000000001</v>
      </c>
    </row>
    <row r="105" spans="1:54" s="18" customFormat="1">
      <c r="A105" s="18" t="str">
        <f t="shared" si="1"/>
        <v>Tampa</v>
      </c>
      <c r="B105" s="18" t="s">
        <v>387</v>
      </c>
      <c r="C105" s="18" t="s">
        <v>291</v>
      </c>
      <c r="D105" s="18" t="s">
        <v>285</v>
      </c>
      <c r="E105" s="134">
        <v>2393</v>
      </c>
      <c r="F105" s="134">
        <v>18</v>
      </c>
      <c r="G105" s="134">
        <v>1364</v>
      </c>
      <c r="H105" s="134">
        <v>1267</v>
      </c>
      <c r="I105" s="134">
        <v>14360</v>
      </c>
      <c r="J105" s="134">
        <v>1016</v>
      </c>
      <c r="K105" s="134">
        <v>28370</v>
      </c>
      <c r="L105" s="134">
        <v>3897</v>
      </c>
      <c r="M105" s="134">
        <v>146.5</v>
      </c>
      <c r="N105" s="134">
        <v>29.3</v>
      </c>
      <c r="O105" s="28">
        <v>16.79</v>
      </c>
      <c r="P105" s="28">
        <v>86.81</v>
      </c>
      <c r="Q105" s="28">
        <v>3.24</v>
      </c>
      <c r="R105" s="28">
        <v>3.65</v>
      </c>
      <c r="S105" s="134">
        <v>70</v>
      </c>
      <c r="T105" s="134">
        <v>66</v>
      </c>
      <c r="U105" s="28">
        <v>4</v>
      </c>
      <c r="V105" s="134">
        <v>30539</v>
      </c>
      <c r="W105" s="18">
        <v>17</v>
      </c>
      <c r="X105" s="134">
        <v>18</v>
      </c>
      <c r="Y105" s="18">
        <v>30</v>
      </c>
      <c r="Z105" s="134">
        <v>62876</v>
      </c>
      <c r="AA105" s="18">
        <v>18</v>
      </c>
      <c r="AB105" s="134">
        <v>38</v>
      </c>
      <c r="AC105" s="18">
        <v>30</v>
      </c>
      <c r="AD105" s="28">
        <v>1.2</v>
      </c>
      <c r="AE105" s="18">
        <v>27</v>
      </c>
      <c r="AF105" s="28">
        <v>1.28</v>
      </c>
      <c r="AG105" s="18">
        <v>20</v>
      </c>
      <c r="AH105" s="28">
        <v>2.9</v>
      </c>
      <c r="AI105" s="18">
        <v>48</v>
      </c>
      <c r="AJ105" s="28">
        <v>1.54</v>
      </c>
      <c r="AK105" s="18">
        <v>44</v>
      </c>
      <c r="AL105" s="134">
        <v>613</v>
      </c>
      <c r="AM105" s="18">
        <v>17</v>
      </c>
      <c r="AN105" s="134">
        <v>366</v>
      </c>
      <c r="AO105" s="18">
        <v>32</v>
      </c>
      <c r="AP105" s="134">
        <v>246</v>
      </c>
      <c r="AQ105" s="134">
        <v>62643</v>
      </c>
      <c r="AR105" s="134">
        <v>1325</v>
      </c>
      <c r="AS105" s="18">
        <v>18</v>
      </c>
      <c r="AT105" s="134">
        <v>791</v>
      </c>
      <c r="AU105" s="18">
        <v>37</v>
      </c>
      <c r="AV105" s="134">
        <v>4591</v>
      </c>
      <c r="AW105" s="134">
        <v>4</v>
      </c>
      <c r="AX105" s="135">
        <v>96.8</v>
      </c>
      <c r="AY105" s="134">
        <v>1210</v>
      </c>
      <c r="AZ105" s="134">
        <v>1</v>
      </c>
      <c r="BA105" s="135">
        <v>25.5</v>
      </c>
      <c r="BB105" s="28">
        <v>1.19</v>
      </c>
    </row>
    <row r="106" spans="1:54" s="18" customFormat="1">
      <c r="A106" s="18" t="str">
        <f t="shared" si="1"/>
        <v>Toled</v>
      </c>
      <c r="B106" s="18" t="s">
        <v>388</v>
      </c>
      <c r="C106" s="18" t="s">
        <v>293</v>
      </c>
      <c r="D106" s="18" t="s">
        <v>285</v>
      </c>
      <c r="E106" s="134">
        <v>516</v>
      </c>
      <c r="F106" s="134">
        <v>78</v>
      </c>
      <c r="G106" s="134">
        <v>288</v>
      </c>
      <c r="H106" s="134">
        <v>270</v>
      </c>
      <c r="I106" s="134">
        <v>4013</v>
      </c>
      <c r="J106" s="134">
        <v>390</v>
      </c>
      <c r="K106" s="134">
        <v>4344</v>
      </c>
      <c r="L106" s="134">
        <v>1217</v>
      </c>
      <c r="M106" s="134">
        <v>15.1</v>
      </c>
      <c r="N106" s="134">
        <v>3.3</v>
      </c>
      <c r="O106" s="28">
        <v>16.79</v>
      </c>
      <c r="P106" s="28">
        <v>86.81</v>
      </c>
      <c r="Q106" s="28">
        <v>3.25</v>
      </c>
      <c r="R106" s="28">
        <v>3.69</v>
      </c>
      <c r="S106" s="134">
        <v>22</v>
      </c>
      <c r="T106" s="134">
        <v>23</v>
      </c>
      <c r="U106" s="28">
        <v>2.5</v>
      </c>
      <c r="V106" s="134">
        <v>4176</v>
      </c>
      <c r="W106" s="18">
        <v>76</v>
      </c>
      <c r="X106" s="134">
        <v>12</v>
      </c>
      <c r="Y106" s="18">
        <v>69</v>
      </c>
      <c r="Z106" s="134">
        <v>9195</v>
      </c>
      <c r="AA106" s="18">
        <v>78</v>
      </c>
      <c r="AB106" s="134">
        <v>26</v>
      </c>
      <c r="AC106" s="18">
        <v>71</v>
      </c>
      <c r="AD106" s="28">
        <v>1.1299999999999999</v>
      </c>
      <c r="AE106" s="18">
        <v>68</v>
      </c>
      <c r="AF106" s="28">
        <v>1.1599999999999999</v>
      </c>
      <c r="AG106" s="18">
        <v>69</v>
      </c>
      <c r="AH106" s="28">
        <v>2.64</v>
      </c>
      <c r="AI106" s="18">
        <v>55</v>
      </c>
      <c r="AJ106" s="28">
        <v>1.37</v>
      </c>
      <c r="AK106" s="18">
        <v>66</v>
      </c>
      <c r="AL106" s="134">
        <v>84</v>
      </c>
      <c r="AM106" s="18">
        <v>75</v>
      </c>
      <c r="AN106" s="134">
        <v>234</v>
      </c>
      <c r="AO106" s="18">
        <v>72</v>
      </c>
      <c r="AP106" s="134">
        <v>48</v>
      </c>
      <c r="AQ106" s="134">
        <v>11123</v>
      </c>
      <c r="AR106" s="134">
        <v>202</v>
      </c>
      <c r="AS106" s="18">
        <v>78</v>
      </c>
      <c r="AT106" s="134">
        <v>555</v>
      </c>
      <c r="AU106" s="18">
        <v>73</v>
      </c>
      <c r="AV106" s="134">
        <v>106</v>
      </c>
      <c r="AW106" s="134">
        <v>0</v>
      </c>
      <c r="AX106" s="135">
        <v>2.2999999999999998</v>
      </c>
      <c r="AY106" s="134">
        <v>318</v>
      </c>
      <c r="AZ106" s="134">
        <v>1</v>
      </c>
      <c r="BA106" s="135">
        <v>7</v>
      </c>
      <c r="BB106" s="28">
        <v>0.73</v>
      </c>
    </row>
    <row r="107" spans="1:54" s="18" customFormat="1">
      <c r="A107" s="18" t="str">
        <f t="shared" si="1"/>
        <v>Tucso</v>
      </c>
      <c r="B107" s="18" t="s">
        <v>389</v>
      </c>
      <c r="C107" s="18" t="s">
        <v>293</v>
      </c>
      <c r="D107" s="18" t="s">
        <v>285</v>
      </c>
      <c r="E107" s="134">
        <v>718</v>
      </c>
      <c r="F107" s="134">
        <v>57</v>
      </c>
      <c r="G107" s="134">
        <v>401</v>
      </c>
      <c r="H107" s="134">
        <v>376</v>
      </c>
      <c r="I107" s="134">
        <v>3793</v>
      </c>
      <c r="J107" s="134">
        <v>258</v>
      </c>
      <c r="K107" s="134">
        <v>10832</v>
      </c>
      <c r="L107" s="134">
        <v>1779</v>
      </c>
      <c r="M107" s="134">
        <v>82.9</v>
      </c>
      <c r="N107" s="134">
        <v>20.6</v>
      </c>
      <c r="O107" s="28">
        <v>16.79</v>
      </c>
      <c r="P107" s="28">
        <v>86.81</v>
      </c>
      <c r="Q107" s="28">
        <v>3.19</v>
      </c>
      <c r="R107" s="28">
        <v>3.68</v>
      </c>
      <c r="S107" s="134">
        <v>61</v>
      </c>
      <c r="T107" s="134">
        <v>58</v>
      </c>
      <c r="U107" s="28">
        <v>2.5</v>
      </c>
      <c r="V107" s="134">
        <v>12125</v>
      </c>
      <c r="W107" s="18">
        <v>43</v>
      </c>
      <c r="X107" s="134">
        <v>24</v>
      </c>
      <c r="Y107" s="18">
        <v>8</v>
      </c>
      <c r="Z107" s="134">
        <v>19078</v>
      </c>
      <c r="AA107" s="18">
        <v>53</v>
      </c>
      <c r="AB107" s="134">
        <v>38</v>
      </c>
      <c r="AC107" s="18">
        <v>30</v>
      </c>
      <c r="AD107" s="28">
        <v>1.1599999999999999</v>
      </c>
      <c r="AE107" s="18">
        <v>51</v>
      </c>
      <c r="AF107" s="28">
        <v>1.21</v>
      </c>
      <c r="AG107" s="18">
        <v>45</v>
      </c>
      <c r="AH107" s="28">
        <v>2.06</v>
      </c>
      <c r="AI107" s="18">
        <v>83</v>
      </c>
      <c r="AJ107" s="28">
        <v>1.24</v>
      </c>
      <c r="AK107" s="18">
        <v>88</v>
      </c>
      <c r="AL107" s="134">
        <v>248</v>
      </c>
      <c r="AM107" s="18">
        <v>41</v>
      </c>
      <c r="AN107" s="134">
        <v>491</v>
      </c>
      <c r="AO107" s="18">
        <v>7</v>
      </c>
      <c r="AP107" s="134">
        <v>155</v>
      </c>
      <c r="AQ107" s="134">
        <v>28934</v>
      </c>
      <c r="AR107" s="134">
        <v>466</v>
      </c>
      <c r="AS107" s="18">
        <v>48</v>
      </c>
      <c r="AT107" s="134">
        <v>921</v>
      </c>
      <c r="AU107" s="18">
        <v>21</v>
      </c>
      <c r="AV107" s="134">
        <v>1124</v>
      </c>
      <c r="AW107" s="134">
        <v>3</v>
      </c>
      <c r="AX107" s="135">
        <v>27.5</v>
      </c>
      <c r="AY107" s="134">
        <v>606</v>
      </c>
      <c r="AZ107" s="134">
        <v>2</v>
      </c>
      <c r="BA107" s="135">
        <v>14.8</v>
      </c>
      <c r="BB107" s="28">
        <v>1.1299999999999999</v>
      </c>
    </row>
    <row r="108" spans="1:54" s="18" customFormat="1">
      <c r="A108" s="18" t="str">
        <f t="shared" si="1"/>
        <v>Tulsa</v>
      </c>
      <c r="B108" s="18" t="s">
        <v>390</v>
      </c>
      <c r="C108" s="18" t="s">
        <v>293</v>
      </c>
      <c r="D108" s="18" t="s">
        <v>285</v>
      </c>
      <c r="E108" s="134">
        <v>717</v>
      </c>
      <c r="F108" s="134">
        <v>58</v>
      </c>
      <c r="G108" s="134">
        <v>401</v>
      </c>
      <c r="H108" s="134">
        <v>376</v>
      </c>
      <c r="I108" s="134">
        <v>7634</v>
      </c>
      <c r="J108" s="134">
        <v>892</v>
      </c>
      <c r="K108" s="134">
        <v>8197</v>
      </c>
      <c r="L108" s="134">
        <v>1854</v>
      </c>
      <c r="M108" s="134">
        <v>16.600000000000001</v>
      </c>
      <c r="N108" s="134">
        <v>2.7</v>
      </c>
      <c r="O108" s="28">
        <v>16.79</v>
      </c>
      <c r="P108" s="28">
        <v>86.81</v>
      </c>
      <c r="Q108" s="28">
        <v>3.26</v>
      </c>
      <c r="R108" s="28">
        <v>3.53</v>
      </c>
      <c r="S108" s="134">
        <v>25</v>
      </c>
      <c r="T108" s="134">
        <v>37</v>
      </c>
      <c r="U108" s="28">
        <v>2.5</v>
      </c>
      <c r="V108" s="134">
        <v>7242</v>
      </c>
      <c r="W108" s="18">
        <v>58</v>
      </c>
      <c r="X108" s="134">
        <v>15</v>
      </c>
      <c r="Y108" s="18">
        <v>48</v>
      </c>
      <c r="Z108" s="134">
        <v>15500</v>
      </c>
      <c r="AA108" s="18">
        <v>57</v>
      </c>
      <c r="AB108" s="134">
        <v>32</v>
      </c>
      <c r="AC108" s="18">
        <v>47</v>
      </c>
      <c r="AD108" s="28">
        <v>1.1200000000000001</v>
      </c>
      <c r="AE108" s="18">
        <v>74</v>
      </c>
      <c r="AF108" s="28">
        <v>1.1599999999999999</v>
      </c>
      <c r="AG108" s="18">
        <v>69</v>
      </c>
      <c r="AH108" s="28">
        <v>2.0699999999999998</v>
      </c>
      <c r="AI108" s="18">
        <v>81</v>
      </c>
      <c r="AJ108" s="28">
        <v>1.31</v>
      </c>
      <c r="AK108" s="18">
        <v>73</v>
      </c>
      <c r="AL108" s="134">
        <v>145</v>
      </c>
      <c r="AM108" s="18">
        <v>58</v>
      </c>
      <c r="AN108" s="134">
        <v>298</v>
      </c>
      <c r="AO108" s="18">
        <v>50</v>
      </c>
      <c r="AP108" s="134">
        <v>67</v>
      </c>
      <c r="AQ108" s="134">
        <v>29127</v>
      </c>
      <c r="AR108" s="134">
        <v>331</v>
      </c>
      <c r="AS108" s="18">
        <v>57</v>
      </c>
      <c r="AT108" s="134">
        <v>668</v>
      </c>
      <c r="AU108" s="18">
        <v>51</v>
      </c>
      <c r="AV108" s="134">
        <v>100</v>
      </c>
      <c r="AW108" s="134">
        <v>0</v>
      </c>
      <c r="AX108" s="135">
        <v>2.1</v>
      </c>
      <c r="AY108" s="134">
        <v>75</v>
      </c>
      <c r="AZ108" s="134">
        <v>0</v>
      </c>
      <c r="BA108" s="135">
        <v>1.6</v>
      </c>
      <c r="BB108" s="28">
        <v>0.69</v>
      </c>
    </row>
    <row r="109" spans="1:54" s="18" customFormat="1">
      <c r="A109" s="18" t="str">
        <f t="shared" si="1"/>
        <v>Virgi</v>
      </c>
      <c r="B109" s="18" t="s">
        <v>391</v>
      </c>
      <c r="C109" s="18" t="s">
        <v>291</v>
      </c>
      <c r="D109" s="18" t="s">
        <v>285</v>
      </c>
      <c r="E109" s="134">
        <v>1555</v>
      </c>
      <c r="F109" s="134">
        <v>31</v>
      </c>
      <c r="G109" s="134">
        <v>886</v>
      </c>
      <c r="H109" s="134">
        <v>823</v>
      </c>
      <c r="I109" s="134">
        <v>13144</v>
      </c>
      <c r="J109" s="134">
        <v>957</v>
      </c>
      <c r="K109" s="134">
        <v>18165</v>
      </c>
      <c r="L109" s="134">
        <v>3267</v>
      </c>
      <c r="M109" s="134">
        <v>122.4</v>
      </c>
      <c r="N109" s="134">
        <v>20.2</v>
      </c>
      <c r="O109" s="28">
        <v>16.79</v>
      </c>
      <c r="P109" s="28">
        <v>86.81</v>
      </c>
      <c r="Q109" s="28">
        <v>3.29</v>
      </c>
      <c r="R109" s="28">
        <v>3.6</v>
      </c>
      <c r="S109" s="134">
        <v>50</v>
      </c>
      <c r="T109" s="134">
        <v>44</v>
      </c>
      <c r="U109" s="28">
        <v>4</v>
      </c>
      <c r="V109" s="134">
        <v>19633</v>
      </c>
      <c r="W109" s="18">
        <v>29</v>
      </c>
      <c r="X109" s="134">
        <v>19</v>
      </c>
      <c r="Y109" s="18">
        <v>24</v>
      </c>
      <c r="Z109" s="134">
        <v>46172</v>
      </c>
      <c r="AA109" s="18">
        <v>26</v>
      </c>
      <c r="AB109" s="134">
        <v>43</v>
      </c>
      <c r="AC109" s="18">
        <v>20</v>
      </c>
      <c r="AD109" s="28">
        <v>1.2</v>
      </c>
      <c r="AE109" s="18">
        <v>27</v>
      </c>
      <c r="AF109" s="28">
        <v>1.28</v>
      </c>
      <c r="AG109" s="18">
        <v>20</v>
      </c>
      <c r="AH109" s="28">
        <v>3.41</v>
      </c>
      <c r="AI109" s="18">
        <v>26</v>
      </c>
      <c r="AJ109" s="28">
        <v>1.65</v>
      </c>
      <c r="AK109" s="18">
        <v>33</v>
      </c>
      <c r="AL109" s="134">
        <v>392</v>
      </c>
      <c r="AM109" s="18">
        <v>27</v>
      </c>
      <c r="AN109" s="134">
        <v>373</v>
      </c>
      <c r="AO109" s="18">
        <v>29</v>
      </c>
      <c r="AP109" s="134">
        <v>131</v>
      </c>
      <c r="AQ109" s="134">
        <v>43521</v>
      </c>
      <c r="AR109" s="134">
        <v>932</v>
      </c>
      <c r="AS109" s="18">
        <v>28</v>
      </c>
      <c r="AT109" s="134">
        <v>877</v>
      </c>
      <c r="AU109" s="18">
        <v>26</v>
      </c>
      <c r="AV109" s="134">
        <v>3710</v>
      </c>
      <c r="AW109" s="134">
        <v>5</v>
      </c>
      <c r="AX109" s="135">
        <v>74.900000000000006</v>
      </c>
      <c r="AY109" s="134">
        <v>1643</v>
      </c>
      <c r="AZ109" s="134">
        <v>2</v>
      </c>
      <c r="BA109" s="135">
        <v>33.200000000000003</v>
      </c>
      <c r="BB109" s="28">
        <v>1.02</v>
      </c>
    </row>
    <row r="110" spans="1:54" s="18" customFormat="1">
      <c r="A110" s="18" t="str">
        <f t="shared" si="1"/>
        <v>Washi</v>
      </c>
      <c r="B110" s="18" t="s">
        <v>392</v>
      </c>
      <c r="C110" s="18" t="s">
        <v>289</v>
      </c>
      <c r="D110" s="18" t="s">
        <v>285</v>
      </c>
      <c r="E110" s="134">
        <v>4613</v>
      </c>
      <c r="F110" s="134">
        <v>7</v>
      </c>
      <c r="G110" s="134">
        <v>2343</v>
      </c>
      <c r="H110" s="134">
        <v>2011</v>
      </c>
      <c r="I110" s="134">
        <v>40082</v>
      </c>
      <c r="J110" s="134">
        <v>2222</v>
      </c>
      <c r="K110" s="134">
        <v>49729</v>
      </c>
      <c r="L110" s="134">
        <v>7099</v>
      </c>
      <c r="M110" s="134">
        <v>2589.6999999999998</v>
      </c>
      <c r="N110" s="134">
        <v>484.6</v>
      </c>
      <c r="O110" s="28">
        <v>16.79</v>
      </c>
      <c r="P110" s="28">
        <v>86.81</v>
      </c>
      <c r="Q110" s="28">
        <v>3.58</v>
      </c>
      <c r="R110" s="28">
        <v>3.74</v>
      </c>
      <c r="S110" s="134">
        <v>85</v>
      </c>
      <c r="T110" s="134">
        <v>69</v>
      </c>
      <c r="U110" s="28">
        <v>7</v>
      </c>
      <c r="V110" s="134">
        <v>85103</v>
      </c>
      <c r="W110" s="18">
        <v>5</v>
      </c>
      <c r="X110" s="134">
        <v>32</v>
      </c>
      <c r="Y110" s="18">
        <v>1</v>
      </c>
      <c r="Z110" s="134">
        <v>179331</v>
      </c>
      <c r="AA110" s="18">
        <v>4</v>
      </c>
      <c r="AB110" s="134">
        <v>67</v>
      </c>
      <c r="AC110" s="18">
        <v>1</v>
      </c>
      <c r="AD110" s="28">
        <v>1.32</v>
      </c>
      <c r="AE110" s="18">
        <v>4</v>
      </c>
      <c r="AF110" s="28">
        <v>1.39</v>
      </c>
      <c r="AG110" s="18">
        <v>3</v>
      </c>
      <c r="AH110" s="28">
        <v>5.72</v>
      </c>
      <c r="AI110" s="18">
        <v>1</v>
      </c>
      <c r="AJ110" s="28">
        <v>2.56</v>
      </c>
      <c r="AK110" s="18">
        <v>1</v>
      </c>
      <c r="AL110" s="134">
        <v>1703</v>
      </c>
      <c r="AM110" s="18">
        <v>5</v>
      </c>
      <c r="AN110" s="134">
        <v>631</v>
      </c>
      <c r="AO110" s="18">
        <v>1</v>
      </c>
      <c r="AP110" s="134">
        <v>656</v>
      </c>
      <c r="AQ110" s="134">
        <v>97285</v>
      </c>
      <c r="AR110" s="134">
        <v>3771</v>
      </c>
      <c r="AS110" s="18">
        <v>4</v>
      </c>
      <c r="AT110" s="134">
        <v>1398</v>
      </c>
      <c r="AU110" s="18">
        <v>1</v>
      </c>
      <c r="AV110" s="134">
        <v>14185</v>
      </c>
      <c r="AW110" s="134">
        <v>7</v>
      </c>
      <c r="AX110" s="135">
        <v>298.3</v>
      </c>
      <c r="AY110" s="134">
        <v>33810</v>
      </c>
      <c r="AZ110" s="134">
        <v>17</v>
      </c>
      <c r="BA110" s="135">
        <v>711</v>
      </c>
      <c r="BB110" s="28">
        <v>1.32</v>
      </c>
    </row>
    <row r="111" spans="1:54" s="18" customFormat="1">
      <c r="A111" s="18" t="str">
        <f t="shared" si="1"/>
        <v>Wichi</v>
      </c>
      <c r="B111" s="18" t="s">
        <v>393</v>
      </c>
      <c r="C111" s="18" t="s">
        <v>293</v>
      </c>
      <c r="D111" s="18" t="s">
        <v>285</v>
      </c>
      <c r="E111" s="134">
        <v>510</v>
      </c>
      <c r="F111" s="134">
        <v>79</v>
      </c>
      <c r="G111" s="134">
        <v>285</v>
      </c>
      <c r="H111" s="134">
        <v>267</v>
      </c>
      <c r="I111" s="134">
        <v>4558</v>
      </c>
      <c r="J111" s="134">
        <v>623</v>
      </c>
      <c r="K111" s="134">
        <v>4805</v>
      </c>
      <c r="L111" s="134">
        <v>1824</v>
      </c>
      <c r="M111" s="134">
        <v>13</v>
      </c>
      <c r="N111" s="134">
        <v>2.4</v>
      </c>
      <c r="O111" s="28">
        <v>16.79</v>
      </c>
      <c r="P111" s="28">
        <v>86.81</v>
      </c>
      <c r="Q111" s="28">
        <v>3.3</v>
      </c>
      <c r="R111" s="28">
        <v>3.64</v>
      </c>
      <c r="S111" s="134">
        <v>5</v>
      </c>
      <c r="T111" s="134">
        <v>9</v>
      </c>
      <c r="U111" s="28">
        <v>2.5</v>
      </c>
      <c r="V111" s="134">
        <v>2887</v>
      </c>
      <c r="W111" s="18">
        <v>85</v>
      </c>
      <c r="X111" s="134">
        <v>8</v>
      </c>
      <c r="Y111" s="18">
        <v>91</v>
      </c>
      <c r="Z111" s="134">
        <v>6906</v>
      </c>
      <c r="AA111" s="18">
        <v>83</v>
      </c>
      <c r="AB111" s="134">
        <v>20</v>
      </c>
      <c r="AC111" s="18">
        <v>89</v>
      </c>
      <c r="AD111" s="28">
        <v>1.0900000000000001</v>
      </c>
      <c r="AE111" s="18">
        <v>93</v>
      </c>
      <c r="AF111" s="28">
        <v>1.1200000000000001</v>
      </c>
      <c r="AG111" s="18">
        <v>89</v>
      </c>
      <c r="AH111" s="28">
        <v>2.57</v>
      </c>
      <c r="AI111" s="18">
        <v>60</v>
      </c>
      <c r="AJ111" s="28">
        <v>1.31</v>
      </c>
      <c r="AK111" s="18">
        <v>73</v>
      </c>
      <c r="AL111" s="134">
        <v>58</v>
      </c>
      <c r="AM111" s="18">
        <v>83</v>
      </c>
      <c r="AN111" s="134">
        <v>166</v>
      </c>
      <c r="AO111" s="18">
        <v>91</v>
      </c>
      <c r="AP111" s="134">
        <v>25</v>
      </c>
      <c r="AQ111" s="134">
        <v>7918</v>
      </c>
      <c r="AR111" s="134">
        <v>143</v>
      </c>
      <c r="AS111" s="18">
        <v>84</v>
      </c>
      <c r="AT111" s="134">
        <v>405</v>
      </c>
      <c r="AU111" s="18">
        <v>92</v>
      </c>
      <c r="AV111" s="134">
        <v>232</v>
      </c>
      <c r="AW111" s="134">
        <v>1</v>
      </c>
      <c r="AX111" s="135">
        <v>4.8</v>
      </c>
      <c r="AY111" s="134">
        <v>213</v>
      </c>
      <c r="AZ111" s="134">
        <v>1</v>
      </c>
      <c r="BA111" s="135">
        <v>4.4000000000000004</v>
      </c>
      <c r="BB111" s="28">
        <v>0.52</v>
      </c>
    </row>
    <row r="112" spans="1:54" s="18" customFormat="1">
      <c r="A112" s="18" t="str">
        <f t="shared" si="1"/>
        <v>Winst</v>
      </c>
      <c r="B112" s="18" t="s">
        <v>394</v>
      </c>
      <c r="C112" s="18" t="s">
        <v>295</v>
      </c>
      <c r="D112" s="18" t="s">
        <v>285</v>
      </c>
      <c r="E112" s="134">
        <v>388</v>
      </c>
      <c r="F112" s="134">
        <v>89</v>
      </c>
      <c r="G112" s="134">
        <v>218</v>
      </c>
      <c r="H112" s="134">
        <v>204</v>
      </c>
      <c r="I112" s="134">
        <v>4777</v>
      </c>
      <c r="J112" s="134">
        <v>460</v>
      </c>
      <c r="K112" s="134">
        <v>1665</v>
      </c>
      <c r="L112" s="134">
        <v>373</v>
      </c>
      <c r="M112" s="134">
        <v>7.5</v>
      </c>
      <c r="N112" s="134">
        <v>3.5</v>
      </c>
      <c r="O112" s="28">
        <v>16.79</v>
      </c>
      <c r="P112" s="28">
        <v>86.81</v>
      </c>
      <c r="Q112" s="28">
        <v>3.32</v>
      </c>
      <c r="R112" s="28">
        <v>3.64</v>
      </c>
      <c r="S112" s="134">
        <v>18</v>
      </c>
      <c r="T112" s="134">
        <v>23</v>
      </c>
      <c r="U112" s="28">
        <v>1.5</v>
      </c>
      <c r="V112" s="134">
        <v>2456</v>
      </c>
      <c r="W112" s="18">
        <v>90</v>
      </c>
      <c r="X112" s="134">
        <v>9</v>
      </c>
      <c r="Y112" s="18">
        <v>90</v>
      </c>
      <c r="Z112" s="134">
        <v>5385</v>
      </c>
      <c r="AA112" s="18">
        <v>89</v>
      </c>
      <c r="AB112" s="134">
        <v>20</v>
      </c>
      <c r="AC112" s="18">
        <v>89</v>
      </c>
      <c r="AD112" s="28">
        <v>1.1100000000000001</v>
      </c>
      <c r="AE112" s="18">
        <v>79</v>
      </c>
      <c r="AF112" s="28">
        <v>1.1399999999999999</v>
      </c>
      <c r="AG112" s="18">
        <v>78</v>
      </c>
      <c r="AH112" s="28">
        <v>2.09</v>
      </c>
      <c r="AI112" s="18">
        <v>80</v>
      </c>
      <c r="AJ112" s="28">
        <v>1.25</v>
      </c>
      <c r="AK112" s="18">
        <v>86</v>
      </c>
      <c r="AL112" s="134">
        <v>50</v>
      </c>
      <c r="AM112" s="18">
        <v>86</v>
      </c>
      <c r="AN112" s="134">
        <v>183</v>
      </c>
      <c r="AO112" s="18">
        <v>87</v>
      </c>
      <c r="AP112" s="134">
        <v>29</v>
      </c>
      <c r="AQ112" s="134">
        <v>8821</v>
      </c>
      <c r="AR112" s="134">
        <v>119</v>
      </c>
      <c r="AS112" s="18">
        <v>88</v>
      </c>
      <c r="AT112" s="134">
        <v>435</v>
      </c>
      <c r="AU112" s="18">
        <v>90</v>
      </c>
      <c r="AV112" s="134">
        <v>269</v>
      </c>
      <c r="AW112" s="134">
        <v>1</v>
      </c>
      <c r="AX112" s="135">
        <v>6</v>
      </c>
      <c r="AY112" s="134">
        <v>52</v>
      </c>
      <c r="AZ112" s="134">
        <v>0</v>
      </c>
      <c r="BA112" s="135">
        <v>1.1000000000000001</v>
      </c>
      <c r="BB112" s="28">
        <v>0.76</v>
      </c>
    </row>
    <row r="113" spans="1:54" s="18" customFormat="1">
      <c r="A113" s="18" t="str">
        <f t="shared" si="1"/>
        <v>Worce</v>
      </c>
      <c r="B113" s="18" t="s">
        <v>395</v>
      </c>
      <c r="C113" s="18" t="s">
        <v>295</v>
      </c>
      <c r="D113" s="18" t="s">
        <v>285</v>
      </c>
      <c r="E113" s="134">
        <v>447</v>
      </c>
      <c r="F113" s="134">
        <v>85</v>
      </c>
      <c r="G113" s="134">
        <v>251</v>
      </c>
      <c r="H113" s="134">
        <v>235</v>
      </c>
      <c r="I113" s="134">
        <v>5764</v>
      </c>
      <c r="J113" s="134">
        <v>546</v>
      </c>
      <c r="K113" s="134">
        <v>4740</v>
      </c>
      <c r="L113" s="134">
        <v>1152</v>
      </c>
      <c r="M113" s="134">
        <v>9.9</v>
      </c>
      <c r="N113" s="134">
        <v>3.6</v>
      </c>
      <c r="O113" s="28">
        <v>16.79</v>
      </c>
      <c r="P113" s="28">
        <v>86.81</v>
      </c>
      <c r="Q113" s="28">
        <v>3.49</v>
      </c>
      <c r="R113" s="28">
        <v>3.73</v>
      </c>
      <c r="S113" s="134">
        <v>22</v>
      </c>
      <c r="T113" s="134">
        <v>28</v>
      </c>
      <c r="U113" s="28">
        <v>1.5</v>
      </c>
      <c r="V113" s="134">
        <v>5117</v>
      </c>
      <c r="W113" s="18">
        <v>69</v>
      </c>
      <c r="X113" s="134">
        <v>16</v>
      </c>
      <c r="Y113" s="18">
        <v>43</v>
      </c>
      <c r="Z113" s="134">
        <v>10139</v>
      </c>
      <c r="AA113" s="18">
        <v>71</v>
      </c>
      <c r="AB113" s="134">
        <v>33</v>
      </c>
      <c r="AC113" s="18">
        <v>45</v>
      </c>
      <c r="AD113" s="28">
        <v>1.1299999999999999</v>
      </c>
      <c r="AE113" s="18">
        <v>68</v>
      </c>
      <c r="AF113" s="28">
        <v>1.1499999999999999</v>
      </c>
      <c r="AG113" s="18">
        <v>73</v>
      </c>
      <c r="AH113" s="28">
        <v>2.21</v>
      </c>
      <c r="AI113" s="18">
        <v>73</v>
      </c>
      <c r="AJ113" s="28">
        <v>1.3</v>
      </c>
      <c r="AK113" s="18">
        <v>76</v>
      </c>
      <c r="AL113" s="134">
        <v>103</v>
      </c>
      <c r="AM113" s="18">
        <v>67</v>
      </c>
      <c r="AN113" s="134">
        <v>329</v>
      </c>
      <c r="AO113" s="18">
        <v>42</v>
      </c>
      <c r="AP113" s="134">
        <v>35</v>
      </c>
      <c r="AQ113" s="134">
        <v>10171</v>
      </c>
      <c r="AR113" s="134">
        <v>212</v>
      </c>
      <c r="AS113" s="18">
        <v>74</v>
      </c>
      <c r="AT113" s="134">
        <v>677</v>
      </c>
      <c r="AU113" s="18">
        <v>49</v>
      </c>
      <c r="AV113" s="134">
        <v>322</v>
      </c>
      <c r="AW113" s="134">
        <v>1</v>
      </c>
      <c r="AX113" s="135">
        <v>6.7</v>
      </c>
      <c r="AY113" s="134">
        <v>98</v>
      </c>
      <c r="AZ113" s="134">
        <v>0</v>
      </c>
      <c r="BA113" s="135">
        <v>2</v>
      </c>
      <c r="BB113" s="28">
        <v>0.77</v>
      </c>
    </row>
  </sheetData>
  <mergeCells count="10">
    <mergeCell ref="AN4:AO4"/>
    <mergeCell ref="O2:R2"/>
    <mergeCell ref="AD2:AE2"/>
    <mergeCell ref="AF2:AG2"/>
    <mergeCell ref="AH2:AK2"/>
    <mergeCell ref="AL2:AO2"/>
    <mergeCell ref="AH3:AI3"/>
    <mergeCell ref="AJ3:AK3"/>
    <mergeCell ref="AL3:AM3"/>
    <mergeCell ref="AN3:AO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6"/>
  <sheetViews>
    <sheetView workbookViewId="0">
      <selection activeCell="L60" sqref="L60"/>
    </sheetView>
  </sheetViews>
  <sheetFormatPr baseColWidth="10" defaultColWidth="11.5" defaultRowHeight="14" x14ac:dyDescent="0"/>
  <cols>
    <col min="2" max="3" width="11.6640625" bestFit="1" customWidth="1"/>
    <col min="4" max="8" width="12.1640625" bestFit="1" customWidth="1"/>
    <col min="9" max="10" width="12.1640625" style="18" bestFit="1" customWidth="1"/>
    <col min="11" max="12" width="11.5" style="18"/>
    <col min="19" max="22" width="11.5" style="18"/>
    <col min="27" max="27" width="23.83203125" customWidth="1"/>
  </cols>
  <sheetData>
    <row r="1" spans="1:34">
      <c r="A1" s="29" t="s">
        <v>16</v>
      </c>
      <c r="B1" s="29" t="s">
        <v>131</v>
      </c>
      <c r="C1" s="29" t="s">
        <v>132</v>
      </c>
      <c r="D1" s="29" t="s">
        <v>133</v>
      </c>
      <c r="E1" s="29" t="s">
        <v>134</v>
      </c>
      <c r="F1" s="29" t="s">
        <v>135</v>
      </c>
      <c r="G1" s="29" t="s">
        <v>136</v>
      </c>
      <c r="H1" s="29" t="s">
        <v>148</v>
      </c>
      <c r="I1" s="29" t="s">
        <v>149</v>
      </c>
      <c r="J1" s="29" t="s">
        <v>150</v>
      </c>
      <c r="K1" s="29"/>
      <c r="L1" s="29"/>
      <c r="M1" s="29" t="s">
        <v>131</v>
      </c>
      <c r="N1" s="29" t="s">
        <v>137</v>
      </c>
      <c r="O1" s="29" t="s">
        <v>138</v>
      </c>
      <c r="P1" s="29" t="s">
        <v>139</v>
      </c>
      <c r="Q1" s="29" t="s">
        <v>140</v>
      </c>
      <c r="R1" s="29" t="s">
        <v>141</v>
      </c>
      <c r="S1" s="29" t="s">
        <v>151</v>
      </c>
      <c r="T1" s="29" t="s">
        <v>152</v>
      </c>
      <c r="U1" s="29" t="s">
        <v>153</v>
      </c>
      <c r="V1" s="29"/>
      <c r="W1" s="29" t="s">
        <v>142</v>
      </c>
      <c r="X1" s="29"/>
      <c r="Y1" s="29" t="s">
        <v>144</v>
      </c>
      <c r="Z1" s="29" t="s">
        <v>128</v>
      </c>
      <c r="AA1" s="29" t="s">
        <v>16</v>
      </c>
      <c r="AB1" s="29">
        <v>10</v>
      </c>
      <c r="AC1" s="29">
        <v>20</v>
      </c>
      <c r="AD1" s="29">
        <v>30</v>
      </c>
      <c r="AE1" s="29">
        <v>40</v>
      </c>
      <c r="AF1" s="29">
        <v>50</v>
      </c>
      <c r="AG1" s="29">
        <v>60</v>
      </c>
      <c r="AH1" s="29" t="str">
        <f>AA1</f>
        <v>Area</v>
      </c>
    </row>
    <row r="2" spans="1:34">
      <c r="A2" s="18" t="s">
        <v>26</v>
      </c>
      <c r="B2" s="13">
        <f>'2010-10'!$R3</f>
        <v>59477.087215210449</v>
      </c>
      <c r="C2" s="13">
        <f>'2010-20'!$R3</f>
        <v>264942.27136644023</v>
      </c>
      <c r="D2" s="13">
        <f>'2010-30'!$R3</f>
        <v>635154.72630437836</v>
      </c>
      <c r="E2" s="13">
        <f>'2010-40'!$R3</f>
        <v>1178230.3135156177</v>
      </c>
      <c r="F2" s="13">
        <f>'2010-50'!$R3</f>
        <v>1902208.4208721535</v>
      </c>
      <c r="G2" s="13">
        <f>'2010-60'!$R3</f>
        <v>2003047</v>
      </c>
      <c r="H2" s="13">
        <f>'2010-70'!$R3</f>
        <v>2003047</v>
      </c>
      <c r="I2" s="13">
        <f>'2010-80'!$R3</f>
        <v>2003047</v>
      </c>
      <c r="J2" s="13">
        <f>'2010-90'!$R3</f>
        <v>2003047</v>
      </c>
      <c r="M2" s="13">
        <f>B2</f>
        <v>59477.087215210449</v>
      </c>
      <c r="N2" s="13">
        <f>C2-B2</f>
        <v>205465.18415122977</v>
      </c>
      <c r="O2" s="13">
        <f>D2-C2</f>
        <v>370212.45493793814</v>
      </c>
      <c r="P2" s="13">
        <f>E2-D2</f>
        <v>543075.58721123938</v>
      </c>
      <c r="Q2" s="13">
        <f>F2-E2</f>
        <v>723978.10735653574</v>
      </c>
      <c r="R2" s="13">
        <f>G2-F2</f>
        <v>100838.57912784652</v>
      </c>
      <c r="S2" s="13">
        <f t="shared" ref="S2:S52" si="0">H2-G2</f>
        <v>0</v>
      </c>
      <c r="T2" s="13">
        <f t="shared" ref="T2:T52" si="1">I2-H2</f>
        <v>0</v>
      </c>
      <c r="U2" s="13">
        <f t="shared" ref="U2:U52" si="2">J2-I2</f>
        <v>0</v>
      </c>
      <c r="V2" s="13"/>
      <c r="W2" s="13">
        <f>U2+T2+S2+R2+Q2+P2+O2+N2+M2</f>
        <v>2003047</v>
      </c>
      <c r="Y2" s="13">
        <f t="shared" ref="Y2:Y33" si="3">M2*EXP(Beta*10)+N2*EXP(Beta*20)+O2*EXP(Beta*30)+P2*EXP(Beta*40)+Q2*EXP(Beta*50)+R2*EXP(Beta*60)+S2*EXP(Beta*70)+T2*EXP(Beta*80)+U2*EXP(Beta*90)</f>
        <v>138019.35486887454</v>
      </c>
      <c r="Z2">
        <f>RANK(Y2,$Y$2:$Y$52)</f>
        <v>28</v>
      </c>
      <c r="AA2" t="str">
        <f>A2</f>
        <v>Atlanta</v>
      </c>
      <c r="AB2">
        <f t="shared" ref="AB2:AG2" si="4">RANK(B2,B$2:B$52)</f>
        <v>51</v>
      </c>
      <c r="AC2" s="18">
        <f t="shared" si="4"/>
        <v>51</v>
      </c>
      <c r="AD2" s="18">
        <f t="shared" si="4"/>
        <v>37</v>
      </c>
      <c r="AE2" s="18">
        <f t="shared" si="4"/>
        <v>15</v>
      </c>
      <c r="AF2" s="18">
        <f t="shared" si="4"/>
        <v>9</v>
      </c>
      <c r="AG2" s="18">
        <f t="shared" si="4"/>
        <v>9</v>
      </c>
      <c r="AH2" s="18" t="str">
        <f t="shared" ref="AH2:AH52" si="5">AA2</f>
        <v>Atlanta</v>
      </c>
    </row>
    <row r="3" spans="1:34">
      <c r="A3" s="18" t="s">
        <v>27</v>
      </c>
      <c r="B3" s="13">
        <f>'2010-10'!R4</f>
        <v>89629.201822561517</v>
      </c>
      <c r="C3" s="13">
        <f>'2010-20'!$R4</f>
        <v>394994.60813844245</v>
      </c>
      <c r="D3" s="13">
        <f>'2010-30'!$R4</f>
        <v>640563</v>
      </c>
      <c r="E3" s="13">
        <f>'2010-40'!$R4</f>
        <v>640563</v>
      </c>
      <c r="F3" s="13">
        <f>'2010-50'!$R4</f>
        <v>640563</v>
      </c>
      <c r="G3" s="13">
        <f>'2010-60'!$R4</f>
        <v>640563</v>
      </c>
      <c r="H3" s="13">
        <f>'2010-70'!$R4</f>
        <v>640563</v>
      </c>
      <c r="I3" s="13">
        <f>'2010-80'!$R4</f>
        <v>640563</v>
      </c>
      <c r="J3" s="13">
        <f>'2010-90'!$R4</f>
        <v>640563</v>
      </c>
      <c r="M3" s="13">
        <f t="shared" ref="M3:M52" si="6">B3</f>
        <v>89629.201822561517</v>
      </c>
      <c r="N3" s="13">
        <f t="shared" ref="N3:N52" si="7">C3-B3</f>
        <v>305365.40631588094</v>
      </c>
      <c r="O3" s="13">
        <f t="shared" ref="O3:O52" si="8">D3-C3</f>
        <v>245568.39186155755</v>
      </c>
      <c r="P3" s="13">
        <f t="shared" ref="P3:P52" si="9">E3-D3</f>
        <v>0</v>
      </c>
      <c r="Q3" s="13">
        <f t="shared" ref="Q3:Q52" si="10">F3-E3</f>
        <v>0</v>
      </c>
      <c r="R3" s="13">
        <f t="shared" ref="R3:R52" si="11">G3-F3</f>
        <v>0</v>
      </c>
      <c r="S3" s="13">
        <f t="shared" si="0"/>
        <v>0</v>
      </c>
      <c r="T3" s="13">
        <f t="shared" si="1"/>
        <v>0</v>
      </c>
      <c r="U3" s="13">
        <f t="shared" si="2"/>
        <v>0</v>
      </c>
      <c r="V3" s="13"/>
      <c r="W3" s="13">
        <f t="shared" ref="W3:W52" si="12">U3+T3+S3+R3+Q3+P3+O3+N3+M3</f>
        <v>640563.00000000012</v>
      </c>
      <c r="Y3" s="13">
        <f t="shared" si="3"/>
        <v>124202.67056303739</v>
      </c>
      <c r="Z3" s="18">
        <f t="shared" ref="Z3:Z52" si="13">RANK(Y3,$Y$2:$Y$52)</f>
        <v>38</v>
      </c>
      <c r="AA3" s="18" t="str">
        <f t="shared" ref="AA3:AA52" si="14">A3</f>
        <v>Austin</v>
      </c>
      <c r="AB3" s="18">
        <f t="shared" ref="AB3:AB52" si="15">RANK(B3,B$2:B$52)</f>
        <v>31</v>
      </c>
      <c r="AC3" s="18">
        <f t="shared" ref="AC3:AC17" si="16">RANK(C3,C$2:C$52)</f>
        <v>29</v>
      </c>
      <c r="AD3" s="18">
        <f t="shared" ref="AD3:AD17" si="17">RANK(D3,D$2:D$52)</f>
        <v>35</v>
      </c>
      <c r="AE3" s="18">
        <f t="shared" ref="AE3:AE17" si="18">RANK(E3,E$2:E$52)</f>
        <v>37</v>
      </c>
      <c r="AF3" s="18">
        <f t="shared" ref="AF3:AF17" si="19">RANK(F3,F$2:F$52)</f>
        <v>37</v>
      </c>
      <c r="AG3" s="18">
        <f t="shared" ref="AG3:AG17" si="20">RANK(G3,G$2:G$52)</f>
        <v>37</v>
      </c>
      <c r="AH3" s="18" t="str">
        <f t="shared" si="5"/>
        <v>Austin</v>
      </c>
    </row>
    <row r="4" spans="1:34">
      <c r="A4" s="18" t="s">
        <v>28</v>
      </c>
      <c r="B4" s="13">
        <f>'2010-10'!R5</f>
        <v>107844.65382434858</v>
      </c>
      <c r="C4" s="13">
        <f>'2010-20'!$R5</f>
        <v>480844.1843798763</v>
      </c>
      <c r="D4" s="13">
        <f>'2010-30'!$R5</f>
        <v>1059610</v>
      </c>
      <c r="E4" s="13">
        <f>'2010-40'!$R5</f>
        <v>1059610</v>
      </c>
      <c r="F4" s="13">
        <f>'2010-50'!$R5</f>
        <v>1059610</v>
      </c>
      <c r="G4" s="13">
        <f>'2010-60'!$R5</f>
        <v>1059610</v>
      </c>
      <c r="H4" s="13">
        <f>'2010-70'!$R5</f>
        <v>1059610</v>
      </c>
      <c r="I4" s="13">
        <f>'2010-80'!$R5</f>
        <v>1059610</v>
      </c>
      <c r="J4" s="13">
        <f>'2010-90'!$R5</f>
        <v>1059610</v>
      </c>
      <c r="M4" s="13">
        <f t="shared" si="6"/>
        <v>107844.65382434858</v>
      </c>
      <c r="N4" s="13">
        <f t="shared" si="7"/>
        <v>372999.53055552772</v>
      </c>
      <c r="O4" s="13">
        <f t="shared" si="8"/>
        <v>578765.81562012364</v>
      </c>
      <c r="P4" s="13">
        <f t="shared" si="9"/>
        <v>0</v>
      </c>
      <c r="Q4" s="13">
        <f t="shared" si="10"/>
        <v>0</v>
      </c>
      <c r="R4" s="13">
        <f t="shared" si="11"/>
        <v>0</v>
      </c>
      <c r="S4" s="13">
        <f t="shared" si="0"/>
        <v>0</v>
      </c>
      <c r="T4" s="13">
        <f t="shared" si="1"/>
        <v>0</v>
      </c>
      <c r="U4" s="13">
        <f t="shared" si="2"/>
        <v>0</v>
      </c>
      <c r="V4" s="13"/>
      <c r="W4" s="13">
        <f t="shared" si="12"/>
        <v>1059610</v>
      </c>
      <c r="Y4" s="13">
        <f t="shared" si="3"/>
        <v>176269.48324821214</v>
      </c>
      <c r="Z4" s="18">
        <f t="shared" si="13"/>
        <v>16</v>
      </c>
      <c r="AA4" s="18" t="str">
        <f t="shared" si="14"/>
        <v>Baltimore</v>
      </c>
      <c r="AB4" s="18">
        <f t="shared" si="15"/>
        <v>18</v>
      </c>
      <c r="AC4" s="18">
        <f t="shared" si="16"/>
        <v>16</v>
      </c>
      <c r="AD4" s="18">
        <f t="shared" si="17"/>
        <v>10</v>
      </c>
      <c r="AE4" s="18">
        <f t="shared" si="18"/>
        <v>18</v>
      </c>
      <c r="AF4" s="18">
        <f t="shared" si="19"/>
        <v>18</v>
      </c>
      <c r="AG4" s="18">
        <f t="shared" si="20"/>
        <v>18</v>
      </c>
      <c r="AH4" s="18" t="str">
        <f t="shared" si="5"/>
        <v>Baltimore</v>
      </c>
    </row>
    <row r="5" spans="1:34">
      <c r="A5" s="18" t="s">
        <v>29</v>
      </c>
      <c r="B5" s="13">
        <f>'2010-10'!R6</f>
        <v>104250.40889285425</v>
      </c>
      <c r="C5" s="13">
        <f>'2010-20'!$R6</f>
        <v>460666.41566524137</v>
      </c>
      <c r="D5" s="13">
        <f>'2010-30'!$R6</f>
        <v>1091487.3728502777</v>
      </c>
      <c r="E5" s="13">
        <f>'2010-40'!$R6</f>
        <v>1998785.56319561</v>
      </c>
      <c r="F5" s="13">
        <f>'2010-50'!$R6</f>
        <v>2902747</v>
      </c>
      <c r="G5" s="13">
        <f>'2010-60'!$R6</f>
        <v>2902747</v>
      </c>
      <c r="H5" s="13">
        <f>'2010-70'!$R6</f>
        <v>2902747</v>
      </c>
      <c r="I5" s="13">
        <f>'2010-80'!$R6</f>
        <v>2902747</v>
      </c>
      <c r="J5" s="13">
        <f>'2010-90'!$R6</f>
        <v>2902747</v>
      </c>
      <c r="M5" s="13">
        <f t="shared" si="6"/>
        <v>104250.40889285425</v>
      </c>
      <c r="N5" s="13">
        <f t="shared" si="7"/>
        <v>356416.00677238713</v>
      </c>
      <c r="O5" s="13">
        <f t="shared" si="8"/>
        <v>630820.95718503627</v>
      </c>
      <c r="P5" s="13">
        <f t="shared" si="9"/>
        <v>907298.19034533226</v>
      </c>
      <c r="Q5" s="13">
        <f t="shared" si="10"/>
        <v>903961.43680439005</v>
      </c>
      <c r="R5" s="13">
        <f t="shared" si="11"/>
        <v>0</v>
      </c>
      <c r="S5" s="13">
        <f t="shared" si="0"/>
        <v>0</v>
      </c>
      <c r="T5" s="13">
        <f t="shared" si="1"/>
        <v>0</v>
      </c>
      <c r="U5" s="13">
        <f t="shared" si="2"/>
        <v>0</v>
      </c>
      <c r="V5" s="13"/>
      <c r="W5" s="13">
        <f t="shared" si="12"/>
        <v>2902747</v>
      </c>
      <c r="Y5" s="13">
        <f t="shared" si="3"/>
        <v>229568.77023933156</v>
      </c>
      <c r="Z5" s="18">
        <f t="shared" si="13"/>
        <v>8</v>
      </c>
      <c r="AA5" s="18" t="str">
        <f t="shared" si="14"/>
        <v>Boston</v>
      </c>
      <c r="AB5" s="18">
        <f t="shared" si="15"/>
        <v>20</v>
      </c>
      <c r="AC5" s="18">
        <f t="shared" si="16"/>
        <v>18</v>
      </c>
      <c r="AD5" s="18">
        <f t="shared" si="17"/>
        <v>9</v>
      </c>
      <c r="AE5" s="18">
        <f t="shared" si="18"/>
        <v>6</v>
      </c>
      <c r="AF5" s="18">
        <f t="shared" si="19"/>
        <v>4</v>
      </c>
      <c r="AG5" s="18">
        <f t="shared" si="20"/>
        <v>4</v>
      </c>
      <c r="AH5" s="18" t="str">
        <f t="shared" si="5"/>
        <v>Boston</v>
      </c>
    </row>
    <row r="6" spans="1:34">
      <c r="A6" s="18" t="s">
        <v>30</v>
      </c>
      <c r="B6" s="13">
        <f>'2010-10'!R7</f>
        <v>94459.484365383207</v>
      </c>
      <c r="C6" s="13">
        <f>'2010-20'!$R7</f>
        <v>408300.72257317597</v>
      </c>
      <c r="D6" s="13">
        <f>'2010-30'!$R7</f>
        <v>455704</v>
      </c>
      <c r="E6" s="13">
        <f>'2010-40'!$R7</f>
        <v>455704</v>
      </c>
      <c r="F6" s="13">
        <f>'2010-50'!$R7</f>
        <v>455704</v>
      </c>
      <c r="G6" s="13">
        <f>'2010-60'!$R7</f>
        <v>455704</v>
      </c>
      <c r="H6" s="13">
        <f>'2010-70'!$R7</f>
        <v>455704</v>
      </c>
      <c r="I6" s="13">
        <f>'2010-80'!$R7</f>
        <v>455704</v>
      </c>
      <c r="J6" s="13">
        <f>'2010-90'!$R7</f>
        <v>455704</v>
      </c>
      <c r="M6" s="13">
        <f t="shared" si="6"/>
        <v>94459.484365383207</v>
      </c>
      <c r="N6" s="13">
        <f t="shared" si="7"/>
        <v>313841.23820779275</v>
      </c>
      <c r="O6" s="13">
        <f t="shared" si="8"/>
        <v>47403.277426824032</v>
      </c>
      <c r="P6" s="13">
        <f t="shared" si="9"/>
        <v>0</v>
      </c>
      <c r="Q6" s="13">
        <f t="shared" si="10"/>
        <v>0</v>
      </c>
      <c r="R6" s="13">
        <f t="shared" si="11"/>
        <v>0</v>
      </c>
      <c r="S6" s="13">
        <f t="shared" si="0"/>
        <v>0</v>
      </c>
      <c r="T6" s="13">
        <f t="shared" si="1"/>
        <v>0</v>
      </c>
      <c r="U6" s="13">
        <f t="shared" si="2"/>
        <v>0</v>
      </c>
      <c r="V6" s="13"/>
      <c r="W6" s="13">
        <f t="shared" si="12"/>
        <v>455704</v>
      </c>
      <c r="Y6" s="13">
        <f t="shared" si="3"/>
        <v>110107.16376560077</v>
      </c>
      <c r="Z6" s="18">
        <f t="shared" si="13"/>
        <v>43</v>
      </c>
      <c r="AA6" s="18" t="str">
        <f t="shared" si="14"/>
        <v>Buffalo</v>
      </c>
      <c r="AB6" s="18">
        <f t="shared" si="15"/>
        <v>30</v>
      </c>
      <c r="AC6" s="18">
        <f t="shared" si="16"/>
        <v>27</v>
      </c>
      <c r="AD6" s="18">
        <f t="shared" si="17"/>
        <v>45</v>
      </c>
      <c r="AE6" s="18">
        <f t="shared" si="18"/>
        <v>45</v>
      </c>
      <c r="AF6" s="18">
        <f t="shared" si="19"/>
        <v>45</v>
      </c>
      <c r="AG6" s="18">
        <f t="shared" si="20"/>
        <v>45</v>
      </c>
      <c r="AH6" s="18" t="str">
        <f t="shared" si="5"/>
        <v>Buffalo</v>
      </c>
    </row>
    <row r="7" spans="1:34">
      <c r="A7" s="18" t="s">
        <v>31</v>
      </c>
      <c r="B7" s="13">
        <f>'2010-10'!R8</f>
        <v>73877.556777495964</v>
      </c>
      <c r="C7" s="13">
        <f>'2010-20'!$R8</f>
        <v>335340.20105000935</v>
      </c>
      <c r="D7" s="13">
        <f>'2010-30'!$R8</f>
        <v>727384</v>
      </c>
      <c r="E7" s="13">
        <f>'2010-40'!$R8</f>
        <v>727384</v>
      </c>
      <c r="F7" s="13">
        <f>'2010-50'!$R8</f>
        <v>727384</v>
      </c>
      <c r="G7" s="13">
        <f>'2010-60'!$R8</f>
        <v>727384</v>
      </c>
      <c r="H7" s="13">
        <f>'2010-70'!$R8</f>
        <v>727384</v>
      </c>
      <c r="I7" s="13">
        <f>'2010-80'!$R8</f>
        <v>727384</v>
      </c>
      <c r="J7" s="13">
        <f>'2010-90'!$R8</f>
        <v>727384</v>
      </c>
      <c r="M7" s="13">
        <f t="shared" si="6"/>
        <v>73877.556777495964</v>
      </c>
      <c r="N7" s="13">
        <f t="shared" si="7"/>
        <v>261462.6442725134</v>
      </c>
      <c r="O7" s="13">
        <f t="shared" si="8"/>
        <v>392043.79894999065</v>
      </c>
      <c r="P7" s="13">
        <f t="shared" si="9"/>
        <v>0</v>
      </c>
      <c r="Q7" s="13">
        <f t="shared" si="10"/>
        <v>0</v>
      </c>
      <c r="R7" s="13">
        <f t="shared" si="11"/>
        <v>0</v>
      </c>
      <c r="S7" s="13">
        <f t="shared" si="0"/>
        <v>0</v>
      </c>
      <c r="T7" s="13">
        <f t="shared" si="1"/>
        <v>0</v>
      </c>
      <c r="U7" s="13">
        <f t="shared" si="2"/>
        <v>0</v>
      </c>
      <c r="V7" s="13"/>
      <c r="W7" s="13">
        <f t="shared" si="12"/>
        <v>727384.00000000012</v>
      </c>
      <c r="Y7" s="13">
        <f t="shared" si="3"/>
        <v>121549.13456318824</v>
      </c>
      <c r="Z7" s="18">
        <f t="shared" si="13"/>
        <v>40</v>
      </c>
      <c r="AA7" s="18" t="str">
        <f t="shared" si="14"/>
        <v>Charlotte</v>
      </c>
      <c r="AB7" s="18">
        <f t="shared" si="15"/>
        <v>47</v>
      </c>
      <c r="AC7" s="18">
        <f t="shared" si="16"/>
        <v>44</v>
      </c>
      <c r="AD7" s="18">
        <f t="shared" si="17"/>
        <v>30</v>
      </c>
      <c r="AE7" s="18">
        <f t="shared" si="18"/>
        <v>34</v>
      </c>
      <c r="AF7" s="18">
        <f t="shared" si="19"/>
        <v>34</v>
      </c>
      <c r="AG7" s="18">
        <f t="shared" si="20"/>
        <v>34</v>
      </c>
      <c r="AH7" s="18" t="str">
        <f t="shared" si="5"/>
        <v>Charlotte</v>
      </c>
    </row>
    <row r="8" spans="1:34">
      <c r="A8" s="18" t="s">
        <v>32</v>
      </c>
      <c r="B8" s="13">
        <f>'2010-10'!R9</f>
        <v>115890.25842025383</v>
      </c>
      <c r="C8" s="13">
        <f>'2010-20'!$R9</f>
        <v>509754.71802004281</v>
      </c>
      <c r="D8" s="13">
        <f>'2010-30'!$R9</f>
        <v>1194135.8406227571</v>
      </c>
      <c r="E8" s="13">
        <f>'2010-40'!$R9</f>
        <v>2197285.8169085332</v>
      </c>
      <c r="F8" s="13">
        <f>'2010-50'!$R9</f>
        <v>3514243.5150039019</v>
      </c>
      <c r="G8" s="13">
        <f>'2010-60'!$R9</f>
        <v>3797772</v>
      </c>
      <c r="H8" s="13">
        <f>'2010-70'!$R9</f>
        <v>3797772</v>
      </c>
      <c r="I8" s="13">
        <f>'2010-80'!$R9</f>
        <v>3797772</v>
      </c>
      <c r="J8" s="13">
        <f>'2010-90'!$R9</f>
        <v>3797772</v>
      </c>
      <c r="M8" s="13">
        <f t="shared" si="6"/>
        <v>115890.25842025383</v>
      </c>
      <c r="N8" s="13">
        <f t="shared" si="7"/>
        <v>393864.459599789</v>
      </c>
      <c r="O8" s="13">
        <f t="shared" si="8"/>
        <v>684381.12260271423</v>
      </c>
      <c r="P8" s="13">
        <f t="shared" si="9"/>
        <v>1003149.9762857761</v>
      </c>
      <c r="Q8" s="13">
        <f t="shared" si="10"/>
        <v>1316957.6980953687</v>
      </c>
      <c r="R8" s="13">
        <f t="shared" si="11"/>
        <v>283528.48499609809</v>
      </c>
      <c r="S8" s="13">
        <f t="shared" si="0"/>
        <v>0</v>
      </c>
      <c r="T8" s="13">
        <f t="shared" si="1"/>
        <v>0</v>
      </c>
      <c r="U8" s="13">
        <f t="shared" si="2"/>
        <v>0</v>
      </c>
      <c r="V8" s="13"/>
      <c r="W8" s="13">
        <f t="shared" si="12"/>
        <v>3797771.9999999995</v>
      </c>
      <c r="Y8" s="13">
        <f t="shared" si="3"/>
        <v>261023.26073173969</v>
      </c>
      <c r="Z8" s="18">
        <f t="shared" si="13"/>
        <v>4</v>
      </c>
      <c r="AA8" s="18" t="str">
        <f t="shared" si="14"/>
        <v>Chicago</v>
      </c>
      <c r="AB8" s="18">
        <f t="shared" si="15"/>
        <v>14</v>
      </c>
      <c r="AC8" s="18">
        <f t="shared" si="16"/>
        <v>13</v>
      </c>
      <c r="AD8" s="18">
        <f t="shared" si="17"/>
        <v>5</v>
      </c>
      <c r="AE8" s="18">
        <f t="shared" si="18"/>
        <v>3</v>
      </c>
      <c r="AF8" s="18">
        <f t="shared" si="19"/>
        <v>3</v>
      </c>
      <c r="AG8" s="18">
        <f t="shared" si="20"/>
        <v>3</v>
      </c>
      <c r="AH8" s="18" t="str">
        <f t="shared" si="5"/>
        <v>Chicago</v>
      </c>
    </row>
    <row r="9" spans="1:34">
      <c r="A9" s="18" t="s">
        <v>33</v>
      </c>
      <c r="B9" s="13">
        <f>'2010-10'!R10</f>
        <v>76612.184685765256</v>
      </c>
      <c r="C9" s="13">
        <f>'2010-20'!$R10</f>
        <v>342081.02710721525</v>
      </c>
      <c r="D9" s="13">
        <f>'2010-30'!$R10</f>
        <v>810458.70754440909</v>
      </c>
      <c r="E9" s="13">
        <f>'2010-40'!$R10</f>
        <v>874547</v>
      </c>
      <c r="F9" s="13">
        <f>'2010-50'!$R10</f>
        <v>874547</v>
      </c>
      <c r="G9" s="13">
        <f>'2010-60'!$R10</f>
        <v>874547</v>
      </c>
      <c r="H9" s="13">
        <f>'2010-70'!$R10</f>
        <v>874547</v>
      </c>
      <c r="I9" s="13">
        <f>'2010-80'!$R10</f>
        <v>874547</v>
      </c>
      <c r="J9" s="13">
        <f>'2010-90'!$R10</f>
        <v>874547</v>
      </c>
      <c r="M9" s="13">
        <f t="shared" si="6"/>
        <v>76612.184685765256</v>
      </c>
      <c r="N9" s="13">
        <f t="shared" si="7"/>
        <v>265468.84242145001</v>
      </c>
      <c r="O9" s="13">
        <f t="shared" si="8"/>
        <v>468377.68043719383</v>
      </c>
      <c r="P9" s="13">
        <f t="shared" si="9"/>
        <v>64088.292455590912</v>
      </c>
      <c r="Q9" s="13">
        <f t="shared" si="10"/>
        <v>0</v>
      </c>
      <c r="R9" s="13">
        <f t="shared" si="11"/>
        <v>0</v>
      </c>
      <c r="S9" s="13">
        <f t="shared" si="0"/>
        <v>0</v>
      </c>
      <c r="T9" s="13">
        <f t="shared" si="1"/>
        <v>0</v>
      </c>
      <c r="U9" s="13">
        <f t="shared" si="2"/>
        <v>0</v>
      </c>
      <c r="V9" s="13"/>
      <c r="W9" s="13">
        <f t="shared" si="12"/>
        <v>874547</v>
      </c>
      <c r="Y9" s="13">
        <f t="shared" si="3"/>
        <v>133123.95308997951</v>
      </c>
      <c r="Z9" s="18">
        <f t="shared" si="13"/>
        <v>30</v>
      </c>
      <c r="AA9" s="18" t="str">
        <f t="shared" si="14"/>
        <v>Cincinnati</v>
      </c>
      <c r="AB9" s="18">
        <f t="shared" si="15"/>
        <v>44</v>
      </c>
      <c r="AC9" s="18">
        <f t="shared" si="16"/>
        <v>41</v>
      </c>
      <c r="AD9" s="18">
        <f t="shared" si="17"/>
        <v>23</v>
      </c>
      <c r="AE9" s="18">
        <f t="shared" si="18"/>
        <v>24</v>
      </c>
      <c r="AF9" s="18">
        <f t="shared" si="19"/>
        <v>24</v>
      </c>
      <c r="AG9" s="18">
        <f t="shared" si="20"/>
        <v>24</v>
      </c>
      <c r="AH9" s="18" t="str">
        <f t="shared" si="5"/>
        <v>Cincinnati</v>
      </c>
    </row>
    <row r="10" spans="1:34">
      <c r="A10" s="18" t="s">
        <v>34</v>
      </c>
      <c r="B10" s="13">
        <f>'2010-10'!R11</f>
        <v>85324.054837031712</v>
      </c>
      <c r="C10" s="13">
        <f>'2010-20'!$R11</f>
        <v>374191.73006510682</v>
      </c>
      <c r="D10" s="13">
        <f>'2010-30'!$R11</f>
        <v>870158</v>
      </c>
      <c r="E10" s="13">
        <f>'2010-40'!$R11</f>
        <v>870158</v>
      </c>
      <c r="F10" s="13">
        <f>'2010-50'!$R11</f>
        <v>870158</v>
      </c>
      <c r="G10" s="13">
        <f>'2010-60'!$R11</f>
        <v>870158</v>
      </c>
      <c r="H10" s="13">
        <f>'2010-70'!$R11</f>
        <v>870158</v>
      </c>
      <c r="I10" s="13">
        <f>'2010-80'!$R11</f>
        <v>870158</v>
      </c>
      <c r="J10" s="13">
        <f>'2010-90'!$R11</f>
        <v>870158</v>
      </c>
      <c r="M10" s="13">
        <f t="shared" si="6"/>
        <v>85324.054837031712</v>
      </c>
      <c r="N10" s="13">
        <f t="shared" si="7"/>
        <v>288867.67522807512</v>
      </c>
      <c r="O10" s="13">
        <f t="shared" si="8"/>
        <v>495966.26993489318</v>
      </c>
      <c r="P10" s="13">
        <f t="shared" si="9"/>
        <v>0</v>
      </c>
      <c r="Q10" s="13">
        <f t="shared" si="10"/>
        <v>0</v>
      </c>
      <c r="R10" s="13">
        <f t="shared" si="11"/>
        <v>0</v>
      </c>
      <c r="S10" s="13">
        <f t="shared" si="0"/>
        <v>0</v>
      </c>
      <c r="T10" s="13">
        <f t="shared" si="1"/>
        <v>0</v>
      </c>
      <c r="U10" s="13">
        <f t="shared" si="2"/>
        <v>0</v>
      </c>
      <c r="V10" s="13"/>
      <c r="W10" s="13">
        <f t="shared" si="12"/>
        <v>870158</v>
      </c>
      <c r="Y10" s="13">
        <f t="shared" si="3"/>
        <v>141652.99187304161</v>
      </c>
      <c r="Z10" s="18">
        <f t="shared" si="13"/>
        <v>26</v>
      </c>
      <c r="AA10" s="18" t="str">
        <f t="shared" si="14"/>
        <v>Cleveland</v>
      </c>
      <c r="AB10" s="18">
        <f t="shared" si="15"/>
        <v>34</v>
      </c>
      <c r="AC10" s="18">
        <f t="shared" si="16"/>
        <v>32</v>
      </c>
      <c r="AD10" s="18">
        <f t="shared" si="17"/>
        <v>18</v>
      </c>
      <c r="AE10" s="18">
        <f t="shared" si="18"/>
        <v>26</v>
      </c>
      <c r="AF10" s="18">
        <f t="shared" si="19"/>
        <v>26</v>
      </c>
      <c r="AG10" s="18">
        <f t="shared" si="20"/>
        <v>26</v>
      </c>
      <c r="AH10" s="18" t="str">
        <f t="shared" si="5"/>
        <v>Cleveland</v>
      </c>
    </row>
    <row r="11" spans="1:34">
      <c r="A11" s="18" t="s">
        <v>35</v>
      </c>
      <c r="B11" s="13">
        <f>'2010-10'!R12</f>
        <v>115722.79781261661</v>
      </c>
      <c r="C11" s="13">
        <f>'2010-20'!$R12</f>
        <v>521782.01485704922</v>
      </c>
      <c r="D11" s="13">
        <f>'2010-30'!$R12</f>
        <v>750329</v>
      </c>
      <c r="E11" s="13">
        <f>'2010-40'!$R12</f>
        <v>750329</v>
      </c>
      <c r="F11" s="13">
        <f>'2010-50'!$R12</f>
        <v>750329</v>
      </c>
      <c r="G11" s="13">
        <f>'2010-60'!$R12</f>
        <v>750329</v>
      </c>
      <c r="H11" s="13">
        <f>'2010-70'!$R12</f>
        <v>750329</v>
      </c>
      <c r="I11" s="13">
        <f>'2010-80'!$R12</f>
        <v>750329</v>
      </c>
      <c r="J11" s="13">
        <f>'2010-90'!$R12</f>
        <v>750329</v>
      </c>
      <c r="M11" s="13">
        <f t="shared" si="6"/>
        <v>115722.79781261661</v>
      </c>
      <c r="N11" s="13">
        <f t="shared" si="7"/>
        <v>406059.21704443259</v>
      </c>
      <c r="O11" s="13">
        <f t="shared" si="8"/>
        <v>228546.98514295078</v>
      </c>
      <c r="P11" s="13">
        <f t="shared" si="9"/>
        <v>0</v>
      </c>
      <c r="Q11" s="13">
        <f t="shared" si="10"/>
        <v>0</v>
      </c>
      <c r="R11" s="13">
        <f t="shared" si="11"/>
        <v>0</v>
      </c>
      <c r="S11" s="13">
        <f t="shared" si="0"/>
        <v>0</v>
      </c>
      <c r="T11" s="13">
        <f t="shared" si="1"/>
        <v>0</v>
      </c>
      <c r="U11" s="13">
        <f t="shared" si="2"/>
        <v>0</v>
      </c>
      <c r="V11" s="13"/>
      <c r="W11" s="13">
        <f t="shared" si="12"/>
        <v>750328.99999999988</v>
      </c>
      <c r="Y11" s="13">
        <f t="shared" si="3"/>
        <v>154712.86160943093</v>
      </c>
      <c r="Z11" s="18">
        <f t="shared" si="13"/>
        <v>23</v>
      </c>
      <c r="AA11" s="18" t="str">
        <f t="shared" si="14"/>
        <v>Columbus</v>
      </c>
      <c r="AB11" s="18">
        <f t="shared" si="15"/>
        <v>15</v>
      </c>
      <c r="AC11" s="18">
        <f t="shared" si="16"/>
        <v>12</v>
      </c>
      <c r="AD11" s="18">
        <f t="shared" si="17"/>
        <v>26</v>
      </c>
      <c r="AE11" s="18">
        <f t="shared" si="18"/>
        <v>30</v>
      </c>
      <c r="AF11" s="18">
        <f t="shared" si="19"/>
        <v>30</v>
      </c>
      <c r="AG11" s="18">
        <f t="shared" si="20"/>
        <v>30</v>
      </c>
      <c r="AH11" s="18" t="str">
        <f t="shared" si="5"/>
        <v>Columbus</v>
      </c>
    </row>
    <row r="12" spans="1:34">
      <c r="A12" s="18" t="s">
        <v>569</v>
      </c>
      <c r="B12" s="13">
        <f>'2010-10'!R13</f>
        <v>108324.50891921732</v>
      </c>
      <c r="C12" s="13">
        <f>'2010-20'!$R13</f>
        <v>472326.24837714509</v>
      </c>
      <c r="D12" s="13">
        <f>'2010-30'!$R13</f>
        <v>1125361.1181933056</v>
      </c>
      <c r="E12" s="13">
        <f>'2010-40'!$R13</f>
        <v>2077955.4563041641</v>
      </c>
      <c r="F12" s="13">
        <f>'2010-50'!$R13</f>
        <v>2510280</v>
      </c>
      <c r="G12" s="13">
        <f>'2010-60'!$R13</f>
        <v>2510280</v>
      </c>
      <c r="H12" s="13">
        <f>'2010-70'!$R13</f>
        <v>2510280</v>
      </c>
      <c r="I12" s="13">
        <f>'2010-80'!$R13</f>
        <v>2510280</v>
      </c>
      <c r="J12" s="13">
        <f>'2010-90'!$R13</f>
        <v>2510280</v>
      </c>
      <c r="M12" s="13">
        <f t="shared" si="6"/>
        <v>108324.50891921732</v>
      </c>
      <c r="N12" s="13">
        <f t="shared" si="7"/>
        <v>364001.73945792776</v>
      </c>
      <c r="O12" s="13">
        <f t="shared" si="8"/>
        <v>653034.86981616053</v>
      </c>
      <c r="P12" s="13">
        <f t="shared" si="9"/>
        <v>952594.33811085857</v>
      </c>
      <c r="Q12" s="13">
        <f t="shared" si="10"/>
        <v>432324.54369583586</v>
      </c>
      <c r="R12" s="13">
        <f t="shared" si="11"/>
        <v>0</v>
      </c>
      <c r="S12" s="13">
        <f t="shared" si="0"/>
        <v>0</v>
      </c>
      <c r="T12" s="13">
        <f t="shared" si="1"/>
        <v>0</v>
      </c>
      <c r="U12" s="13">
        <f t="shared" si="2"/>
        <v>0</v>
      </c>
      <c r="V12" s="13"/>
      <c r="W12" s="13">
        <f t="shared" si="12"/>
        <v>2510280</v>
      </c>
      <c r="Y12" s="13">
        <f t="shared" si="3"/>
        <v>228154.15488185335</v>
      </c>
      <c r="Z12" s="18">
        <f t="shared" si="13"/>
        <v>9</v>
      </c>
      <c r="AA12" s="18" t="str">
        <f t="shared" si="14"/>
        <v>Dallas</v>
      </c>
      <c r="AB12" s="18">
        <f t="shared" si="15"/>
        <v>17</v>
      </c>
      <c r="AC12" s="18">
        <f t="shared" si="16"/>
        <v>17</v>
      </c>
      <c r="AD12" s="18">
        <f t="shared" si="17"/>
        <v>7</v>
      </c>
      <c r="AE12" s="18">
        <f t="shared" si="18"/>
        <v>5</v>
      </c>
      <c r="AF12" s="18">
        <f t="shared" si="19"/>
        <v>5</v>
      </c>
      <c r="AG12" s="18">
        <f t="shared" si="20"/>
        <v>5</v>
      </c>
      <c r="AH12" s="18" t="str">
        <f t="shared" si="5"/>
        <v>Dallas</v>
      </c>
    </row>
    <row r="13" spans="1:34">
      <c r="A13" s="18" t="s">
        <v>36</v>
      </c>
      <c r="B13" s="13">
        <f>'2010-10'!R14</f>
        <v>99068.503128629716</v>
      </c>
      <c r="C13" s="13">
        <f>'2010-20'!$R14</f>
        <v>403945.72279324749</v>
      </c>
      <c r="D13" s="13">
        <f>'2010-30'!$R14</f>
        <v>926326.55388762173</v>
      </c>
      <c r="E13" s="13">
        <f>'2010-40'!$R14</f>
        <v>1038146</v>
      </c>
      <c r="F13" s="13">
        <f>'2010-50'!$R14</f>
        <v>1038146</v>
      </c>
      <c r="G13" s="13">
        <f>'2010-60'!$R14</f>
        <v>1038146</v>
      </c>
      <c r="H13" s="13">
        <f>'2010-70'!$R14</f>
        <v>1038146</v>
      </c>
      <c r="I13" s="13">
        <f>'2010-80'!$R14</f>
        <v>1038146</v>
      </c>
      <c r="J13" s="13">
        <f>'2010-90'!$R14</f>
        <v>1038146</v>
      </c>
      <c r="M13" s="13">
        <f t="shared" si="6"/>
        <v>99068.503128629716</v>
      </c>
      <c r="N13" s="13">
        <f t="shared" si="7"/>
        <v>304877.21966461779</v>
      </c>
      <c r="O13" s="13">
        <f t="shared" si="8"/>
        <v>522380.83109437424</v>
      </c>
      <c r="P13" s="13">
        <f t="shared" si="9"/>
        <v>111819.44611237827</v>
      </c>
      <c r="Q13" s="13">
        <f t="shared" si="10"/>
        <v>0</v>
      </c>
      <c r="R13" s="13">
        <f t="shared" si="11"/>
        <v>0</v>
      </c>
      <c r="S13" s="13">
        <f t="shared" si="0"/>
        <v>0</v>
      </c>
      <c r="T13" s="13">
        <f t="shared" si="1"/>
        <v>0</v>
      </c>
      <c r="U13" s="13">
        <f t="shared" si="2"/>
        <v>0</v>
      </c>
      <c r="V13" s="13"/>
      <c r="W13" s="13">
        <f t="shared" si="12"/>
        <v>1038146</v>
      </c>
      <c r="Y13" s="13">
        <f t="shared" si="3"/>
        <v>158015.32385929357</v>
      </c>
      <c r="Z13" s="18">
        <f t="shared" si="13"/>
        <v>21</v>
      </c>
      <c r="AA13" s="18" t="str">
        <f t="shared" si="14"/>
        <v>Denver</v>
      </c>
      <c r="AB13" s="18">
        <f t="shared" si="15"/>
        <v>25</v>
      </c>
      <c r="AC13" s="18">
        <f t="shared" si="16"/>
        <v>28</v>
      </c>
      <c r="AD13" s="18">
        <f t="shared" si="17"/>
        <v>16</v>
      </c>
      <c r="AE13" s="18">
        <f t="shared" si="18"/>
        <v>19</v>
      </c>
      <c r="AF13" s="18">
        <f t="shared" si="19"/>
        <v>19</v>
      </c>
      <c r="AG13" s="18">
        <f t="shared" si="20"/>
        <v>19</v>
      </c>
      <c r="AH13" s="18" t="str">
        <f t="shared" si="5"/>
        <v>Denver</v>
      </c>
    </row>
    <row r="14" spans="1:34">
      <c r="A14" s="18" t="s">
        <v>37</v>
      </c>
      <c r="B14" s="13">
        <f>'2010-10'!R15</f>
        <v>86090.78058302615</v>
      </c>
      <c r="C14" s="13">
        <f>'2010-20'!$R15</f>
        <v>376308.73609254614</v>
      </c>
      <c r="D14" s="13">
        <f>'2010-30'!$R15</f>
        <v>881386.20450600912</v>
      </c>
      <c r="E14" s="13">
        <f>'2010-40'!$R15</f>
        <v>1500978</v>
      </c>
      <c r="F14" s="13">
        <f>'2010-50'!$R15</f>
        <v>1500978</v>
      </c>
      <c r="G14" s="13">
        <f>'2010-60'!$R15</f>
        <v>1500978</v>
      </c>
      <c r="H14" s="13">
        <f>'2010-70'!$R15</f>
        <v>1500978</v>
      </c>
      <c r="I14" s="13">
        <f>'2010-80'!$R15</f>
        <v>1500978</v>
      </c>
      <c r="J14" s="13">
        <f>'2010-90'!$R15</f>
        <v>1500978</v>
      </c>
      <c r="M14" s="13">
        <f t="shared" si="6"/>
        <v>86090.78058302615</v>
      </c>
      <c r="N14" s="13">
        <f t="shared" si="7"/>
        <v>290217.95550952002</v>
      </c>
      <c r="O14" s="13">
        <f t="shared" si="8"/>
        <v>505077.46841346298</v>
      </c>
      <c r="P14" s="13">
        <f t="shared" si="9"/>
        <v>619591.79549399088</v>
      </c>
      <c r="Q14" s="13">
        <f t="shared" si="10"/>
        <v>0</v>
      </c>
      <c r="R14" s="13">
        <f t="shared" si="11"/>
        <v>0</v>
      </c>
      <c r="S14" s="13">
        <f t="shared" si="0"/>
        <v>0</v>
      </c>
      <c r="T14" s="13">
        <f t="shared" si="1"/>
        <v>0</v>
      </c>
      <c r="U14" s="13">
        <f t="shared" si="2"/>
        <v>0</v>
      </c>
      <c r="V14" s="13"/>
      <c r="W14" s="13">
        <f t="shared" si="12"/>
        <v>1500978.0000000002</v>
      </c>
      <c r="Y14" s="13">
        <f t="shared" si="3"/>
        <v>168352.59727462954</v>
      </c>
      <c r="Z14" s="18">
        <f t="shared" si="13"/>
        <v>19</v>
      </c>
      <c r="AA14" s="18" t="str">
        <f t="shared" si="14"/>
        <v>Detroit</v>
      </c>
      <c r="AB14" s="18">
        <f t="shared" si="15"/>
        <v>33</v>
      </c>
      <c r="AC14" s="18">
        <f t="shared" si="16"/>
        <v>31</v>
      </c>
      <c r="AD14" s="18">
        <f t="shared" si="17"/>
        <v>17</v>
      </c>
      <c r="AE14" s="18">
        <f t="shared" si="18"/>
        <v>12</v>
      </c>
      <c r="AF14" s="18">
        <f t="shared" si="19"/>
        <v>13</v>
      </c>
      <c r="AG14" s="18">
        <f t="shared" si="20"/>
        <v>13</v>
      </c>
      <c r="AH14" s="18" t="str">
        <f t="shared" si="5"/>
        <v>Detroit</v>
      </c>
    </row>
    <row r="15" spans="1:34">
      <c r="A15" s="18" t="s">
        <v>79</v>
      </c>
      <c r="B15" s="13">
        <f>'2010-10'!R16</f>
        <v>100659.20317123037</v>
      </c>
      <c r="C15" s="13">
        <f>'2010-20'!$R16</f>
        <v>318367</v>
      </c>
      <c r="D15" s="13">
        <f>'2010-30'!$R16</f>
        <v>318367</v>
      </c>
      <c r="E15" s="13">
        <f>'2010-40'!$R16</f>
        <v>318367</v>
      </c>
      <c r="F15" s="13">
        <f>'2010-50'!$R16</f>
        <v>318367</v>
      </c>
      <c r="G15" s="13">
        <f>'2010-60'!$R16</f>
        <v>318367</v>
      </c>
      <c r="H15" s="13">
        <f>'2010-70'!$R16</f>
        <v>318367</v>
      </c>
      <c r="I15" s="13">
        <f>'2010-80'!$R16</f>
        <v>318367</v>
      </c>
      <c r="J15" s="13">
        <f>'2010-90'!$R16</f>
        <v>318367</v>
      </c>
      <c r="M15" s="13">
        <f t="shared" si="6"/>
        <v>100659.20317123037</v>
      </c>
      <c r="N15" s="13">
        <f t="shared" si="7"/>
        <v>217707.79682876961</v>
      </c>
      <c r="O15" s="13">
        <f t="shared" si="8"/>
        <v>0</v>
      </c>
      <c r="P15" s="13">
        <f t="shared" si="9"/>
        <v>0</v>
      </c>
      <c r="Q15" s="13">
        <f t="shared" si="10"/>
        <v>0</v>
      </c>
      <c r="R15" s="13">
        <f t="shared" si="11"/>
        <v>0</v>
      </c>
      <c r="S15" s="13">
        <f t="shared" si="0"/>
        <v>0</v>
      </c>
      <c r="T15" s="13">
        <f t="shared" si="1"/>
        <v>0</v>
      </c>
      <c r="U15" s="13">
        <f t="shared" si="2"/>
        <v>0</v>
      </c>
      <c r="V15" s="13"/>
      <c r="W15" s="13">
        <f t="shared" si="12"/>
        <v>318367</v>
      </c>
      <c r="Y15" s="13">
        <f t="shared" si="3"/>
        <v>89183.541609810345</v>
      </c>
      <c r="Z15" s="18">
        <f t="shared" si="13"/>
        <v>51</v>
      </c>
      <c r="AA15" s="18" t="str">
        <f t="shared" si="14"/>
        <v>Grand Rapids</v>
      </c>
      <c r="AB15" s="18">
        <f t="shared" si="15"/>
        <v>23</v>
      </c>
      <c r="AC15" s="18">
        <f t="shared" si="16"/>
        <v>47</v>
      </c>
      <c r="AD15" s="18">
        <f t="shared" si="17"/>
        <v>51</v>
      </c>
      <c r="AE15" s="18">
        <f t="shared" si="18"/>
        <v>51</v>
      </c>
      <c r="AF15" s="18">
        <f t="shared" si="19"/>
        <v>51</v>
      </c>
      <c r="AG15" s="18">
        <f t="shared" si="20"/>
        <v>51</v>
      </c>
      <c r="AH15" s="18" t="str">
        <f t="shared" si="5"/>
        <v>Grand Rapids</v>
      </c>
    </row>
    <row r="16" spans="1:34">
      <c r="A16" s="18" t="s">
        <v>511</v>
      </c>
      <c r="B16" s="13">
        <f>'2010-10'!R17</f>
        <v>82458.219312742964</v>
      </c>
      <c r="C16" s="13">
        <f>'2010-20'!$R17</f>
        <v>362556.80311497266</v>
      </c>
      <c r="D16" s="13">
        <f>'2010-30'!$R17</f>
        <v>593797</v>
      </c>
      <c r="E16" s="13">
        <f>'2010-40'!$R17</f>
        <v>593797</v>
      </c>
      <c r="F16" s="13">
        <f>'2010-50'!$R17</f>
        <v>593797</v>
      </c>
      <c r="G16" s="13">
        <f>'2010-60'!$R17</f>
        <v>593797</v>
      </c>
      <c r="H16" s="13">
        <f>'2010-70'!$R17</f>
        <v>593797</v>
      </c>
      <c r="I16" s="13">
        <f>'2010-80'!$R17</f>
        <v>593797</v>
      </c>
      <c r="J16" s="13">
        <f>'2010-90'!$R17</f>
        <v>593797</v>
      </c>
      <c r="M16" s="13">
        <f t="shared" si="6"/>
        <v>82458.219312742964</v>
      </c>
      <c r="N16" s="13">
        <f t="shared" si="7"/>
        <v>280098.58380222972</v>
      </c>
      <c r="O16" s="13">
        <f t="shared" si="8"/>
        <v>231240.19688502734</v>
      </c>
      <c r="P16" s="13">
        <f t="shared" si="9"/>
        <v>0</v>
      </c>
      <c r="Q16" s="13">
        <f t="shared" si="10"/>
        <v>0</v>
      </c>
      <c r="R16" s="13">
        <f t="shared" si="11"/>
        <v>0</v>
      </c>
      <c r="S16" s="13">
        <f t="shared" si="0"/>
        <v>0</v>
      </c>
      <c r="T16" s="13">
        <f t="shared" si="1"/>
        <v>0</v>
      </c>
      <c r="U16" s="13">
        <f t="shared" si="2"/>
        <v>0</v>
      </c>
      <c r="V16" s="13"/>
      <c r="W16" s="13">
        <f t="shared" si="12"/>
        <v>593797</v>
      </c>
      <c r="Y16" s="13">
        <f t="shared" si="3"/>
        <v>114579.43241130029</v>
      </c>
      <c r="Z16" s="18">
        <f t="shared" si="13"/>
        <v>41</v>
      </c>
      <c r="AA16" s="18" t="str">
        <f t="shared" si="14"/>
        <v>Virginia Beach</v>
      </c>
      <c r="AB16" s="18">
        <f t="shared" si="15"/>
        <v>36</v>
      </c>
      <c r="AC16" s="18">
        <f t="shared" si="16"/>
        <v>35</v>
      </c>
      <c r="AD16" s="18">
        <f t="shared" si="17"/>
        <v>39</v>
      </c>
      <c r="AE16" s="18">
        <f t="shared" si="18"/>
        <v>39</v>
      </c>
      <c r="AF16" s="18">
        <f t="shared" si="19"/>
        <v>39</v>
      </c>
      <c r="AG16" s="18">
        <f t="shared" si="20"/>
        <v>39</v>
      </c>
      <c r="AH16" s="18" t="str">
        <f t="shared" si="5"/>
        <v>Virginia Beach</v>
      </c>
    </row>
    <row r="17" spans="1:34">
      <c r="A17" s="18" t="s">
        <v>38</v>
      </c>
      <c r="B17" s="13">
        <f>'2010-10'!R18</f>
        <v>79707.74672576852</v>
      </c>
      <c r="C17" s="13">
        <f>'2010-20'!$R18</f>
        <v>348096.11481386767</v>
      </c>
      <c r="D17" s="13">
        <f>'2010-30'!$R18</f>
        <v>529323</v>
      </c>
      <c r="E17" s="13">
        <f>'2010-40'!$R18</f>
        <v>529323</v>
      </c>
      <c r="F17" s="13">
        <f>'2010-50'!$R18</f>
        <v>529323</v>
      </c>
      <c r="G17" s="13">
        <f>'2010-60'!$R18</f>
        <v>529323</v>
      </c>
      <c r="H17" s="13">
        <f>'2010-70'!$R18</f>
        <v>529323</v>
      </c>
      <c r="I17" s="13">
        <f>'2010-80'!$R18</f>
        <v>529323</v>
      </c>
      <c r="J17" s="13">
        <f>'2010-90'!$R18</f>
        <v>529323</v>
      </c>
      <c r="M17" s="13">
        <f t="shared" si="6"/>
        <v>79707.74672576852</v>
      </c>
      <c r="N17" s="13">
        <f t="shared" si="7"/>
        <v>268388.36808809917</v>
      </c>
      <c r="O17" s="13">
        <f t="shared" si="8"/>
        <v>181226.88518613233</v>
      </c>
      <c r="P17" s="13">
        <f t="shared" si="9"/>
        <v>0</v>
      </c>
      <c r="Q17" s="13">
        <f t="shared" si="10"/>
        <v>0</v>
      </c>
      <c r="R17" s="13">
        <f t="shared" si="11"/>
        <v>0</v>
      </c>
      <c r="S17" s="13">
        <f t="shared" si="0"/>
        <v>0</v>
      </c>
      <c r="T17" s="13">
        <f t="shared" si="1"/>
        <v>0</v>
      </c>
      <c r="U17" s="13">
        <f t="shared" si="2"/>
        <v>0</v>
      </c>
      <c r="V17" s="13"/>
      <c r="W17" s="13">
        <f t="shared" si="12"/>
        <v>529323</v>
      </c>
      <c r="Y17" s="13">
        <f t="shared" si="3"/>
        <v>106442.20836076382</v>
      </c>
      <c r="Z17" s="18">
        <f t="shared" si="13"/>
        <v>46</v>
      </c>
      <c r="AA17" s="18" t="str">
        <f t="shared" si="14"/>
        <v>Hartford</v>
      </c>
      <c r="AB17" s="18">
        <f t="shared" si="15"/>
        <v>40</v>
      </c>
      <c r="AC17" s="18">
        <f t="shared" si="16"/>
        <v>36</v>
      </c>
      <c r="AD17" s="18">
        <f t="shared" si="17"/>
        <v>41</v>
      </c>
      <c r="AE17" s="18">
        <f t="shared" si="18"/>
        <v>41</v>
      </c>
      <c r="AF17" s="18">
        <f t="shared" si="19"/>
        <v>41</v>
      </c>
      <c r="AG17" s="18">
        <f t="shared" si="20"/>
        <v>41</v>
      </c>
      <c r="AH17" s="18" t="str">
        <f t="shared" si="5"/>
        <v>Hartford</v>
      </c>
    </row>
    <row r="18" spans="1:34">
      <c r="A18" s="18" t="s">
        <v>80</v>
      </c>
      <c r="B18" s="13">
        <f>'2010-10'!R19</f>
        <v>99156.226201750687</v>
      </c>
      <c r="C18" s="13">
        <f>'2010-20'!$R19</f>
        <v>335934</v>
      </c>
      <c r="D18" s="13">
        <f>'2010-30'!$R19</f>
        <v>335934</v>
      </c>
      <c r="E18" s="13">
        <f>'2010-40'!$R19</f>
        <v>335934</v>
      </c>
      <c r="F18" s="13">
        <f>'2010-50'!$R19</f>
        <v>335934</v>
      </c>
      <c r="G18" s="13">
        <f>'2010-60'!$R19</f>
        <v>335934</v>
      </c>
      <c r="H18" s="13">
        <f>'2010-70'!$R19</f>
        <v>335934</v>
      </c>
      <c r="I18" s="13">
        <f>'2010-80'!$R19</f>
        <v>335934</v>
      </c>
      <c r="J18" s="13">
        <f>'2010-90'!$R19</f>
        <v>335934</v>
      </c>
      <c r="M18" s="13">
        <f t="shared" si="6"/>
        <v>99156.226201750687</v>
      </c>
      <c r="N18" s="13">
        <f t="shared" si="7"/>
        <v>236777.77379824931</v>
      </c>
      <c r="O18" s="13">
        <f t="shared" si="8"/>
        <v>0</v>
      </c>
      <c r="P18" s="13">
        <f t="shared" si="9"/>
        <v>0</v>
      </c>
      <c r="Q18" s="13">
        <f t="shared" si="10"/>
        <v>0</v>
      </c>
      <c r="R18" s="13">
        <f t="shared" si="11"/>
        <v>0</v>
      </c>
      <c r="S18" s="13">
        <f t="shared" si="0"/>
        <v>0</v>
      </c>
      <c r="T18" s="13">
        <f t="shared" si="1"/>
        <v>0</v>
      </c>
      <c r="U18" s="13">
        <f t="shared" si="2"/>
        <v>0</v>
      </c>
      <c r="V18" s="13"/>
      <c r="W18" s="13">
        <f t="shared" si="12"/>
        <v>335934</v>
      </c>
      <c r="Y18" s="13">
        <f t="shared" si="3"/>
        <v>92358.372473398224</v>
      </c>
      <c r="Z18" s="18">
        <f t="shared" si="13"/>
        <v>49</v>
      </c>
      <c r="AA18" s="18" t="str">
        <f t="shared" si="14"/>
        <v>Honolulu</v>
      </c>
      <c r="AB18" s="18">
        <f t="shared" si="15"/>
        <v>24</v>
      </c>
      <c r="AC18" s="18">
        <f t="shared" ref="AC18:AC52" si="21">RANK(C18,C$2:C$52)</f>
        <v>42</v>
      </c>
      <c r="AD18" s="18">
        <f t="shared" ref="AD18:AD52" si="22">RANK(D18,D$2:D$52)</f>
        <v>50</v>
      </c>
      <c r="AE18" s="18">
        <f t="shared" ref="AE18:AE52" si="23">RANK(E18,E$2:E$52)</f>
        <v>50</v>
      </c>
      <c r="AF18" s="18">
        <f t="shared" ref="AF18:AF52" si="24">RANK(F18,F$2:F$52)</f>
        <v>50</v>
      </c>
      <c r="AG18" s="18">
        <f t="shared" ref="AG18:AG52" si="25">RANK(G18,G$2:G$52)</f>
        <v>50</v>
      </c>
      <c r="AH18" s="18" t="str">
        <f t="shared" si="5"/>
        <v>Honolulu</v>
      </c>
    </row>
    <row r="19" spans="1:34">
      <c r="A19" s="18" t="s">
        <v>39</v>
      </c>
      <c r="B19" s="13">
        <f>'2010-10'!R20</f>
        <v>98662.448903097451</v>
      </c>
      <c r="C19" s="13">
        <f>'2010-20'!$R20</f>
        <v>437845.21990138304</v>
      </c>
      <c r="D19" s="13">
        <f>'2010-30'!$R20</f>
        <v>1035578.6749075924</v>
      </c>
      <c r="E19" s="13">
        <f>'2010-40'!$R20</f>
        <v>1908704.5896026618</v>
      </c>
      <c r="F19" s="13">
        <f>'2010-50'!$R20</f>
        <v>2176567</v>
      </c>
      <c r="G19" s="13">
        <f>'2010-60'!$R20</f>
        <v>2176567</v>
      </c>
      <c r="H19" s="13">
        <f>'2010-70'!$R20</f>
        <v>2176567</v>
      </c>
      <c r="I19" s="13">
        <f>'2010-80'!$R20</f>
        <v>2176567</v>
      </c>
      <c r="J19" s="13">
        <f>'2010-90'!$R20</f>
        <v>2176567</v>
      </c>
      <c r="M19" s="13">
        <f t="shared" si="6"/>
        <v>98662.448903097451</v>
      </c>
      <c r="N19" s="13">
        <f t="shared" si="7"/>
        <v>339182.77099828562</v>
      </c>
      <c r="O19" s="13">
        <f t="shared" si="8"/>
        <v>597733.45500620932</v>
      </c>
      <c r="P19" s="13">
        <f t="shared" si="9"/>
        <v>873125.91469506943</v>
      </c>
      <c r="Q19" s="13">
        <f t="shared" si="10"/>
        <v>267862.41039733822</v>
      </c>
      <c r="R19" s="13">
        <f t="shared" si="11"/>
        <v>0</v>
      </c>
      <c r="S19" s="13">
        <f t="shared" si="0"/>
        <v>0</v>
      </c>
      <c r="T19" s="13">
        <f t="shared" si="1"/>
        <v>0</v>
      </c>
      <c r="U19" s="13">
        <f t="shared" si="2"/>
        <v>0</v>
      </c>
      <c r="V19" s="13"/>
      <c r="W19" s="13">
        <f t="shared" si="12"/>
        <v>2176567</v>
      </c>
      <c r="Y19" s="13">
        <f t="shared" si="3"/>
        <v>207533.47985630354</v>
      </c>
      <c r="Z19" s="18">
        <f t="shared" si="13"/>
        <v>10</v>
      </c>
      <c r="AA19" s="18" t="str">
        <f t="shared" si="14"/>
        <v>Houston</v>
      </c>
      <c r="AB19" s="18">
        <f t="shared" si="15"/>
        <v>27</v>
      </c>
      <c r="AC19" s="18">
        <f t="shared" si="21"/>
        <v>21</v>
      </c>
      <c r="AD19" s="18">
        <f t="shared" si="22"/>
        <v>11</v>
      </c>
      <c r="AE19" s="18">
        <f t="shared" si="23"/>
        <v>7</v>
      </c>
      <c r="AF19" s="18">
        <f t="shared" si="24"/>
        <v>8</v>
      </c>
      <c r="AG19" s="18">
        <f t="shared" si="25"/>
        <v>8</v>
      </c>
      <c r="AH19" s="18" t="str">
        <f t="shared" si="5"/>
        <v>Houston</v>
      </c>
    </row>
    <row r="20" spans="1:34">
      <c r="A20" s="18" t="s">
        <v>40</v>
      </c>
      <c r="B20" s="13">
        <f>'2010-10'!R21</f>
        <v>78645.092666567827</v>
      </c>
      <c r="C20" s="13">
        <f>'2010-20'!$R21</f>
        <v>344407.9546937024</v>
      </c>
      <c r="D20" s="13">
        <f>'2010-30'!$R21</f>
        <v>742919</v>
      </c>
      <c r="E20" s="13">
        <f>'2010-40'!$R21</f>
        <v>742919</v>
      </c>
      <c r="F20" s="13">
        <f>'2010-50'!$R21</f>
        <v>742919</v>
      </c>
      <c r="G20" s="13">
        <f>'2010-60'!$R21</f>
        <v>742919</v>
      </c>
      <c r="H20" s="13">
        <f>'2010-70'!$R21</f>
        <v>742919</v>
      </c>
      <c r="I20" s="13">
        <f>'2010-80'!$R21</f>
        <v>742919</v>
      </c>
      <c r="J20" s="13">
        <f>'2010-90'!$R21</f>
        <v>742919</v>
      </c>
      <c r="M20" s="13">
        <f t="shared" si="6"/>
        <v>78645.092666567827</v>
      </c>
      <c r="N20" s="13">
        <f t="shared" si="7"/>
        <v>265762.86202713457</v>
      </c>
      <c r="O20" s="13">
        <f t="shared" si="8"/>
        <v>398511.0453062976</v>
      </c>
      <c r="P20" s="13">
        <f t="shared" si="9"/>
        <v>0</v>
      </c>
      <c r="Q20" s="13">
        <f t="shared" si="10"/>
        <v>0</v>
      </c>
      <c r="R20" s="13">
        <f t="shared" si="11"/>
        <v>0</v>
      </c>
      <c r="S20" s="13">
        <f t="shared" si="0"/>
        <v>0</v>
      </c>
      <c r="T20" s="13">
        <f t="shared" si="1"/>
        <v>0</v>
      </c>
      <c r="U20" s="13">
        <f t="shared" si="2"/>
        <v>0</v>
      </c>
      <c r="V20" s="13"/>
      <c r="W20" s="13">
        <f t="shared" si="12"/>
        <v>742919</v>
      </c>
      <c r="Y20" s="13">
        <f t="shared" si="3"/>
        <v>125146.22086975598</v>
      </c>
      <c r="Z20" s="18">
        <f t="shared" si="13"/>
        <v>37</v>
      </c>
      <c r="AA20" s="18" t="str">
        <f t="shared" si="14"/>
        <v>Indianapolis</v>
      </c>
      <c r="AB20" s="18">
        <f t="shared" si="15"/>
        <v>41</v>
      </c>
      <c r="AC20" s="18">
        <f t="shared" si="21"/>
        <v>38</v>
      </c>
      <c r="AD20" s="18">
        <f t="shared" si="22"/>
        <v>27</v>
      </c>
      <c r="AE20" s="18">
        <f t="shared" si="23"/>
        <v>31</v>
      </c>
      <c r="AF20" s="18">
        <f t="shared" si="24"/>
        <v>31</v>
      </c>
      <c r="AG20" s="18">
        <f t="shared" si="25"/>
        <v>31</v>
      </c>
      <c r="AH20" s="18" t="str">
        <f t="shared" si="5"/>
        <v>Indianapolis</v>
      </c>
    </row>
    <row r="21" spans="1:34">
      <c r="A21" s="18" t="s">
        <v>559</v>
      </c>
      <c r="B21" s="13">
        <f>'2010-10'!R22</f>
        <v>163148.04251446438</v>
      </c>
      <c r="C21" s="13">
        <f>'2010-20'!$R22</f>
        <v>659560.92702967871</v>
      </c>
      <c r="D21" s="13">
        <f>'2010-30'!$R22</f>
        <v>957326</v>
      </c>
      <c r="E21" s="13">
        <f>'2010-40'!$R22</f>
        <v>957326</v>
      </c>
      <c r="F21" s="13">
        <f>'2010-50'!$R22</f>
        <v>957326</v>
      </c>
      <c r="G21" s="13">
        <f>'2010-60'!$R22</f>
        <v>957326</v>
      </c>
      <c r="H21" s="13">
        <f>'2010-70'!$R22</f>
        <v>957326</v>
      </c>
      <c r="I21" s="13">
        <f>'2010-80'!$R22</f>
        <v>957326</v>
      </c>
      <c r="J21" s="13">
        <f>'2010-90'!$R22</f>
        <v>957326</v>
      </c>
      <c r="M21" s="13">
        <f t="shared" si="6"/>
        <v>163148.04251446438</v>
      </c>
      <c r="N21" s="13">
        <f t="shared" si="7"/>
        <v>496412.88451521436</v>
      </c>
      <c r="O21" s="13">
        <f t="shared" si="8"/>
        <v>297765.07297032129</v>
      </c>
      <c r="P21" s="13">
        <f t="shared" si="9"/>
        <v>0</v>
      </c>
      <c r="Q21" s="13">
        <f t="shared" si="10"/>
        <v>0</v>
      </c>
      <c r="R21" s="13">
        <f t="shared" si="11"/>
        <v>0</v>
      </c>
      <c r="S21" s="13">
        <f t="shared" si="0"/>
        <v>0</v>
      </c>
      <c r="T21" s="13">
        <f t="shared" si="1"/>
        <v>0</v>
      </c>
      <c r="U21" s="13">
        <f t="shared" si="2"/>
        <v>0</v>
      </c>
      <c r="V21" s="13"/>
      <c r="W21" s="13">
        <f t="shared" si="12"/>
        <v>957326</v>
      </c>
      <c r="Y21" s="13">
        <f t="shared" si="3"/>
        <v>200543.81179302157</v>
      </c>
      <c r="Z21" s="18">
        <f t="shared" si="13"/>
        <v>11</v>
      </c>
      <c r="AA21" s="18" t="str">
        <f t="shared" si="14"/>
        <v>Riverside</v>
      </c>
      <c r="AB21" s="18">
        <f t="shared" si="15"/>
        <v>4</v>
      </c>
      <c r="AC21" s="18">
        <f t="shared" si="21"/>
        <v>4</v>
      </c>
      <c r="AD21" s="18">
        <f t="shared" si="22"/>
        <v>14</v>
      </c>
      <c r="AE21" s="18">
        <f t="shared" si="23"/>
        <v>21</v>
      </c>
      <c r="AF21" s="18">
        <f t="shared" si="24"/>
        <v>21</v>
      </c>
      <c r="AG21" s="18">
        <f t="shared" si="25"/>
        <v>21</v>
      </c>
      <c r="AH21" s="18" t="str">
        <f t="shared" si="5"/>
        <v>Riverside</v>
      </c>
    </row>
    <row r="22" spans="1:34">
      <c r="A22" s="18" t="s">
        <v>41</v>
      </c>
      <c r="B22" s="13">
        <f>'2010-10'!R23</f>
        <v>134775.98201775912</v>
      </c>
      <c r="C22" s="13">
        <f>'2010-20'!$R23</f>
        <v>561077.25028428482</v>
      </c>
      <c r="D22" s="13">
        <f>'2010-30'!$R23</f>
        <v>860640</v>
      </c>
      <c r="E22" s="13">
        <f>'2010-40'!$R23</f>
        <v>860640</v>
      </c>
      <c r="F22" s="13">
        <f>'2010-50'!$R23</f>
        <v>860640</v>
      </c>
      <c r="G22" s="13">
        <f>'2010-60'!$R23</f>
        <v>860640</v>
      </c>
      <c r="H22" s="13">
        <f>'2010-70'!$R23</f>
        <v>860640</v>
      </c>
      <c r="I22" s="13">
        <f>'2010-80'!$R23</f>
        <v>860640</v>
      </c>
      <c r="J22" s="13">
        <f>'2010-90'!$R23</f>
        <v>860640</v>
      </c>
      <c r="M22" s="13">
        <f t="shared" si="6"/>
        <v>134775.98201775912</v>
      </c>
      <c r="N22" s="13">
        <f t="shared" si="7"/>
        <v>426301.2682665257</v>
      </c>
      <c r="O22" s="13">
        <f t="shared" si="8"/>
        <v>299562.74971571518</v>
      </c>
      <c r="P22" s="13">
        <f t="shared" si="9"/>
        <v>0</v>
      </c>
      <c r="Q22" s="13">
        <f t="shared" si="10"/>
        <v>0</v>
      </c>
      <c r="R22" s="13">
        <f t="shared" si="11"/>
        <v>0</v>
      </c>
      <c r="S22" s="13">
        <f t="shared" si="0"/>
        <v>0</v>
      </c>
      <c r="T22" s="13">
        <f t="shared" si="1"/>
        <v>0</v>
      </c>
      <c r="U22" s="13">
        <f t="shared" si="2"/>
        <v>0</v>
      </c>
      <c r="V22" s="13"/>
      <c r="W22" s="13">
        <f t="shared" si="12"/>
        <v>860640</v>
      </c>
      <c r="Y22" s="13">
        <f t="shared" si="3"/>
        <v>173803.21360359623</v>
      </c>
      <c r="Z22" s="18">
        <f t="shared" si="13"/>
        <v>17</v>
      </c>
      <c r="AA22" s="18" t="str">
        <f t="shared" si="14"/>
        <v>Jacksonville</v>
      </c>
      <c r="AB22" s="18">
        <f t="shared" si="15"/>
        <v>9</v>
      </c>
      <c r="AC22" s="18">
        <f t="shared" si="21"/>
        <v>7</v>
      </c>
      <c r="AD22" s="18">
        <f t="shared" si="22"/>
        <v>19</v>
      </c>
      <c r="AE22" s="18">
        <f t="shared" si="23"/>
        <v>27</v>
      </c>
      <c r="AF22" s="18">
        <f t="shared" si="24"/>
        <v>27</v>
      </c>
      <c r="AG22" s="18">
        <f t="shared" si="25"/>
        <v>27</v>
      </c>
      <c r="AH22" s="18" t="str">
        <f t="shared" si="5"/>
        <v>Jacksonville</v>
      </c>
    </row>
    <row r="23" spans="1:34">
      <c r="A23" s="18" t="s">
        <v>74</v>
      </c>
      <c r="B23" s="13">
        <f>'2010-10'!R24</f>
        <v>116870.79447588885</v>
      </c>
      <c r="C23" s="13">
        <f>'2010-20'!$R24</f>
        <v>503402.28491277841</v>
      </c>
      <c r="D23" s="13">
        <f>'2010-30'!$R24</f>
        <v>928617</v>
      </c>
      <c r="E23" s="13">
        <f>'2010-40'!$R24</f>
        <v>928617</v>
      </c>
      <c r="F23" s="13">
        <f>'2010-50'!$R24</f>
        <v>928617</v>
      </c>
      <c r="G23" s="13">
        <f>'2010-60'!$R24</f>
        <v>928617</v>
      </c>
      <c r="H23" s="13">
        <f>'2010-70'!$R24</f>
        <v>928617</v>
      </c>
      <c r="I23" s="13">
        <f>'2010-80'!$R24</f>
        <v>928617</v>
      </c>
      <c r="J23" s="13">
        <f>'2010-90'!$R24</f>
        <v>928617</v>
      </c>
      <c r="M23" s="13">
        <f t="shared" si="6"/>
        <v>116870.79447588885</v>
      </c>
      <c r="N23" s="13">
        <f t="shared" si="7"/>
        <v>386531.49043688958</v>
      </c>
      <c r="O23" s="13">
        <f t="shared" si="8"/>
        <v>425214.71508722159</v>
      </c>
      <c r="P23" s="13">
        <f t="shared" si="9"/>
        <v>0</v>
      </c>
      <c r="Q23" s="13">
        <f t="shared" si="10"/>
        <v>0</v>
      </c>
      <c r="R23" s="13">
        <f t="shared" si="11"/>
        <v>0</v>
      </c>
      <c r="S23" s="13">
        <f t="shared" si="0"/>
        <v>0</v>
      </c>
      <c r="T23" s="13">
        <f t="shared" si="1"/>
        <v>0</v>
      </c>
      <c r="U23" s="13">
        <f t="shared" si="2"/>
        <v>0</v>
      </c>
      <c r="V23" s="13"/>
      <c r="W23" s="13">
        <f t="shared" si="12"/>
        <v>928617</v>
      </c>
      <c r="Y23" s="13">
        <f t="shared" si="3"/>
        <v>169127.4036931537</v>
      </c>
      <c r="Z23" s="18">
        <f t="shared" si="13"/>
        <v>18</v>
      </c>
      <c r="AA23" s="18" t="str">
        <f t="shared" si="14"/>
        <v>Kansas City</v>
      </c>
      <c r="AB23" s="18">
        <f t="shared" si="15"/>
        <v>13</v>
      </c>
      <c r="AC23" s="18">
        <f t="shared" si="21"/>
        <v>14</v>
      </c>
      <c r="AD23" s="18">
        <f t="shared" si="22"/>
        <v>15</v>
      </c>
      <c r="AE23" s="18">
        <f t="shared" si="23"/>
        <v>23</v>
      </c>
      <c r="AF23" s="18">
        <f t="shared" si="24"/>
        <v>23</v>
      </c>
      <c r="AG23" s="18">
        <f t="shared" si="25"/>
        <v>23</v>
      </c>
      <c r="AH23" s="18" t="str">
        <f t="shared" si="5"/>
        <v>Kansas City</v>
      </c>
    </row>
    <row r="24" spans="1:34">
      <c r="A24" s="18" t="s">
        <v>62</v>
      </c>
      <c r="B24" s="13">
        <f>'2010-10'!R25</f>
        <v>130713.55913083299</v>
      </c>
      <c r="C24" s="13">
        <f>'2010-20'!$R25</f>
        <v>527874.721026566</v>
      </c>
      <c r="D24" s="13">
        <f>'2010-30'!$R25</f>
        <v>731876</v>
      </c>
      <c r="E24" s="13">
        <f>'2010-40'!$R25</f>
        <v>731876</v>
      </c>
      <c r="F24" s="13">
        <f>'2010-50'!$R25</f>
        <v>731876</v>
      </c>
      <c r="G24" s="13">
        <f>'2010-60'!$R25</f>
        <v>731876</v>
      </c>
      <c r="H24" s="13">
        <f>'2010-70'!$R25</f>
        <v>731876</v>
      </c>
      <c r="I24" s="13">
        <f>'2010-80'!$R25</f>
        <v>731876</v>
      </c>
      <c r="J24" s="13">
        <f>'2010-90'!$R25</f>
        <v>731876</v>
      </c>
      <c r="M24" s="13">
        <f t="shared" si="6"/>
        <v>130713.55913083299</v>
      </c>
      <c r="N24" s="13">
        <f t="shared" si="7"/>
        <v>397161.16189573298</v>
      </c>
      <c r="O24" s="13">
        <f t="shared" si="8"/>
        <v>204001.278973434</v>
      </c>
      <c r="P24" s="13">
        <f t="shared" si="9"/>
        <v>0</v>
      </c>
      <c r="Q24" s="13">
        <f t="shared" si="10"/>
        <v>0</v>
      </c>
      <c r="R24" s="13">
        <f t="shared" si="11"/>
        <v>0</v>
      </c>
      <c r="S24" s="13">
        <f t="shared" si="0"/>
        <v>0</v>
      </c>
      <c r="T24" s="13">
        <f t="shared" si="1"/>
        <v>0</v>
      </c>
      <c r="U24" s="13">
        <f t="shared" si="2"/>
        <v>0</v>
      </c>
      <c r="V24" s="13"/>
      <c r="W24" s="13">
        <f t="shared" si="12"/>
        <v>731876</v>
      </c>
      <c r="Y24" s="13">
        <f t="shared" si="3"/>
        <v>157425.42228668486</v>
      </c>
      <c r="Z24" s="18">
        <f t="shared" si="13"/>
        <v>22</v>
      </c>
      <c r="AA24" s="18" t="str">
        <f t="shared" si="14"/>
        <v>Las Vegas</v>
      </c>
      <c r="AB24" s="18">
        <f t="shared" si="15"/>
        <v>11</v>
      </c>
      <c r="AC24" s="18">
        <f t="shared" si="21"/>
        <v>10</v>
      </c>
      <c r="AD24" s="18">
        <f t="shared" si="22"/>
        <v>29</v>
      </c>
      <c r="AE24" s="18">
        <f t="shared" si="23"/>
        <v>33</v>
      </c>
      <c r="AF24" s="18">
        <f t="shared" si="24"/>
        <v>33</v>
      </c>
      <c r="AG24" s="18">
        <f t="shared" si="25"/>
        <v>33</v>
      </c>
      <c r="AH24" s="18" t="str">
        <f t="shared" si="5"/>
        <v>Las Vegas</v>
      </c>
    </row>
    <row r="25" spans="1:34">
      <c r="A25" s="18" t="s">
        <v>63</v>
      </c>
      <c r="B25" s="13">
        <f>'2010-10'!R26</f>
        <v>237203.0038730845</v>
      </c>
      <c r="C25" s="13">
        <f>'2010-20'!$R26</f>
        <v>1052716.3179601796</v>
      </c>
      <c r="D25" s="13">
        <f>'2010-30'!$R26</f>
        <v>2458111.2110561877</v>
      </c>
      <c r="E25" s="13">
        <f>'2010-40'!$R26</f>
        <v>4467004.2655740185</v>
      </c>
      <c r="F25" s="13">
        <f>'2010-50'!$R26</f>
        <v>4852354</v>
      </c>
      <c r="G25" s="13">
        <f>'2010-60'!$R26</f>
        <v>4852354</v>
      </c>
      <c r="H25" s="13">
        <f>'2010-70'!$R26</f>
        <v>4852354</v>
      </c>
      <c r="I25" s="13">
        <f>'2010-80'!$R26</f>
        <v>4852354</v>
      </c>
      <c r="J25" s="13">
        <f>'2010-90'!$R26</f>
        <v>4852354</v>
      </c>
      <c r="M25" s="13">
        <f t="shared" si="6"/>
        <v>237203.0038730845</v>
      </c>
      <c r="N25" s="13">
        <f t="shared" si="7"/>
        <v>815513.3140870952</v>
      </c>
      <c r="O25" s="13">
        <f t="shared" si="8"/>
        <v>1405394.8930960081</v>
      </c>
      <c r="P25" s="13">
        <f t="shared" si="9"/>
        <v>2008893.0545178307</v>
      </c>
      <c r="Q25" s="13">
        <f t="shared" si="10"/>
        <v>385349.73442598153</v>
      </c>
      <c r="R25" s="13">
        <f t="shared" si="11"/>
        <v>0</v>
      </c>
      <c r="S25" s="13">
        <f t="shared" si="0"/>
        <v>0</v>
      </c>
      <c r="T25" s="13">
        <f t="shared" si="1"/>
        <v>0</v>
      </c>
      <c r="U25" s="13">
        <f t="shared" si="2"/>
        <v>0</v>
      </c>
      <c r="V25" s="13"/>
      <c r="W25" s="13">
        <f t="shared" si="12"/>
        <v>4852354.0000000009</v>
      </c>
      <c r="Y25" s="13">
        <f t="shared" si="3"/>
        <v>487670.86181391007</v>
      </c>
      <c r="Z25" s="18">
        <f t="shared" si="13"/>
        <v>1</v>
      </c>
      <c r="AA25" s="18" t="str">
        <f t="shared" si="14"/>
        <v>Los Angeles</v>
      </c>
      <c r="AB25" s="18">
        <f t="shared" si="15"/>
        <v>3</v>
      </c>
      <c r="AC25" s="18">
        <f t="shared" si="21"/>
        <v>2</v>
      </c>
      <c r="AD25" s="18">
        <f t="shared" si="22"/>
        <v>1</v>
      </c>
      <c r="AE25" s="18">
        <f t="shared" si="23"/>
        <v>1</v>
      </c>
      <c r="AF25" s="18">
        <f t="shared" si="24"/>
        <v>1</v>
      </c>
      <c r="AG25" s="18">
        <f t="shared" si="25"/>
        <v>2</v>
      </c>
      <c r="AH25" s="18" t="str">
        <f t="shared" si="5"/>
        <v>Los Angeles</v>
      </c>
    </row>
    <row r="26" spans="1:34">
      <c r="A26" s="18" t="s">
        <v>42</v>
      </c>
      <c r="B26" s="13">
        <f>'2010-10'!R27</f>
        <v>88446.237978409743</v>
      </c>
      <c r="C26" s="13">
        <f>'2010-20'!$R27</f>
        <v>387514.60831247788</v>
      </c>
      <c r="D26" s="13">
        <f>'2010-30'!$R27</f>
        <v>515000</v>
      </c>
      <c r="E26" s="13">
        <f>'2010-40'!$R27</f>
        <v>515000</v>
      </c>
      <c r="F26" s="13">
        <f>'2010-50'!$R27</f>
        <v>515000</v>
      </c>
      <c r="G26" s="13">
        <f>'2010-60'!$R27</f>
        <v>515000</v>
      </c>
      <c r="H26" s="13">
        <f>'2010-70'!$R27</f>
        <v>515000</v>
      </c>
      <c r="I26" s="13">
        <f>'2010-80'!$R27</f>
        <v>515000</v>
      </c>
      <c r="J26" s="13">
        <f>'2010-90'!$R27</f>
        <v>515000</v>
      </c>
      <c r="M26" s="13">
        <f t="shared" si="6"/>
        <v>88446.237978409743</v>
      </c>
      <c r="N26" s="13">
        <f t="shared" si="7"/>
        <v>299068.37033406814</v>
      </c>
      <c r="O26" s="13">
        <f t="shared" si="8"/>
        <v>127485.39168752212</v>
      </c>
      <c r="P26" s="13">
        <f t="shared" si="9"/>
        <v>0</v>
      </c>
      <c r="Q26" s="13">
        <f t="shared" si="10"/>
        <v>0</v>
      </c>
      <c r="R26" s="13">
        <f t="shared" si="11"/>
        <v>0</v>
      </c>
      <c r="S26" s="13">
        <f t="shared" si="0"/>
        <v>0</v>
      </c>
      <c r="T26" s="13">
        <f t="shared" si="1"/>
        <v>0</v>
      </c>
      <c r="U26" s="13">
        <f t="shared" si="2"/>
        <v>0</v>
      </c>
      <c r="V26" s="13"/>
      <c r="W26" s="13">
        <f t="shared" si="12"/>
        <v>515000</v>
      </c>
      <c r="Y26" s="13">
        <f t="shared" si="3"/>
        <v>111687.53291187965</v>
      </c>
      <c r="Z26" s="18">
        <f t="shared" si="13"/>
        <v>42</v>
      </c>
      <c r="AA26" s="18" t="str">
        <f t="shared" si="14"/>
        <v>Louisville</v>
      </c>
      <c r="AB26" s="18">
        <f t="shared" si="15"/>
        <v>32</v>
      </c>
      <c r="AC26" s="18">
        <f t="shared" si="21"/>
        <v>30</v>
      </c>
      <c r="AD26" s="18">
        <f t="shared" si="22"/>
        <v>43</v>
      </c>
      <c r="AE26" s="18">
        <f t="shared" si="23"/>
        <v>43</v>
      </c>
      <c r="AF26" s="18">
        <f t="shared" si="24"/>
        <v>43</v>
      </c>
      <c r="AG26" s="18">
        <f t="shared" si="25"/>
        <v>43</v>
      </c>
      <c r="AH26" s="18" t="str">
        <f t="shared" si="5"/>
        <v>Louisville</v>
      </c>
    </row>
    <row r="27" spans="1:34">
      <c r="A27" s="18" t="s">
        <v>43</v>
      </c>
      <c r="B27" s="13">
        <f>'2010-10'!R28</f>
        <v>78516.475043575003</v>
      </c>
      <c r="C27" s="13">
        <f>'2010-20'!$R28</f>
        <v>342608.440547871</v>
      </c>
      <c r="D27" s="13">
        <f>'2010-30'!$R28</f>
        <v>509166</v>
      </c>
      <c r="E27" s="13">
        <f>'2010-40'!$R28</f>
        <v>509166</v>
      </c>
      <c r="F27" s="13">
        <f>'2010-50'!$R28</f>
        <v>509166</v>
      </c>
      <c r="G27" s="13">
        <f>'2010-60'!$R28</f>
        <v>509166</v>
      </c>
      <c r="H27" s="13">
        <f>'2010-70'!$R28</f>
        <v>509166</v>
      </c>
      <c r="I27" s="13">
        <f>'2010-80'!$R28</f>
        <v>509166</v>
      </c>
      <c r="J27" s="13">
        <f>'2010-90'!$R28</f>
        <v>509166</v>
      </c>
      <c r="M27" s="13">
        <f t="shared" si="6"/>
        <v>78516.475043575003</v>
      </c>
      <c r="N27" s="13">
        <f t="shared" si="7"/>
        <v>264091.96550429601</v>
      </c>
      <c r="O27" s="13">
        <f t="shared" si="8"/>
        <v>166557.559452129</v>
      </c>
      <c r="P27" s="13">
        <f t="shared" si="9"/>
        <v>0</v>
      </c>
      <c r="Q27" s="13">
        <f t="shared" si="10"/>
        <v>0</v>
      </c>
      <c r="R27" s="13">
        <f t="shared" si="11"/>
        <v>0</v>
      </c>
      <c r="S27" s="13">
        <f t="shared" si="0"/>
        <v>0</v>
      </c>
      <c r="T27" s="13">
        <f t="shared" si="1"/>
        <v>0</v>
      </c>
      <c r="U27" s="13">
        <f t="shared" si="2"/>
        <v>0</v>
      </c>
      <c r="V27" s="13"/>
      <c r="W27" s="13">
        <f t="shared" si="12"/>
        <v>509166</v>
      </c>
      <c r="Y27" s="13">
        <f t="shared" si="3"/>
        <v>103708.73556152402</v>
      </c>
      <c r="Z27" s="18">
        <f t="shared" si="13"/>
        <v>47</v>
      </c>
      <c r="AA27" s="18" t="str">
        <f t="shared" si="14"/>
        <v>Memphis</v>
      </c>
      <c r="AB27" s="18">
        <f t="shared" si="15"/>
        <v>42</v>
      </c>
      <c r="AC27" s="18">
        <f t="shared" si="21"/>
        <v>39</v>
      </c>
      <c r="AD27" s="18">
        <f t="shared" si="22"/>
        <v>44</v>
      </c>
      <c r="AE27" s="18">
        <f t="shared" si="23"/>
        <v>44</v>
      </c>
      <c r="AF27" s="18">
        <f t="shared" si="24"/>
        <v>44</v>
      </c>
      <c r="AG27" s="18">
        <f t="shared" si="25"/>
        <v>44</v>
      </c>
      <c r="AH27" s="18" t="str">
        <f t="shared" si="5"/>
        <v>Memphis</v>
      </c>
    </row>
    <row r="28" spans="1:34">
      <c r="A28" s="18" t="s">
        <v>44</v>
      </c>
      <c r="B28" s="13">
        <f>'2010-10'!R29</f>
        <v>127253.68181943308</v>
      </c>
      <c r="C28" s="13">
        <f>'2010-20'!$R29</f>
        <v>552164.50384284998</v>
      </c>
      <c r="D28" s="13">
        <f>'2010-30'!$R29</f>
        <v>737279</v>
      </c>
      <c r="E28" s="13">
        <f>'2010-40'!$R29</f>
        <v>737279</v>
      </c>
      <c r="F28" s="13">
        <f>'2010-50'!$R29</f>
        <v>737279</v>
      </c>
      <c r="G28" s="13">
        <f>'2010-60'!$R29</f>
        <v>737279</v>
      </c>
      <c r="H28" s="13">
        <f>'2010-70'!$R29</f>
        <v>737279</v>
      </c>
      <c r="I28" s="13">
        <f>'2010-80'!$R29</f>
        <v>737279</v>
      </c>
      <c r="J28" s="13">
        <f>'2010-90'!$R29</f>
        <v>737279</v>
      </c>
      <c r="M28" s="13">
        <f t="shared" si="6"/>
        <v>127253.68181943308</v>
      </c>
      <c r="N28" s="13">
        <f t="shared" si="7"/>
        <v>424910.82202341687</v>
      </c>
      <c r="O28" s="13">
        <f t="shared" si="8"/>
        <v>185114.49615715002</v>
      </c>
      <c r="P28" s="13">
        <f t="shared" si="9"/>
        <v>0</v>
      </c>
      <c r="Q28" s="13">
        <f t="shared" si="10"/>
        <v>0</v>
      </c>
      <c r="R28" s="13">
        <f t="shared" si="11"/>
        <v>0</v>
      </c>
      <c r="S28" s="13">
        <f t="shared" si="0"/>
        <v>0</v>
      </c>
      <c r="T28" s="13">
        <f t="shared" si="1"/>
        <v>0</v>
      </c>
      <c r="U28" s="13">
        <f t="shared" si="2"/>
        <v>0</v>
      </c>
      <c r="V28" s="13"/>
      <c r="W28" s="13">
        <f t="shared" si="12"/>
        <v>737279</v>
      </c>
      <c r="Y28" s="13">
        <f t="shared" si="3"/>
        <v>159759.98867238045</v>
      </c>
      <c r="Z28" s="18">
        <f t="shared" si="13"/>
        <v>20</v>
      </c>
      <c r="AA28" s="18" t="str">
        <f t="shared" si="14"/>
        <v>Milwaukee</v>
      </c>
      <c r="AB28" s="18">
        <f t="shared" si="15"/>
        <v>12</v>
      </c>
      <c r="AC28" s="18">
        <f t="shared" si="21"/>
        <v>9</v>
      </c>
      <c r="AD28" s="18">
        <f t="shared" si="22"/>
        <v>28</v>
      </c>
      <c r="AE28" s="18">
        <f t="shared" si="23"/>
        <v>32</v>
      </c>
      <c r="AF28" s="18">
        <f t="shared" si="24"/>
        <v>32</v>
      </c>
      <c r="AG28" s="18">
        <f t="shared" si="25"/>
        <v>32</v>
      </c>
      <c r="AH28" s="18" t="str">
        <f t="shared" si="5"/>
        <v>Milwaukee</v>
      </c>
    </row>
    <row r="29" spans="1:34">
      <c r="A29" s="18" t="s">
        <v>568</v>
      </c>
      <c r="B29" s="13">
        <f>'2010-10'!R30</f>
        <v>145051.71280497365</v>
      </c>
      <c r="C29" s="13">
        <f>'2010-20'!$R30</f>
        <v>639313.71132836933</v>
      </c>
      <c r="D29" s="13">
        <f>'2010-30'!$R30</f>
        <v>1514330.304729677</v>
      </c>
      <c r="E29" s="13">
        <f>'2010-40'!$R30</f>
        <v>1572381</v>
      </c>
      <c r="F29" s="13">
        <f>'2010-50'!$R30</f>
        <v>1572381</v>
      </c>
      <c r="G29" s="13">
        <f>'2010-60'!$R30</f>
        <v>1572381</v>
      </c>
      <c r="H29" s="13">
        <f>'2010-70'!$R30</f>
        <v>1572381</v>
      </c>
      <c r="I29" s="13">
        <f>'2010-80'!$R30</f>
        <v>1572381</v>
      </c>
      <c r="J29" s="13">
        <f>'2010-90'!$R30</f>
        <v>1572381</v>
      </c>
      <c r="M29" s="13">
        <f t="shared" si="6"/>
        <v>145051.71280497365</v>
      </c>
      <c r="N29" s="13">
        <f t="shared" si="7"/>
        <v>494261.99852339568</v>
      </c>
      <c r="O29" s="13">
        <f t="shared" si="8"/>
        <v>875016.59340130771</v>
      </c>
      <c r="P29" s="13">
        <f t="shared" si="9"/>
        <v>58050.695270322962</v>
      </c>
      <c r="Q29" s="13">
        <f t="shared" si="10"/>
        <v>0</v>
      </c>
      <c r="R29" s="13">
        <f t="shared" si="11"/>
        <v>0</v>
      </c>
      <c r="S29" s="13">
        <f t="shared" si="0"/>
        <v>0</v>
      </c>
      <c r="T29" s="13">
        <f t="shared" si="1"/>
        <v>0</v>
      </c>
      <c r="U29" s="13">
        <f t="shared" si="2"/>
        <v>0</v>
      </c>
      <c r="V29" s="13"/>
      <c r="W29" s="13">
        <f t="shared" si="12"/>
        <v>1572381</v>
      </c>
      <c r="Y29" s="13">
        <f t="shared" si="3"/>
        <v>246711.7010663762</v>
      </c>
      <c r="Z29" s="18">
        <f t="shared" si="13"/>
        <v>5</v>
      </c>
      <c r="AA29" s="18" t="str">
        <f t="shared" si="14"/>
        <v>Minneapolis</v>
      </c>
      <c r="AB29" s="18">
        <f t="shared" si="15"/>
        <v>7</v>
      </c>
      <c r="AC29" s="18">
        <f t="shared" si="21"/>
        <v>6</v>
      </c>
      <c r="AD29" s="18">
        <f t="shared" si="22"/>
        <v>4</v>
      </c>
      <c r="AE29" s="18">
        <f t="shared" si="23"/>
        <v>10</v>
      </c>
      <c r="AF29" s="18">
        <f t="shared" si="24"/>
        <v>12</v>
      </c>
      <c r="AG29" s="18">
        <f t="shared" si="25"/>
        <v>12</v>
      </c>
      <c r="AH29" s="18" t="str">
        <f t="shared" si="5"/>
        <v>Minneapolis</v>
      </c>
    </row>
    <row r="30" spans="1:34">
      <c r="A30" s="18" t="s">
        <v>46</v>
      </c>
      <c r="B30" s="13">
        <f>'2010-10'!R31</f>
        <v>84487.138953334492</v>
      </c>
      <c r="C30" s="13">
        <f>'2010-20'!$R31</f>
        <v>373577.80931835924</v>
      </c>
      <c r="D30" s="13">
        <f>'2010-30'!$R31</f>
        <v>652935</v>
      </c>
      <c r="E30" s="13">
        <f>'2010-40'!$R31</f>
        <v>652935</v>
      </c>
      <c r="F30" s="13">
        <f>'2010-50'!$R31</f>
        <v>652935</v>
      </c>
      <c r="G30" s="13">
        <f>'2010-60'!$R31</f>
        <v>652935</v>
      </c>
      <c r="H30" s="13">
        <f>'2010-70'!$R31</f>
        <v>652935</v>
      </c>
      <c r="I30" s="13">
        <f>'2010-80'!$R31</f>
        <v>652935</v>
      </c>
      <c r="J30" s="13">
        <f>'2010-90'!$R31</f>
        <v>652935</v>
      </c>
      <c r="M30" s="13">
        <f t="shared" si="6"/>
        <v>84487.138953334492</v>
      </c>
      <c r="N30" s="13">
        <f t="shared" si="7"/>
        <v>289090.67036502477</v>
      </c>
      <c r="O30" s="13">
        <f t="shared" si="8"/>
        <v>279357.19068164076</v>
      </c>
      <c r="P30" s="13">
        <f t="shared" si="9"/>
        <v>0</v>
      </c>
      <c r="Q30" s="13">
        <f t="shared" si="10"/>
        <v>0</v>
      </c>
      <c r="R30" s="13">
        <f t="shared" si="11"/>
        <v>0</v>
      </c>
      <c r="S30" s="13">
        <f t="shared" si="0"/>
        <v>0</v>
      </c>
      <c r="T30" s="13">
        <f t="shared" si="1"/>
        <v>0</v>
      </c>
      <c r="U30" s="13">
        <f t="shared" si="2"/>
        <v>0</v>
      </c>
      <c r="V30" s="13"/>
      <c r="W30" s="13">
        <f t="shared" si="12"/>
        <v>652935.00000000012</v>
      </c>
      <c r="Y30" s="13">
        <f t="shared" si="3"/>
        <v>121671.63093388735</v>
      </c>
      <c r="Z30" s="18">
        <f t="shared" si="13"/>
        <v>39</v>
      </c>
      <c r="AA30" s="18" t="str">
        <f t="shared" si="14"/>
        <v>Nashville</v>
      </c>
      <c r="AB30" s="18">
        <f t="shared" si="15"/>
        <v>35</v>
      </c>
      <c r="AC30" s="18">
        <f t="shared" si="21"/>
        <v>33</v>
      </c>
      <c r="AD30" s="18">
        <f t="shared" si="22"/>
        <v>34</v>
      </c>
      <c r="AE30" s="18">
        <f t="shared" si="23"/>
        <v>36</v>
      </c>
      <c r="AF30" s="18">
        <f t="shared" si="24"/>
        <v>36</v>
      </c>
      <c r="AG30" s="18">
        <f t="shared" si="25"/>
        <v>36</v>
      </c>
      <c r="AH30" s="18" t="str">
        <f t="shared" si="5"/>
        <v>Nashville</v>
      </c>
    </row>
    <row r="31" spans="1:34">
      <c r="A31" s="18" t="s">
        <v>47</v>
      </c>
      <c r="B31" s="13">
        <f>'2010-10'!R32</f>
        <v>146521.0037659615</v>
      </c>
      <c r="C31" s="13">
        <f>'2010-20'!$R32</f>
        <v>446087</v>
      </c>
      <c r="D31" s="13">
        <f>'2010-30'!$R32</f>
        <v>446087</v>
      </c>
      <c r="E31" s="13">
        <f>'2010-40'!$R32</f>
        <v>446087</v>
      </c>
      <c r="F31" s="13">
        <f>'2010-50'!$R32</f>
        <v>446087</v>
      </c>
      <c r="G31" s="13">
        <f>'2010-60'!$R32</f>
        <v>446087</v>
      </c>
      <c r="H31" s="13">
        <f>'2010-70'!$R32</f>
        <v>446087</v>
      </c>
      <c r="I31" s="13">
        <f>'2010-80'!$R32</f>
        <v>446087</v>
      </c>
      <c r="J31" s="13">
        <f>'2010-90'!$R32</f>
        <v>446087</v>
      </c>
      <c r="M31" s="13">
        <f t="shared" si="6"/>
        <v>146521.0037659615</v>
      </c>
      <c r="N31" s="13">
        <f t="shared" si="7"/>
        <v>299565.9962340385</v>
      </c>
      <c r="O31" s="13">
        <f t="shared" si="8"/>
        <v>0</v>
      </c>
      <c r="P31" s="13">
        <f t="shared" si="9"/>
        <v>0</v>
      </c>
      <c r="Q31" s="13">
        <f t="shared" si="10"/>
        <v>0</v>
      </c>
      <c r="R31" s="13">
        <f t="shared" si="11"/>
        <v>0</v>
      </c>
      <c r="S31" s="13">
        <f t="shared" si="0"/>
        <v>0</v>
      </c>
      <c r="T31" s="13">
        <f t="shared" si="1"/>
        <v>0</v>
      </c>
      <c r="U31" s="13">
        <f t="shared" si="2"/>
        <v>0</v>
      </c>
      <c r="V31" s="13"/>
      <c r="W31" s="13">
        <f t="shared" si="12"/>
        <v>446087</v>
      </c>
      <c r="Y31" s="13">
        <f t="shared" si="3"/>
        <v>126317.46239282741</v>
      </c>
      <c r="Z31" s="18">
        <f t="shared" si="13"/>
        <v>35</v>
      </c>
      <c r="AA31" s="18" t="str">
        <f t="shared" si="14"/>
        <v>New Orleans</v>
      </c>
      <c r="AB31" s="18">
        <f t="shared" si="15"/>
        <v>6</v>
      </c>
      <c r="AC31" s="18">
        <f t="shared" si="21"/>
        <v>19</v>
      </c>
      <c r="AD31" s="18">
        <f t="shared" si="22"/>
        <v>47</v>
      </c>
      <c r="AE31" s="18">
        <f t="shared" si="23"/>
        <v>47</v>
      </c>
      <c r="AF31" s="18">
        <f t="shared" si="24"/>
        <v>47</v>
      </c>
      <c r="AG31" s="18">
        <f t="shared" si="25"/>
        <v>47</v>
      </c>
      <c r="AH31" s="18" t="str">
        <f t="shared" si="5"/>
        <v>New Orleans</v>
      </c>
    </row>
    <row r="32" spans="1:34">
      <c r="A32" s="18" t="s">
        <v>64</v>
      </c>
      <c r="B32" s="13">
        <f>'2010-10'!R33</f>
        <v>150849.22922843814</v>
      </c>
      <c r="C32" s="13">
        <f>'2010-20'!$R33</f>
        <v>654932.23539608601</v>
      </c>
      <c r="D32" s="13">
        <f>'2010-30'!$R33</f>
        <v>1537458.2694166068</v>
      </c>
      <c r="E32" s="13">
        <f>'2010-40'!$R33</f>
        <v>2795654.7587670665</v>
      </c>
      <c r="F32" s="13">
        <f>'2010-50'!$R33</f>
        <v>4432204.4394198908</v>
      </c>
      <c r="G32" s="13">
        <f>'2010-60'!$R33</f>
        <v>6438456.1589408554</v>
      </c>
      <c r="H32" s="13">
        <f>'2010-70'!$R33</f>
        <v>7273295</v>
      </c>
      <c r="I32" s="13">
        <f>'2010-80'!$R33</f>
        <v>7273295</v>
      </c>
      <c r="J32" s="13">
        <f>'2010-90'!$R33</f>
        <v>7273295</v>
      </c>
      <c r="M32" s="13">
        <f t="shared" si="6"/>
        <v>150849.22922843814</v>
      </c>
      <c r="N32" s="13">
        <f t="shared" si="7"/>
        <v>504083.00616764789</v>
      </c>
      <c r="O32" s="13">
        <f t="shared" si="8"/>
        <v>882526.03402052075</v>
      </c>
      <c r="P32" s="13">
        <f t="shared" si="9"/>
        <v>1258196.4893504598</v>
      </c>
      <c r="Q32" s="13">
        <f t="shared" si="10"/>
        <v>1636549.6806528242</v>
      </c>
      <c r="R32" s="13">
        <f t="shared" si="11"/>
        <v>2006251.7195209647</v>
      </c>
      <c r="S32" s="13">
        <f t="shared" si="0"/>
        <v>834838.84105914459</v>
      </c>
      <c r="T32" s="13">
        <f t="shared" si="1"/>
        <v>0</v>
      </c>
      <c r="U32" s="13">
        <f t="shared" si="2"/>
        <v>0</v>
      </c>
      <c r="V32" s="13"/>
      <c r="W32" s="13">
        <f t="shared" si="12"/>
        <v>7273294.9999999991</v>
      </c>
      <c r="Y32" s="13">
        <f t="shared" si="3"/>
        <v>350473.86650944635</v>
      </c>
      <c r="Z32" s="18">
        <f t="shared" si="13"/>
        <v>3</v>
      </c>
      <c r="AA32" s="18" t="str">
        <f t="shared" si="14"/>
        <v>New York</v>
      </c>
      <c r="AB32" s="18">
        <f t="shared" si="15"/>
        <v>5</v>
      </c>
      <c r="AC32" s="18">
        <f t="shared" si="21"/>
        <v>5</v>
      </c>
      <c r="AD32" s="18">
        <f t="shared" si="22"/>
        <v>3</v>
      </c>
      <c r="AE32" s="18">
        <f t="shared" si="23"/>
        <v>2</v>
      </c>
      <c r="AF32" s="18">
        <f t="shared" si="24"/>
        <v>2</v>
      </c>
      <c r="AG32" s="18">
        <f t="shared" si="25"/>
        <v>1</v>
      </c>
      <c r="AH32" s="18" t="str">
        <f t="shared" si="5"/>
        <v>New York</v>
      </c>
    </row>
    <row r="33" spans="1:34">
      <c r="A33" s="18" t="s">
        <v>65</v>
      </c>
      <c r="B33" s="13">
        <f>'2010-10'!R34</f>
        <v>82314.264453750657</v>
      </c>
      <c r="C33" s="13">
        <f>'2010-20'!$R34</f>
        <v>344820.74432929925</v>
      </c>
      <c r="D33" s="13">
        <f>'2010-30'!$R34</f>
        <v>452754</v>
      </c>
      <c r="E33" s="13">
        <f>'2010-40'!$R34</f>
        <v>452754</v>
      </c>
      <c r="F33" s="13">
        <f>'2010-50'!$R34</f>
        <v>452754</v>
      </c>
      <c r="G33" s="13">
        <f>'2010-60'!$R34</f>
        <v>452754</v>
      </c>
      <c r="H33" s="13">
        <f>'2010-70'!$R34</f>
        <v>452754</v>
      </c>
      <c r="I33" s="13">
        <f>'2010-80'!$R34</f>
        <v>452754</v>
      </c>
      <c r="J33" s="13">
        <f>'2010-90'!$R34</f>
        <v>452754</v>
      </c>
      <c r="M33" s="13">
        <f t="shared" si="6"/>
        <v>82314.264453750657</v>
      </c>
      <c r="N33" s="13">
        <f t="shared" si="7"/>
        <v>262506.47987554863</v>
      </c>
      <c r="O33" s="13">
        <f t="shared" si="8"/>
        <v>107933.25567070075</v>
      </c>
      <c r="P33" s="13">
        <f t="shared" si="9"/>
        <v>0</v>
      </c>
      <c r="Q33" s="13">
        <f t="shared" si="10"/>
        <v>0</v>
      </c>
      <c r="R33" s="13">
        <f t="shared" si="11"/>
        <v>0</v>
      </c>
      <c r="S33" s="13">
        <f t="shared" si="0"/>
        <v>0</v>
      </c>
      <c r="T33" s="13">
        <f t="shared" si="1"/>
        <v>0</v>
      </c>
      <c r="U33" s="13">
        <f t="shared" si="2"/>
        <v>0</v>
      </c>
      <c r="V33" s="13"/>
      <c r="W33" s="13">
        <f t="shared" si="12"/>
        <v>452754</v>
      </c>
      <c r="Y33" s="13">
        <f t="shared" si="3"/>
        <v>99776.811463291</v>
      </c>
      <c r="Z33" s="18">
        <f t="shared" si="13"/>
        <v>48</v>
      </c>
      <c r="AA33" s="18" t="str">
        <f t="shared" si="14"/>
        <v>Oklahoma City</v>
      </c>
      <c r="AB33" s="18">
        <f t="shared" si="15"/>
        <v>37</v>
      </c>
      <c r="AC33" s="18">
        <f t="shared" si="21"/>
        <v>37</v>
      </c>
      <c r="AD33" s="18">
        <f t="shared" si="22"/>
        <v>46</v>
      </c>
      <c r="AE33" s="18">
        <f t="shared" si="23"/>
        <v>46</v>
      </c>
      <c r="AF33" s="18">
        <f t="shared" si="24"/>
        <v>46</v>
      </c>
      <c r="AG33" s="18">
        <f t="shared" si="25"/>
        <v>46</v>
      </c>
      <c r="AH33" s="18" t="str">
        <f t="shared" si="5"/>
        <v>Oklahoma City</v>
      </c>
    </row>
    <row r="34" spans="1:34">
      <c r="A34" s="18" t="s">
        <v>48</v>
      </c>
      <c r="B34" s="13">
        <f>'2010-10'!R35</f>
        <v>98773.851712398857</v>
      </c>
      <c r="C34" s="13">
        <f>'2010-20'!$R35</f>
        <v>418125.9880553757</v>
      </c>
      <c r="D34" s="13">
        <f>'2010-30'!$R35</f>
        <v>855864</v>
      </c>
      <c r="E34" s="13">
        <f>'2010-40'!$R35</f>
        <v>855864</v>
      </c>
      <c r="F34" s="13">
        <f>'2010-50'!$R35</f>
        <v>855864</v>
      </c>
      <c r="G34" s="13">
        <f>'2010-60'!$R35</f>
        <v>855864</v>
      </c>
      <c r="H34" s="13">
        <f>'2010-70'!$R35</f>
        <v>855864</v>
      </c>
      <c r="I34" s="13">
        <f>'2010-80'!$R35</f>
        <v>855864</v>
      </c>
      <c r="J34" s="13">
        <f>'2010-90'!$R35</f>
        <v>855864</v>
      </c>
      <c r="M34" s="13">
        <f t="shared" si="6"/>
        <v>98773.851712398857</v>
      </c>
      <c r="N34" s="13">
        <f t="shared" si="7"/>
        <v>319352.13634297682</v>
      </c>
      <c r="O34" s="13">
        <f t="shared" si="8"/>
        <v>437738.0119446243</v>
      </c>
      <c r="P34" s="13">
        <f t="shared" si="9"/>
        <v>0</v>
      </c>
      <c r="Q34" s="13">
        <f t="shared" si="10"/>
        <v>0</v>
      </c>
      <c r="R34" s="13">
        <f t="shared" si="11"/>
        <v>0</v>
      </c>
      <c r="S34" s="13">
        <f t="shared" si="0"/>
        <v>0</v>
      </c>
      <c r="T34" s="13">
        <f t="shared" si="1"/>
        <v>0</v>
      </c>
      <c r="U34" s="13">
        <f t="shared" si="2"/>
        <v>0</v>
      </c>
      <c r="V34" s="13"/>
      <c r="W34" s="13">
        <f t="shared" si="12"/>
        <v>855863.99999999988</v>
      </c>
      <c r="Y34" s="13">
        <f t="shared" ref="Y34:Y52" si="26">M34*EXP(Beta*10)+N34*EXP(Beta*20)+O34*EXP(Beta*30)+P34*EXP(Beta*40)+Q34*EXP(Beta*50)+R34*EXP(Beta*60)+S34*EXP(Beta*70)+T34*EXP(Beta*80)+U34*EXP(Beta*90)</f>
        <v>148568.7333341944</v>
      </c>
      <c r="Z34" s="18">
        <f t="shared" si="13"/>
        <v>24</v>
      </c>
      <c r="AA34" s="18" t="str">
        <f t="shared" si="14"/>
        <v>Orlando</v>
      </c>
      <c r="AB34" s="18">
        <f t="shared" si="15"/>
        <v>26</v>
      </c>
      <c r="AC34" s="18">
        <f t="shared" si="21"/>
        <v>24</v>
      </c>
      <c r="AD34" s="18">
        <f t="shared" si="22"/>
        <v>21</v>
      </c>
      <c r="AE34" s="18">
        <f t="shared" si="23"/>
        <v>29</v>
      </c>
      <c r="AF34" s="18">
        <f t="shared" si="24"/>
        <v>29</v>
      </c>
      <c r="AG34" s="18">
        <f t="shared" si="25"/>
        <v>29</v>
      </c>
      <c r="AH34" s="18" t="str">
        <f t="shared" si="5"/>
        <v>Orlando</v>
      </c>
    </row>
    <row r="35" spans="1:34">
      <c r="A35" s="18" t="s">
        <v>66</v>
      </c>
      <c r="B35" s="13">
        <f>'2010-10'!R36</f>
        <v>81951.000854739366</v>
      </c>
      <c r="C35" s="13">
        <f>'2010-20'!$R36</f>
        <v>366181.14658488357</v>
      </c>
      <c r="D35" s="13">
        <f>'2010-30'!$R36</f>
        <v>851638.04148297582</v>
      </c>
      <c r="E35" s="13">
        <f>'2010-40'!$R36</f>
        <v>1554465.5251636715</v>
      </c>
      <c r="F35" s="13">
        <f>'2010-50'!$R36</f>
        <v>2421591</v>
      </c>
      <c r="G35" s="13">
        <f>'2010-60'!$R36</f>
        <v>2421591</v>
      </c>
      <c r="H35" s="13">
        <f>'2010-70'!$R36</f>
        <v>2421591</v>
      </c>
      <c r="I35" s="13">
        <f>'2010-80'!$R36</f>
        <v>2421591</v>
      </c>
      <c r="J35" s="13">
        <f>'2010-90'!$R36</f>
        <v>2421591</v>
      </c>
      <c r="M35" s="13">
        <f t="shared" si="6"/>
        <v>81951.000854739366</v>
      </c>
      <c r="N35" s="13">
        <f t="shared" si="7"/>
        <v>284230.14573014423</v>
      </c>
      <c r="O35" s="13">
        <f t="shared" si="8"/>
        <v>485456.89489809226</v>
      </c>
      <c r="P35" s="13">
        <f t="shared" si="9"/>
        <v>702827.48368069564</v>
      </c>
      <c r="Q35" s="13">
        <f t="shared" si="10"/>
        <v>867125.47483632853</v>
      </c>
      <c r="R35" s="13">
        <f t="shared" si="11"/>
        <v>0</v>
      </c>
      <c r="S35" s="13">
        <f t="shared" si="0"/>
        <v>0</v>
      </c>
      <c r="T35" s="13">
        <f t="shared" si="1"/>
        <v>0</v>
      </c>
      <c r="U35" s="13">
        <f t="shared" si="2"/>
        <v>0</v>
      </c>
      <c r="V35" s="13"/>
      <c r="W35" s="13">
        <f t="shared" si="12"/>
        <v>2421591.0000000005</v>
      </c>
      <c r="Y35" s="13">
        <f t="shared" si="26"/>
        <v>182778.44528956627</v>
      </c>
      <c r="Z35" s="18">
        <f t="shared" si="13"/>
        <v>14</v>
      </c>
      <c r="AA35" s="18" t="str">
        <f t="shared" si="14"/>
        <v>Philadelphia</v>
      </c>
      <c r="AB35" s="18">
        <f t="shared" si="15"/>
        <v>38</v>
      </c>
      <c r="AC35" s="18">
        <f t="shared" si="21"/>
        <v>34</v>
      </c>
      <c r="AD35" s="18">
        <f t="shared" si="22"/>
        <v>22</v>
      </c>
      <c r="AE35" s="18">
        <f t="shared" si="23"/>
        <v>11</v>
      </c>
      <c r="AF35" s="18">
        <f t="shared" si="24"/>
        <v>6</v>
      </c>
      <c r="AG35" s="18">
        <f t="shared" si="25"/>
        <v>6</v>
      </c>
      <c r="AH35" s="18" t="str">
        <f t="shared" si="5"/>
        <v>Philadelphia</v>
      </c>
    </row>
    <row r="36" spans="1:34">
      <c r="A36" s="18" t="s">
        <v>49</v>
      </c>
      <c r="B36" s="13">
        <f>'2010-10'!R37</f>
        <v>101446.25434415594</v>
      </c>
      <c r="C36" s="13">
        <f>'2010-20'!$R37</f>
        <v>412770.37485737307</v>
      </c>
      <c r="D36" s="13">
        <f>'2010-30'!$R37</f>
        <v>968631.03039960819</v>
      </c>
      <c r="E36" s="13">
        <f>'2010-40'!$R37</f>
        <v>1453359</v>
      </c>
      <c r="F36" s="13">
        <f>'2010-50'!$R37</f>
        <v>1453359</v>
      </c>
      <c r="G36" s="13">
        <f>'2010-60'!$R37</f>
        <v>1453359</v>
      </c>
      <c r="H36" s="13">
        <f>'2010-70'!$R37</f>
        <v>1453359</v>
      </c>
      <c r="I36" s="13">
        <f>'2010-80'!$R37</f>
        <v>1453359</v>
      </c>
      <c r="J36" s="13">
        <f>'2010-90'!$R37</f>
        <v>1453359</v>
      </c>
      <c r="M36" s="13">
        <f t="shared" si="6"/>
        <v>101446.25434415594</v>
      </c>
      <c r="N36" s="13">
        <f t="shared" si="7"/>
        <v>311324.12051321712</v>
      </c>
      <c r="O36" s="13">
        <f t="shared" si="8"/>
        <v>555860.65554223512</v>
      </c>
      <c r="P36" s="13">
        <f t="shared" si="9"/>
        <v>484727.96960039181</v>
      </c>
      <c r="Q36" s="13">
        <f t="shared" si="10"/>
        <v>0</v>
      </c>
      <c r="R36" s="13">
        <f t="shared" si="11"/>
        <v>0</v>
      </c>
      <c r="S36" s="13">
        <f t="shared" si="0"/>
        <v>0</v>
      </c>
      <c r="T36" s="13">
        <f t="shared" si="1"/>
        <v>0</v>
      </c>
      <c r="U36" s="13">
        <f t="shared" si="2"/>
        <v>0</v>
      </c>
      <c r="V36" s="13"/>
      <c r="W36" s="13">
        <f t="shared" si="12"/>
        <v>1453359</v>
      </c>
      <c r="Y36" s="13">
        <f t="shared" si="26"/>
        <v>178623.11763317196</v>
      </c>
      <c r="Z36" s="18">
        <f t="shared" si="13"/>
        <v>15</v>
      </c>
      <c r="AA36" s="18" t="str">
        <f t="shared" si="14"/>
        <v>Phoenix</v>
      </c>
      <c r="AB36" s="18">
        <f t="shared" si="15"/>
        <v>22</v>
      </c>
      <c r="AC36" s="18">
        <f t="shared" si="21"/>
        <v>26</v>
      </c>
      <c r="AD36" s="18">
        <f t="shared" si="22"/>
        <v>13</v>
      </c>
      <c r="AE36" s="18">
        <f t="shared" si="23"/>
        <v>13</v>
      </c>
      <c r="AF36" s="18">
        <f t="shared" si="24"/>
        <v>14</v>
      </c>
      <c r="AG36" s="18">
        <f t="shared" si="25"/>
        <v>14</v>
      </c>
      <c r="AH36" s="18" t="str">
        <f t="shared" si="5"/>
        <v>Phoenix</v>
      </c>
    </row>
    <row r="37" spans="1:34">
      <c r="A37" s="18" t="s">
        <v>50</v>
      </c>
      <c r="B37" s="13">
        <f>'2010-10'!R38</f>
        <v>68890.85308394146</v>
      </c>
      <c r="C37" s="13">
        <f>'2010-20'!$R38</f>
        <v>305791.79946350958</v>
      </c>
      <c r="D37" s="13">
        <f>'2010-30'!$R38</f>
        <v>725251.15057568438</v>
      </c>
      <c r="E37" s="13">
        <f>'2010-40'!$R38</f>
        <v>1030938</v>
      </c>
      <c r="F37" s="13">
        <f>'2010-50'!$R38</f>
        <v>1030938</v>
      </c>
      <c r="G37" s="13">
        <f>'2010-60'!$R38</f>
        <v>1030938</v>
      </c>
      <c r="H37" s="13">
        <f>'2010-70'!$R38</f>
        <v>1030938</v>
      </c>
      <c r="I37" s="13">
        <f>'2010-80'!$R38</f>
        <v>1030938</v>
      </c>
      <c r="J37" s="13">
        <f>'2010-90'!$R38</f>
        <v>1030938</v>
      </c>
      <c r="M37" s="13">
        <f t="shared" si="6"/>
        <v>68890.85308394146</v>
      </c>
      <c r="N37" s="13">
        <f t="shared" si="7"/>
        <v>236900.94637956814</v>
      </c>
      <c r="O37" s="13">
        <f t="shared" si="8"/>
        <v>419459.3511121748</v>
      </c>
      <c r="P37" s="13">
        <f t="shared" si="9"/>
        <v>305686.84942431562</v>
      </c>
      <c r="Q37" s="13">
        <f t="shared" si="10"/>
        <v>0</v>
      </c>
      <c r="R37" s="13">
        <f t="shared" si="11"/>
        <v>0</v>
      </c>
      <c r="S37" s="13">
        <f t="shared" si="0"/>
        <v>0</v>
      </c>
      <c r="T37" s="13">
        <f t="shared" si="1"/>
        <v>0</v>
      </c>
      <c r="U37" s="13">
        <f t="shared" si="2"/>
        <v>0</v>
      </c>
      <c r="V37" s="13"/>
      <c r="W37" s="13">
        <f t="shared" si="12"/>
        <v>1030938.0000000001</v>
      </c>
      <c r="Y37" s="13">
        <f t="shared" si="26"/>
        <v>129297.0953677721</v>
      </c>
      <c r="Z37" s="18">
        <f t="shared" si="13"/>
        <v>34</v>
      </c>
      <c r="AA37" s="18" t="str">
        <f t="shared" si="14"/>
        <v>Pittsburgh</v>
      </c>
      <c r="AB37" s="18">
        <f t="shared" si="15"/>
        <v>49</v>
      </c>
      <c r="AC37" s="18">
        <f t="shared" si="21"/>
        <v>49</v>
      </c>
      <c r="AD37" s="18">
        <f t="shared" si="22"/>
        <v>31</v>
      </c>
      <c r="AE37" s="18">
        <f t="shared" si="23"/>
        <v>20</v>
      </c>
      <c r="AF37" s="18">
        <f t="shared" si="24"/>
        <v>20</v>
      </c>
      <c r="AG37" s="18">
        <f t="shared" si="25"/>
        <v>20</v>
      </c>
      <c r="AH37" s="18" t="str">
        <f t="shared" si="5"/>
        <v>Pittsburgh</v>
      </c>
    </row>
    <row r="38" spans="1:34">
      <c r="A38" s="18" t="s">
        <v>51</v>
      </c>
      <c r="B38" s="13">
        <f>'2010-10'!R39</f>
        <v>81313.059510253588</v>
      </c>
      <c r="C38" s="13">
        <f>'2010-20'!$R39</f>
        <v>342382.31534286618</v>
      </c>
      <c r="D38" s="13">
        <f>'2010-30'!$R39</f>
        <v>789545.41226483369</v>
      </c>
      <c r="E38" s="13">
        <f>'2010-40'!$R39</f>
        <v>870794</v>
      </c>
      <c r="F38" s="13">
        <f>'2010-50'!$R39</f>
        <v>870794</v>
      </c>
      <c r="G38" s="13">
        <f>'2010-60'!$R39</f>
        <v>870794</v>
      </c>
      <c r="H38" s="13">
        <f>'2010-70'!$R39</f>
        <v>870794</v>
      </c>
      <c r="I38" s="13">
        <f>'2010-80'!$R39</f>
        <v>870794</v>
      </c>
      <c r="J38" s="13">
        <f>'2010-90'!$R39</f>
        <v>870794</v>
      </c>
      <c r="M38" s="13">
        <f t="shared" si="6"/>
        <v>81313.059510253588</v>
      </c>
      <c r="N38" s="13">
        <f t="shared" si="7"/>
        <v>261069.25583261257</v>
      </c>
      <c r="O38" s="13">
        <f t="shared" si="8"/>
        <v>447163.09692196752</v>
      </c>
      <c r="P38" s="13">
        <f t="shared" si="9"/>
        <v>81248.587735166308</v>
      </c>
      <c r="Q38" s="13">
        <f t="shared" si="10"/>
        <v>0</v>
      </c>
      <c r="R38" s="13">
        <f t="shared" si="11"/>
        <v>0</v>
      </c>
      <c r="S38" s="13">
        <f t="shared" si="0"/>
        <v>0</v>
      </c>
      <c r="T38" s="13">
        <f t="shared" si="1"/>
        <v>0</v>
      </c>
      <c r="U38" s="13">
        <f t="shared" si="2"/>
        <v>0</v>
      </c>
      <c r="V38" s="13"/>
      <c r="W38" s="13">
        <f t="shared" si="12"/>
        <v>870794</v>
      </c>
      <c r="Y38" s="13">
        <f t="shared" si="26"/>
        <v>133122.87895253571</v>
      </c>
      <c r="Z38" s="18">
        <f t="shared" si="13"/>
        <v>31</v>
      </c>
      <c r="AA38" s="18" t="str">
        <f t="shared" si="14"/>
        <v>Portland</v>
      </c>
      <c r="AB38" s="18">
        <f t="shared" si="15"/>
        <v>39</v>
      </c>
      <c r="AC38" s="18">
        <f t="shared" si="21"/>
        <v>40</v>
      </c>
      <c r="AD38" s="18">
        <f t="shared" si="22"/>
        <v>24</v>
      </c>
      <c r="AE38" s="18">
        <f t="shared" si="23"/>
        <v>25</v>
      </c>
      <c r="AF38" s="18">
        <f t="shared" si="24"/>
        <v>25</v>
      </c>
      <c r="AG38" s="18">
        <f t="shared" si="25"/>
        <v>25</v>
      </c>
      <c r="AH38" s="18" t="str">
        <f t="shared" si="5"/>
        <v>Portland</v>
      </c>
    </row>
    <row r="39" spans="1:34">
      <c r="A39" s="18" t="s">
        <v>52</v>
      </c>
      <c r="B39" s="13">
        <f>'2010-10'!R40</f>
        <v>76318.44924304809</v>
      </c>
      <c r="C39" s="13">
        <f>'2010-20'!$R40</f>
        <v>335624.01236288453</v>
      </c>
      <c r="D39" s="13">
        <f>'2010-30'!$R40</f>
        <v>590501</v>
      </c>
      <c r="E39" s="13">
        <f>'2010-40'!$R40</f>
        <v>590501</v>
      </c>
      <c r="F39" s="13">
        <f>'2010-50'!$R40</f>
        <v>590501</v>
      </c>
      <c r="G39" s="13">
        <f>'2010-60'!$R40</f>
        <v>590501</v>
      </c>
      <c r="H39" s="13">
        <f>'2010-70'!$R40</f>
        <v>590501</v>
      </c>
      <c r="I39" s="13">
        <f>'2010-80'!$R40</f>
        <v>590501</v>
      </c>
      <c r="J39" s="13">
        <f>'2010-90'!$R40</f>
        <v>590501</v>
      </c>
      <c r="M39" s="13">
        <f t="shared" si="6"/>
        <v>76318.44924304809</v>
      </c>
      <c r="N39" s="13">
        <f t="shared" si="7"/>
        <v>259305.56311983644</v>
      </c>
      <c r="O39" s="13">
        <f t="shared" si="8"/>
        <v>254876.98763711547</v>
      </c>
      <c r="P39" s="13">
        <f t="shared" si="9"/>
        <v>0</v>
      </c>
      <c r="Q39" s="13">
        <f t="shared" si="10"/>
        <v>0</v>
      </c>
      <c r="R39" s="13">
        <f t="shared" si="11"/>
        <v>0</v>
      </c>
      <c r="S39" s="13">
        <f t="shared" si="0"/>
        <v>0</v>
      </c>
      <c r="T39" s="13">
        <f t="shared" si="1"/>
        <v>0</v>
      </c>
      <c r="U39" s="13">
        <f t="shared" si="2"/>
        <v>0</v>
      </c>
      <c r="V39" s="13"/>
      <c r="W39" s="13">
        <f t="shared" si="12"/>
        <v>590501</v>
      </c>
      <c r="Y39" s="13">
        <f t="shared" si="26"/>
        <v>109766.89869095988</v>
      </c>
      <c r="Z39" s="18">
        <f t="shared" si="13"/>
        <v>44</v>
      </c>
      <c r="AA39" s="18" t="str">
        <f t="shared" si="14"/>
        <v>Providence</v>
      </c>
      <c r="AB39" s="18">
        <f t="shared" si="15"/>
        <v>45</v>
      </c>
      <c r="AC39" s="18">
        <f t="shared" si="21"/>
        <v>43</v>
      </c>
      <c r="AD39" s="18">
        <f t="shared" si="22"/>
        <v>40</v>
      </c>
      <c r="AE39" s="18">
        <f t="shared" si="23"/>
        <v>40</v>
      </c>
      <c r="AF39" s="18">
        <f t="shared" si="24"/>
        <v>40</v>
      </c>
      <c r="AG39" s="18">
        <f t="shared" si="25"/>
        <v>40</v>
      </c>
      <c r="AH39" s="18" t="str">
        <f t="shared" si="5"/>
        <v>Providence</v>
      </c>
    </row>
    <row r="40" spans="1:34">
      <c r="A40" s="18" t="s">
        <v>53</v>
      </c>
      <c r="B40" s="13">
        <f>'2010-10'!R41</f>
        <v>72549.958277232217</v>
      </c>
      <c r="C40" s="13">
        <f>'2010-20'!$R41</f>
        <v>325464.49812585657</v>
      </c>
      <c r="D40" s="13">
        <f>'2010-30'!$R41</f>
        <v>410617</v>
      </c>
      <c r="E40" s="13">
        <f>'2010-40'!$R41</f>
        <v>410617</v>
      </c>
      <c r="F40" s="13">
        <f>'2010-50'!$R41</f>
        <v>410617</v>
      </c>
      <c r="G40" s="13">
        <f>'2010-60'!$R41</f>
        <v>410617</v>
      </c>
      <c r="H40" s="13">
        <f>'2010-70'!$R41</f>
        <v>410617</v>
      </c>
      <c r="I40" s="13">
        <f>'2010-80'!$R41</f>
        <v>410617</v>
      </c>
      <c r="J40" s="13">
        <f>'2010-90'!$R41</f>
        <v>410617</v>
      </c>
      <c r="M40" s="13">
        <f t="shared" si="6"/>
        <v>72549.958277232217</v>
      </c>
      <c r="N40" s="13">
        <f t="shared" si="7"/>
        <v>252914.53984862435</v>
      </c>
      <c r="O40" s="13">
        <f t="shared" si="8"/>
        <v>85152.501874143432</v>
      </c>
      <c r="P40" s="13">
        <f t="shared" si="9"/>
        <v>0</v>
      </c>
      <c r="Q40" s="13">
        <f t="shared" si="10"/>
        <v>0</v>
      </c>
      <c r="R40" s="13">
        <f t="shared" si="11"/>
        <v>0</v>
      </c>
      <c r="S40" s="13">
        <f t="shared" si="0"/>
        <v>0</v>
      </c>
      <c r="T40" s="13">
        <f t="shared" si="1"/>
        <v>0</v>
      </c>
      <c r="U40" s="13">
        <f t="shared" si="2"/>
        <v>0</v>
      </c>
      <c r="V40" s="13"/>
      <c r="W40" s="13">
        <f t="shared" si="12"/>
        <v>410617</v>
      </c>
      <c r="Y40" s="13">
        <f t="shared" si="26"/>
        <v>91386.223232609322</v>
      </c>
      <c r="Z40" s="18">
        <f t="shared" si="13"/>
        <v>50</v>
      </c>
      <c r="AA40" s="18" t="str">
        <f t="shared" si="14"/>
        <v>Raleigh</v>
      </c>
      <c r="AB40" s="18">
        <f t="shared" si="15"/>
        <v>48</v>
      </c>
      <c r="AC40" s="18">
        <f t="shared" si="21"/>
        <v>45</v>
      </c>
      <c r="AD40" s="18">
        <f t="shared" si="22"/>
        <v>49</v>
      </c>
      <c r="AE40" s="18">
        <f t="shared" si="23"/>
        <v>49</v>
      </c>
      <c r="AF40" s="18">
        <f t="shared" si="24"/>
        <v>49</v>
      </c>
      <c r="AG40" s="18">
        <f t="shared" si="25"/>
        <v>49</v>
      </c>
      <c r="AH40" s="18" t="str">
        <f t="shared" si="5"/>
        <v>Raleigh</v>
      </c>
    </row>
    <row r="41" spans="1:34">
      <c r="A41" s="18" t="s">
        <v>81</v>
      </c>
      <c r="B41" s="13">
        <f>'2010-10'!R42</f>
        <v>103745.16463286408</v>
      </c>
      <c r="C41" s="13">
        <f>'2010-20'!$R42</f>
        <v>415085</v>
      </c>
      <c r="D41" s="13">
        <f>'2010-30'!$R42</f>
        <v>415085</v>
      </c>
      <c r="E41" s="13">
        <f>'2010-40'!$R42</f>
        <v>415085</v>
      </c>
      <c r="F41" s="13">
        <f>'2010-50'!$R42</f>
        <v>415085</v>
      </c>
      <c r="G41" s="13">
        <f>'2010-60'!$R42</f>
        <v>415085</v>
      </c>
      <c r="H41" s="13">
        <f>'2010-70'!$R42</f>
        <v>415085</v>
      </c>
      <c r="I41" s="13">
        <f>'2010-80'!$R42</f>
        <v>415085</v>
      </c>
      <c r="J41" s="13">
        <f>'2010-90'!$R42</f>
        <v>415085</v>
      </c>
      <c r="M41" s="13">
        <f t="shared" si="6"/>
        <v>103745.16463286408</v>
      </c>
      <c r="N41" s="13">
        <f t="shared" si="7"/>
        <v>311339.83536713594</v>
      </c>
      <c r="O41" s="13">
        <f t="shared" si="8"/>
        <v>0</v>
      </c>
      <c r="P41" s="13">
        <f t="shared" si="9"/>
        <v>0</v>
      </c>
      <c r="Q41" s="13">
        <f t="shared" si="10"/>
        <v>0</v>
      </c>
      <c r="R41" s="13">
        <f t="shared" si="11"/>
        <v>0</v>
      </c>
      <c r="S41" s="13">
        <f t="shared" si="0"/>
        <v>0</v>
      </c>
      <c r="T41" s="13">
        <f t="shared" si="1"/>
        <v>0</v>
      </c>
      <c r="U41" s="13">
        <f t="shared" si="2"/>
        <v>0</v>
      </c>
      <c r="V41" s="13"/>
      <c r="W41" s="13">
        <f t="shared" si="12"/>
        <v>415085</v>
      </c>
      <c r="Y41" s="13">
        <f t="shared" si="26"/>
        <v>109474.13603030943</v>
      </c>
      <c r="Z41" s="18">
        <f t="shared" si="13"/>
        <v>45</v>
      </c>
      <c r="AA41" s="18" t="str">
        <f t="shared" si="14"/>
        <v>Rochester</v>
      </c>
      <c r="AB41" s="18">
        <f t="shared" si="15"/>
        <v>21</v>
      </c>
      <c r="AC41" s="18">
        <f t="shared" si="21"/>
        <v>25</v>
      </c>
      <c r="AD41" s="18">
        <f t="shared" si="22"/>
        <v>48</v>
      </c>
      <c r="AE41" s="18">
        <f t="shared" si="23"/>
        <v>48</v>
      </c>
      <c r="AF41" s="18">
        <f t="shared" si="24"/>
        <v>48</v>
      </c>
      <c r="AG41" s="18">
        <f t="shared" si="25"/>
        <v>48</v>
      </c>
      <c r="AH41" s="18" t="str">
        <f t="shared" si="5"/>
        <v>Rochester</v>
      </c>
    </row>
    <row r="42" spans="1:34">
      <c r="A42" s="18" t="s">
        <v>54</v>
      </c>
      <c r="B42" s="13">
        <f>'2010-10'!R43</f>
        <v>105441.47642108904</v>
      </c>
      <c r="C42" s="13">
        <f>'2010-20'!$R43</f>
        <v>441574.39415498247</v>
      </c>
      <c r="D42" s="13">
        <f>'2010-30'!$R43</f>
        <v>621068</v>
      </c>
      <c r="E42" s="13">
        <f>'2010-40'!$R43</f>
        <v>621068</v>
      </c>
      <c r="F42" s="13">
        <f>'2010-50'!$R43</f>
        <v>621068</v>
      </c>
      <c r="G42" s="13">
        <f>'2010-60'!$R43</f>
        <v>621068</v>
      </c>
      <c r="H42" s="13">
        <f>'2010-70'!$R43</f>
        <v>621068</v>
      </c>
      <c r="I42" s="13">
        <f>'2010-80'!$R43</f>
        <v>621068</v>
      </c>
      <c r="J42" s="13">
        <f>'2010-90'!$R43</f>
        <v>621068</v>
      </c>
      <c r="M42" s="13">
        <f t="shared" si="6"/>
        <v>105441.47642108904</v>
      </c>
      <c r="N42" s="13">
        <f t="shared" si="7"/>
        <v>336132.91773389344</v>
      </c>
      <c r="O42" s="13">
        <f t="shared" si="8"/>
        <v>179493.60584501753</v>
      </c>
      <c r="P42" s="13">
        <f t="shared" si="9"/>
        <v>0</v>
      </c>
      <c r="Q42" s="13">
        <f t="shared" si="10"/>
        <v>0</v>
      </c>
      <c r="R42" s="13">
        <f t="shared" si="11"/>
        <v>0</v>
      </c>
      <c r="S42" s="13">
        <f t="shared" si="0"/>
        <v>0</v>
      </c>
      <c r="T42" s="13">
        <f t="shared" si="1"/>
        <v>0</v>
      </c>
      <c r="U42" s="13">
        <f t="shared" si="2"/>
        <v>0</v>
      </c>
      <c r="V42" s="13"/>
      <c r="W42" s="13">
        <f t="shared" si="12"/>
        <v>621068</v>
      </c>
      <c r="Y42" s="13">
        <f t="shared" si="26"/>
        <v>131525.26759993195</v>
      </c>
      <c r="Z42" s="18">
        <f t="shared" si="13"/>
        <v>32</v>
      </c>
      <c r="AA42" s="18" t="str">
        <f t="shared" si="14"/>
        <v>Sacramento</v>
      </c>
      <c r="AB42" s="18">
        <f t="shared" si="15"/>
        <v>19</v>
      </c>
      <c r="AC42" s="18">
        <f t="shared" si="21"/>
        <v>20</v>
      </c>
      <c r="AD42" s="18">
        <f t="shared" si="22"/>
        <v>38</v>
      </c>
      <c r="AE42" s="18">
        <f t="shared" si="23"/>
        <v>38</v>
      </c>
      <c r="AF42" s="18">
        <f t="shared" si="24"/>
        <v>38</v>
      </c>
      <c r="AG42" s="18">
        <f t="shared" si="25"/>
        <v>38</v>
      </c>
      <c r="AH42" s="18" t="str">
        <f t="shared" si="5"/>
        <v>Sacramento</v>
      </c>
    </row>
    <row r="43" spans="1:34">
      <c r="A43" s="18" t="s">
        <v>55</v>
      </c>
      <c r="B43" s="13">
        <f>'2010-10'!R44</f>
        <v>136059.7416482447</v>
      </c>
      <c r="C43" s="13">
        <f>'2010-20'!$R44</f>
        <v>526157</v>
      </c>
      <c r="D43" s="13">
        <f>'2010-30'!$R44</f>
        <v>526157</v>
      </c>
      <c r="E43" s="13">
        <f>'2010-40'!$R44</f>
        <v>526157</v>
      </c>
      <c r="F43" s="13">
        <f>'2010-50'!$R44</f>
        <v>526157</v>
      </c>
      <c r="G43" s="13">
        <f>'2010-60'!$R44</f>
        <v>526157</v>
      </c>
      <c r="H43" s="13">
        <f>'2010-70'!$R44</f>
        <v>526157</v>
      </c>
      <c r="I43" s="13">
        <f>'2010-80'!$R44</f>
        <v>526157</v>
      </c>
      <c r="J43" s="13">
        <f>'2010-90'!$R44</f>
        <v>526157</v>
      </c>
      <c r="M43" s="13">
        <f t="shared" si="6"/>
        <v>136059.7416482447</v>
      </c>
      <c r="N43" s="13">
        <f t="shared" si="7"/>
        <v>390097.25835175533</v>
      </c>
      <c r="O43" s="13">
        <f t="shared" si="8"/>
        <v>0</v>
      </c>
      <c r="P43" s="13">
        <f t="shared" si="9"/>
        <v>0</v>
      </c>
      <c r="Q43" s="13">
        <f t="shared" si="10"/>
        <v>0</v>
      </c>
      <c r="R43" s="13">
        <f t="shared" si="11"/>
        <v>0</v>
      </c>
      <c r="S43" s="13">
        <f t="shared" si="0"/>
        <v>0</v>
      </c>
      <c r="T43" s="13">
        <f t="shared" si="1"/>
        <v>0</v>
      </c>
      <c r="U43" s="13">
        <f t="shared" si="2"/>
        <v>0</v>
      </c>
      <c r="V43" s="13"/>
      <c r="W43" s="13">
        <f t="shared" si="12"/>
        <v>526157</v>
      </c>
      <c r="Y43" s="13">
        <f t="shared" si="26"/>
        <v>139894.86091334349</v>
      </c>
      <c r="Z43" s="18">
        <f t="shared" si="13"/>
        <v>27</v>
      </c>
      <c r="AA43" s="18" t="str">
        <f t="shared" si="14"/>
        <v>Salt Lake City</v>
      </c>
      <c r="AB43" s="18">
        <f t="shared" si="15"/>
        <v>8</v>
      </c>
      <c r="AC43" s="18">
        <f t="shared" si="21"/>
        <v>11</v>
      </c>
      <c r="AD43" s="18">
        <f t="shared" si="22"/>
        <v>42</v>
      </c>
      <c r="AE43" s="18">
        <f t="shared" si="23"/>
        <v>42</v>
      </c>
      <c r="AF43" s="18">
        <f t="shared" si="24"/>
        <v>42</v>
      </c>
      <c r="AG43" s="18">
        <f t="shared" si="25"/>
        <v>42</v>
      </c>
      <c r="AH43" s="18" t="str">
        <f t="shared" si="5"/>
        <v>Salt Lake City</v>
      </c>
    </row>
    <row r="44" spans="1:34">
      <c r="A44" s="18" t="s">
        <v>67</v>
      </c>
      <c r="B44" s="13">
        <f>'2010-10'!R45</f>
        <v>97780.030761198985</v>
      </c>
      <c r="C44" s="13">
        <f>'2010-20'!$R45</f>
        <v>425275.02940176829</v>
      </c>
      <c r="D44" s="13">
        <f>'2010-30'!$R45</f>
        <v>718175</v>
      </c>
      <c r="E44" s="13">
        <f>'2010-40'!$R45</f>
        <v>718175</v>
      </c>
      <c r="F44" s="13">
        <f>'2010-50'!$R45</f>
        <v>718175</v>
      </c>
      <c r="G44" s="13">
        <f>'2010-60'!$R45</f>
        <v>718175</v>
      </c>
      <c r="H44" s="13">
        <f>'2010-70'!$R45</f>
        <v>718175</v>
      </c>
      <c r="I44" s="13">
        <f>'2010-80'!$R45</f>
        <v>718175</v>
      </c>
      <c r="J44" s="13">
        <f>'2010-90'!$R45</f>
        <v>718175</v>
      </c>
      <c r="M44" s="13">
        <f t="shared" si="6"/>
        <v>97780.030761198985</v>
      </c>
      <c r="N44" s="13">
        <f t="shared" si="7"/>
        <v>327494.99864056928</v>
      </c>
      <c r="O44" s="13">
        <f t="shared" si="8"/>
        <v>292899.97059823171</v>
      </c>
      <c r="P44" s="13">
        <f t="shared" si="9"/>
        <v>0</v>
      </c>
      <c r="Q44" s="13">
        <f t="shared" si="10"/>
        <v>0</v>
      </c>
      <c r="R44" s="13">
        <f t="shared" si="11"/>
        <v>0</v>
      </c>
      <c r="S44" s="13">
        <f t="shared" si="0"/>
        <v>0</v>
      </c>
      <c r="T44" s="13">
        <f t="shared" si="1"/>
        <v>0</v>
      </c>
      <c r="U44" s="13">
        <f t="shared" si="2"/>
        <v>0</v>
      </c>
      <c r="V44" s="13"/>
      <c r="W44" s="13">
        <f t="shared" si="12"/>
        <v>718174.99999999988</v>
      </c>
      <c r="Y44" s="13">
        <f t="shared" si="26"/>
        <v>136626.78567067563</v>
      </c>
      <c r="Z44" s="18">
        <f t="shared" si="13"/>
        <v>29</v>
      </c>
      <c r="AA44" s="18" t="str">
        <f t="shared" si="14"/>
        <v>San Antonio</v>
      </c>
      <c r="AB44" s="18">
        <f t="shared" si="15"/>
        <v>28</v>
      </c>
      <c r="AC44" s="18">
        <f t="shared" si="21"/>
        <v>22</v>
      </c>
      <c r="AD44" s="18">
        <f t="shared" si="22"/>
        <v>32</v>
      </c>
      <c r="AE44" s="18">
        <f t="shared" si="23"/>
        <v>35</v>
      </c>
      <c r="AF44" s="18">
        <f t="shared" si="24"/>
        <v>35</v>
      </c>
      <c r="AG44" s="18">
        <f t="shared" si="25"/>
        <v>35</v>
      </c>
      <c r="AH44" s="18" t="str">
        <f t="shared" si="5"/>
        <v>San Antonio</v>
      </c>
    </row>
    <row r="45" spans="1:34">
      <c r="A45" s="18" t="s">
        <v>68</v>
      </c>
      <c r="B45" s="13">
        <f>'2010-10'!R46</f>
        <v>132348.40758081837</v>
      </c>
      <c r="C45" s="13">
        <f>'2010-20'!$R46</f>
        <v>552996.32709543628</v>
      </c>
      <c r="D45" s="13">
        <f>'2010-30'!$R46</f>
        <v>1101324</v>
      </c>
      <c r="E45" s="13">
        <f>'2010-40'!$R46</f>
        <v>1101324</v>
      </c>
      <c r="F45" s="13">
        <f>'2010-50'!$R46</f>
        <v>1101324</v>
      </c>
      <c r="G45" s="13">
        <f>'2010-60'!$R46</f>
        <v>1101324</v>
      </c>
      <c r="H45" s="13">
        <f>'2010-70'!$R46</f>
        <v>1101324</v>
      </c>
      <c r="I45" s="13">
        <f>'2010-80'!$R46</f>
        <v>1101324</v>
      </c>
      <c r="J45" s="13">
        <f>'2010-90'!$R46</f>
        <v>1101324</v>
      </c>
      <c r="M45" s="13">
        <f t="shared" si="6"/>
        <v>132348.40758081837</v>
      </c>
      <c r="N45" s="13">
        <f t="shared" si="7"/>
        <v>420647.91951461788</v>
      </c>
      <c r="O45" s="13">
        <f t="shared" si="8"/>
        <v>548327.67290456372</v>
      </c>
      <c r="P45" s="13">
        <f t="shared" si="9"/>
        <v>0</v>
      </c>
      <c r="Q45" s="13">
        <f t="shared" si="10"/>
        <v>0</v>
      </c>
      <c r="R45" s="13">
        <f t="shared" si="11"/>
        <v>0</v>
      </c>
      <c r="S45" s="13">
        <f t="shared" si="0"/>
        <v>0</v>
      </c>
      <c r="T45" s="13">
        <f t="shared" si="1"/>
        <v>0</v>
      </c>
      <c r="U45" s="13">
        <f t="shared" si="2"/>
        <v>0</v>
      </c>
      <c r="V45" s="13"/>
      <c r="W45" s="13">
        <f t="shared" si="12"/>
        <v>1101324</v>
      </c>
      <c r="Y45" s="13">
        <f t="shared" si="26"/>
        <v>194138.48735039882</v>
      </c>
      <c r="Z45" s="18">
        <f t="shared" si="13"/>
        <v>13</v>
      </c>
      <c r="AA45" s="18" t="str">
        <f t="shared" si="14"/>
        <v>San Diego</v>
      </c>
      <c r="AB45" s="18">
        <f t="shared" si="15"/>
        <v>10</v>
      </c>
      <c r="AC45" s="18">
        <f t="shared" si="21"/>
        <v>8</v>
      </c>
      <c r="AD45" s="18">
        <f t="shared" si="22"/>
        <v>8</v>
      </c>
      <c r="AE45" s="18">
        <f t="shared" si="23"/>
        <v>17</v>
      </c>
      <c r="AF45" s="18">
        <f t="shared" si="24"/>
        <v>17</v>
      </c>
      <c r="AG45" s="18">
        <f t="shared" si="25"/>
        <v>17</v>
      </c>
      <c r="AH45" s="18" t="str">
        <f t="shared" si="5"/>
        <v>San Diego</v>
      </c>
    </row>
    <row r="46" spans="1:34">
      <c r="A46" s="18" t="s">
        <v>69</v>
      </c>
      <c r="B46" s="13">
        <f>'2010-10'!R47</f>
        <v>283549.01608170767</v>
      </c>
      <c r="C46" s="13">
        <f>'2010-20'!$R47</f>
        <v>1161558.0557365031</v>
      </c>
      <c r="D46" s="13">
        <f>'2010-30'!$R47</f>
        <v>1767793</v>
      </c>
      <c r="E46" s="13">
        <f>'2010-40'!$R47</f>
        <v>1767793</v>
      </c>
      <c r="F46" s="13">
        <f>'2010-50'!$R47</f>
        <v>1767793</v>
      </c>
      <c r="G46" s="13">
        <f>'2010-60'!$R47</f>
        <v>1767793</v>
      </c>
      <c r="H46" s="13">
        <f>'2010-70'!$R47</f>
        <v>1767793</v>
      </c>
      <c r="I46" s="13">
        <f>'2010-80'!$R47</f>
        <v>1767793</v>
      </c>
      <c r="J46" s="13">
        <f>'2010-90'!$R47</f>
        <v>1767793</v>
      </c>
      <c r="M46" s="13">
        <f t="shared" si="6"/>
        <v>283549.01608170767</v>
      </c>
      <c r="N46" s="13">
        <f t="shared" si="7"/>
        <v>878009.03965479543</v>
      </c>
      <c r="O46" s="13">
        <f t="shared" si="8"/>
        <v>606234.9442634969</v>
      </c>
      <c r="P46" s="13">
        <f t="shared" si="9"/>
        <v>0</v>
      </c>
      <c r="Q46" s="13">
        <f t="shared" si="10"/>
        <v>0</v>
      </c>
      <c r="R46" s="13">
        <f t="shared" si="11"/>
        <v>0</v>
      </c>
      <c r="S46" s="13">
        <f t="shared" si="0"/>
        <v>0</v>
      </c>
      <c r="T46" s="13">
        <f t="shared" si="1"/>
        <v>0</v>
      </c>
      <c r="U46" s="13">
        <f t="shared" si="2"/>
        <v>0</v>
      </c>
      <c r="V46" s="13"/>
      <c r="W46" s="13">
        <f t="shared" si="12"/>
        <v>1767793</v>
      </c>
      <c r="Y46" s="13">
        <f t="shared" si="26"/>
        <v>359670.14690269105</v>
      </c>
      <c r="Z46" s="18">
        <f t="shared" si="13"/>
        <v>2</v>
      </c>
      <c r="AA46" s="18" t="str">
        <f t="shared" si="14"/>
        <v>San Francisco</v>
      </c>
      <c r="AB46" s="18">
        <f t="shared" si="15"/>
        <v>1</v>
      </c>
      <c r="AC46" s="18">
        <f t="shared" si="21"/>
        <v>1</v>
      </c>
      <c r="AD46" s="18">
        <f t="shared" si="22"/>
        <v>2</v>
      </c>
      <c r="AE46" s="18">
        <f t="shared" si="23"/>
        <v>9</v>
      </c>
      <c r="AF46" s="18">
        <f t="shared" si="24"/>
        <v>11</v>
      </c>
      <c r="AG46" s="18">
        <f t="shared" si="25"/>
        <v>11</v>
      </c>
      <c r="AH46" s="18" t="str">
        <f t="shared" si="5"/>
        <v>San Francisco</v>
      </c>
    </row>
    <row r="47" spans="1:34">
      <c r="A47" s="18" t="s">
        <v>85</v>
      </c>
      <c r="B47" s="13">
        <f>'2010-10'!R48</f>
        <v>237928.87404721085</v>
      </c>
      <c r="C47" s="13">
        <f>'2010-20'!$R48</f>
        <v>857032</v>
      </c>
      <c r="D47" s="13">
        <f>'2010-30'!$R48</f>
        <v>857032</v>
      </c>
      <c r="E47" s="13">
        <f>'2010-40'!$R48</f>
        <v>857032</v>
      </c>
      <c r="F47" s="13">
        <f>'2010-50'!$R48</f>
        <v>857032</v>
      </c>
      <c r="G47" s="13">
        <f>'2010-60'!$R48</f>
        <v>857032</v>
      </c>
      <c r="H47" s="13">
        <f>'2010-70'!$R48</f>
        <v>857032</v>
      </c>
      <c r="I47" s="13">
        <f>'2010-80'!$R48</f>
        <v>857032</v>
      </c>
      <c r="J47" s="13">
        <f>'2010-90'!$R48</f>
        <v>857032</v>
      </c>
      <c r="M47" s="13">
        <f t="shared" si="6"/>
        <v>237928.87404721085</v>
      </c>
      <c r="N47" s="13">
        <f t="shared" si="7"/>
        <v>619103.12595278909</v>
      </c>
      <c r="O47" s="13">
        <f t="shared" si="8"/>
        <v>0</v>
      </c>
      <c r="P47" s="13">
        <f t="shared" si="9"/>
        <v>0</v>
      </c>
      <c r="Q47" s="13">
        <f t="shared" si="10"/>
        <v>0</v>
      </c>
      <c r="R47" s="13">
        <f t="shared" si="11"/>
        <v>0</v>
      </c>
      <c r="S47" s="13">
        <f t="shared" si="0"/>
        <v>0</v>
      </c>
      <c r="T47" s="13">
        <f t="shared" si="1"/>
        <v>0</v>
      </c>
      <c r="U47" s="13">
        <f t="shared" si="2"/>
        <v>0</v>
      </c>
      <c r="V47" s="13"/>
      <c r="W47" s="13">
        <f t="shared" si="12"/>
        <v>857032</v>
      </c>
      <c r="Y47" s="13">
        <f t="shared" si="26"/>
        <v>231903.09991868481</v>
      </c>
      <c r="Z47" s="18">
        <f t="shared" si="13"/>
        <v>6</v>
      </c>
      <c r="AA47" s="18" t="str">
        <f t="shared" si="14"/>
        <v>San Jose</v>
      </c>
      <c r="AB47" s="18">
        <f t="shared" si="15"/>
        <v>2</v>
      </c>
      <c r="AC47" s="18">
        <f t="shared" si="21"/>
        <v>3</v>
      </c>
      <c r="AD47" s="18">
        <f t="shared" si="22"/>
        <v>20</v>
      </c>
      <c r="AE47" s="18">
        <f t="shared" si="23"/>
        <v>28</v>
      </c>
      <c r="AF47" s="18">
        <f t="shared" si="24"/>
        <v>28</v>
      </c>
      <c r="AG47" s="18">
        <f t="shared" si="25"/>
        <v>28</v>
      </c>
      <c r="AH47" s="18" t="str">
        <f t="shared" si="5"/>
        <v>San Jose</v>
      </c>
    </row>
    <row r="48" spans="1:34">
      <c r="A48" s="18" t="s">
        <v>56</v>
      </c>
      <c r="B48" s="13">
        <f>'2010-10'!R49</f>
        <v>77482.814584184482</v>
      </c>
      <c r="C48" s="13">
        <f>'2010-20'!$R49</f>
        <v>307265.55266955518</v>
      </c>
      <c r="D48" s="13">
        <f>'2010-30'!$R49</f>
        <v>716340.76743510365</v>
      </c>
      <c r="E48" s="13">
        <f>'2010-40'!$R49</f>
        <v>1302873.2906042153</v>
      </c>
      <c r="F48" s="13">
        <f>'2010-50'!$R49</f>
        <v>1435764</v>
      </c>
      <c r="G48" s="13">
        <f>'2010-60'!$R49</f>
        <v>1435764</v>
      </c>
      <c r="H48" s="13">
        <f>'2010-70'!$R49</f>
        <v>1435764</v>
      </c>
      <c r="I48" s="13">
        <f>'2010-80'!$R49</f>
        <v>1435764</v>
      </c>
      <c r="J48" s="13">
        <f>'2010-90'!$R49</f>
        <v>1435764</v>
      </c>
      <c r="M48" s="13">
        <f t="shared" si="6"/>
        <v>77482.814584184482</v>
      </c>
      <c r="N48" s="13">
        <f t="shared" si="7"/>
        <v>229782.73808537069</v>
      </c>
      <c r="O48" s="13">
        <f t="shared" si="8"/>
        <v>409075.21476554847</v>
      </c>
      <c r="P48" s="13">
        <f t="shared" si="9"/>
        <v>586532.52316911169</v>
      </c>
      <c r="Q48" s="13">
        <f t="shared" si="10"/>
        <v>132890.70939578465</v>
      </c>
      <c r="R48" s="13">
        <f t="shared" si="11"/>
        <v>0</v>
      </c>
      <c r="S48" s="13">
        <f t="shared" si="0"/>
        <v>0</v>
      </c>
      <c r="T48" s="13">
        <f t="shared" si="1"/>
        <v>0</v>
      </c>
      <c r="U48" s="13">
        <f t="shared" si="2"/>
        <v>0</v>
      </c>
      <c r="V48" s="13"/>
      <c r="W48" s="13">
        <f t="shared" si="12"/>
        <v>1435764</v>
      </c>
      <c r="Y48" s="13">
        <f t="shared" si="26"/>
        <v>144660.41034799605</v>
      </c>
      <c r="Z48" s="18">
        <f t="shared" si="13"/>
        <v>25</v>
      </c>
      <c r="AA48" s="18" t="str">
        <f t="shared" si="14"/>
        <v>Seattle</v>
      </c>
      <c r="AB48" s="18">
        <f t="shared" si="15"/>
        <v>43</v>
      </c>
      <c r="AC48" s="18">
        <f t="shared" si="21"/>
        <v>48</v>
      </c>
      <c r="AD48" s="18">
        <f t="shared" si="22"/>
        <v>33</v>
      </c>
      <c r="AE48" s="18">
        <f t="shared" si="23"/>
        <v>14</v>
      </c>
      <c r="AF48" s="18">
        <f t="shared" si="24"/>
        <v>15</v>
      </c>
      <c r="AG48" s="18">
        <f t="shared" si="25"/>
        <v>15</v>
      </c>
      <c r="AH48" s="18" t="str">
        <f t="shared" si="5"/>
        <v>Seattle</v>
      </c>
    </row>
    <row r="49" spans="1:34">
      <c r="A49" s="18" t="s">
        <v>397</v>
      </c>
      <c r="B49" s="13">
        <f>'2010-10'!R50</f>
        <v>97777.722174043389</v>
      </c>
      <c r="C49" s="13">
        <f>'2010-20'!$R50</f>
        <v>424736.92995978135</v>
      </c>
      <c r="D49" s="13">
        <f>'2010-30'!$R50</f>
        <v>986066.21219986165</v>
      </c>
      <c r="E49" s="13">
        <f>'2010-40'!$R50</f>
        <v>1791013.7473319578</v>
      </c>
      <c r="F49" s="13">
        <f>'2010-50'!$R50</f>
        <v>1820909</v>
      </c>
      <c r="G49" s="13">
        <f>'2010-60'!$R50</f>
        <v>1820909</v>
      </c>
      <c r="H49" s="13">
        <f>'2010-70'!$R50</f>
        <v>1820909</v>
      </c>
      <c r="I49" s="13">
        <f>'2010-80'!$R50</f>
        <v>1820909</v>
      </c>
      <c r="J49" s="13">
        <f>'2010-90'!$R50</f>
        <v>1820909</v>
      </c>
      <c r="M49" s="13">
        <f t="shared" si="6"/>
        <v>97777.722174043389</v>
      </c>
      <c r="N49" s="13">
        <f t="shared" si="7"/>
        <v>326959.20778573793</v>
      </c>
      <c r="O49" s="13">
        <f t="shared" si="8"/>
        <v>561329.2822400803</v>
      </c>
      <c r="P49" s="13">
        <f t="shared" si="9"/>
        <v>804947.53513209615</v>
      </c>
      <c r="Q49" s="13">
        <f t="shared" si="10"/>
        <v>29895.252668042202</v>
      </c>
      <c r="R49" s="13">
        <f t="shared" si="11"/>
        <v>0</v>
      </c>
      <c r="S49" s="13">
        <f t="shared" si="0"/>
        <v>0</v>
      </c>
      <c r="T49" s="13">
        <f t="shared" si="1"/>
        <v>0</v>
      </c>
      <c r="U49" s="13">
        <f t="shared" si="2"/>
        <v>0</v>
      </c>
      <c r="V49" s="13"/>
      <c r="W49" s="13">
        <f t="shared" si="12"/>
        <v>1820908.9999999998</v>
      </c>
      <c r="Y49" s="13">
        <f t="shared" si="26"/>
        <v>194227.91807396387</v>
      </c>
      <c r="Z49" s="18">
        <f t="shared" si="13"/>
        <v>12</v>
      </c>
      <c r="AA49" s="18" t="str">
        <f t="shared" si="14"/>
        <v>Miami</v>
      </c>
      <c r="AB49" s="18">
        <f t="shared" si="15"/>
        <v>29</v>
      </c>
      <c r="AC49" s="18">
        <f t="shared" si="21"/>
        <v>23</v>
      </c>
      <c r="AD49" s="18">
        <f t="shared" si="22"/>
        <v>12</v>
      </c>
      <c r="AE49" s="18">
        <f t="shared" si="23"/>
        <v>8</v>
      </c>
      <c r="AF49" s="18">
        <f t="shared" si="24"/>
        <v>10</v>
      </c>
      <c r="AG49" s="18">
        <f t="shared" si="25"/>
        <v>10</v>
      </c>
      <c r="AH49" s="18" t="str">
        <f t="shared" si="5"/>
        <v>Miami</v>
      </c>
    </row>
    <row r="50" spans="1:34">
      <c r="A50" s="18" t="s">
        <v>57</v>
      </c>
      <c r="B50" s="13">
        <f>'2010-10'!R51</f>
        <v>64088.551775929547</v>
      </c>
      <c r="C50" s="13">
        <f>'2010-20'!$R51</f>
        <v>272799.50082859228</v>
      </c>
      <c r="D50" s="13">
        <f>'2010-30'!$R51</f>
        <v>638031.27818021656</v>
      </c>
      <c r="E50" s="13">
        <f>'2010-40'!$R51</f>
        <v>1169641</v>
      </c>
      <c r="F50" s="13">
        <f>'2010-50'!$R51</f>
        <v>1169641</v>
      </c>
      <c r="G50" s="13">
        <f>'2010-60'!$R51</f>
        <v>1169641</v>
      </c>
      <c r="H50" s="13">
        <f>'2010-70'!$R51</f>
        <v>1169641</v>
      </c>
      <c r="I50" s="13">
        <f>'2010-80'!$R51</f>
        <v>1169641</v>
      </c>
      <c r="J50" s="13">
        <f>'2010-90'!$R51</f>
        <v>1169641</v>
      </c>
      <c r="M50" s="13">
        <f t="shared" si="6"/>
        <v>64088.551775929547</v>
      </c>
      <c r="N50" s="13">
        <f t="shared" si="7"/>
        <v>208710.94905266273</v>
      </c>
      <c r="O50" s="13">
        <f t="shared" si="8"/>
        <v>365231.77735162427</v>
      </c>
      <c r="P50" s="13">
        <f t="shared" si="9"/>
        <v>531609.72181978344</v>
      </c>
      <c r="Q50" s="13">
        <f t="shared" si="10"/>
        <v>0</v>
      </c>
      <c r="R50" s="13">
        <f t="shared" si="11"/>
        <v>0</v>
      </c>
      <c r="S50" s="13">
        <f t="shared" si="0"/>
        <v>0</v>
      </c>
      <c r="T50" s="13">
        <f t="shared" si="1"/>
        <v>0</v>
      </c>
      <c r="U50" s="13">
        <f t="shared" si="2"/>
        <v>0</v>
      </c>
      <c r="V50" s="13"/>
      <c r="W50" s="13">
        <f t="shared" si="12"/>
        <v>1169641</v>
      </c>
      <c r="Y50" s="13">
        <f t="shared" si="26"/>
        <v>125737.51969763817</v>
      </c>
      <c r="Z50" s="18">
        <f t="shared" si="13"/>
        <v>36</v>
      </c>
      <c r="AA50" s="18" t="str">
        <f t="shared" si="14"/>
        <v>St. Louis</v>
      </c>
      <c r="AB50" s="18">
        <f t="shared" si="15"/>
        <v>50</v>
      </c>
      <c r="AC50" s="18">
        <f t="shared" si="21"/>
        <v>50</v>
      </c>
      <c r="AD50" s="18">
        <f t="shared" si="22"/>
        <v>36</v>
      </c>
      <c r="AE50" s="18">
        <f t="shared" si="23"/>
        <v>16</v>
      </c>
      <c r="AF50" s="18">
        <f t="shared" si="24"/>
        <v>16</v>
      </c>
      <c r="AG50" s="18">
        <f t="shared" si="25"/>
        <v>16</v>
      </c>
      <c r="AH50" s="18" t="str">
        <f t="shared" si="5"/>
        <v>St. Louis</v>
      </c>
    </row>
    <row r="51" spans="1:34">
      <c r="A51" s="18" t="s">
        <v>70</v>
      </c>
      <c r="B51" s="13">
        <f>'2010-10'!R52</f>
        <v>74681.654984007779</v>
      </c>
      <c r="C51" s="13">
        <f>'2010-20'!$R52</f>
        <v>322791.96021804807</v>
      </c>
      <c r="D51" s="13">
        <f>'2010-30'!$R52</f>
        <v>752040.45965765056</v>
      </c>
      <c r="E51" s="13">
        <f>'2010-40'!$R52</f>
        <v>932231</v>
      </c>
      <c r="F51" s="13">
        <f>'2010-50'!$R52</f>
        <v>932231</v>
      </c>
      <c r="G51" s="13">
        <f>'2010-60'!$R52</f>
        <v>932231</v>
      </c>
      <c r="H51" s="13">
        <f>'2010-70'!$R52</f>
        <v>932231</v>
      </c>
      <c r="I51" s="13">
        <f>'2010-80'!$R52</f>
        <v>932231</v>
      </c>
      <c r="J51" s="13">
        <f>'2010-90'!$R52</f>
        <v>932231</v>
      </c>
      <c r="M51" s="13">
        <f t="shared" si="6"/>
        <v>74681.654984007779</v>
      </c>
      <c r="N51" s="13">
        <f t="shared" si="7"/>
        <v>248110.30523404031</v>
      </c>
      <c r="O51" s="13">
        <f t="shared" si="8"/>
        <v>429248.49943960248</v>
      </c>
      <c r="P51" s="13">
        <f t="shared" si="9"/>
        <v>180190.54034234944</v>
      </c>
      <c r="Q51" s="13">
        <f t="shared" si="10"/>
        <v>0</v>
      </c>
      <c r="R51" s="13">
        <f t="shared" si="11"/>
        <v>0</v>
      </c>
      <c r="S51" s="13">
        <f t="shared" si="0"/>
        <v>0</v>
      </c>
      <c r="T51" s="13">
        <f t="shared" si="1"/>
        <v>0</v>
      </c>
      <c r="U51" s="13">
        <f t="shared" si="2"/>
        <v>0</v>
      </c>
      <c r="V51" s="13"/>
      <c r="W51" s="13">
        <f t="shared" si="12"/>
        <v>932231</v>
      </c>
      <c r="Y51" s="13">
        <f t="shared" si="26"/>
        <v>129934.74625998696</v>
      </c>
      <c r="Z51" s="18">
        <f t="shared" si="13"/>
        <v>33</v>
      </c>
      <c r="AA51" s="18" t="str">
        <f t="shared" si="14"/>
        <v>Tampa Bay</v>
      </c>
      <c r="AB51" s="18">
        <f t="shared" si="15"/>
        <v>46</v>
      </c>
      <c r="AC51" s="18">
        <f t="shared" si="21"/>
        <v>46</v>
      </c>
      <c r="AD51" s="18">
        <f t="shared" si="22"/>
        <v>25</v>
      </c>
      <c r="AE51" s="18">
        <f t="shared" si="23"/>
        <v>22</v>
      </c>
      <c r="AF51" s="18">
        <f t="shared" si="24"/>
        <v>22</v>
      </c>
      <c r="AG51" s="18">
        <f t="shared" si="25"/>
        <v>22</v>
      </c>
      <c r="AH51" s="18" t="str">
        <f t="shared" si="5"/>
        <v>Tampa Bay</v>
      </c>
    </row>
    <row r="52" spans="1:34">
      <c r="A52" s="18" t="s">
        <v>58</v>
      </c>
      <c r="B52" s="13">
        <f>'2010-10'!R53</f>
        <v>108988.25484950817</v>
      </c>
      <c r="C52" s="13">
        <f>'2010-20'!$R53</f>
        <v>481675.11236252356</v>
      </c>
      <c r="D52" s="13">
        <f>'2010-30'!$R53</f>
        <v>1160713.212067951</v>
      </c>
      <c r="E52" s="13">
        <f>'2010-40'!$R53</f>
        <v>2135912.4717155923</v>
      </c>
      <c r="F52" s="13">
        <f>'2010-50'!$R53</f>
        <v>2370531</v>
      </c>
      <c r="G52" s="13">
        <f>'2010-60'!$R53</f>
        <v>2370531</v>
      </c>
      <c r="H52" s="13">
        <f>'2010-70'!$R53</f>
        <v>2370531</v>
      </c>
      <c r="I52" s="13">
        <f>'2010-80'!$R53</f>
        <v>2370531</v>
      </c>
      <c r="J52" s="13">
        <f>'2010-90'!$R53</f>
        <v>2370531</v>
      </c>
      <c r="M52" s="13">
        <f t="shared" si="6"/>
        <v>108988.25484950817</v>
      </c>
      <c r="N52" s="13">
        <f t="shared" si="7"/>
        <v>372686.85751301539</v>
      </c>
      <c r="O52" s="13">
        <f t="shared" si="8"/>
        <v>679038.09970542742</v>
      </c>
      <c r="P52" s="13">
        <f t="shared" si="9"/>
        <v>975199.25964764133</v>
      </c>
      <c r="Q52" s="13">
        <f t="shared" si="10"/>
        <v>234618.52828440769</v>
      </c>
      <c r="R52" s="13">
        <f t="shared" si="11"/>
        <v>0</v>
      </c>
      <c r="S52" s="13">
        <f t="shared" si="0"/>
        <v>0</v>
      </c>
      <c r="T52" s="13">
        <f t="shared" si="1"/>
        <v>0</v>
      </c>
      <c r="U52" s="13">
        <f t="shared" si="2"/>
        <v>0</v>
      </c>
      <c r="V52" s="13"/>
      <c r="W52" s="13">
        <f t="shared" si="12"/>
        <v>2370531</v>
      </c>
      <c r="Y52" s="13">
        <f t="shared" si="26"/>
        <v>229865.1644795021</v>
      </c>
      <c r="Z52" s="18">
        <f t="shared" si="13"/>
        <v>7</v>
      </c>
      <c r="AA52" s="18" t="str">
        <f t="shared" si="14"/>
        <v>Washington</v>
      </c>
      <c r="AB52" s="18">
        <f t="shared" si="15"/>
        <v>16</v>
      </c>
      <c r="AC52" s="18">
        <f t="shared" si="21"/>
        <v>15</v>
      </c>
      <c r="AD52" s="18">
        <f t="shared" si="22"/>
        <v>6</v>
      </c>
      <c r="AE52" s="18">
        <f t="shared" si="23"/>
        <v>4</v>
      </c>
      <c r="AF52" s="18">
        <f t="shared" si="24"/>
        <v>7</v>
      </c>
      <c r="AG52" s="18">
        <f t="shared" si="25"/>
        <v>7</v>
      </c>
      <c r="AH52" s="18" t="str">
        <f t="shared" si="5"/>
        <v>Washington</v>
      </c>
    </row>
    <row r="54" spans="1:34">
      <c r="A54" s="134" t="s">
        <v>581</v>
      </c>
      <c r="B54" s="134">
        <f>SUMPRODUCT(B2:B52,$W$2:$W$52)/SUM($W$2:$W$52)</f>
        <v>122131.53276028835</v>
      </c>
      <c r="C54" s="134">
        <f t="shared" ref="C54:J54" si="27">SUMPRODUCT(C2:C52,$W$2:$W$52)/SUM($W$2:$W$52)</f>
        <v>524030.16121255321</v>
      </c>
      <c r="D54" s="134">
        <f t="shared" si="27"/>
        <v>1097361.6034426326</v>
      </c>
      <c r="E54" s="134">
        <f t="shared" si="27"/>
        <v>1708090.453333667</v>
      </c>
      <c r="F54" s="134">
        <f t="shared" si="27"/>
        <v>2125494.1981406347</v>
      </c>
      <c r="G54" s="134">
        <f t="shared" si="27"/>
        <v>2367106.0802880656</v>
      </c>
      <c r="H54" s="134">
        <f t="shared" si="27"/>
        <v>2459544.5461067823</v>
      </c>
      <c r="I54" s="134">
        <f t="shared" si="27"/>
        <v>2459544.5461067823</v>
      </c>
      <c r="J54" s="134">
        <f t="shared" si="27"/>
        <v>2459544.5461067823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 s="18">
        <v>1</v>
      </c>
      <c r="T54" s="18">
        <v>1</v>
      </c>
      <c r="U54" s="18">
        <v>1</v>
      </c>
      <c r="Y54" s="28">
        <f>M54*EXP(Beta*10)+N54*EXP(Beta*20)+O54*EXP(Beta*30)+P54*EXP(Beta*40)+Q54*EXP(Beta*50)+R54*EXP(Beta*60)</f>
        <v>0.80925102531740989</v>
      </c>
      <c r="AB54" t="s">
        <v>146</v>
      </c>
    </row>
    <row r="55" spans="1:34">
      <c r="A55" t="s">
        <v>143</v>
      </c>
      <c r="B55">
        <v>-0.08</v>
      </c>
      <c r="Z55" s="29" t="s">
        <v>147</v>
      </c>
      <c r="AA55" s="29" t="s">
        <v>128</v>
      </c>
      <c r="AB55" s="29">
        <f>AB1</f>
        <v>10</v>
      </c>
      <c r="AC55" s="29">
        <f t="shared" ref="AC55:AG55" si="28">AC1</f>
        <v>20</v>
      </c>
      <c r="AD55" s="29">
        <f t="shared" si="28"/>
        <v>30</v>
      </c>
      <c r="AE55" s="29">
        <f t="shared" si="28"/>
        <v>40</v>
      </c>
      <c r="AF55" s="29">
        <f t="shared" si="28"/>
        <v>50</v>
      </c>
      <c r="AG55" s="29">
        <f t="shared" si="28"/>
        <v>60</v>
      </c>
      <c r="AH55" t="s">
        <v>147</v>
      </c>
    </row>
    <row r="56" spans="1:34">
      <c r="Z56" s="18" t="str">
        <f>VLOOKUP($AA56,Z$2:$AA$52,2,FALSE)</f>
        <v>Los Angeles</v>
      </c>
      <c r="AA56">
        <v>1</v>
      </c>
      <c r="AB56" t="str">
        <f>VLOOKUP($AA56,AB$2:$AH$52,8-AB$1/10,FALSE)</f>
        <v>San Francisco</v>
      </c>
      <c r="AC56" s="18" t="str">
        <f>VLOOKUP($AA56,AC$2:$AH$52,8-AC$1/10,FALSE)</f>
        <v>San Francisco</v>
      </c>
      <c r="AD56" s="18" t="str">
        <f>VLOOKUP($AA56,AD$2:$AH$52,8-AD$1/10,FALSE)</f>
        <v>Los Angeles</v>
      </c>
      <c r="AE56" s="18" t="str">
        <f>VLOOKUP($AA56,AE$2:$AH$52,8-AE$1/10,FALSE)</f>
        <v>Los Angeles</v>
      </c>
      <c r="AF56" s="18" t="str">
        <f>VLOOKUP($AA56,AF$2:$AH$52,8-AF$1/10,FALSE)</f>
        <v>Los Angeles</v>
      </c>
      <c r="AG56" s="18" t="str">
        <f>VLOOKUP($AA56,AG$2:$AH$52,8-AG$1/10,FALSE)</f>
        <v>New York</v>
      </c>
      <c r="AH56" t="str">
        <f>Z56</f>
        <v>Los Angeles</v>
      </c>
    </row>
    <row r="57" spans="1:34">
      <c r="A57" t="s">
        <v>145</v>
      </c>
      <c r="Z57" s="18" t="str">
        <f>VLOOKUP($AA57,Z$2:$AA$52,2,FALSE)</f>
        <v>San Francisco</v>
      </c>
      <c r="AA57">
        <v>2</v>
      </c>
      <c r="AB57" s="18" t="str">
        <f>VLOOKUP($AA57,AB$2:$AH$52,8-AB$1/10,FALSE)</f>
        <v>San Jose</v>
      </c>
      <c r="AC57" s="18" t="str">
        <f>VLOOKUP($AA57,AC$2:$AH$52,8-AC$1/10,FALSE)</f>
        <v>Los Angeles</v>
      </c>
      <c r="AD57" s="18" t="str">
        <f>VLOOKUP($AA57,AD$2:$AH$52,8-AD$1/10,FALSE)</f>
        <v>San Francisco</v>
      </c>
      <c r="AE57" s="18" t="str">
        <f>VLOOKUP($AA57,AE$2:$AH$52,8-AE$1/10,FALSE)</f>
        <v>New York</v>
      </c>
      <c r="AF57" s="18" t="str">
        <f>VLOOKUP($AA57,AF$2:$AH$52,8-AF$1/10,FALSE)</f>
        <v>New York</v>
      </c>
      <c r="AG57" s="18" t="str">
        <f>VLOOKUP($AA57,AG$2:$AH$52,8-AG$1/10,FALSE)</f>
        <v>Los Angeles</v>
      </c>
      <c r="AH57" s="18" t="str">
        <f t="shared" ref="AH57:AH105" si="29">Z57</f>
        <v>San Francisco</v>
      </c>
    </row>
    <row r="58" spans="1:34">
      <c r="Z58" s="18" t="str">
        <f>VLOOKUP($AA58,Z$2:$AA$52,2,FALSE)</f>
        <v>New York</v>
      </c>
      <c r="AA58">
        <v>3</v>
      </c>
      <c r="AB58" s="18" t="str">
        <f>VLOOKUP($AA58,AB$2:$AH$52,8-AB$1/10,FALSE)</f>
        <v>Los Angeles</v>
      </c>
      <c r="AC58" s="18" t="str">
        <f>VLOOKUP($AA58,AC$2:$AH$52,8-AC$1/10,FALSE)</f>
        <v>San Jose</v>
      </c>
      <c r="AD58" s="18" t="str">
        <f>VLOOKUP($AA58,AD$2:$AH$52,8-AD$1/10,FALSE)</f>
        <v>New York</v>
      </c>
      <c r="AE58" s="18" t="str">
        <f>VLOOKUP($AA58,AE$2:$AH$52,8-AE$1/10,FALSE)</f>
        <v>Chicago</v>
      </c>
      <c r="AF58" s="18" t="str">
        <f>VLOOKUP($AA58,AF$2:$AH$52,8-AF$1/10,FALSE)</f>
        <v>Chicago</v>
      </c>
      <c r="AG58" s="18" t="str">
        <f>VLOOKUP($AA58,AG$2:$AH$52,8-AG$1/10,FALSE)</f>
        <v>Chicago</v>
      </c>
      <c r="AH58" s="18" t="str">
        <f t="shared" si="29"/>
        <v>New York</v>
      </c>
    </row>
    <row r="59" spans="1:34">
      <c r="Z59" s="18" t="str">
        <f>VLOOKUP($AA59,Z$2:$AA$52,2,FALSE)</f>
        <v>Chicago</v>
      </c>
      <c r="AA59">
        <f>AA58+1</f>
        <v>4</v>
      </c>
      <c r="AB59" s="18" t="str">
        <f>VLOOKUP($AA59,AB$2:$AH$52,8-AB$1/10,FALSE)</f>
        <v>Riverside</v>
      </c>
      <c r="AC59" s="18" t="str">
        <f>VLOOKUP($AA59,AC$2:$AH$52,8-AC$1/10,FALSE)</f>
        <v>Riverside</v>
      </c>
      <c r="AD59" s="18" t="str">
        <f>VLOOKUP($AA59,AD$2:$AH$52,8-AD$1/10,FALSE)</f>
        <v>Minneapolis</v>
      </c>
      <c r="AE59" s="18" t="str">
        <f>VLOOKUP($AA59,AE$2:$AH$52,8-AE$1/10,FALSE)</f>
        <v>Washington</v>
      </c>
      <c r="AF59" s="18" t="str">
        <f>VLOOKUP($AA59,AF$2:$AH$52,8-AF$1/10,FALSE)</f>
        <v>Boston</v>
      </c>
      <c r="AG59" s="18" t="str">
        <f>VLOOKUP($AA59,AG$2:$AH$52,8-AG$1/10,FALSE)</f>
        <v>Boston</v>
      </c>
      <c r="AH59" s="18" t="str">
        <f t="shared" si="29"/>
        <v>Chicago</v>
      </c>
    </row>
    <row r="60" spans="1:34">
      <c r="Z60" s="18" t="str">
        <f>VLOOKUP($AA60,Z$2:$AA$52,2,FALSE)</f>
        <v>Minneapolis</v>
      </c>
      <c r="AA60" s="18">
        <f t="shared" ref="AA60:AA106" si="30">AA59+1</f>
        <v>5</v>
      </c>
      <c r="AB60" s="18" t="str">
        <f>VLOOKUP($AA60,AB$2:$AH$52,8-AB$1/10,FALSE)</f>
        <v>New York</v>
      </c>
      <c r="AC60" s="18" t="str">
        <f>VLOOKUP($AA60,AC$2:$AH$52,8-AC$1/10,FALSE)</f>
        <v>New York</v>
      </c>
      <c r="AD60" s="18" t="str">
        <f>VLOOKUP($AA60,AD$2:$AH$52,8-AD$1/10,FALSE)</f>
        <v>Chicago</v>
      </c>
      <c r="AE60" s="18" t="str">
        <f>VLOOKUP($AA60,AE$2:$AH$52,8-AE$1/10,FALSE)</f>
        <v>Dallas</v>
      </c>
      <c r="AF60" s="18" t="str">
        <f>VLOOKUP($AA60,AF$2:$AH$52,8-AF$1/10,FALSE)</f>
        <v>Dallas</v>
      </c>
      <c r="AG60" s="18" t="str">
        <f>VLOOKUP($AA60,AG$2:$AH$52,8-AG$1/10,FALSE)</f>
        <v>Dallas</v>
      </c>
      <c r="AH60" s="18" t="str">
        <f t="shared" si="29"/>
        <v>Minneapolis</v>
      </c>
    </row>
    <row r="61" spans="1:34">
      <c r="Z61" s="18" t="str">
        <f>VLOOKUP($AA61,Z$2:$AA$52,2,FALSE)</f>
        <v>San Jose</v>
      </c>
      <c r="AA61" s="18">
        <f t="shared" si="30"/>
        <v>6</v>
      </c>
      <c r="AB61" s="18" t="str">
        <f>VLOOKUP($AA61,AB$2:$AH$52,8-AB$1/10,FALSE)</f>
        <v>New Orleans</v>
      </c>
      <c r="AC61" s="18" t="str">
        <f>VLOOKUP($AA61,AC$2:$AH$52,8-AC$1/10,FALSE)</f>
        <v>Minneapolis</v>
      </c>
      <c r="AD61" s="18" t="str">
        <f>VLOOKUP($AA61,AD$2:$AH$52,8-AD$1/10,FALSE)</f>
        <v>Washington</v>
      </c>
      <c r="AE61" s="18" t="str">
        <f>VLOOKUP($AA61,AE$2:$AH$52,8-AE$1/10,FALSE)</f>
        <v>Boston</v>
      </c>
      <c r="AF61" s="18" t="str">
        <f>VLOOKUP($AA61,AF$2:$AH$52,8-AF$1/10,FALSE)</f>
        <v>Philadelphia</v>
      </c>
      <c r="AG61" s="18" t="str">
        <f>VLOOKUP($AA61,AG$2:$AH$52,8-AG$1/10,FALSE)</f>
        <v>Philadelphia</v>
      </c>
      <c r="AH61" s="18" t="str">
        <f t="shared" si="29"/>
        <v>San Jose</v>
      </c>
    </row>
    <row r="62" spans="1:34">
      <c r="Z62" s="18" t="str">
        <f>VLOOKUP($AA62,Z$2:$AA$52,2,FALSE)</f>
        <v>Washington</v>
      </c>
      <c r="AA62" s="18">
        <f t="shared" si="30"/>
        <v>7</v>
      </c>
      <c r="AB62" s="18" t="str">
        <f>VLOOKUP($AA62,AB$2:$AH$52,8-AB$1/10,FALSE)</f>
        <v>Minneapolis</v>
      </c>
      <c r="AC62" s="18" t="str">
        <f>VLOOKUP($AA62,AC$2:$AH$52,8-AC$1/10,FALSE)</f>
        <v>Jacksonville</v>
      </c>
      <c r="AD62" s="18" t="str">
        <f>VLOOKUP($AA62,AD$2:$AH$52,8-AD$1/10,FALSE)</f>
        <v>Dallas</v>
      </c>
      <c r="AE62" s="18" t="str">
        <f>VLOOKUP($AA62,AE$2:$AH$52,8-AE$1/10,FALSE)</f>
        <v>Houston</v>
      </c>
      <c r="AF62" s="18" t="str">
        <f>VLOOKUP($AA62,AF$2:$AH$52,8-AF$1/10,FALSE)</f>
        <v>Washington</v>
      </c>
      <c r="AG62" s="18" t="str">
        <f>VLOOKUP($AA62,AG$2:$AH$52,8-AG$1/10,FALSE)</f>
        <v>Washington</v>
      </c>
      <c r="AH62" s="18" t="str">
        <f t="shared" si="29"/>
        <v>Washington</v>
      </c>
    </row>
    <row r="63" spans="1:34">
      <c r="Z63" s="18" t="str">
        <f>VLOOKUP($AA63,Z$2:$AA$52,2,FALSE)</f>
        <v>Boston</v>
      </c>
      <c r="AA63" s="18">
        <f t="shared" si="30"/>
        <v>8</v>
      </c>
      <c r="AB63" s="18" t="str">
        <f>VLOOKUP($AA63,AB$2:$AH$52,8-AB$1/10,FALSE)</f>
        <v>Salt Lake City</v>
      </c>
      <c r="AC63" s="18" t="str">
        <f>VLOOKUP($AA63,AC$2:$AH$52,8-AC$1/10,FALSE)</f>
        <v>San Diego</v>
      </c>
      <c r="AD63" s="18" t="str">
        <f>VLOOKUP($AA63,AD$2:$AH$52,8-AD$1/10,FALSE)</f>
        <v>San Diego</v>
      </c>
      <c r="AE63" s="18" t="str">
        <f>VLOOKUP($AA63,AE$2:$AH$52,8-AE$1/10,FALSE)</f>
        <v>Miami</v>
      </c>
      <c r="AF63" s="18" t="str">
        <f>VLOOKUP($AA63,AF$2:$AH$52,8-AF$1/10,FALSE)</f>
        <v>Houston</v>
      </c>
      <c r="AG63" s="18" t="str">
        <f>VLOOKUP($AA63,AG$2:$AH$52,8-AG$1/10,FALSE)</f>
        <v>Houston</v>
      </c>
      <c r="AH63" s="18" t="str">
        <f t="shared" si="29"/>
        <v>Boston</v>
      </c>
    </row>
    <row r="64" spans="1:34">
      <c r="Z64" s="18" t="str">
        <f>VLOOKUP($AA64,Z$2:$AA$52,2,FALSE)</f>
        <v>Dallas</v>
      </c>
      <c r="AA64" s="18">
        <f t="shared" si="30"/>
        <v>9</v>
      </c>
      <c r="AB64" s="18" t="str">
        <f>VLOOKUP($AA64,AB$2:$AH$52,8-AB$1/10,FALSE)</f>
        <v>Jacksonville</v>
      </c>
      <c r="AC64" s="18" t="str">
        <f>VLOOKUP($AA64,AC$2:$AH$52,8-AC$1/10,FALSE)</f>
        <v>Milwaukee</v>
      </c>
      <c r="AD64" s="18" t="str">
        <f>VLOOKUP($AA64,AD$2:$AH$52,8-AD$1/10,FALSE)</f>
        <v>Boston</v>
      </c>
      <c r="AE64" s="18" t="str">
        <f>VLOOKUP($AA64,AE$2:$AH$52,8-AE$1/10,FALSE)</f>
        <v>San Francisco</v>
      </c>
      <c r="AF64" s="18" t="str">
        <f>VLOOKUP($AA64,AF$2:$AH$52,8-AF$1/10,FALSE)</f>
        <v>Atlanta</v>
      </c>
      <c r="AG64" s="18" t="str">
        <f>VLOOKUP($AA64,AG$2:$AH$52,8-AG$1/10,FALSE)</f>
        <v>Atlanta</v>
      </c>
      <c r="AH64" s="18" t="str">
        <f t="shared" si="29"/>
        <v>Dallas</v>
      </c>
    </row>
    <row r="65" spans="26:34">
      <c r="Z65" s="18" t="str">
        <f>VLOOKUP($AA65,Z$2:$AA$52,2,FALSE)</f>
        <v>Houston</v>
      </c>
      <c r="AA65" s="18">
        <f t="shared" si="30"/>
        <v>10</v>
      </c>
      <c r="AB65" s="18" t="str">
        <f>VLOOKUP($AA65,AB$2:$AH$52,8-AB$1/10,FALSE)</f>
        <v>San Diego</v>
      </c>
      <c r="AC65" s="18" t="str">
        <f>VLOOKUP($AA65,AC$2:$AH$52,8-AC$1/10,FALSE)</f>
        <v>Las Vegas</v>
      </c>
      <c r="AD65" s="18" t="str">
        <f>VLOOKUP($AA65,AD$2:$AH$52,8-AD$1/10,FALSE)</f>
        <v>Baltimore</v>
      </c>
      <c r="AE65" s="18" t="str">
        <f>VLOOKUP($AA65,AE$2:$AH$52,8-AE$1/10,FALSE)</f>
        <v>Minneapolis</v>
      </c>
      <c r="AF65" s="18" t="str">
        <f>VLOOKUP($AA65,AF$2:$AH$52,8-AF$1/10,FALSE)</f>
        <v>Miami</v>
      </c>
      <c r="AG65" s="18" t="str">
        <f>VLOOKUP($AA65,AG$2:$AH$52,8-AG$1/10,FALSE)</f>
        <v>Miami</v>
      </c>
      <c r="AH65" s="18" t="str">
        <f t="shared" si="29"/>
        <v>Houston</v>
      </c>
    </row>
    <row r="66" spans="26:34">
      <c r="Z66" s="18" t="str">
        <f>VLOOKUP($AA66,Z$2:$AA$52,2,FALSE)</f>
        <v>Riverside</v>
      </c>
      <c r="AA66" s="18">
        <f t="shared" si="30"/>
        <v>11</v>
      </c>
      <c r="AB66" s="18" t="str">
        <f>VLOOKUP($AA66,AB$2:$AH$52,8-AB$1/10,FALSE)</f>
        <v>Las Vegas</v>
      </c>
      <c r="AC66" s="18" t="str">
        <f>VLOOKUP($AA66,AC$2:$AH$52,8-AC$1/10,FALSE)</f>
        <v>Salt Lake City</v>
      </c>
      <c r="AD66" s="18" t="str">
        <f>VLOOKUP($AA66,AD$2:$AH$52,8-AD$1/10,FALSE)</f>
        <v>Houston</v>
      </c>
      <c r="AE66" s="18" t="str">
        <f>VLOOKUP($AA66,AE$2:$AH$52,8-AE$1/10,FALSE)</f>
        <v>Philadelphia</v>
      </c>
      <c r="AF66" s="18" t="str">
        <f>VLOOKUP($AA66,AF$2:$AH$52,8-AF$1/10,FALSE)</f>
        <v>San Francisco</v>
      </c>
      <c r="AG66" s="18" t="str">
        <f>VLOOKUP($AA66,AG$2:$AH$52,8-AG$1/10,FALSE)</f>
        <v>San Francisco</v>
      </c>
      <c r="AH66" s="18" t="str">
        <f t="shared" si="29"/>
        <v>Riverside</v>
      </c>
    </row>
    <row r="67" spans="26:34">
      <c r="Z67" s="18" t="str">
        <f>VLOOKUP($AA67,Z$2:$AA$52,2,FALSE)</f>
        <v>Miami</v>
      </c>
      <c r="AA67" s="18">
        <f t="shared" si="30"/>
        <v>12</v>
      </c>
      <c r="AB67" s="18" t="str">
        <f>VLOOKUP($AA67,AB$2:$AH$52,8-AB$1/10,FALSE)</f>
        <v>Milwaukee</v>
      </c>
      <c r="AC67" s="18" t="str">
        <f>VLOOKUP($AA67,AC$2:$AH$52,8-AC$1/10,FALSE)</f>
        <v>Columbus</v>
      </c>
      <c r="AD67" s="18" t="str">
        <f>VLOOKUP($AA67,AD$2:$AH$52,8-AD$1/10,FALSE)</f>
        <v>Miami</v>
      </c>
      <c r="AE67" s="18" t="str">
        <f>VLOOKUP($AA67,AE$2:$AH$52,8-AE$1/10,FALSE)</f>
        <v>Detroit</v>
      </c>
      <c r="AF67" s="18" t="str">
        <f>VLOOKUP($AA67,AF$2:$AH$52,8-AF$1/10,FALSE)</f>
        <v>Minneapolis</v>
      </c>
      <c r="AG67" s="18" t="str">
        <f>VLOOKUP($AA67,AG$2:$AH$52,8-AG$1/10,FALSE)</f>
        <v>Minneapolis</v>
      </c>
      <c r="AH67" s="18" t="str">
        <f t="shared" si="29"/>
        <v>Miami</v>
      </c>
    </row>
    <row r="68" spans="26:34">
      <c r="Z68" s="18" t="str">
        <f>VLOOKUP($AA68,Z$2:$AA$52,2,FALSE)</f>
        <v>San Diego</v>
      </c>
      <c r="AA68" s="18">
        <f t="shared" si="30"/>
        <v>13</v>
      </c>
      <c r="AB68" s="18" t="str">
        <f>VLOOKUP($AA68,AB$2:$AH$52,8-AB$1/10,FALSE)</f>
        <v>Kansas City</v>
      </c>
      <c r="AC68" s="18" t="str">
        <f>VLOOKUP($AA68,AC$2:$AH$52,8-AC$1/10,FALSE)</f>
        <v>Chicago</v>
      </c>
      <c r="AD68" s="18" t="str">
        <f>VLOOKUP($AA68,AD$2:$AH$52,8-AD$1/10,FALSE)</f>
        <v>Phoenix</v>
      </c>
      <c r="AE68" s="18" t="str">
        <f>VLOOKUP($AA68,AE$2:$AH$52,8-AE$1/10,FALSE)</f>
        <v>Phoenix</v>
      </c>
      <c r="AF68" s="18" t="str">
        <f>VLOOKUP($AA68,AF$2:$AH$52,8-AF$1/10,FALSE)</f>
        <v>Detroit</v>
      </c>
      <c r="AG68" s="18" t="str">
        <f>VLOOKUP($AA68,AG$2:$AH$52,8-AG$1/10,FALSE)</f>
        <v>Detroit</v>
      </c>
      <c r="AH68" s="18" t="str">
        <f t="shared" si="29"/>
        <v>San Diego</v>
      </c>
    </row>
    <row r="69" spans="26:34">
      <c r="Z69" s="18" t="str">
        <f>VLOOKUP($AA69,Z$2:$AA$52,2,FALSE)</f>
        <v>Philadelphia</v>
      </c>
      <c r="AA69" s="18">
        <f t="shared" si="30"/>
        <v>14</v>
      </c>
      <c r="AB69" s="18" t="str">
        <f>VLOOKUP($AA69,AB$2:$AH$52,8-AB$1/10,FALSE)</f>
        <v>Chicago</v>
      </c>
      <c r="AC69" s="18" t="str">
        <f>VLOOKUP($AA69,AC$2:$AH$52,8-AC$1/10,FALSE)</f>
        <v>Kansas City</v>
      </c>
      <c r="AD69" s="18" t="str">
        <f>VLOOKUP($AA69,AD$2:$AH$52,8-AD$1/10,FALSE)</f>
        <v>Riverside</v>
      </c>
      <c r="AE69" s="18" t="str">
        <f>VLOOKUP($AA69,AE$2:$AH$52,8-AE$1/10,FALSE)</f>
        <v>Seattle</v>
      </c>
      <c r="AF69" s="18" t="str">
        <f>VLOOKUP($AA69,AF$2:$AH$52,8-AF$1/10,FALSE)</f>
        <v>Phoenix</v>
      </c>
      <c r="AG69" s="18" t="str">
        <f>VLOOKUP($AA69,AG$2:$AH$52,8-AG$1/10,FALSE)</f>
        <v>Phoenix</v>
      </c>
      <c r="AH69" s="18" t="str">
        <f t="shared" si="29"/>
        <v>Philadelphia</v>
      </c>
    </row>
    <row r="70" spans="26:34">
      <c r="Z70" s="18" t="str">
        <f>VLOOKUP($AA70,Z$2:$AA$52,2,FALSE)</f>
        <v>Phoenix</v>
      </c>
      <c r="AA70" s="18">
        <f t="shared" si="30"/>
        <v>15</v>
      </c>
      <c r="AB70" s="18" t="str">
        <f>VLOOKUP($AA70,AB$2:$AH$52,8-AB$1/10,FALSE)</f>
        <v>Columbus</v>
      </c>
      <c r="AC70" s="18" t="str">
        <f>VLOOKUP($AA70,AC$2:$AH$52,8-AC$1/10,FALSE)</f>
        <v>Washington</v>
      </c>
      <c r="AD70" s="18" t="str">
        <f>VLOOKUP($AA70,AD$2:$AH$52,8-AD$1/10,FALSE)</f>
        <v>Kansas City</v>
      </c>
      <c r="AE70" s="18" t="str">
        <f>VLOOKUP($AA70,AE$2:$AH$52,8-AE$1/10,FALSE)</f>
        <v>Atlanta</v>
      </c>
      <c r="AF70" s="18" t="str">
        <f>VLOOKUP($AA70,AF$2:$AH$52,8-AF$1/10,FALSE)</f>
        <v>Seattle</v>
      </c>
      <c r="AG70" s="18" t="str">
        <f>VLOOKUP($AA70,AG$2:$AH$52,8-AG$1/10,FALSE)</f>
        <v>Seattle</v>
      </c>
      <c r="AH70" s="18" t="str">
        <f t="shared" si="29"/>
        <v>Phoenix</v>
      </c>
    </row>
    <row r="71" spans="26:34">
      <c r="Z71" s="18" t="str">
        <f>VLOOKUP($AA71,Z$2:$AA$52,2,FALSE)</f>
        <v>Baltimore</v>
      </c>
      <c r="AA71" s="18">
        <f t="shared" si="30"/>
        <v>16</v>
      </c>
      <c r="AB71" s="18" t="str">
        <f>VLOOKUP($AA71,AB$2:$AH$52,8-AB$1/10,FALSE)</f>
        <v>Washington</v>
      </c>
      <c r="AC71" s="18" t="str">
        <f>VLOOKUP($AA71,AC$2:$AH$52,8-AC$1/10,FALSE)</f>
        <v>Baltimore</v>
      </c>
      <c r="AD71" s="18" t="str">
        <f>VLOOKUP($AA71,AD$2:$AH$52,8-AD$1/10,FALSE)</f>
        <v>Denver</v>
      </c>
      <c r="AE71" s="18" t="str">
        <f>VLOOKUP($AA71,AE$2:$AH$52,8-AE$1/10,FALSE)</f>
        <v>St. Louis</v>
      </c>
      <c r="AF71" s="18" t="str">
        <f>VLOOKUP($AA71,AF$2:$AH$52,8-AF$1/10,FALSE)</f>
        <v>St. Louis</v>
      </c>
      <c r="AG71" s="18" t="str">
        <f>VLOOKUP($AA71,AG$2:$AH$52,8-AG$1/10,FALSE)</f>
        <v>St. Louis</v>
      </c>
      <c r="AH71" s="18" t="str">
        <f t="shared" si="29"/>
        <v>Baltimore</v>
      </c>
    </row>
    <row r="72" spans="26:34">
      <c r="Z72" s="18" t="str">
        <f>VLOOKUP($AA72,Z$2:$AA$52,2,FALSE)</f>
        <v>Jacksonville</v>
      </c>
      <c r="AA72" s="18">
        <f t="shared" si="30"/>
        <v>17</v>
      </c>
      <c r="AB72" s="18" t="str">
        <f>VLOOKUP($AA72,AB$2:$AH$52,8-AB$1/10,FALSE)</f>
        <v>Dallas</v>
      </c>
      <c r="AC72" s="18" t="str">
        <f>VLOOKUP($AA72,AC$2:$AH$52,8-AC$1/10,FALSE)</f>
        <v>Dallas</v>
      </c>
      <c r="AD72" s="18" t="str">
        <f>VLOOKUP($AA72,AD$2:$AH$52,8-AD$1/10,FALSE)</f>
        <v>Detroit</v>
      </c>
      <c r="AE72" s="18" t="str">
        <f>VLOOKUP($AA72,AE$2:$AH$52,8-AE$1/10,FALSE)</f>
        <v>San Diego</v>
      </c>
      <c r="AF72" s="18" t="str">
        <f>VLOOKUP($AA72,AF$2:$AH$52,8-AF$1/10,FALSE)</f>
        <v>San Diego</v>
      </c>
      <c r="AG72" s="18" t="str">
        <f>VLOOKUP($AA72,AG$2:$AH$52,8-AG$1/10,FALSE)</f>
        <v>San Diego</v>
      </c>
      <c r="AH72" s="18" t="str">
        <f t="shared" si="29"/>
        <v>Jacksonville</v>
      </c>
    </row>
    <row r="73" spans="26:34">
      <c r="Z73" s="18" t="str">
        <f>VLOOKUP($AA73,Z$2:$AA$52,2,FALSE)</f>
        <v>Kansas City</v>
      </c>
      <c r="AA73" s="18">
        <f t="shared" si="30"/>
        <v>18</v>
      </c>
      <c r="AB73" s="18" t="str">
        <f>VLOOKUP($AA73,AB$2:$AH$52,8-AB$1/10,FALSE)</f>
        <v>Baltimore</v>
      </c>
      <c r="AC73" s="18" t="str">
        <f>VLOOKUP($AA73,AC$2:$AH$52,8-AC$1/10,FALSE)</f>
        <v>Boston</v>
      </c>
      <c r="AD73" s="18" t="str">
        <f>VLOOKUP($AA73,AD$2:$AH$52,8-AD$1/10,FALSE)</f>
        <v>Cleveland</v>
      </c>
      <c r="AE73" s="18" t="str">
        <f>VLOOKUP($AA73,AE$2:$AH$52,8-AE$1/10,FALSE)</f>
        <v>Baltimore</v>
      </c>
      <c r="AF73" s="18" t="str">
        <f>VLOOKUP($AA73,AF$2:$AH$52,8-AF$1/10,FALSE)</f>
        <v>Baltimore</v>
      </c>
      <c r="AG73" s="18" t="str">
        <f>VLOOKUP($AA73,AG$2:$AH$52,8-AG$1/10,FALSE)</f>
        <v>Baltimore</v>
      </c>
      <c r="AH73" s="18" t="str">
        <f t="shared" si="29"/>
        <v>Kansas City</v>
      </c>
    </row>
    <row r="74" spans="26:34">
      <c r="Z74" s="18" t="str">
        <f>VLOOKUP($AA74,Z$2:$AA$52,2,FALSE)</f>
        <v>Detroit</v>
      </c>
      <c r="AA74" s="18">
        <f t="shared" si="30"/>
        <v>19</v>
      </c>
      <c r="AB74" s="18" t="str">
        <f>VLOOKUP($AA74,AB$2:$AH$52,8-AB$1/10,FALSE)</f>
        <v>Sacramento</v>
      </c>
      <c r="AC74" s="18" t="str">
        <f>VLOOKUP($AA74,AC$2:$AH$52,8-AC$1/10,FALSE)</f>
        <v>New Orleans</v>
      </c>
      <c r="AD74" s="18" t="str">
        <f>VLOOKUP($AA74,AD$2:$AH$52,8-AD$1/10,FALSE)</f>
        <v>Jacksonville</v>
      </c>
      <c r="AE74" s="18" t="str">
        <f>VLOOKUP($AA74,AE$2:$AH$52,8-AE$1/10,FALSE)</f>
        <v>Denver</v>
      </c>
      <c r="AF74" s="18" t="str">
        <f>VLOOKUP($AA74,AF$2:$AH$52,8-AF$1/10,FALSE)</f>
        <v>Denver</v>
      </c>
      <c r="AG74" s="18" t="str">
        <f>VLOOKUP($AA74,AG$2:$AH$52,8-AG$1/10,FALSE)</f>
        <v>Denver</v>
      </c>
      <c r="AH74" s="18" t="str">
        <f t="shared" si="29"/>
        <v>Detroit</v>
      </c>
    </row>
    <row r="75" spans="26:34">
      <c r="Z75" s="18" t="str">
        <f>VLOOKUP($AA75,Z$2:$AA$52,2,FALSE)</f>
        <v>Milwaukee</v>
      </c>
      <c r="AA75" s="18">
        <f t="shared" si="30"/>
        <v>20</v>
      </c>
      <c r="AB75" s="18" t="str">
        <f>VLOOKUP($AA75,AB$2:$AH$52,8-AB$1/10,FALSE)</f>
        <v>Boston</v>
      </c>
      <c r="AC75" s="18" t="str">
        <f>VLOOKUP($AA75,AC$2:$AH$52,8-AC$1/10,FALSE)</f>
        <v>Sacramento</v>
      </c>
      <c r="AD75" s="18" t="str">
        <f>VLOOKUP($AA75,AD$2:$AH$52,8-AD$1/10,FALSE)</f>
        <v>San Jose</v>
      </c>
      <c r="AE75" s="18" t="str">
        <f>VLOOKUP($AA75,AE$2:$AH$52,8-AE$1/10,FALSE)</f>
        <v>Pittsburgh</v>
      </c>
      <c r="AF75" s="18" t="str">
        <f>VLOOKUP($AA75,AF$2:$AH$52,8-AF$1/10,FALSE)</f>
        <v>Pittsburgh</v>
      </c>
      <c r="AG75" s="18" t="str">
        <f>VLOOKUP($AA75,AG$2:$AH$52,8-AG$1/10,FALSE)</f>
        <v>Pittsburgh</v>
      </c>
      <c r="AH75" s="18" t="str">
        <f t="shared" si="29"/>
        <v>Milwaukee</v>
      </c>
    </row>
    <row r="76" spans="26:34">
      <c r="Z76" s="18" t="str">
        <f>VLOOKUP($AA76,Z$2:$AA$52,2,FALSE)</f>
        <v>Denver</v>
      </c>
      <c r="AA76" s="18">
        <f t="shared" si="30"/>
        <v>21</v>
      </c>
      <c r="AB76" s="18" t="str">
        <f>VLOOKUP($AA76,AB$2:$AH$52,8-AB$1/10,FALSE)</f>
        <v>Rochester</v>
      </c>
      <c r="AC76" s="18" t="str">
        <f>VLOOKUP($AA76,AC$2:$AH$52,8-AC$1/10,FALSE)</f>
        <v>Houston</v>
      </c>
      <c r="AD76" s="18" t="str">
        <f>VLOOKUP($AA76,AD$2:$AH$52,8-AD$1/10,FALSE)</f>
        <v>Orlando</v>
      </c>
      <c r="AE76" s="18" t="str">
        <f>VLOOKUP($AA76,AE$2:$AH$52,8-AE$1/10,FALSE)</f>
        <v>Riverside</v>
      </c>
      <c r="AF76" s="18" t="str">
        <f>VLOOKUP($AA76,AF$2:$AH$52,8-AF$1/10,FALSE)</f>
        <v>Riverside</v>
      </c>
      <c r="AG76" s="18" t="str">
        <f>VLOOKUP($AA76,AG$2:$AH$52,8-AG$1/10,FALSE)</f>
        <v>Riverside</v>
      </c>
      <c r="AH76" s="18" t="str">
        <f t="shared" si="29"/>
        <v>Denver</v>
      </c>
    </row>
    <row r="77" spans="26:34">
      <c r="Z77" s="18" t="str">
        <f>VLOOKUP($AA77,Z$2:$AA$52,2,FALSE)</f>
        <v>Las Vegas</v>
      </c>
      <c r="AA77" s="18">
        <f t="shared" si="30"/>
        <v>22</v>
      </c>
      <c r="AB77" s="18" t="str">
        <f>VLOOKUP($AA77,AB$2:$AH$52,8-AB$1/10,FALSE)</f>
        <v>Phoenix</v>
      </c>
      <c r="AC77" s="18" t="str">
        <f>VLOOKUP($AA77,AC$2:$AH$52,8-AC$1/10,FALSE)</f>
        <v>San Antonio</v>
      </c>
      <c r="AD77" s="18" t="str">
        <f>VLOOKUP($AA77,AD$2:$AH$52,8-AD$1/10,FALSE)</f>
        <v>Philadelphia</v>
      </c>
      <c r="AE77" s="18" t="str">
        <f>VLOOKUP($AA77,AE$2:$AH$52,8-AE$1/10,FALSE)</f>
        <v>Tampa Bay</v>
      </c>
      <c r="AF77" s="18" t="str">
        <f>VLOOKUP($AA77,AF$2:$AH$52,8-AF$1/10,FALSE)</f>
        <v>Tampa Bay</v>
      </c>
      <c r="AG77" s="18" t="str">
        <f>VLOOKUP($AA77,AG$2:$AH$52,8-AG$1/10,FALSE)</f>
        <v>Tampa Bay</v>
      </c>
      <c r="AH77" s="18" t="str">
        <f t="shared" si="29"/>
        <v>Las Vegas</v>
      </c>
    </row>
    <row r="78" spans="26:34">
      <c r="Z78" s="18" t="str">
        <f>VLOOKUP($AA78,Z$2:$AA$52,2,FALSE)</f>
        <v>Columbus</v>
      </c>
      <c r="AA78" s="18">
        <f t="shared" si="30"/>
        <v>23</v>
      </c>
      <c r="AB78" s="18" t="str">
        <f>VLOOKUP($AA78,AB$2:$AH$52,8-AB$1/10,FALSE)</f>
        <v>Grand Rapids</v>
      </c>
      <c r="AC78" s="18" t="str">
        <f>VLOOKUP($AA78,AC$2:$AH$52,8-AC$1/10,FALSE)</f>
        <v>Miami</v>
      </c>
      <c r="AD78" s="18" t="str">
        <f>VLOOKUP($AA78,AD$2:$AH$52,8-AD$1/10,FALSE)</f>
        <v>Cincinnati</v>
      </c>
      <c r="AE78" s="18" t="str">
        <f>VLOOKUP($AA78,AE$2:$AH$52,8-AE$1/10,FALSE)</f>
        <v>Kansas City</v>
      </c>
      <c r="AF78" s="18" t="str">
        <f>VLOOKUP($AA78,AF$2:$AH$52,8-AF$1/10,FALSE)</f>
        <v>Kansas City</v>
      </c>
      <c r="AG78" s="18" t="str">
        <f>VLOOKUP($AA78,AG$2:$AH$52,8-AG$1/10,FALSE)</f>
        <v>Kansas City</v>
      </c>
      <c r="AH78" s="18" t="str">
        <f t="shared" si="29"/>
        <v>Columbus</v>
      </c>
    </row>
    <row r="79" spans="26:34">
      <c r="Z79" s="18" t="str">
        <f>VLOOKUP($AA79,Z$2:$AA$52,2,FALSE)</f>
        <v>Orlando</v>
      </c>
      <c r="AA79" s="18">
        <f t="shared" si="30"/>
        <v>24</v>
      </c>
      <c r="AB79" s="18" t="str">
        <f>VLOOKUP($AA79,AB$2:$AH$52,8-AB$1/10,FALSE)</f>
        <v>Honolulu</v>
      </c>
      <c r="AC79" s="18" t="str">
        <f>VLOOKUP($AA79,AC$2:$AH$52,8-AC$1/10,FALSE)</f>
        <v>Orlando</v>
      </c>
      <c r="AD79" s="18" t="str">
        <f>VLOOKUP($AA79,AD$2:$AH$52,8-AD$1/10,FALSE)</f>
        <v>Portland</v>
      </c>
      <c r="AE79" s="18" t="str">
        <f>VLOOKUP($AA79,AE$2:$AH$52,8-AE$1/10,FALSE)</f>
        <v>Cincinnati</v>
      </c>
      <c r="AF79" s="18" t="str">
        <f>VLOOKUP($AA79,AF$2:$AH$52,8-AF$1/10,FALSE)</f>
        <v>Cincinnati</v>
      </c>
      <c r="AG79" s="18" t="str">
        <f>VLOOKUP($AA79,AG$2:$AH$52,8-AG$1/10,FALSE)</f>
        <v>Cincinnati</v>
      </c>
      <c r="AH79" s="18" t="str">
        <f t="shared" si="29"/>
        <v>Orlando</v>
      </c>
    </row>
    <row r="80" spans="26:34">
      <c r="Z80" s="18" t="str">
        <f>VLOOKUP($AA80,Z$2:$AA$52,2,FALSE)</f>
        <v>Seattle</v>
      </c>
      <c r="AA80" s="18">
        <f t="shared" si="30"/>
        <v>25</v>
      </c>
      <c r="AB80" s="18" t="str">
        <f>VLOOKUP($AA80,AB$2:$AH$52,8-AB$1/10,FALSE)</f>
        <v>Denver</v>
      </c>
      <c r="AC80" s="18" t="str">
        <f>VLOOKUP($AA80,AC$2:$AH$52,8-AC$1/10,FALSE)</f>
        <v>Rochester</v>
      </c>
      <c r="AD80" s="18" t="str">
        <f>VLOOKUP($AA80,AD$2:$AH$52,8-AD$1/10,FALSE)</f>
        <v>Tampa Bay</v>
      </c>
      <c r="AE80" s="18" t="str">
        <f>VLOOKUP($AA80,AE$2:$AH$52,8-AE$1/10,FALSE)</f>
        <v>Portland</v>
      </c>
      <c r="AF80" s="18" t="str">
        <f>VLOOKUP($AA80,AF$2:$AH$52,8-AF$1/10,FALSE)</f>
        <v>Portland</v>
      </c>
      <c r="AG80" s="18" t="str">
        <f>VLOOKUP($AA80,AG$2:$AH$52,8-AG$1/10,FALSE)</f>
        <v>Portland</v>
      </c>
      <c r="AH80" s="18" t="str">
        <f t="shared" si="29"/>
        <v>Seattle</v>
      </c>
    </row>
    <row r="81" spans="26:34">
      <c r="Z81" s="18" t="str">
        <f>VLOOKUP($AA81,Z$2:$AA$52,2,FALSE)</f>
        <v>Cleveland</v>
      </c>
      <c r="AA81" s="18">
        <f t="shared" si="30"/>
        <v>26</v>
      </c>
      <c r="AB81" s="18" t="str">
        <f>VLOOKUP($AA81,AB$2:$AH$52,8-AB$1/10,FALSE)</f>
        <v>Orlando</v>
      </c>
      <c r="AC81" s="18" t="str">
        <f>VLOOKUP($AA81,AC$2:$AH$52,8-AC$1/10,FALSE)</f>
        <v>Phoenix</v>
      </c>
      <c r="AD81" s="18" t="str">
        <f>VLOOKUP($AA81,AD$2:$AH$52,8-AD$1/10,FALSE)</f>
        <v>Columbus</v>
      </c>
      <c r="AE81" s="18" t="str">
        <f>VLOOKUP($AA81,AE$2:$AH$52,8-AE$1/10,FALSE)</f>
        <v>Cleveland</v>
      </c>
      <c r="AF81" s="18" t="str">
        <f>VLOOKUP($AA81,AF$2:$AH$52,8-AF$1/10,FALSE)</f>
        <v>Cleveland</v>
      </c>
      <c r="AG81" s="18" t="str">
        <f>VLOOKUP($AA81,AG$2:$AH$52,8-AG$1/10,FALSE)</f>
        <v>Cleveland</v>
      </c>
      <c r="AH81" s="18" t="str">
        <f t="shared" si="29"/>
        <v>Cleveland</v>
      </c>
    </row>
    <row r="82" spans="26:34">
      <c r="Z82" s="18" t="str">
        <f>VLOOKUP($AA82,Z$2:$AA$52,2,FALSE)</f>
        <v>Salt Lake City</v>
      </c>
      <c r="AA82" s="18">
        <f t="shared" si="30"/>
        <v>27</v>
      </c>
      <c r="AB82" s="18" t="str">
        <f>VLOOKUP($AA82,AB$2:$AH$52,8-AB$1/10,FALSE)</f>
        <v>Houston</v>
      </c>
      <c r="AC82" s="18" t="str">
        <f>VLOOKUP($AA82,AC$2:$AH$52,8-AC$1/10,FALSE)</f>
        <v>Buffalo</v>
      </c>
      <c r="AD82" s="18" t="str">
        <f>VLOOKUP($AA82,AD$2:$AH$52,8-AD$1/10,FALSE)</f>
        <v>Indianapolis</v>
      </c>
      <c r="AE82" s="18" t="str">
        <f>VLOOKUP($AA82,AE$2:$AH$52,8-AE$1/10,FALSE)</f>
        <v>Jacksonville</v>
      </c>
      <c r="AF82" s="18" t="str">
        <f>VLOOKUP($AA82,AF$2:$AH$52,8-AF$1/10,FALSE)</f>
        <v>Jacksonville</v>
      </c>
      <c r="AG82" s="18" t="str">
        <f>VLOOKUP($AA82,AG$2:$AH$52,8-AG$1/10,FALSE)</f>
        <v>Jacksonville</v>
      </c>
      <c r="AH82" s="18" t="str">
        <f t="shared" si="29"/>
        <v>Salt Lake City</v>
      </c>
    </row>
    <row r="83" spans="26:34">
      <c r="Z83" s="18" t="str">
        <f>VLOOKUP($AA83,Z$2:$AA$52,2,FALSE)</f>
        <v>Atlanta</v>
      </c>
      <c r="AA83" s="18">
        <f t="shared" si="30"/>
        <v>28</v>
      </c>
      <c r="AB83" s="18" t="str">
        <f>VLOOKUP($AA83,AB$2:$AH$52,8-AB$1/10,FALSE)</f>
        <v>San Antonio</v>
      </c>
      <c r="AC83" s="18" t="str">
        <f>VLOOKUP($AA83,AC$2:$AH$52,8-AC$1/10,FALSE)</f>
        <v>Denver</v>
      </c>
      <c r="AD83" s="18" t="str">
        <f>VLOOKUP($AA83,AD$2:$AH$52,8-AD$1/10,FALSE)</f>
        <v>Milwaukee</v>
      </c>
      <c r="AE83" s="18" t="str">
        <f>VLOOKUP($AA83,AE$2:$AH$52,8-AE$1/10,FALSE)</f>
        <v>San Jose</v>
      </c>
      <c r="AF83" s="18" t="str">
        <f>VLOOKUP($AA83,AF$2:$AH$52,8-AF$1/10,FALSE)</f>
        <v>San Jose</v>
      </c>
      <c r="AG83" s="18" t="str">
        <f>VLOOKUP($AA83,AG$2:$AH$52,8-AG$1/10,FALSE)</f>
        <v>San Jose</v>
      </c>
      <c r="AH83" s="18" t="str">
        <f t="shared" si="29"/>
        <v>Atlanta</v>
      </c>
    </row>
    <row r="84" spans="26:34">
      <c r="Z84" s="18" t="str">
        <f>VLOOKUP($AA84,Z$2:$AA$52,2,FALSE)</f>
        <v>San Antonio</v>
      </c>
      <c r="AA84" s="18">
        <f t="shared" si="30"/>
        <v>29</v>
      </c>
      <c r="AB84" s="18" t="str">
        <f>VLOOKUP($AA84,AB$2:$AH$52,8-AB$1/10,FALSE)</f>
        <v>Miami</v>
      </c>
      <c r="AC84" s="18" t="str">
        <f>VLOOKUP($AA84,AC$2:$AH$52,8-AC$1/10,FALSE)</f>
        <v>Austin</v>
      </c>
      <c r="AD84" s="18" t="str">
        <f>VLOOKUP($AA84,AD$2:$AH$52,8-AD$1/10,FALSE)</f>
        <v>Las Vegas</v>
      </c>
      <c r="AE84" s="18" t="str">
        <f>VLOOKUP($AA84,AE$2:$AH$52,8-AE$1/10,FALSE)</f>
        <v>Orlando</v>
      </c>
      <c r="AF84" s="18" t="str">
        <f>VLOOKUP($AA84,AF$2:$AH$52,8-AF$1/10,FALSE)</f>
        <v>Orlando</v>
      </c>
      <c r="AG84" s="18" t="str">
        <f>VLOOKUP($AA84,AG$2:$AH$52,8-AG$1/10,FALSE)</f>
        <v>Orlando</v>
      </c>
      <c r="AH84" s="18" t="str">
        <f t="shared" si="29"/>
        <v>San Antonio</v>
      </c>
    </row>
    <row r="85" spans="26:34">
      <c r="Z85" s="18" t="str">
        <f>VLOOKUP($AA85,Z$2:$AA$52,2,FALSE)</f>
        <v>Cincinnati</v>
      </c>
      <c r="AA85" s="18">
        <f t="shared" si="30"/>
        <v>30</v>
      </c>
      <c r="AB85" s="18" t="str">
        <f>VLOOKUP($AA85,AB$2:$AH$52,8-AB$1/10,FALSE)</f>
        <v>Buffalo</v>
      </c>
      <c r="AC85" s="18" t="str">
        <f>VLOOKUP($AA85,AC$2:$AH$52,8-AC$1/10,FALSE)</f>
        <v>Louisville</v>
      </c>
      <c r="AD85" s="18" t="str">
        <f>VLOOKUP($AA85,AD$2:$AH$52,8-AD$1/10,FALSE)</f>
        <v>Charlotte</v>
      </c>
      <c r="AE85" s="18" t="str">
        <f>VLOOKUP($AA85,AE$2:$AH$52,8-AE$1/10,FALSE)</f>
        <v>Columbus</v>
      </c>
      <c r="AF85" s="18" t="str">
        <f>VLOOKUP($AA85,AF$2:$AH$52,8-AF$1/10,FALSE)</f>
        <v>Columbus</v>
      </c>
      <c r="AG85" s="18" t="str">
        <f>VLOOKUP($AA85,AG$2:$AH$52,8-AG$1/10,FALSE)</f>
        <v>Columbus</v>
      </c>
      <c r="AH85" s="18" t="str">
        <f t="shared" si="29"/>
        <v>Cincinnati</v>
      </c>
    </row>
    <row r="86" spans="26:34">
      <c r="Z86" s="18" t="str">
        <f>VLOOKUP($AA86,Z$2:$AA$52,2,FALSE)</f>
        <v>Portland</v>
      </c>
      <c r="AA86" s="18">
        <f t="shared" si="30"/>
        <v>31</v>
      </c>
      <c r="AB86" s="18" t="str">
        <f>VLOOKUP($AA86,AB$2:$AH$52,8-AB$1/10,FALSE)</f>
        <v>Austin</v>
      </c>
      <c r="AC86" s="18" t="str">
        <f>VLOOKUP($AA86,AC$2:$AH$52,8-AC$1/10,FALSE)</f>
        <v>Detroit</v>
      </c>
      <c r="AD86" s="18" t="str">
        <f>VLOOKUP($AA86,AD$2:$AH$52,8-AD$1/10,FALSE)</f>
        <v>Pittsburgh</v>
      </c>
      <c r="AE86" s="18" t="str">
        <f>VLOOKUP($AA86,AE$2:$AH$52,8-AE$1/10,FALSE)</f>
        <v>Indianapolis</v>
      </c>
      <c r="AF86" s="18" t="str">
        <f>VLOOKUP($AA86,AF$2:$AH$52,8-AF$1/10,FALSE)</f>
        <v>Indianapolis</v>
      </c>
      <c r="AG86" s="18" t="str">
        <f>VLOOKUP($AA86,AG$2:$AH$52,8-AG$1/10,FALSE)</f>
        <v>Indianapolis</v>
      </c>
      <c r="AH86" s="18" t="str">
        <f t="shared" si="29"/>
        <v>Portland</v>
      </c>
    </row>
    <row r="87" spans="26:34">
      <c r="Z87" s="18" t="str">
        <f>VLOOKUP($AA87,Z$2:$AA$52,2,FALSE)</f>
        <v>Sacramento</v>
      </c>
      <c r="AA87" s="18">
        <f t="shared" si="30"/>
        <v>32</v>
      </c>
      <c r="AB87" s="18" t="str">
        <f>VLOOKUP($AA87,AB$2:$AH$52,8-AB$1/10,FALSE)</f>
        <v>Louisville</v>
      </c>
      <c r="AC87" s="18" t="str">
        <f>VLOOKUP($AA87,AC$2:$AH$52,8-AC$1/10,FALSE)</f>
        <v>Cleveland</v>
      </c>
      <c r="AD87" s="18" t="str">
        <f>VLOOKUP($AA87,AD$2:$AH$52,8-AD$1/10,FALSE)</f>
        <v>San Antonio</v>
      </c>
      <c r="AE87" s="18" t="str">
        <f>VLOOKUP($AA87,AE$2:$AH$52,8-AE$1/10,FALSE)</f>
        <v>Milwaukee</v>
      </c>
      <c r="AF87" s="18" t="str">
        <f>VLOOKUP($AA87,AF$2:$AH$52,8-AF$1/10,FALSE)</f>
        <v>Milwaukee</v>
      </c>
      <c r="AG87" s="18" t="str">
        <f>VLOOKUP($AA87,AG$2:$AH$52,8-AG$1/10,FALSE)</f>
        <v>Milwaukee</v>
      </c>
      <c r="AH87" s="18" t="str">
        <f t="shared" si="29"/>
        <v>Sacramento</v>
      </c>
    </row>
    <row r="88" spans="26:34">
      <c r="Z88" s="18" t="str">
        <f>VLOOKUP($AA88,Z$2:$AA$52,2,FALSE)</f>
        <v>Tampa Bay</v>
      </c>
      <c r="AA88" s="18">
        <f t="shared" si="30"/>
        <v>33</v>
      </c>
      <c r="AB88" s="18" t="str">
        <f>VLOOKUP($AA88,AB$2:$AH$52,8-AB$1/10,FALSE)</f>
        <v>Detroit</v>
      </c>
      <c r="AC88" s="18" t="str">
        <f>VLOOKUP($AA88,AC$2:$AH$52,8-AC$1/10,FALSE)</f>
        <v>Nashville</v>
      </c>
      <c r="AD88" s="18" t="str">
        <f>VLOOKUP($AA88,AD$2:$AH$52,8-AD$1/10,FALSE)</f>
        <v>Seattle</v>
      </c>
      <c r="AE88" s="18" t="str">
        <f>VLOOKUP($AA88,AE$2:$AH$52,8-AE$1/10,FALSE)</f>
        <v>Las Vegas</v>
      </c>
      <c r="AF88" s="18" t="str">
        <f>VLOOKUP($AA88,AF$2:$AH$52,8-AF$1/10,FALSE)</f>
        <v>Las Vegas</v>
      </c>
      <c r="AG88" s="18" t="str">
        <f>VLOOKUP($AA88,AG$2:$AH$52,8-AG$1/10,FALSE)</f>
        <v>Las Vegas</v>
      </c>
      <c r="AH88" s="18" t="str">
        <f t="shared" si="29"/>
        <v>Tampa Bay</v>
      </c>
    </row>
    <row r="89" spans="26:34">
      <c r="Z89" s="18" t="str">
        <f>VLOOKUP($AA89,Z$2:$AA$52,2,FALSE)</f>
        <v>Pittsburgh</v>
      </c>
      <c r="AA89" s="18">
        <f t="shared" si="30"/>
        <v>34</v>
      </c>
      <c r="AB89" s="18" t="str">
        <f>VLOOKUP($AA89,AB$2:$AH$52,8-AB$1/10,FALSE)</f>
        <v>Cleveland</v>
      </c>
      <c r="AC89" s="18" t="str">
        <f>VLOOKUP($AA89,AC$2:$AH$52,8-AC$1/10,FALSE)</f>
        <v>Philadelphia</v>
      </c>
      <c r="AD89" s="18" t="str">
        <f>VLOOKUP($AA89,AD$2:$AH$52,8-AD$1/10,FALSE)</f>
        <v>Nashville</v>
      </c>
      <c r="AE89" s="18" t="str">
        <f>VLOOKUP($AA89,AE$2:$AH$52,8-AE$1/10,FALSE)</f>
        <v>Charlotte</v>
      </c>
      <c r="AF89" s="18" t="str">
        <f>VLOOKUP($AA89,AF$2:$AH$52,8-AF$1/10,FALSE)</f>
        <v>Charlotte</v>
      </c>
      <c r="AG89" s="18" t="str">
        <f>VLOOKUP($AA89,AG$2:$AH$52,8-AG$1/10,FALSE)</f>
        <v>Charlotte</v>
      </c>
      <c r="AH89" s="18" t="str">
        <f t="shared" si="29"/>
        <v>Pittsburgh</v>
      </c>
    </row>
    <row r="90" spans="26:34">
      <c r="Z90" s="18" t="str">
        <f>VLOOKUP($AA90,Z$2:$AA$52,2,FALSE)</f>
        <v>New Orleans</v>
      </c>
      <c r="AA90" s="18">
        <f t="shared" si="30"/>
        <v>35</v>
      </c>
      <c r="AB90" s="18" t="str">
        <f>VLOOKUP($AA90,AB$2:$AH$52,8-AB$1/10,FALSE)</f>
        <v>Nashville</v>
      </c>
      <c r="AC90" s="18" t="str">
        <f>VLOOKUP($AA90,AC$2:$AH$52,8-AC$1/10,FALSE)</f>
        <v>Virginia Beach</v>
      </c>
      <c r="AD90" s="18" t="str">
        <f>VLOOKUP($AA90,AD$2:$AH$52,8-AD$1/10,FALSE)</f>
        <v>Austin</v>
      </c>
      <c r="AE90" s="18" t="str">
        <f>VLOOKUP($AA90,AE$2:$AH$52,8-AE$1/10,FALSE)</f>
        <v>San Antonio</v>
      </c>
      <c r="AF90" s="18" t="str">
        <f>VLOOKUP($AA90,AF$2:$AH$52,8-AF$1/10,FALSE)</f>
        <v>San Antonio</v>
      </c>
      <c r="AG90" s="18" t="str">
        <f>VLOOKUP($AA90,AG$2:$AH$52,8-AG$1/10,FALSE)</f>
        <v>San Antonio</v>
      </c>
      <c r="AH90" s="18" t="str">
        <f t="shared" si="29"/>
        <v>New Orleans</v>
      </c>
    </row>
    <row r="91" spans="26:34">
      <c r="Z91" s="18" t="str">
        <f>VLOOKUP($AA91,Z$2:$AA$52,2,FALSE)</f>
        <v>St. Louis</v>
      </c>
      <c r="AA91" s="18">
        <f t="shared" si="30"/>
        <v>36</v>
      </c>
      <c r="AB91" s="18" t="str">
        <f>VLOOKUP($AA91,AB$2:$AH$52,8-AB$1/10,FALSE)</f>
        <v>Virginia Beach</v>
      </c>
      <c r="AC91" s="18" t="str">
        <f>VLOOKUP($AA91,AC$2:$AH$52,8-AC$1/10,FALSE)</f>
        <v>Hartford</v>
      </c>
      <c r="AD91" s="18" t="str">
        <f>VLOOKUP($AA91,AD$2:$AH$52,8-AD$1/10,FALSE)</f>
        <v>St. Louis</v>
      </c>
      <c r="AE91" s="18" t="str">
        <f>VLOOKUP($AA91,AE$2:$AH$52,8-AE$1/10,FALSE)</f>
        <v>Nashville</v>
      </c>
      <c r="AF91" s="18" t="str">
        <f>VLOOKUP($AA91,AF$2:$AH$52,8-AF$1/10,FALSE)</f>
        <v>Nashville</v>
      </c>
      <c r="AG91" s="18" t="str">
        <f>VLOOKUP($AA91,AG$2:$AH$52,8-AG$1/10,FALSE)</f>
        <v>Nashville</v>
      </c>
      <c r="AH91" s="18" t="str">
        <f t="shared" si="29"/>
        <v>St. Louis</v>
      </c>
    </row>
    <row r="92" spans="26:34">
      <c r="Z92" s="18" t="str">
        <f>VLOOKUP($AA92,Z$2:$AA$52,2,FALSE)</f>
        <v>Indianapolis</v>
      </c>
      <c r="AA92" s="18">
        <f t="shared" si="30"/>
        <v>37</v>
      </c>
      <c r="AB92" s="18" t="str">
        <f>VLOOKUP($AA92,AB$2:$AH$52,8-AB$1/10,FALSE)</f>
        <v>Oklahoma City</v>
      </c>
      <c r="AC92" s="18" t="str">
        <f>VLOOKUP($AA92,AC$2:$AH$52,8-AC$1/10,FALSE)</f>
        <v>Oklahoma City</v>
      </c>
      <c r="AD92" s="18" t="str">
        <f>VLOOKUP($AA92,AD$2:$AH$52,8-AD$1/10,FALSE)</f>
        <v>Atlanta</v>
      </c>
      <c r="AE92" s="18" t="str">
        <f>VLOOKUP($AA92,AE$2:$AH$52,8-AE$1/10,FALSE)</f>
        <v>Austin</v>
      </c>
      <c r="AF92" s="18" t="str">
        <f>VLOOKUP($AA92,AF$2:$AH$52,8-AF$1/10,FALSE)</f>
        <v>Austin</v>
      </c>
      <c r="AG92" s="18" t="str">
        <f>VLOOKUP($AA92,AG$2:$AH$52,8-AG$1/10,FALSE)</f>
        <v>Austin</v>
      </c>
      <c r="AH92" s="18" t="str">
        <f t="shared" si="29"/>
        <v>Indianapolis</v>
      </c>
    </row>
    <row r="93" spans="26:34">
      <c r="Z93" s="18" t="str">
        <f>VLOOKUP($AA93,Z$2:$AA$52,2,FALSE)</f>
        <v>Austin</v>
      </c>
      <c r="AA93" s="18">
        <f t="shared" si="30"/>
        <v>38</v>
      </c>
      <c r="AB93" s="18" t="str">
        <f>VLOOKUP($AA93,AB$2:$AH$52,8-AB$1/10,FALSE)</f>
        <v>Philadelphia</v>
      </c>
      <c r="AC93" s="18" t="str">
        <f>VLOOKUP($AA93,AC$2:$AH$52,8-AC$1/10,FALSE)</f>
        <v>Indianapolis</v>
      </c>
      <c r="AD93" s="18" t="str">
        <f>VLOOKUP($AA93,AD$2:$AH$52,8-AD$1/10,FALSE)</f>
        <v>Sacramento</v>
      </c>
      <c r="AE93" s="18" t="str">
        <f>VLOOKUP($AA93,AE$2:$AH$52,8-AE$1/10,FALSE)</f>
        <v>Sacramento</v>
      </c>
      <c r="AF93" s="18" t="str">
        <f>VLOOKUP($AA93,AF$2:$AH$52,8-AF$1/10,FALSE)</f>
        <v>Sacramento</v>
      </c>
      <c r="AG93" s="18" t="str">
        <f>VLOOKUP($AA93,AG$2:$AH$52,8-AG$1/10,FALSE)</f>
        <v>Sacramento</v>
      </c>
      <c r="AH93" s="18" t="str">
        <f t="shared" si="29"/>
        <v>Austin</v>
      </c>
    </row>
    <row r="94" spans="26:34">
      <c r="Z94" s="18" t="str">
        <f>VLOOKUP($AA94,Z$2:$AA$52,2,FALSE)</f>
        <v>Nashville</v>
      </c>
      <c r="AA94" s="18">
        <f t="shared" si="30"/>
        <v>39</v>
      </c>
      <c r="AB94" s="18" t="str">
        <f>VLOOKUP($AA94,AB$2:$AH$52,8-AB$1/10,FALSE)</f>
        <v>Portland</v>
      </c>
      <c r="AC94" s="18" t="str">
        <f>VLOOKUP($AA94,AC$2:$AH$52,8-AC$1/10,FALSE)</f>
        <v>Memphis</v>
      </c>
      <c r="AD94" s="18" t="str">
        <f>VLOOKUP($AA94,AD$2:$AH$52,8-AD$1/10,FALSE)</f>
        <v>Virginia Beach</v>
      </c>
      <c r="AE94" s="18" t="str">
        <f>VLOOKUP($AA94,AE$2:$AH$52,8-AE$1/10,FALSE)</f>
        <v>Virginia Beach</v>
      </c>
      <c r="AF94" s="18" t="str">
        <f>VLOOKUP($AA94,AF$2:$AH$52,8-AF$1/10,FALSE)</f>
        <v>Virginia Beach</v>
      </c>
      <c r="AG94" s="18" t="str">
        <f>VLOOKUP($AA94,AG$2:$AH$52,8-AG$1/10,FALSE)</f>
        <v>Virginia Beach</v>
      </c>
      <c r="AH94" s="18" t="str">
        <f t="shared" si="29"/>
        <v>Nashville</v>
      </c>
    </row>
    <row r="95" spans="26:34">
      <c r="Z95" s="18" t="str">
        <f>VLOOKUP($AA95,Z$2:$AA$52,2,FALSE)</f>
        <v>Charlotte</v>
      </c>
      <c r="AA95" s="18">
        <f t="shared" si="30"/>
        <v>40</v>
      </c>
      <c r="AB95" s="18" t="str">
        <f>VLOOKUP($AA95,AB$2:$AH$52,8-AB$1/10,FALSE)</f>
        <v>Hartford</v>
      </c>
      <c r="AC95" s="18" t="str">
        <f>VLOOKUP($AA95,AC$2:$AH$52,8-AC$1/10,FALSE)</f>
        <v>Portland</v>
      </c>
      <c r="AD95" s="18" t="str">
        <f>VLOOKUP($AA95,AD$2:$AH$52,8-AD$1/10,FALSE)</f>
        <v>Providence</v>
      </c>
      <c r="AE95" s="18" t="str">
        <f>VLOOKUP($AA95,AE$2:$AH$52,8-AE$1/10,FALSE)</f>
        <v>Providence</v>
      </c>
      <c r="AF95" s="18" t="str">
        <f>VLOOKUP($AA95,AF$2:$AH$52,8-AF$1/10,FALSE)</f>
        <v>Providence</v>
      </c>
      <c r="AG95" s="18" t="str">
        <f>VLOOKUP($AA95,AG$2:$AH$52,8-AG$1/10,FALSE)</f>
        <v>Providence</v>
      </c>
      <c r="AH95" s="18" t="str">
        <f t="shared" si="29"/>
        <v>Charlotte</v>
      </c>
    </row>
    <row r="96" spans="26:34">
      <c r="Z96" s="18" t="str">
        <f>VLOOKUP($AA96,Z$2:$AA$52,2,FALSE)</f>
        <v>Virginia Beach</v>
      </c>
      <c r="AA96" s="18">
        <f t="shared" si="30"/>
        <v>41</v>
      </c>
      <c r="AB96" s="18" t="str">
        <f>VLOOKUP($AA96,AB$2:$AH$52,8-AB$1/10,FALSE)</f>
        <v>Indianapolis</v>
      </c>
      <c r="AC96" s="18" t="str">
        <f>VLOOKUP($AA96,AC$2:$AH$52,8-AC$1/10,FALSE)</f>
        <v>Cincinnati</v>
      </c>
      <c r="AD96" s="18" t="str">
        <f>VLOOKUP($AA96,AD$2:$AH$52,8-AD$1/10,FALSE)</f>
        <v>Hartford</v>
      </c>
      <c r="AE96" s="18" t="str">
        <f>VLOOKUP($AA96,AE$2:$AH$52,8-AE$1/10,FALSE)</f>
        <v>Hartford</v>
      </c>
      <c r="AF96" s="18" t="str">
        <f>VLOOKUP($AA96,AF$2:$AH$52,8-AF$1/10,FALSE)</f>
        <v>Hartford</v>
      </c>
      <c r="AG96" s="18" t="str">
        <f>VLOOKUP($AA96,AG$2:$AH$52,8-AG$1/10,FALSE)</f>
        <v>Hartford</v>
      </c>
      <c r="AH96" s="18" t="str">
        <f t="shared" si="29"/>
        <v>Virginia Beach</v>
      </c>
    </row>
    <row r="97" spans="26:34">
      <c r="Z97" s="18" t="str">
        <f>VLOOKUP($AA97,Z$2:$AA$52,2,FALSE)</f>
        <v>Louisville</v>
      </c>
      <c r="AA97" s="18">
        <f t="shared" si="30"/>
        <v>42</v>
      </c>
      <c r="AB97" s="18" t="str">
        <f>VLOOKUP($AA97,AB$2:$AH$52,8-AB$1/10,FALSE)</f>
        <v>Memphis</v>
      </c>
      <c r="AC97" s="18" t="str">
        <f>VLOOKUP($AA97,AC$2:$AH$52,8-AC$1/10,FALSE)</f>
        <v>Honolulu</v>
      </c>
      <c r="AD97" s="18" t="str">
        <f>VLOOKUP($AA97,AD$2:$AH$52,8-AD$1/10,FALSE)</f>
        <v>Salt Lake City</v>
      </c>
      <c r="AE97" s="18" t="str">
        <f>VLOOKUP($AA97,AE$2:$AH$52,8-AE$1/10,FALSE)</f>
        <v>Salt Lake City</v>
      </c>
      <c r="AF97" s="18" t="str">
        <f>VLOOKUP($AA97,AF$2:$AH$52,8-AF$1/10,FALSE)</f>
        <v>Salt Lake City</v>
      </c>
      <c r="AG97" s="18" t="str">
        <f>VLOOKUP($AA97,AG$2:$AH$52,8-AG$1/10,FALSE)</f>
        <v>Salt Lake City</v>
      </c>
      <c r="AH97" s="18" t="str">
        <f t="shared" si="29"/>
        <v>Louisville</v>
      </c>
    </row>
    <row r="98" spans="26:34">
      <c r="Z98" s="18" t="str">
        <f>VLOOKUP($AA98,Z$2:$AA$52,2,FALSE)</f>
        <v>Buffalo</v>
      </c>
      <c r="AA98" s="18">
        <f t="shared" si="30"/>
        <v>43</v>
      </c>
      <c r="AB98" s="18" t="str">
        <f>VLOOKUP($AA98,AB$2:$AH$52,8-AB$1/10,FALSE)</f>
        <v>Seattle</v>
      </c>
      <c r="AC98" s="18" t="str">
        <f>VLOOKUP($AA98,AC$2:$AH$52,8-AC$1/10,FALSE)</f>
        <v>Providence</v>
      </c>
      <c r="AD98" s="18" t="str">
        <f>VLOOKUP($AA98,AD$2:$AH$52,8-AD$1/10,FALSE)</f>
        <v>Louisville</v>
      </c>
      <c r="AE98" s="18" t="str">
        <f>VLOOKUP($AA98,AE$2:$AH$52,8-AE$1/10,FALSE)</f>
        <v>Louisville</v>
      </c>
      <c r="AF98" s="18" t="str">
        <f>VLOOKUP($AA98,AF$2:$AH$52,8-AF$1/10,FALSE)</f>
        <v>Louisville</v>
      </c>
      <c r="AG98" s="18" t="str">
        <f>VLOOKUP($AA98,AG$2:$AH$52,8-AG$1/10,FALSE)</f>
        <v>Louisville</v>
      </c>
      <c r="AH98" s="18" t="str">
        <f t="shared" si="29"/>
        <v>Buffalo</v>
      </c>
    </row>
    <row r="99" spans="26:34">
      <c r="Z99" s="18" t="str">
        <f>VLOOKUP($AA99,Z$2:$AA$52,2,FALSE)</f>
        <v>Providence</v>
      </c>
      <c r="AA99" s="18">
        <f t="shared" si="30"/>
        <v>44</v>
      </c>
      <c r="AB99" s="18" t="str">
        <f>VLOOKUP($AA99,AB$2:$AH$52,8-AB$1/10,FALSE)</f>
        <v>Cincinnati</v>
      </c>
      <c r="AC99" s="18" t="str">
        <f>VLOOKUP($AA99,AC$2:$AH$52,8-AC$1/10,FALSE)</f>
        <v>Charlotte</v>
      </c>
      <c r="AD99" s="18" t="str">
        <f>VLOOKUP($AA99,AD$2:$AH$52,8-AD$1/10,FALSE)</f>
        <v>Memphis</v>
      </c>
      <c r="AE99" s="18" t="str">
        <f>VLOOKUP($AA99,AE$2:$AH$52,8-AE$1/10,FALSE)</f>
        <v>Memphis</v>
      </c>
      <c r="AF99" s="18" t="str">
        <f>VLOOKUP($AA99,AF$2:$AH$52,8-AF$1/10,FALSE)</f>
        <v>Memphis</v>
      </c>
      <c r="AG99" s="18" t="str">
        <f>VLOOKUP($AA99,AG$2:$AH$52,8-AG$1/10,FALSE)</f>
        <v>Memphis</v>
      </c>
      <c r="AH99" s="18" t="str">
        <f t="shared" si="29"/>
        <v>Providence</v>
      </c>
    </row>
    <row r="100" spans="26:34">
      <c r="Z100" s="18" t="str">
        <f>VLOOKUP($AA100,Z$2:$AA$52,2,FALSE)</f>
        <v>Rochester</v>
      </c>
      <c r="AA100" s="18">
        <f t="shared" si="30"/>
        <v>45</v>
      </c>
      <c r="AB100" s="18" t="str">
        <f>VLOOKUP($AA100,AB$2:$AH$52,8-AB$1/10,FALSE)</f>
        <v>Providence</v>
      </c>
      <c r="AC100" s="18" t="str">
        <f>VLOOKUP($AA100,AC$2:$AH$52,8-AC$1/10,FALSE)</f>
        <v>Raleigh</v>
      </c>
      <c r="AD100" s="18" t="str">
        <f>VLOOKUP($AA100,AD$2:$AH$52,8-AD$1/10,FALSE)</f>
        <v>Buffalo</v>
      </c>
      <c r="AE100" s="18" t="str">
        <f>VLOOKUP($AA100,AE$2:$AH$52,8-AE$1/10,FALSE)</f>
        <v>Buffalo</v>
      </c>
      <c r="AF100" s="18" t="str">
        <f>VLOOKUP($AA100,AF$2:$AH$52,8-AF$1/10,FALSE)</f>
        <v>Buffalo</v>
      </c>
      <c r="AG100" s="18" t="str">
        <f>VLOOKUP($AA100,AG$2:$AH$52,8-AG$1/10,FALSE)</f>
        <v>Buffalo</v>
      </c>
      <c r="AH100" s="18" t="str">
        <f t="shared" si="29"/>
        <v>Rochester</v>
      </c>
    </row>
    <row r="101" spans="26:34">
      <c r="Z101" s="18" t="str">
        <f>VLOOKUP($AA101,Z$2:$AA$52,2,FALSE)</f>
        <v>Hartford</v>
      </c>
      <c r="AA101" s="18">
        <f t="shared" si="30"/>
        <v>46</v>
      </c>
      <c r="AB101" s="18" t="str">
        <f>VLOOKUP($AA101,AB$2:$AH$52,8-AB$1/10,FALSE)</f>
        <v>Tampa Bay</v>
      </c>
      <c r="AC101" s="18" t="str">
        <f>VLOOKUP($AA101,AC$2:$AH$52,8-AC$1/10,FALSE)</f>
        <v>Tampa Bay</v>
      </c>
      <c r="AD101" s="18" t="str">
        <f>VLOOKUP($AA101,AD$2:$AH$52,8-AD$1/10,FALSE)</f>
        <v>Oklahoma City</v>
      </c>
      <c r="AE101" s="18" t="str">
        <f>VLOOKUP($AA101,AE$2:$AH$52,8-AE$1/10,FALSE)</f>
        <v>Oklahoma City</v>
      </c>
      <c r="AF101" s="18" t="str">
        <f>VLOOKUP($AA101,AF$2:$AH$52,8-AF$1/10,FALSE)</f>
        <v>Oklahoma City</v>
      </c>
      <c r="AG101" s="18" t="str">
        <f>VLOOKUP($AA101,AG$2:$AH$52,8-AG$1/10,FALSE)</f>
        <v>Oklahoma City</v>
      </c>
      <c r="AH101" s="18" t="str">
        <f t="shared" si="29"/>
        <v>Hartford</v>
      </c>
    </row>
    <row r="102" spans="26:34">
      <c r="Z102" s="18" t="str">
        <f>VLOOKUP($AA102,Z$2:$AA$52,2,FALSE)</f>
        <v>Memphis</v>
      </c>
      <c r="AA102" s="18">
        <f t="shared" si="30"/>
        <v>47</v>
      </c>
      <c r="AB102" s="18" t="str">
        <f>VLOOKUP($AA102,AB$2:$AH$52,8-AB$1/10,FALSE)</f>
        <v>Charlotte</v>
      </c>
      <c r="AC102" s="18" t="str">
        <f>VLOOKUP($AA102,AC$2:$AH$52,8-AC$1/10,FALSE)</f>
        <v>Grand Rapids</v>
      </c>
      <c r="AD102" s="18" t="str">
        <f>VLOOKUP($AA102,AD$2:$AH$52,8-AD$1/10,FALSE)</f>
        <v>New Orleans</v>
      </c>
      <c r="AE102" s="18" t="str">
        <f>VLOOKUP($AA102,AE$2:$AH$52,8-AE$1/10,FALSE)</f>
        <v>New Orleans</v>
      </c>
      <c r="AF102" s="18" t="str">
        <f>VLOOKUP($AA102,AF$2:$AH$52,8-AF$1/10,FALSE)</f>
        <v>New Orleans</v>
      </c>
      <c r="AG102" s="18" t="str">
        <f>VLOOKUP($AA102,AG$2:$AH$52,8-AG$1/10,FALSE)</f>
        <v>New Orleans</v>
      </c>
      <c r="AH102" s="18" t="str">
        <f t="shared" si="29"/>
        <v>Memphis</v>
      </c>
    </row>
    <row r="103" spans="26:34">
      <c r="Z103" s="18" t="str">
        <f>VLOOKUP($AA103,Z$2:$AA$52,2,FALSE)</f>
        <v>Oklahoma City</v>
      </c>
      <c r="AA103" s="18">
        <f t="shared" si="30"/>
        <v>48</v>
      </c>
      <c r="AB103" s="18" t="str">
        <f>VLOOKUP($AA103,AB$2:$AH$52,8-AB$1/10,FALSE)</f>
        <v>Raleigh</v>
      </c>
      <c r="AC103" s="18" t="str">
        <f>VLOOKUP($AA103,AC$2:$AH$52,8-AC$1/10,FALSE)</f>
        <v>Seattle</v>
      </c>
      <c r="AD103" s="18" t="str">
        <f>VLOOKUP($AA103,AD$2:$AH$52,8-AD$1/10,FALSE)</f>
        <v>Rochester</v>
      </c>
      <c r="AE103" s="18" t="str">
        <f>VLOOKUP($AA103,AE$2:$AH$52,8-AE$1/10,FALSE)</f>
        <v>Rochester</v>
      </c>
      <c r="AF103" s="18" t="str">
        <f>VLOOKUP($AA103,AF$2:$AH$52,8-AF$1/10,FALSE)</f>
        <v>Rochester</v>
      </c>
      <c r="AG103" s="18" t="str">
        <f>VLOOKUP($AA103,AG$2:$AH$52,8-AG$1/10,FALSE)</f>
        <v>Rochester</v>
      </c>
      <c r="AH103" s="18" t="str">
        <f t="shared" si="29"/>
        <v>Oklahoma City</v>
      </c>
    </row>
    <row r="104" spans="26:34">
      <c r="Z104" s="18" t="str">
        <f>VLOOKUP($AA104,Z$2:$AA$52,2,FALSE)</f>
        <v>Honolulu</v>
      </c>
      <c r="AA104" s="18">
        <f t="shared" si="30"/>
        <v>49</v>
      </c>
      <c r="AB104" s="18" t="str">
        <f>VLOOKUP($AA104,AB$2:$AH$52,8-AB$1/10,FALSE)</f>
        <v>Pittsburgh</v>
      </c>
      <c r="AC104" s="18" t="str">
        <f>VLOOKUP($AA104,AC$2:$AH$52,8-AC$1/10,FALSE)</f>
        <v>Pittsburgh</v>
      </c>
      <c r="AD104" s="18" t="str">
        <f>VLOOKUP($AA104,AD$2:$AH$52,8-AD$1/10,FALSE)</f>
        <v>Raleigh</v>
      </c>
      <c r="AE104" s="18" t="str">
        <f>VLOOKUP($AA104,AE$2:$AH$52,8-AE$1/10,FALSE)</f>
        <v>Raleigh</v>
      </c>
      <c r="AF104" s="18" t="str">
        <f>VLOOKUP($AA104,AF$2:$AH$52,8-AF$1/10,FALSE)</f>
        <v>Raleigh</v>
      </c>
      <c r="AG104" s="18" t="str">
        <f>VLOOKUP($AA104,AG$2:$AH$52,8-AG$1/10,FALSE)</f>
        <v>Raleigh</v>
      </c>
      <c r="AH104" s="18" t="str">
        <f t="shared" si="29"/>
        <v>Honolulu</v>
      </c>
    </row>
    <row r="105" spans="26:34">
      <c r="Z105" s="18" t="str">
        <f>VLOOKUP($AA105,Z$2:$AA$52,2,FALSE)</f>
        <v>Raleigh</v>
      </c>
      <c r="AA105" s="18">
        <f t="shared" si="30"/>
        <v>50</v>
      </c>
      <c r="AB105" s="18" t="str">
        <f>VLOOKUP($AA105,AB$2:$AH$52,8-AB$1/10,FALSE)</f>
        <v>St. Louis</v>
      </c>
      <c r="AC105" s="18" t="str">
        <f>VLOOKUP($AA105,AC$2:$AH$52,8-AC$1/10,FALSE)</f>
        <v>St. Louis</v>
      </c>
      <c r="AD105" s="18" t="str">
        <f>VLOOKUP($AA105,AD$2:$AH$52,8-AD$1/10,FALSE)</f>
        <v>Honolulu</v>
      </c>
      <c r="AE105" s="18" t="str">
        <f>VLOOKUP($AA105,AE$2:$AH$52,8-AE$1/10,FALSE)</f>
        <v>Honolulu</v>
      </c>
      <c r="AF105" s="18" t="str">
        <f>VLOOKUP($AA105,AF$2:$AH$52,8-AF$1/10,FALSE)</f>
        <v>Honolulu</v>
      </c>
      <c r="AG105" s="18" t="str">
        <f>VLOOKUP($AA105,AG$2:$AH$52,8-AG$1/10,FALSE)</f>
        <v>Honolulu</v>
      </c>
      <c r="AH105" s="18" t="str">
        <f t="shared" si="29"/>
        <v>Raleigh</v>
      </c>
    </row>
    <row r="106" spans="26:34">
      <c r="Z106" s="18" t="str">
        <f>VLOOKUP($AA106,Z$2:$AA$52,2,FALSE)</f>
        <v>Grand Rapids</v>
      </c>
      <c r="AA106" s="18">
        <f t="shared" si="30"/>
        <v>51</v>
      </c>
      <c r="AB106" s="18" t="str">
        <f>VLOOKUP($AA106,AB$2:$AH$52,8-AB$1/10,FALSE)</f>
        <v>Atlanta</v>
      </c>
      <c r="AC106" s="18" t="str">
        <f>VLOOKUP($AA106,AC$2:$AH$52,8-AC$1/10,FALSE)</f>
        <v>Atlanta</v>
      </c>
      <c r="AD106" s="18" t="str">
        <f>VLOOKUP($AA106,AD$2:$AH$52,8-AD$1/10,FALSE)</f>
        <v>Grand Rapids</v>
      </c>
      <c r="AE106" s="18" t="str">
        <f>VLOOKUP($AA106,AE$2:$AH$52,8-AE$1/10,FALSE)</f>
        <v>Grand Rapids</v>
      </c>
      <c r="AF106" s="18" t="str">
        <f>VLOOKUP($AA106,AF$2:$AH$52,8-AF$1/10,FALSE)</f>
        <v>Grand Rapids</v>
      </c>
      <c r="AG106" s="18" t="str">
        <f>VLOOKUP($AA106,AG$2:$AH$52,8-AG$1/10,FALSE)</f>
        <v>Grand Rapids</v>
      </c>
      <c r="AH106" s="18" t="str">
        <f t="shared" ref="AH106" si="31">Z106</f>
        <v>Grand Rapids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5"/>
  <sheetViews>
    <sheetView workbookViewId="0">
      <selection activeCell="A54" sqref="A54:J54"/>
    </sheetView>
  </sheetViews>
  <sheetFormatPr baseColWidth="10" defaultRowHeight="14" x14ac:dyDescent="0"/>
  <cols>
    <col min="12" max="12" width="10.83203125" style="18"/>
  </cols>
  <sheetData>
    <row r="1" spans="1:34">
      <c r="A1" s="137" t="s">
        <v>16</v>
      </c>
      <c r="B1" s="137" t="s">
        <v>131</v>
      </c>
      <c r="C1" s="137" t="s">
        <v>132</v>
      </c>
      <c r="D1" s="137" t="s">
        <v>133</v>
      </c>
      <c r="E1" s="137" t="s">
        <v>134</v>
      </c>
      <c r="F1" s="137" t="s">
        <v>135</v>
      </c>
      <c r="G1" s="137" t="s">
        <v>136</v>
      </c>
      <c r="H1" s="137" t="s">
        <v>148</v>
      </c>
      <c r="I1" s="137" t="s">
        <v>149</v>
      </c>
      <c r="J1" s="137" t="s">
        <v>150</v>
      </c>
      <c r="K1" s="137"/>
      <c r="L1" s="22" t="s">
        <v>570</v>
      </c>
      <c r="M1" s="137" t="s">
        <v>131</v>
      </c>
      <c r="N1" s="137" t="s">
        <v>137</v>
      </c>
      <c r="O1" s="137" t="s">
        <v>138</v>
      </c>
      <c r="P1" s="137" t="s">
        <v>139</v>
      </c>
      <c r="Q1" s="137" t="s">
        <v>140</v>
      </c>
      <c r="R1" s="137" t="s">
        <v>141</v>
      </c>
      <c r="S1" s="137" t="s">
        <v>151</v>
      </c>
      <c r="T1" s="137" t="s">
        <v>152</v>
      </c>
      <c r="U1" s="137" t="s">
        <v>153</v>
      </c>
      <c r="V1" s="137"/>
      <c r="W1" s="137" t="s">
        <v>142</v>
      </c>
      <c r="X1" s="137"/>
      <c r="Y1" s="137" t="s">
        <v>144</v>
      </c>
      <c r="Z1" s="137" t="s">
        <v>128</v>
      </c>
      <c r="AA1" s="137" t="s">
        <v>16</v>
      </c>
      <c r="AB1" s="137">
        <v>10</v>
      </c>
      <c r="AC1" s="137">
        <v>20</v>
      </c>
      <c r="AD1" s="137">
        <v>30</v>
      </c>
      <c r="AE1" s="137">
        <v>40</v>
      </c>
      <c r="AF1" s="137">
        <v>50</v>
      </c>
      <c r="AG1" s="137">
        <v>60</v>
      </c>
      <c r="AH1" s="137" t="s">
        <v>16</v>
      </c>
    </row>
    <row r="2" spans="1:34">
      <c r="A2" s="71" t="s">
        <v>26</v>
      </c>
      <c r="B2" s="138">
        <v>52581</v>
      </c>
      <c r="C2" s="138">
        <v>231187</v>
      </c>
      <c r="D2" s="138">
        <v>551848</v>
      </c>
      <c r="E2" s="138">
        <v>1020889</v>
      </c>
      <c r="F2" s="138">
        <v>1641561</v>
      </c>
      <c r="G2" s="138">
        <v>2129188</v>
      </c>
      <c r="H2" s="138">
        <v>2129188</v>
      </c>
      <c r="I2" s="138">
        <v>2129188</v>
      </c>
      <c r="J2" s="138">
        <v>2129188</v>
      </c>
      <c r="K2" s="71"/>
      <c r="L2" s="13">
        <f t="shared" ref="L2:L52" si="0">SUM(M2:V2)</f>
        <v>2129189</v>
      </c>
      <c r="M2" s="138">
        <v>52581</v>
      </c>
      <c r="N2" s="138">
        <v>178606</v>
      </c>
      <c r="O2" s="138">
        <v>320661</v>
      </c>
      <c r="P2" s="138">
        <v>469041</v>
      </c>
      <c r="Q2" s="138">
        <v>620673</v>
      </c>
      <c r="R2" s="138">
        <v>487627</v>
      </c>
      <c r="S2" s="138">
        <v>0</v>
      </c>
      <c r="T2" s="138">
        <v>0</v>
      </c>
      <c r="U2" s="138">
        <v>0</v>
      </c>
      <c r="V2" s="138"/>
      <c r="W2" s="138">
        <v>2129188</v>
      </c>
      <c r="X2" s="71"/>
      <c r="Y2" s="138">
        <v>123276</v>
      </c>
      <c r="Z2" s="71">
        <v>36</v>
      </c>
      <c r="AA2" s="71" t="s">
        <v>26</v>
      </c>
      <c r="AB2" s="71">
        <v>50</v>
      </c>
      <c r="AC2" s="71">
        <v>49</v>
      </c>
      <c r="AD2" s="71">
        <v>41</v>
      </c>
      <c r="AE2" s="71">
        <v>22</v>
      </c>
      <c r="AF2" s="71">
        <v>12</v>
      </c>
      <c r="AG2" s="71">
        <v>8</v>
      </c>
      <c r="AH2" s="71" t="s">
        <v>26</v>
      </c>
    </row>
    <row r="3" spans="1:34">
      <c r="A3" s="71" t="s">
        <v>27</v>
      </c>
      <c r="B3" s="138">
        <v>89210</v>
      </c>
      <c r="C3" s="138">
        <v>363948</v>
      </c>
      <c r="D3" s="138">
        <v>580485</v>
      </c>
      <c r="E3" s="138">
        <v>580485</v>
      </c>
      <c r="F3" s="138">
        <v>580485</v>
      </c>
      <c r="G3" s="138">
        <v>580485</v>
      </c>
      <c r="H3" s="138">
        <v>580485</v>
      </c>
      <c r="I3" s="138">
        <v>580485</v>
      </c>
      <c r="J3" s="138">
        <v>580485</v>
      </c>
      <c r="K3" s="71"/>
      <c r="L3" s="13">
        <f t="shared" si="0"/>
        <v>580485</v>
      </c>
      <c r="M3" s="138">
        <v>89210</v>
      </c>
      <c r="N3" s="138">
        <v>274738</v>
      </c>
      <c r="O3" s="138">
        <v>216537</v>
      </c>
      <c r="P3" s="138">
        <v>0</v>
      </c>
      <c r="Q3" s="138">
        <v>0</v>
      </c>
      <c r="R3" s="138">
        <v>0</v>
      </c>
      <c r="S3" s="138">
        <v>0</v>
      </c>
      <c r="T3" s="138">
        <v>0</v>
      </c>
      <c r="U3" s="138">
        <v>0</v>
      </c>
      <c r="V3" s="138"/>
      <c r="W3" s="138">
        <v>580485</v>
      </c>
      <c r="X3" s="71"/>
      <c r="Y3" s="138">
        <v>115197</v>
      </c>
      <c r="Z3" s="71">
        <v>41</v>
      </c>
      <c r="AA3" s="71" t="s">
        <v>27</v>
      </c>
      <c r="AB3" s="71">
        <v>29</v>
      </c>
      <c r="AC3" s="71">
        <v>30</v>
      </c>
      <c r="AD3" s="71">
        <v>38</v>
      </c>
      <c r="AE3" s="71">
        <v>40</v>
      </c>
      <c r="AF3" s="71">
        <v>40</v>
      </c>
      <c r="AG3" s="71">
        <v>40</v>
      </c>
      <c r="AH3" s="71" t="s">
        <v>27</v>
      </c>
    </row>
    <row r="4" spans="1:34">
      <c r="A4" s="71" t="s">
        <v>28</v>
      </c>
      <c r="B4" s="138">
        <v>94682</v>
      </c>
      <c r="C4" s="138">
        <v>414861</v>
      </c>
      <c r="D4" s="138">
        <v>981495</v>
      </c>
      <c r="E4" s="138">
        <v>1063684</v>
      </c>
      <c r="F4" s="138">
        <v>1063684</v>
      </c>
      <c r="G4" s="138">
        <v>1063684</v>
      </c>
      <c r="H4" s="138">
        <v>1063684</v>
      </c>
      <c r="I4" s="138">
        <v>1063684</v>
      </c>
      <c r="J4" s="138">
        <v>1063684</v>
      </c>
      <c r="K4" s="71"/>
      <c r="L4" s="13">
        <f t="shared" si="0"/>
        <v>1063684</v>
      </c>
      <c r="M4" s="138">
        <v>94682</v>
      </c>
      <c r="N4" s="138">
        <v>320179</v>
      </c>
      <c r="O4" s="138">
        <v>566634</v>
      </c>
      <c r="P4" s="138">
        <v>82189</v>
      </c>
      <c r="Q4" s="138">
        <v>0</v>
      </c>
      <c r="R4" s="138">
        <v>0</v>
      </c>
      <c r="S4" s="138">
        <v>0</v>
      </c>
      <c r="T4" s="138">
        <v>0</v>
      </c>
      <c r="U4" s="138">
        <v>0</v>
      </c>
      <c r="V4" s="138"/>
      <c r="W4" s="138">
        <v>1063684</v>
      </c>
      <c r="X4" s="71"/>
      <c r="Y4" s="138">
        <v>161940</v>
      </c>
      <c r="Z4" s="71">
        <v>17</v>
      </c>
      <c r="AA4" s="71" t="s">
        <v>28</v>
      </c>
      <c r="AB4" s="71">
        <v>24</v>
      </c>
      <c r="AC4" s="71">
        <v>21</v>
      </c>
      <c r="AD4" s="71">
        <v>9</v>
      </c>
      <c r="AE4" s="71">
        <v>19</v>
      </c>
      <c r="AF4" s="71">
        <v>20</v>
      </c>
      <c r="AG4" s="71">
        <v>20</v>
      </c>
      <c r="AH4" s="71" t="s">
        <v>28</v>
      </c>
    </row>
    <row r="5" spans="1:34">
      <c r="A5" s="71" t="s">
        <v>29</v>
      </c>
      <c r="B5" s="138">
        <v>124141</v>
      </c>
      <c r="C5" s="138">
        <v>547326</v>
      </c>
      <c r="D5" s="138">
        <v>1301384</v>
      </c>
      <c r="E5" s="138">
        <v>2377265</v>
      </c>
      <c r="F5" s="138">
        <v>3075331</v>
      </c>
      <c r="G5" s="138">
        <v>3075331</v>
      </c>
      <c r="H5" s="138">
        <v>3075331</v>
      </c>
      <c r="I5" s="138">
        <v>3075331</v>
      </c>
      <c r="J5" s="138">
        <v>3075331</v>
      </c>
      <c r="K5" s="71"/>
      <c r="L5" s="13">
        <f t="shared" si="0"/>
        <v>3075332</v>
      </c>
      <c r="M5" s="138">
        <v>124141</v>
      </c>
      <c r="N5" s="138">
        <v>423185</v>
      </c>
      <c r="O5" s="138">
        <v>754058</v>
      </c>
      <c r="P5" s="138">
        <v>1075882</v>
      </c>
      <c r="Q5" s="138">
        <v>698066</v>
      </c>
      <c r="R5" s="138">
        <v>0</v>
      </c>
      <c r="S5" s="138">
        <v>0</v>
      </c>
      <c r="T5" s="138">
        <v>0</v>
      </c>
      <c r="U5" s="138">
        <v>0</v>
      </c>
      <c r="V5" s="138"/>
      <c r="W5" s="138">
        <v>3075331</v>
      </c>
      <c r="X5" s="71"/>
      <c r="Y5" s="138">
        <v>266267</v>
      </c>
      <c r="Z5" s="71">
        <v>4</v>
      </c>
      <c r="AA5" s="71" t="s">
        <v>29</v>
      </c>
      <c r="AB5" s="71">
        <v>9</v>
      </c>
      <c r="AC5" s="71">
        <v>7</v>
      </c>
      <c r="AD5" s="71">
        <v>3</v>
      </c>
      <c r="AE5" s="71">
        <v>2</v>
      </c>
      <c r="AF5" s="71">
        <v>3</v>
      </c>
      <c r="AG5" s="71">
        <v>4</v>
      </c>
      <c r="AH5" s="71" t="s">
        <v>29</v>
      </c>
    </row>
    <row r="6" spans="1:34">
      <c r="A6" s="71" t="s">
        <v>30</v>
      </c>
      <c r="B6" s="138">
        <v>96551</v>
      </c>
      <c r="C6" s="138">
        <v>411771</v>
      </c>
      <c r="D6" s="138">
        <v>475627</v>
      </c>
      <c r="E6" s="138">
        <v>475627</v>
      </c>
      <c r="F6" s="138">
        <v>475627</v>
      </c>
      <c r="G6" s="138">
        <v>475627</v>
      </c>
      <c r="H6" s="138">
        <v>475627</v>
      </c>
      <c r="I6" s="138">
        <v>475627</v>
      </c>
      <c r="J6" s="138">
        <v>475627</v>
      </c>
      <c r="K6" s="71"/>
      <c r="L6" s="13">
        <f t="shared" si="0"/>
        <v>475628</v>
      </c>
      <c r="M6" s="138">
        <v>96551</v>
      </c>
      <c r="N6" s="138">
        <v>315221</v>
      </c>
      <c r="O6" s="138">
        <v>63856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  <c r="U6" s="138">
        <v>0</v>
      </c>
      <c r="V6" s="138"/>
      <c r="W6" s="138">
        <v>475627</v>
      </c>
      <c r="X6" s="71"/>
      <c r="Y6" s="138">
        <v>112818</v>
      </c>
      <c r="Z6" s="71">
        <v>43</v>
      </c>
      <c r="AA6" s="71" t="s">
        <v>30</v>
      </c>
      <c r="AB6" s="71">
        <v>23</v>
      </c>
      <c r="AC6" s="71">
        <v>22</v>
      </c>
      <c r="AD6" s="71">
        <v>48</v>
      </c>
      <c r="AE6" s="71">
        <v>48</v>
      </c>
      <c r="AF6" s="71">
        <v>48</v>
      </c>
      <c r="AG6" s="71">
        <v>48</v>
      </c>
      <c r="AH6" s="71" t="s">
        <v>30</v>
      </c>
    </row>
    <row r="7" spans="1:34">
      <c r="A7" s="71" t="s">
        <v>31</v>
      </c>
      <c r="B7" s="138">
        <v>98202</v>
      </c>
      <c r="C7" s="138">
        <v>439530</v>
      </c>
      <c r="D7" s="138">
        <v>811507</v>
      </c>
      <c r="E7" s="138">
        <v>811507</v>
      </c>
      <c r="F7" s="138">
        <v>811507</v>
      </c>
      <c r="G7" s="138">
        <v>811507</v>
      </c>
      <c r="H7" s="138">
        <v>811507</v>
      </c>
      <c r="I7" s="138">
        <v>811507</v>
      </c>
      <c r="J7" s="138">
        <v>811507</v>
      </c>
      <c r="K7" s="71"/>
      <c r="L7" s="13">
        <f t="shared" si="0"/>
        <v>811507</v>
      </c>
      <c r="M7" s="138">
        <v>98202</v>
      </c>
      <c r="N7" s="138">
        <v>341328</v>
      </c>
      <c r="O7" s="138">
        <v>371977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  <c r="U7" s="138">
        <v>0</v>
      </c>
      <c r="V7" s="138"/>
      <c r="W7" s="138">
        <v>811507</v>
      </c>
      <c r="X7" s="71"/>
      <c r="Y7" s="138">
        <v>146783</v>
      </c>
      <c r="Z7" s="71">
        <v>25</v>
      </c>
      <c r="AA7" s="71" t="s">
        <v>31</v>
      </c>
      <c r="AB7" s="71">
        <v>22</v>
      </c>
      <c r="AC7" s="71">
        <v>20</v>
      </c>
      <c r="AD7" s="71">
        <v>19</v>
      </c>
      <c r="AE7" s="71">
        <v>30</v>
      </c>
      <c r="AF7" s="71">
        <v>30</v>
      </c>
      <c r="AG7" s="71">
        <v>30</v>
      </c>
      <c r="AH7" s="71" t="s">
        <v>31</v>
      </c>
    </row>
    <row r="8" spans="1:34">
      <c r="A8" s="71" t="s">
        <v>32</v>
      </c>
      <c r="B8" s="138">
        <v>85240</v>
      </c>
      <c r="C8" s="138">
        <v>369423</v>
      </c>
      <c r="D8" s="138">
        <v>872200</v>
      </c>
      <c r="E8" s="138">
        <v>1599791</v>
      </c>
      <c r="F8" s="138">
        <v>2561443</v>
      </c>
      <c r="G8" s="138">
        <v>3753371</v>
      </c>
      <c r="H8" s="138">
        <v>4189789</v>
      </c>
      <c r="I8" s="138">
        <v>4189789</v>
      </c>
      <c r="J8" s="138">
        <v>4189789</v>
      </c>
      <c r="K8" s="71"/>
      <c r="L8" s="13">
        <f t="shared" si="0"/>
        <v>4189789</v>
      </c>
      <c r="M8" s="138">
        <v>85240</v>
      </c>
      <c r="N8" s="138">
        <v>284183</v>
      </c>
      <c r="O8" s="138">
        <v>502777</v>
      </c>
      <c r="P8" s="138">
        <v>727591</v>
      </c>
      <c r="Q8" s="138">
        <v>961652</v>
      </c>
      <c r="R8" s="138">
        <v>1191928</v>
      </c>
      <c r="S8" s="138">
        <v>436418</v>
      </c>
      <c r="T8" s="138">
        <v>0</v>
      </c>
      <c r="U8" s="138">
        <v>0</v>
      </c>
      <c r="V8" s="138"/>
      <c r="W8" s="138">
        <v>4189789</v>
      </c>
      <c r="X8" s="71"/>
      <c r="Y8" s="138">
        <v>199982</v>
      </c>
      <c r="Z8" s="71">
        <v>7</v>
      </c>
      <c r="AA8" s="71" t="s">
        <v>32</v>
      </c>
      <c r="AB8" s="71">
        <v>32</v>
      </c>
      <c r="AC8" s="71">
        <v>29</v>
      </c>
      <c r="AD8" s="71">
        <v>15</v>
      </c>
      <c r="AE8" s="71">
        <v>7</v>
      </c>
      <c r="AF8" s="71">
        <v>5</v>
      </c>
      <c r="AG8" s="71">
        <v>3</v>
      </c>
      <c r="AH8" s="71" t="s">
        <v>32</v>
      </c>
    </row>
    <row r="9" spans="1:34">
      <c r="A9" s="71" t="s">
        <v>33</v>
      </c>
      <c r="B9" s="138">
        <v>82680</v>
      </c>
      <c r="C9" s="138">
        <v>374497</v>
      </c>
      <c r="D9" s="138">
        <v>879322</v>
      </c>
      <c r="E9" s="138">
        <v>934953</v>
      </c>
      <c r="F9" s="138">
        <v>934953</v>
      </c>
      <c r="G9" s="138">
        <v>934953</v>
      </c>
      <c r="H9" s="138">
        <v>934953</v>
      </c>
      <c r="I9" s="138">
        <v>934953</v>
      </c>
      <c r="J9" s="138">
        <v>934953</v>
      </c>
      <c r="K9" s="71"/>
      <c r="L9" s="13">
        <f t="shared" si="0"/>
        <v>934953</v>
      </c>
      <c r="M9" s="138">
        <v>82680</v>
      </c>
      <c r="N9" s="138">
        <v>291817</v>
      </c>
      <c r="O9" s="138">
        <v>504825</v>
      </c>
      <c r="P9" s="138">
        <v>55631</v>
      </c>
      <c r="Q9" s="138">
        <v>0</v>
      </c>
      <c r="R9" s="138">
        <v>0</v>
      </c>
      <c r="S9" s="138">
        <v>0</v>
      </c>
      <c r="T9" s="138">
        <v>0</v>
      </c>
      <c r="U9" s="138">
        <v>0</v>
      </c>
      <c r="V9" s="138"/>
      <c r="W9" s="138">
        <v>934953</v>
      </c>
      <c r="X9" s="71"/>
      <c r="Y9" s="138">
        <v>144132</v>
      </c>
      <c r="Z9" s="71">
        <v>27</v>
      </c>
      <c r="AA9" s="71" t="s">
        <v>33</v>
      </c>
      <c r="AB9" s="71">
        <v>34</v>
      </c>
      <c r="AC9" s="71">
        <v>28</v>
      </c>
      <c r="AD9" s="71">
        <v>13</v>
      </c>
      <c r="AE9" s="71">
        <v>24</v>
      </c>
      <c r="AF9" s="71">
        <v>24</v>
      </c>
      <c r="AG9" s="71">
        <v>24</v>
      </c>
      <c r="AH9" s="71" t="s">
        <v>33</v>
      </c>
    </row>
    <row r="10" spans="1:34">
      <c r="A10" s="71" t="s">
        <v>34</v>
      </c>
      <c r="B10" s="138">
        <v>133427</v>
      </c>
      <c r="C10" s="138">
        <v>590453</v>
      </c>
      <c r="D10" s="138">
        <v>1077676</v>
      </c>
      <c r="E10" s="138">
        <v>1077676</v>
      </c>
      <c r="F10" s="138">
        <v>1077676</v>
      </c>
      <c r="G10" s="138">
        <v>1077676</v>
      </c>
      <c r="H10" s="138">
        <v>1077676</v>
      </c>
      <c r="I10" s="138">
        <v>1077676</v>
      </c>
      <c r="J10" s="138">
        <v>1077676</v>
      </c>
      <c r="K10" s="71"/>
      <c r="L10" s="13">
        <f t="shared" si="0"/>
        <v>1077676</v>
      </c>
      <c r="M10" s="138">
        <v>133427</v>
      </c>
      <c r="N10" s="138">
        <v>457026</v>
      </c>
      <c r="O10" s="138">
        <v>487223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  <c r="U10" s="138">
        <v>0</v>
      </c>
      <c r="V10" s="138"/>
      <c r="W10" s="138">
        <v>1077676</v>
      </c>
      <c r="X10" s="71"/>
      <c r="Y10" s="138">
        <v>196425</v>
      </c>
      <c r="Z10" s="71">
        <v>8</v>
      </c>
      <c r="AA10" s="71" t="s">
        <v>34</v>
      </c>
      <c r="AB10" s="71">
        <v>6</v>
      </c>
      <c r="AC10" s="71">
        <v>5</v>
      </c>
      <c r="AD10" s="71">
        <v>6</v>
      </c>
      <c r="AE10" s="71">
        <v>18</v>
      </c>
      <c r="AF10" s="71">
        <v>19</v>
      </c>
      <c r="AG10" s="71">
        <v>19</v>
      </c>
      <c r="AH10" s="71" t="s">
        <v>34</v>
      </c>
    </row>
    <row r="11" spans="1:34">
      <c r="A11" s="71" t="s">
        <v>35</v>
      </c>
      <c r="B11" s="138">
        <v>138769</v>
      </c>
      <c r="C11" s="138">
        <v>604482</v>
      </c>
      <c r="D11" s="138">
        <v>773508</v>
      </c>
      <c r="E11" s="138">
        <v>773508</v>
      </c>
      <c r="F11" s="138">
        <v>773508</v>
      </c>
      <c r="G11" s="138">
        <v>773508</v>
      </c>
      <c r="H11" s="138">
        <v>773508</v>
      </c>
      <c r="I11" s="138">
        <v>773508</v>
      </c>
      <c r="J11" s="138">
        <v>773508</v>
      </c>
      <c r="K11" s="71"/>
      <c r="L11" s="13">
        <f t="shared" si="0"/>
        <v>773508</v>
      </c>
      <c r="M11" s="138">
        <v>138769</v>
      </c>
      <c r="N11" s="138">
        <v>465713</v>
      </c>
      <c r="O11" s="138">
        <v>169026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  <c r="U11" s="138">
        <v>0</v>
      </c>
      <c r="V11" s="138"/>
      <c r="W11" s="138">
        <v>773508</v>
      </c>
      <c r="X11" s="71"/>
      <c r="Y11" s="138">
        <v>171712</v>
      </c>
      <c r="Z11" s="71">
        <v>13</v>
      </c>
      <c r="AA11" s="71" t="s">
        <v>35</v>
      </c>
      <c r="AB11" s="71">
        <v>5</v>
      </c>
      <c r="AC11" s="71">
        <v>3</v>
      </c>
      <c r="AD11" s="71">
        <v>25</v>
      </c>
      <c r="AE11" s="71">
        <v>32</v>
      </c>
      <c r="AF11" s="71">
        <v>32</v>
      </c>
      <c r="AG11" s="71">
        <v>32</v>
      </c>
      <c r="AH11" s="71" t="s">
        <v>35</v>
      </c>
    </row>
    <row r="12" spans="1:34">
      <c r="A12" s="71" t="s">
        <v>61</v>
      </c>
      <c r="B12" s="138">
        <v>111075</v>
      </c>
      <c r="C12" s="138">
        <v>469360</v>
      </c>
      <c r="D12" s="138">
        <v>1108972</v>
      </c>
      <c r="E12" s="138">
        <v>2043538</v>
      </c>
      <c r="F12" s="138">
        <v>2601083</v>
      </c>
      <c r="G12" s="138">
        <v>2601083</v>
      </c>
      <c r="H12" s="138">
        <v>2601083</v>
      </c>
      <c r="I12" s="138">
        <v>2601083</v>
      </c>
      <c r="J12" s="138">
        <v>2601083</v>
      </c>
      <c r="K12" s="71"/>
      <c r="L12" s="13">
        <f t="shared" si="0"/>
        <v>2601084</v>
      </c>
      <c r="M12" s="138">
        <v>111075</v>
      </c>
      <c r="N12" s="138">
        <v>358286</v>
      </c>
      <c r="O12" s="138">
        <v>639612</v>
      </c>
      <c r="P12" s="138">
        <v>934566</v>
      </c>
      <c r="Q12" s="138">
        <v>557545</v>
      </c>
      <c r="R12" s="138">
        <v>0</v>
      </c>
      <c r="S12" s="138">
        <v>0</v>
      </c>
      <c r="T12" s="138">
        <v>0</v>
      </c>
      <c r="U12" s="138">
        <v>0</v>
      </c>
      <c r="V12" s="138"/>
      <c r="W12" s="138">
        <v>2601083</v>
      </c>
      <c r="X12" s="71"/>
      <c r="Y12" s="138">
        <v>228577</v>
      </c>
      <c r="Z12" s="71">
        <v>5</v>
      </c>
      <c r="AA12" s="71" t="s">
        <v>61</v>
      </c>
      <c r="AB12" s="71">
        <v>17</v>
      </c>
      <c r="AC12" s="71">
        <v>16</v>
      </c>
      <c r="AD12" s="71">
        <v>5</v>
      </c>
      <c r="AE12" s="71">
        <v>5</v>
      </c>
      <c r="AF12" s="71">
        <v>4</v>
      </c>
      <c r="AG12" s="71">
        <v>5</v>
      </c>
      <c r="AH12" s="71" t="s">
        <v>61</v>
      </c>
    </row>
    <row r="13" spans="1:34">
      <c r="A13" s="71" t="s">
        <v>36</v>
      </c>
      <c r="B13" s="138">
        <v>102264</v>
      </c>
      <c r="C13" s="138">
        <v>405808</v>
      </c>
      <c r="D13" s="138">
        <v>915879</v>
      </c>
      <c r="E13" s="138">
        <v>1080509</v>
      </c>
      <c r="F13" s="138">
        <v>1080509</v>
      </c>
      <c r="G13" s="138">
        <v>1080509</v>
      </c>
      <c r="H13" s="138">
        <v>1080509</v>
      </c>
      <c r="I13" s="138">
        <v>1080509</v>
      </c>
      <c r="J13" s="138">
        <v>1080509</v>
      </c>
      <c r="K13" s="71"/>
      <c r="L13" s="13">
        <f t="shared" si="0"/>
        <v>1080510</v>
      </c>
      <c r="M13" s="138">
        <v>102264</v>
      </c>
      <c r="N13" s="138">
        <v>303545</v>
      </c>
      <c r="O13" s="138">
        <v>510071</v>
      </c>
      <c r="P13" s="138">
        <v>164630</v>
      </c>
      <c r="Q13" s="138">
        <v>0</v>
      </c>
      <c r="R13" s="138">
        <v>0</v>
      </c>
      <c r="S13" s="138">
        <v>0</v>
      </c>
      <c r="T13" s="138">
        <v>0</v>
      </c>
      <c r="U13" s="138">
        <v>0</v>
      </c>
      <c r="V13" s="138"/>
      <c r="W13" s="138">
        <v>1080509</v>
      </c>
      <c r="X13" s="71"/>
      <c r="Y13" s="138">
        <v>160218</v>
      </c>
      <c r="Z13" s="71">
        <v>19</v>
      </c>
      <c r="AA13" s="71" t="s">
        <v>36</v>
      </c>
      <c r="AB13" s="71">
        <v>20</v>
      </c>
      <c r="AC13" s="71">
        <v>23</v>
      </c>
      <c r="AD13" s="71">
        <v>11</v>
      </c>
      <c r="AE13" s="71">
        <v>17</v>
      </c>
      <c r="AF13" s="71">
        <v>18</v>
      </c>
      <c r="AG13" s="71">
        <v>18</v>
      </c>
      <c r="AH13" s="71" t="s">
        <v>36</v>
      </c>
    </row>
    <row r="14" spans="1:34">
      <c r="A14" s="71" t="s">
        <v>37</v>
      </c>
      <c r="B14" s="138">
        <v>77851</v>
      </c>
      <c r="C14" s="138">
        <v>331899</v>
      </c>
      <c r="D14" s="138">
        <v>778639</v>
      </c>
      <c r="E14" s="138">
        <v>1423351</v>
      </c>
      <c r="F14" s="138">
        <v>1953268</v>
      </c>
      <c r="G14" s="138">
        <v>1953268</v>
      </c>
      <c r="H14" s="138">
        <v>1953268</v>
      </c>
      <c r="I14" s="138">
        <v>1953268</v>
      </c>
      <c r="J14" s="138">
        <v>1953268</v>
      </c>
      <c r="K14" s="71"/>
      <c r="L14" s="13">
        <f t="shared" si="0"/>
        <v>1953268</v>
      </c>
      <c r="M14" s="138">
        <v>77851</v>
      </c>
      <c r="N14" s="138">
        <v>254048</v>
      </c>
      <c r="O14" s="138">
        <v>446740</v>
      </c>
      <c r="P14" s="138">
        <v>644712</v>
      </c>
      <c r="Q14" s="138">
        <v>529917</v>
      </c>
      <c r="R14" s="138">
        <v>0</v>
      </c>
      <c r="S14" s="138">
        <v>0</v>
      </c>
      <c r="T14" s="138">
        <v>0</v>
      </c>
      <c r="U14" s="138">
        <v>0</v>
      </c>
      <c r="V14" s="138"/>
      <c r="W14" s="138">
        <v>1953268</v>
      </c>
      <c r="X14" s="71"/>
      <c r="Y14" s="138">
        <v>162785</v>
      </c>
      <c r="Z14" s="71">
        <v>15</v>
      </c>
      <c r="AA14" s="71" t="s">
        <v>37</v>
      </c>
      <c r="AB14" s="71">
        <v>37</v>
      </c>
      <c r="AC14" s="71">
        <v>37</v>
      </c>
      <c r="AD14" s="71">
        <v>23</v>
      </c>
      <c r="AE14" s="71">
        <v>12</v>
      </c>
      <c r="AF14" s="71">
        <v>9</v>
      </c>
      <c r="AG14" s="71">
        <v>10</v>
      </c>
      <c r="AH14" s="71" t="s">
        <v>37</v>
      </c>
    </row>
    <row r="15" spans="1:34">
      <c r="A15" s="71" t="s">
        <v>79</v>
      </c>
      <c r="B15" s="138">
        <v>126383</v>
      </c>
      <c r="C15" s="138">
        <v>530965</v>
      </c>
      <c r="D15" s="138">
        <v>530965</v>
      </c>
      <c r="E15" s="138">
        <v>530965</v>
      </c>
      <c r="F15" s="138">
        <v>530965</v>
      </c>
      <c r="G15" s="138">
        <v>530965</v>
      </c>
      <c r="H15" s="138">
        <v>530965</v>
      </c>
      <c r="I15" s="138">
        <v>530965</v>
      </c>
      <c r="J15" s="138">
        <v>530965</v>
      </c>
      <c r="K15" s="71"/>
      <c r="L15" s="13">
        <f t="shared" si="0"/>
        <v>530965</v>
      </c>
      <c r="M15" s="138">
        <v>126383</v>
      </c>
      <c r="N15" s="138">
        <v>404582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  <c r="U15" s="138">
        <v>0</v>
      </c>
      <c r="V15" s="138"/>
      <c r="W15" s="138">
        <v>530965</v>
      </c>
      <c r="X15" s="71"/>
      <c r="Y15" s="138">
        <v>138471</v>
      </c>
      <c r="Z15" s="71">
        <v>30</v>
      </c>
      <c r="AA15" s="71" t="s">
        <v>79</v>
      </c>
      <c r="AB15" s="71">
        <v>8</v>
      </c>
      <c r="AC15" s="71">
        <v>9</v>
      </c>
      <c r="AD15" s="71">
        <v>45</v>
      </c>
      <c r="AE15" s="71">
        <v>45</v>
      </c>
      <c r="AF15" s="71">
        <v>45</v>
      </c>
      <c r="AG15" s="71">
        <v>45</v>
      </c>
      <c r="AH15" s="71" t="s">
        <v>79</v>
      </c>
    </row>
    <row r="16" spans="1:34">
      <c r="A16" s="71" t="s">
        <v>511</v>
      </c>
      <c r="B16" s="138">
        <v>51947</v>
      </c>
      <c r="C16" s="138">
        <v>229936</v>
      </c>
      <c r="D16" s="138">
        <v>552406</v>
      </c>
      <c r="E16" s="138">
        <v>573634</v>
      </c>
      <c r="F16" s="138">
        <v>573634</v>
      </c>
      <c r="G16" s="138">
        <v>573634</v>
      </c>
      <c r="H16" s="138">
        <v>573634</v>
      </c>
      <c r="I16" s="138">
        <v>573634</v>
      </c>
      <c r="J16" s="138">
        <v>573634</v>
      </c>
      <c r="K16" s="71"/>
      <c r="L16" s="13">
        <f t="shared" si="0"/>
        <v>573635</v>
      </c>
      <c r="M16" s="138">
        <v>51947</v>
      </c>
      <c r="N16" s="138">
        <v>177990</v>
      </c>
      <c r="O16" s="138">
        <v>322470</v>
      </c>
      <c r="P16" s="138">
        <v>21228</v>
      </c>
      <c r="Q16" s="138">
        <v>0</v>
      </c>
      <c r="R16" s="138">
        <v>0</v>
      </c>
      <c r="S16" s="138">
        <v>0</v>
      </c>
      <c r="T16" s="138">
        <v>0</v>
      </c>
      <c r="U16" s="138">
        <v>0</v>
      </c>
      <c r="V16" s="138"/>
      <c r="W16" s="138">
        <v>573634</v>
      </c>
      <c r="X16" s="71"/>
      <c r="Y16" s="138">
        <v>89396</v>
      </c>
      <c r="Z16" s="71">
        <v>50</v>
      </c>
      <c r="AA16" s="71" t="s">
        <v>511</v>
      </c>
      <c r="AB16" s="71">
        <v>51</v>
      </c>
      <c r="AC16" s="71">
        <v>50</v>
      </c>
      <c r="AD16" s="71">
        <v>40</v>
      </c>
      <c r="AE16" s="71">
        <v>41</v>
      </c>
      <c r="AF16" s="71">
        <v>41</v>
      </c>
      <c r="AG16" s="71">
        <v>41</v>
      </c>
      <c r="AH16" s="71" t="s">
        <v>511</v>
      </c>
    </row>
    <row r="17" spans="1:34">
      <c r="A17" s="71" t="s">
        <v>38</v>
      </c>
      <c r="B17" s="138">
        <v>110120</v>
      </c>
      <c r="C17" s="138">
        <v>477771</v>
      </c>
      <c r="D17" s="138">
        <v>567921</v>
      </c>
      <c r="E17" s="138">
        <v>567921</v>
      </c>
      <c r="F17" s="138">
        <v>567921</v>
      </c>
      <c r="G17" s="138">
        <v>567921</v>
      </c>
      <c r="H17" s="138">
        <v>567921</v>
      </c>
      <c r="I17" s="138">
        <v>567921</v>
      </c>
      <c r="J17" s="138">
        <v>567921</v>
      </c>
      <c r="K17" s="71"/>
      <c r="L17" s="13">
        <f t="shared" si="0"/>
        <v>567921</v>
      </c>
      <c r="M17" s="138">
        <v>110120</v>
      </c>
      <c r="N17" s="138">
        <v>367651</v>
      </c>
      <c r="O17" s="138">
        <v>90150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  <c r="U17" s="138">
        <v>0</v>
      </c>
      <c r="V17" s="138"/>
      <c r="W17" s="138">
        <v>567921</v>
      </c>
      <c r="X17" s="71"/>
      <c r="Y17" s="138">
        <v>131886</v>
      </c>
      <c r="Z17" s="71">
        <v>31</v>
      </c>
      <c r="AA17" s="71" t="s">
        <v>38</v>
      </c>
      <c r="AB17" s="71">
        <v>18</v>
      </c>
      <c r="AC17" s="71">
        <v>13</v>
      </c>
      <c r="AD17" s="71">
        <v>39</v>
      </c>
      <c r="AE17" s="71">
        <v>42</v>
      </c>
      <c r="AF17" s="71">
        <v>42</v>
      </c>
      <c r="AG17" s="71">
        <v>42</v>
      </c>
      <c r="AH17" s="71" t="s">
        <v>38</v>
      </c>
    </row>
    <row r="18" spans="1:34">
      <c r="A18" s="71" t="s">
        <v>80</v>
      </c>
      <c r="B18" s="138">
        <v>123731</v>
      </c>
      <c r="C18" s="138">
        <v>320461</v>
      </c>
      <c r="D18" s="138">
        <v>320461</v>
      </c>
      <c r="E18" s="138">
        <v>320461</v>
      </c>
      <c r="F18" s="138">
        <v>320461</v>
      </c>
      <c r="G18" s="138">
        <v>320461</v>
      </c>
      <c r="H18" s="138">
        <v>320461</v>
      </c>
      <c r="I18" s="138">
        <v>320461</v>
      </c>
      <c r="J18" s="138">
        <v>320461</v>
      </c>
      <c r="K18" s="71"/>
      <c r="L18" s="13">
        <f t="shared" si="0"/>
        <v>320461</v>
      </c>
      <c r="M18" s="138">
        <v>123731</v>
      </c>
      <c r="N18" s="138">
        <v>196730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  <c r="U18" s="138">
        <v>0</v>
      </c>
      <c r="V18" s="138"/>
      <c r="W18" s="138">
        <v>320461</v>
      </c>
      <c r="X18" s="71"/>
      <c r="Y18" s="138">
        <v>95315</v>
      </c>
      <c r="Z18" s="71">
        <v>49</v>
      </c>
      <c r="AA18" s="71" t="s">
        <v>80</v>
      </c>
      <c r="AB18" s="71">
        <v>10</v>
      </c>
      <c r="AC18" s="71">
        <v>41</v>
      </c>
      <c r="AD18" s="71">
        <v>51</v>
      </c>
      <c r="AE18" s="71">
        <v>51</v>
      </c>
      <c r="AF18" s="71">
        <v>51</v>
      </c>
      <c r="AG18" s="71">
        <v>51</v>
      </c>
      <c r="AH18" s="71" t="s">
        <v>80</v>
      </c>
    </row>
    <row r="19" spans="1:34">
      <c r="A19" s="71" t="s">
        <v>39</v>
      </c>
      <c r="B19" s="138">
        <v>74926</v>
      </c>
      <c r="C19" s="138">
        <v>304631</v>
      </c>
      <c r="D19" s="138">
        <v>720473</v>
      </c>
      <c r="E19" s="138">
        <v>1327461</v>
      </c>
      <c r="F19" s="138">
        <v>1870780</v>
      </c>
      <c r="G19" s="138">
        <v>1870780</v>
      </c>
      <c r="H19" s="138">
        <v>1870780</v>
      </c>
      <c r="I19" s="138">
        <v>1870780</v>
      </c>
      <c r="J19" s="138">
        <v>1870780</v>
      </c>
      <c r="K19" s="71"/>
      <c r="L19" s="13">
        <f t="shared" si="0"/>
        <v>1870781</v>
      </c>
      <c r="M19" s="138">
        <v>74926</v>
      </c>
      <c r="N19" s="138">
        <v>229706</v>
      </c>
      <c r="O19" s="138">
        <v>415842</v>
      </c>
      <c r="P19" s="138">
        <v>606988</v>
      </c>
      <c r="Q19" s="138">
        <v>543319</v>
      </c>
      <c r="R19" s="138">
        <v>0</v>
      </c>
      <c r="S19" s="138">
        <v>0</v>
      </c>
      <c r="T19" s="138">
        <v>0</v>
      </c>
      <c r="U19" s="138">
        <v>0</v>
      </c>
      <c r="V19" s="138"/>
      <c r="W19" s="138">
        <v>1870780</v>
      </c>
      <c r="X19" s="71"/>
      <c r="Y19" s="138">
        <v>152461</v>
      </c>
      <c r="Z19" s="71">
        <v>22</v>
      </c>
      <c r="AA19" s="71" t="s">
        <v>39</v>
      </c>
      <c r="AB19" s="71">
        <v>43</v>
      </c>
      <c r="AC19" s="71">
        <v>44</v>
      </c>
      <c r="AD19" s="71">
        <v>28</v>
      </c>
      <c r="AE19" s="71">
        <v>14</v>
      </c>
      <c r="AF19" s="71">
        <v>10</v>
      </c>
      <c r="AG19" s="71">
        <v>11</v>
      </c>
      <c r="AH19" s="71" t="s">
        <v>39</v>
      </c>
    </row>
    <row r="20" spans="1:34">
      <c r="A20" s="71" t="s">
        <v>40</v>
      </c>
      <c r="B20" s="138">
        <v>77505</v>
      </c>
      <c r="C20" s="138">
        <v>337463</v>
      </c>
      <c r="D20" s="138">
        <v>802613</v>
      </c>
      <c r="E20" s="138">
        <v>813465</v>
      </c>
      <c r="F20" s="138">
        <v>813465</v>
      </c>
      <c r="G20" s="138">
        <v>813465</v>
      </c>
      <c r="H20" s="138">
        <v>813465</v>
      </c>
      <c r="I20" s="138">
        <v>813465</v>
      </c>
      <c r="J20" s="138">
        <v>813465</v>
      </c>
      <c r="K20" s="71"/>
      <c r="L20" s="13">
        <f t="shared" si="0"/>
        <v>813465</v>
      </c>
      <c r="M20" s="138">
        <v>77505</v>
      </c>
      <c r="N20" s="138">
        <v>259957</v>
      </c>
      <c r="O20" s="138">
        <v>465151</v>
      </c>
      <c r="P20" s="138">
        <v>10852</v>
      </c>
      <c r="Q20" s="138">
        <v>0</v>
      </c>
      <c r="R20" s="138">
        <v>0</v>
      </c>
      <c r="S20" s="138">
        <v>0</v>
      </c>
      <c r="T20" s="138">
        <v>0</v>
      </c>
      <c r="U20" s="138">
        <v>0</v>
      </c>
      <c r="V20" s="138"/>
      <c r="W20" s="138">
        <v>813465</v>
      </c>
      <c r="X20" s="71"/>
      <c r="Y20" s="138">
        <v>129950</v>
      </c>
      <c r="Z20" s="71">
        <v>33</v>
      </c>
      <c r="AA20" s="71" t="s">
        <v>40</v>
      </c>
      <c r="AB20" s="71">
        <v>38</v>
      </c>
      <c r="AC20" s="71">
        <v>36</v>
      </c>
      <c r="AD20" s="71">
        <v>21</v>
      </c>
      <c r="AE20" s="71">
        <v>29</v>
      </c>
      <c r="AF20" s="71">
        <v>29</v>
      </c>
      <c r="AG20" s="71">
        <v>29</v>
      </c>
      <c r="AH20" s="71" t="s">
        <v>40</v>
      </c>
    </row>
    <row r="21" spans="1:34">
      <c r="A21" s="71" t="s">
        <v>559</v>
      </c>
      <c r="B21" s="138">
        <v>120347</v>
      </c>
      <c r="C21" s="138">
        <v>470951</v>
      </c>
      <c r="D21" s="138">
        <v>877495</v>
      </c>
      <c r="E21" s="138">
        <v>877495</v>
      </c>
      <c r="F21" s="138">
        <v>877495</v>
      </c>
      <c r="G21" s="138">
        <v>877495</v>
      </c>
      <c r="H21" s="138">
        <v>877495</v>
      </c>
      <c r="I21" s="138">
        <v>877495</v>
      </c>
      <c r="J21" s="138">
        <v>877495</v>
      </c>
      <c r="K21" s="71"/>
      <c r="L21" s="13">
        <f t="shared" si="0"/>
        <v>877496</v>
      </c>
      <c r="M21" s="138">
        <v>120347</v>
      </c>
      <c r="N21" s="138">
        <v>350605</v>
      </c>
      <c r="O21" s="138">
        <v>406544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  <c r="U21" s="138">
        <v>0</v>
      </c>
      <c r="V21" s="138"/>
      <c r="W21" s="138">
        <v>877495</v>
      </c>
      <c r="X21" s="71"/>
      <c r="Y21" s="138">
        <v>161742</v>
      </c>
      <c r="Z21" s="71">
        <v>18</v>
      </c>
      <c r="AA21" s="71" t="s">
        <v>84</v>
      </c>
      <c r="AB21" s="71">
        <v>13</v>
      </c>
      <c r="AC21" s="71">
        <v>14</v>
      </c>
      <c r="AD21" s="71">
        <v>14</v>
      </c>
      <c r="AE21" s="71">
        <v>26</v>
      </c>
      <c r="AF21" s="71">
        <v>26</v>
      </c>
      <c r="AG21" s="71">
        <v>26</v>
      </c>
      <c r="AH21" s="71" t="s">
        <v>84</v>
      </c>
    </row>
    <row r="22" spans="1:34">
      <c r="A22" s="71" t="s">
        <v>41</v>
      </c>
      <c r="B22" s="138">
        <v>59816</v>
      </c>
      <c r="C22" s="138">
        <v>247342</v>
      </c>
      <c r="D22" s="138">
        <v>497222</v>
      </c>
      <c r="E22" s="138">
        <v>497222</v>
      </c>
      <c r="F22" s="138">
        <v>497222</v>
      </c>
      <c r="G22" s="138">
        <v>497222</v>
      </c>
      <c r="H22" s="138">
        <v>497222</v>
      </c>
      <c r="I22" s="138">
        <v>497222</v>
      </c>
      <c r="J22" s="138">
        <v>497222</v>
      </c>
      <c r="K22" s="71"/>
      <c r="L22" s="13">
        <f t="shared" si="0"/>
        <v>497223</v>
      </c>
      <c r="M22" s="138">
        <v>59816</v>
      </c>
      <c r="N22" s="138">
        <v>187527</v>
      </c>
      <c r="O22" s="138">
        <v>249880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  <c r="U22" s="138">
        <v>0</v>
      </c>
      <c r="V22" s="138"/>
      <c r="W22" s="138">
        <v>497222</v>
      </c>
      <c r="X22" s="71"/>
      <c r="Y22" s="138">
        <v>87406</v>
      </c>
      <c r="Z22" s="71">
        <v>51</v>
      </c>
      <c r="AA22" s="71" t="s">
        <v>41</v>
      </c>
      <c r="AB22" s="71">
        <v>48</v>
      </c>
      <c r="AC22" s="71">
        <v>48</v>
      </c>
      <c r="AD22" s="71">
        <v>47</v>
      </c>
      <c r="AE22" s="71">
        <v>47</v>
      </c>
      <c r="AF22" s="71">
        <v>47</v>
      </c>
      <c r="AG22" s="71">
        <v>47</v>
      </c>
      <c r="AH22" s="71" t="s">
        <v>41</v>
      </c>
    </row>
    <row r="23" spans="1:34">
      <c r="A23" s="71" t="s">
        <v>74</v>
      </c>
      <c r="B23" s="138">
        <v>113674</v>
      </c>
      <c r="C23" s="138">
        <v>480572</v>
      </c>
      <c r="D23" s="138">
        <v>891412</v>
      </c>
      <c r="E23" s="138">
        <v>891412</v>
      </c>
      <c r="F23" s="138">
        <v>891412</v>
      </c>
      <c r="G23" s="138">
        <v>891412</v>
      </c>
      <c r="H23" s="138">
        <v>891412</v>
      </c>
      <c r="I23" s="138">
        <v>891412</v>
      </c>
      <c r="J23" s="138">
        <v>891412</v>
      </c>
      <c r="K23" s="71"/>
      <c r="L23" s="13">
        <f t="shared" si="0"/>
        <v>891412</v>
      </c>
      <c r="M23" s="138">
        <v>113674</v>
      </c>
      <c r="N23" s="138">
        <v>366898</v>
      </c>
      <c r="O23" s="138">
        <v>410840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  <c r="U23" s="138">
        <v>0</v>
      </c>
      <c r="V23" s="138"/>
      <c r="W23" s="138">
        <v>891412</v>
      </c>
      <c r="X23" s="71"/>
      <c r="Y23" s="138">
        <v>162423</v>
      </c>
      <c r="Z23" s="71">
        <v>16</v>
      </c>
      <c r="AA23" s="71" t="s">
        <v>74</v>
      </c>
      <c r="AB23" s="71">
        <v>16</v>
      </c>
      <c r="AC23" s="71">
        <v>11</v>
      </c>
      <c r="AD23" s="71">
        <v>12</v>
      </c>
      <c r="AE23" s="71">
        <v>25</v>
      </c>
      <c r="AF23" s="71">
        <v>25</v>
      </c>
      <c r="AG23" s="71">
        <v>25</v>
      </c>
      <c r="AH23" s="71" t="s">
        <v>74</v>
      </c>
    </row>
    <row r="24" spans="1:34">
      <c r="A24" s="71" t="s">
        <v>62</v>
      </c>
      <c r="B24" s="138">
        <v>117543</v>
      </c>
      <c r="C24" s="138">
        <v>470621</v>
      </c>
      <c r="D24" s="138">
        <v>691875</v>
      </c>
      <c r="E24" s="138">
        <v>691875</v>
      </c>
      <c r="F24" s="138">
        <v>691875</v>
      </c>
      <c r="G24" s="138">
        <v>691875</v>
      </c>
      <c r="H24" s="138">
        <v>691875</v>
      </c>
      <c r="I24" s="138">
        <v>691875</v>
      </c>
      <c r="J24" s="138">
        <v>691875</v>
      </c>
      <c r="K24" s="71"/>
      <c r="L24" s="13">
        <f t="shared" si="0"/>
        <v>691874</v>
      </c>
      <c r="M24" s="138">
        <v>117543</v>
      </c>
      <c r="N24" s="138">
        <v>353077</v>
      </c>
      <c r="O24" s="138">
        <v>221254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  <c r="U24" s="138">
        <v>0</v>
      </c>
      <c r="V24" s="138"/>
      <c r="W24" s="138">
        <v>691875</v>
      </c>
      <c r="X24" s="71"/>
      <c r="Y24" s="138">
        <v>144172</v>
      </c>
      <c r="Z24" s="71">
        <v>26</v>
      </c>
      <c r="AA24" s="71" t="s">
        <v>62</v>
      </c>
      <c r="AB24" s="71">
        <v>14</v>
      </c>
      <c r="AC24" s="71">
        <v>15</v>
      </c>
      <c r="AD24" s="71">
        <v>29</v>
      </c>
      <c r="AE24" s="71">
        <v>33</v>
      </c>
      <c r="AF24" s="71">
        <v>33</v>
      </c>
      <c r="AG24" s="71">
        <v>33</v>
      </c>
      <c r="AH24" s="71" t="s">
        <v>62</v>
      </c>
    </row>
    <row r="25" spans="1:34">
      <c r="A25" s="71" t="s">
        <v>63</v>
      </c>
      <c r="B25" s="138">
        <v>141243</v>
      </c>
      <c r="C25" s="138">
        <v>597267</v>
      </c>
      <c r="D25" s="138">
        <v>1404799</v>
      </c>
      <c r="E25" s="138">
        <v>2548254</v>
      </c>
      <c r="F25" s="138">
        <v>4034904</v>
      </c>
      <c r="G25" s="138">
        <v>5298837</v>
      </c>
      <c r="H25" s="138">
        <v>5298837</v>
      </c>
      <c r="I25" s="138">
        <v>5298837</v>
      </c>
      <c r="J25" s="138">
        <v>5298837</v>
      </c>
      <c r="K25" s="71"/>
      <c r="L25" s="13">
        <f t="shared" si="0"/>
        <v>5298836</v>
      </c>
      <c r="M25" s="138">
        <v>141243</v>
      </c>
      <c r="N25" s="138">
        <v>456024</v>
      </c>
      <c r="O25" s="138">
        <v>807532</v>
      </c>
      <c r="P25" s="138">
        <v>1143454</v>
      </c>
      <c r="Q25" s="138">
        <v>1486650</v>
      </c>
      <c r="R25" s="138">
        <v>1263933</v>
      </c>
      <c r="S25" s="138">
        <v>0</v>
      </c>
      <c r="T25" s="138">
        <v>0</v>
      </c>
      <c r="U25" s="138">
        <v>0</v>
      </c>
      <c r="V25" s="138"/>
      <c r="W25" s="138">
        <v>5298837</v>
      </c>
      <c r="X25" s="71"/>
      <c r="Y25" s="138">
        <v>313033</v>
      </c>
      <c r="Z25" s="71">
        <v>2</v>
      </c>
      <c r="AA25" s="71" t="s">
        <v>63</v>
      </c>
      <c r="AB25" s="71">
        <v>4</v>
      </c>
      <c r="AC25" s="71">
        <v>4</v>
      </c>
      <c r="AD25" s="71">
        <v>2</v>
      </c>
      <c r="AE25" s="71">
        <v>1</v>
      </c>
      <c r="AF25" s="71">
        <v>1</v>
      </c>
      <c r="AG25" s="71">
        <v>1</v>
      </c>
      <c r="AH25" s="71" t="s">
        <v>63</v>
      </c>
    </row>
    <row r="26" spans="1:34">
      <c r="A26" s="71" t="s">
        <v>42</v>
      </c>
      <c r="B26" s="138">
        <v>75040</v>
      </c>
      <c r="C26" s="138">
        <v>321038</v>
      </c>
      <c r="D26" s="138">
        <v>516026</v>
      </c>
      <c r="E26" s="138">
        <v>516026</v>
      </c>
      <c r="F26" s="138">
        <v>516026</v>
      </c>
      <c r="G26" s="138">
        <v>516026</v>
      </c>
      <c r="H26" s="138">
        <v>516026</v>
      </c>
      <c r="I26" s="138">
        <v>516026</v>
      </c>
      <c r="J26" s="138">
        <v>516026</v>
      </c>
      <c r="K26" s="71"/>
      <c r="L26" s="13">
        <f t="shared" si="0"/>
        <v>516025</v>
      </c>
      <c r="M26" s="138">
        <v>75040</v>
      </c>
      <c r="N26" s="138">
        <v>245997</v>
      </c>
      <c r="O26" s="138">
        <v>194988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  <c r="U26" s="138">
        <v>0</v>
      </c>
      <c r="V26" s="138"/>
      <c r="W26" s="138">
        <v>516026</v>
      </c>
      <c r="X26" s="71"/>
      <c r="Y26" s="138">
        <v>101073</v>
      </c>
      <c r="Z26" s="71">
        <v>48</v>
      </c>
      <c r="AA26" s="71" t="s">
        <v>42</v>
      </c>
      <c r="AB26" s="71">
        <v>42</v>
      </c>
      <c r="AC26" s="71">
        <v>40</v>
      </c>
      <c r="AD26" s="71">
        <v>46</v>
      </c>
      <c r="AE26" s="71">
        <v>46</v>
      </c>
      <c r="AF26" s="71">
        <v>46</v>
      </c>
      <c r="AG26" s="71">
        <v>46</v>
      </c>
      <c r="AH26" s="71" t="s">
        <v>42</v>
      </c>
    </row>
    <row r="27" spans="1:34">
      <c r="A27" s="71" t="s">
        <v>43</v>
      </c>
      <c r="B27" s="138">
        <v>76401</v>
      </c>
      <c r="C27" s="138">
        <v>325062</v>
      </c>
      <c r="D27" s="138">
        <v>537466</v>
      </c>
      <c r="E27" s="138">
        <v>537466</v>
      </c>
      <c r="F27" s="138">
        <v>537466</v>
      </c>
      <c r="G27" s="138">
        <v>537466</v>
      </c>
      <c r="H27" s="138">
        <v>537466</v>
      </c>
      <c r="I27" s="138">
        <v>537466</v>
      </c>
      <c r="J27" s="138">
        <v>537466</v>
      </c>
      <c r="K27" s="71"/>
      <c r="L27" s="13">
        <f t="shared" si="0"/>
        <v>537466</v>
      </c>
      <c r="M27" s="138">
        <v>76401</v>
      </c>
      <c r="N27" s="138">
        <v>248661</v>
      </c>
      <c r="O27" s="138">
        <v>212404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  <c r="U27" s="138">
        <v>0</v>
      </c>
      <c r="V27" s="138"/>
      <c r="W27" s="138">
        <v>537466</v>
      </c>
      <c r="X27" s="71"/>
      <c r="Y27" s="138">
        <v>103802</v>
      </c>
      <c r="Z27" s="71">
        <v>46</v>
      </c>
      <c r="AA27" s="71" t="s">
        <v>43</v>
      </c>
      <c r="AB27" s="71">
        <v>40</v>
      </c>
      <c r="AC27" s="71">
        <v>39</v>
      </c>
      <c r="AD27" s="71">
        <v>43</v>
      </c>
      <c r="AE27" s="71">
        <v>44</v>
      </c>
      <c r="AF27" s="71">
        <v>44</v>
      </c>
      <c r="AG27" s="71">
        <v>44</v>
      </c>
      <c r="AH27" s="71" t="s">
        <v>43</v>
      </c>
    </row>
    <row r="28" spans="1:34">
      <c r="A28" s="71" t="s">
        <v>44</v>
      </c>
      <c r="B28" s="138">
        <v>106669</v>
      </c>
      <c r="C28" s="138">
        <v>464063</v>
      </c>
      <c r="D28" s="138">
        <v>781664</v>
      </c>
      <c r="E28" s="138">
        <v>781664</v>
      </c>
      <c r="F28" s="138">
        <v>781664</v>
      </c>
      <c r="G28" s="138">
        <v>781664</v>
      </c>
      <c r="H28" s="138">
        <v>781664</v>
      </c>
      <c r="I28" s="138">
        <v>781664</v>
      </c>
      <c r="J28" s="138">
        <v>781664</v>
      </c>
      <c r="K28" s="71"/>
      <c r="L28" s="13">
        <f t="shared" si="0"/>
        <v>781664</v>
      </c>
      <c r="M28" s="138">
        <v>106669</v>
      </c>
      <c r="N28" s="138">
        <v>357394</v>
      </c>
      <c r="O28" s="138">
        <v>317601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  <c r="U28" s="138">
        <v>0</v>
      </c>
      <c r="V28" s="138"/>
      <c r="W28" s="138">
        <v>781664</v>
      </c>
      <c r="X28" s="71"/>
      <c r="Y28" s="138">
        <v>148898</v>
      </c>
      <c r="Z28" s="71">
        <v>23</v>
      </c>
      <c r="AA28" s="71" t="s">
        <v>44</v>
      </c>
      <c r="AB28" s="71">
        <v>19</v>
      </c>
      <c r="AC28" s="71">
        <v>17</v>
      </c>
      <c r="AD28" s="71">
        <v>22</v>
      </c>
      <c r="AE28" s="71">
        <v>31</v>
      </c>
      <c r="AF28" s="71">
        <v>31</v>
      </c>
      <c r="AG28" s="71">
        <v>31</v>
      </c>
      <c r="AH28" s="71" t="s">
        <v>44</v>
      </c>
    </row>
    <row r="29" spans="1:34">
      <c r="A29" s="71" t="s">
        <v>45</v>
      </c>
      <c r="B29" s="138">
        <v>101849</v>
      </c>
      <c r="C29" s="138">
        <v>448818</v>
      </c>
      <c r="D29" s="138">
        <v>1062261</v>
      </c>
      <c r="E29" s="138">
        <v>1642398</v>
      </c>
      <c r="F29" s="138">
        <v>1642398</v>
      </c>
      <c r="G29" s="138">
        <v>1642398</v>
      </c>
      <c r="H29" s="138">
        <v>1642398</v>
      </c>
      <c r="I29" s="138">
        <v>1642398</v>
      </c>
      <c r="J29" s="138">
        <v>1642398</v>
      </c>
      <c r="K29" s="71"/>
      <c r="L29" s="13">
        <f t="shared" si="0"/>
        <v>1642398</v>
      </c>
      <c r="M29" s="138">
        <v>101849</v>
      </c>
      <c r="N29" s="138">
        <v>346968</v>
      </c>
      <c r="O29" s="138">
        <v>613444</v>
      </c>
      <c r="P29" s="138">
        <v>580137</v>
      </c>
      <c r="Q29" s="138">
        <v>0</v>
      </c>
      <c r="R29" s="138">
        <v>0</v>
      </c>
      <c r="S29" s="138">
        <v>0</v>
      </c>
      <c r="T29" s="138">
        <v>0</v>
      </c>
      <c r="U29" s="138">
        <v>0</v>
      </c>
      <c r="V29" s="138"/>
      <c r="W29" s="138">
        <v>1642398</v>
      </c>
      <c r="X29" s="71"/>
      <c r="Y29" s="138">
        <v>195114</v>
      </c>
      <c r="Z29" s="71">
        <v>9</v>
      </c>
      <c r="AA29" s="71" t="s">
        <v>45</v>
      </c>
      <c r="AB29" s="71">
        <v>21</v>
      </c>
      <c r="AC29" s="71">
        <v>19</v>
      </c>
      <c r="AD29" s="71">
        <v>7</v>
      </c>
      <c r="AE29" s="71">
        <v>6</v>
      </c>
      <c r="AF29" s="71">
        <v>11</v>
      </c>
      <c r="AG29" s="71">
        <v>12</v>
      </c>
      <c r="AH29" s="71" t="s">
        <v>45</v>
      </c>
    </row>
    <row r="30" spans="1:34">
      <c r="A30" s="71" t="s">
        <v>46</v>
      </c>
      <c r="B30" s="138">
        <v>85218</v>
      </c>
      <c r="C30" s="138">
        <v>362541</v>
      </c>
      <c r="D30" s="138">
        <v>634772</v>
      </c>
      <c r="E30" s="138">
        <v>634772</v>
      </c>
      <c r="F30" s="138">
        <v>634772</v>
      </c>
      <c r="G30" s="138">
        <v>634772</v>
      </c>
      <c r="H30" s="138">
        <v>634772</v>
      </c>
      <c r="I30" s="138">
        <v>634772</v>
      </c>
      <c r="J30" s="138">
        <v>634772</v>
      </c>
      <c r="K30" s="71"/>
      <c r="L30" s="13">
        <f t="shared" si="0"/>
        <v>634772</v>
      </c>
      <c r="M30" s="138">
        <v>85218</v>
      </c>
      <c r="N30" s="138">
        <v>277323</v>
      </c>
      <c r="O30" s="138">
        <v>272231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  <c r="U30" s="138">
        <v>0</v>
      </c>
      <c r="V30" s="138"/>
      <c r="W30" s="138">
        <v>634772</v>
      </c>
      <c r="X30" s="71"/>
      <c r="Y30" s="138">
        <v>118978</v>
      </c>
      <c r="Z30" s="71">
        <v>40</v>
      </c>
      <c r="AA30" s="71" t="s">
        <v>46</v>
      </c>
      <c r="AB30" s="71">
        <v>33</v>
      </c>
      <c r="AC30" s="71">
        <v>31</v>
      </c>
      <c r="AD30" s="71">
        <v>32</v>
      </c>
      <c r="AE30" s="71">
        <v>35</v>
      </c>
      <c r="AF30" s="71">
        <v>35</v>
      </c>
      <c r="AG30" s="71">
        <v>35</v>
      </c>
      <c r="AH30" s="71" t="s">
        <v>46</v>
      </c>
    </row>
    <row r="31" spans="1:34">
      <c r="A31" s="71" t="s">
        <v>47</v>
      </c>
      <c r="B31" s="138">
        <v>152355</v>
      </c>
      <c r="C31" s="138">
        <v>541312</v>
      </c>
      <c r="D31" s="138">
        <v>541312</v>
      </c>
      <c r="E31" s="138">
        <v>541312</v>
      </c>
      <c r="F31" s="138">
        <v>541312</v>
      </c>
      <c r="G31" s="138">
        <v>541312</v>
      </c>
      <c r="H31" s="138">
        <v>541312</v>
      </c>
      <c r="I31" s="138">
        <v>541312</v>
      </c>
      <c r="J31" s="138">
        <v>541312</v>
      </c>
      <c r="K31" s="71"/>
      <c r="L31" s="13">
        <f t="shared" si="0"/>
        <v>541312</v>
      </c>
      <c r="M31" s="138">
        <v>152355</v>
      </c>
      <c r="N31" s="138">
        <v>388957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  <c r="U31" s="138">
        <v>0</v>
      </c>
      <c r="V31" s="138"/>
      <c r="W31" s="138">
        <v>541312</v>
      </c>
      <c r="X31" s="71"/>
      <c r="Y31" s="138">
        <v>146987</v>
      </c>
      <c r="Z31" s="71">
        <v>24</v>
      </c>
      <c r="AA31" s="71" t="s">
        <v>47</v>
      </c>
      <c r="AB31" s="71">
        <v>3</v>
      </c>
      <c r="AC31" s="71">
        <v>8</v>
      </c>
      <c r="AD31" s="71">
        <v>42</v>
      </c>
      <c r="AE31" s="71">
        <v>43</v>
      </c>
      <c r="AF31" s="71">
        <v>43</v>
      </c>
      <c r="AG31" s="71">
        <v>43</v>
      </c>
      <c r="AH31" s="71" t="s">
        <v>47</v>
      </c>
    </row>
    <row r="32" spans="1:34">
      <c r="A32" s="71" t="s">
        <v>64</v>
      </c>
      <c r="B32" s="138">
        <v>116054</v>
      </c>
      <c r="C32" s="138">
        <v>505201</v>
      </c>
      <c r="D32" s="138">
        <v>1196603</v>
      </c>
      <c r="E32" s="138">
        <v>2183555</v>
      </c>
      <c r="F32" s="138">
        <v>3483335</v>
      </c>
      <c r="G32" s="138">
        <v>5100017</v>
      </c>
      <c r="H32" s="138">
        <v>7036953</v>
      </c>
      <c r="I32" s="138">
        <v>7884550</v>
      </c>
      <c r="J32" s="138">
        <v>7884550</v>
      </c>
      <c r="K32" s="71"/>
      <c r="L32" s="13">
        <f t="shared" si="0"/>
        <v>7884551</v>
      </c>
      <c r="M32" s="138">
        <v>116054</v>
      </c>
      <c r="N32" s="138">
        <v>389147</v>
      </c>
      <c r="O32" s="138">
        <v>691402</v>
      </c>
      <c r="P32" s="138">
        <v>986952</v>
      </c>
      <c r="Q32" s="138">
        <v>1299781</v>
      </c>
      <c r="R32" s="138">
        <v>1616682</v>
      </c>
      <c r="S32" s="138">
        <v>1936936</v>
      </c>
      <c r="T32" s="138">
        <v>847597</v>
      </c>
      <c r="U32" s="138">
        <v>0</v>
      </c>
      <c r="V32" s="138"/>
      <c r="W32" s="138">
        <v>7884550</v>
      </c>
      <c r="X32" s="71"/>
      <c r="Y32" s="138">
        <v>279349</v>
      </c>
      <c r="Z32" s="71">
        <v>3</v>
      </c>
      <c r="AA32" s="71" t="s">
        <v>64</v>
      </c>
      <c r="AB32" s="71">
        <v>15</v>
      </c>
      <c r="AC32" s="71">
        <v>10</v>
      </c>
      <c r="AD32" s="71">
        <v>4</v>
      </c>
      <c r="AE32" s="71">
        <v>3</v>
      </c>
      <c r="AF32" s="71">
        <v>2</v>
      </c>
      <c r="AG32" s="71">
        <v>2</v>
      </c>
      <c r="AH32" s="71" t="s">
        <v>64</v>
      </c>
    </row>
    <row r="33" spans="1:34">
      <c r="A33" s="71" t="s">
        <v>65</v>
      </c>
      <c r="B33" s="138">
        <v>88919</v>
      </c>
      <c r="C33" s="138">
        <v>376503</v>
      </c>
      <c r="D33" s="138">
        <v>441416</v>
      </c>
      <c r="E33" s="138">
        <v>441416</v>
      </c>
      <c r="F33" s="138">
        <v>441416</v>
      </c>
      <c r="G33" s="138">
        <v>441416</v>
      </c>
      <c r="H33" s="138">
        <v>441416</v>
      </c>
      <c r="I33" s="138">
        <v>441416</v>
      </c>
      <c r="J33" s="138">
        <v>441416</v>
      </c>
      <c r="K33" s="71"/>
      <c r="L33" s="13">
        <f t="shared" si="0"/>
        <v>441416</v>
      </c>
      <c r="M33" s="138">
        <v>88919</v>
      </c>
      <c r="N33" s="138">
        <v>287584</v>
      </c>
      <c r="O33" s="138">
        <v>64913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  <c r="U33" s="138">
        <v>0</v>
      </c>
      <c r="V33" s="138"/>
      <c r="W33" s="138">
        <v>441416</v>
      </c>
      <c r="X33" s="71"/>
      <c r="Y33" s="138">
        <v>103905</v>
      </c>
      <c r="Z33" s="71">
        <v>45</v>
      </c>
      <c r="AA33" s="71" t="s">
        <v>65</v>
      </c>
      <c r="AB33" s="71">
        <v>30</v>
      </c>
      <c r="AC33" s="71">
        <v>27</v>
      </c>
      <c r="AD33" s="71">
        <v>50</v>
      </c>
      <c r="AE33" s="71">
        <v>50</v>
      </c>
      <c r="AF33" s="71">
        <v>50</v>
      </c>
      <c r="AG33" s="71">
        <v>50</v>
      </c>
      <c r="AH33" s="71" t="s">
        <v>65</v>
      </c>
    </row>
    <row r="34" spans="1:34">
      <c r="A34" s="71" t="s">
        <v>48</v>
      </c>
      <c r="B34" s="138">
        <v>67514</v>
      </c>
      <c r="C34" s="138">
        <v>284882</v>
      </c>
      <c r="D34" s="138">
        <v>664922</v>
      </c>
      <c r="E34" s="138">
        <v>818126</v>
      </c>
      <c r="F34" s="138">
        <v>818126</v>
      </c>
      <c r="G34" s="138">
        <v>818126</v>
      </c>
      <c r="H34" s="138">
        <v>818126</v>
      </c>
      <c r="I34" s="138">
        <v>818126</v>
      </c>
      <c r="J34" s="138">
        <v>818126</v>
      </c>
      <c r="K34" s="71"/>
      <c r="L34" s="13">
        <f t="shared" si="0"/>
        <v>818125</v>
      </c>
      <c r="M34" s="138">
        <v>67514</v>
      </c>
      <c r="N34" s="138">
        <v>217367</v>
      </c>
      <c r="O34" s="138">
        <v>380040</v>
      </c>
      <c r="P34" s="138">
        <v>153204</v>
      </c>
      <c r="Q34" s="138">
        <v>0</v>
      </c>
      <c r="R34" s="138">
        <v>0</v>
      </c>
      <c r="S34" s="138">
        <v>0</v>
      </c>
      <c r="T34" s="138">
        <v>0</v>
      </c>
      <c r="U34" s="138">
        <v>0</v>
      </c>
      <c r="V34" s="138"/>
      <c r="W34" s="138">
        <v>818126</v>
      </c>
      <c r="X34" s="71"/>
      <c r="Y34" s="138">
        <v>114943</v>
      </c>
      <c r="Z34" s="71">
        <v>42</v>
      </c>
      <c r="AA34" s="71" t="s">
        <v>48</v>
      </c>
      <c r="AB34" s="71">
        <v>46</v>
      </c>
      <c r="AC34" s="71">
        <v>45</v>
      </c>
      <c r="AD34" s="71">
        <v>30</v>
      </c>
      <c r="AE34" s="71">
        <v>28</v>
      </c>
      <c r="AF34" s="71">
        <v>28</v>
      </c>
      <c r="AG34" s="71">
        <v>28</v>
      </c>
      <c r="AH34" s="71" t="s">
        <v>48</v>
      </c>
    </row>
    <row r="35" spans="1:34">
      <c r="A35" s="71" t="s">
        <v>66</v>
      </c>
      <c r="B35" s="138">
        <v>76950</v>
      </c>
      <c r="C35" s="138">
        <v>340444</v>
      </c>
      <c r="D35" s="138">
        <v>808060</v>
      </c>
      <c r="E35" s="138">
        <v>1478740</v>
      </c>
      <c r="F35" s="138">
        <v>2354557</v>
      </c>
      <c r="G35" s="138">
        <v>2550674</v>
      </c>
      <c r="H35" s="138">
        <v>2550674</v>
      </c>
      <c r="I35" s="138">
        <v>2550674</v>
      </c>
      <c r="J35" s="138">
        <v>2550674</v>
      </c>
      <c r="K35" s="71"/>
      <c r="L35" s="13">
        <f t="shared" si="0"/>
        <v>2550675</v>
      </c>
      <c r="M35" s="138">
        <v>76950</v>
      </c>
      <c r="N35" s="138">
        <v>263495</v>
      </c>
      <c r="O35" s="138">
        <v>467615</v>
      </c>
      <c r="P35" s="138">
        <v>670680</v>
      </c>
      <c r="Q35" s="138">
        <v>875818</v>
      </c>
      <c r="R35" s="138">
        <v>196117</v>
      </c>
      <c r="S35" s="138">
        <v>0</v>
      </c>
      <c r="T35" s="138">
        <v>0</v>
      </c>
      <c r="U35" s="138">
        <v>0</v>
      </c>
      <c r="V35" s="138"/>
      <c r="W35" s="138">
        <v>2550674</v>
      </c>
      <c r="X35" s="71"/>
      <c r="Y35" s="138">
        <v>175189</v>
      </c>
      <c r="Z35" s="71">
        <v>11</v>
      </c>
      <c r="AA35" s="71" t="s">
        <v>66</v>
      </c>
      <c r="AB35" s="71">
        <v>39</v>
      </c>
      <c r="AC35" s="71">
        <v>35</v>
      </c>
      <c r="AD35" s="71">
        <v>20</v>
      </c>
      <c r="AE35" s="71">
        <v>10</v>
      </c>
      <c r="AF35" s="71">
        <v>6</v>
      </c>
      <c r="AG35" s="71">
        <v>6</v>
      </c>
      <c r="AH35" s="71" t="s">
        <v>66</v>
      </c>
    </row>
    <row r="36" spans="1:34">
      <c r="A36" s="71" t="s">
        <v>49</v>
      </c>
      <c r="B36" s="138">
        <v>87258</v>
      </c>
      <c r="C36" s="138">
        <v>355080</v>
      </c>
      <c r="D36" s="138">
        <v>821577</v>
      </c>
      <c r="E36" s="138">
        <v>1402830</v>
      </c>
      <c r="F36" s="138">
        <v>1402830</v>
      </c>
      <c r="G36" s="138">
        <v>1402830</v>
      </c>
      <c r="H36" s="138">
        <v>1402830</v>
      </c>
      <c r="I36" s="138">
        <v>1402830</v>
      </c>
      <c r="J36" s="138">
        <v>1402830</v>
      </c>
      <c r="K36" s="71"/>
      <c r="L36" s="13">
        <f t="shared" si="0"/>
        <v>1402830</v>
      </c>
      <c r="M36" s="138">
        <v>87258</v>
      </c>
      <c r="N36" s="138">
        <v>267822</v>
      </c>
      <c r="O36" s="138">
        <v>466497</v>
      </c>
      <c r="P36" s="138">
        <v>581253</v>
      </c>
      <c r="Q36" s="138">
        <v>0</v>
      </c>
      <c r="R36" s="138">
        <v>0</v>
      </c>
      <c r="S36" s="138">
        <v>0</v>
      </c>
      <c r="T36" s="138">
        <v>0</v>
      </c>
      <c r="U36" s="138">
        <v>0</v>
      </c>
      <c r="V36" s="138"/>
      <c r="W36" s="138">
        <v>1402830</v>
      </c>
      <c r="X36" s="71"/>
      <c r="Y36" s="138">
        <v>159293</v>
      </c>
      <c r="Z36" s="71">
        <v>20</v>
      </c>
      <c r="AA36" s="71" t="s">
        <v>49</v>
      </c>
      <c r="AB36" s="71">
        <v>31</v>
      </c>
      <c r="AC36" s="71">
        <v>33</v>
      </c>
      <c r="AD36" s="71">
        <v>17</v>
      </c>
      <c r="AE36" s="71">
        <v>13</v>
      </c>
      <c r="AF36" s="71">
        <v>15</v>
      </c>
      <c r="AG36" s="71">
        <v>15</v>
      </c>
      <c r="AH36" s="71" t="s">
        <v>49</v>
      </c>
    </row>
    <row r="37" spans="1:34">
      <c r="A37" s="71" t="s">
        <v>50</v>
      </c>
      <c r="B37" s="138">
        <v>69548</v>
      </c>
      <c r="C37" s="138">
        <v>313204</v>
      </c>
      <c r="D37" s="138">
        <v>745835</v>
      </c>
      <c r="E37" s="138">
        <v>1038641</v>
      </c>
      <c r="F37" s="138">
        <v>1038641</v>
      </c>
      <c r="G37" s="138">
        <v>1038641</v>
      </c>
      <c r="H37" s="138">
        <v>1038641</v>
      </c>
      <c r="I37" s="138">
        <v>1038641</v>
      </c>
      <c r="J37" s="138">
        <v>1038641</v>
      </c>
      <c r="K37" s="71"/>
      <c r="L37" s="13">
        <f t="shared" si="0"/>
        <v>1038640</v>
      </c>
      <c r="M37" s="138">
        <v>69548</v>
      </c>
      <c r="N37" s="138">
        <v>243656</v>
      </c>
      <c r="O37" s="138">
        <v>432630</v>
      </c>
      <c r="P37" s="138">
        <v>292806</v>
      </c>
      <c r="Q37" s="138">
        <v>0</v>
      </c>
      <c r="R37" s="138">
        <v>0</v>
      </c>
      <c r="S37" s="138">
        <v>0</v>
      </c>
      <c r="T37" s="138">
        <v>0</v>
      </c>
      <c r="U37" s="138">
        <v>0</v>
      </c>
      <c r="V37" s="138"/>
      <c r="W37" s="138">
        <v>1038641</v>
      </c>
      <c r="X37" s="71"/>
      <c r="Y37" s="138">
        <v>131626</v>
      </c>
      <c r="Z37" s="71">
        <v>32</v>
      </c>
      <c r="AA37" s="71" t="s">
        <v>50</v>
      </c>
      <c r="AB37" s="71">
        <v>44</v>
      </c>
      <c r="AC37" s="71">
        <v>43</v>
      </c>
      <c r="AD37" s="71">
        <v>26</v>
      </c>
      <c r="AE37" s="71">
        <v>21</v>
      </c>
      <c r="AF37" s="71">
        <v>23</v>
      </c>
      <c r="AG37" s="71">
        <v>23</v>
      </c>
      <c r="AH37" s="71" t="s">
        <v>50</v>
      </c>
    </row>
    <row r="38" spans="1:34">
      <c r="A38" s="71" t="s">
        <v>51</v>
      </c>
      <c r="B38" s="138">
        <v>78418</v>
      </c>
      <c r="C38" s="138">
        <v>313403</v>
      </c>
      <c r="D38" s="138">
        <v>738058</v>
      </c>
      <c r="E38" s="138">
        <v>877359</v>
      </c>
      <c r="F38" s="138">
        <v>877359</v>
      </c>
      <c r="G38" s="138">
        <v>877359</v>
      </c>
      <c r="H38" s="138">
        <v>877359</v>
      </c>
      <c r="I38" s="138">
        <v>877359</v>
      </c>
      <c r="J38" s="138">
        <v>877359</v>
      </c>
      <c r="K38" s="71"/>
      <c r="L38" s="13">
        <f t="shared" si="0"/>
        <v>877359</v>
      </c>
      <c r="M38" s="138">
        <v>78418</v>
      </c>
      <c r="N38" s="138">
        <v>234985</v>
      </c>
      <c r="O38" s="138">
        <v>424655</v>
      </c>
      <c r="P38" s="138">
        <v>139301</v>
      </c>
      <c r="Q38" s="138">
        <v>0</v>
      </c>
      <c r="R38" s="138">
        <v>0</v>
      </c>
      <c r="S38" s="138">
        <v>0</v>
      </c>
      <c r="T38" s="138">
        <v>0</v>
      </c>
      <c r="U38" s="138">
        <v>0</v>
      </c>
      <c r="V38" s="138"/>
      <c r="W38" s="138">
        <v>877359</v>
      </c>
      <c r="X38" s="71"/>
      <c r="Y38" s="138">
        <v>126880</v>
      </c>
      <c r="Z38" s="71">
        <v>34</v>
      </c>
      <c r="AA38" s="71" t="s">
        <v>51</v>
      </c>
      <c r="AB38" s="71">
        <v>36</v>
      </c>
      <c r="AC38" s="71">
        <v>42</v>
      </c>
      <c r="AD38" s="71">
        <v>27</v>
      </c>
      <c r="AE38" s="71">
        <v>27</v>
      </c>
      <c r="AF38" s="71">
        <v>27</v>
      </c>
      <c r="AG38" s="71">
        <v>27</v>
      </c>
      <c r="AH38" s="71" t="s">
        <v>51</v>
      </c>
    </row>
    <row r="39" spans="1:34">
      <c r="A39" s="71" t="s">
        <v>52</v>
      </c>
      <c r="B39" s="138">
        <v>93648</v>
      </c>
      <c r="C39" s="138">
        <v>401285</v>
      </c>
      <c r="D39" s="138">
        <v>629305</v>
      </c>
      <c r="E39" s="138">
        <v>629305</v>
      </c>
      <c r="F39" s="138">
        <v>629305</v>
      </c>
      <c r="G39" s="138">
        <v>629305</v>
      </c>
      <c r="H39" s="138">
        <v>629305</v>
      </c>
      <c r="I39" s="138">
        <v>629305</v>
      </c>
      <c r="J39" s="138">
        <v>629305</v>
      </c>
      <c r="K39" s="71"/>
      <c r="L39" s="13">
        <f t="shared" si="0"/>
        <v>629306</v>
      </c>
      <c r="M39" s="138">
        <v>93648</v>
      </c>
      <c r="N39" s="138">
        <v>307638</v>
      </c>
      <c r="O39" s="138">
        <v>228020</v>
      </c>
      <c r="P39" s="138">
        <v>0</v>
      </c>
      <c r="Q39" s="138">
        <v>0</v>
      </c>
      <c r="R39" s="138">
        <v>0</v>
      </c>
      <c r="S39" s="138">
        <v>0</v>
      </c>
      <c r="T39" s="138">
        <v>0</v>
      </c>
      <c r="U39" s="138">
        <v>0</v>
      </c>
      <c r="V39" s="138"/>
      <c r="W39" s="138">
        <v>629305</v>
      </c>
      <c r="X39" s="71"/>
      <c r="Y39" s="138">
        <v>124875</v>
      </c>
      <c r="Z39" s="71">
        <v>35</v>
      </c>
      <c r="AA39" s="71" t="s">
        <v>52</v>
      </c>
      <c r="AB39" s="71">
        <v>25</v>
      </c>
      <c r="AC39" s="71">
        <v>24</v>
      </c>
      <c r="AD39" s="71">
        <v>33</v>
      </c>
      <c r="AE39" s="71">
        <v>36</v>
      </c>
      <c r="AF39" s="71">
        <v>36</v>
      </c>
      <c r="AG39" s="71">
        <v>36</v>
      </c>
      <c r="AH39" s="71" t="s">
        <v>52</v>
      </c>
    </row>
    <row r="40" spans="1:34">
      <c r="A40" s="71" t="s">
        <v>53</v>
      </c>
      <c r="B40" s="138">
        <v>130698</v>
      </c>
      <c r="C40" s="138">
        <v>579732</v>
      </c>
      <c r="D40" s="138">
        <v>614595</v>
      </c>
      <c r="E40" s="138">
        <v>614595</v>
      </c>
      <c r="F40" s="138">
        <v>614595</v>
      </c>
      <c r="G40" s="138">
        <v>614595</v>
      </c>
      <c r="H40" s="138">
        <v>614595</v>
      </c>
      <c r="I40" s="138">
        <v>614595</v>
      </c>
      <c r="J40" s="138">
        <v>614595</v>
      </c>
      <c r="K40" s="71"/>
      <c r="L40" s="13">
        <f t="shared" si="0"/>
        <v>614596</v>
      </c>
      <c r="M40" s="138">
        <v>130698</v>
      </c>
      <c r="N40" s="138">
        <v>449035</v>
      </c>
      <c r="O40" s="138">
        <v>34863</v>
      </c>
      <c r="P40" s="138">
        <v>0</v>
      </c>
      <c r="Q40" s="138">
        <v>0</v>
      </c>
      <c r="R40" s="138">
        <v>0</v>
      </c>
      <c r="S40" s="138">
        <v>0</v>
      </c>
      <c r="T40" s="138">
        <v>0</v>
      </c>
      <c r="U40" s="138">
        <v>0</v>
      </c>
      <c r="V40" s="138"/>
      <c r="W40" s="138">
        <v>614595</v>
      </c>
      <c r="X40" s="71"/>
      <c r="Y40" s="138">
        <v>152547</v>
      </c>
      <c r="Z40" s="71">
        <v>21</v>
      </c>
      <c r="AA40" s="71" t="s">
        <v>53</v>
      </c>
      <c r="AB40" s="71">
        <v>7</v>
      </c>
      <c r="AC40" s="71">
        <v>6</v>
      </c>
      <c r="AD40" s="71">
        <v>34</v>
      </c>
      <c r="AE40" s="71">
        <v>37</v>
      </c>
      <c r="AF40" s="71">
        <v>37</v>
      </c>
      <c r="AG40" s="71">
        <v>37</v>
      </c>
      <c r="AH40" s="71" t="s">
        <v>53</v>
      </c>
    </row>
    <row r="41" spans="1:34">
      <c r="A41" s="71" t="s">
        <v>81</v>
      </c>
      <c r="B41" s="138">
        <v>120971</v>
      </c>
      <c r="C41" s="138">
        <v>455184</v>
      </c>
      <c r="D41" s="138">
        <v>455184</v>
      </c>
      <c r="E41" s="138">
        <v>455184</v>
      </c>
      <c r="F41" s="138">
        <v>455184</v>
      </c>
      <c r="G41" s="138">
        <v>455184</v>
      </c>
      <c r="H41" s="138">
        <v>455184</v>
      </c>
      <c r="I41" s="138">
        <v>455184</v>
      </c>
      <c r="J41" s="138">
        <v>455184</v>
      </c>
      <c r="K41" s="71"/>
      <c r="L41" s="13">
        <f t="shared" si="0"/>
        <v>455184</v>
      </c>
      <c r="M41" s="138">
        <v>120971</v>
      </c>
      <c r="N41" s="138">
        <v>334213</v>
      </c>
      <c r="O41" s="138">
        <v>0</v>
      </c>
      <c r="P41" s="138">
        <v>0</v>
      </c>
      <c r="Q41" s="138">
        <v>0</v>
      </c>
      <c r="R41" s="138">
        <v>0</v>
      </c>
      <c r="S41" s="138">
        <v>0</v>
      </c>
      <c r="T41" s="138">
        <v>0</v>
      </c>
      <c r="U41" s="138">
        <v>0</v>
      </c>
      <c r="V41" s="138"/>
      <c r="W41" s="138">
        <v>455184</v>
      </c>
      <c r="X41" s="71"/>
      <c r="Y41" s="138">
        <v>121832</v>
      </c>
      <c r="Z41" s="71">
        <v>38</v>
      </c>
      <c r="AA41" s="71" t="s">
        <v>81</v>
      </c>
      <c r="AB41" s="71">
        <v>12</v>
      </c>
      <c r="AC41" s="71">
        <v>18</v>
      </c>
      <c r="AD41" s="71">
        <v>49</v>
      </c>
      <c r="AE41" s="71">
        <v>49</v>
      </c>
      <c r="AF41" s="71">
        <v>49</v>
      </c>
      <c r="AG41" s="71">
        <v>49</v>
      </c>
      <c r="AH41" s="71" t="s">
        <v>81</v>
      </c>
    </row>
    <row r="42" spans="1:34">
      <c r="A42" s="71" t="s">
        <v>54</v>
      </c>
      <c r="B42" s="138">
        <v>69437</v>
      </c>
      <c r="C42" s="138">
        <v>280346</v>
      </c>
      <c r="D42" s="138">
        <v>585187</v>
      </c>
      <c r="E42" s="138">
        <v>585187</v>
      </c>
      <c r="F42" s="138">
        <v>585187</v>
      </c>
      <c r="G42" s="138">
        <v>585187</v>
      </c>
      <c r="H42" s="138">
        <v>585187</v>
      </c>
      <c r="I42" s="138">
        <v>585187</v>
      </c>
      <c r="J42" s="138">
        <v>585187</v>
      </c>
      <c r="K42" s="71"/>
      <c r="L42" s="13">
        <f t="shared" si="0"/>
        <v>585187</v>
      </c>
      <c r="M42" s="138">
        <v>69437</v>
      </c>
      <c r="N42" s="138">
        <v>210909</v>
      </c>
      <c r="O42" s="138">
        <v>304841</v>
      </c>
      <c r="P42" s="138">
        <v>0</v>
      </c>
      <c r="Q42" s="138">
        <v>0</v>
      </c>
      <c r="R42" s="138">
        <v>0</v>
      </c>
      <c r="S42" s="138">
        <v>0</v>
      </c>
      <c r="T42" s="138">
        <v>0</v>
      </c>
      <c r="U42" s="138">
        <v>0</v>
      </c>
      <c r="V42" s="138"/>
      <c r="W42" s="138">
        <v>585187</v>
      </c>
      <c r="X42" s="71"/>
      <c r="Y42" s="138">
        <v>101436</v>
      </c>
      <c r="Z42" s="71">
        <v>47</v>
      </c>
      <c r="AA42" s="71" t="s">
        <v>54</v>
      </c>
      <c r="AB42" s="71">
        <v>45</v>
      </c>
      <c r="AC42" s="71">
        <v>46</v>
      </c>
      <c r="AD42" s="71">
        <v>37</v>
      </c>
      <c r="AE42" s="71">
        <v>39</v>
      </c>
      <c r="AF42" s="71">
        <v>39</v>
      </c>
      <c r="AG42" s="71">
        <v>39</v>
      </c>
      <c r="AH42" s="71" t="s">
        <v>54</v>
      </c>
    </row>
    <row r="43" spans="1:34">
      <c r="A43" s="71" t="s">
        <v>55</v>
      </c>
      <c r="B43" s="138">
        <v>121279</v>
      </c>
      <c r="C43" s="138">
        <v>478800</v>
      </c>
      <c r="D43" s="138">
        <v>611285</v>
      </c>
      <c r="E43" s="138">
        <v>611285</v>
      </c>
      <c r="F43" s="138">
        <v>611285</v>
      </c>
      <c r="G43" s="138">
        <v>611285</v>
      </c>
      <c r="H43" s="138">
        <v>611285</v>
      </c>
      <c r="I43" s="138">
        <v>611285</v>
      </c>
      <c r="J43" s="138">
        <v>611285</v>
      </c>
      <c r="K43" s="71"/>
      <c r="L43" s="13">
        <f t="shared" si="0"/>
        <v>611285</v>
      </c>
      <c r="M43" s="138">
        <v>121279</v>
      </c>
      <c r="N43" s="138">
        <v>357521</v>
      </c>
      <c r="O43" s="138">
        <v>132485</v>
      </c>
      <c r="P43" s="138">
        <v>0</v>
      </c>
      <c r="Q43" s="138">
        <v>0</v>
      </c>
      <c r="R43" s="138">
        <v>0</v>
      </c>
      <c r="S43" s="138">
        <v>0</v>
      </c>
      <c r="T43" s="138">
        <v>0</v>
      </c>
      <c r="U43" s="138">
        <v>0</v>
      </c>
      <c r="V43" s="138"/>
      <c r="W43" s="138">
        <v>611285</v>
      </c>
      <c r="X43" s="71"/>
      <c r="Y43" s="138">
        <v>138695</v>
      </c>
      <c r="Z43" s="71">
        <v>29</v>
      </c>
      <c r="AA43" s="71" t="s">
        <v>55</v>
      </c>
      <c r="AB43" s="71">
        <v>11</v>
      </c>
      <c r="AC43" s="71">
        <v>12</v>
      </c>
      <c r="AD43" s="71">
        <v>36</v>
      </c>
      <c r="AE43" s="71">
        <v>38</v>
      </c>
      <c r="AF43" s="71">
        <v>38</v>
      </c>
      <c r="AG43" s="71">
        <v>38</v>
      </c>
      <c r="AH43" s="71" t="s">
        <v>55</v>
      </c>
    </row>
    <row r="44" spans="1:34">
      <c r="A44" s="71" t="s">
        <v>67</v>
      </c>
      <c r="B44" s="138">
        <v>89504</v>
      </c>
      <c r="C44" s="138">
        <v>379568</v>
      </c>
      <c r="D44" s="138">
        <v>635453</v>
      </c>
      <c r="E44" s="138">
        <v>635453</v>
      </c>
      <c r="F44" s="138">
        <v>635453</v>
      </c>
      <c r="G44" s="138">
        <v>635453</v>
      </c>
      <c r="H44" s="138">
        <v>635453</v>
      </c>
      <c r="I44" s="138">
        <v>635453</v>
      </c>
      <c r="J44" s="138">
        <v>635453</v>
      </c>
      <c r="K44" s="71"/>
      <c r="L44" s="13">
        <f t="shared" si="0"/>
        <v>635453</v>
      </c>
      <c r="M44" s="138">
        <v>89504</v>
      </c>
      <c r="N44" s="138">
        <v>290064</v>
      </c>
      <c r="O44" s="138">
        <v>255885</v>
      </c>
      <c r="P44" s="138">
        <v>0</v>
      </c>
      <c r="Q44" s="138">
        <v>0</v>
      </c>
      <c r="R44" s="138">
        <v>0</v>
      </c>
      <c r="S44" s="138">
        <v>0</v>
      </c>
      <c r="T44" s="138">
        <v>0</v>
      </c>
      <c r="U44" s="138">
        <v>0</v>
      </c>
      <c r="V44" s="138"/>
      <c r="W44" s="138">
        <v>635453</v>
      </c>
      <c r="X44" s="71"/>
      <c r="Y44" s="138">
        <v>121993</v>
      </c>
      <c r="Z44" s="71">
        <v>37</v>
      </c>
      <c r="AA44" s="71" t="s">
        <v>67</v>
      </c>
      <c r="AB44" s="71">
        <v>28</v>
      </c>
      <c r="AC44" s="71">
        <v>26</v>
      </c>
      <c r="AD44" s="71">
        <v>31</v>
      </c>
      <c r="AE44" s="71">
        <v>34</v>
      </c>
      <c r="AF44" s="71">
        <v>34</v>
      </c>
      <c r="AG44" s="71">
        <v>34</v>
      </c>
      <c r="AH44" s="71" t="s">
        <v>67</v>
      </c>
    </row>
    <row r="45" spans="1:34">
      <c r="A45" s="71" t="s">
        <v>68</v>
      </c>
      <c r="B45" s="138">
        <v>65658</v>
      </c>
      <c r="C45" s="138">
        <v>266244</v>
      </c>
      <c r="D45" s="138">
        <v>612935</v>
      </c>
      <c r="E45" s="138">
        <v>1081762</v>
      </c>
      <c r="F45" s="138">
        <v>1081762</v>
      </c>
      <c r="G45" s="138">
        <v>1081762</v>
      </c>
      <c r="H45" s="138">
        <v>1081762</v>
      </c>
      <c r="I45" s="138">
        <v>1081762</v>
      </c>
      <c r="J45" s="138">
        <v>1081762</v>
      </c>
      <c r="K45" s="71"/>
      <c r="L45" s="13">
        <f t="shared" si="0"/>
        <v>1081762</v>
      </c>
      <c r="M45" s="138">
        <v>65658</v>
      </c>
      <c r="N45" s="138">
        <v>200586</v>
      </c>
      <c r="O45" s="138">
        <v>346691</v>
      </c>
      <c r="P45" s="138">
        <v>468827</v>
      </c>
      <c r="Q45" s="138">
        <v>0</v>
      </c>
      <c r="R45" s="138">
        <v>0</v>
      </c>
      <c r="S45" s="138">
        <v>0</v>
      </c>
      <c r="T45" s="138">
        <v>0</v>
      </c>
      <c r="U45" s="138">
        <v>0</v>
      </c>
      <c r="V45" s="138"/>
      <c r="W45" s="138">
        <v>1081762</v>
      </c>
      <c r="X45" s="71"/>
      <c r="Y45" s="138">
        <v>120561</v>
      </c>
      <c r="Z45" s="71">
        <v>39</v>
      </c>
      <c r="AA45" s="71" t="s">
        <v>68</v>
      </c>
      <c r="AB45" s="71">
        <v>47</v>
      </c>
      <c r="AC45" s="71">
        <v>47</v>
      </c>
      <c r="AD45" s="71">
        <v>35</v>
      </c>
      <c r="AE45" s="71">
        <v>16</v>
      </c>
      <c r="AF45" s="71">
        <v>17</v>
      </c>
      <c r="AG45" s="71">
        <v>17</v>
      </c>
      <c r="AH45" s="71" t="s">
        <v>68</v>
      </c>
    </row>
    <row r="46" spans="1:34">
      <c r="A46" s="71" t="s">
        <v>69</v>
      </c>
      <c r="B46" s="138">
        <v>225621</v>
      </c>
      <c r="C46" s="138">
        <v>904627</v>
      </c>
      <c r="D46" s="138">
        <v>2048499</v>
      </c>
      <c r="E46" s="138">
        <v>2048499</v>
      </c>
      <c r="F46" s="138">
        <v>2048499</v>
      </c>
      <c r="G46" s="138">
        <v>2048499</v>
      </c>
      <c r="H46" s="138">
        <v>2048499</v>
      </c>
      <c r="I46" s="138">
        <v>2048499</v>
      </c>
      <c r="J46" s="138">
        <v>2048499</v>
      </c>
      <c r="K46" s="71"/>
      <c r="L46" s="13">
        <f t="shared" si="0"/>
        <v>2048499</v>
      </c>
      <c r="M46" s="138">
        <v>225621</v>
      </c>
      <c r="N46" s="138">
        <v>679006</v>
      </c>
      <c r="O46" s="138">
        <v>1143872</v>
      </c>
      <c r="P46" s="138">
        <v>0</v>
      </c>
      <c r="Q46" s="138">
        <v>0</v>
      </c>
      <c r="R46" s="138">
        <v>0</v>
      </c>
      <c r="S46" s="138">
        <v>0</v>
      </c>
      <c r="T46" s="138">
        <v>0</v>
      </c>
      <c r="U46" s="138">
        <v>0</v>
      </c>
      <c r="V46" s="138"/>
      <c r="W46" s="138">
        <v>2048499</v>
      </c>
      <c r="X46" s="71"/>
      <c r="Y46" s="138">
        <v>342237</v>
      </c>
      <c r="Z46" s="71">
        <v>1</v>
      </c>
      <c r="AA46" s="71" t="s">
        <v>69</v>
      </c>
      <c r="AB46" s="71">
        <v>1</v>
      </c>
      <c r="AC46" s="71">
        <v>1</v>
      </c>
      <c r="AD46" s="71">
        <v>1</v>
      </c>
      <c r="AE46" s="71">
        <v>4</v>
      </c>
      <c r="AF46" s="71">
        <v>8</v>
      </c>
      <c r="AG46" s="71">
        <v>9</v>
      </c>
      <c r="AH46" s="71" t="s">
        <v>69</v>
      </c>
    </row>
    <row r="47" spans="1:34">
      <c r="A47" s="71" t="s">
        <v>85</v>
      </c>
      <c r="B47" s="138">
        <v>165044</v>
      </c>
      <c r="C47" s="138">
        <v>685651</v>
      </c>
      <c r="D47" s="138">
        <v>1042998</v>
      </c>
      <c r="E47" s="138">
        <v>1042998</v>
      </c>
      <c r="F47" s="138">
        <v>1042998</v>
      </c>
      <c r="G47" s="138">
        <v>1042998</v>
      </c>
      <c r="H47" s="138">
        <v>1042998</v>
      </c>
      <c r="I47" s="138">
        <v>1042998</v>
      </c>
      <c r="J47" s="138">
        <v>1042998</v>
      </c>
      <c r="K47" s="71"/>
      <c r="L47" s="13">
        <f t="shared" si="0"/>
        <v>1042997</v>
      </c>
      <c r="M47" s="138">
        <v>165044</v>
      </c>
      <c r="N47" s="138">
        <v>520606</v>
      </c>
      <c r="O47" s="138">
        <v>357347</v>
      </c>
      <c r="P47" s="138">
        <v>0</v>
      </c>
      <c r="Q47" s="138">
        <v>0</v>
      </c>
      <c r="R47" s="138">
        <v>0</v>
      </c>
      <c r="S47" s="138">
        <v>0</v>
      </c>
      <c r="T47" s="138">
        <v>0</v>
      </c>
      <c r="U47" s="138">
        <v>0</v>
      </c>
      <c r="V47" s="138"/>
      <c r="W47" s="138">
        <v>1042998</v>
      </c>
      <c r="X47" s="71"/>
      <c r="Y47" s="138">
        <v>211686</v>
      </c>
      <c r="Z47" s="71">
        <v>6</v>
      </c>
      <c r="AA47" s="71" t="s">
        <v>85</v>
      </c>
      <c r="AB47" s="71">
        <v>2</v>
      </c>
      <c r="AC47" s="71">
        <v>2</v>
      </c>
      <c r="AD47" s="71">
        <v>8</v>
      </c>
      <c r="AE47" s="71">
        <v>20</v>
      </c>
      <c r="AF47" s="71">
        <v>21</v>
      </c>
      <c r="AG47" s="71">
        <v>21</v>
      </c>
      <c r="AH47" s="71" t="s">
        <v>85</v>
      </c>
    </row>
    <row r="48" spans="1:34">
      <c r="A48" s="71" t="s">
        <v>56</v>
      </c>
      <c r="B48" s="138">
        <v>90378</v>
      </c>
      <c r="C48" s="138">
        <v>361348</v>
      </c>
      <c r="D48" s="138">
        <v>816533</v>
      </c>
      <c r="E48" s="138">
        <v>1462960</v>
      </c>
      <c r="F48" s="138">
        <v>1481715</v>
      </c>
      <c r="G48" s="138">
        <v>1481715</v>
      </c>
      <c r="H48" s="138">
        <v>1481715</v>
      </c>
      <c r="I48" s="138">
        <v>1481715</v>
      </c>
      <c r="J48" s="138">
        <v>1481715</v>
      </c>
      <c r="K48" s="71"/>
      <c r="L48" s="13">
        <f t="shared" si="0"/>
        <v>1481715</v>
      </c>
      <c r="M48" s="138">
        <v>90378</v>
      </c>
      <c r="N48" s="138">
        <v>270971</v>
      </c>
      <c r="O48" s="138">
        <v>455184</v>
      </c>
      <c r="P48" s="138">
        <v>646427</v>
      </c>
      <c r="Q48" s="138">
        <v>18755</v>
      </c>
      <c r="R48" s="138">
        <v>0</v>
      </c>
      <c r="S48" s="138">
        <v>0</v>
      </c>
      <c r="T48" s="138">
        <v>0</v>
      </c>
      <c r="U48" s="138">
        <v>0</v>
      </c>
      <c r="V48" s="138"/>
      <c r="W48" s="138">
        <v>1481715</v>
      </c>
      <c r="X48" s="71"/>
      <c r="Y48" s="138">
        <v>163304</v>
      </c>
      <c r="Z48" s="71">
        <v>14</v>
      </c>
      <c r="AA48" s="71" t="s">
        <v>56</v>
      </c>
      <c r="AB48" s="71">
        <v>26</v>
      </c>
      <c r="AC48" s="71">
        <v>32</v>
      </c>
      <c r="AD48" s="71">
        <v>18</v>
      </c>
      <c r="AE48" s="71">
        <v>11</v>
      </c>
      <c r="AF48" s="71">
        <v>14</v>
      </c>
      <c r="AG48" s="71">
        <v>14</v>
      </c>
      <c r="AH48" s="71" t="s">
        <v>56</v>
      </c>
    </row>
    <row r="49" spans="1:34">
      <c r="A49" s="71" t="s">
        <v>397</v>
      </c>
      <c r="B49" s="138">
        <v>90131</v>
      </c>
      <c r="C49" s="138">
        <v>395286</v>
      </c>
      <c r="D49" s="138">
        <v>917913</v>
      </c>
      <c r="E49" s="138">
        <v>1485934</v>
      </c>
      <c r="F49" s="138">
        <v>1485934</v>
      </c>
      <c r="G49" s="138">
        <v>1485934</v>
      </c>
      <c r="H49" s="138">
        <v>1485934</v>
      </c>
      <c r="I49" s="138">
        <v>1485934</v>
      </c>
      <c r="J49" s="138">
        <v>1485934</v>
      </c>
      <c r="K49" s="71"/>
      <c r="L49" s="13">
        <f t="shared" si="0"/>
        <v>1485934</v>
      </c>
      <c r="M49" s="138">
        <v>90131</v>
      </c>
      <c r="N49" s="138">
        <v>305155</v>
      </c>
      <c r="O49" s="138">
        <v>522627</v>
      </c>
      <c r="P49" s="138">
        <v>568021</v>
      </c>
      <c r="Q49" s="138">
        <v>0</v>
      </c>
      <c r="R49" s="138">
        <v>0</v>
      </c>
      <c r="S49" s="138">
        <v>0</v>
      </c>
      <c r="T49" s="138">
        <v>0</v>
      </c>
      <c r="U49" s="138">
        <v>0</v>
      </c>
      <c r="V49" s="138"/>
      <c r="W49" s="138">
        <v>1485934</v>
      </c>
      <c r="X49" s="71"/>
      <c r="Y49" s="138">
        <v>172674</v>
      </c>
      <c r="Z49" s="71">
        <v>12</v>
      </c>
      <c r="AA49" s="71" t="s">
        <v>75</v>
      </c>
      <c r="AB49" s="71">
        <v>27</v>
      </c>
      <c r="AC49" s="71">
        <v>25</v>
      </c>
      <c r="AD49" s="71">
        <v>10</v>
      </c>
      <c r="AE49" s="71">
        <v>9</v>
      </c>
      <c r="AF49" s="71">
        <v>13</v>
      </c>
      <c r="AG49" s="71">
        <v>13</v>
      </c>
      <c r="AH49" s="71" t="s">
        <v>75</v>
      </c>
    </row>
    <row r="50" spans="1:34">
      <c r="A50" s="71" t="s">
        <v>57</v>
      </c>
      <c r="B50" s="138">
        <v>76186</v>
      </c>
      <c r="C50" s="138">
        <v>328249</v>
      </c>
      <c r="D50" s="138">
        <v>778593</v>
      </c>
      <c r="E50" s="138">
        <v>1220621</v>
      </c>
      <c r="F50" s="138">
        <v>1220621</v>
      </c>
      <c r="G50" s="138">
        <v>1220621</v>
      </c>
      <c r="H50" s="138">
        <v>1220621</v>
      </c>
      <c r="I50" s="138">
        <v>1220621</v>
      </c>
      <c r="J50" s="138">
        <v>1220621</v>
      </c>
      <c r="K50" s="71"/>
      <c r="L50" s="13">
        <f t="shared" si="0"/>
        <v>1220620</v>
      </c>
      <c r="M50" s="138">
        <v>76186</v>
      </c>
      <c r="N50" s="138">
        <v>252062</v>
      </c>
      <c r="O50" s="138">
        <v>450344</v>
      </c>
      <c r="P50" s="138">
        <v>442028</v>
      </c>
      <c r="Q50" s="138">
        <v>0</v>
      </c>
      <c r="R50" s="138">
        <v>0</v>
      </c>
      <c r="S50" s="138">
        <v>0</v>
      </c>
      <c r="T50" s="138">
        <v>0</v>
      </c>
      <c r="U50" s="138">
        <v>0</v>
      </c>
      <c r="V50" s="138"/>
      <c r="W50" s="138">
        <v>1220621</v>
      </c>
      <c r="X50" s="71"/>
      <c r="Y50" s="138">
        <v>143996</v>
      </c>
      <c r="Z50" s="71">
        <v>28</v>
      </c>
      <c r="AA50" s="71" t="s">
        <v>57</v>
      </c>
      <c r="AB50" s="71">
        <v>41</v>
      </c>
      <c r="AC50" s="71">
        <v>38</v>
      </c>
      <c r="AD50" s="71">
        <v>24</v>
      </c>
      <c r="AE50" s="71">
        <v>15</v>
      </c>
      <c r="AF50" s="71">
        <v>16</v>
      </c>
      <c r="AG50" s="71">
        <v>16</v>
      </c>
      <c r="AH50" s="71" t="s">
        <v>57</v>
      </c>
    </row>
    <row r="51" spans="1:34">
      <c r="A51" s="71" t="s">
        <v>70</v>
      </c>
      <c r="B51" s="138">
        <v>53012</v>
      </c>
      <c r="C51" s="138">
        <v>228331</v>
      </c>
      <c r="D51" s="138">
        <v>534028</v>
      </c>
      <c r="E51" s="138">
        <v>972302</v>
      </c>
      <c r="F51" s="138">
        <v>1042912</v>
      </c>
      <c r="G51" s="138">
        <v>1042912</v>
      </c>
      <c r="H51" s="138">
        <v>1042912</v>
      </c>
      <c r="I51" s="138">
        <v>1042912</v>
      </c>
      <c r="J51" s="138">
        <v>1042912</v>
      </c>
      <c r="K51" s="71"/>
      <c r="L51" s="13">
        <f t="shared" si="0"/>
        <v>1042912</v>
      </c>
      <c r="M51" s="138">
        <v>53012</v>
      </c>
      <c r="N51" s="138">
        <v>175319</v>
      </c>
      <c r="O51" s="138">
        <v>305697</v>
      </c>
      <c r="P51" s="138">
        <v>438274</v>
      </c>
      <c r="Q51" s="138">
        <v>70610</v>
      </c>
      <c r="R51" s="138">
        <v>0</v>
      </c>
      <c r="S51" s="138">
        <v>0</v>
      </c>
      <c r="T51" s="138">
        <v>0</v>
      </c>
      <c r="U51" s="138">
        <v>0</v>
      </c>
      <c r="V51" s="138"/>
      <c r="W51" s="138">
        <v>1042912</v>
      </c>
      <c r="X51" s="71"/>
      <c r="Y51" s="138">
        <v>106107</v>
      </c>
      <c r="Z51" s="71">
        <v>44</v>
      </c>
      <c r="AA51" s="71" t="s">
        <v>70</v>
      </c>
      <c r="AB51" s="71">
        <v>49</v>
      </c>
      <c r="AC51" s="71">
        <v>51</v>
      </c>
      <c r="AD51" s="71">
        <v>44</v>
      </c>
      <c r="AE51" s="71">
        <v>23</v>
      </c>
      <c r="AF51" s="71">
        <v>22</v>
      </c>
      <c r="AG51" s="71">
        <v>22</v>
      </c>
      <c r="AH51" s="71" t="s">
        <v>70</v>
      </c>
    </row>
    <row r="52" spans="1:34">
      <c r="A52" s="71" t="s">
        <v>58</v>
      </c>
      <c r="B52" s="138">
        <v>78451</v>
      </c>
      <c r="C52" s="138">
        <v>342743</v>
      </c>
      <c r="D52" s="138">
        <v>832938</v>
      </c>
      <c r="E52" s="138">
        <v>1549331</v>
      </c>
      <c r="F52" s="138">
        <v>2278636</v>
      </c>
      <c r="G52" s="138">
        <v>2278636</v>
      </c>
      <c r="H52" s="138">
        <v>2278636</v>
      </c>
      <c r="I52" s="138">
        <v>2278636</v>
      </c>
      <c r="J52" s="138">
        <v>2278636</v>
      </c>
      <c r="K52" s="71"/>
      <c r="L52" s="13">
        <f t="shared" si="0"/>
        <v>2278636</v>
      </c>
      <c r="M52" s="138">
        <v>78451</v>
      </c>
      <c r="N52" s="138">
        <v>264292</v>
      </c>
      <c r="O52" s="138">
        <v>490195</v>
      </c>
      <c r="P52" s="138">
        <v>716393</v>
      </c>
      <c r="Q52" s="138">
        <v>729305</v>
      </c>
      <c r="R52" s="138">
        <v>0</v>
      </c>
      <c r="S52" s="138">
        <v>0</v>
      </c>
      <c r="T52" s="138">
        <v>0</v>
      </c>
      <c r="U52" s="138">
        <v>0</v>
      </c>
      <c r="V52" s="138"/>
      <c r="W52" s="138">
        <v>2278636</v>
      </c>
      <c r="X52" s="71"/>
      <c r="Y52" s="138">
        <v>175639</v>
      </c>
      <c r="Z52" s="71">
        <v>10</v>
      </c>
      <c r="AA52" s="71" t="s">
        <v>58</v>
      </c>
      <c r="AB52" s="71">
        <v>35</v>
      </c>
      <c r="AC52" s="71">
        <v>34</v>
      </c>
      <c r="AD52" s="71">
        <v>16</v>
      </c>
      <c r="AE52" s="71">
        <v>8</v>
      </c>
      <c r="AF52" s="71">
        <v>7</v>
      </c>
      <c r="AG52" s="71">
        <v>7</v>
      </c>
      <c r="AH52" s="71" t="s">
        <v>58</v>
      </c>
    </row>
    <row r="53" spans="1:34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 spans="1:34">
      <c r="A54" s="134" t="s">
        <v>581</v>
      </c>
      <c r="B54" s="134">
        <f>SUMPRODUCT(B2:B52,$W$2:$W$52)/SUM($W$2:$W$52)</f>
        <v>103265.26378215803</v>
      </c>
      <c r="C54" s="134">
        <f t="shared" ref="C54:J54" si="1">SUMPRODUCT(C2:C52,$W$2:$W$52)/SUM($W$2:$W$52)</f>
        <v>437600.96462318517</v>
      </c>
      <c r="D54" s="134">
        <f t="shared" si="1"/>
        <v>937494.75221031706</v>
      </c>
      <c r="E54" s="134">
        <f t="shared" si="1"/>
        <v>1452782.3668584905</v>
      </c>
      <c r="F54" s="134">
        <f t="shared" si="1"/>
        <v>1935878.3108906618</v>
      </c>
      <c r="G54" s="134">
        <f t="shared" si="1"/>
        <v>2314755.7330244109</v>
      </c>
      <c r="H54" s="134">
        <f t="shared" si="1"/>
        <v>2564170.4134840737</v>
      </c>
      <c r="I54" s="134">
        <f t="shared" si="1"/>
        <v>2661643.0865932796</v>
      </c>
      <c r="J54" s="134">
        <f t="shared" si="1"/>
        <v>2661643.0865932796</v>
      </c>
      <c r="K54" s="71"/>
      <c r="L54" s="71"/>
      <c r="M54" s="71">
        <v>1</v>
      </c>
      <c r="N54" s="71">
        <v>1</v>
      </c>
      <c r="O54" s="71">
        <v>1</v>
      </c>
      <c r="P54" s="71">
        <v>1</v>
      </c>
      <c r="Q54" s="71">
        <v>1</v>
      </c>
      <c r="R54" s="71">
        <v>1</v>
      </c>
      <c r="S54" s="71">
        <v>1</v>
      </c>
      <c r="T54" s="71">
        <v>1</v>
      </c>
      <c r="U54" s="71">
        <v>1</v>
      </c>
      <c r="V54" s="71"/>
      <c r="W54" s="71"/>
      <c r="X54" s="71"/>
      <c r="Y54" s="139">
        <v>0.81</v>
      </c>
      <c r="Z54" s="71"/>
      <c r="AA54" s="71"/>
      <c r="AB54" s="71" t="s">
        <v>146</v>
      </c>
      <c r="AC54" s="71"/>
      <c r="AD54" s="71"/>
      <c r="AE54" s="71"/>
      <c r="AF54" s="71"/>
      <c r="AG54" s="71"/>
      <c r="AH54" s="71"/>
    </row>
    <row r="55" spans="1:34">
      <c r="A55" s="71" t="s">
        <v>143</v>
      </c>
      <c r="B55" s="71">
        <v>-0.08</v>
      </c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137" t="s">
        <v>147</v>
      </c>
      <c r="AA55" s="137" t="s">
        <v>128</v>
      </c>
      <c r="AB55" s="137">
        <v>10</v>
      </c>
      <c r="AC55" s="137">
        <v>20</v>
      </c>
      <c r="AD55" s="137">
        <v>30</v>
      </c>
      <c r="AE55" s="137">
        <v>40</v>
      </c>
      <c r="AF55" s="137">
        <v>50</v>
      </c>
      <c r="AG55" s="137">
        <v>60</v>
      </c>
      <c r="AH55" s="71" t="s">
        <v>147</v>
      </c>
    </row>
    <row r="56" spans="1:34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 t="s">
        <v>69</v>
      </c>
      <c r="AA56" s="71">
        <v>1</v>
      </c>
      <c r="AB56" s="71" t="s">
        <v>69</v>
      </c>
      <c r="AC56" s="71" t="s">
        <v>69</v>
      </c>
      <c r="AD56" s="71" t="s">
        <v>69</v>
      </c>
      <c r="AE56" s="71" t="s">
        <v>63</v>
      </c>
      <c r="AF56" s="71" t="s">
        <v>63</v>
      </c>
      <c r="AG56" s="71" t="s">
        <v>63</v>
      </c>
      <c r="AH56" s="71" t="s">
        <v>69</v>
      </c>
    </row>
    <row r="57" spans="1:34">
      <c r="A57" s="71" t="s">
        <v>145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 t="s">
        <v>63</v>
      </c>
      <c r="AA57" s="71">
        <v>2</v>
      </c>
      <c r="AB57" s="71" t="s">
        <v>85</v>
      </c>
      <c r="AC57" s="71" t="s">
        <v>85</v>
      </c>
      <c r="AD57" s="71" t="s">
        <v>63</v>
      </c>
      <c r="AE57" s="71" t="s">
        <v>29</v>
      </c>
      <c r="AF57" s="71" t="s">
        <v>64</v>
      </c>
      <c r="AG57" s="71" t="s">
        <v>64</v>
      </c>
      <c r="AH57" s="71" t="s">
        <v>63</v>
      </c>
    </row>
    <row r="58" spans="1:34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 t="s">
        <v>64</v>
      </c>
      <c r="AA58" s="71">
        <v>3</v>
      </c>
      <c r="AB58" s="71" t="s">
        <v>47</v>
      </c>
      <c r="AC58" s="71" t="s">
        <v>35</v>
      </c>
      <c r="AD58" s="71" t="s">
        <v>29</v>
      </c>
      <c r="AE58" s="71" t="s">
        <v>64</v>
      </c>
      <c r="AF58" s="71" t="s">
        <v>29</v>
      </c>
      <c r="AG58" s="71" t="s">
        <v>32</v>
      </c>
      <c r="AH58" s="71" t="s">
        <v>64</v>
      </c>
    </row>
    <row r="59" spans="1:34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 t="s">
        <v>29</v>
      </c>
      <c r="AA59" s="71">
        <v>4</v>
      </c>
      <c r="AB59" s="71" t="s">
        <v>63</v>
      </c>
      <c r="AC59" s="71" t="s">
        <v>63</v>
      </c>
      <c r="AD59" s="71" t="s">
        <v>64</v>
      </c>
      <c r="AE59" s="71" t="s">
        <v>69</v>
      </c>
      <c r="AF59" s="71" t="s">
        <v>61</v>
      </c>
      <c r="AG59" s="71" t="s">
        <v>29</v>
      </c>
      <c r="AH59" s="71" t="s">
        <v>29</v>
      </c>
    </row>
    <row r="60" spans="1:34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 t="s">
        <v>61</v>
      </c>
      <c r="AA60" s="71">
        <v>5</v>
      </c>
      <c r="AB60" s="71" t="s">
        <v>35</v>
      </c>
      <c r="AC60" s="71" t="s">
        <v>34</v>
      </c>
      <c r="AD60" s="71" t="s">
        <v>61</v>
      </c>
      <c r="AE60" s="71" t="s">
        <v>61</v>
      </c>
      <c r="AF60" s="71" t="s">
        <v>32</v>
      </c>
      <c r="AG60" s="71" t="s">
        <v>61</v>
      </c>
      <c r="AH60" s="71" t="s">
        <v>61</v>
      </c>
    </row>
    <row r="61" spans="1:34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 t="s">
        <v>85</v>
      </c>
      <c r="AA61" s="71">
        <v>6</v>
      </c>
      <c r="AB61" s="71" t="s">
        <v>34</v>
      </c>
      <c r="AC61" s="71" t="s">
        <v>53</v>
      </c>
      <c r="AD61" s="71" t="s">
        <v>34</v>
      </c>
      <c r="AE61" s="71" t="s">
        <v>45</v>
      </c>
      <c r="AF61" s="71" t="s">
        <v>66</v>
      </c>
      <c r="AG61" s="71" t="s">
        <v>66</v>
      </c>
      <c r="AH61" s="71" t="s">
        <v>85</v>
      </c>
    </row>
    <row r="62" spans="1:34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 t="s">
        <v>32</v>
      </c>
      <c r="AA62" s="71">
        <v>7</v>
      </c>
      <c r="AB62" s="71" t="s">
        <v>53</v>
      </c>
      <c r="AC62" s="71" t="s">
        <v>29</v>
      </c>
      <c r="AD62" s="71" t="s">
        <v>45</v>
      </c>
      <c r="AE62" s="71" t="s">
        <v>32</v>
      </c>
      <c r="AF62" s="71" t="s">
        <v>58</v>
      </c>
      <c r="AG62" s="71" t="s">
        <v>58</v>
      </c>
      <c r="AH62" s="71" t="s">
        <v>32</v>
      </c>
    </row>
    <row r="63" spans="1:34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 t="s">
        <v>34</v>
      </c>
      <c r="AA63" s="71">
        <v>8</v>
      </c>
      <c r="AB63" s="71" t="s">
        <v>79</v>
      </c>
      <c r="AC63" s="71" t="s">
        <v>47</v>
      </c>
      <c r="AD63" s="71" t="s">
        <v>85</v>
      </c>
      <c r="AE63" s="71" t="s">
        <v>58</v>
      </c>
      <c r="AF63" s="71" t="s">
        <v>69</v>
      </c>
      <c r="AG63" s="71" t="s">
        <v>26</v>
      </c>
      <c r="AH63" s="71" t="s">
        <v>34</v>
      </c>
    </row>
    <row r="64" spans="1:3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 t="s">
        <v>45</v>
      </c>
      <c r="AA64" s="71">
        <v>9</v>
      </c>
      <c r="AB64" s="71" t="s">
        <v>29</v>
      </c>
      <c r="AC64" s="71" t="s">
        <v>79</v>
      </c>
      <c r="AD64" s="71" t="s">
        <v>28</v>
      </c>
      <c r="AE64" s="71" t="s">
        <v>75</v>
      </c>
      <c r="AF64" s="71" t="s">
        <v>37</v>
      </c>
      <c r="AG64" s="71" t="s">
        <v>69</v>
      </c>
      <c r="AH64" s="71" t="s">
        <v>45</v>
      </c>
    </row>
    <row r="65" spans="1:34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 t="s">
        <v>58</v>
      </c>
      <c r="AA65" s="71">
        <v>10</v>
      </c>
      <c r="AB65" s="71" t="s">
        <v>80</v>
      </c>
      <c r="AC65" s="71" t="s">
        <v>64</v>
      </c>
      <c r="AD65" s="71" t="s">
        <v>75</v>
      </c>
      <c r="AE65" s="71" t="s">
        <v>66</v>
      </c>
      <c r="AF65" s="71" t="s">
        <v>39</v>
      </c>
      <c r="AG65" s="71" t="s">
        <v>37</v>
      </c>
      <c r="AH65" s="71" t="s">
        <v>58</v>
      </c>
    </row>
    <row r="66" spans="1:34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 t="s">
        <v>66</v>
      </c>
      <c r="AA66" s="71">
        <v>11</v>
      </c>
      <c r="AB66" s="71" t="s">
        <v>55</v>
      </c>
      <c r="AC66" s="71" t="s">
        <v>74</v>
      </c>
      <c r="AD66" s="71" t="s">
        <v>36</v>
      </c>
      <c r="AE66" s="71" t="s">
        <v>56</v>
      </c>
      <c r="AF66" s="71" t="s">
        <v>45</v>
      </c>
      <c r="AG66" s="71" t="s">
        <v>39</v>
      </c>
      <c r="AH66" s="71" t="s">
        <v>66</v>
      </c>
    </row>
    <row r="67" spans="1:34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 t="s">
        <v>75</v>
      </c>
      <c r="AA67" s="71">
        <v>12</v>
      </c>
      <c r="AB67" s="71" t="s">
        <v>81</v>
      </c>
      <c r="AC67" s="71" t="s">
        <v>55</v>
      </c>
      <c r="AD67" s="71" t="s">
        <v>74</v>
      </c>
      <c r="AE67" s="71" t="s">
        <v>37</v>
      </c>
      <c r="AF67" s="71" t="s">
        <v>26</v>
      </c>
      <c r="AG67" s="71" t="s">
        <v>45</v>
      </c>
      <c r="AH67" s="71" t="s">
        <v>75</v>
      </c>
    </row>
    <row r="68" spans="1:34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 t="s">
        <v>35</v>
      </c>
      <c r="AA68" s="71">
        <v>13</v>
      </c>
      <c r="AB68" s="71" t="s">
        <v>84</v>
      </c>
      <c r="AC68" s="71" t="s">
        <v>38</v>
      </c>
      <c r="AD68" s="71" t="s">
        <v>33</v>
      </c>
      <c r="AE68" s="71" t="s">
        <v>49</v>
      </c>
      <c r="AF68" s="71" t="s">
        <v>75</v>
      </c>
      <c r="AG68" s="71" t="s">
        <v>75</v>
      </c>
      <c r="AH68" s="71" t="s">
        <v>35</v>
      </c>
    </row>
    <row r="69" spans="1:34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 t="s">
        <v>56</v>
      </c>
      <c r="AA69" s="71">
        <v>14</v>
      </c>
      <c r="AB69" s="71" t="s">
        <v>62</v>
      </c>
      <c r="AC69" s="71" t="s">
        <v>84</v>
      </c>
      <c r="AD69" s="71" t="s">
        <v>84</v>
      </c>
      <c r="AE69" s="71" t="s">
        <v>39</v>
      </c>
      <c r="AF69" s="71" t="s">
        <v>56</v>
      </c>
      <c r="AG69" s="71" t="s">
        <v>56</v>
      </c>
      <c r="AH69" s="71" t="s">
        <v>56</v>
      </c>
    </row>
    <row r="70" spans="1:34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 t="s">
        <v>37</v>
      </c>
      <c r="AA70" s="71">
        <v>15</v>
      </c>
      <c r="AB70" s="71" t="s">
        <v>64</v>
      </c>
      <c r="AC70" s="71" t="s">
        <v>62</v>
      </c>
      <c r="AD70" s="71" t="s">
        <v>32</v>
      </c>
      <c r="AE70" s="71" t="s">
        <v>57</v>
      </c>
      <c r="AF70" s="71" t="s">
        <v>49</v>
      </c>
      <c r="AG70" s="71" t="s">
        <v>49</v>
      </c>
      <c r="AH70" s="71" t="s">
        <v>37</v>
      </c>
    </row>
    <row r="71" spans="1:34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 t="s">
        <v>74</v>
      </c>
      <c r="AA71" s="71">
        <v>16</v>
      </c>
      <c r="AB71" s="71" t="s">
        <v>74</v>
      </c>
      <c r="AC71" s="71" t="s">
        <v>61</v>
      </c>
      <c r="AD71" s="71" t="s">
        <v>58</v>
      </c>
      <c r="AE71" s="71" t="s">
        <v>68</v>
      </c>
      <c r="AF71" s="71" t="s">
        <v>57</v>
      </c>
      <c r="AG71" s="71" t="s">
        <v>57</v>
      </c>
      <c r="AH71" s="71" t="s">
        <v>74</v>
      </c>
    </row>
    <row r="72" spans="1:34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 t="s">
        <v>28</v>
      </c>
      <c r="AA72" s="71">
        <v>17</v>
      </c>
      <c r="AB72" s="71" t="s">
        <v>61</v>
      </c>
      <c r="AC72" s="71" t="s">
        <v>44</v>
      </c>
      <c r="AD72" s="71" t="s">
        <v>49</v>
      </c>
      <c r="AE72" s="71" t="s">
        <v>36</v>
      </c>
      <c r="AF72" s="71" t="s">
        <v>68</v>
      </c>
      <c r="AG72" s="71" t="s">
        <v>68</v>
      </c>
      <c r="AH72" s="71" t="s">
        <v>28</v>
      </c>
    </row>
    <row r="73" spans="1:34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 t="s">
        <v>84</v>
      </c>
      <c r="AA73" s="71">
        <v>18</v>
      </c>
      <c r="AB73" s="71" t="s">
        <v>38</v>
      </c>
      <c r="AC73" s="71" t="s">
        <v>81</v>
      </c>
      <c r="AD73" s="71" t="s">
        <v>56</v>
      </c>
      <c r="AE73" s="71" t="s">
        <v>34</v>
      </c>
      <c r="AF73" s="71" t="s">
        <v>36</v>
      </c>
      <c r="AG73" s="71" t="s">
        <v>36</v>
      </c>
      <c r="AH73" s="71" t="s">
        <v>84</v>
      </c>
    </row>
    <row r="74" spans="1:3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 t="s">
        <v>36</v>
      </c>
      <c r="AA74" s="71">
        <v>19</v>
      </c>
      <c r="AB74" s="71" t="s">
        <v>44</v>
      </c>
      <c r="AC74" s="71" t="s">
        <v>45</v>
      </c>
      <c r="AD74" s="71" t="s">
        <v>31</v>
      </c>
      <c r="AE74" s="71" t="s">
        <v>28</v>
      </c>
      <c r="AF74" s="71" t="s">
        <v>34</v>
      </c>
      <c r="AG74" s="71" t="s">
        <v>34</v>
      </c>
      <c r="AH74" s="71" t="s">
        <v>36</v>
      </c>
    </row>
    <row r="75" spans="1:34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 t="s">
        <v>49</v>
      </c>
      <c r="AA75" s="71">
        <v>20</v>
      </c>
      <c r="AB75" s="71" t="s">
        <v>36</v>
      </c>
      <c r="AC75" s="71" t="s">
        <v>31</v>
      </c>
      <c r="AD75" s="71" t="s">
        <v>66</v>
      </c>
      <c r="AE75" s="71" t="s">
        <v>85</v>
      </c>
      <c r="AF75" s="71" t="s">
        <v>28</v>
      </c>
      <c r="AG75" s="71" t="s">
        <v>28</v>
      </c>
      <c r="AH75" s="71" t="s">
        <v>49</v>
      </c>
    </row>
    <row r="76" spans="1:34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 t="s">
        <v>53</v>
      </c>
      <c r="AA76" s="71">
        <v>21</v>
      </c>
      <c r="AB76" s="71" t="s">
        <v>45</v>
      </c>
      <c r="AC76" s="71" t="s">
        <v>28</v>
      </c>
      <c r="AD76" s="71" t="s">
        <v>40</v>
      </c>
      <c r="AE76" s="71" t="s">
        <v>50</v>
      </c>
      <c r="AF76" s="71" t="s">
        <v>85</v>
      </c>
      <c r="AG76" s="71" t="s">
        <v>85</v>
      </c>
      <c r="AH76" s="71" t="s">
        <v>53</v>
      </c>
    </row>
    <row r="77" spans="1:34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 t="s">
        <v>39</v>
      </c>
      <c r="AA77" s="71">
        <v>22</v>
      </c>
      <c r="AB77" s="71" t="s">
        <v>31</v>
      </c>
      <c r="AC77" s="71" t="s">
        <v>30</v>
      </c>
      <c r="AD77" s="71" t="s">
        <v>44</v>
      </c>
      <c r="AE77" s="71" t="s">
        <v>26</v>
      </c>
      <c r="AF77" s="71" t="s">
        <v>70</v>
      </c>
      <c r="AG77" s="71" t="s">
        <v>70</v>
      </c>
      <c r="AH77" s="71" t="s">
        <v>39</v>
      </c>
    </row>
    <row r="78" spans="1:34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 t="s">
        <v>44</v>
      </c>
      <c r="AA78" s="71">
        <v>23</v>
      </c>
      <c r="AB78" s="71" t="s">
        <v>30</v>
      </c>
      <c r="AC78" s="71" t="s">
        <v>36</v>
      </c>
      <c r="AD78" s="71" t="s">
        <v>37</v>
      </c>
      <c r="AE78" s="71" t="s">
        <v>70</v>
      </c>
      <c r="AF78" s="71" t="s">
        <v>50</v>
      </c>
      <c r="AG78" s="71" t="s">
        <v>50</v>
      </c>
      <c r="AH78" s="71" t="s">
        <v>44</v>
      </c>
    </row>
    <row r="79" spans="1:34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 t="s">
        <v>47</v>
      </c>
      <c r="AA79" s="71">
        <v>24</v>
      </c>
      <c r="AB79" s="71" t="s">
        <v>28</v>
      </c>
      <c r="AC79" s="71" t="s">
        <v>52</v>
      </c>
      <c r="AD79" s="71" t="s">
        <v>57</v>
      </c>
      <c r="AE79" s="71" t="s">
        <v>33</v>
      </c>
      <c r="AF79" s="71" t="s">
        <v>33</v>
      </c>
      <c r="AG79" s="71" t="s">
        <v>33</v>
      </c>
      <c r="AH79" s="71" t="s">
        <v>47</v>
      </c>
    </row>
    <row r="80" spans="1:34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 t="s">
        <v>31</v>
      </c>
      <c r="AA80" s="71">
        <v>25</v>
      </c>
      <c r="AB80" s="71" t="s">
        <v>52</v>
      </c>
      <c r="AC80" s="71" t="s">
        <v>75</v>
      </c>
      <c r="AD80" s="71" t="s">
        <v>35</v>
      </c>
      <c r="AE80" s="71" t="s">
        <v>74</v>
      </c>
      <c r="AF80" s="71" t="s">
        <v>74</v>
      </c>
      <c r="AG80" s="71" t="s">
        <v>74</v>
      </c>
      <c r="AH80" s="71" t="s">
        <v>31</v>
      </c>
    </row>
    <row r="81" spans="1:34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 t="s">
        <v>62</v>
      </c>
      <c r="AA81" s="71">
        <v>26</v>
      </c>
      <c r="AB81" s="71" t="s">
        <v>56</v>
      </c>
      <c r="AC81" s="71" t="s">
        <v>67</v>
      </c>
      <c r="AD81" s="71" t="s">
        <v>50</v>
      </c>
      <c r="AE81" s="71" t="s">
        <v>84</v>
      </c>
      <c r="AF81" s="71" t="s">
        <v>84</v>
      </c>
      <c r="AG81" s="71" t="s">
        <v>84</v>
      </c>
      <c r="AH81" s="71" t="s">
        <v>62</v>
      </c>
    </row>
    <row r="82" spans="1:34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 t="s">
        <v>33</v>
      </c>
      <c r="AA82" s="71">
        <v>27</v>
      </c>
      <c r="AB82" s="71" t="s">
        <v>75</v>
      </c>
      <c r="AC82" s="71" t="s">
        <v>65</v>
      </c>
      <c r="AD82" s="71" t="s">
        <v>51</v>
      </c>
      <c r="AE82" s="71" t="s">
        <v>51</v>
      </c>
      <c r="AF82" s="71" t="s">
        <v>51</v>
      </c>
      <c r="AG82" s="71" t="s">
        <v>51</v>
      </c>
      <c r="AH82" s="71" t="s">
        <v>33</v>
      </c>
    </row>
    <row r="83" spans="1:34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 t="s">
        <v>57</v>
      </c>
      <c r="AA83" s="71">
        <v>28</v>
      </c>
      <c r="AB83" s="71" t="s">
        <v>67</v>
      </c>
      <c r="AC83" s="71" t="s">
        <v>33</v>
      </c>
      <c r="AD83" s="71" t="s">
        <v>39</v>
      </c>
      <c r="AE83" s="71" t="s">
        <v>48</v>
      </c>
      <c r="AF83" s="71" t="s">
        <v>48</v>
      </c>
      <c r="AG83" s="71" t="s">
        <v>48</v>
      </c>
      <c r="AH83" s="71" t="s">
        <v>57</v>
      </c>
    </row>
    <row r="84" spans="1:3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 t="s">
        <v>55</v>
      </c>
      <c r="AA84" s="71">
        <v>29</v>
      </c>
      <c r="AB84" s="71" t="s">
        <v>27</v>
      </c>
      <c r="AC84" s="71" t="s">
        <v>32</v>
      </c>
      <c r="AD84" s="71" t="s">
        <v>62</v>
      </c>
      <c r="AE84" s="71" t="s">
        <v>40</v>
      </c>
      <c r="AF84" s="71" t="s">
        <v>40</v>
      </c>
      <c r="AG84" s="71" t="s">
        <v>40</v>
      </c>
      <c r="AH84" s="71" t="s">
        <v>55</v>
      </c>
    </row>
    <row r="85" spans="1:34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 t="s">
        <v>79</v>
      </c>
      <c r="AA85" s="71">
        <v>30</v>
      </c>
      <c r="AB85" s="71" t="s">
        <v>65</v>
      </c>
      <c r="AC85" s="71" t="s">
        <v>27</v>
      </c>
      <c r="AD85" s="71" t="s">
        <v>48</v>
      </c>
      <c r="AE85" s="71" t="s">
        <v>31</v>
      </c>
      <c r="AF85" s="71" t="s">
        <v>31</v>
      </c>
      <c r="AG85" s="71" t="s">
        <v>31</v>
      </c>
      <c r="AH85" s="71" t="s">
        <v>79</v>
      </c>
    </row>
    <row r="86" spans="1:34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 t="s">
        <v>38</v>
      </c>
      <c r="AA86" s="71">
        <v>31</v>
      </c>
      <c r="AB86" s="71" t="s">
        <v>49</v>
      </c>
      <c r="AC86" s="71" t="s">
        <v>46</v>
      </c>
      <c r="AD86" s="71" t="s">
        <v>67</v>
      </c>
      <c r="AE86" s="71" t="s">
        <v>44</v>
      </c>
      <c r="AF86" s="71" t="s">
        <v>44</v>
      </c>
      <c r="AG86" s="71" t="s">
        <v>44</v>
      </c>
      <c r="AH86" s="71" t="s">
        <v>38</v>
      </c>
    </row>
    <row r="87" spans="1:34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 t="s">
        <v>50</v>
      </c>
      <c r="AA87" s="71">
        <v>32</v>
      </c>
      <c r="AB87" s="71" t="s">
        <v>32</v>
      </c>
      <c r="AC87" s="71" t="s">
        <v>56</v>
      </c>
      <c r="AD87" s="71" t="s">
        <v>46</v>
      </c>
      <c r="AE87" s="71" t="s">
        <v>35</v>
      </c>
      <c r="AF87" s="71" t="s">
        <v>35</v>
      </c>
      <c r="AG87" s="71" t="s">
        <v>35</v>
      </c>
      <c r="AH87" s="71" t="s">
        <v>50</v>
      </c>
    </row>
    <row r="88" spans="1:34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 t="s">
        <v>40</v>
      </c>
      <c r="AA88" s="71">
        <v>33</v>
      </c>
      <c r="AB88" s="71" t="s">
        <v>46</v>
      </c>
      <c r="AC88" s="71" t="s">
        <v>49</v>
      </c>
      <c r="AD88" s="71" t="s">
        <v>52</v>
      </c>
      <c r="AE88" s="71" t="s">
        <v>62</v>
      </c>
      <c r="AF88" s="71" t="s">
        <v>62</v>
      </c>
      <c r="AG88" s="71" t="s">
        <v>62</v>
      </c>
      <c r="AH88" s="71" t="s">
        <v>40</v>
      </c>
    </row>
    <row r="89" spans="1:34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 t="s">
        <v>51</v>
      </c>
      <c r="AA89" s="71">
        <v>34</v>
      </c>
      <c r="AB89" s="71" t="s">
        <v>33</v>
      </c>
      <c r="AC89" s="71" t="s">
        <v>58</v>
      </c>
      <c r="AD89" s="71" t="s">
        <v>53</v>
      </c>
      <c r="AE89" s="71" t="s">
        <v>67</v>
      </c>
      <c r="AF89" s="71" t="s">
        <v>67</v>
      </c>
      <c r="AG89" s="71" t="s">
        <v>67</v>
      </c>
      <c r="AH89" s="71" t="s">
        <v>51</v>
      </c>
    </row>
    <row r="90" spans="1:34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 t="s">
        <v>52</v>
      </c>
      <c r="AA90" s="71">
        <v>35</v>
      </c>
      <c r="AB90" s="71" t="s">
        <v>58</v>
      </c>
      <c r="AC90" s="71" t="s">
        <v>66</v>
      </c>
      <c r="AD90" s="71" t="s">
        <v>68</v>
      </c>
      <c r="AE90" s="71" t="s">
        <v>46</v>
      </c>
      <c r="AF90" s="71" t="s">
        <v>46</v>
      </c>
      <c r="AG90" s="71" t="s">
        <v>46</v>
      </c>
      <c r="AH90" s="71" t="s">
        <v>52</v>
      </c>
    </row>
    <row r="91" spans="1:34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 t="s">
        <v>26</v>
      </c>
      <c r="AA91" s="71">
        <v>36</v>
      </c>
      <c r="AB91" s="71" t="s">
        <v>51</v>
      </c>
      <c r="AC91" s="71" t="s">
        <v>40</v>
      </c>
      <c r="AD91" s="71" t="s">
        <v>55</v>
      </c>
      <c r="AE91" s="71" t="s">
        <v>52</v>
      </c>
      <c r="AF91" s="71" t="s">
        <v>52</v>
      </c>
      <c r="AG91" s="71" t="s">
        <v>52</v>
      </c>
      <c r="AH91" s="71" t="s">
        <v>26</v>
      </c>
    </row>
    <row r="92" spans="1:34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 t="s">
        <v>67</v>
      </c>
      <c r="AA92" s="71">
        <v>37</v>
      </c>
      <c r="AB92" s="71" t="s">
        <v>37</v>
      </c>
      <c r="AC92" s="71" t="s">
        <v>37</v>
      </c>
      <c r="AD92" s="71" t="s">
        <v>54</v>
      </c>
      <c r="AE92" s="71" t="s">
        <v>53</v>
      </c>
      <c r="AF92" s="71" t="s">
        <v>53</v>
      </c>
      <c r="AG92" s="71" t="s">
        <v>53</v>
      </c>
      <c r="AH92" s="71" t="s">
        <v>67</v>
      </c>
    </row>
    <row r="93" spans="1:34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 t="s">
        <v>81</v>
      </c>
      <c r="AA93" s="71">
        <v>38</v>
      </c>
      <c r="AB93" s="71" t="s">
        <v>40</v>
      </c>
      <c r="AC93" s="71" t="s">
        <v>57</v>
      </c>
      <c r="AD93" s="71" t="s">
        <v>27</v>
      </c>
      <c r="AE93" s="71" t="s">
        <v>55</v>
      </c>
      <c r="AF93" s="71" t="s">
        <v>55</v>
      </c>
      <c r="AG93" s="71" t="s">
        <v>55</v>
      </c>
      <c r="AH93" s="71" t="s">
        <v>81</v>
      </c>
    </row>
    <row r="94" spans="1:3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 t="s">
        <v>68</v>
      </c>
      <c r="AA94" s="71">
        <v>39</v>
      </c>
      <c r="AB94" s="71" t="s">
        <v>66</v>
      </c>
      <c r="AC94" s="71" t="s">
        <v>43</v>
      </c>
      <c r="AD94" s="71" t="s">
        <v>38</v>
      </c>
      <c r="AE94" s="71" t="s">
        <v>54</v>
      </c>
      <c r="AF94" s="71" t="s">
        <v>54</v>
      </c>
      <c r="AG94" s="71" t="s">
        <v>54</v>
      </c>
      <c r="AH94" s="71" t="s">
        <v>68</v>
      </c>
    </row>
    <row r="95" spans="1:34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 t="s">
        <v>46</v>
      </c>
      <c r="AA95" s="71">
        <v>40</v>
      </c>
      <c r="AB95" s="71" t="s">
        <v>43</v>
      </c>
      <c r="AC95" s="71" t="s">
        <v>42</v>
      </c>
      <c r="AD95" s="71" t="s">
        <v>511</v>
      </c>
      <c r="AE95" s="71" t="s">
        <v>27</v>
      </c>
      <c r="AF95" s="71" t="s">
        <v>27</v>
      </c>
      <c r="AG95" s="71" t="s">
        <v>27</v>
      </c>
      <c r="AH95" s="71" t="s">
        <v>46</v>
      </c>
    </row>
    <row r="96" spans="1:34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 t="s">
        <v>27</v>
      </c>
      <c r="AA96" s="71">
        <v>41</v>
      </c>
      <c r="AB96" s="71" t="s">
        <v>57</v>
      </c>
      <c r="AC96" s="71" t="s">
        <v>80</v>
      </c>
      <c r="AD96" s="71" t="s">
        <v>26</v>
      </c>
      <c r="AE96" s="71" t="s">
        <v>511</v>
      </c>
      <c r="AF96" s="71" t="s">
        <v>511</v>
      </c>
      <c r="AG96" s="71" t="s">
        <v>511</v>
      </c>
      <c r="AH96" s="71" t="s">
        <v>27</v>
      </c>
    </row>
    <row r="97" spans="1:34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 t="s">
        <v>48</v>
      </c>
      <c r="AA97" s="71">
        <v>42</v>
      </c>
      <c r="AB97" s="71" t="s">
        <v>42</v>
      </c>
      <c r="AC97" s="71" t="s">
        <v>51</v>
      </c>
      <c r="AD97" s="71" t="s">
        <v>47</v>
      </c>
      <c r="AE97" s="71" t="s">
        <v>38</v>
      </c>
      <c r="AF97" s="71" t="s">
        <v>38</v>
      </c>
      <c r="AG97" s="71" t="s">
        <v>38</v>
      </c>
      <c r="AH97" s="71" t="s">
        <v>48</v>
      </c>
    </row>
    <row r="98" spans="1:34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 t="s">
        <v>30</v>
      </c>
      <c r="AA98" s="71">
        <v>43</v>
      </c>
      <c r="AB98" s="71" t="s">
        <v>39</v>
      </c>
      <c r="AC98" s="71" t="s">
        <v>50</v>
      </c>
      <c r="AD98" s="71" t="s">
        <v>43</v>
      </c>
      <c r="AE98" s="71" t="s">
        <v>47</v>
      </c>
      <c r="AF98" s="71" t="s">
        <v>47</v>
      </c>
      <c r="AG98" s="71" t="s">
        <v>47</v>
      </c>
      <c r="AH98" s="71" t="s">
        <v>30</v>
      </c>
    </row>
    <row r="99" spans="1:34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 t="s">
        <v>70</v>
      </c>
      <c r="AA99" s="71">
        <v>44</v>
      </c>
      <c r="AB99" s="71" t="s">
        <v>50</v>
      </c>
      <c r="AC99" s="71" t="s">
        <v>39</v>
      </c>
      <c r="AD99" s="71" t="s">
        <v>70</v>
      </c>
      <c r="AE99" s="71" t="s">
        <v>43</v>
      </c>
      <c r="AF99" s="71" t="s">
        <v>43</v>
      </c>
      <c r="AG99" s="71" t="s">
        <v>43</v>
      </c>
      <c r="AH99" s="71" t="s">
        <v>70</v>
      </c>
    </row>
    <row r="100" spans="1:34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 t="s">
        <v>65</v>
      </c>
      <c r="AA100" s="71">
        <v>45</v>
      </c>
      <c r="AB100" s="71" t="s">
        <v>54</v>
      </c>
      <c r="AC100" s="71" t="s">
        <v>48</v>
      </c>
      <c r="AD100" s="71" t="s">
        <v>79</v>
      </c>
      <c r="AE100" s="71" t="s">
        <v>79</v>
      </c>
      <c r="AF100" s="71" t="s">
        <v>79</v>
      </c>
      <c r="AG100" s="71" t="s">
        <v>79</v>
      </c>
      <c r="AH100" s="71" t="s">
        <v>65</v>
      </c>
    </row>
    <row r="101" spans="1:34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 t="s">
        <v>43</v>
      </c>
      <c r="AA101" s="71">
        <v>46</v>
      </c>
      <c r="AB101" s="71" t="s">
        <v>48</v>
      </c>
      <c r="AC101" s="71" t="s">
        <v>54</v>
      </c>
      <c r="AD101" s="71" t="s">
        <v>42</v>
      </c>
      <c r="AE101" s="71" t="s">
        <v>42</v>
      </c>
      <c r="AF101" s="71" t="s">
        <v>42</v>
      </c>
      <c r="AG101" s="71" t="s">
        <v>42</v>
      </c>
      <c r="AH101" s="71" t="s">
        <v>43</v>
      </c>
    </row>
    <row r="102" spans="1:34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 t="s">
        <v>54</v>
      </c>
      <c r="AA102" s="71">
        <v>47</v>
      </c>
      <c r="AB102" s="71" t="s">
        <v>68</v>
      </c>
      <c r="AC102" s="71" t="s">
        <v>68</v>
      </c>
      <c r="AD102" s="71" t="s">
        <v>41</v>
      </c>
      <c r="AE102" s="71" t="s">
        <v>41</v>
      </c>
      <c r="AF102" s="71" t="s">
        <v>41</v>
      </c>
      <c r="AG102" s="71" t="s">
        <v>41</v>
      </c>
      <c r="AH102" s="71" t="s">
        <v>54</v>
      </c>
    </row>
    <row r="103" spans="1:34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 t="s">
        <v>42</v>
      </c>
      <c r="AA103" s="71">
        <v>48</v>
      </c>
      <c r="AB103" s="71" t="s">
        <v>41</v>
      </c>
      <c r="AC103" s="71" t="s">
        <v>41</v>
      </c>
      <c r="AD103" s="71" t="s">
        <v>30</v>
      </c>
      <c r="AE103" s="71" t="s">
        <v>30</v>
      </c>
      <c r="AF103" s="71" t="s">
        <v>30</v>
      </c>
      <c r="AG103" s="71" t="s">
        <v>30</v>
      </c>
      <c r="AH103" s="71" t="s">
        <v>42</v>
      </c>
    </row>
    <row r="104" spans="1:3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 t="s">
        <v>80</v>
      </c>
      <c r="AA104" s="71">
        <v>49</v>
      </c>
      <c r="AB104" s="71" t="s">
        <v>70</v>
      </c>
      <c r="AC104" s="71" t="s">
        <v>26</v>
      </c>
      <c r="AD104" s="71" t="s">
        <v>81</v>
      </c>
      <c r="AE104" s="71" t="s">
        <v>81</v>
      </c>
      <c r="AF104" s="71" t="s">
        <v>81</v>
      </c>
      <c r="AG104" s="71" t="s">
        <v>81</v>
      </c>
      <c r="AH104" s="71" t="s">
        <v>80</v>
      </c>
    </row>
    <row r="105" spans="1:34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 t="s">
        <v>511</v>
      </c>
      <c r="AA105" s="71">
        <v>50</v>
      </c>
      <c r="AB105" s="71" t="s">
        <v>26</v>
      </c>
      <c r="AC105" s="71" t="s">
        <v>511</v>
      </c>
      <c r="AD105" s="71" t="s">
        <v>65</v>
      </c>
      <c r="AE105" s="71" t="s">
        <v>65</v>
      </c>
      <c r="AF105" s="71" t="s">
        <v>65</v>
      </c>
      <c r="AG105" s="71" t="s">
        <v>65</v>
      </c>
      <c r="AH105" s="71" t="s">
        <v>511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5"/>
  <sheetViews>
    <sheetView topLeftCell="A2" workbookViewId="0">
      <selection activeCell="A54" sqref="A54:J54"/>
    </sheetView>
  </sheetViews>
  <sheetFormatPr baseColWidth="10" defaultColWidth="11.5" defaultRowHeight="14" x14ac:dyDescent="0"/>
  <cols>
    <col min="1" max="26" width="11.5" style="18"/>
    <col min="27" max="27" width="23.83203125" style="18" customWidth="1"/>
    <col min="28" max="16384" width="11.5" style="18"/>
  </cols>
  <sheetData>
    <row r="1" spans="1:34">
      <c r="A1" s="29" t="s">
        <v>16</v>
      </c>
      <c r="B1" s="29" t="s">
        <v>131</v>
      </c>
      <c r="C1" s="29" t="s">
        <v>132</v>
      </c>
      <c r="D1" s="29" t="s">
        <v>133</v>
      </c>
      <c r="E1" s="29" t="s">
        <v>134</v>
      </c>
      <c r="F1" s="29" t="s">
        <v>135</v>
      </c>
      <c r="G1" s="29" t="s">
        <v>136</v>
      </c>
      <c r="H1" s="29" t="s">
        <v>148</v>
      </c>
      <c r="I1" s="29" t="s">
        <v>149</v>
      </c>
      <c r="J1" s="29" t="s">
        <v>150</v>
      </c>
      <c r="K1" s="29"/>
      <c r="L1" s="29" t="s">
        <v>570</v>
      </c>
      <c r="M1" s="29" t="s">
        <v>131</v>
      </c>
      <c r="N1" s="29" t="s">
        <v>137</v>
      </c>
      <c r="O1" s="29" t="s">
        <v>138</v>
      </c>
      <c r="P1" s="29" t="s">
        <v>139</v>
      </c>
      <c r="Q1" s="29" t="s">
        <v>140</v>
      </c>
      <c r="R1" s="29" t="s">
        <v>141</v>
      </c>
      <c r="S1" s="29" t="s">
        <v>151</v>
      </c>
      <c r="T1" s="29" t="s">
        <v>152</v>
      </c>
      <c r="U1" s="29" t="s">
        <v>153</v>
      </c>
      <c r="V1" s="29"/>
      <c r="W1" s="29" t="s">
        <v>142</v>
      </c>
      <c r="X1" s="29"/>
      <c r="Y1" s="29" t="s">
        <v>144</v>
      </c>
      <c r="Z1" s="29" t="s">
        <v>128</v>
      </c>
      <c r="AA1" s="29" t="s">
        <v>16</v>
      </c>
      <c r="AB1" s="29">
        <v>10</v>
      </c>
      <c r="AC1" s="29">
        <v>20</v>
      </c>
      <c r="AD1" s="29">
        <v>30</v>
      </c>
      <c r="AE1" s="29">
        <v>40</v>
      </c>
      <c r="AF1" s="29">
        <v>50</v>
      </c>
      <c r="AG1" s="29">
        <v>60</v>
      </c>
      <c r="AH1" s="29" t="str">
        <f>AA1</f>
        <v>Area</v>
      </c>
    </row>
    <row r="2" spans="1:34">
      <c r="A2" s="18" t="s">
        <v>26</v>
      </c>
      <c r="B2" s="13">
        <v>87559.644388326706</v>
      </c>
      <c r="C2" s="13">
        <v>383924.99077233503</v>
      </c>
      <c r="D2" s="13">
        <v>908006.43315926066</v>
      </c>
      <c r="E2" s="13">
        <v>1481781</v>
      </c>
      <c r="F2" s="13">
        <v>1481781</v>
      </c>
      <c r="G2" s="13">
        <v>1481781</v>
      </c>
      <c r="H2" s="13">
        <v>1481781</v>
      </c>
      <c r="I2" s="13">
        <v>1481781</v>
      </c>
      <c r="J2" s="13">
        <v>1481781</v>
      </c>
      <c r="L2" s="13">
        <f>SUM(M2:V2)</f>
        <v>1481781</v>
      </c>
      <c r="M2" s="13">
        <f>B2</f>
        <v>87559.644388326706</v>
      </c>
      <c r="N2" s="13">
        <f t="shared" ref="N2:N33" si="0">C2-B2</f>
        <v>296365.3463840083</v>
      </c>
      <c r="O2" s="13">
        <f t="shared" ref="O2:O33" si="1">D2-C2</f>
        <v>524081.44238692563</v>
      </c>
      <c r="P2" s="13">
        <f t="shared" ref="P2:P33" si="2">E2-D2</f>
        <v>573774.56684073934</v>
      </c>
      <c r="Q2" s="13">
        <f t="shared" ref="Q2:Q33" si="3">F2-E2</f>
        <v>0</v>
      </c>
      <c r="R2" s="13">
        <f t="shared" ref="R2:R33" si="4">G2-F2</f>
        <v>0</v>
      </c>
      <c r="S2" s="13">
        <f t="shared" ref="S2:S33" si="5">H2-G2</f>
        <v>0</v>
      </c>
      <c r="T2" s="13">
        <f t="shared" ref="T2:T33" si="6">I2-H2</f>
        <v>0</v>
      </c>
      <c r="U2" s="13">
        <f t="shared" ref="U2:U33" si="7">J2-I2</f>
        <v>0</v>
      </c>
      <c r="V2" s="13"/>
      <c r="W2" s="13">
        <f>U2+T2+S2+R2+Q2+P2+O2+N2+M2</f>
        <v>1481780.9999999998</v>
      </c>
      <c r="Y2" s="13">
        <f t="shared" ref="Y2:Y33" si="8">M2*EXP(Beta1990*10)+N2*EXP(Beta1990*20)+O2*EXP(Beta1990*30)+P2*EXP(Beta1990*40)+Q2*EXP(Beta1990*50)+R2*EXP(Beta1990*60)+S2*EXP(Beta1990*70)+T2*EXP(Beta1990*80)+U2*EXP(Beta1990*90)</f>
        <v>170110.12754215632</v>
      </c>
      <c r="Z2" s="18">
        <f>RANK(Y2,$Y$2:$Y$52)</f>
        <v>22</v>
      </c>
      <c r="AA2" s="18" t="str">
        <f>A2</f>
        <v>Atlanta</v>
      </c>
      <c r="AB2" s="18">
        <f t="shared" ref="AB2:AB33" si="9">RANK(B2,B$2:B$52)</f>
        <v>44</v>
      </c>
      <c r="AC2" s="18">
        <f t="shared" ref="AC2:AC33" si="10">RANK(C2,C$2:C$52)</f>
        <v>42</v>
      </c>
      <c r="AD2" s="18">
        <f t="shared" ref="AD2:AD33" si="11">RANK(D2,D$2:D$52)</f>
        <v>22</v>
      </c>
      <c r="AE2" s="18">
        <f t="shared" ref="AE2:AE33" si="12">RANK(E2,E$2:E$52)</f>
        <v>11</v>
      </c>
      <c r="AF2" s="18">
        <f t="shared" ref="AF2:AF33" si="13">RANK(F2,F$2:F$52)</f>
        <v>11</v>
      </c>
      <c r="AG2" s="18">
        <f t="shared" ref="AG2:AG33" si="14">RANK(G2,G$2:G$52)</f>
        <v>11</v>
      </c>
      <c r="AH2" s="18" t="str">
        <f t="shared" ref="AH2:AH52" si="15">AA2</f>
        <v>Atlanta</v>
      </c>
    </row>
    <row r="3" spans="1:34">
      <c r="A3" s="18" t="s">
        <v>27</v>
      </c>
      <c r="B3" s="13">
        <v>98728.964430651627</v>
      </c>
      <c r="C3" s="13">
        <v>404016</v>
      </c>
      <c r="D3" s="13">
        <v>404016</v>
      </c>
      <c r="E3" s="13">
        <v>404016</v>
      </c>
      <c r="F3" s="13">
        <v>404016</v>
      </c>
      <c r="G3" s="13">
        <v>404016</v>
      </c>
      <c r="H3" s="13">
        <v>404016</v>
      </c>
      <c r="I3" s="13">
        <v>404016</v>
      </c>
      <c r="J3" s="13">
        <v>404016</v>
      </c>
      <c r="L3" s="13">
        <f t="shared" ref="L3:L52" si="16">SUM(M3:V3)</f>
        <v>404016</v>
      </c>
      <c r="M3" s="13">
        <f t="shared" ref="M3:M52" si="17">B3</f>
        <v>98728.964430651627</v>
      </c>
      <c r="N3" s="13">
        <f t="shared" si="0"/>
        <v>305287.03556934837</v>
      </c>
      <c r="O3" s="13">
        <f t="shared" si="1"/>
        <v>0</v>
      </c>
      <c r="P3" s="13">
        <f t="shared" si="2"/>
        <v>0</v>
      </c>
      <c r="Q3" s="13">
        <f t="shared" si="3"/>
        <v>0</v>
      </c>
      <c r="R3" s="13">
        <f t="shared" si="4"/>
        <v>0</v>
      </c>
      <c r="S3" s="13">
        <f t="shared" si="5"/>
        <v>0</v>
      </c>
      <c r="T3" s="13">
        <f t="shared" si="6"/>
        <v>0</v>
      </c>
      <c r="U3" s="13">
        <f t="shared" si="7"/>
        <v>0</v>
      </c>
      <c r="V3" s="13"/>
      <c r="W3" s="13">
        <f t="shared" ref="W3:W52" si="18">U3+T3+S3+R3+Q3+P3+O3+N3+M3</f>
        <v>404016</v>
      </c>
      <c r="Y3" s="13">
        <f t="shared" si="8"/>
        <v>105998.17278635266</v>
      </c>
      <c r="Z3" s="18">
        <f t="shared" ref="Z3:Z52" si="19">RANK(Y3,$Y$2:$Y$52)</f>
        <v>46</v>
      </c>
      <c r="AA3" s="18" t="str">
        <f t="shared" ref="AA3:AA52" si="20">A3</f>
        <v>Austin</v>
      </c>
      <c r="AB3" s="18">
        <f t="shared" si="9"/>
        <v>39</v>
      </c>
      <c r="AC3" s="18">
        <f t="shared" si="10"/>
        <v>38</v>
      </c>
      <c r="AD3" s="18">
        <f t="shared" si="11"/>
        <v>48</v>
      </c>
      <c r="AE3" s="18">
        <f t="shared" si="12"/>
        <v>48</v>
      </c>
      <c r="AF3" s="18">
        <f t="shared" si="13"/>
        <v>48</v>
      </c>
      <c r="AG3" s="18">
        <f t="shared" si="14"/>
        <v>48</v>
      </c>
      <c r="AH3" s="18" t="str">
        <f t="shared" si="15"/>
        <v>Austin</v>
      </c>
    </row>
    <row r="4" spans="1:34">
      <c r="A4" s="18" t="s">
        <v>28</v>
      </c>
      <c r="B4" s="13">
        <v>137289.95507835154</v>
      </c>
      <c r="C4" s="13">
        <v>589992.59403251775</v>
      </c>
      <c r="D4" s="13">
        <v>1191813</v>
      </c>
      <c r="E4" s="13">
        <v>1191813</v>
      </c>
      <c r="F4" s="13">
        <v>1191813</v>
      </c>
      <c r="G4" s="13">
        <v>1191813</v>
      </c>
      <c r="H4" s="13">
        <v>1191813</v>
      </c>
      <c r="I4" s="13">
        <v>1191813</v>
      </c>
      <c r="J4" s="13">
        <v>1191813</v>
      </c>
      <c r="L4" s="13">
        <f t="shared" si="16"/>
        <v>1191813</v>
      </c>
      <c r="M4" s="13">
        <f t="shared" si="17"/>
        <v>137289.95507835154</v>
      </c>
      <c r="N4" s="13">
        <f t="shared" si="0"/>
        <v>452702.63895416621</v>
      </c>
      <c r="O4" s="13">
        <f t="shared" si="1"/>
        <v>601820.40596748225</v>
      </c>
      <c r="P4" s="13">
        <f t="shared" si="2"/>
        <v>0</v>
      </c>
      <c r="Q4" s="13">
        <f t="shared" si="3"/>
        <v>0</v>
      </c>
      <c r="R4" s="13">
        <f t="shared" si="4"/>
        <v>0</v>
      </c>
      <c r="S4" s="13">
        <f t="shared" si="5"/>
        <v>0</v>
      </c>
      <c r="T4" s="13">
        <f t="shared" si="6"/>
        <v>0</v>
      </c>
      <c r="U4" s="13">
        <f t="shared" si="7"/>
        <v>0</v>
      </c>
      <c r="V4" s="13"/>
      <c r="W4" s="13">
        <f t="shared" si="18"/>
        <v>1191813</v>
      </c>
      <c r="Y4" s="13">
        <f t="shared" si="8"/>
        <v>207683.35526806669</v>
      </c>
      <c r="Z4" s="18">
        <f t="shared" si="19"/>
        <v>11</v>
      </c>
      <c r="AA4" s="18" t="str">
        <f t="shared" si="20"/>
        <v>Baltimore</v>
      </c>
      <c r="AB4" s="18">
        <f t="shared" si="9"/>
        <v>20</v>
      </c>
      <c r="AC4" s="18">
        <f t="shared" si="10"/>
        <v>11</v>
      </c>
      <c r="AD4" s="18">
        <f t="shared" si="11"/>
        <v>10</v>
      </c>
      <c r="AE4" s="18">
        <f t="shared" si="12"/>
        <v>17</v>
      </c>
      <c r="AF4" s="18">
        <f t="shared" si="13"/>
        <v>17</v>
      </c>
      <c r="AG4" s="18">
        <f t="shared" si="14"/>
        <v>17</v>
      </c>
      <c r="AH4" s="18" t="str">
        <f t="shared" si="15"/>
        <v>Baltimore</v>
      </c>
    </row>
    <row r="5" spans="1:34">
      <c r="A5" s="18" t="s">
        <v>29</v>
      </c>
      <c r="B5" s="13">
        <v>174509.00644892405</v>
      </c>
      <c r="C5" s="13">
        <v>777655.31532734609</v>
      </c>
      <c r="D5" s="13">
        <v>1837964.6055296876</v>
      </c>
      <c r="E5" s="13">
        <v>2141717</v>
      </c>
      <c r="F5" s="13">
        <v>2141717</v>
      </c>
      <c r="G5" s="13">
        <v>2141717</v>
      </c>
      <c r="H5" s="13">
        <v>2141717</v>
      </c>
      <c r="I5" s="13">
        <v>2141717</v>
      </c>
      <c r="J5" s="13">
        <v>2141717</v>
      </c>
      <c r="L5" s="13">
        <f t="shared" si="16"/>
        <v>2141717</v>
      </c>
      <c r="M5" s="13">
        <f t="shared" si="17"/>
        <v>174509.00644892405</v>
      </c>
      <c r="N5" s="13">
        <f t="shared" si="0"/>
        <v>603146.30887842202</v>
      </c>
      <c r="O5" s="13">
        <f t="shared" si="1"/>
        <v>1060309.2902023415</v>
      </c>
      <c r="P5" s="13">
        <f t="shared" si="2"/>
        <v>303752.3944703124</v>
      </c>
      <c r="Q5" s="13">
        <f t="shared" si="3"/>
        <v>0</v>
      </c>
      <c r="R5" s="13">
        <f t="shared" si="4"/>
        <v>0</v>
      </c>
      <c r="S5" s="13">
        <f t="shared" si="5"/>
        <v>0</v>
      </c>
      <c r="T5" s="13">
        <f t="shared" si="6"/>
        <v>0</v>
      </c>
      <c r="U5" s="13">
        <f t="shared" si="7"/>
        <v>0</v>
      </c>
      <c r="V5" s="13"/>
      <c r="W5" s="13">
        <f t="shared" si="18"/>
        <v>2141717</v>
      </c>
      <c r="Y5" s="13">
        <f t="shared" si="8"/>
        <v>308755.79642392509</v>
      </c>
      <c r="Z5" s="18">
        <f t="shared" si="19"/>
        <v>6</v>
      </c>
      <c r="AA5" s="18" t="str">
        <f t="shared" si="20"/>
        <v>Boston</v>
      </c>
      <c r="AB5" s="18">
        <f t="shared" si="9"/>
        <v>13</v>
      </c>
      <c r="AC5" s="18">
        <f t="shared" si="10"/>
        <v>5</v>
      </c>
      <c r="AD5" s="18">
        <f t="shared" si="11"/>
        <v>3</v>
      </c>
      <c r="AE5" s="18">
        <f t="shared" si="12"/>
        <v>6</v>
      </c>
      <c r="AF5" s="18">
        <f t="shared" si="13"/>
        <v>6</v>
      </c>
      <c r="AG5" s="18">
        <f t="shared" si="14"/>
        <v>6</v>
      </c>
      <c r="AH5" s="18" t="str">
        <f t="shared" si="15"/>
        <v>Boston</v>
      </c>
    </row>
    <row r="6" spans="1:34">
      <c r="A6" s="18" t="s">
        <v>30</v>
      </c>
      <c r="B6" s="13">
        <v>216152.3949883226</v>
      </c>
      <c r="C6" s="13">
        <v>531122</v>
      </c>
      <c r="D6" s="13">
        <v>531122</v>
      </c>
      <c r="E6" s="13">
        <v>531122</v>
      </c>
      <c r="F6" s="13">
        <v>531122</v>
      </c>
      <c r="G6" s="13">
        <v>531122</v>
      </c>
      <c r="H6" s="13">
        <v>531122</v>
      </c>
      <c r="I6" s="13">
        <v>531122</v>
      </c>
      <c r="J6" s="13">
        <v>531122</v>
      </c>
      <c r="L6" s="13">
        <f t="shared" si="16"/>
        <v>531122</v>
      </c>
      <c r="M6" s="13">
        <f t="shared" si="17"/>
        <v>216152.3949883226</v>
      </c>
      <c r="N6" s="13">
        <f t="shared" si="0"/>
        <v>314969.60501167737</v>
      </c>
      <c r="O6" s="13">
        <f t="shared" si="1"/>
        <v>0</v>
      </c>
      <c r="P6" s="13">
        <f t="shared" si="2"/>
        <v>0</v>
      </c>
      <c r="Q6" s="13">
        <f t="shared" si="3"/>
        <v>0</v>
      </c>
      <c r="R6" s="13">
        <f t="shared" si="4"/>
        <v>0</v>
      </c>
      <c r="S6" s="13">
        <f t="shared" si="5"/>
        <v>0</v>
      </c>
      <c r="T6" s="13">
        <f t="shared" si="6"/>
        <v>0</v>
      </c>
      <c r="U6" s="13">
        <f t="shared" si="7"/>
        <v>0</v>
      </c>
      <c r="V6" s="13"/>
      <c r="W6" s="13">
        <f t="shared" si="18"/>
        <v>531122</v>
      </c>
      <c r="Y6" s="13">
        <f t="shared" si="8"/>
        <v>160714.79825756911</v>
      </c>
      <c r="Z6" s="18">
        <f t="shared" si="19"/>
        <v>26</v>
      </c>
      <c r="AA6" s="18" t="str">
        <f t="shared" si="20"/>
        <v>Buffalo</v>
      </c>
      <c r="AB6" s="18">
        <f t="shared" si="9"/>
        <v>4</v>
      </c>
      <c r="AC6" s="18">
        <f t="shared" si="10"/>
        <v>19</v>
      </c>
      <c r="AD6" s="18">
        <f t="shared" si="11"/>
        <v>38</v>
      </c>
      <c r="AE6" s="18">
        <f t="shared" si="12"/>
        <v>38</v>
      </c>
      <c r="AF6" s="18">
        <f t="shared" si="13"/>
        <v>38</v>
      </c>
      <c r="AG6" s="18">
        <f t="shared" si="14"/>
        <v>38</v>
      </c>
      <c r="AH6" s="18" t="str">
        <f t="shared" si="15"/>
        <v>Buffalo</v>
      </c>
    </row>
    <row r="7" spans="1:34">
      <c r="A7" s="18" t="s">
        <v>31</v>
      </c>
      <c r="B7" s="13">
        <v>202665.57713351652</v>
      </c>
      <c r="C7" s="13">
        <v>604856</v>
      </c>
      <c r="D7" s="13">
        <v>604856</v>
      </c>
      <c r="E7" s="13">
        <v>604856</v>
      </c>
      <c r="F7" s="13">
        <v>604856</v>
      </c>
      <c r="G7" s="13">
        <v>604856</v>
      </c>
      <c r="H7" s="13">
        <v>604856</v>
      </c>
      <c r="I7" s="13">
        <v>604856</v>
      </c>
      <c r="J7" s="13">
        <v>604856</v>
      </c>
      <c r="L7" s="13">
        <f t="shared" si="16"/>
        <v>604856</v>
      </c>
      <c r="M7" s="13">
        <f t="shared" si="17"/>
        <v>202665.57713351652</v>
      </c>
      <c r="N7" s="13">
        <f t="shared" si="0"/>
        <v>402190.42286648345</v>
      </c>
      <c r="O7" s="13">
        <f t="shared" si="1"/>
        <v>0</v>
      </c>
      <c r="P7" s="13">
        <f t="shared" si="2"/>
        <v>0</v>
      </c>
      <c r="Q7" s="13">
        <f t="shared" si="3"/>
        <v>0</v>
      </c>
      <c r="R7" s="13">
        <f t="shared" si="4"/>
        <v>0</v>
      </c>
      <c r="S7" s="13">
        <f t="shared" si="5"/>
        <v>0</v>
      </c>
      <c r="T7" s="13">
        <f t="shared" si="6"/>
        <v>0</v>
      </c>
      <c r="U7" s="13">
        <f t="shared" si="7"/>
        <v>0</v>
      </c>
      <c r="V7" s="13"/>
      <c r="W7" s="13">
        <f t="shared" si="18"/>
        <v>604856</v>
      </c>
      <c r="Y7" s="13">
        <f t="shared" si="8"/>
        <v>172264.35978316289</v>
      </c>
      <c r="Z7" s="18">
        <f t="shared" si="19"/>
        <v>19</v>
      </c>
      <c r="AA7" s="18" t="str">
        <f t="shared" si="20"/>
        <v>Charlotte</v>
      </c>
      <c r="AB7" s="18">
        <f t="shared" si="9"/>
        <v>7</v>
      </c>
      <c r="AC7" s="18">
        <f t="shared" si="10"/>
        <v>10</v>
      </c>
      <c r="AD7" s="18">
        <f t="shared" si="11"/>
        <v>33</v>
      </c>
      <c r="AE7" s="18">
        <f t="shared" si="12"/>
        <v>33</v>
      </c>
      <c r="AF7" s="18">
        <f t="shared" si="13"/>
        <v>33</v>
      </c>
      <c r="AG7" s="18">
        <f t="shared" si="14"/>
        <v>33</v>
      </c>
      <c r="AH7" s="18" t="str">
        <f t="shared" si="15"/>
        <v>Charlotte</v>
      </c>
    </row>
    <row r="8" spans="1:34">
      <c r="A8" s="18" t="s">
        <v>32</v>
      </c>
      <c r="B8" s="13">
        <v>168813.12277656634</v>
      </c>
      <c r="C8" s="13">
        <v>736844.9408679459</v>
      </c>
      <c r="D8" s="13">
        <v>1734211.9667450499</v>
      </c>
      <c r="E8" s="13">
        <v>3193548.1380783948</v>
      </c>
      <c r="F8" s="13">
        <v>3841337</v>
      </c>
      <c r="G8" s="13">
        <v>3841337</v>
      </c>
      <c r="H8" s="13">
        <v>3841337</v>
      </c>
      <c r="I8" s="13">
        <v>3841337</v>
      </c>
      <c r="J8" s="13">
        <v>3841337</v>
      </c>
      <c r="L8" s="13">
        <f t="shared" si="16"/>
        <v>3841337</v>
      </c>
      <c r="M8" s="13">
        <f t="shared" si="17"/>
        <v>168813.12277656634</v>
      </c>
      <c r="N8" s="13">
        <f t="shared" si="0"/>
        <v>568031.81809137959</v>
      </c>
      <c r="O8" s="13">
        <f t="shared" si="1"/>
        <v>997367.02587710402</v>
      </c>
      <c r="P8" s="13">
        <f t="shared" si="2"/>
        <v>1459336.1713333449</v>
      </c>
      <c r="Q8" s="13">
        <f t="shared" si="3"/>
        <v>647788.86192160519</v>
      </c>
      <c r="R8" s="13">
        <f t="shared" si="4"/>
        <v>0</v>
      </c>
      <c r="S8" s="13">
        <f t="shared" si="5"/>
        <v>0</v>
      </c>
      <c r="T8" s="13">
        <f t="shared" si="6"/>
        <v>0</v>
      </c>
      <c r="U8" s="13">
        <f t="shared" si="7"/>
        <v>0</v>
      </c>
      <c r="V8" s="13"/>
      <c r="W8" s="13">
        <f t="shared" si="18"/>
        <v>3841337.0000000005</v>
      </c>
      <c r="Y8" s="13">
        <f t="shared" si="8"/>
        <v>352365.7925953283</v>
      </c>
      <c r="Z8" s="18">
        <f t="shared" si="19"/>
        <v>3</v>
      </c>
      <c r="AA8" s="18" t="str">
        <f t="shared" si="20"/>
        <v>Chicago</v>
      </c>
      <c r="AB8" s="18">
        <f t="shared" si="9"/>
        <v>14</v>
      </c>
      <c r="AC8" s="18">
        <f t="shared" si="10"/>
        <v>6</v>
      </c>
      <c r="AD8" s="18">
        <f t="shared" si="11"/>
        <v>4</v>
      </c>
      <c r="AE8" s="18">
        <f t="shared" si="12"/>
        <v>2</v>
      </c>
      <c r="AF8" s="18">
        <f t="shared" si="13"/>
        <v>3</v>
      </c>
      <c r="AG8" s="18">
        <f t="shared" si="14"/>
        <v>3</v>
      </c>
      <c r="AH8" s="18" t="str">
        <f t="shared" si="15"/>
        <v>Chicago</v>
      </c>
    </row>
    <row r="9" spans="1:34">
      <c r="A9" s="18" t="s">
        <v>33</v>
      </c>
      <c r="B9" s="13">
        <v>126401.7133112927</v>
      </c>
      <c r="C9" s="13">
        <v>548967.41532961128</v>
      </c>
      <c r="D9" s="13">
        <v>812766</v>
      </c>
      <c r="E9" s="13">
        <v>812766</v>
      </c>
      <c r="F9" s="13">
        <v>812766</v>
      </c>
      <c r="G9" s="13">
        <v>812766</v>
      </c>
      <c r="H9" s="13">
        <v>812766</v>
      </c>
      <c r="I9" s="13">
        <v>812766</v>
      </c>
      <c r="J9" s="13">
        <v>812766</v>
      </c>
      <c r="L9" s="13">
        <f t="shared" si="16"/>
        <v>812766</v>
      </c>
      <c r="M9" s="13">
        <f t="shared" si="17"/>
        <v>126401.7133112927</v>
      </c>
      <c r="N9" s="13">
        <f t="shared" si="0"/>
        <v>422565.70201831858</v>
      </c>
      <c r="O9" s="13">
        <f t="shared" si="1"/>
        <v>263798.58467038872</v>
      </c>
      <c r="P9" s="13">
        <f t="shared" si="2"/>
        <v>0</v>
      </c>
      <c r="Q9" s="13">
        <f t="shared" si="3"/>
        <v>0</v>
      </c>
      <c r="R9" s="13">
        <f t="shared" si="4"/>
        <v>0</v>
      </c>
      <c r="S9" s="13">
        <f t="shared" si="5"/>
        <v>0</v>
      </c>
      <c r="T9" s="13">
        <f t="shared" si="6"/>
        <v>0</v>
      </c>
      <c r="U9" s="13">
        <f t="shared" si="7"/>
        <v>0</v>
      </c>
      <c r="V9" s="13"/>
      <c r="W9" s="13">
        <f t="shared" si="18"/>
        <v>812766</v>
      </c>
      <c r="Y9" s="13">
        <f t="shared" si="8"/>
        <v>166041.76244821225</v>
      </c>
      <c r="Z9" s="18">
        <f t="shared" si="19"/>
        <v>25</v>
      </c>
      <c r="AA9" s="18" t="str">
        <f t="shared" si="20"/>
        <v>Cincinnati</v>
      </c>
      <c r="AB9" s="18">
        <f t="shared" si="9"/>
        <v>24</v>
      </c>
      <c r="AC9" s="18">
        <f t="shared" si="10"/>
        <v>16</v>
      </c>
      <c r="AD9" s="18">
        <f t="shared" si="11"/>
        <v>24</v>
      </c>
      <c r="AE9" s="18">
        <f t="shared" si="12"/>
        <v>24</v>
      </c>
      <c r="AF9" s="18">
        <f t="shared" si="13"/>
        <v>24</v>
      </c>
      <c r="AG9" s="18">
        <f t="shared" si="14"/>
        <v>24</v>
      </c>
      <c r="AH9" s="18" t="str">
        <f t="shared" si="15"/>
        <v>Cincinnati</v>
      </c>
    </row>
    <row r="10" spans="1:34">
      <c r="A10" s="18" t="s">
        <v>34</v>
      </c>
      <c r="B10" s="13">
        <v>200994.23939738882</v>
      </c>
      <c r="C10" s="13">
        <v>879257.21050737659</v>
      </c>
      <c r="D10" s="13">
        <v>1242099</v>
      </c>
      <c r="E10" s="13">
        <v>1242099</v>
      </c>
      <c r="F10" s="13">
        <v>1242099</v>
      </c>
      <c r="G10" s="13">
        <v>1242099</v>
      </c>
      <c r="H10" s="13">
        <v>1242099</v>
      </c>
      <c r="I10" s="13">
        <v>1242099</v>
      </c>
      <c r="J10" s="13">
        <v>1242099</v>
      </c>
      <c r="L10" s="13">
        <f t="shared" si="16"/>
        <v>1242099</v>
      </c>
      <c r="M10" s="13">
        <f t="shared" si="17"/>
        <v>200994.23939738882</v>
      </c>
      <c r="N10" s="13">
        <f t="shared" si="0"/>
        <v>678262.9711099877</v>
      </c>
      <c r="O10" s="13">
        <f t="shared" si="1"/>
        <v>362841.78949262341</v>
      </c>
      <c r="P10" s="13">
        <f t="shared" si="2"/>
        <v>0</v>
      </c>
      <c r="Q10" s="13">
        <f t="shared" si="3"/>
        <v>0</v>
      </c>
      <c r="R10" s="13">
        <f t="shared" si="4"/>
        <v>0</v>
      </c>
      <c r="S10" s="13">
        <f t="shared" si="5"/>
        <v>0</v>
      </c>
      <c r="T10" s="13">
        <f t="shared" si="6"/>
        <v>0</v>
      </c>
      <c r="U10" s="13">
        <f t="shared" si="7"/>
        <v>0</v>
      </c>
      <c r="V10" s="13"/>
      <c r="W10" s="13">
        <f t="shared" si="18"/>
        <v>1242099</v>
      </c>
      <c r="Y10" s="13">
        <f t="shared" si="8"/>
        <v>260167.73004441228</v>
      </c>
      <c r="Z10" s="18">
        <f t="shared" si="19"/>
        <v>7</v>
      </c>
      <c r="AA10" s="18" t="str">
        <f t="shared" si="20"/>
        <v>Cleveland</v>
      </c>
      <c r="AB10" s="18">
        <f t="shared" si="9"/>
        <v>8</v>
      </c>
      <c r="AC10" s="18">
        <f t="shared" si="10"/>
        <v>2</v>
      </c>
      <c r="AD10" s="18">
        <f t="shared" si="11"/>
        <v>9</v>
      </c>
      <c r="AE10" s="18">
        <f t="shared" si="12"/>
        <v>15</v>
      </c>
      <c r="AF10" s="18">
        <f t="shared" si="13"/>
        <v>15</v>
      </c>
      <c r="AG10" s="18">
        <f t="shared" si="14"/>
        <v>15</v>
      </c>
      <c r="AH10" s="18" t="str">
        <f t="shared" si="15"/>
        <v>Cleveland</v>
      </c>
    </row>
    <row r="11" spans="1:34">
      <c r="A11" s="18" t="s">
        <v>35</v>
      </c>
      <c r="B11" s="13">
        <v>175541.69100188781</v>
      </c>
      <c r="C11" s="13">
        <v>677859</v>
      </c>
      <c r="D11" s="13">
        <v>677859</v>
      </c>
      <c r="E11" s="13">
        <v>677859</v>
      </c>
      <c r="F11" s="13">
        <v>677859</v>
      </c>
      <c r="G11" s="13">
        <v>677859</v>
      </c>
      <c r="H11" s="13">
        <v>677859</v>
      </c>
      <c r="I11" s="13">
        <v>677859</v>
      </c>
      <c r="J11" s="13">
        <v>677859</v>
      </c>
      <c r="L11" s="13">
        <f t="shared" si="16"/>
        <v>677859</v>
      </c>
      <c r="M11" s="13">
        <f t="shared" si="17"/>
        <v>175541.69100188781</v>
      </c>
      <c r="N11" s="13">
        <f t="shared" si="0"/>
        <v>502317.30899811222</v>
      </c>
      <c r="O11" s="13">
        <f t="shared" si="1"/>
        <v>0</v>
      </c>
      <c r="P11" s="13">
        <f t="shared" si="2"/>
        <v>0</v>
      </c>
      <c r="Q11" s="13">
        <f t="shared" si="3"/>
        <v>0</v>
      </c>
      <c r="R11" s="13">
        <f t="shared" si="4"/>
        <v>0</v>
      </c>
      <c r="S11" s="13">
        <f t="shared" si="5"/>
        <v>0</v>
      </c>
      <c r="T11" s="13">
        <f t="shared" si="6"/>
        <v>0</v>
      </c>
      <c r="U11" s="13">
        <f t="shared" si="7"/>
        <v>0</v>
      </c>
      <c r="V11" s="13"/>
      <c r="W11" s="13">
        <f t="shared" si="18"/>
        <v>677859</v>
      </c>
      <c r="Y11" s="13">
        <f t="shared" si="8"/>
        <v>180292.08179242787</v>
      </c>
      <c r="Z11" s="18">
        <f t="shared" si="19"/>
        <v>18</v>
      </c>
      <c r="AA11" s="18" t="str">
        <f t="shared" si="20"/>
        <v>Columbus</v>
      </c>
      <c r="AB11" s="18">
        <f t="shared" si="9"/>
        <v>11</v>
      </c>
      <c r="AC11" s="18">
        <f t="shared" si="10"/>
        <v>7</v>
      </c>
      <c r="AD11" s="18">
        <f t="shared" si="11"/>
        <v>31</v>
      </c>
      <c r="AE11" s="18">
        <f t="shared" si="12"/>
        <v>31</v>
      </c>
      <c r="AF11" s="18">
        <f t="shared" si="13"/>
        <v>31</v>
      </c>
      <c r="AG11" s="18">
        <f t="shared" si="14"/>
        <v>31</v>
      </c>
      <c r="AH11" s="18" t="str">
        <f t="shared" si="15"/>
        <v>Columbus</v>
      </c>
    </row>
    <row r="12" spans="1:34">
      <c r="A12" s="18" t="s">
        <v>61</v>
      </c>
      <c r="B12" s="13">
        <v>107066.35281127057</v>
      </c>
      <c r="C12" s="13">
        <v>464244.68793073372</v>
      </c>
      <c r="D12" s="13">
        <v>1106232.4991188743</v>
      </c>
      <c r="E12" s="13">
        <v>1976606</v>
      </c>
      <c r="F12" s="13">
        <v>1976606</v>
      </c>
      <c r="G12" s="13">
        <v>1976606</v>
      </c>
      <c r="H12" s="13">
        <v>1976606</v>
      </c>
      <c r="I12" s="13">
        <v>1976606</v>
      </c>
      <c r="J12" s="13">
        <v>1976606</v>
      </c>
      <c r="L12" s="13">
        <f t="shared" si="16"/>
        <v>1976606</v>
      </c>
      <c r="M12" s="13">
        <f t="shared" si="17"/>
        <v>107066.35281127057</v>
      </c>
      <c r="N12" s="13">
        <f t="shared" si="0"/>
        <v>357178.33511946315</v>
      </c>
      <c r="O12" s="13">
        <f t="shared" si="1"/>
        <v>641987.81118814065</v>
      </c>
      <c r="P12" s="13">
        <f t="shared" si="2"/>
        <v>870373.50088112568</v>
      </c>
      <c r="Q12" s="13">
        <f t="shared" si="3"/>
        <v>0</v>
      </c>
      <c r="R12" s="13">
        <f t="shared" si="4"/>
        <v>0</v>
      </c>
      <c r="S12" s="13">
        <f t="shared" si="5"/>
        <v>0</v>
      </c>
      <c r="T12" s="13">
        <f t="shared" si="6"/>
        <v>0</v>
      </c>
      <c r="U12" s="13">
        <f t="shared" si="7"/>
        <v>0</v>
      </c>
      <c r="V12" s="13"/>
      <c r="W12" s="13">
        <f t="shared" si="18"/>
        <v>1976606.0000000002</v>
      </c>
      <c r="Y12" s="13">
        <f t="shared" si="8"/>
        <v>213939.23801226399</v>
      </c>
      <c r="Z12" s="18">
        <f t="shared" si="19"/>
        <v>10</v>
      </c>
      <c r="AA12" s="18" t="str">
        <f t="shared" si="20"/>
        <v>Dallas-Fort Worth</v>
      </c>
      <c r="AB12" s="18">
        <f t="shared" si="9"/>
        <v>33</v>
      </c>
      <c r="AC12" s="18">
        <f t="shared" si="10"/>
        <v>29</v>
      </c>
      <c r="AD12" s="18">
        <f t="shared" si="11"/>
        <v>12</v>
      </c>
      <c r="AE12" s="18">
        <f t="shared" si="12"/>
        <v>8</v>
      </c>
      <c r="AF12" s="18">
        <f t="shared" si="13"/>
        <v>8</v>
      </c>
      <c r="AG12" s="18">
        <f t="shared" si="14"/>
        <v>8</v>
      </c>
      <c r="AH12" s="18" t="str">
        <f t="shared" si="15"/>
        <v>Dallas-Fort Worth</v>
      </c>
    </row>
    <row r="13" spans="1:34">
      <c r="A13" s="18" t="s">
        <v>36</v>
      </c>
      <c r="B13" s="13">
        <v>156322.64612955024</v>
      </c>
      <c r="C13" s="13">
        <v>638432.63000827772</v>
      </c>
      <c r="D13" s="13">
        <v>964912</v>
      </c>
      <c r="E13" s="13">
        <v>964912</v>
      </c>
      <c r="F13" s="13">
        <v>964912</v>
      </c>
      <c r="G13" s="13">
        <v>964912</v>
      </c>
      <c r="H13" s="13">
        <v>964912</v>
      </c>
      <c r="I13" s="13">
        <v>964912</v>
      </c>
      <c r="J13" s="13">
        <v>964912</v>
      </c>
      <c r="L13" s="13">
        <f t="shared" si="16"/>
        <v>964912</v>
      </c>
      <c r="M13" s="13">
        <f t="shared" si="17"/>
        <v>156322.64612955024</v>
      </c>
      <c r="N13" s="13">
        <f t="shared" si="0"/>
        <v>482109.98387872748</v>
      </c>
      <c r="O13" s="13">
        <f t="shared" si="1"/>
        <v>326479.36999172228</v>
      </c>
      <c r="P13" s="13">
        <f t="shared" si="2"/>
        <v>0</v>
      </c>
      <c r="Q13" s="13">
        <f t="shared" si="3"/>
        <v>0</v>
      </c>
      <c r="R13" s="13">
        <f t="shared" si="4"/>
        <v>0</v>
      </c>
      <c r="S13" s="13">
        <f t="shared" si="5"/>
        <v>0</v>
      </c>
      <c r="T13" s="13">
        <f t="shared" si="6"/>
        <v>0</v>
      </c>
      <c r="U13" s="13">
        <f t="shared" si="7"/>
        <v>0</v>
      </c>
      <c r="V13" s="13"/>
      <c r="W13" s="13">
        <f t="shared" si="18"/>
        <v>964912</v>
      </c>
      <c r="Y13" s="13">
        <f t="shared" si="8"/>
        <v>197194.1599258942</v>
      </c>
      <c r="Z13" s="18">
        <f t="shared" si="19"/>
        <v>13</v>
      </c>
      <c r="AA13" s="18" t="str">
        <f t="shared" si="20"/>
        <v>Denver</v>
      </c>
      <c r="AB13" s="18">
        <f t="shared" si="9"/>
        <v>16</v>
      </c>
      <c r="AC13" s="18">
        <f t="shared" si="10"/>
        <v>8</v>
      </c>
      <c r="AD13" s="18">
        <f t="shared" si="11"/>
        <v>16</v>
      </c>
      <c r="AE13" s="18">
        <f t="shared" si="12"/>
        <v>20</v>
      </c>
      <c r="AF13" s="18">
        <f t="shared" si="13"/>
        <v>20</v>
      </c>
      <c r="AG13" s="18">
        <f t="shared" si="14"/>
        <v>20</v>
      </c>
      <c r="AH13" s="18" t="str">
        <f t="shared" si="15"/>
        <v>Denver</v>
      </c>
    </row>
    <row r="14" spans="1:34">
      <c r="A14" s="18" t="s">
        <v>37</v>
      </c>
      <c r="B14" s="13">
        <v>132975.97010867984</v>
      </c>
      <c r="C14" s="13">
        <v>577362.16043188062</v>
      </c>
      <c r="D14" s="13">
        <v>1348568.9272699899</v>
      </c>
      <c r="E14" s="13">
        <v>2079880</v>
      </c>
      <c r="F14" s="13">
        <v>2079880</v>
      </c>
      <c r="G14" s="13">
        <v>2079880</v>
      </c>
      <c r="H14" s="13">
        <v>2079880</v>
      </c>
      <c r="I14" s="13">
        <v>2079880</v>
      </c>
      <c r="J14" s="13">
        <v>2079880</v>
      </c>
      <c r="L14" s="13">
        <f t="shared" si="16"/>
        <v>2079880</v>
      </c>
      <c r="M14" s="13">
        <f t="shared" si="17"/>
        <v>132975.97010867984</v>
      </c>
      <c r="N14" s="13">
        <f t="shared" si="0"/>
        <v>444386.19032320078</v>
      </c>
      <c r="O14" s="13">
        <f t="shared" si="1"/>
        <v>771206.76683810924</v>
      </c>
      <c r="P14" s="13">
        <f t="shared" si="2"/>
        <v>731311.07273001014</v>
      </c>
      <c r="Q14" s="13">
        <f t="shared" si="3"/>
        <v>0</v>
      </c>
      <c r="R14" s="13">
        <f t="shared" si="4"/>
        <v>0</v>
      </c>
      <c r="S14" s="13">
        <f t="shared" si="5"/>
        <v>0</v>
      </c>
      <c r="T14" s="13">
        <f t="shared" si="6"/>
        <v>0</v>
      </c>
      <c r="U14" s="13">
        <f t="shared" si="7"/>
        <v>0</v>
      </c>
      <c r="V14" s="13"/>
      <c r="W14" s="13">
        <f t="shared" si="18"/>
        <v>2079880</v>
      </c>
      <c r="Y14" s="13">
        <f t="shared" si="8"/>
        <v>249242.1299413371</v>
      </c>
      <c r="Z14" s="18">
        <f t="shared" si="19"/>
        <v>8</v>
      </c>
      <c r="AA14" s="18" t="str">
        <f t="shared" si="20"/>
        <v>Detroit</v>
      </c>
      <c r="AB14" s="18">
        <f t="shared" si="9"/>
        <v>21</v>
      </c>
      <c r="AC14" s="18">
        <f t="shared" si="10"/>
        <v>13</v>
      </c>
      <c r="AD14" s="18">
        <f t="shared" si="11"/>
        <v>7</v>
      </c>
      <c r="AE14" s="18">
        <f t="shared" si="12"/>
        <v>7</v>
      </c>
      <c r="AF14" s="18">
        <f t="shared" si="13"/>
        <v>7</v>
      </c>
      <c r="AG14" s="18">
        <f t="shared" si="14"/>
        <v>7</v>
      </c>
      <c r="AH14" s="18" t="str">
        <f t="shared" si="15"/>
        <v>Detroit</v>
      </c>
    </row>
    <row r="15" spans="1:34">
      <c r="A15" s="18" t="s">
        <v>79</v>
      </c>
      <c r="B15" s="13">
        <v>143788.43839776184</v>
      </c>
      <c r="C15" s="13">
        <v>337335</v>
      </c>
      <c r="D15" s="13">
        <v>337335</v>
      </c>
      <c r="E15" s="13">
        <v>337335</v>
      </c>
      <c r="F15" s="13">
        <v>337335</v>
      </c>
      <c r="G15" s="13">
        <v>337335</v>
      </c>
      <c r="H15" s="13">
        <v>337335</v>
      </c>
      <c r="I15" s="13">
        <v>337335</v>
      </c>
      <c r="J15" s="13">
        <v>337335</v>
      </c>
      <c r="L15" s="13">
        <f t="shared" si="16"/>
        <v>337335</v>
      </c>
      <c r="M15" s="13">
        <f t="shared" si="17"/>
        <v>143788.43839776184</v>
      </c>
      <c r="N15" s="13">
        <f t="shared" si="0"/>
        <v>193546.56160223816</v>
      </c>
      <c r="O15" s="13">
        <f t="shared" si="1"/>
        <v>0</v>
      </c>
      <c r="P15" s="13">
        <f t="shared" si="2"/>
        <v>0</v>
      </c>
      <c r="Q15" s="13">
        <f t="shared" si="3"/>
        <v>0</v>
      </c>
      <c r="R15" s="13">
        <f t="shared" si="4"/>
        <v>0</v>
      </c>
      <c r="S15" s="13">
        <f t="shared" si="5"/>
        <v>0</v>
      </c>
      <c r="T15" s="13">
        <f t="shared" si="6"/>
        <v>0</v>
      </c>
      <c r="U15" s="13">
        <f t="shared" si="7"/>
        <v>0</v>
      </c>
      <c r="V15" s="13"/>
      <c r="W15" s="13">
        <f t="shared" si="18"/>
        <v>337335</v>
      </c>
      <c r="Y15" s="13">
        <f t="shared" si="8"/>
        <v>103684.68693462921</v>
      </c>
      <c r="Z15" s="18">
        <f t="shared" si="19"/>
        <v>47</v>
      </c>
      <c r="AA15" s="18" t="str">
        <f t="shared" si="20"/>
        <v>Grand Rapids</v>
      </c>
      <c r="AB15" s="18">
        <f t="shared" si="9"/>
        <v>18</v>
      </c>
      <c r="AC15" s="18">
        <f t="shared" si="10"/>
        <v>47</v>
      </c>
      <c r="AD15" s="18">
        <f t="shared" si="11"/>
        <v>51</v>
      </c>
      <c r="AE15" s="18">
        <f t="shared" si="12"/>
        <v>51</v>
      </c>
      <c r="AF15" s="18">
        <f t="shared" si="13"/>
        <v>51</v>
      </c>
      <c r="AG15" s="18">
        <f t="shared" si="14"/>
        <v>51</v>
      </c>
      <c r="AH15" s="18" t="str">
        <f t="shared" si="15"/>
        <v>Grand Rapids</v>
      </c>
    </row>
    <row r="16" spans="1:34">
      <c r="A16" s="18" t="s">
        <v>571</v>
      </c>
      <c r="B16" s="13">
        <v>78822.471271547169</v>
      </c>
      <c r="C16" s="13">
        <v>339017.02397313435</v>
      </c>
      <c r="D16" s="13">
        <v>698999</v>
      </c>
      <c r="E16" s="13">
        <v>698999</v>
      </c>
      <c r="F16" s="13">
        <v>698999</v>
      </c>
      <c r="G16" s="13">
        <v>698999</v>
      </c>
      <c r="H16" s="13">
        <v>698999</v>
      </c>
      <c r="I16" s="13">
        <v>698999</v>
      </c>
      <c r="J16" s="13">
        <v>698999</v>
      </c>
      <c r="L16" s="13">
        <f t="shared" si="16"/>
        <v>698999</v>
      </c>
      <c r="M16" s="13">
        <f t="shared" si="17"/>
        <v>78822.471271547169</v>
      </c>
      <c r="N16" s="13">
        <f t="shared" si="0"/>
        <v>260194.55270158718</v>
      </c>
      <c r="O16" s="13">
        <f t="shared" si="1"/>
        <v>359981.97602686565</v>
      </c>
      <c r="P16" s="13">
        <f t="shared" si="2"/>
        <v>0</v>
      </c>
      <c r="Q16" s="13">
        <f t="shared" si="3"/>
        <v>0</v>
      </c>
      <c r="R16" s="13">
        <f t="shared" si="4"/>
        <v>0</v>
      </c>
      <c r="S16" s="13">
        <f t="shared" si="5"/>
        <v>0</v>
      </c>
      <c r="T16" s="13">
        <f t="shared" si="6"/>
        <v>0</v>
      </c>
      <c r="U16" s="13">
        <f t="shared" si="7"/>
        <v>0</v>
      </c>
      <c r="V16" s="13"/>
      <c r="W16" s="13">
        <f t="shared" si="18"/>
        <v>698999</v>
      </c>
      <c r="Y16" s="13">
        <f t="shared" si="8"/>
        <v>120606.42164346666</v>
      </c>
      <c r="Z16" s="18">
        <f t="shared" si="19"/>
        <v>42</v>
      </c>
      <c r="AA16" s="18" t="str">
        <f t="shared" si="20"/>
        <v>Hampton Roads</v>
      </c>
      <c r="AB16" s="18">
        <f t="shared" si="9"/>
        <v>47</v>
      </c>
      <c r="AC16" s="18">
        <f t="shared" si="10"/>
        <v>46</v>
      </c>
      <c r="AD16" s="18">
        <f t="shared" si="11"/>
        <v>29</v>
      </c>
      <c r="AE16" s="18">
        <f t="shared" si="12"/>
        <v>29</v>
      </c>
      <c r="AF16" s="18">
        <f t="shared" si="13"/>
        <v>29</v>
      </c>
      <c r="AG16" s="18">
        <f t="shared" si="14"/>
        <v>29</v>
      </c>
      <c r="AH16" s="18" t="str">
        <f t="shared" si="15"/>
        <v>Hampton Roads</v>
      </c>
    </row>
    <row r="17" spans="1:34">
      <c r="A17" s="18" t="s">
        <v>38</v>
      </c>
      <c r="B17" s="13">
        <v>231026.1610082562</v>
      </c>
      <c r="C17" s="13">
        <v>561969</v>
      </c>
      <c r="D17" s="13">
        <v>561969</v>
      </c>
      <c r="E17" s="13">
        <v>561969</v>
      </c>
      <c r="F17" s="13">
        <v>561969</v>
      </c>
      <c r="G17" s="13">
        <v>561969</v>
      </c>
      <c r="H17" s="13">
        <v>561969</v>
      </c>
      <c r="I17" s="13">
        <v>561969</v>
      </c>
      <c r="J17" s="13">
        <v>561969</v>
      </c>
      <c r="L17" s="13">
        <f t="shared" si="16"/>
        <v>561969</v>
      </c>
      <c r="M17" s="13">
        <f t="shared" si="17"/>
        <v>231026.1610082562</v>
      </c>
      <c r="N17" s="13">
        <f t="shared" si="0"/>
        <v>330942.8389917438</v>
      </c>
      <c r="O17" s="13">
        <f t="shared" si="1"/>
        <v>0</v>
      </c>
      <c r="P17" s="13">
        <f t="shared" si="2"/>
        <v>0</v>
      </c>
      <c r="Q17" s="13">
        <f t="shared" si="3"/>
        <v>0</v>
      </c>
      <c r="R17" s="13">
        <f t="shared" si="4"/>
        <v>0</v>
      </c>
      <c r="S17" s="13">
        <f t="shared" si="5"/>
        <v>0</v>
      </c>
      <c r="T17" s="13">
        <f t="shared" si="6"/>
        <v>0</v>
      </c>
      <c r="U17" s="13">
        <f t="shared" si="7"/>
        <v>0</v>
      </c>
      <c r="V17" s="13"/>
      <c r="W17" s="13">
        <f t="shared" si="18"/>
        <v>561969</v>
      </c>
      <c r="Y17" s="13">
        <f t="shared" si="8"/>
        <v>170622.95245751715</v>
      </c>
      <c r="Z17" s="18">
        <f t="shared" si="19"/>
        <v>21</v>
      </c>
      <c r="AA17" s="18" t="str">
        <f t="shared" si="20"/>
        <v>Hartford</v>
      </c>
      <c r="AB17" s="18">
        <f t="shared" si="9"/>
        <v>2</v>
      </c>
      <c r="AC17" s="18">
        <f t="shared" si="10"/>
        <v>15</v>
      </c>
      <c r="AD17" s="18">
        <f t="shared" si="11"/>
        <v>35</v>
      </c>
      <c r="AE17" s="18">
        <f t="shared" si="12"/>
        <v>35</v>
      </c>
      <c r="AF17" s="18">
        <f t="shared" si="13"/>
        <v>35</v>
      </c>
      <c r="AG17" s="18">
        <f t="shared" si="14"/>
        <v>35</v>
      </c>
      <c r="AH17" s="18" t="str">
        <f t="shared" si="15"/>
        <v>Hartford</v>
      </c>
    </row>
    <row r="18" spans="1:34">
      <c r="A18" s="18" t="s">
        <v>80</v>
      </c>
      <c r="B18" s="13">
        <v>207855.66101103494</v>
      </c>
      <c r="C18" s="13">
        <v>437518</v>
      </c>
      <c r="D18" s="13">
        <v>437518</v>
      </c>
      <c r="E18" s="13">
        <v>437518</v>
      </c>
      <c r="F18" s="13">
        <v>437518</v>
      </c>
      <c r="G18" s="13">
        <v>437518</v>
      </c>
      <c r="H18" s="13">
        <v>437518</v>
      </c>
      <c r="I18" s="13">
        <v>437518</v>
      </c>
      <c r="J18" s="13">
        <v>437518</v>
      </c>
      <c r="L18" s="13">
        <f t="shared" si="16"/>
        <v>437518</v>
      </c>
      <c r="M18" s="13">
        <f t="shared" si="17"/>
        <v>207855.66101103494</v>
      </c>
      <c r="N18" s="13">
        <f t="shared" si="0"/>
        <v>229662.33898896506</v>
      </c>
      <c r="O18" s="13">
        <f t="shared" si="1"/>
        <v>0</v>
      </c>
      <c r="P18" s="13">
        <f t="shared" si="2"/>
        <v>0</v>
      </c>
      <c r="Q18" s="13">
        <f t="shared" si="3"/>
        <v>0</v>
      </c>
      <c r="R18" s="13">
        <f t="shared" si="4"/>
        <v>0</v>
      </c>
      <c r="S18" s="13">
        <f t="shared" si="5"/>
        <v>0</v>
      </c>
      <c r="T18" s="13">
        <f t="shared" si="6"/>
        <v>0</v>
      </c>
      <c r="U18" s="13">
        <f t="shared" si="7"/>
        <v>0</v>
      </c>
      <c r="V18" s="13"/>
      <c r="W18" s="13">
        <f t="shared" si="18"/>
        <v>437518</v>
      </c>
      <c r="Y18" s="13">
        <f t="shared" si="8"/>
        <v>139763.59540436891</v>
      </c>
      <c r="Z18" s="18">
        <f t="shared" si="19"/>
        <v>36</v>
      </c>
      <c r="AA18" s="18" t="str">
        <f t="shared" si="20"/>
        <v>Honolulu</v>
      </c>
      <c r="AB18" s="18">
        <f t="shared" si="9"/>
        <v>5</v>
      </c>
      <c r="AC18" s="18">
        <f t="shared" si="10"/>
        <v>32</v>
      </c>
      <c r="AD18" s="18">
        <f t="shared" si="11"/>
        <v>47</v>
      </c>
      <c r="AE18" s="18">
        <f t="shared" si="12"/>
        <v>47</v>
      </c>
      <c r="AF18" s="18">
        <f t="shared" si="13"/>
        <v>47</v>
      </c>
      <c r="AG18" s="18">
        <f t="shared" si="14"/>
        <v>47</v>
      </c>
      <c r="AH18" s="18" t="str">
        <f t="shared" si="15"/>
        <v>Honolulu</v>
      </c>
    </row>
    <row r="19" spans="1:34">
      <c r="A19" s="18" t="s">
        <v>39</v>
      </c>
      <c r="B19" s="13">
        <v>99802.206290804956</v>
      </c>
      <c r="C19" s="13">
        <v>430203.29673756764</v>
      </c>
      <c r="D19" s="13">
        <v>1015660.117955127</v>
      </c>
      <c r="E19" s="13">
        <v>1759796</v>
      </c>
      <c r="F19" s="13">
        <v>1759796</v>
      </c>
      <c r="G19" s="13">
        <v>1759796</v>
      </c>
      <c r="H19" s="13">
        <v>1759796</v>
      </c>
      <c r="I19" s="13">
        <v>1759796</v>
      </c>
      <c r="J19" s="13">
        <v>1759796</v>
      </c>
      <c r="L19" s="13">
        <f t="shared" si="16"/>
        <v>1759796</v>
      </c>
      <c r="M19" s="13">
        <f t="shared" si="17"/>
        <v>99802.206290804956</v>
      </c>
      <c r="N19" s="13">
        <f t="shared" si="0"/>
        <v>330401.09044676268</v>
      </c>
      <c r="O19" s="13">
        <f t="shared" si="1"/>
        <v>585456.82121755939</v>
      </c>
      <c r="P19" s="13">
        <f t="shared" si="2"/>
        <v>744135.88204487297</v>
      </c>
      <c r="Q19" s="13">
        <f t="shared" si="3"/>
        <v>0</v>
      </c>
      <c r="R19" s="13">
        <f t="shared" si="4"/>
        <v>0</v>
      </c>
      <c r="S19" s="13">
        <f t="shared" si="5"/>
        <v>0</v>
      </c>
      <c r="T19" s="13">
        <f t="shared" si="6"/>
        <v>0</v>
      </c>
      <c r="U19" s="13">
        <f t="shared" si="7"/>
        <v>0</v>
      </c>
      <c r="V19" s="13"/>
      <c r="W19" s="13">
        <f t="shared" si="18"/>
        <v>1759796.0000000002</v>
      </c>
      <c r="Y19" s="13">
        <f t="shared" si="8"/>
        <v>194994.91484381628</v>
      </c>
      <c r="Z19" s="18">
        <f t="shared" si="19"/>
        <v>14</v>
      </c>
      <c r="AA19" s="18" t="str">
        <f t="shared" si="20"/>
        <v>Houston</v>
      </c>
      <c r="AB19" s="18">
        <f t="shared" si="9"/>
        <v>37</v>
      </c>
      <c r="AC19" s="18">
        <f t="shared" si="10"/>
        <v>34</v>
      </c>
      <c r="AD19" s="18">
        <f t="shared" si="11"/>
        <v>14</v>
      </c>
      <c r="AE19" s="18">
        <f t="shared" si="12"/>
        <v>10</v>
      </c>
      <c r="AF19" s="18">
        <f t="shared" si="13"/>
        <v>10</v>
      </c>
      <c r="AG19" s="18">
        <f t="shared" si="14"/>
        <v>10</v>
      </c>
      <c r="AH19" s="18" t="str">
        <f t="shared" si="15"/>
        <v>Houston</v>
      </c>
    </row>
    <row r="20" spans="1:34">
      <c r="A20" s="18" t="s">
        <v>40</v>
      </c>
      <c r="B20" s="13">
        <v>114055.55181646344</v>
      </c>
      <c r="C20" s="13">
        <v>503276.22652186808</v>
      </c>
      <c r="D20" s="13">
        <v>624971</v>
      </c>
      <c r="E20" s="13">
        <v>624971</v>
      </c>
      <c r="F20" s="13">
        <v>624971</v>
      </c>
      <c r="G20" s="13">
        <v>624971</v>
      </c>
      <c r="H20" s="13">
        <v>624971</v>
      </c>
      <c r="I20" s="13">
        <v>624971</v>
      </c>
      <c r="J20" s="13">
        <v>624971</v>
      </c>
      <c r="L20" s="13">
        <f t="shared" si="16"/>
        <v>624971</v>
      </c>
      <c r="M20" s="13">
        <f t="shared" si="17"/>
        <v>114055.55181646344</v>
      </c>
      <c r="N20" s="13">
        <f t="shared" si="0"/>
        <v>389220.67470540467</v>
      </c>
      <c r="O20" s="13">
        <f t="shared" si="1"/>
        <v>121694.77347813192</v>
      </c>
      <c r="P20" s="13">
        <f t="shared" si="2"/>
        <v>0</v>
      </c>
      <c r="Q20" s="13">
        <f t="shared" si="3"/>
        <v>0</v>
      </c>
      <c r="R20" s="13">
        <f t="shared" si="4"/>
        <v>0</v>
      </c>
      <c r="S20" s="13">
        <f t="shared" si="5"/>
        <v>0</v>
      </c>
      <c r="T20" s="13">
        <f t="shared" si="6"/>
        <v>0</v>
      </c>
      <c r="U20" s="13">
        <f t="shared" si="7"/>
        <v>0</v>
      </c>
      <c r="V20" s="13"/>
      <c r="W20" s="13">
        <f t="shared" si="18"/>
        <v>624971</v>
      </c>
      <c r="Y20" s="13">
        <f t="shared" si="8"/>
        <v>140870.66268001604</v>
      </c>
      <c r="Z20" s="18">
        <f t="shared" si="19"/>
        <v>35</v>
      </c>
      <c r="AA20" s="18" t="str">
        <f t="shared" si="20"/>
        <v>Indianapolis</v>
      </c>
      <c r="AB20" s="18">
        <f t="shared" si="9"/>
        <v>30</v>
      </c>
      <c r="AC20" s="18">
        <f t="shared" si="10"/>
        <v>22</v>
      </c>
      <c r="AD20" s="18">
        <f t="shared" si="11"/>
        <v>32</v>
      </c>
      <c r="AE20" s="18">
        <f t="shared" si="12"/>
        <v>32</v>
      </c>
      <c r="AF20" s="18">
        <f t="shared" si="13"/>
        <v>32</v>
      </c>
      <c r="AG20" s="18">
        <f t="shared" si="14"/>
        <v>32</v>
      </c>
      <c r="AH20" s="18" t="str">
        <f t="shared" si="15"/>
        <v>Indianapolis</v>
      </c>
    </row>
    <row r="21" spans="1:34">
      <c r="A21" s="18" t="s">
        <v>84</v>
      </c>
      <c r="B21" s="13">
        <v>124250.1927685893</v>
      </c>
      <c r="C21" s="13">
        <v>521148.28145969735</v>
      </c>
      <c r="D21" s="13">
        <v>766953</v>
      </c>
      <c r="E21" s="13">
        <v>766953</v>
      </c>
      <c r="F21" s="13">
        <v>766953</v>
      </c>
      <c r="G21" s="13">
        <v>766953</v>
      </c>
      <c r="H21" s="13">
        <v>766953</v>
      </c>
      <c r="I21" s="13">
        <v>766953</v>
      </c>
      <c r="J21" s="13">
        <v>766953</v>
      </c>
      <c r="L21" s="13">
        <f t="shared" si="16"/>
        <v>766953</v>
      </c>
      <c r="M21" s="13">
        <f t="shared" si="17"/>
        <v>124250.1927685893</v>
      </c>
      <c r="N21" s="13">
        <f t="shared" si="0"/>
        <v>396898.08869110805</v>
      </c>
      <c r="O21" s="13">
        <f t="shared" si="1"/>
        <v>245804.71854030265</v>
      </c>
      <c r="P21" s="13">
        <f t="shared" si="2"/>
        <v>0</v>
      </c>
      <c r="Q21" s="13">
        <f t="shared" si="3"/>
        <v>0</v>
      </c>
      <c r="R21" s="13">
        <f t="shared" si="4"/>
        <v>0</v>
      </c>
      <c r="S21" s="13">
        <f t="shared" si="5"/>
        <v>0</v>
      </c>
      <c r="T21" s="13">
        <f t="shared" si="6"/>
        <v>0</v>
      </c>
      <c r="U21" s="13">
        <f t="shared" si="7"/>
        <v>0</v>
      </c>
      <c r="V21" s="13"/>
      <c r="W21" s="13">
        <f t="shared" si="18"/>
        <v>766953</v>
      </c>
      <c r="Y21" s="13">
        <f t="shared" si="8"/>
        <v>158260.45348840032</v>
      </c>
      <c r="Z21" s="18">
        <f t="shared" si="19"/>
        <v>27</v>
      </c>
      <c r="AA21" s="18" t="str">
        <f t="shared" si="20"/>
        <v>Inland Empire</v>
      </c>
      <c r="AB21" s="18">
        <f t="shared" si="9"/>
        <v>26</v>
      </c>
      <c r="AC21" s="18">
        <f t="shared" si="10"/>
        <v>20</v>
      </c>
      <c r="AD21" s="18">
        <f t="shared" si="11"/>
        <v>26</v>
      </c>
      <c r="AE21" s="18">
        <f t="shared" si="12"/>
        <v>27</v>
      </c>
      <c r="AF21" s="18">
        <f t="shared" si="13"/>
        <v>27</v>
      </c>
      <c r="AG21" s="18">
        <f t="shared" si="14"/>
        <v>27</v>
      </c>
      <c r="AH21" s="18" t="str">
        <f t="shared" si="15"/>
        <v>Inland Empire</v>
      </c>
    </row>
    <row r="22" spans="1:34">
      <c r="A22" s="18" t="s">
        <v>41</v>
      </c>
      <c r="B22" s="13">
        <v>47609.77466319369</v>
      </c>
      <c r="C22" s="13">
        <v>196140.74676835604</v>
      </c>
      <c r="D22" s="13">
        <v>443882</v>
      </c>
      <c r="E22" s="13">
        <v>443882</v>
      </c>
      <c r="F22" s="13">
        <v>443882</v>
      </c>
      <c r="G22" s="13">
        <v>443882</v>
      </c>
      <c r="H22" s="13">
        <v>443882</v>
      </c>
      <c r="I22" s="13">
        <v>443882</v>
      </c>
      <c r="J22" s="13">
        <v>443882</v>
      </c>
      <c r="L22" s="13">
        <f t="shared" si="16"/>
        <v>443882</v>
      </c>
      <c r="M22" s="13">
        <f t="shared" si="17"/>
        <v>47609.77466319369</v>
      </c>
      <c r="N22" s="13">
        <f t="shared" si="0"/>
        <v>148530.97210516233</v>
      </c>
      <c r="O22" s="13">
        <f t="shared" si="1"/>
        <v>247741.25323164396</v>
      </c>
      <c r="P22" s="13">
        <f t="shared" si="2"/>
        <v>0</v>
      </c>
      <c r="Q22" s="13">
        <f t="shared" si="3"/>
        <v>0</v>
      </c>
      <c r="R22" s="13">
        <f t="shared" si="4"/>
        <v>0</v>
      </c>
      <c r="S22" s="13">
        <f t="shared" si="5"/>
        <v>0</v>
      </c>
      <c r="T22" s="13">
        <f t="shared" si="6"/>
        <v>0</v>
      </c>
      <c r="U22" s="13">
        <f t="shared" si="7"/>
        <v>0</v>
      </c>
      <c r="V22" s="13"/>
      <c r="W22" s="13">
        <f t="shared" si="18"/>
        <v>443881.99999999994</v>
      </c>
      <c r="Y22" s="13">
        <f t="shared" si="8"/>
        <v>73854.91625218952</v>
      </c>
      <c r="Z22" s="18">
        <f t="shared" si="19"/>
        <v>51</v>
      </c>
      <c r="AA22" s="18" t="str">
        <f t="shared" si="20"/>
        <v>Jacksonville</v>
      </c>
      <c r="AB22" s="18">
        <f t="shared" si="9"/>
        <v>51</v>
      </c>
      <c r="AC22" s="18">
        <f t="shared" si="10"/>
        <v>51</v>
      </c>
      <c r="AD22" s="18">
        <f t="shared" si="11"/>
        <v>46</v>
      </c>
      <c r="AE22" s="18">
        <f t="shared" si="12"/>
        <v>46</v>
      </c>
      <c r="AF22" s="18">
        <f t="shared" si="13"/>
        <v>46</v>
      </c>
      <c r="AG22" s="18">
        <f t="shared" si="14"/>
        <v>46</v>
      </c>
      <c r="AH22" s="18" t="str">
        <f t="shared" si="15"/>
        <v>Jacksonville</v>
      </c>
    </row>
    <row r="23" spans="1:34">
      <c r="A23" s="18" t="s">
        <v>74</v>
      </c>
      <c r="B23" s="13">
        <v>74840.490817125887</v>
      </c>
      <c r="C23" s="13">
        <v>327175.62188389571</v>
      </c>
      <c r="D23" s="13">
        <v>753234.48846890999</v>
      </c>
      <c r="E23" s="13">
        <v>771309</v>
      </c>
      <c r="F23" s="13">
        <v>771309</v>
      </c>
      <c r="G23" s="13">
        <v>771309</v>
      </c>
      <c r="H23" s="13">
        <v>771309</v>
      </c>
      <c r="I23" s="13">
        <v>771309</v>
      </c>
      <c r="J23" s="13">
        <v>771309</v>
      </c>
      <c r="L23" s="13">
        <f t="shared" si="16"/>
        <v>771309</v>
      </c>
      <c r="M23" s="13">
        <f t="shared" si="17"/>
        <v>74840.490817125887</v>
      </c>
      <c r="N23" s="13">
        <f t="shared" si="0"/>
        <v>252335.13106676983</v>
      </c>
      <c r="O23" s="13">
        <f t="shared" si="1"/>
        <v>426058.86658501427</v>
      </c>
      <c r="P23" s="13">
        <f t="shared" si="2"/>
        <v>18074.511531090015</v>
      </c>
      <c r="Q23" s="13">
        <f t="shared" si="3"/>
        <v>0</v>
      </c>
      <c r="R23" s="13">
        <f t="shared" si="4"/>
        <v>0</v>
      </c>
      <c r="S23" s="13">
        <f t="shared" si="5"/>
        <v>0</v>
      </c>
      <c r="T23" s="13">
        <f t="shared" si="6"/>
        <v>0</v>
      </c>
      <c r="U23" s="13">
        <f t="shared" si="7"/>
        <v>0</v>
      </c>
      <c r="V23" s="13"/>
      <c r="W23" s="13">
        <f t="shared" si="18"/>
        <v>771309</v>
      </c>
      <c r="Y23" s="13">
        <f t="shared" si="8"/>
        <v>123961.5298262284</v>
      </c>
      <c r="Z23" s="18">
        <f t="shared" si="19"/>
        <v>40</v>
      </c>
      <c r="AA23" s="18" t="str">
        <f t="shared" si="20"/>
        <v>Kansas City</v>
      </c>
      <c r="AB23" s="18">
        <f t="shared" si="9"/>
        <v>48</v>
      </c>
      <c r="AC23" s="18">
        <f t="shared" si="10"/>
        <v>48</v>
      </c>
      <c r="AD23" s="18">
        <f t="shared" si="11"/>
        <v>27</v>
      </c>
      <c r="AE23" s="18">
        <f t="shared" si="12"/>
        <v>26</v>
      </c>
      <c r="AF23" s="18">
        <f t="shared" si="13"/>
        <v>26</v>
      </c>
      <c r="AG23" s="18">
        <f t="shared" si="14"/>
        <v>26</v>
      </c>
      <c r="AH23" s="18" t="str">
        <f t="shared" si="15"/>
        <v>Kansas City</v>
      </c>
    </row>
    <row r="24" spans="1:34">
      <c r="A24" s="18" t="s">
        <v>62</v>
      </c>
      <c r="B24" s="13">
        <v>106673.99967492989</v>
      </c>
      <c r="C24" s="13">
        <v>371128</v>
      </c>
      <c r="D24" s="13">
        <v>371128</v>
      </c>
      <c r="E24" s="13">
        <v>371128</v>
      </c>
      <c r="F24" s="13">
        <v>371128</v>
      </c>
      <c r="G24" s="13">
        <v>371128</v>
      </c>
      <c r="H24" s="13">
        <v>371128</v>
      </c>
      <c r="I24" s="13">
        <v>371128</v>
      </c>
      <c r="J24" s="13">
        <v>371128</v>
      </c>
      <c r="L24" s="13">
        <f t="shared" si="16"/>
        <v>371128</v>
      </c>
      <c r="M24" s="13">
        <f t="shared" si="17"/>
        <v>106673.99967492989</v>
      </c>
      <c r="N24" s="13">
        <f t="shared" si="0"/>
        <v>264454.00032507011</v>
      </c>
      <c r="O24" s="13">
        <f t="shared" si="1"/>
        <v>0</v>
      </c>
      <c r="P24" s="13">
        <f t="shared" si="2"/>
        <v>0</v>
      </c>
      <c r="Q24" s="13">
        <f t="shared" si="3"/>
        <v>0</v>
      </c>
      <c r="R24" s="13">
        <f t="shared" si="4"/>
        <v>0</v>
      </c>
      <c r="S24" s="13">
        <f t="shared" si="5"/>
        <v>0</v>
      </c>
      <c r="T24" s="13">
        <f t="shared" si="6"/>
        <v>0</v>
      </c>
      <c r="U24" s="13">
        <f t="shared" si="7"/>
        <v>0</v>
      </c>
      <c r="V24" s="13"/>
      <c r="W24" s="13">
        <f t="shared" si="18"/>
        <v>371128</v>
      </c>
      <c r="Y24" s="13">
        <f t="shared" si="8"/>
        <v>101324.05960756619</v>
      </c>
      <c r="Z24" s="18">
        <f t="shared" si="19"/>
        <v>48</v>
      </c>
      <c r="AA24" s="18" t="str">
        <f t="shared" si="20"/>
        <v>Las Vegas</v>
      </c>
      <c r="AB24" s="18">
        <f t="shared" si="9"/>
        <v>34</v>
      </c>
      <c r="AC24" s="18">
        <f t="shared" si="10"/>
        <v>43</v>
      </c>
      <c r="AD24" s="18">
        <f t="shared" si="11"/>
        <v>50</v>
      </c>
      <c r="AE24" s="18">
        <f t="shared" si="12"/>
        <v>50</v>
      </c>
      <c r="AF24" s="18">
        <f t="shared" si="13"/>
        <v>50</v>
      </c>
      <c r="AG24" s="18">
        <f t="shared" si="14"/>
        <v>50</v>
      </c>
      <c r="AH24" s="18" t="str">
        <f t="shared" si="15"/>
        <v>Las Vegas</v>
      </c>
    </row>
    <row r="25" spans="1:34">
      <c r="A25" s="18" t="s">
        <v>63</v>
      </c>
      <c r="B25" s="13">
        <v>142592.21638202376</v>
      </c>
      <c r="C25" s="13">
        <v>584007.57575868943</v>
      </c>
      <c r="D25" s="13">
        <v>1364670.8659690279</v>
      </c>
      <c r="E25" s="13">
        <v>2481528.0635975767</v>
      </c>
      <c r="F25" s="13">
        <v>3923074.1683693966</v>
      </c>
      <c r="G25" s="13">
        <v>5634646.9301491892</v>
      </c>
      <c r="H25" s="13">
        <v>6042090</v>
      </c>
      <c r="I25" s="13">
        <v>6042090</v>
      </c>
      <c r="J25" s="13">
        <v>6042090</v>
      </c>
      <c r="L25" s="13">
        <f t="shared" si="16"/>
        <v>6042090</v>
      </c>
      <c r="M25" s="13">
        <f t="shared" si="17"/>
        <v>142592.21638202376</v>
      </c>
      <c r="N25" s="13">
        <f t="shared" si="0"/>
        <v>441415.35937666567</v>
      </c>
      <c r="O25" s="13">
        <f t="shared" si="1"/>
        <v>780663.29021033843</v>
      </c>
      <c r="P25" s="13">
        <f t="shared" si="2"/>
        <v>1116857.1976285488</v>
      </c>
      <c r="Q25" s="13">
        <f t="shared" si="3"/>
        <v>1441546.1047718199</v>
      </c>
      <c r="R25" s="13">
        <f t="shared" si="4"/>
        <v>1711572.7617797926</v>
      </c>
      <c r="S25" s="13">
        <f t="shared" si="5"/>
        <v>407443.0698508108</v>
      </c>
      <c r="T25" s="13">
        <f t="shared" si="6"/>
        <v>0</v>
      </c>
      <c r="U25" s="13">
        <f t="shared" si="7"/>
        <v>0</v>
      </c>
      <c r="V25" s="13"/>
      <c r="W25" s="13">
        <f t="shared" si="18"/>
        <v>6042089.9999999991</v>
      </c>
      <c r="Y25" s="13">
        <f t="shared" si="8"/>
        <v>311532.09145255969</v>
      </c>
      <c r="Z25" s="18">
        <f t="shared" si="19"/>
        <v>5</v>
      </c>
      <c r="AA25" s="18" t="str">
        <f t="shared" si="20"/>
        <v>Los Angeles</v>
      </c>
      <c r="AB25" s="18">
        <f t="shared" si="9"/>
        <v>19</v>
      </c>
      <c r="AC25" s="18">
        <f t="shared" si="10"/>
        <v>12</v>
      </c>
      <c r="AD25" s="18">
        <f t="shared" si="11"/>
        <v>6</v>
      </c>
      <c r="AE25" s="18">
        <f t="shared" si="12"/>
        <v>4</v>
      </c>
      <c r="AF25" s="18">
        <f t="shared" si="13"/>
        <v>2</v>
      </c>
      <c r="AG25" s="18">
        <f t="shared" si="14"/>
        <v>2</v>
      </c>
      <c r="AH25" s="18" t="str">
        <f t="shared" si="15"/>
        <v>Los Angeles</v>
      </c>
    </row>
    <row r="26" spans="1:34">
      <c r="A26" s="18" t="s">
        <v>42</v>
      </c>
      <c r="B26" s="13">
        <v>99492.539570919776</v>
      </c>
      <c r="C26" s="13">
        <v>438620.30367429147</v>
      </c>
      <c r="D26" s="13">
        <v>446876</v>
      </c>
      <c r="E26" s="13">
        <v>446876</v>
      </c>
      <c r="F26" s="13">
        <v>446876</v>
      </c>
      <c r="G26" s="13">
        <v>446876</v>
      </c>
      <c r="H26" s="13">
        <v>446876</v>
      </c>
      <c r="I26" s="13">
        <v>446876</v>
      </c>
      <c r="J26" s="13">
        <v>446876</v>
      </c>
      <c r="L26" s="13">
        <f t="shared" si="16"/>
        <v>446876</v>
      </c>
      <c r="M26" s="13">
        <f t="shared" si="17"/>
        <v>99492.539570919776</v>
      </c>
      <c r="N26" s="13">
        <f t="shared" si="0"/>
        <v>339127.76410337171</v>
      </c>
      <c r="O26" s="13">
        <f t="shared" si="1"/>
        <v>8255.6963257085299</v>
      </c>
      <c r="P26" s="13">
        <f t="shared" si="2"/>
        <v>0</v>
      </c>
      <c r="Q26" s="13">
        <f t="shared" si="3"/>
        <v>0</v>
      </c>
      <c r="R26" s="13">
        <f t="shared" si="4"/>
        <v>0</v>
      </c>
      <c r="S26" s="13">
        <f t="shared" si="5"/>
        <v>0</v>
      </c>
      <c r="T26" s="13">
        <f t="shared" si="6"/>
        <v>0</v>
      </c>
      <c r="U26" s="13">
        <f t="shared" si="7"/>
        <v>0</v>
      </c>
      <c r="V26" s="13"/>
      <c r="W26" s="13">
        <f t="shared" si="18"/>
        <v>446876</v>
      </c>
      <c r="Y26" s="13">
        <f t="shared" si="8"/>
        <v>113922.53434422391</v>
      </c>
      <c r="Z26" s="18">
        <f t="shared" si="19"/>
        <v>43</v>
      </c>
      <c r="AA26" s="18" t="str">
        <f t="shared" si="20"/>
        <v>Louisville</v>
      </c>
      <c r="AB26" s="18">
        <f t="shared" si="9"/>
        <v>38</v>
      </c>
      <c r="AC26" s="18">
        <f t="shared" si="10"/>
        <v>31</v>
      </c>
      <c r="AD26" s="18">
        <f t="shared" si="11"/>
        <v>45</v>
      </c>
      <c r="AE26" s="18">
        <f t="shared" si="12"/>
        <v>45</v>
      </c>
      <c r="AF26" s="18">
        <f t="shared" si="13"/>
        <v>45</v>
      </c>
      <c r="AG26" s="18">
        <f t="shared" si="14"/>
        <v>45</v>
      </c>
      <c r="AH26" s="18" t="str">
        <f t="shared" si="15"/>
        <v>Louisville</v>
      </c>
    </row>
    <row r="27" spans="1:34">
      <c r="A27" s="18" t="s">
        <v>43</v>
      </c>
      <c r="B27" s="13">
        <v>101024.2158038855</v>
      </c>
      <c r="C27" s="13">
        <v>431032.16790527344</v>
      </c>
      <c r="D27" s="13">
        <v>448237</v>
      </c>
      <c r="E27" s="13">
        <v>448237</v>
      </c>
      <c r="F27" s="13">
        <v>448237</v>
      </c>
      <c r="G27" s="13">
        <v>448237</v>
      </c>
      <c r="H27" s="13">
        <v>448237</v>
      </c>
      <c r="I27" s="13">
        <v>448237</v>
      </c>
      <c r="J27" s="13">
        <v>448237</v>
      </c>
      <c r="L27" s="13">
        <f t="shared" si="16"/>
        <v>448237</v>
      </c>
      <c r="M27" s="13">
        <f t="shared" si="17"/>
        <v>101024.2158038855</v>
      </c>
      <c r="N27" s="13">
        <f t="shared" si="0"/>
        <v>330007.95210138796</v>
      </c>
      <c r="O27" s="13">
        <f t="shared" si="1"/>
        <v>17204.83209472656</v>
      </c>
      <c r="P27" s="13">
        <f t="shared" si="2"/>
        <v>0</v>
      </c>
      <c r="Q27" s="13">
        <f t="shared" si="3"/>
        <v>0</v>
      </c>
      <c r="R27" s="13">
        <f t="shared" si="4"/>
        <v>0</v>
      </c>
      <c r="S27" s="13">
        <f t="shared" si="5"/>
        <v>0</v>
      </c>
      <c r="T27" s="13">
        <f t="shared" si="6"/>
        <v>0</v>
      </c>
      <c r="U27" s="13">
        <f t="shared" si="7"/>
        <v>0</v>
      </c>
      <c r="V27" s="13"/>
      <c r="W27" s="13">
        <f t="shared" si="18"/>
        <v>448237</v>
      </c>
      <c r="Y27" s="13">
        <f t="shared" si="8"/>
        <v>113581.34983205335</v>
      </c>
      <c r="Z27" s="18">
        <f t="shared" si="19"/>
        <v>44</v>
      </c>
      <c r="AA27" s="18" t="str">
        <f t="shared" si="20"/>
        <v>Memphis</v>
      </c>
      <c r="AB27" s="18">
        <f t="shared" si="9"/>
        <v>36</v>
      </c>
      <c r="AC27" s="18">
        <f t="shared" si="10"/>
        <v>33</v>
      </c>
      <c r="AD27" s="18">
        <f t="shared" si="11"/>
        <v>44</v>
      </c>
      <c r="AE27" s="18">
        <f t="shared" si="12"/>
        <v>44</v>
      </c>
      <c r="AF27" s="18">
        <f t="shared" si="13"/>
        <v>44</v>
      </c>
      <c r="AG27" s="18">
        <f t="shared" si="14"/>
        <v>44</v>
      </c>
      <c r="AH27" s="18" t="str">
        <f t="shared" si="15"/>
        <v>Memphis</v>
      </c>
    </row>
    <row r="28" spans="1:34">
      <c r="A28" s="18" t="s">
        <v>44</v>
      </c>
      <c r="B28" s="13">
        <v>132315.0481906356</v>
      </c>
      <c r="C28" s="13">
        <v>569615.87246055983</v>
      </c>
      <c r="D28" s="13">
        <v>772752</v>
      </c>
      <c r="E28" s="13">
        <v>772752</v>
      </c>
      <c r="F28" s="13">
        <v>772752</v>
      </c>
      <c r="G28" s="13">
        <v>772752</v>
      </c>
      <c r="H28" s="13">
        <v>772752</v>
      </c>
      <c r="I28" s="13">
        <v>772752</v>
      </c>
      <c r="J28" s="13">
        <v>772752</v>
      </c>
      <c r="L28" s="13">
        <f t="shared" si="16"/>
        <v>772752</v>
      </c>
      <c r="M28" s="13">
        <f t="shared" si="17"/>
        <v>132315.0481906356</v>
      </c>
      <c r="N28" s="13">
        <f t="shared" si="0"/>
        <v>437300.8242699242</v>
      </c>
      <c r="O28" s="13">
        <f t="shared" si="1"/>
        <v>203136.12753944017</v>
      </c>
      <c r="P28" s="13">
        <f t="shared" si="2"/>
        <v>0</v>
      </c>
      <c r="Q28" s="13">
        <f t="shared" si="3"/>
        <v>0</v>
      </c>
      <c r="R28" s="13">
        <f t="shared" si="4"/>
        <v>0</v>
      </c>
      <c r="S28" s="13">
        <f t="shared" si="5"/>
        <v>0</v>
      </c>
      <c r="T28" s="13">
        <f t="shared" si="6"/>
        <v>0</v>
      </c>
      <c r="U28" s="13">
        <f t="shared" si="7"/>
        <v>0</v>
      </c>
      <c r="V28" s="13"/>
      <c r="W28" s="13">
        <f t="shared" si="18"/>
        <v>772752</v>
      </c>
      <c r="Y28" s="13">
        <f t="shared" si="8"/>
        <v>166170.59100642399</v>
      </c>
      <c r="Z28" s="18">
        <f t="shared" si="19"/>
        <v>24</v>
      </c>
      <c r="AA28" s="18" t="str">
        <f t="shared" si="20"/>
        <v>Milwaukee</v>
      </c>
      <c r="AB28" s="18">
        <f t="shared" si="9"/>
        <v>22</v>
      </c>
      <c r="AC28" s="18">
        <f t="shared" si="10"/>
        <v>14</v>
      </c>
      <c r="AD28" s="18">
        <f t="shared" si="11"/>
        <v>25</v>
      </c>
      <c r="AE28" s="18">
        <f t="shared" si="12"/>
        <v>25</v>
      </c>
      <c r="AF28" s="18">
        <f t="shared" si="13"/>
        <v>25</v>
      </c>
      <c r="AG28" s="18">
        <f t="shared" si="14"/>
        <v>25</v>
      </c>
      <c r="AH28" s="18" t="str">
        <f t="shared" si="15"/>
        <v>Milwaukee</v>
      </c>
    </row>
    <row r="29" spans="1:34">
      <c r="A29" s="18" t="s">
        <v>45</v>
      </c>
      <c r="B29" s="13">
        <v>92817.54459213189</v>
      </c>
      <c r="C29" s="13">
        <v>399578.48289383267</v>
      </c>
      <c r="D29" s="13">
        <v>943146.64661491499</v>
      </c>
      <c r="E29" s="13">
        <v>1307624</v>
      </c>
      <c r="F29" s="13">
        <v>1307624</v>
      </c>
      <c r="G29" s="13">
        <v>1307624</v>
      </c>
      <c r="H29" s="13">
        <v>1307624</v>
      </c>
      <c r="I29" s="13">
        <v>1307624</v>
      </c>
      <c r="J29" s="13">
        <v>1307624</v>
      </c>
      <c r="L29" s="13">
        <f t="shared" si="16"/>
        <v>1307624</v>
      </c>
      <c r="M29" s="13">
        <f t="shared" si="17"/>
        <v>92817.54459213189</v>
      </c>
      <c r="N29" s="13">
        <f t="shared" si="0"/>
        <v>306760.93830170075</v>
      </c>
      <c r="O29" s="13">
        <f t="shared" si="1"/>
        <v>543568.16372108227</v>
      </c>
      <c r="P29" s="13">
        <f t="shared" si="2"/>
        <v>364477.35338508501</v>
      </c>
      <c r="Q29" s="13">
        <f t="shared" si="3"/>
        <v>0</v>
      </c>
      <c r="R29" s="13">
        <f t="shared" si="4"/>
        <v>0</v>
      </c>
      <c r="S29" s="13">
        <f t="shared" si="5"/>
        <v>0</v>
      </c>
      <c r="T29" s="13">
        <f t="shared" si="6"/>
        <v>0</v>
      </c>
      <c r="U29" s="13">
        <f t="shared" si="7"/>
        <v>0</v>
      </c>
      <c r="V29" s="13"/>
      <c r="W29" s="13">
        <f t="shared" si="18"/>
        <v>1307624</v>
      </c>
      <c r="Y29" s="13">
        <f t="shared" si="8"/>
        <v>167807.8679736121</v>
      </c>
      <c r="Z29" s="18">
        <f t="shared" si="19"/>
        <v>23</v>
      </c>
      <c r="AA29" s="18" t="str">
        <f t="shared" si="20"/>
        <v>Minneapolis-St.Paul</v>
      </c>
      <c r="AB29" s="18">
        <f t="shared" si="9"/>
        <v>42</v>
      </c>
      <c r="AC29" s="18">
        <f t="shared" si="10"/>
        <v>41</v>
      </c>
      <c r="AD29" s="18">
        <f t="shared" si="11"/>
        <v>20</v>
      </c>
      <c r="AE29" s="18">
        <f t="shared" si="12"/>
        <v>14</v>
      </c>
      <c r="AF29" s="18">
        <f t="shared" si="13"/>
        <v>14</v>
      </c>
      <c r="AG29" s="18">
        <f t="shared" si="14"/>
        <v>14</v>
      </c>
      <c r="AH29" s="18" t="str">
        <f t="shared" si="15"/>
        <v>Minneapolis-St.Paul</v>
      </c>
    </row>
    <row r="30" spans="1:34">
      <c r="A30" s="18" t="s">
        <v>46</v>
      </c>
      <c r="B30" s="13">
        <v>71978.010992047944</v>
      </c>
      <c r="C30" s="13">
        <v>305437.55702486966</v>
      </c>
      <c r="D30" s="13">
        <v>495717</v>
      </c>
      <c r="E30" s="13">
        <v>495717</v>
      </c>
      <c r="F30" s="13">
        <v>495717</v>
      </c>
      <c r="G30" s="13">
        <v>495717</v>
      </c>
      <c r="H30" s="13">
        <v>495717</v>
      </c>
      <c r="I30" s="13">
        <v>495717</v>
      </c>
      <c r="J30" s="13">
        <v>495717</v>
      </c>
      <c r="L30" s="13">
        <f t="shared" si="16"/>
        <v>495717</v>
      </c>
      <c r="M30" s="13">
        <f t="shared" si="17"/>
        <v>71978.010992047944</v>
      </c>
      <c r="N30" s="13">
        <f t="shared" si="0"/>
        <v>233459.5460328217</v>
      </c>
      <c r="O30" s="13">
        <f t="shared" si="1"/>
        <v>190279.44297513034</v>
      </c>
      <c r="P30" s="13">
        <f t="shared" si="2"/>
        <v>0</v>
      </c>
      <c r="Q30" s="13">
        <f t="shared" si="3"/>
        <v>0</v>
      </c>
      <c r="R30" s="13">
        <f t="shared" si="4"/>
        <v>0</v>
      </c>
      <c r="S30" s="13">
        <f t="shared" si="5"/>
        <v>0</v>
      </c>
      <c r="T30" s="13">
        <f t="shared" si="6"/>
        <v>0</v>
      </c>
      <c r="U30" s="13">
        <f t="shared" si="7"/>
        <v>0</v>
      </c>
      <c r="V30" s="13"/>
      <c r="W30" s="13">
        <f t="shared" si="18"/>
        <v>495717</v>
      </c>
      <c r="Y30" s="13">
        <f t="shared" si="8"/>
        <v>96738.236174667851</v>
      </c>
      <c r="Z30" s="18">
        <f t="shared" si="19"/>
        <v>49</v>
      </c>
      <c r="AA30" s="18" t="str">
        <f t="shared" si="20"/>
        <v>Nashville</v>
      </c>
      <c r="AB30" s="18">
        <f t="shared" si="9"/>
        <v>49</v>
      </c>
      <c r="AC30" s="18">
        <f t="shared" si="10"/>
        <v>49</v>
      </c>
      <c r="AD30" s="18">
        <f t="shared" si="11"/>
        <v>40</v>
      </c>
      <c r="AE30" s="18">
        <f t="shared" si="12"/>
        <v>40</v>
      </c>
      <c r="AF30" s="18">
        <f t="shared" si="13"/>
        <v>40</v>
      </c>
      <c r="AG30" s="18">
        <f t="shared" si="14"/>
        <v>40</v>
      </c>
      <c r="AH30" s="18" t="str">
        <f t="shared" si="15"/>
        <v>Nashville</v>
      </c>
    </row>
    <row r="31" spans="1:34">
      <c r="A31" s="18" t="s">
        <v>47</v>
      </c>
      <c r="B31" s="13">
        <v>130986.8205620407</v>
      </c>
      <c r="C31" s="13">
        <v>514726</v>
      </c>
      <c r="D31" s="13">
        <v>514726</v>
      </c>
      <c r="E31" s="13">
        <v>514726</v>
      </c>
      <c r="F31" s="13">
        <v>514726</v>
      </c>
      <c r="G31" s="13">
        <v>514726</v>
      </c>
      <c r="H31" s="13">
        <v>514726</v>
      </c>
      <c r="I31" s="13">
        <v>514726</v>
      </c>
      <c r="J31" s="13">
        <v>514726</v>
      </c>
      <c r="L31" s="13">
        <f t="shared" si="16"/>
        <v>514726</v>
      </c>
      <c r="M31" s="13">
        <f t="shared" si="17"/>
        <v>130986.8205620407</v>
      </c>
      <c r="N31" s="13">
        <f t="shared" si="0"/>
        <v>383739.17943795933</v>
      </c>
      <c r="O31" s="13">
        <f t="shared" si="1"/>
        <v>0</v>
      </c>
      <c r="P31" s="13">
        <f t="shared" si="2"/>
        <v>0</v>
      </c>
      <c r="Q31" s="13">
        <f t="shared" si="3"/>
        <v>0</v>
      </c>
      <c r="R31" s="13">
        <f t="shared" si="4"/>
        <v>0</v>
      </c>
      <c r="S31" s="13">
        <f t="shared" si="5"/>
        <v>0</v>
      </c>
      <c r="T31" s="13">
        <f t="shared" si="6"/>
        <v>0</v>
      </c>
      <c r="U31" s="13">
        <f t="shared" si="7"/>
        <v>0</v>
      </c>
      <c r="V31" s="13"/>
      <c r="W31" s="13">
        <f t="shared" si="18"/>
        <v>514726</v>
      </c>
      <c r="Y31" s="13">
        <f t="shared" si="8"/>
        <v>136331.77654280036</v>
      </c>
      <c r="Z31" s="18">
        <f t="shared" si="19"/>
        <v>37</v>
      </c>
      <c r="AA31" s="18" t="str">
        <f t="shared" si="20"/>
        <v>New Orleans</v>
      </c>
      <c r="AB31" s="18">
        <f t="shared" si="9"/>
        <v>23</v>
      </c>
      <c r="AC31" s="18">
        <f t="shared" si="10"/>
        <v>21</v>
      </c>
      <c r="AD31" s="18">
        <f t="shared" si="11"/>
        <v>39</v>
      </c>
      <c r="AE31" s="18">
        <f t="shared" si="12"/>
        <v>39</v>
      </c>
      <c r="AF31" s="18">
        <f t="shared" si="13"/>
        <v>39</v>
      </c>
      <c r="AG31" s="18">
        <f t="shared" si="14"/>
        <v>39</v>
      </c>
      <c r="AH31" s="18" t="str">
        <f t="shared" si="15"/>
        <v>New Orleans</v>
      </c>
    </row>
    <row r="32" spans="1:34">
      <c r="A32" s="18" t="s">
        <v>64</v>
      </c>
      <c r="B32" s="13">
        <v>194336.2212446231</v>
      </c>
      <c r="C32" s="13">
        <v>831896.52310865908</v>
      </c>
      <c r="D32" s="13">
        <v>1934342.6809945675</v>
      </c>
      <c r="E32" s="13">
        <v>3495320.3365995153</v>
      </c>
      <c r="F32" s="13">
        <v>5567242.7241644524</v>
      </c>
      <c r="G32" s="13">
        <v>8117617.0973970825</v>
      </c>
      <c r="H32" s="13">
        <v>8550473</v>
      </c>
      <c r="I32" s="13">
        <v>8550473</v>
      </c>
      <c r="J32" s="13">
        <v>8550473</v>
      </c>
      <c r="L32" s="13">
        <f t="shared" si="16"/>
        <v>8550473</v>
      </c>
      <c r="M32" s="13">
        <f t="shared" si="17"/>
        <v>194336.2212446231</v>
      </c>
      <c r="N32" s="13">
        <f t="shared" si="0"/>
        <v>637560.30186403601</v>
      </c>
      <c r="O32" s="13">
        <f t="shared" si="1"/>
        <v>1102446.1578859084</v>
      </c>
      <c r="P32" s="13">
        <f t="shared" si="2"/>
        <v>1560977.6556049478</v>
      </c>
      <c r="Q32" s="13">
        <f t="shared" si="3"/>
        <v>2071922.3875649371</v>
      </c>
      <c r="R32" s="13">
        <f t="shared" si="4"/>
        <v>2550374.3732326301</v>
      </c>
      <c r="S32" s="13">
        <f t="shared" si="5"/>
        <v>432855.90260291751</v>
      </c>
      <c r="T32" s="13">
        <f t="shared" si="6"/>
        <v>0</v>
      </c>
      <c r="U32" s="13">
        <f t="shared" si="7"/>
        <v>0</v>
      </c>
      <c r="V32" s="13"/>
      <c r="W32" s="13">
        <f t="shared" si="18"/>
        <v>8550473</v>
      </c>
      <c r="Y32" s="13">
        <f t="shared" si="8"/>
        <v>440220.80696373055</v>
      </c>
      <c r="Z32" s="18">
        <f t="shared" si="19"/>
        <v>1</v>
      </c>
      <c r="AA32" s="18" t="str">
        <f t="shared" si="20"/>
        <v>New York</v>
      </c>
      <c r="AB32" s="18">
        <f t="shared" si="9"/>
        <v>10</v>
      </c>
      <c r="AC32" s="18">
        <f t="shared" si="10"/>
        <v>4</v>
      </c>
      <c r="AD32" s="18">
        <f t="shared" si="11"/>
        <v>2</v>
      </c>
      <c r="AE32" s="18">
        <f t="shared" si="12"/>
        <v>1</v>
      </c>
      <c r="AF32" s="18">
        <f t="shared" si="13"/>
        <v>1</v>
      </c>
      <c r="AG32" s="18">
        <f t="shared" si="14"/>
        <v>1</v>
      </c>
      <c r="AH32" s="18" t="str">
        <f t="shared" si="15"/>
        <v>New York</v>
      </c>
    </row>
    <row r="33" spans="1:34">
      <c r="A33" s="18" t="s">
        <v>65</v>
      </c>
      <c r="B33" s="13">
        <v>66291.875877367071</v>
      </c>
      <c r="C33" s="13">
        <v>274000.64548833418</v>
      </c>
      <c r="D33" s="13">
        <v>450122</v>
      </c>
      <c r="E33" s="13">
        <v>450122</v>
      </c>
      <c r="F33" s="13">
        <v>450122</v>
      </c>
      <c r="G33" s="13">
        <v>450122</v>
      </c>
      <c r="H33" s="13">
        <v>450122</v>
      </c>
      <c r="I33" s="13">
        <v>450122</v>
      </c>
      <c r="J33" s="13">
        <v>450122</v>
      </c>
      <c r="L33" s="13">
        <f t="shared" si="16"/>
        <v>450122</v>
      </c>
      <c r="M33" s="13">
        <f t="shared" si="17"/>
        <v>66291.875877367071</v>
      </c>
      <c r="N33" s="13">
        <f t="shared" si="0"/>
        <v>207708.76961096711</v>
      </c>
      <c r="O33" s="13">
        <f t="shared" si="1"/>
        <v>176121.35451166582</v>
      </c>
      <c r="P33" s="13">
        <f t="shared" si="2"/>
        <v>0</v>
      </c>
      <c r="Q33" s="13">
        <f t="shared" si="3"/>
        <v>0</v>
      </c>
      <c r="R33" s="13">
        <f t="shared" si="4"/>
        <v>0</v>
      </c>
      <c r="S33" s="13">
        <f t="shared" si="5"/>
        <v>0</v>
      </c>
      <c r="T33" s="13">
        <f t="shared" si="6"/>
        <v>0</v>
      </c>
      <c r="U33" s="13">
        <f t="shared" si="7"/>
        <v>0</v>
      </c>
      <c r="V33" s="13"/>
      <c r="W33" s="13">
        <f t="shared" si="18"/>
        <v>450122</v>
      </c>
      <c r="Y33" s="13">
        <f t="shared" si="8"/>
        <v>87699.906070630488</v>
      </c>
      <c r="Z33" s="18">
        <f t="shared" si="19"/>
        <v>50</v>
      </c>
      <c r="AA33" s="18" t="str">
        <f t="shared" si="20"/>
        <v>Oklahoma City</v>
      </c>
      <c r="AB33" s="18">
        <f t="shared" si="9"/>
        <v>50</v>
      </c>
      <c r="AC33" s="18">
        <f t="shared" si="10"/>
        <v>50</v>
      </c>
      <c r="AD33" s="18">
        <f t="shared" si="11"/>
        <v>43</v>
      </c>
      <c r="AE33" s="18">
        <f t="shared" si="12"/>
        <v>43</v>
      </c>
      <c r="AF33" s="18">
        <f t="shared" si="13"/>
        <v>43</v>
      </c>
      <c r="AG33" s="18">
        <f t="shared" si="14"/>
        <v>43</v>
      </c>
      <c r="AH33" s="18" t="str">
        <f t="shared" si="15"/>
        <v>Oklahoma City</v>
      </c>
    </row>
    <row r="34" spans="1:34">
      <c r="A34" s="18" t="s">
        <v>48</v>
      </c>
      <c r="B34" s="13">
        <v>85752.718784814031</v>
      </c>
      <c r="C34" s="13">
        <v>358773.80851274577</v>
      </c>
      <c r="D34" s="13">
        <v>557448</v>
      </c>
      <c r="E34" s="13">
        <v>557448</v>
      </c>
      <c r="F34" s="13">
        <v>557448</v>
      </c>
      <c r="G34" s="13">
        <v>557448</v>
      </c>
      <c r="H34" s="13">
        <v>557448</v>
      </c>
      <c r="I34" s="13">
        <v>557448</v>
      </c>
      <c r="J34" s="13">
        <v>557448</v>
      </c>
      <c r="L34" s="13">
        <f t="shared" si="16"/>
        <v>557448</v>
      </c>
      <c r="M34" s="13">
        <f t="shared" si="17"/>
        <v>85752.718784814031</v>
      </c>
      <c r="N34" s="13">
        <f t="shared" ref="N34:N52" si="21">C34-B34</f>
        <v>273021.08972793177</v>
      </c>
      <c r="O34" s="13">
        <f t="shared" ref="O34:O52" si="22">D34-C34</f>
        <v>198674.19148725423</v>
      </c>
      <c r="P34" s="13">
        <f t="shared" ref="P34:P52" si="23">E34-D34</f>
        <v>0</v>
      </c>
      <c r="Q34" s="13">
        <f t="shared" ref="Q34:Q52" si="24">F34-E34</f>
        <v>0</v>
      </c>
      <c r="R34" s="13">
        <f t="shared" ref="R34:R52" si="25">G34-F34</f>
        <v>0</v>
      </c>
      <c r="S34" s="13">
        <f t="shared" ref="S34:S52" si="26">H34-G34</f>
        <v>0</v>
      </c>
      <c r="T34" s="13">
        <f t="shared" ref="T34:T52" si="27">I34-H34</f>
        <v>0</v>
      </c>
      <c r="U34" s="13">
        <f t="shared" ref="U34:U52" si="28">J34-I34</f>
        <v>0</v>
      </c>
      <c r="V34" s="13"/>
      <c r="W34" s="13">
        <f t="shared" si="18"/>
        <v>557448</v>
      </c>
      <c r="Y34" s="13">
        <f t="shared" ref="Y34:Y52" si="29">M34*EXP(Beta1990*10)+N34*EXP(Beta1990*20)+O34*EXP(Beta1990*30)+P34*EXP(Beta1990*40)+Q34*EXP(Beta1990*50)+R34*EXP(Beta1990*60)+S34*EXP(Beta1990*70)+T34*EXP(Beta1990*80)+U34*EXP(Beta1990*90)</f>
        <v>111676.50368014422</v>
      </c>
      <c r="Z34" s="18">
        <f t="shared" si="19"/>
        <v>45</v>
      </c>
      <c r="AA34" s="18" t="str">
        <f t="shared" si="20"/>
        <v>Orlando</v>
      </c>
      <c r="AB34" s="18">
        <f t="shared" ref="AB34:AB52" si="30">RANK(B34,B$2:B$52)</f>
        <v>46</v>
      </c>
      <c r="AC34" s="18">
        <f t="shared" ref="AC34:AC52" si="31">RANK(C34,C$2:C$52)</f>
        <v>45</v>
      </c>
      <c r="AD34" s="18">
        <f t="shared" ref="AD34:AD52" si="32">RANK(D34,D$2:D$52)</f>
        <v>36</v>
      </c>
      <c r="AE34" s="18">
        <f t="shared" ref="AE34:AE52" si="33">RANK(E34,E$2:E$52)</f>
        <v>36</v>
      </c>
      <c r="AF34" s="18">
        <f t="shared" ref="AF34:AF52" si="34">RANK(F34,F$2:F$52)</f>
        <v>36</v>
      </c>
      <c r="AG34" s="18">
        <f t="shared" ref="AG34:AG52" si="35">RANK(G34,G$2:G$52)</f>
        <v>36</v>
      </c>
      <c r="AH34" s="18" t="str">
        <f t="shared" si="15"/>
        <v>Orlando</v>
      </c>
    </row>
    <row r="35" spans="1:34">
      <c r="A35" s="18" t="s">
        <v>66</v>
      </c>
      <c r="B35" s="13">
        <v>195786.99562763842</v>
      </c>
      <c r="C35" s="13">
        <v>858421.42557842389</v>
      </c>
      <c r="D35" s="13">
        <v>2010132.7595336526</v>
      </c>
      <c r="E35" s="13">
        <v>2794917</v>
      </c>
      <c r="F35" s="13">
        <v>2794917</v>
      </c>
      <c r="G35" s="13">
        <v>2794917</v>
      </c>
      <c r="H35" s="13">
        <v>2794917</v>
      </c>
      <c r="I35" s="13">
        <v>2794917</v>
      </c>
      <c r="J35" s="13">
        <v>2794917</v>
      </c>
      <c r="L35" s="13">
        <f t="shared" si="16"/>
        <v>2794917</v>
      </c>
      <c r="M35" s="13">
        <f t="shared" si="17"/>
        <v>195786.99562763842</v>
      </c>
      <c r="N35" s="13">
        <f t="shared" si="21"/>
        <v>662634.42995078547</v>
      </c>
      <c r="O35" s="13">
        <f t="shared" si="22"/>
        <v>1151711.3339552288</v>
      </c>
      <c r="P35" s="13">
        <f t="shared" si="23"/>
        <v>784784.24046634743</v>
      </c>
      <c r="Q35" s="13">
        <f t="shared" si="24"/>
        <v>0</v>
      </c>
      <c r="R35" s="13">
        <f t="shared" si="25"/>
        <v>0</v>
      </c>
      <c r="S35" s="13">
        <f t="shared" si="26"/>
        <v>0</v>
      </c>
      <c r="T35" s="13">
        <f t="shared" si="27"/>
        <v>0</v>
      </c>
      <c r="U35" s="13">
        <f t="shared" si="28"/>
        <v>0</v>
      </c>
      <c r="V35" s="13"/>
      <c r="W35" s="13">
        <f t="shared" si="18"/>
        <v>2794917</v>
      </c>
      <c r="Y35" s="13">
        <f t="shared" si="29"/>
        <v>358226.7823289606</v>
      </c>
      <c r="Z35" s="18">
        <f t="shared" si="19"/>
        <v>2</v>
      </c>
      <c r="AA35" s="18" t="str">
        <f t="shared" si="20"/>
        <v>Philadelphia</v>
      </c>
      <c r="AB35" s="18">
        <f t="shared" si="30"/>
        <v>9</v>
      </c>
      <c r="AC35" s="18">
        <f t="shared" si="31"/>
        <v>3</v>
      </c>
      <c r="AD35" s="18">
        <f t="shared" si="32"/>
        <v>1</v>
      </c>
      <c r="AE35" s="18">
        <f t="shared" si="33"/>
        <v>3</v>
      </c>
      <c r="AF35" s="18">
        <f t="shared" si="34"/>
        <v>4</v>
      </c>
      <c r="AG35" s="18">
        <f t="shared" si="35"/>
        <v>4</v>
      </c>
      <c r="AH35" s="18" t="str">
        <f t="shared" si="15"/>
        <v>Philadelphia</v>
      </c>
    </row>
    <row r="36" spans="1:34">
      <c r="A36" s="18" t="s">
        <v>49</v>
      </c>
      <c r="B36" s="13">
        <v>97412.8523041671</v>
      </c>
      <c r="C36" s="13">
        <v>408842.88818430732</v>
      </c>
      <c r="D36" s="13">
        <v>937408.25267269276</v>
      </c>
      <c r="E36" s="13">
        <v>996495</v>
      </c>
      <c r="F36" s="13">
        <v>996495</v>
      </c>
      <c r="G36" s="13">
        <v>996495</v>
      </c>
      <c r="H36" s="13">
        <v>996495</v>
      </c>
      <c r="I36" s="13">
        <v>996495</v>
      </c>
      <c r="J36" s="13">
        <v>996495</v>
      </c>
      <c r="L36" s="13">
        <f t="shared" si="16"/>
        <v>996495</v>
      </c>
      <c r="M36" s="13">
        <f t="shared" si="17"/>
        <v>97412.8523041671</v>
      </c>
      <c r="N36" s="13">
        <f t="shared" si="21"/>
        <v>311430.0358801402</v>
      </c>
      <c r="O36" s="13">
        <f t="shared" si="22"/>
        <v>528565.36448838538</v>
      </c>
      <c r="P36" s="13">
        <f t="shared" si="23"/>
        <v>59086.747327307239</v>
      </c>
      <c r="Q36" s="13">
        <f t="shared" si="24"/>
        <v>0</v>
      </c>
      <c r="R36" s="13">
        <f t="shared" si="25"/>
        <v>0</v>
      </c>
      <c r="S36" s="13">
        <f t="shared" si="26"/>
        <v>0</v>
      </c>
      <c r="T36" s="13">
        <f t="shared" si="27"/>
        <v>0</v>
      </c>
      <c r="U36" s="13">
        <f t="shared" si="28"/>
        <v>0</v>
      </c>
      <c r="V36" s="13"/>
      <c r="W36" s="13">
        <f t="shared" si="18"/>
        <v>996495</v>
      </c>
      <c r="Y36" s="13">
        <f t="shared" si="29"/>
        <v>157005.92995371876</v>
      </c>
      <c r="Z36" s="18">
        <f t="shared" si="19"/>
        <v>28</v>
      </c>
      <c r="AA36" s="18" t="str">
        <f t="shared" si="20"/>
        <v>Phoenix</v>
      </c>
      <c r="AB36" s="18">
        <f t="shared" si="30"/>
        <v>40</v>
      </c>
      <c r="AC36" s="18">
        <f t="shared" si="31"/>
        <v>36</v>
      </c>
      <c r="AD36" s="18">
        <f t="shared" si="32"/>
        <v>21</v>
      </c>
      <c r="AE36" s="18">
        <f t="shared" si="33"/>
        <v>19</v>
      </c>
      <c r="AF36" s="18">
        <f t="shared" si="34"/>
        <v>19</v>
      </c>
      <c r="AG36" s="18">
        <f t="shared" si="35"/>
        <v>19</v>
      </c>
      <c r="AH36" s="18" t="str">
        <f t="shared" si="15"/>
        <v>Phoenix</v>
      </c>
    </row>
    <row r="37" spans="1:34">
      <c r="A37" s="18" t="s">
        <v>50</v>
      </c>
      <c r="B37" s="13">
        <v>90892.741108969902</v>
      </c>
      <c r="C37" s="13">
        <v>400791.64968775539</v>
      </c>
      <c r="D37" s="13">
        <v>947146.31043710664</v>
      </c>
      <c r="E37" s="13">
        <v>956154</v>
      </c>
      <c r="F37" s="13">
        <v>956154</v>
      </c>
      <c r="G37" s="13">
        <v>956154</v>
      </c>
      <c r="H37" s="13">
        <v>956154</v>
      </c>
      <c r="I37" s="13">
        <v>956154</v>
      </c>
      <c r="J37" s="13">
        <v>956154</v>
      </c>
      <c r="L37" s="13">
        <f t="shared" si="16"/>
        <v>956154</v>
      </c>
      <c r="M37" s="13">
        <f t="shared" si="17"/>
        <v>90892.741108969902</v>
      </c>
      <c r="N37" s="13">
        <f t="shared" si="21"/>
        <v>309898.90857878549</v>
      </c>
      <c r="O37" s="13">
        <f t="shared" si="22"/>
        <v>546354.66074935126</v>
      </c>
      <c r="P37" s="13">
        <f t="shared" si="23"/>
        <v>9007.6895628933562</v>
      </c>
      <c r="Q37" s="13">
        <f t="shared" si="24"/>
        <v>0</v>
      </c>
      <c r="R37" s="13">
        <f t="shared" si="25"/>
        <v>0</v>
      </c>
      <c r="S37" s="13">
        <f t="shared" si="26"/>
        <v>0</v>
      </c>
      <c r="T37" s="13">
        <f t="shared" si="27"/>
        <v>0</v>
      </c>
      <c r="U37" s="13">
        <f t="shared" si="28"/>
        <v>0</v>
      </c>
      <c r="V37" s="13"/>
      <c r="W37" s="13">
        <f t="shared" si="18"/>
        <v>956154</v>
      </c>
      <c r="Y37" s="13">
        <f t="shared" si="29"/>
        <v>153339.60165331801</v>
      </c>
      <c r="Z37" s="18">
        <f t="shared" si="19"/>
        <v>29</v>
      </c>
      <c r="AA37" s="18" t="str">
        <f t="shared" si="20"/>
        <v>Pittsburgh</v>
      </c>
      <c r="AB37" s="18">
        <f t="shared" si="30"/>
        <v>43</v>
      </c>
      <c r="AC37" s="18">
        <f t="shared" si="31"/>
        <v>39</v>
      </c>
      <c r="AD37" s="18">
        <f t="shared" si="32"/>
        <v>18</v>
      </c>
      <c r="AE37" s="18">
        <f t="shared" si="33"/>
        <v>21</v>
      </c>
      <c r="AF37" s="18">
        <f t="shared" si="34"/>
        <v>21</v>
      </c>
      <c r="AG37" s="18">
        <f t="shared" si="35"/>
        <v>21</v>
      </c>
      <c r="AH37" s="18" t="str">
        <f t="shared" si="15"/>
        <v>Pittsburgh</v>
      </c>
    </row>
    <row r="38" spans="1:34">
      <c r="A38" s="18" t="s">
        <v>51</v>
      </c>
      <c r="B38" s="13">
        <v>116589.37511700606</v>
      </c>
      <c r="C38" s="13">
        <v>502294.93370311422</v>
      </c>
      <c r="D38" s="13">
        <v>724532</v>
      </c>
      <c r="E38" s="13">
        <v>724532</v>
      </c>
      <c r="F38" s="13">
        <v>724532</v>
      </c>
      <c r="G38" s="13">
        <v>724532</v>
      </c>
      <c r="H38" s="13">
        <v>724532</v>
      </c>
      <c r="I38" s="13">
        <v>724532</v>
      </c>
      <c r="J38" s="13">
        <v>724532</v>
      </c>
      <c r="L38" s="13">
        <f t="shared" si="16"/>
        <v>724532</v>
      </c>
      <c r="M38" s="13">
        <f t="shared" si="17"/>
        <v>116589.37511700606</v>
      </c>
      <c r="N38" s="13">
        <f t="shared" si="21"/>
        <v>385705.55858610815</v>
      </c>
      <c r="O38" s="13">
        <f t="shared" si="22"/>
        <v>222237.06629688578</v>
      </c>
      <c r="P38" s="13">
        <f t="shared" si="23"/>
        <v>0</v>
      </c>
      <c r="Q38" s="13">
        <f t="shared" si="24"/>
        <v>0</v>
      </c>
      <c r="R38" s="13">
        <f t="shared" si="25"/>
        <v>0</v>
      </c>
      <c r="S38" s="13">
        <f t="shared" si="26"/>
        <v>0</v>
      </c>
      <c r="T38" s="13">
        <f t="shared" si="27"/>
        <v>0</v>
      </c>
      <c r="U38" s="13">
        <f t="shared" si="28"/>
        <v>0</v>
      </c>
      <c r="V38" s="13"/>
      <c r="W38" s="13">
        <f t="shared" si="18"/>
        <v>724532</v>
      </c>
      <c r="Y38" s="13">
        <f t="shared" si="29"/>
        <v>150420.48419761425</v>
      </c>
      <c r="Z38" s="18">
        <f t="shared" si="19"/>
        <v>32</v>
      </c>
      <c r="AA38" s="18" t="str">
        <f t="shared" si="20"/>
        <v>Portland</v>
      </c>
      <c r="AB38" s="18">
        <f t="shared" si="30"/>
        <v>29</v>
      </c>
      <c r="AC38" s="18">
        <f t="shared" si="31"/>
        <v>23</v>
      </c>
      <c r="AD38" s="18">
        <f t="shared" si="32"/>
        <v>28</v>
      </c>
      <c r="AE38" s="18">
        <f t="shared" si="33"/>
        <v>28</v>
      </c>
      <c r="AF38" s="18">
        <f t="shared" si="34"/>
        <v>28</v>
      </c>
      <c r="AG38" s="18">
        <f t="shared" si="35"/>
        <v>28</v>
      </c>
      <c r="AH38" s="18" t="str">
        <f t="shared" si="15"/>
        <v>Portland</v>
      </c>
    </row>
    <row r="39" spans="1:34">
      <c r="A39" s="18" t="s">
        <v>52</v>
      </c>
      <c r="B39" s="13">
        <v>175120.12485352129</v>
      </c>
      <c r="C39" s="13">
        <v>544668</v>
      </c>
      <c r="D39" s="13">
        <v>544668</v>
      </c>
      <c r="E39" s="13">
        <v>544668</v>
      </c>
      <c r="F39" s="13">
        <v>544668</v>
      </c>
      <c r="G39" s="13">
        <v>544668</v>
      </c>
      <c r="H39" s="13">
        <v>544668</v>
      </c>
      <c r="I39" s="13">
        <v>544668</v>
      </c>
      <c r="J39" s="13">
        <v>544668</v>
      </c>
      <c r="L39" s="13">
        <f t="shared" si="16"/>
        <v>544668</v>
      </c>
      <c r="M39" s="13">
        <f t="shared" si="17"/>
        <v>175120.12485352129</v>
      </c>
      <c r="N39" s="13">
        <f t="shared" si="21"/>
        <v>369547.87514647871</v>
      </c>
      <c r="O39" s="13">
        <f t="shared" si="22"/>
        <v>0</v>
      </c>
      <c r="P39" s="13">
        <f t="shared" si="23"/>
        <v>0</v>
      </c>
      <c r="Q39" s="13">
        <f t="shared" si="24"/>
        <v>0</v>
      </c>
      <c r="R39" s="13">
        <f t="shared" si="25"/>
        <v>0</v>
      </c>
      <c r="S39" s="13">
        <f t="shared" si="26"/>
        <v>0</v>
      </c>
      <c r="T39" s="13">
        <f t="shared" si="27"/>
        <v>0</v>
      </c>
      <c r="U39" s="13">
        <f t="shared" si="28"/>
        <v>0</v>
      </c>
      <c r="V39" s="13"/>
      <c r="W39" s="13">
        <f t="shared" si="18"/>
        <v>544668</v>
      </c>
      <c r="Y39" s="13">
        <f t="shared" si="29"/>
        <v>153296.97352090891</v>
      </c>
      <c r="Z39" s="18">
        <f t="shared" si="19"/>
        <v>30</v>
      </c>
      <c r="AA39" s="18" t="str">
        <f t="shared" si="20"/>
        <v>Providence</v>
      </c>
      <c r="AB39" s="18">
        <f t="shared" si="30"/>
        <v>12</v>
      </c>
      <c r="AC39" s="18">
        <f t="shared" si="31"/>
        <v>17</v>
      </c>
      <c r="AD39" s="18">
        <f t="shared" si="32"/>
        <v>37</v>
      </c>
      <c r="AE39" s="18">
        <f t="shared" si="33"/>
        <v>37</v>
      </c>
      <c r="AF39" s="18">
        <f t="shared" si="34"/>
        <v>37</v>
      </c>
      <c r="AG39" s="18">
        <f t="shared" si="35"/>
        <v>37</v>
      </c>
      <c r="AH39" s="18" t="str">
        <f t="shared" si="15"/>
        <v>Providence</v>
      </c>
    </row>
    <row r="40" spans="1:34">
      <c r="A40" s="18" t="s">
        <v>53</v>
      </c>
      <c r="B40" s="13">
        <v>204350.72840486871</v>
      </c>
      <c r="C40" s="13">
        <v>399701</v>
      </c>
      <c r="D40" s="13">
        <v>399701</v>
      </c>
      <c r="E40" s="13">
        <v>399701</v>
      </c>
      <c r="F40" s="13">
        <v>399701</v>
      </c>
      <c r="G40" s="13">
        <v>399701</v>
      </c>
      <c r="H40" s="13">
        <v>399701</v>
      </c>
      <c r="I40" s="13">
        <v>399701</v>
      </c>
      <c r="J40" s="13">
        <v>399701</v>
      </c>
      <c r="L40" s="13">
        <f t="shared" si="16"/>
        <v>399701</v>
      </c>
      <c r="M40" s="13">
        <f t="shared" si="17"/>
        <v>204350.72840486871</v>
      </c>
      <c r="N40" s="13">
        <f t="shared" si="21"/>
        <v>195350.27159513129</v>
      </c>
      <c r="O40" s="13">
        <f t="shared" si="22"/>
        <v>0</v>
      </c>
      <c r="P40" s="13">
        <f t="shared" si="23"/>
        <v>0</v>
      </c>
      <c r="Q40" s="13">
        <f t="shared" si="24"/>
        <v>0</v>
      </c>
      <c r="R40" s="13">
        <f t="shared" si="25"/>
        <v>0</v>
      </c>
      <c r="S40" s="13">
        <f t="shared" si="26"/>
        <v>0</v>
      </c>
      <c r="T40" s="13">
        <f t="shared" si="27"/>
        <v>0</v>
      </c>
      <c r="U40" s="13">
        <f t="shared" si="28"/>
        <v>0</v>
      </c>
      <c r="V40" s="13"/>
      <c r="W40" s="13">
        <f t="shared" si="18"/>
        <v>399701</v>
      </c>
      <c r="Y40" s="13">
        <f t="shared" si="29"/>
        <v>131261.24073512657</v>
      </c>
      <c r="Z40" s="18">
        <f t="shared" si="19"/>
        <v>39</v>
      </c>
      <c r="AA40" s="18" t="str">
        <f t="shared" si="20"/>
        <v>Raleigh</v>
      </c>
      <c r="AB40" s="18">
        <f t="shared" si="30"/>
        <v>6</v>
      </c>
      <c r="AC40" s="18">
        <f t="shared" si="31"/>
        <v>40</v>
      </c>
      <c r="AD40" s="18">
        <f t="shared" si="32"/>
        <v>49</v>
      </c>
      <c r="AE40" s="18">
        <f t="shared" si="33"/>
        <v>49</v>
      </c>
      <c r="AF40" s="18">
        <f t="shared" si="34"/>
        <v>49</v>
      </c>
      <c r="AG40" s="18">
        <f t="shared" si="35"/>
        <v>49</v>
      </c>
      <c r="AH40" s="18" t="str">
        <f t="shared" si="15"/>
        <v>Raleigh</v>
      </c>
    </row>
    <row r="41" spans="1:34">
      <c r="A41" s="18" t="s">
        <v>81</v>
      </c>
      <c r="B41" s="13">
        <v>217989.62123334655</v>
      </c>
      <c r="C41" s="13">
        <v>481467</v>
      </c>
      <c r="D41" s="13">
        <v>481467</v>
      </c>
      <c r="E41" s="13">
        <v>481467</v>
      </c>
      <c r="F41" s="13">
        <v>481467</v>
      </c>
      <c r="G41" s="13">
        <v>481467</v>
      </c>
      <c r="H41" s="13">
        <v>481467</v>
      </c>
      <c r="I41" s="13">
        <v>481467</v>
      </c>
      <c r="J41" s="13">
        <v>481467</v>
      </c>
      <c r="L41" s="13">
        <f t="shared" si="16"/>
        <v>481467</v>
      </c>
      <c r="M41" s="13">
        <f t="shared" si="17"/>
        <v>217989.62123334655</v>
      </c>
      <c r="N41" s="13">
        <f t="shared" si="21"/>
        <v>263477.37876665348</v>
      </c>
      <c r="O41" s="13">
        <f t="shared" si="22"/>
        <v>0</v>
      </c>
      <c r="P41" s="13">
        <f t="shared" si="23"/>
        <v>0</v>
      </c>
      <c r="Q41" s="13">
        <f t="shared" si="24"/>
        <v>0</v>
      </c>
      <c r="R41" s="13">
        <f t="shared" si="25"/>
        <v>0</v>
      </c>
      <c r="S41" s="13">
        <f t="shared" si="26"/>
        <v>0</v>
      </c>
      <c r="T41" s="13">
        <f t="shared" si="27"/>
        <v>0</v>
      </c>
      <c r="U41" s="13">
        <f t="shared" si="28"/>
        <v>0</v>
      </c>
      <c r="V41" s="13"/>
      <c r="W41" s="13">
        <f t="shared" si="18"/>
        <v>481467</v>
      </c>
      <c r="Y41" s="13">
        <f t="shared" si="29"/>
        <v>151144.21604043138</v>
      </c>
      <c r="Z41" s="18">
        <f t="shared" si="19"/>
        <v>31</v>
      </c>
      <c r="AA41" s="18" t="str">
        <f t="shared" si="20"/>
        <v>Rochester</v>
      </c>
      <c r="AB41" s="18">
        <f t="shared" si="30"/>
        <v>3</v>
      </c>
      <c r="AC41" s="18">
        <f t="shared" si="31"/>
        <v>25</v>
      </c>
      <c r="AD41" s="18">
        <f t="shared" si="32"/>
        <v>41</v>
      </c>
      <c r="AE41" s="18">
        <f t="shared" si="33"/>
        <v>41</v>
      </c>
      <c r="AF41" s="18">
        <f t="shared" si="34"/>
        <v>41</v>
      </c>
      <c r="AG41" s="18">
        <f t="shared" si="35"/>
        <v>41</v>
      </c>
      <c r="AH41" s="18" t="str">
        <f t="shared" si="15"/>
        <v>Rochester</v>
      </c>
    </row>
    <row r="42" spans="1:34">
      <c r="A42" s="18" t="s">
        <v>54</v>
      </c>
      <c r="B42" s="13">
        <v>123715.41529699377</v>
      </c>
      <c r="C42" s="13">
        <v>496981.04888040491</v>
      </c>
      <c r="D42" s="13">
        <v>685945</v>
      </c>
      <c r="E42" s="13">
        <v>685945</v>
      </c>
      <c r="F42" s="13">
        <v>685945</v>
      </c>
      <c r="G42" s="13">
        <v>685945</v>
      </c>
      <c r="H42" s="13">
        <v>685945</v>
      </c>
      <c r="I42" s="13">
        <v>685945</v>
      </c>
      <c r="J42" s="13">
        <v>685945</v>
      </c>
      <c r="L42" s="13">
        <f t="shared" si="16"/>
        <v>685945</v>
      </c>
      <c r="M42" s="13">
        <f t="shared" si="17"/>
        <v>123715.41529699377</v>
      </c>
      <c r="N42" s="13">
        <f t="shared" si="21"/>
        <v>373265.63358341111</v>
      </c>
      <c r="O42" s="13">
        <f t="shared" si="22"/>
        <v>188963.95111959509</v>
      </c>
      <c r="P42" s="13">
        <f t="shared" si="23"/>
        <v>0</v>
      </c>
      <c r="Q42" s="13">
        <f t="shared" si="24"/>
        <v>0</v>
      </c>
      <c r="R42" s="13">
        <f t="shared" si="25"/>
        <v>0</v>
      </c>
      <c r="S42" s="13">
        <f t="shared" si="26"/>
        <v>0</v>
      </c>
      <c r="T42" s="13">
        <f t="shared" si="27"/>
        <v>0</v>
      </c>
      <c r="U42" s="13">
        <f t="shared" si="28"/>
        <v>0</v>
      </c>
      <c r="V42" s="13"/>
      <c r="W42" s="13">
        <f t="shared" si="18"/>
        <v>685945</v>
      </c>
      <c r="Y42" s="13">
        <f t="shared" si="29"/>
        <v>148092.37399933994</v>
      </c>
      <c r="Z42" s="18">
        <f t="shared" si="19"/>
        <v>33</v>
      </c>
      <c r="AA42" s="18" t="str">
        <f t="shared" si="20"/>
        <v>Sacramento</v>
      </c>
      <c r="AB42" s="18">
        <f t="shared" si="30"/>
        <v>27</v>
      </c>
      <c r="AC42" s="18">
        <f t="shared" si="31"/>
        <v>24</v>
      </c>
      <c r="AD42" s="18">
        <f t="shared" si="32"/>
        <v>30</v>
      </c>
      <c r="AE42" s="18">
        <f t="shared" si="33"/>
        <v>30</v>
      </c>
      <c r="AF42" s="18">
        <f t="shared" si="34"/>
        <v>30</v>
      </c>
      <c r="AG42" s="18">
        <f t="shared" si="35"/>
        <v>30</v>
      </c>
      <c r="AH42" s="18" t="str">
        <f t="shared" si="15"/>
        <v>Sacramento</v>
      </c>
    </row>
    <row r="43" spans="1:34">
      <c r="A43" s="18" t="s">
        <v>55</v>
      </c>
      <c r="B43" s="13">
        <v>145547.91722437678</v>
      </c>
      <c r="C43" s="13">
        <v>479338</v>
      </c>
      <c r="D43" s="13">
        <v>479338</v>
      </c>
      <c r="E43" s="13">
        <v>479338</v>
      </c>
      <c r="F43" s="13">
        <v>479338</v>
      </c>
      <c r="G43" s="13">
        <v>479338</v>
      </c>
      <c r="H43" s="13">
        <v>479338</v>
      </c>
      <c r="I43" s="13">
        <v>479338</v>
      </c>
      <c r="J43" s="13">
        <v>479338</v>
      </c>
      <c r="L43" s="13">
        <f t="shared" si="16"/>
        <v>479338</v>
      </c>
      <c r="M43" s="13">
        <f t="shared" si="17"/>
        <v>145547.91722437678</v>
      </c>
      <c r="N43" s="13">
        <f t="shared" si="21"/>
        <v>333790.08277562319</v>
      </c>
      <c r="O43" s="13">
        <f t="shared" si="22"/>
        <v>0</v>
      </c>
      <c r="P43" s="13">
        <f t="shared" si="23"/>
        <v>0</v>
      </c>
      <c r="Q43" s="13">
        <f t="shared" si="24"/>
        <v>0</v>
      </c>
      <c r="R43" s="13">
        <f t="shared" si="25"/>
        <v>0</v>
      </c>
      <c r="S43" s="13">
        <f t="shared" si="26"/>
        <v>0</v>
      </c>
      <c r="T43" s="13">
        <f t="shared" si="27"/>
        <v>0</v>
      </c>
      <c r="U43" s="13">
        <f t="shared" si="28"/>
        <v>0</v>
      </c>
      <c r="V43" s="13"/>
      <c r="W43" s="13">
        <f t="shared" si="18"/>
        <v>479338</v>
      </c>
      <c r="Y43" s="13">
        <f t="shared" si="29"/>
        <v>132789.95032939443</v>
      </c>
      <c r="Z43" s="18">
        <f t="shared" si="19"/>
        <v>38</v>
      </c>
      <c r="AA43" s="18" t="str">
        <f t="shared" si="20"/>
        <v>Salt Lake City</v>
      </c>
      <c r="AB43" s="18">
        <f t="shared" si="30"/>
        <v>17</v>
      </c>
      <c r="AC43" s="18">
        <f t="shared" si="31"/>
        <v>26</v>
      </c>
      <c r="AD43" s="18">
        <f t="shared" si="32"/>
        <v>42</v>
      </c>
      <c r="AE43" s="18">
        <f t="shared" si="33"/>
        <v>42</v>
      </c>
      <c r="AF43" s="18">
        <f t="shared" si="34"/>
        <v>42</v>
      </c>
      <c r="AG43" s="18">
        <f t="shared" si="35"/>
        <v>42</v>
      </c>
      <c r="AH43" s="18" t="str">
        <f t="shared" si="15"/>
        <v>Salt Lake City</v>
      </c>
    </row>
    <row r="44" spans="1:34">
      <c r="A44" s="18" t="s">
        <v>67</v>
      </c>
      <c r="B44" s="13">
        <v>96393.372855160836</v>
      </c>
      <c r="C44" s="13">
        <v>407739.42747909843</v>
      </c>
      <c r="D44" s="13">
        <v>569149</v>
      </c>
      <c r="E44" s="13">
        <v>569149</v>
      </c>
      <c r="F44" s="13">
        <v>569149</v>
      </c>
      <c r="G44" s="13">
        <v>569149</v>
      </c>
      <c r="H44" s="13">
        <v>569149</v>
      </c>
      <c r="I44" s="13">
        <v>569149</v>
      </c>
      <c r="J44" s="13">
        <v>569149</v>
      </c>
      <c r="L44" s="13">
        <f t="shared" si="16"/>
        <v>569149</v>
      </c>
      <c r="M44" s="13">
        <f t="shared" si="17"/>
        <v>96393.372855160836</v>
      </c>
      <c r="N44" s="13">
        <f t="shared" si="21"/>
        <v>311346.05462393758</v>
      </c>
      <c r="O44" s="13">
        <f t="shared" si="22"/>
        <v>161409.57252090157</v>
      </c>
      <c r="P44" s="13">
        <f t="shared" si="23"/>
        <v>0</v>
      </c>
      <c r="Q44" s="13">
        <f t="shared" si="24"/>
        <v>0</v>
      </c>
      <c r="R44" s="13">
        <f t="shared" si="25"/>
        <v>0</v>
      </c>
      <c r="S44" s="13">
        <f t="shared" si="26"/>
        <v>0</v>
      </c>
      <c r="T44" s="13">
        <f t="shared" si="27"/>
        <v>0</v>
      </c>
      <c r="U44" s="13">
        <f t="shared" si="28"/>
        <v>0</v>
      </c>
      <c r="V44" s="13"/>
      <c r="W44" s="13">
        <f t="shared" si="18"/>
        <v>569149</v>
      </c>
      <c r="Y44" s="13">
        <f t="shared" si="29"/>
        <v>120814.76475313648</v>
      </c>
      <c r="Z44" s="18">
        <f t="shared" si="19"/>
        <v>41</v>
      </c>
      <c r="AA44" s="18" t="str">
        <f t="shared" si="20"/>
        <v>San Antonio</v>
      </c>
      <c r="AB44" s="18">
        <f t="shared" si="30"/>
        <v>41</v>
      </c>
      <c r="AC44" s="18">
        <f t="shared" si="31"/>
        <v>37</v>
      </c>
      <c r="AD44" s="18">
        <f t="shared" si="32"/>
        <v>34</v>
      </c>
      <c r="AE44" s="18">
        <f t="shared" si="33"/>
        <v>34</v>
      </c>
      <c r="AF44" s="18">
        <f t="shared" si="34"/>
        <v>34</v>
      </c>
      <c r="AG44" s="18">
        <f t="shared" si="35"/>
        <v>34</v>
      </c>
      <c r="AH44" s="18" t="str">
        <f t="shared" si="15"/>
        <v>San Antonio</v>
      </c>
    </row>
    <row r="45" spans="1:34">
      <c r="A45" s="18" t="s">
        <v>68</v>
      </c>
      <c r="B45" s="13">
        <v>104869.09065221057</v>
      </c>
      <c r="C45" s="13">
        <v>429257.90887911152</v>
      </c>
      <c r="D45" s="13">
        <v>963582.44394702336</v>
      </c>
      <c r="E45" s="13">
        <v>1230446</v>
      </c>
      <c r="F45" s="13">
        <v>1230446</v>
      </c>
      <c r="G45" s="13">
        <v>1230446</v>
      </c>
      <c r="H45" s="13">
        <v>1230446</v>
      </c>
      <c r="I45" s="13">
        <v>1230446</v>
      </c>
      <c r="J45" s="13">
        <v>1230446</v>
      </c>
      <c r="L45" s="13">
        <f t="shared" si="16"/>
        <v>1230446</v>
      </c>
      <c r="M45" s="13">
        <f t="shared" si="17"/>
        <v>104869.09065221057</v>
      </c>
      <c r="N45" s="13">
        <f t="shared" si="21"/>
        <v>324388.81822690094</v>
      </c>
      <c r="O45" s="13">
        <f t="shared" si="22"/>
        <v>534324.53506791184</v>
      </c>
      <c r="P45" s="13">
        <f t="shared" si="23"/>
        <v>266863.55605297664</v>
      </c>
      <c r="Q45" s="13">
        <f t="shared" si="24"/>
        <v>0</v>
      </c>
      <c r="R45" s="13">
        <f t="shared" si="25"/>
        <v>0</v>
      </c>
      <c r="S45" s="13">
        <f t="shared" si="26"/>
        <v>0</v>
      </c>
      <c r="T45" s="13">
        <f t="shared" si="27"/>
        <v>0</v>
      </c>
      <c r="U45" s="13">
        <f t="shared" si="28"/>
        <v>0</v>
      </c>
      <c r="V45" s="13"/>
      <c r="W45" s="13">
        <f t="shared" si="18"/>
        <v>1230446</v>
      </c>
      <c r="Y45" s="13">
        <f t="shared" si="29"/>
        <v>171964.46766698675</v>
      </c>
      <c r="Z45" s="18">
        <f t="shared" si="19"/>
        <v>20</v>
      </c>
      <c r="AA45" s="18" t="str">
        <f t="shared" si="20"/>
        <v>San Diego</v>
      </c>
      <c r="AB45" s="18">
        <f t="shared" si="30"/>
        <v>35</v>
      </c>
      <c r="AC45" s="18">
        <f t="shared" si="31"/>
        <v>35</v>
      </c>
      <c r="AD45" s="18">
        <f t="shared" si="32"/>
        <v>17</v>
      </c>
      <c r="AE45" s="18">
        <f t="shared" si="33"/>
        <v>16</v>
      </c>
      <c r="AF45" s="18">
        <f t="shared" si="34"/>
        <v>16</v>
      </c>
      <c r="AG45" s="18">
        <f t="shared" si="35"/>
        <v>16</v>
      </c>
      <c r="AH45" s="18" t="str">
        <f t="shared" si="15"/>
        <v>San Diego</v>
      </c>
    </row>
    <row r="46" spans="1:34">
      <c r="A46" s="18" t="s">
        <v>69</v>
      </c>
      <c r="B46" s="13">
        <v>110771.39228148428</v>
      </c>
      <c r="C46" s="13">
        <v>440442.80435138236</v>
      </c>
      <c r="D46" s="13">
        <v>1010318.1961838489</v>
      </c>
      <c r="E46" s="13">
        <v>1799709.5565407292</v>
      </c>
      <c r="F46" s="13">
        <v>1970387</v>
      </c>
      <c r="G46" s="13">
        <v>1970387</v>
      </c>
      <c r="H46" s="13">
        <v>1970387</v>
      </c>
      <c r="I46" s="13">
        <v>1970387</v>
      </c>
      <c r="J46" s="13">
        <v>1970387</v>
      </c>
      <c r="L46" s="13">
        <f t="shared" si="16"/>
        <v>1970387</v>
      </c>
      <c r="M46" s="13">
        <f t="shared" si="17"/>
        <v>110771.39228148428</v>
      </c>
      <c r="N46" s="13">
        <f t="shared" si="21"/>
        <v>329671.4120698981</v>
      </c>
      <c r="O46" s="13">
        <f t="shared" si="22"/>
        <v>569875.39183246647</v>
      </c>
      <c r="P46" s="13">
        <f t="shared" si="23"/>
        <v>789391.36035688035</v>
      </c>
      <c r="Q46" s="13">
        <f t="shared" si="24"/>
        <v>170677.44345927075</v>
      </c>
      <c r="R46" s="13">
        <f t="shared" si="25"/>
        <v>0</v>
      </c>
      <c r="S46" s="13">
        <f t="shared" si="26"/>
        <v>0</v>
      </c>
      <c r="T46" s="13">
        <f t="shared" si="27"/>
        <v>0</v>
      </c>
      <c r="U46" s="13">
        <f t="shared" si="28"/>
        <v>0</v>
      </c>
      <c r="V46" s="13"/>
      <c r="W46" s="13">
        <f t="shared" si="18"/>
        <v>1970387</v>
      </c>
      <c r="Y46" s="13">
        <f t="shared" si="29"/>
        <v>203333.63237447818</v>
      </c>
      <c r="Z46" s="18">
        <f t="shared" si="19"/>
        <v>12</v>
      </c>
      <c r="AA46" s="18" t="str">
        <f t="shared" si="20"/>
        <v>San Francisco</v>
      </c>
      <c r="AB46" s="18">
        <f t="shared" si="30"/>
        <v>31</v>
      </c>
      <c r="AC46" s="18">
        <f t="shared" si="31"/>
        <v>30</v>
      </c>
      <c r="AD46" s="18">
        <f t="shared" si="32"/>
        <v>15</v>
      </c>
      <c r="AE46" s="18">
        <f t="shared" si="33"/>
        <v>9</v>
      </c>
      <c r="AF46" s="18">
        <f t="shared" si="34"/>
        <v>9</v>
      </c>
      <c r="AG46" s="18">
        <f t="shared" si="35"/>
        <v>9</v>
      </c>
      <c r="AH46" s="18" t="str">
        <f t="shared" si="15"/>
        <v>San Francisco</v>
      </c>
    </row>
    <row r="47" spans="1:34">
      <c r="A47" s="18" t="s">
        <v>85</v>
      </c>
      <c r="B47" s="13">
        <v>157230.2826100059</v>
      </c>
      <c r="C47" s="13">
        <v>628924.41966584348</v>
      </c>
      <c r="D47" s="13">
        <v>946363</v>
      </c>
      <c r="E47" s="13">
        <v>946363</v>
      </c>
      <c r="F47" s="13">
        <v>946363</v>
      </c>
      <c r="G47" s="13">
        <v>946363</v>
      </c>
      <c r="H47" s="13">
        <v>946363</v>
      </c>
      <c r="I47" s="13">
        <v>946363</v>
      </c>
      <c r="J47" s="13">
        <v>946363</v>
      </c>
      <c r="L47" s="13">
        <f t="shared" si="16"/>
        <v>946363</v>
      </c>
      <c r="M47" s="13">
        <f t="shared" si="17"/>
        <v>157230.2826100059</v>
      </c>
      <c r="N47" s="13">
        <f t="shared" si="21"/>
        <v>471694.13705583755</v>
      </c>
      <c r="O47" s="13">
        <f t="shared" si="22"/>
        <v>317438.58033415652</v>
      </c>
      <c r="P47" s="13">
        <f t="shared" si="23"/>
        <v>0</v>
      </c>
      <c r="Q47" s="13">
        <f t="shared" si="24"/>
        <v>0</v>
      </c>
      <c r="R47" s="13">
        <f t="shared" si="25"/>
        <v>0</v>
      </c>
      <c r="S47" s="13">
        <f t="shared" si="26"/>
        <v>0</v>
      </c>
      <c r="T47" s="13">
        <f t="shared" si="27"/>
        <v>0</v>
      </c>
      <c r="U47" s="13">
        <f t="shared" si="28"/>
        <v>0</v>
      </c>
      <c r="V47" s="13"/>
      <c r="W47" s="13">
        <f t="shared" si="18"/>
        <v>946363</v>
      </c>
      <c r="Y47" s="13">
        <f t="shared" si="29"/>
        <v>194678.90214609072</v>
      </c>
      <c r="Z47" s="18">
        <f t="shared" si="19"/>
        <v>15</v>
      </c>
      <c r="AA47" s="18" t="str">
        <f t="shared" si="20"/>
        <v>San Jose</v>
      </c>
      <c r="AB47" s="18">
        <f t="shared" si="30"/>
        <v>15</v>
      </c>
      <c r="AC47" s="18">
        <f t="shared" si="31"/>
        <v>9</v>
      </c>
      <c r="AD47" s="18">
        <f t="shared" si="32"/>
        <v>19</v>
      </c>
      <c r="AE47" s="18">
        <f t="shared" si="33"/>
        <v>22</v>
      </c>
      <c r="AF47" s="18">
        <f t="shared" si="34"/>
        <v>22</v>
      </c>
      <c r="AG47" s="18">
        <f t="shared" si="35"/>
        <v>22</v>
      </c>
      <c r="AH47" s="18" t="str">
        <f t="shared" si="15"/>
        <v>San Jose</v>
      </c>
    </row>
    <row r="48" spans="1:34">
      <c r="A48" s="18" t="s">
        <v>56</v>
      </c>
      <c r="B48" s="13">
        <v>119660.32695296707</v>
      </c>
      <c r="C48" s="13">
        <v>472096.97806937766</v>
      </c>
      <c r="D48" s="13">
        <v>1102805.5340848048</v>
      </c>
      <c r="E48" s="13">
        <v>1308338</v>
      </c>
      <c r="F48" s="13">
        <v>1308338</v>
      </c>
      <c r="G48" s="13">
        <v>1308338</v>
      </c>
      <c r="H48" s="13">
        <v>1308338</v>
      </c>
      <c r="I48" s="13">
        <v>1308338</v>
      </c>
      <c r="J48" s="13">
        <v>1308338</v>
      </c>
      <c r="L48" s="13">
        <f t="shared" si="16"/>
        <v>1308338</v>
      </c>
      <c r="M48" s="13">
        <f t="shared" si="17"/>
        <v>119660.32695296707</v>
      </c>
      <c r="N48" s="13">
        <f t="shared" si="21"/>
        <v>352436.65111641062</v>
      </c>
      <c r="O48" s="13">
        <f t="shared" si="22"/>
        <v>630708.55601542722</v>
      </c>
      <c r="P48" s="13">
        <f t="shared" si="23"/>
        <v>205532.46591519518</v>
      </c>
      <c r="Q48" s="13">
        <f t="shared" si="24"/>
        <v>0</v>
      </c>
      <c r="R48" s="13">
        <f t="shared" si="25"/>
        <v>0</v>
      </c>
      <c r="S48" s="13">
        <f t="shared" si="26"/>
        <v>0</v>
      </c>
      <c r="T48" s="13">
        <f t="shared" si="27"/>
        <v>0</v>
      </c>
      <c r="U48" s="13">
        <f t="shared" si="28"/>
        <v>0</v>
      </c>
      <c r="V48" s="13"/>
      <c r="W48" s="13">
        <f t="shared" si="18"/>
        <v>1308338.0000000002</v>
      </c>
      <c r="Y48" s="13">
        <f t="shared" si="29"/>
        <v>190517.12905345735</v>
      </c>
      <c r="Z48" s="18">
        <f t="shared" si="19"/>
        <v>16</v>
      </c>
      <c r="AA48" s="18" t="str">
        <f t="shared" si="20"/>
        <v>Seattle</v>
      </c>
      <c r="AB48" s="18">
        <f t="shared" si="30"/>
        <v>28</v>
      </c>
      <c r="AC48" s="18">
        <f t="shared" si="31"/>
        <v>28</v>
      </c>
      <c r="AD48" s="18">
        <f t="shared" si="32"/>
        <v>13</v>
      </c>
      <c r="AE48" s="18">
        <f t="shared" si="33"/>
        <v>13</v>
      </c>
      <c r="AF48" s="18">
        <f t="shared" si="34"/>
        <v>13</v>
      </c>
      <c r="AG48" s="18">
        <f t="shared" si="35"/>
        <v>13</v>
      </c>
      <c r="AH48" s="18" t="str">
        <f t="shared" si="15"/>
        <v>Seattle</v>
      </c>
    </row>
    <row r="49" spans="1:34">
      <c r="A49" s="18" t="s">
        <v>75</v>
      </c>
      <c r="B49" s="13">
        <v>265296.82666290499</v>
      </c>
      <c r="C49" s="13">
        <v>1134661.7791264467</v>
      </c>
      <c r="D49" s="13">
        <v>1476085</v>
      </c>
      <c r="E49" s="13">
        <v>1476085</v>
      </c>
      <c r="F49" s="13">
        <v>1476085</v>
      </c>
      <c r="G49" s="13">
        <v>1476085</v>
      </c>
      <c r="H49" s="13">
        <v>1476085</v>
      </c>
      <c r="I49" s="13">
        <v>1476085</v>
      </c>
      <c r="J49" s="13">
        <v>1476085</v>
      </c>
      <c r="L49" s="13">
        <f t="shared" si="16"/>
        <v>1476085</v>
      </c>
      <c r="M49" s="13">
        <f t="shared" si="17"/>
        <v>265296.82666290499</v>
      </c>
      <c r="N49" s="13">
        <f t="shared" si="21"/>
        <v>869364.95246354165</v>
      </c>
      <c r="O49" s="13">
        <f t="shared" si="22"/>
        <v>341423.22087355331</v>
      </c>
      <c r="P49" s="13">
        <f t="shared" si="23"/>
        <v>0</v>
      </c>
      <c r="Q49" s="13">
        <f t="shared" si="24"/>
        <v>0</v>
      </c>
      <c r="R49" s="13">
        <f t="shared" si="25"/>
        <v>0</v>
      </c>
      <c r="S49" s="13">
        <f t="shared" si="26"/>
        <v>0</v>
      </c>
      <c r="T49" s="13">
        <f t="shared" si="27"/>
        <v>0</v>
      </c>
      <c r="U49" s="13">
        <f t="shared" si="28"/>
        <v>0</v>
      </c>
      <c r="V49" s="13"/>
      <c r="W49" s="13">
        <f t="shared" si="18"/>
        <v>1476085</v>
      </c>
      <c r="Y49" s="13">
        <f t="shared" si="29"/>
        <v>325700.52088013518</v>
      </c>
      <c r="Z49" s="18">
        <f t="shared" si="19"/>
        <v>4</v>
      </c>
      <c r="AA49" s="18" t="str">
        <f t="shared" si="20"/>
        <v>South Florida</v>
      </c>
      <c r="AB49" s="18">
        <f t="shared" si="30"/>
        <v>1</v>
      </c>
      <c r="AC49" s="18">
        <f t="shared" si="31"/>
        <v>1</v>
      </c>
      <c r="AD49" s="18">
        <f t="shared" si="32"/>
        <v>5</v>
      </c>
      <c r="AE49" s="18">
        <f t="shared" si="33"/>
        <v>12</v>
      </c>
      <c r="AF49" s="18">
        <f t="shared" si="34"/>
        <v>12</v>
      </c>
      <c r="AG49" s="18">
        <f t="shared" si="35"/>
        <v>12</v>
      </c>
      <c r="AH49" s="18" t="str">
        <f t="shared" si="15"/>
        <v>South Florida</v>
      </c>
    </row>
    <row r="50" spans="1:34">
      <c r="A50" s="18" t="s">
        <v>57</v>
      </c>
      <c r="B50" s="13">
        <v>108987.37359124416</v>
      </c>
      <c r="C50" s="13">
        <v>477666.73430719285</v>
      </c>
      <c r="D50" s="13">
        <v>1123947.6440254252</v>
      </c>
      <c r="E50" s="13">
        <v>1144336</v>
      </c>
      <c r="F50" s="13">
        <v>1144336</v>
      </c>
      <c r="G50" s="13">
        <v>1144336</v>
      </c>
      <c r="H50" s="13">
        <v>1144336</v>
      </c>
      <c r="I50" s="13">
        <v>1144336</v>
      </c>
      <c r="J50" s="13">
        <v>1144336</v>
      </c>
      <c r="L50" s="13">
        <f t="shared" si="16"/>
        <v>1144336</v>
      </c>
      <c r="M50" s="13">
        <f t="shared" si="17"/>
        <v>108987.37359124416</v>
      </c>
      <c r="N50" s="13">
        <f t="shared" si="21"/>
        <v>368679.36071594869</v>
      </c>
      <c r="O50" s="13">
        <f t="shared" si="22"/>
        <v>646280.90971823235</v>
      </c>
      <c r="P50" s="13">
        <f t="shared" si="23"/>
        <v>20388.355974574806</v>
      </c>
      <c r="Q50" s="13">
        <f t="shared" si="24"/>
        <v>0</v>
      </c>
      <c r="R50" s="13">
        <f t="shared" si="25"/>
        <v>0</v>
      </c>
      <c r="S50" s="13">
        <f t="shared" si="26"/>
        <v>0</v>
      </c>
      <c r="T50" s="13">
        <f t="shared" si="27"/>
        <v>0</v>
      </c>
      <c r="U50" s="13">
        <f t="shared" si="28"/>
        <v>0</v>
      </c>
      <c r="V50" s="13"/>
      <c r="W50" s="13">
        <f t="shared" si="18"/>
        <v>1144336</v>
      </c>
      <c r="Y50" s="13">
        <f t="shared" si="29"/>
        <v>182866.61856733274</v>
      </c>
      <c r="Z50" s="18">
        <f t="shared" si="19"/>
        <v>17</v>
      </c>
      <c r="AA50" s="18" t="str">
        <f t="shared" si="20"/>
        <v>St. Louis</v>
      </c>
      <c r="AB50" s="18">
        <f t="shared" si="30"/>
        <v>32</v>
      </c>
      <c r="AC50" s="18">
        <f t="shared" si="31"/>
        <v>27</v>
      </c>
      <c r="AD50" s="18">
        <f t="shared" si="32"/>
        <v>11</v>
      </c>
      <c r="AE50" s="18">
        <f t="shared" si="33"/>
        <v>18</v>
      </c>
      <c r="AF50" s="18">
        <f t="shared" si="34"/>
        <v>18</v>
      </c>
      <c r="AG50" s="18">
        <f t="shared" si="35"/>
        <v>18</v>
      </c>
      <c r="AH50" s="18" t="str">
        <f t="shared" si="15"/>
        <v>St. Louis</v>
      </c>
    </row>
    <row r="51" spans="1:34">
      <c r="A51" s="18" t="s">
        <v>70</v>
      </c>
      <c r="B51" s="13">
        <v>86408.319781659142</v>
      </c>
      <c r="C51" s="13">
        <v>365090.31324181554</v>
      </c>
      <c r="D51" s="13">
        <v>848928.0085215026</v>
      </c>
      <c r="E51" s="13">
        <v>914711</v>
      </c>
      <c r="F51" s="13">
        <v>914711</v>
      </c>
      <c r="G51" s="13">
        <v>914711</v>
      </c>
      <c r="H51" s="13">
        <v>914711</v>
      </c>
      <c r="I51" s="13">
        <v>914711</v>
      </c>
      <c r="J51" s="13">
        <v>914711</v>
      </c>
      <c r="L51" s="13">
        <f t="shared" si="16"/>
        <v>914711</v>
      </c>
      <c r="M51" s="13">
        <f t="shared" si="17"/>
        <v>86408.319781659142</v>
      </c>
      <c r="N51" s="13">
        <f t="shared" si="21"/>
        <v>278681.99346015637</v>
      </c>
      <c r="O51" s="13">
        <f t="shared" si="22"/>
        <v>483837.69527968706</v>
      </c>
      <c r="P51" s="13">
        <f t="shared" si="23"/>
        <v>65782.991478497395</v>
      </c>
      <c r="Q51" s="13">
        <f t="shared" si="24"/>
        <v>0</v>
      </c>
      <c r="R51" s="13">
        <f t="shared" si="25"/>
        <v>0</v>
      </c>
      <c r="S51" s="13">
        <f t="shared" si="26"/>
        <v>0</v>
      </c>
      <c r="T51" s="13">
        <f t="shared" si="27"/>
        <v>0</v>
      </c>
      <c r="U51" s="13">
        <f t="shared" si="28"/>
        <v>0</v>
      </c>
      <c r="V51" s="13"/>
      <c r="W51" s="13">
        <f t="shared" si="18"/>
        <v>914711</v>
      </c>
      <c r="Y51" s="13">
        <f t="shared" si="29"/>
        <v>141664.91008301071</v>
      </c>
      <c r="Z51" s="18">
        <f t="shared" si="19"/>
        <v>34</v>
      </c>
      <c r="AA51" s="18" t="str">
        <f t="shared" si="20"/>
        <v>Tampa Bay</v>
      </c>
      <c r="AB51" s="18">
        <f t="shared" si="30"/>
        <v>45</v>
      </c>
      <c r="AC51" s="18">
        <f t="shared" si="31"/>
        <v>44</v>
      </c>
      <c r="AD51" s="18">
        <f t="shared" si="32"/>
        <v>23</v>
      </c>
      <c r="AE51" s="18">
        <f t="shared" si="33"/>
        <v>23</v>
      </c>
      <c r="AF51" s="18">
        <f t="shared" si="34"/>
        <v>23</v>
      </c>
      <c r="AG51" s="18">
        <f t="shared" si="35"/>
        <v>23</v>
      </c>
      <c r="AH51" s="18" t="str">
        <f t="shared" si="15"/>
        <v>Tampa Bay</v>
      </c>
    </row>
    <row r="52" spans="1:34">
      <c r="A52" s="18" t="s">
        <v>58</v>
      </c>
      <c r="B52" s="13">
        <v>125249.77216503282</v>
      </c>
      <c r="C52" s="13">
        <v>536510.49229908513</v>
      </c>
      <c r="D52" s="13">
        <v>1285044.9811851359</v>
      </c>
      <c r="E52" s="13">
        <v>2214350</v>
      </c>
      <c r="F52" s="13">
        <v>2214350</v>
      </c>
      <c r="G52" s="13">
        <v>2214350</v>
      </c>
      <c r="H52" s="13">
        <v>2214350</v>
      </c>
      <c r="I52" s="13">
        <v>2214350</v>
      </c>
      <c r="J52" s="13">
        <v>2214350</v>
      </c>
      <c r="L52" s="13">
        <f t="shared" si="16"/>
        <v>2214350</v>
      </c>
      <c r="M52" s="13">
        <f t="shared" si="17"/>
        <v>125249.77216503282</v>
      </c>
      <c r="N52" s="13">
        <f t="shared" si="21"/>
        <v>411260.72013405233</v>
      </c>
      <c r="O52" s="13">
        <f t="shared" si="22"/>
        <v>748534.48888605076</v>
      </c>
      <c r="P52" s="13">
        <f t="shared" si="23"/>
        <v>929305.0188148641</v>
      </c>
      <c r="Q52" s="13">
        <f t="shared" si="24"/>
        <v>0</v>
      </c>
      <c r="R52" s="13">
        <f t="shared" si="25"/>
        <v>0</v>
      </c>
      <c r="S52" s="13">
        <f t="shared" si="26"/>
        <v>0</v>
      </c>
      <c r="T52" s="13">
        <f t="shared" si="27"/>
        <v>0</v>
      </c>
      <c r="U52" s="13">
        <f t="shared" si="28"/>
        <v>0</v>
      </c>
      <c r="V52" s="13"/>
      <c r="W52" s="13">
        <f t="shared" si="18"/>
        <v>2214350.0000000005</v>
      </c>
      <c r="Y52" s="13">
        <f t="shared" si="29"/>
        <v>245096.49529920178</v>
      </c>
      <c r="Z52" s="18">
        <f t="shared" si="19"/>
        <v>9</v>
      </c>
      <c r="AA52" s="18" t="str">
        <f t="shared" si="20"/>
        <v>Washington</v>
      </c>
      <c r="AB52" s="18">
        <f t="shared" si="30"/>
        <v>25</v>
      </c>
      <c r="AC52" s="18">
        <f t="shared" si="31"/>
        <v>18</v>
      </c>
      <c r="AD52" s="18">
        <f t="shared" si="32"/>
        <v>8</v>
      </c>
      <c r="AE52" s="18">
        <f t="shared" si="33"/>
        <v>5</v>
      </c>
      <c r="AF52" s="18">
        <f t="shared" si="34"/>
        <v>5</v>
      </c>
      <c r="AG52" s="18">
        <f t="shared" si="35"/>
        <v>5</v>
      </c>
      <c r="AH52" s="18" t="str">
        <f t="shared" si="15"/>
        <v>Washington</v>
      </c>
    </row>
    <row r="54" spans="1:34">
      <c r="A54" s="134" t="s">
        <v>581</v>
      </c>
      <c r="B54" s="134">
        <f>SUMPRODUCT(B2:B52,$W$2:$W$52)/SUM($W$2:$W$52)</f>
        <v>145571.93986522604</v>
      </c>
      <c r="C54" s="134">
        <f t="shared" ref="C54:J54" si="36">SUMPRODUCT(C2:C52,$W$2:$W$52)/SUM($W$2:$W$52)</f>
        <v>596250.60239089641</v>
      </c>
      <c r="D54" s="134">
        <f t="shared" si="36"/>
        <v>1214211.3063647673</v>
      </c>
      <c r="E54" s="134">
        <f t="shared" si="36"/>
        <v>1819033.6455644725</v>
      </c>
      <c r="F54" s="134">
        <f t="shared" si="36"/>
        <v>2275018.4198599155</v>
      </c>
      <c r="G54" s="134">
        <f t="shared" si="36"/>
        <v>2776177.4318969194</v>
      </c>
      <c r="H54" s="134">
        <f t="shared" si="36"/>
        <v>2872250.9429150722</v>
      </c>
      <c r="I54" s="134">
        <f t="shared" si="36"/>
        <v>2872250.9429150722</v>
      </c>
      <c r="J54" s="134">
        <f t="shared" si="36"/>
        <v>2872250.9429150722</v>
      </c>
      <c r="M54" s="18">
        <v>1</v>
      </c>
      <c r="N54" s="18">
        <v>1</v>
      </c>
      <c r="O54" s="18">
        <v>1</v>
      </c>
      <c r="P54" s="18">
        <v>1</v>
      </c>
      <c r="Q54" s="18">
        <v>1</v>
      </c>
      <c r="R54" s="18">
        <v>1</v>
      </c>
      <c r="S54" s="18">
        <v>1</v>
      </c>
      <c r="T54" s="18">
        <v>1</v>
      </c>
      <c r="U54" s="18">
        <v>1</v>
      </c>
      <c r="Y54" s="28">
        <f>M54*EXP(Beta1990*10)+N54*EXP(Beta1990*20)+O54*EXP(Beta1990*30)+P54*EXP(Beta1990*40)+Q54*EXP(Beta1990*50)+R54*EXP(Beta1990*60)</f>
        <v>0.80925102531740989</v>
      </c>
      <c r="AB54" s="18" t="s">
        <v>146</v>
      </c>
    </row>
    <row r="55" spans="1:34">
      <c r="A55" s="18" t="s">
        <v>143</v>
      </c>
      <c r="B55" s="18">
        <v>-0.08</v>
      </c>
      <c r="Z55" s="29" t="s">
        <v>147</v>
      </c>
      <c r="AA55" s="29" t="s">
        <v>128</v>
      </c>
      <c r="AB55" s="29">
        <f>AB1</f>
        <v>10</v>
      </c>
      <c r="AC55" s="29">
        <f t="shared" ref="AC55:AG55" si="37">AC1</f>
        <v>20</v>
      </c>
      <c r="AD55" s="29">
        <f t="shared" si="37"/>
        <v>30</v>
      </c>
      <c r="AE55" s="29">
        <f t="shared" si="37"/>
        <v>40</v>
      </c>
      <c r="AF55" s="29">
        <f t="shared" si="37"/>
        <v>50</v>
      </c>
      <c r="AG55" s="29">
        <f t="shared" si="37"/>
        <v>60</v>
      </c>
      <c r="AH55" s="18" t="s">
        <v>147</v>
      </c>
    </row>
    <row r="56" spans="1:34">
      <c r="Z56" s="18" t="str">
        <f>VLOOKUP($AA56,Z$2:$AA$52,2,FALSE)</f>
        <v>New York</v>
      </c>
      <c r="AA56" s="18">
        <v>1</v>
      </c>
      <c r="AB56" s="18" t="str">
        <f>VLOOKUP($AA56,AB$2:$AH$52,8-AB$1/10,FALSE)</f>
        <v>South Florida</v>
      </c>
      <c r="AC56" s="18" t="str">
        <f>VLOOKUP($AA56,AC$2:$AH$52,8-AC$1/10,FALSE)</f>
        <v>South Florida</v>
      </c>
      <c r="AD56" s="18" t="str">
        <f>VLOOKUP($AA56,AD$2:$AH$52,8-AD$1/10,FALSE)</f>
        <v>Philadelphia</v>
      </c>
      <c r="AE56" s="18" t="str">
        <f>VLOOKUP($AA56,AE$2:$AH$52,8-AE$1/10,FALSE)</f>
        <v>New York</v>
      </c>
      <c r="AF56" s="18" t="str">
        <f>VLOOKUP($AA56,AF$2:$AH$52,8-AF$1/10,FALSE)</f>
        <v>New York</v>
      </c>
      <c r="AG56" s="18" t="str">
        <f>VLOOKUP($AA56,AG$2:$AH$52,8-AG$1/10,FALSE)</f>
        <v>New York</v>
      </c>
      <c r="AH56" s="18" t="str">
        <f>Z56</f>
        <v>New York</v>
      </c>
    </row>
    <row r="57" spans="1:34">
      <c r="A57" s="18" t="s">
        <v>145</v>
      </c>
      <c r="Z57" s="18" t="str">
        <f>VLOOKUP($AA57,Z$2:$AA$52,2,FALSE)</f>
        <v>Philadelphia</v>
      </c>
      <c r="AA57" s="18">
        <v>2</v>
      </c>
      <c r="AB57" s="18" t="str">
        <f>VLOOKUP($AA57,AB$2:$AH$52,8-AB$1/10,FALSE)</f>
        <v>Hartford</v>
      </c>
      <c r="AC57" s="18" t="str">
        <f>VLOOKUP($AA57,AC$2:$AH$52,8-AC$1/10,FALSE)</f>
        <v>Cleveland</v>
      </c>
      <c r="AD57" s="18" t="str">
        <f>VLOOKUP($AA57,AD$2:$AH$52,8-AD$1/10,FALSE)</f>
        <v>New York</v>
      </c>
      <c r="AE57" s="18" t="str">
        <f>VLOOKUP($AA57,AE$2:$AH$52,8-AE$1/10,FALSE)</f>
        <v>Chicago</v>
      </c>
      <c r="AF57" s="18" t="str">
        <f>VLOOKUP($AA57,AF$2:$AH$52,8-AF$1/10,FALSE)</f>
        <v>Los Angeles</v>
      </c>
      <c r="AG57" s="18" t="str">
        <f>VLOOKUP($AA57,AG$2:$AH$52,8-AG$1/10,FALSE)</f>
        <v>Los Angeles</v>
      </c>
      <c r="AH57" s="18" t="str">
        <f t="shared" ref="AH57:AH105" si="38">Z57</f>
        <v>Philadelphia</v>
      </c>
    </row>
    <row r="58" spans="1:34">
      <c r="Z58" s="18" t="str">
        <f>VLOOKUP($AA58,Z$2:$AA$52,2,FALSE)</f>
        <v>Chicago</v>
      </c>
      <c r="AA58" s="18">
        <v>3</v>
      </c>
      <c r="AB58" s="18" t="str">
        <f>VLOOKUP($AA58,AB$2:$AH$52,8-AB$1/10,FALSE)</f>
        <v>Rochester</v>
      </c>
      <c r="AC58" s="18" t="str">
        <f>VLOOKUP($AA58,AC$2:$AH$52,8-AC$1/10,FALSE)</f>
        <v>Philadelphia</v>
      </c>
      <c r="AD58" s="18" t="str">
        <f>VLOOKUP($AA58,AD$2:$AH$52,8-AD$1/10,FALSE)</f>
        <v>Boston</v>
      </c>
      <c r="AE58" s="18" t="str">
        <f>VLOOKUP($AA58,AE$2:$AH$52,8-AE$1/10,FALSE)</f>
        <v>Philadelphia</v>
      </c>
      <c r="AF58" s="18" t="str">
        <f>VLOOKUP($AA58,AF$2:$AH$52,8-AF$1/10,FALSE)</f>
        <v>Chicago</v>
      </c>
      <c r="AG58" s="18" t="str">
        <f>VLOOKUP($AA58,AG$2:$AH$52,8-AG$1/10,FALSE)</f>
        <v>Chicago</v>
      </c>
      <c r="AH58" s="18" t="str">
        <f t="shared" si="38"/>
        <v>Chicago</v>
      </c>
    </row>
    <row r="59" spans="1:34">
      <c r="Z59" s="18" t="str">
        <f>VLOOKUP($AA59,Z$2:$AA$52,2,FALSE)</f>
        <v>South Florida</v>
      </c>
      <c r="AA59" s="18">
        <f>AA58+1</f>
        <v>4</v>
      </c>
      <c r="AB59" s="18" t="str">
        <f>VLOOKUP($AA59,AB$2:$AH$52,8-AB$1/10,FALSE)</f>
        <v>Buffalo</v>
      </c>
      <c r="AC59" s="18" t="str">
        <f>VLOOKUP($AA59,AC$2:$AH$52,8-AC$1/10,FALSE)</f>
        <v>New York</v>
      </c>
      <c r="AD59" s="18" t="str">
        <f>VLOOKUP($AA59,AD$2:$AH$52,8-AD$1/10,FALSE)</f>
        <v>Chicago</v>
      </c>
      <c r="AE59" s="18" t="str">
        <f>VLOOKUP($AA59,AE$2:$AH$52,8-AE$1/10,FALSE)</f>
        <v>Los Angeles</v>
      </c>
      <c r="AF59" s="18" t="str">
        <f>VLOOKUP($AA59,AF$2:$AH$52,8-AF$1/10,FALSE)</f>
        <v>Philadelphia</v>
      </c>
      <c r="AG59" s="18" t="str">
        <f>VLOOKUP($AA59,AG$2:$AH$52,8-AG$1/10,FALSE)</f>
        <v>Philadelphia</v>
      </c>
      <c r="AH59" s="18" t="str">
        <f t="shared" si="38"/>
        <v>South Florida</v>
      </c>
    </row>
    <row r="60" spans="1:34">
      <c r="Z60" s="18" t="str">
        <f>VLOOKUP($AA60,Z$2:$AA$52,2,FALSE)</f>
        <v>Los Angeles</v>
      </c>
      <c r="AA60" s="18">
        <f t="shared" ref="AA60:AA105" si="39">AA59+1</f>
        <v>5</v>
      </c>
      <c r="AB60" s="18" t="str">
        <f>VLOOKUP($AA60,AB$2:$AH$52,8-AB$1/10,FALSE)</f>
        <v>Honolulu</v>
      </c>
      <c r="AC60" s="18" t="str">
        <f>VLOOKUP($AA60,AC$2:$AH$52,8-AC$1/10,FALSE)</f>
        <v>Boston</v>
      </c>
      <c r="AD60" s="18" t="str">
        <f>VLOOKUP($AA60,AD$2:$AH$52,8-AD$1/10,FALSE)</f>
        <v>South Florida</v>
      </c>
      <c r="AE60" s="18" t="str">
        <f>VLOOKUP($AA60,AE$2:$AH$52,8-AE$1/10,FALSE)</f>
        <v>Washington</v>
      </c>
      <c r="AF60" s="18" t="str">
        <f>VLOOKUP($AA60,AF$2:$AH$52,8-AF$1/10,FALSE)</f>
        <v>Washington</v>
      </c>
      <c r="AG60" s="18" t="str">
        <f>VLOOKUP($AA60,AG$2:$AH$52,8-AG$1/10,FALSE)</f>
        <v>Washington</v>
      </c>
      <c r="AH60" s="18" t="str">
        <f t="shared" si="38"/>
        <v>Los Angeles</v>
      </c>
    </row>
    <row r="61" spans="1:34">
      <c r="Z61" s="18" t="str">
        <f>VLOOKUP($AA61,Z$2:$AA$52,2,FALSE)</f>
        <v>Boston</v>
      </c>
      <c r="AA61" s="18">
        <f t="shared" si="39"/>
        <v>6</v>
      </c>
      <c r="AB61" s="18" t="str">
        <f>VLOOKUP($AA61,AB$2:$AH$52,8-AB$1/10,FALSE)</f>
        <v>Raleigh</v>
      </c>
      <c r="AC61" s="18" t="str">
        <f>VLOOKUP($AA61,AC$2:$AH$52,8-AC$1/10,FALSE)</f>
        <v>Chicago</v>
      </c>
      <c r="AD61" s="18" t="str">
        <f>VLOOKUP($AA61,AD$2:$AH$52,8-AD$1/10,FALSE)</f>
        <v>Los Angeles</v>
      </c>
      <c r="AE61" s="18" t="str">
        <f>VLOOKUP($AA61,AE$2:$AH$52,8-AE$1/10,FALSE)</f>
        <v>Boston</v>
      </c>
      <c r="AF61" s="18" t="str">
        <f>VLOOKUP($AA61,AF$2:$AH$52,8-AF$1/10,FALSE)</f>
        <v>Boston</v>
      </c>
      <c r="AG61" s="18" t="str">
        <f>VLOOKUP($AA61,AG$2:$AH$52,8-AG$1/10,FALSE)</f>
        <v>Boston</v>
      </c>
      <c r="AH61" s="18" t="str">
        <f t="shared" si="38"/>
        <v>Boston</v>
      </c>
    </row>
    <row r="62" spans="1:34">
      <c r="Z62" s="18" t="str">
        <f>VLOOKUP($AA62,Z$2:$AA$52,2,FALSE)</f>
        <v>Cleveland</v>
      </c>
      <c r="AA62" s="18">
        <f t="shared" si="39"/>
        <v>7</v>
      </c>
      <c r="AB62" s="18" t="str">
        <f>VLOOKUP($AA62,AB$2:$AH$52,8-AB$1/10,FALSE)</f>
        <v>Charlotte</v>
      </c>
      <c r="AC62" s="18" t="str">
        <f>VLOOKUP($AA62,AC$2:$AH$52,8-AC$1/10,FALSE)</f>
        <v>Columbus</v>
      </c>
      <c r="AD62" s="18" t="str">
        <f>VLOOKUP($AA62,AD$2:$AH$52,8-AD$1/10,FALSE)</f>
        <v>Detroit</v>
      </c>
      <c r="AE62" s="18" t="str">
        <f>VLOOKUP($AA62,AE$2:$AH$52,8-AE$1/10,FALSE)</f>
        <v>Detroit</v>
      </c>
      <c r="AF62" s="18" t="str">
        <f>VLOOKUP($AA62,AF$2:$AH$52,8-AF$1/10,FALSE)</f>
        <v>Detroit</v>
      </c>
      <c r="AG62" s="18" t="str">
        <f>VLOOKUP($AA62,AG$2:$AH$52,8-AG$1/10,FALSE)</f>
        <v>Detroit</v>
      </c>
      <c r="AH62" s="18" t="str">
        <f t="shared" si="38"/>
        <v>Cleveland</v>
      </c>
    </row>
    <row r="63" spans="1:34">
      <c r="Z63" s="18" t="str">
        <f>VLOOKUP($AA63,Z$2:$AA$52,2,FALSE)</f>
        <v>Detroit</v>
      </c>
      <c r="AA63" s="18">
        <f t="shared" si="39"/>
        <v>8</v>
      </c>
      <c r="AB63" s="18" t="str">
        <f>VLOOKUP($AA63,AB$2:$AH$52,8-AB$1/10,FALSE)</f>
        <v>Cleveland</v>
      </c>
      <c r="AC63" s="18" t="str">
        <f>VLOOKUP($AA63,AC$2:$AH$52,8-AC$1/10,FALSE)</f>
        <v>Denver</v>
      </c>
      <c r="AD63" s="18" t="str">
        <f>VLOOKUP($AA63,AD$2:$AH$52,8-AD$1/10,FALSE)</f>
        <v>Washington</v>
      </c>
      <c r="AE63" s="18" t="str">
        <f>VLOOKUP($AA63,AE$2:$AH$52,8-AE$1/10,FALSE)</f>
        <v>Dallas-Fort Worth</v>
      </c>
      <c r="AF63" s="18" t="str">
        <f>VLOOKUP($AA63,AF$2:$AH$52,8-AF$1/10,FALSE)</f>
        <v>Dallas-Fort Worth</v>
      </c>
      <c r="AG63" s="18" t="str">
        <f>VLOOKUP($AA63,AG$2:$AH$52,8-AG$1/10,FALSE)</f>
        <v>Dallas-Fort Worth</v>
      </c>
      <c r="AH63" s="18" t="str">
        <f t="shared" si="38"/>
        <v>Detroit</v>
      </c>
    </row>
    <row r="64" spans="1:34">
      <c r="Z64" s="18" t="str">
        <f>VLOOKUP($AA64,Z$2:$AA$52,2,FALSE)</f>
        <v>Washington</v>
      </c>
      <c r="AA64" s="18">
        <f t="shared" si="39"/>
        <v>9</v>
      </c>
      <c r="AB64" s="18" t="str">
        <f>VLOOKUP($AA64,AB$2:$AH$52,8-AB$1/10,FALSE)</f>
        <v>Philadelphia</v>
      </c>
      <c r="AC64" s="18" t="str">
        <f>VLOOKUP($AA64,AC$2:$AH$52,8-AC$1/10,FALSE)</f>
        <v>San Jose</v>
      </c>
      <c r="AD64" s="18" t="str">
        <f>VLOOKUP($AA64,AD$2:$AH$52,8-AD$1/10,FALSE)</f>
        <v>Cleveland</v>
      </c>
      <c r="AE64" s="18" t="str">
        <f>VLOOKUP($AA64,AE$2:$AH$52,8-AE$1/10,FALSE)</f>
        <v>San Francisco</v>
      </c>
      <c r="AF64" s="18" t="str">
        <f>VLOOKUP($AA64,AF$2:$AH$52,8-AF$1/10,FALSE)</f>
        <v>San Francisco</v>
      </c>
      <c r="AG64" s="18" t="str">
        <f>VLOOKUP($AA64,AG$2:$AH$52,8-AG$1/10,FALSE)</f>
        <v>San Francisco</v>
      </c>
      <c r="AH64" s="18" t="str">
        <f t="shared" si="38"/>
        <v>Washington</v>
      </c>
    </row>
    <row r="65" spans="26:34">
      <c r="Z65" s="18" t="str">
        <f>VLOOKUP($AA65,Z$2:$AA$52,2,FALSE)</f>
        <v>Dallas-Fort Worth</v>
      </c>
      <c r="AA65" s="18">
        <f t="shared" si="39"/>
        <v>10</v>
      </c>
      <c r="AB65" s="18" t="str">
        <f>VLOOKUP($AA65,AB$2:$AH$52,8-AB$1/10,FALSE)</f>
        <v>New York</v>
      </c>
      <c r="AC65" s="18" t="str">
        <f>VLOOKUP($AA65,AC$2:$AH$52,8-AC$1/10,FALSE)</f>
        <v>Charlotte</v>
      </c>
      <c r="AD65" s="18" t="str">
        <f>VLOOKUP($AA65,AD$2:$AH$52,8-AD$1/10,FALSE)</f>
        <v>Baltimore</v>
      </c>
      <c r="AE65" s="18" t="str">
        <f>VLOOKUP($AA65,AE$2:$AH$52,8-AE$1/10,FALSE)</f>
        <v>Houston</v>
      </c>
      <c r="AF65" s="18" t="str">
        <f>VLOOKUP($AA65,AF$2:$AH$52,8-AF$1/10,FALSE)</f>
        <v>Houston</v>
      </c>
      <c r="AG65" s="18" t="str">
        <f>VLOOKUP($AA65,AG$2:$AH$52,8-AG$1/10,FALSE)</f>
        <v>Houston</v>
      </c>
      <c r="AH65" s="18" t="str">
        <f t="shared" si="38"/>
        <v>Dallas-Fort Worth</v>
      </c>
    </row>
    <row r="66" spans="26:34">
      <c r="Z66" s="18" t="str">
        <f>VLOOKUP($AA66,Z$2:$AA$52,2,FALSE)</f>
        <v>Baltimore</v>
      </c>
      <c r="AA66" s="18">
        <f t="shared" si="39"/>
        <v>11</v>
      </c>
      <c r="AB66" s="18" t="str">
        <f>VLOOKUP($AA66,AB$2:$AH$52,8-AB$1/10,FALSE)</f>
        <v>Columbus</v>
      </c>
      <c r="AC66" s="18" t="str">
        <f>VLOOKUP($AA66,AC$2:$AH$52,8-AC$1/10,FALSE)</f>
        <v>Baltimore</v>
      </c>
      <c r="AD66" s="18" t="str">
        <f>VLOOKUP($AA66,AD$2:$AH$52,8-AD$1/10,FALSE)</f>
        <v>St. Louis</v>
      </c>
      <c r="AE66" s="18" t="str">
        <f>VLOOKUP($AA66,AE$2:$AH$52,8-AE$1/10,FALSE)</f>
        <v>Atlanta</v>
      </c>
      <c r="AF66" s="18" t="str">
        <f>VLOOKUP($AA66,AF$2:$AH$52,8-AF$1/10,FALSE)</f>
        <v>Atlanta</v>
      </c>
      <c r="AG66" s="18" t="str">
        <f>VLOOKUP($AA66,AG$2:$AH$52,8-AG$1/10,FALSE)</f>
        <v>Atlanta</v>
      </c>
      <c r="AH66" s="18" t="str">
        <f t="shared" si="38"/>
        <v>Baltimore</v>
      </c>
    </row>
    <row r="67" spans="26:34">
      <c r="Z67" s="18" t="str">
        <f>VLOOKUP($AA67,Z$2:$AA$52,2,FALSE)</f>
        <v>San Francisco</v>
      </c>
      <c r="AA67" s="18">
        <f t="shared" si="39"/>
        <v>12</v>
      </c>
      <c r="AB67" s="18" t="str">
        <f>VLOOKUP($AA67,AB$2:$AH$52,8-AB$1/10,FALSE)</f>
        <v>Providence</v>
      </c>
      <c r="AC67" s="18" t="str">
        <f>VLOOKUP($AA67,AC$2:$AH$52,8-AC$1/10,FALSE)</f>
        <v>Los Angeles</v>
      </c>
      <c r="AD67" s="18" t="str">
        <f>VLOOKUP($AA67,AD$2:$AH$52,8-AD$1/10,FALSE)</f>
        <v>Dallas-Fort Worth</v>
      </c>
      <c r="AE67" s="18" t="str">
        <f>VLOOKUP($AA67,AE$2:$AH$52,8-AE$1/10,FALSE)</f>
        <v>South Florida</v>
      </c>
      <c r="AF67" s="18" t="str">
        <f>VLOOKUP($AA67,AF$2:$AH$52,8-AF$1/10,FALSE)</f>
        <v>South Florida</v>
      </c>
      <c r="AG67" s="18" t="str">
        <f>VLOOKUP($AA67,AG$2:$AH$52,8-AG$1/10,FALSE)</f>
        <v>South Florida</v>
      </c>
      <c r="AH67" s="18" t="str">
        <f t="shared" si="38"/>
        <v>San Francisco</v>
      </c>
    </row>
    <row r="68" spans="26:34">
      <c r="Z68" s="18" t="str">
        <f>VLOOKUP($AA68,Z$2:$AA$52,2,FALSE)</f>
        <v>Denver</v>
      </c>
      <c r="AA68" s="18">
        <f t="shared" si="39"/>
        <v>13</v>
      </c>
      <c r="AB68" s="18" t="str">
        <f>VLOOKUP($AA68,AB$2:$AH$52,8-AB$1/10,FALSE)</f>
        <v>Boston</v>
      </c>
      <c r="AC68" s="18" t="str">
        <f>VLOOKUP($AA68,AC$2:$AH$52,8-AC$1/10,FALSE)</f>
        <v>Detroit</v>
      </c>
      <c r="AD68" s="18" t="str">
        <f>VLOOKUP($AA68,AD$2:$AH$52,8-AD$1/10,FALSE)</f>
        <v>Seattle</v>
      </c>
      <c r="AE68" s="18" t="str">
        <f>VLOOKUP($AA68,AE$2:$AH$52,8-AE$1/10,FALSE)</f>
        <v>Seattle</v>
      </c>
      <c r="AF68" s="18" t="str">
        <f>VLOOKUP($AA68,AF$2:$AH$52,8-AF$1/10,FALSE)</f>
        <v>Seattle</v>
      </c>
      <c r="AG68" s="18" t="str">
        <f>VLOOKUP($AA68,AG$2:$AH$52,8-AG$1/10,FALSE)</f>
        <v>Seattle</v>
      </c>
      <c r="AH68" s="18" t="str">
        <f t="shared" si="38"/>
        <v>Denver</v>
      </c>
    </row>
    <row r="69" spans="26:34">
      <c r="Z69" s="18" t="str">
        <f>VLOOKUP($AA69,Z$2:$AA$52,2,FALSE)</f>
        <v>Houston</v>
      </c>
      <c r="AA69" s="18">
        <f t="shared" si="39"/>
        <v>14</v>
      </c>
      <c r="AB69" s="18" t="str">
        <f>VLOOKUP($AA69,AB$2:$AH$52,8-AB$1/10,FALSE)</f>
        <v>Chicago</v>
      </c>
      <c r="AC69" s="18" t="str">
        <f>VLOOKUP($AA69,AC$2:$AH$52,8-AC$1/10,FALSE)</f>
        <v>Milwaukee</v>
      </c>
      <c r="AD69" s="18" t="str">
        <f>VLOOKUP($AA69,AD$2:$AH$52,8-AD$1/10,FALSE)</f>
        <v>Houston</v>
      </c>
      <c r="AE69" s="18" t="str">
        <f>VLOOKUP($AA69,AE$2:$AH$52,8-AE$1/10,FALSE)</f>
        <v>Minneapolis-St.Paul</v>
      </c>
      <c r="AF69" s="18" t="str">
        <f>VLOOKUP($AA69,AF$2:$AH$52,8-AF$1/10,FALSE)</f>
        <v>Minneapolis-St.Paul</v>
      </c>
      <c r="AG69" s="18" t="str">
        <f>VLOOKUP($AA69,AG$2:$AH$52,8-AG$1/10,FALSE)</f>
        <v>Minneapolis-St.Paul</v>
      </c>
      <c r="AH69" s="18" t="str">
        <f t="shared" si="38"/>
        <v>Houston</v>
      </c>
    </row>
    <row r="70" spans="26:34">
      <c r="Z70" s="18" t="str">
        <f>VLOOKUP($AA70,Z$2:$AA$52,2,FALSE)</f>
        <v>San Jose</v>
      </c>
      <c r="AA70" s="18">
        <f t="shared" si="39"/>
        <v>15</v>
      </c>
      <c r="AB70" s="18" t="str">
        <f>VLOOKUP($AA70,AB$2:$AH$52,8-AB$1/10,FALSE)</f>
        <v>San Jose</v>
      </c>
      <c r="AC70" s="18" t="str">
        <f>VLOOKUP($AA70,AC$2:$AH$52,8-AC$1/10,FALSE)</f>
        <v>Hartford</v>
      </c>
      <c r="AD70" s="18" t="str">
        <f>VLOOKUP($AA70,AD$2:$AH$52,8-AD$1/10,FALSE)</f>
        <v>San Francisco</v>
      </c>
      <c r="AE70" s="18" t="str">
        <f>VLOOKUP($AA70,AE$2:$AH$52,8-AE$1/10,FALSE)</f>
        <v>Cleveland</v>
      </c>
      <c r="AF70" s="18" t="str">
        <f>VLOOKUP($AA70,AF$2:$AH$52,8-AF$1/10,FALSE)</f>
        <v>Cleveland</v>
      </c>
      <c r="AG70" s="18" t="str">
        <f>VLOOKUP($AA70,AG$2:$AH$52,8-AG$1/10,FALSE)</f>
        <v>Cleveland</v>
      </c>
      <c r="AH70" s="18" t="str">
        <f t="shared" si="38"/>
        <v>San Jose</v>
      </c>
    </row>
    <row r="71" spans="26:34">
      <c r="Z71" s="18" t="str">
        <f>VLOOKUP($AA71,Z$2:$AA$52,2,FALSE)</f>
        <v>Seattle</v>
      </c>
      <c r="AA71" s="18">
        <f t="shared" si="39"/>
        <v>16</v>
      </c>
      <c r="AB71" s="18" t="str">
        <f>VLOOKUP($AA71,AB$2:$AH$52,8-AB$1/10,FALSE)</f>
        <v>Denver</v>
      </c>
      <c r="AC71" s="18" t="str">
        <f>VLOOKUP($AA71,AC$2:$AH$52,8-AC$1/10,FALSE)</f>
        <v>Cincinnati</v>
      </c>
      <c r="AD71" s="18" t="str">
        <f>VLOOKUP($AA71,AD$2:$AH$52,8-AD$1/10,FALSE)</f>
        <v>Denver</v>
      </c>
      <c r="AE71" s="18" t="str">
        <f>VLOOKUP($AA71,AE$2:$AH$52,8-AE$1/10,FALSE)</f>
        <v>San Diego</v>
      </c>
      <c r="AF71" s="18" t="str">
        <f>VLOOKUP($AA71,AF$2:$AH$52,8-AF$1/10,FALSE)</f>
        <v>San Diego</v>
      </c>
      <c r="AG71" s="18" t="str">
        <f>VLOOKUP($AA71,AG$2:$AH$52,8-AG$1/10,FALSE)</f>
        <v>San Diego</v>
      </c>
      <c r="AH71" s="18" t="str">
        <f t="shared" si="38"/>
        <v>Seattle</v>
      </c>
    </row>
    <row r="72" spans="26:34">
      <c r="Z72" s="18" t="str">
        <f>VLOOKUP($AA72,Z$2:$AA$52,2,FALSE)</f>
        <v>St. Louis</v>
      </c>
      <c r="AA72" s="18">
        <f t="shared" si="39"/>
        <v>17</v>
      </c>
      <c r="AB72" s="18" t="str">
        <f>VLOOKUP($AA72,AB$2:$AH$52,8-AB$1/10,FALSE)</f>
        <v>Salt Lake City</v>
      </c>
      <c r="AC72" s="18" t="str">
        <f>VLOOKUP($AA72,AC$2:$AH$52,8-AC$1/10,FALSE)</f>
        <v>Providence</v>
      </c>
      <c r="AD72" s="18" t="str">
        <f>VLOOKUP($AA72,AD$2:$AH$52,8-AD$1/10,FALSE)</f>
        <v>San Diego</v>
      </c>
      <c r="AE72" s="18" t="str">
        <f>VLOOKUP($AA72,AE$2:$AH$52,8-AE$1/10,FALSE)</f>
        <v>Baltimore</v>
      </c>
      <c r="AF72" s="18" t="str">
        <f>VLOOKUP($AA72,AF$2:$AH$52,8-AF$1/10,FALSE)</f>
        <v>Baltimore</v>
      </c>
      <c r="AG72" s="18" t="str">
        <f>VLOOKUP($AA72,AG$2:$AH$52,8-AG$1/10,FALSE)</f>
        <v>Baltimore</v>
      </c>
      <c r="AH72" s="18" t="str">
        <f t="shared" si="38"/>
        <v>St. Louis</v>
      </c>
    </row>
    <row r="73" spans="26:34">
      <c r="Z73" s="18" t="str">
        <f>VLOOKUP($AA73,Z$2:$AA$52,2,FALSE)</f>
        <v>Columbus</v>
      </c>
      <c r="AA73" s="18">
        <f t="shared" si="39"/>
        <v>18</v>
      </c>
      <c r="AB73" s="18" t="str">
        <f>VLOOKUP($AA73,AB$2:$AH$52,8-AB$1/10,FALSE)</f>
        <v>Grand Rapids</v>
      </c>
      <c r="AC73" s="18" t="str">
        <f>VLOOKUP($AA73,AC$2:$AH$52,8-AC$1/10,FALSE)</f>
        <v>Washington</v>
      </c>
      <c r="AD73" s="18" t="str">
        <f>VLOOKUP($AA73,AD$2:$AH$52,8-AD$1/10,FALSE)</f>
        <v>Pittsburgh</v>
      </c>
      <c r="AE73" s="18" t="str">
        <f>VLOOKUP($AA73,AE$2:$AH$52,8-AE$1/10,FALSE)</f>
        <v>St. Louis</v>
      </c>
      <c r="AF73" s="18" t="str">
        <f>VLOOKUP($AA73,AF$2:$AH$52,8-AF$1/10,FALSE)</f>
        <v>St. Louis</v>
      </c>
      <c r="AG73" s="18" t="str">
        <f>VLOOKUP($AA73,AG$2:$AH$52,8-AG$1/10,FALSE)</f>
        <v>St. Louis</v>
      </c>
      <c r="AH73" s="18" t="str">
        <f t="shared" si="38"/>
        <v>Columbus</v>
      </c>
    </row>
    <row r="74" spans="26:34">
      <c r="Z74" s="18" t="str">
        <f>VLOOKUP($AA74,Z$2:$AA$52,2,FALSE)</f>
        <v>Charlotte</v>
      </c>
      <c r="AA74" s="18">
        <f t="shared" si="39"/>
        <v>19</v>
      </c>
      <c r="AB74" s="18" t="str">
        <f>VLOOKUP($AA74,AB$2:$AH$52,8-AB$1/10,FALSE)</f>
        <v>Los Angeles</v>
      </c>
      <c r="AC74" s="18" t="str">
        <f>VLOOKUP($AA74,AC$2:$AH$52,8-AC$1/10,FALSE)</f>
        <v>Buffalo</v>
      </c>
      <c r="AD74" s="18" t="str">
        <f>VLOOKUP($AA74,AD$2:$AH$52,8-AD$1/10,FALSE)</f>
        <v>San Jose</v>
      </c>
      <c r="AE74" s="18" t="str">
        <f>VLOOKUP($AA74,AE$2:$AH$52,8-AE$1/10,FALSE)</f>
        <v>Phoenix</v>
      </c>
      <c r="AF74" s="18" t="str">
        <f>VLOOKUP($AA74,AF$2:$AH$52,8-AF$1/10,FALSE)</f>
        <v>Phoenix</v>
      </c>
      <c r="AG74" s="18" t="str">
        <f>VLOOKUP($AA74,AG$2:$AH$52,8-AG$1/10,FALSE)</f>
        <v>Phoenix</v>
      </c>
      <c r="AH74" s="18" t="str">
        <f t="shared" si="38"/>
        <v>Charlotte</v>
      </c>
    </row>
    <row r="75" spans="26:34">
      <c r="Z75" s="18" t="str">
        <f>VLOOKUP($AA75,Z$2:$AA$52,2,FALSE)</f>
        <v>San Diego</v>
      </c>
      <c r="AA75" s="18">
        <f t="shared" si="39"/>
        <v>20</v>
      </c>
      <c r="AB75" s="18" t="str">
        <f>VLOOKUP($AA75,AB$2:$AH$52,8-AB$1/10,FALSE)</f>
        <v>Baltimore</v>
      </c>
      <c r="AC75" s="18" t="str">
        <f>VLOOKUP($AA75,AC$2:$AH$52,8-AC$1/10,FALSE)</f>
        <v>Inland Empire</v>
      </c>
      <c r="AD75" s="18" t="str">
        <f>VLOOKUP($AA75,AD$2:$AH$52,8-AD$1/10,FALSE)</f>
        <v>Minneapolis-St.Paul</v>
      </c>
      <c r="AE75" s="18" t="str">
        <f>VLOOKUP($AA75,AE$2:$AH$52,8-AE$1/10,FALSE)</f>
        <v>Denver</v>
      </c>
      <c r="AF75" s="18" t="str">
        <f>VLOOKUP($AA75,AF$2:$AH$52,8-AF$1/10,FALSE)</f>
        <v>Denver</v>
      </c>
      <c r="AG75" s="18" t="str">
        <f>VLOOKUP($AA75,AG$2:$AH$52,8-AG$1/10,FALSE)</f>
        <v>Denver</v>
      </c>
      <c r="AH75" s="18" t="str">
        <f t="shared" si="38"/>
        <v>San Diego</v>
      </c>
    </row>
    <row r="76" spans="26:34">
      <c r="Z76" s="18" t="str">
        <f>VLOOKUP($AA76,Z$2:$AA$52,2,FALSE)</f>
        <v>Hartford</v>
      </c>
      <c r="AA76" s="18">
        <f t="shared" si="39"/>
        <v>21</v>
      </c>
      <c r="AB76" s="18" t="str">
        <f>VLOOKUP($AA76,AB$2:$AH$52,8-AB$1/10,FALSE)</f>
        <v>Detroit</v>
      </c>
      <c r="AC76" s="18" t="str">
        <f>VLOOKUP($AA76,AC$2:$AH$52,8-AC$1/10,FALSE)</f>
        <v>New Orleans</v>
      </c>
      <c r="AD76" s="18" t="str">
        <f>VLOOKUP($AA76,AD$2:$AH$52,8-AD$1/10,FALSE)</f>
        <v>Phoenix</v>
      </c>
      <c r="AE76" s="18" t="str">
        <f>VLOOKUP($AA76,AE$2:$AH$52,8-AE$1/10,FALSE)</f>
        <v>Pittsburgh</v>
      </c>
      <c r="AF76" s="18" t="str">
        <f>VLOOKUP($AA76,AF$2:$AH$52,8-AF$1/10,FALSE)</f>
        <v>Pittsburgh</v>
      </c>
      <c r="AG76" s="18" t="str">
        <f>VLOOKUP($AA76,AG$2:$AH$52,8-AG$1/10,FALSE)</f>
        <v>Pittsburgh</v>
      </c>
      <c r="AH76" s="18" t="str">
        <f t="shared" si="38"/>
        <v>Hartford</v>
      </c>
    </row>
    <row r="77" spans="26:34">
      <c r="Z77" s="18" t="str">
        <f>VLOOKUP($AA77,Z$2:$AA$52,2,FALSE)</f>
        <v>Atlanta</v>
      </c>
      <c r="AA77" s="18">
        <f t="shared" si="39"/>
        <v>22</v>
      </c>
      <c r="AB77" s="18" t="str">
        <f>VLOOKUP($AA77,AB$2:$AH$52,8-AB$1/10,FALSE)</f>
        <v>Milwaukee</v>
      </c>
      <c r="AC77" s="18" t="str">
        <f>VLOOKUP($AA77,AC$2:$AH$52,8-AC$1/10,FALSE)</f>
        <v>Indianapolis</v>
      </c>
      <c r="AD77" s="18" t="str">
        <f>VLOOKUP($AA77,AD$2:$AH$52,8-AD$1/10,FALSE)</f>
        <v>Atlanta</v>
      </c>
      <c r="AE77" s="18" t="str">
        <f>VLOOKUP($AA77,AE$2:$AH$52,8-AE$1/10,FALSE)</f>
        <v>San Jose</v>
      </c>
      <c r="AF77" s="18" t="str">
        <f>VLOOKUP($AA77,AF$2:$AH$52,8-AF$1/10,FALSE)</f>
        <v>San Jose</v>
      </c>
      <c r="AG77" s="18" t="str">
        <f>VLOOKUP($AA77,AG$2:$AH$52,8-AG$1/10,FALSE)</f>
        <v>San Jose</v>
      </c>
      <c r="AH77" s="18" t="str">
        <f t="shared" si="38"/>
        <v>Atlanta</v>
      </c>
    </row>
    <row r="78" spans="26:34">
      <c r="Z78" s="18" t="str">
        <f>VLOOKUP($AA78,Z$2:$AA$52,2,FALSE)</f>
        <v>Minneapolis-St.Paul</v>
      </c>
      <c r="AA78" s="18">
        <f t="shared" si="39"/>
        <v>23</v>
      </c>
      <c r="AB78" s="18" t="str">
        <f>VLOOKUP($AA78,AB$2:$AH$52,8-AB$1/10,FALSE)</f>
        <v>New Orleans</v>
      </c>
      <c r="AC78" s="18" t="str">
        <f>VLOOKUP($AA78,AC$2:$AH$52,8-AC$1/10,FALSE)</f>
        <v>Portland</v>
      </c>
      <c r="AD78" s="18" t="str">
        <f>VLOOKUP($AA78,AD$2:$AH$52,8-AD$1/10,FALSE)</f>
        <v>Tampa Bay</v>
      </c>
      <c r="AE78" s="18" t="str">
        <f>VLOOKUP($AA78,AE$2:$AH$52,8-AE$1/10,FALSE)</f>
        <v>Tampa Bay</v>
      </c>
      <c r="AF78" s="18" t="str">
        <f>VLOOKUP($AA78,AF$2:$AH$52,8-AF$1/10,FALSE)</f>
        <v>Tampa Bay</v>
      </c>
      <c r="AG78" s="18" t="str">
        <f>VLOOKUP($AA78,AG$2:$AH$52,8-AG$1/10,FALSE)</f>
        <v>Tampa Bay</v>
      </c>
      <c r="AH78" s="18" t="str">
        <f t="shared" si="38"/>
        <v>Minneapolis-St.Paul</v>
      </c>
    </row>
    <row r="79" spans="26:34">
      <c r="Z79" s="18" t="str">
        <f>VLOOKUP($AA79,Z$2:$AA$52,2,FALSE)</f>
        <v>Milwaukee</v>
      </c>
      <c r="AA79" s="18">
        <f t="shared" si="39"/>
        <v>24</v>
      </c>
      <c r="AB79" s="18" t="str">
        <f>VLOOKUP($AA79,AB$2:$AH$52,8-AB$1/10,FALSE)</f>
        <v>Cincinnati</v>
      </c>
      <c r="AC79" s="18" t="str">
        <f>VLOOKUP($AA79,AC$2:$AH$52,8-AC$1/10,FALSE)</f>
        <v>Sacramento</v>
      </c>
      <c r="AD79" s="18" t="str">
        <f>VLOOKUP($AA79,AD$2:$AH$52,8-AD$1/10,FALSE)</f>
        <v>Cincinnati</v>
      </c>
      <c r="AE79" s="18" t="str">
        <f>VLOOKUP($AA79,AE$2:$AH$52,8-AE$1/10,FALSE)</f>
        <v>Cincinnati</v>
      </c>
      <c r="AF79" s="18" t="str">
        <f>VLOOKUP($AA79,AF$2:$AH$52,8-AF$1/10,FALSE)</f>
        <v>Cincinnati</v>
      </c>
      <c r="AG79" s="18" t="str">
        <f>VLOOKUP($AA79,AG$2:$AH$52,8-AG$1/10,FALSE)</f>
        <v>Cincinnati</v>
      </c>
      <c r="AH79" s="18" t="str">
        <f t="shared" si="38"/>
        <v>Milwaukee</v>
      </c>
    </row>
    <row r="80" spans="26:34">
      <c r="Z80" s="18" t="str">
        <f>VLOOKUP($AA80,Z$2:$AA$52,2,FALSE)</f>
        <v>Cincinnati</v>
      </c>
      <c r="AA80" s="18">
        <f t="shared" si="39"/>
        <v>25</v>
      </c>
      <c r="AB80" s="18" t="str">
        <f>VLOOKUP($AA80,AB$2:$AH$52,8-AB$1/10,FALSE)</f>
        <v>Washington</v>
      </c>
      <c r="AC80" s="18" t="str">
        <f>VLOOKUP($AA80,AC$2:$AH$52,8-AC$1/10,FALSE)</f>
        <v>Rochester</v>
      </c>
      <c r="AD80" s="18" t="str">
        <f>VLOOKUP($AA80,AD$2:$AH$52,8-AD$1/10,FALSE)</f>
        <v>Milwaukee</v>
      </c>
      <c r="AE80" s="18" t="str">
        <f>VLOOKUP($AA80,AE$2:$AH$52,8-AE$1/10,FALSE)</f>
        <v>Milwaukee</v>
      </c>
      <c r="AF80" s="18" t="str">
        <f>VLOOKUP($AA80,AF$2:$AH$52,8-AF$1/10,FALSE)</f>
        <v>Milwaukee</v>
      </c>
      <c r="AG80" s="18" t="str">
        <f>VLOOKUP($AA80,AG$2:$AH$52,8-AG$1/10,FALSE)</f>
        <v>Milwaukee</v>
      </c>
      <c r="AH80" s="18" t="str">
        <f t="shared" si="38"/>
        <v>Cincinnati</v>
      </c>
    </row>
    <row r="81" spans="26:34">
      <c r="Z81" s="18" t="str">
        <f>VLOOKUP($AA81,Z$2:$AA$52,2,FALSE)</f>
        <v>Buffalo</v>
      </c>
      <c r="AA81" s="18">
        <f t="shared" si="39"/>
        <v>26</v>
      </c>
      <c r="AB81" s="18" t="str">
        <f>VLOOKUP($AA81,AB$2:$AH$52,8-AB$1/10,FALSE)</f>
        <v>Inland Empire</v>
      </c>
      <c r="AC81" s="18" t="str">
        <f>VLOOKUP($AA81,AC$2:$AH$52,8-AC$1/10,FALSE)</f>
        <v>Salt Lake City</v>
      </c>
      <c r="AD81" s="18" t="str">
        <f>VLOOKUP($AA81,AD$2:$AH$52,8-AD$1/10,FALSE)</f>
        <v>Inland Empire</v>
      </c>
      <c r="AE81" s="18" t="str">
        <f>VLOOKUP($AA81,AE$2:$AH$52,8-AE$1/10,FALSE)</f>
        <v>Kansas City</v>
      </c>
      <c r="AF81" s="18" t="str">
        <f>VLOOKUP($AA81,AF$2:$AH$52,8-AF$1/10,FALSE)</f>
        <v>Kansas City</v>
      </c>
      <c r="AG81" s="18" t="str">
        <f>VLOOKUP($AA81,AG$2:$AH$52,8-AG$1/10,FALSE)</f>
        <v>Kansas City</v>
      </c>
      <c r="AH81" s="18" t="str">
        <f t="shared" si="38"/>
        <v>Buffalo</v>
      </c>
    </row>
    <row r="82" spans="26:34">
      <c r="Z82" s="18" t="str">
        <f>VLOOKUP($AA82,Z$2:$AA$52,2,FALSE)</f>
        <v>Inland Empire</v>
      </c>
      <c r="AA82" s="18">
        <f t="shared" si="39"/>
        <v>27</v>
      </c>
      <c r="AB82" s="18" t="str">
        <f>VLOOKUP($AA82,AB$2:$AH$52,8-AB$1/10,FALSE)</f>
        <v>Sacramento</v>
      </c>
      <c r="AC82" s="18" t="str">
        <f>VLOOKUP($AA82,AC$2:$AH$52,8-AC$1/10,FALSE)</f>
        <v>St. Louis</v>
      </c>
      <c r="AD82" s="18" t="str">
        <f>VLOOKUP($AA82,AD$2:$AH$52,8-AD$1/10,FALSE)</f>
        <v>Kansas City</v>
      </c>
      <c r="AE82" s="18" t="str">
        <f>VLOOKUP($AA82,AE$2:$AH$52,8-AE$1/10,FALSE)</f>
        <v>Inland Empire</v>
      </c>
      <c r="AF82" s="18" t="str">
        <f>VLOOKUP($AA82,AF$2:$AH$52,8-AF$1/10,FALSE)</f>
        <v>Inland Empire</v>
      </c>
      <c r="AG82" s="18" t="str">
        <f>VLOOKUP($AA82,AG$2:$AH$52,8-AG$1/10,FALSE)</f>
        <v>Inland Empire</v>
      </c>
      <c r="AH82" s="18" t="str">
        <f t="shared" si="38"/>
        <v>Inland Empire</v>
      </c>
    </row>
    <row r="83" spans="26:34">
      <c r="Z83" s="18" t="str">
        <f>VLOOKUP($AA83,Z$2:$AA$52,2,FALSE)</f>
        <v>Phoenix</v>
      </c>
      <c r="AA83" s="18">
        <f t="shared" si="39"/>
        <v>28</v>
      </c>
      <c r="AB83" s="18" t="str">
        <f>VLOOKUP($AA83,AB$2:$AH$52,8-AB$1/10,FALSE)</f>
        <v>Seattle</v>
      </c>
      <c r="AC83" s="18" t="str">
        <f>VLOOKUP($AA83,AC$2:$AH$52,8-AC$1/10,FALSE)</f>
        <v>Seattle</v>
      </c>
      <c r="AD83" s="18" t="str">
        <f>VLOOKUP($AA83,AD$2:$AH$52,8-AD$1/10,FALSE)</f>
        <v>Portland</v>
      </c>
      <c r="AE83" s="18" t="str">
        <f>VLOOKUP($AA83,AE$2:$AH$52,8-AE$1/10,FALSE)</f>
        <v>Portland</v>
      </c>
      <c r="AF83" s="18" t="str">
        <f>VLOOKUP($AA83,AF$2:$AH$52,8-AF$1/10,FALSE)</f>
        <v>Portland</v>
      </c>
      <c r="AG83" s="18" t="str">
        <f>VLOOKUP($AA83,AG$2:$AH$52,8-AG$1/10,FALSE)</f>
        <v>Portland</v>
      </c>
      <c r="AH83" s="18" t="str">
        <f t="shared" si="38"/>
        <v>Phoenix</v>
      </c>
    </row>
    <row r="84" spans="26:34">
      <c r="Z84" s="18" t="str">
        <f>VLOOKUP($AA84,Z$2:$AA$52,2,FALSE)</f>
        <v>Pittsburgh</v>
      </c>
      <c r="AA84" s="18">
        <f t="shared" si="39"/>
        <v>29</v>
      </c>
      <c r="AB84" s="18" t="str">
        <f>VLOOKUP($AA84,AB$2:$AH$52,8-AB$1/10,FALSE)</f>
        <v>Portland</v>
      </c>
      <c r="AC84" s="18" t="str">
        <f>VLOOKUP($AA84,AC$2:$AH$52,8-AC$1/10,FALSE)</f>
        <v>Dallas-Fort Worth</v>
      </c>
      <c r="AD84" s="18" t="str">
        <f>VLOOKUP($AA84,AD$2:$AH$52,8-AD$1/10,FALSE)</f>
        <v>Hampton Roads</v>
      </c>
      <c r="AE84" s="18" t="str">
        <f>VLOOKUP($AA84,AE$2:$AH$52,8-AE$1/10,FALSE)</f>
        <v>Hampton Roads</v>
      </c>
      <c r="AF84" s="18" t="str">
        <f>VLOOKUP($AA84,AF$2:$AH$52,8-AF$1/10,FALSE)</f>
        <v>Hampton Roads</v>
      </c>
      <c r="AG84" s="18" t="str">
        <f>VLOOKUP($AA84,AG$2:$AH$52,8-AG$1/10,FALSE)</f>
        <v>Hampton Roads</v>
      </c>
      <c r="AH84" s="18" t="str">
        <f t="shared" si="38"/>
        <v>Pittsburgh</v>
      </c>
    </row>
    <row r="85" spans="26:34">
      <c r="Z85" s="18" t="str">
        <f>VLOOKUP($AA85,Z$2:$AA$52,2,FALSE)</f>
        <v>Providence</v>
      </c>
      <c r="AA85" s="18">
        <f t="shared" si="39"/>
        <v>30</v>
      </c>
      <c r="AB85" s="18" t="str">
        <f>VLOOKUP($AA85,AB$2:$AH$52,8-AB$1/10,FALSE)</f>
        <v>Indianapolis</v>
      </c>
      <c r="AC85" s="18" t="str">
        <f>VLOOKUP($AA85,AC$2:$AH$52,8-AC$1/10,FALSE)</f>
        <v>San Francisco</v>
      </c>
      <c r="AD85" s="18" t="str">
        <f>VLOOKUP($AA85,AD$2:$AH$52,8-AD$1/10,FALSE)</f>
        <v>Sacramento</v>
      </c>
      <c r="AE85" s="18" t="str">
        <f>VLOOKUP($AA85,AE$2:$AH$52,8-AE$1/10,FALSE)</f>
        <v>Sacramento</v>
      </c>
      <c r="AF85" s="18" t="str">
        <f>VLOOKUP($AA85,AF$2:$AH$52,8-AF$1/10,FALSE)</f>
        <v>Sacramento</v>
      </c>
      <c r="AG85" s="18" t="str">
        <f>VLOOKUP($AA85,AG$2:$AH$52,8-AG$1/10,FALSE)</f>
        <v>Sacramento</v>
      </c>
      <c r="AH85" s="18" t="str">
        <f t="shared" si="38"/>
        <v>Providence</v>
      </c>
    </row>
    <row r="86" spans="26:34">
      <c r="Z86" s="18" t="str">
        <f>VLOOKUP($AA86,Z$2:$AA$52,2,FALSE)</f>
        <v>Rochester</v>
      </c>
      <c r="AA86" s="18">
        <f t="shared" si="39"/>
        <v>31</v>
      </c>
      <c r="AB86" s="18" t="str">
        <f>VLOOKUP($AA86,AB$2:$AH$52,8-AB$1/10,FALSE)</f>
        <v>San Francisco</v>
      </c>
      <c r="AC86" s="18" t="str">
        <f>VLOOKUP($AA86,AC$2:$AH$52,8-AC$1/10,FALSE)</f>
        <v>Louisville</v>
      </c>
      <c r="AD86" s="18" t="str">
        <f>VLOOKUP($AA86,AD$2:$AH$52,8-AD$1/10,FALSE)</f>
        <v>Columbus</v>
      </c>
      <c r="AE86" s="18" t="str">
        <f>VLOOKUP($AA86,AE$2:$AH$52,8-AE$1/10,FALSE)</f>
        <v>Columbus</v>
      </c>
      <c r="AF86" s="18" t="str">
        <f>VLOOKUP($AA86,AF$2:$AH$52,8-AF$1/10,FALSE)</f>
        <v>Columbus</v>
      </c>
      <c r="AG86" s="18" t="str">
        <f>VLOOKUP($AA86,AG$2:$AH$52,8-AG$1/10,FALSE)</f>
        <v>Columbus</v>
      </c>
      <c r="AH86" s="18" t="str">
        <f t="shared" si="38"/>
        <v>Rochester</v>
      </c>
    </row>
    <row r="87" spans="26:34">
      <c r="Z87" s="18" t="str">
        <f>VLOOKUP($AA87,Z$2:$AA$52,2,FALSE)</f>
        <v>Portland</v>
      </c>
      <c r="AA87" s="18">
        <f t="shared" si="39"/>
        <v>32</v>
      </c>
      <c r="AB87" s="18" t="str">
        <f>VLOOKUP($AA87,AB$2:$AH$52,8-AB$1/10,FALSE)</f>
        <v>St. Louis</v>
      </c>
      <c r="AC87" s="18" t="str">
        <f>VLOOKUP($AA87,AC$2:$AH$52,8-AC$1/10,FALSE)</f>
        <v>Honolulu</v>
      </c>
      <c r="AD87" s="18" t="str">
        <f>VLOOKUP($AA87,AD$2:$AH$52,8-AD$1/10,FALSE)</f>
        <v>Indianapolis</v>
      </c>
      <c r="AE87" s="18" t="str">
        <f>VLOOKUP($AA87,AE$2:$AH$52,8-AE$1/10,FALSE)</f>
        <v>Indianapolis</v>
      </c>
      <c r="AF87" s="18" t="str">
        <f>VLOOKUP($AA87,AF$2:$AH$52,8-AF$1/10,FALSE)</f>
        <v>Indianapolis</v>
      </c>
      <c r="AG87" s="18" t="str">
        <f>VLOOKUP($AA87,AG$2:$AH$52,8-AG$1/10,FALSE)</f>
        <v>Indianapolis</v>
      </c>
      <c r="AH87" s="18" t="str">
        <f t="shared" si="38"/>
        <v>Portland</v>
      </c>
    </row>
    <row r="88" spans="26:34">
      <c r="Z88" s="18" t="str">
        <f>VLOOKUP($AA88,Z$2:$AA$52,2,FALSE)</f>
        <v>Sacramento</v>
      </c>
      <c r="AA88" s="18">
        <f t="shared" si="39"/>
        <v>33</v>
      </c>
      <c r="AB88" s="18" t="str">
        <f>VLOOKUP($AA88,AB$2:$AH$52,8-AB$1/10,FALSE)</f>
        <v>Dallas-Fort Worth</v>
      </c>
      <c r="AC88" s="18" t="str">
        <f>VLOOKUP($AA88,AC$2:$AH$52,8-AC$1/10,FALSE)</f>
        <v>Memphis</v>
      </c>
      <c r="AD88" s="18" t="str">
        <f>VLOOKUP($AA88,AD$2:$AH$52,8-AD$1/10,FALSE)</f>
        <v>Charlotte</v>
      </c>
      <c r="AE88" s="18" t="str">
        <f>VLOOKUP($AA88,AE$2:$AH$52,8-AE$1/10,FALSE)</f>
        <v>Charlotte</v>
      </c>
      <c r="AF88" s="18" t="str">
        <f>VLOOKUP($AA88,AF$2:$AH$52,8-AF$1/10,FALSE)</f>
        <v>Charlotte</v>
      </c>
      <c r="AG88" s="18" t="str">
        <f>VLOOKUP($AA88,AG$2:$AH$52,8-AG$1/10,FALSE)</f>
        <v>Charlotte</v>
      </c>
      <c r="AH88" s="18" t="str">
        <f t="shared" si="38"/>
        <v>Sacramento</v>
      </c>
    </row>
    <row r="89" spans="26:34">
      <c r="Z89" s="18" t="str">
        <f>VLOOKUP($AA89,Z$2:$AA$52,2,FALSE)</f>
        <v>Tampa Bay</v>
      </c>
      <c r="AA89" s="18">
        <f t="shared" si="39"/>
        <v>34</v>
      </c>
      <c r="AB89" s="18" t="str">
        <f>VLOOKUP($AA89,AB$2:$AH$52,8-AB$1/10,FALSE)</f>
        <v>Las Vegas</v>
      </c>
      <c r="AC89" s="18" t="str">
        <f>VLOOKUP($AA89,AC$2:$AH$52,8-AC$1/10,FALSE)</f>
        <v>Houston</v>
      </c>
      <c r="AD89" s="18" t="str">
        <f>VLOOKUP($AA89,AD$2:$AH$52,8-AD$1/10,FALSE)</f>
        <v>San Antonio</v>
      </c>
      <c r="AE89" s="18" t="str">
        <f>VLOOKUP($AA89,AE$2:$AH$52,8-AE$1/10,FALSE)</f>
        <v>San Antonio</v>
      </c>
      <c r="AF89" s="18" t="str">
        <f>VLOOKUP($AA89,AF$2:$AH$52,8-AF$1/10,FALSE)</f>
        <v>San Antonio</v>
      </c>
      <c r="AG89" s="18" t="str">
        <f>VLOOKUP($AA89,AG$2:$AH$52,8-AG$1/10,FALSE)</f>
        <v>San Antonio</v>
      </c>
      <c r="AH89" s="18" t="str">
        <f t="shared" si="38"/>
        <v>Tampa Bay</v>
      </c>
    </row>
    <row r="90" spans="26:34">
      <c r="Z90" s="18" t="str">
        <f>VLOOKUP($AA90,Z$2:$AA$52,2,FALSE)</f>
        <v>Indianapolis</v>
      </c>
      <c r="AA90" s="18">
        <f t="shared" si="39"/>
        <v>35</v>
      </c>
      <c r="AB90" s="18" t="str">
        <f>VLOOKUP($AA90,AB$2:$AH$52,8-AB$1/10,FALSE)</f>
        <v>San Diego</v>
      </c>
      <c r="AC90" s="18" t="str">
        <f>VLOOKUP($AA90,AC$2:$AH$52,8-AC$1/10,FALSE)</f>
        <v>San Diego</v>
      </c>
      <c r="AD90" s="18" t="str">
        <f>VLOOKUP($AA90,AD$2:$AH$52,8-AD$1/10,FALSE)</f>
        <v>Hartford</v>
      </c>
      <c r="AE90" s="18" t="str">
        <f>VLOOKUP($AA90,AE$2:$AH$52,8-AE$1/10,FALSE)</f>
        <v>Hartford</v>
      </c>
      <c r="AF90" s="18" t="str">
        <f>VLOOKUP($AA90,AF$2:$AH$52,8-AF$1/10,FALSE)</f>
        <v>Hartford</v>
      </c>
      <c r="AG90" s="18" t="str">
        <f>VLOOKUP($AA90,AG$2:$AH$52,8-AG$1/10,FALSE)</f>
        <v>Hartford</v>
      </c>
      <c r="AH90" s="18" t="str">
        <f t="shared" si="38"/>
        <v>Indianapolis</v>
      </c>
    </row>
    <row r="91" spans="26:34">
      <c r="Z91" s="18" t="str">
        <f>VLOOKUP($AA91,Z$2:$AA$52,2,FALSE)</f>
        <v>Honolulu</v>
      </c>
      <c r="AA91" s="18">
        <f t="shared" si="39"/>
        <v>36</v>
      </c>
      <c r="AB91" s="18" t="str">
        <f>VLOOKUP($AA91,AB$2:$AH$52,8-AB$1/10,FALSE)</f>
        <v>Memphis</v>
      </c>
      <c r="AC91" s="18" t="str">
        <f>VLOOKUP($AA91,AC$2:$AH$52,8-AC$1/10,FALSE)</f>
        <v>Phoenix</v>
      </c>
      <c r="AD91" s="18" t="str">
        <f>VLOOKUP($AA91,AD$2:$AH$52,8-AD$1/10,FALSE)</f>
        <v>Orlando</v>
      </c>
      <c r="AE91" s="18" t="str">
        <f>VLOOKUP($AA91,AE$2:$AH$52,8-AE$1/10,FALSE)</f>
        <v>Orlando</v>
      </c>
      <c r="AF91" s="18" t="str">
        <f>VLOOKUP($AA91,AF$2:$AH$52,8-AF$1/10,FALSE)</f>
        <v>Orlando</v>
      </c>
      <c r="AG91" s="18" t="str">
        <f>VLOOKUP($AA91,AG$2:$AH$52,8-AG$1/10,FALSE)</f>
        <v>Orlando</v>
      </c>
      <c r="AH91" s="18" t="str">
        <f t="shared" si="38"/>
        <v>Honolulu</v>
      </c>
    </row>
    <row r="92" spans="26:34">
      <c r="Z92" s="18" t="str">
        <f>VLOOKUP($AA92,Z$2:$AA$52,2,FALSE)</f>
        <v>New Orleans</v>
      </c>
      <c r="AA92" s="18">
        <f t="shared" si="39"/>
        <v>37</v>
      </c>
      <c r="AB92" s="18" t="str">
        <f>VLOOKUP($AA92,AB$2:$AH$52,8-AB$1/10,FALSE)</f>
        <v>Houston</v>
      </c>
      <c r="AC92" s="18" t="str">
        <f>VLOOKUP($AA92,AC$2:$AH$52,8-AC$1/10,FALSE)</f>
        <v>San Antonio</v>
      </c>
      <c r="AD92" s="18" t="str">
        <f>VLOOKUP($AA92,AD$2:$AH$52,8-AD$1/10,FALSE)</f>
        <v>Providence</v>
      </c>
      <c r="AE92" s="18" t="str">
        <f>VLOOKUP($AA92,AE$2:$AH$52,8-AE$1/10,FALSE)</f>
        <v>Providence</v>
      </c>
      <c r="AF92" s="18" t="str">
        <f>VLOOKUP($AA92,AF$2:$AH$52,8-AF$1/10,FALSE)</f>
        <v>Providence</v>
      </c>
      <c r="AG92" s="18" t="str">
        <f>VLOOKUP($AA92,AG$2:$AH$52,8-AG$1/10,FALSE)</f>
        <v>Providence</v>
      </c>
      <c r="AH92" s="18" t="str">
        <f t="shared" si="38"/>
        <v>New Orleans</v>
      </c>
    </row>
    <row r="93" spans="26:34">
      <c r="Z93" s="18" t="str">
        <f>VLOOKUP($AA93,Z$2:$AA$52,2,FALSE)</f>
        <v>Salt Lake City</v>
      </c>
      <c r="AA93" s="18">
        <f t="shared" si="39"/>
        <v>38</v>
      </c>
      <c r="AB93" s="18" t="str">
        <f>VLOOKUP($AA93,AB$2:$AH$52,8-AB$1/10,FALSE)</f>
        <v>Louisville</v>
      </c>
      <c r="AC93" s="18" t="str">
        <f>VLOOKUP($AA93,AC$2:$AH$52,8-AC$1/10,FALSE)</f>
        <v>Austin</v>
      </c>
      <c r="AD93" s="18" t="str">
        <f>VLOOKUP($AA93,AD$2:$AH$52,8-AD$1/10,FALSE)</f>
        <v>Buffalo</v>
      </c>
      <c r="AE93" s="18" t="str">
        <f>VLOOKUP($AA93,AE$2:$AH$52,8-AE$1/10,FALSE)</f>
        <v>Buffalo</v>
      </c>
      <c r="AF93" s="18" t="str">
        <f>VLOOKUP($AA93,AF$2:$AH$52,8-AF$1/10,FALSE)</f>
        <v>Buffalo</v>
      </c>
      <c r="AG93" s="18" t="str">
        <f>VLOOKUP($AA93,AG$2:$AH$52,8-AG$1/10,FALSE)</f>
        <v>Buffalo</v>
      </c>
      <c r="AH93" s="18" t="str">
        <f t="shared" si="38"/>
        <v>Salt Lake City</v>
      </c>
    </row>
    <row r="94" spans="26:34">
      <c r="Z94" s="18" t="str">
        <f>VLOOKUP($AA94,Z$2:$AA$52,2,FALSE)</f>
        <v>Raleigh</v>
      </c>
      <c r="AA94" s="18">
        <f t="shared" si="39"/>
        <v>39</v>
      </c>
      <c r="AB94" s="18" t="str">
        <f>VLOOKUP($AA94,AB$2:$AH$52,8-AB$1/10,FALSE)</f>
        <v>Austin</v>
      </c>
      <c r="AC94" s="18" t="str">
        <f>VLOOKUP($AA94,AC$2:$AH$52,8-AC$1/10,FALSE)</f>
        <v>Pittsburgh</v>
      </c>
      <c r="AD94" s="18" t="str">
        <f>VLOOKUP($AA94,AD$2:$AH$52,8-AD$1/10,FALSE)</f>
        <v>New Orleans</v>
      </c>
      <c r="AE94" s="18" t="str">
        <f>VLOOKUP($AA94,AE$2:$AH$52,8-AE$1/10,FALSE)</f>
        <v>New Orleans</v>
      </c>
      <c r="AF94" s="18" t="str">
        <f>VLOOKUP($AA94,AF$2:$AH$52,8-AF$1/10,FALSE)</f>
        <v>New Orleans</v>
      </c>
      <c r="AG94" s="18" t="str">
        <f>VLOOKUP($AA94,AG$2:$AH$52,8-AG$1/10,FALSE)</f>
        <v>New Orleans</v>
      </c>
      <c r="AH94" s="18" t="str">
        <f t="shared" si="38"/>
        <v>Raleigh</v>
      </c>
    </row>
    <row r="95" spans="26:34">
      <c r="Z95" s="18" t="str">
        <f>VLOOKUP($AA95,Z$2:$AA$52,2,FALSE)</f>
        <v>Kansas City</v>
      </c>
      <c r="AA95" s="18">
        <f t="shared" si="39"/>
        <v>40</v>
      </c>
      <c r="AB95" s="18" t="str">
        <f>VLOOKUP($AA95,AB$2:$AH$52,8-AB$1/10,FALSE)</f>
        <v>Phoenix</v>
      </c>
      <c r="AC95" s="18" t="str">
        <f>VLOOKUP($AA95,AC$2:$AH$52,8-AC$1/10,FALSE)</f>
        <v>Raleigh</v>
      </c>
      <c r="AD95" s="18" t="str">
        <f>VLOOKUP($AA95,AD$2:$AH$52,8-AD$1/10,FALSE)</f>
        <v>Nashville</v>
      </c>
      <c r="AE95" s="18" t="str">
        <f>VLOOKUP($AA95,AE$2:$AH$52,8-AE$1/10,FALSE)</f>
        <v>Nashville</v>
      </c>
      <c r="AF95" s="18" t="str">
        <f>VLOOKUP($AA95,AF$2:$AH$52,8-AF$1/10,FALSE)</f>
        <v>Nashville</v>
      </c>
      <c r="AG95" s="18" t="str">
        <f>VLOOKUP($AA95,AG$2:$AH$52,8-AG$1/10,FALSE)</f>
        <v>Nashville</v>
      </c>
      <c r="AH95" s="18" t="str">
        <f t="shared" si="38"/>
        <v>Kansas City</v>
      </c>
    </row>
    <row r="96" spans="26:34">
      <c r="Z96" s="18" t="str">
        <f>VLOOKUP($AA96,Z$2:$AA$52,2,FALSE)</f>
        <v>San Antonio</v>
      </c>
      <c r="AA96" s="18">
        <f t="shared" si="39"/>
        <v>41</v>
      </c>
      <c r="AB96" s="18" t="str">
        <f>VLOOKUP($AA96,AB$2:$AH$52,8-AB$1/10,FALSE)</f>
        <v>San Antonio</v>
      </c>
      <c r="AC96" s="18" t="str">
        <f>VLOOKUP($AA96,AC$2:$AH$52,8-AC$1/10,FALSE)</f>
        <v>Minneapolis-St.Paul</v>
      </c>
      <c r="AD96" s="18" t="str">
        <f>VLOOKUP($AA96,AD$2:$AH$52,8-AD$1/10,FALSE)</f>
        <v>Rochester</v>
      </c>
      <c r="AE96" s="18" t="str">
        <f>VLOOKUP($AA96,AE$2:$AH$52,8-AE$1/10,FALSE)</f>
        <v>Rochester</v>
      </c>
      <c r="AF96" s="18" t="str">
        <f>VLOOKUP($AA96,AF$2:$AH$52,8-AF$1/10,FALSE)</f>
        <v>Rochester</v>
      </c>
      <c r="AG96" s="18" t="str">
        <f>VLOOKUP($AA96,AG$2:$AH$52,8-AG$1/10,FALSE)</f>
        <v>Rochester</v>
      </c>
      <c r="AH96" s="18" t="str">
        <f t="shared" si="38"/>
        <v>San Antonio</v>
      </c>
    </row>
    <row r="97" spans="26:34">
      <c r="Z97" s="18" t="str">
        <f>VLOOKUP($AA97,Z$2:$AA$52,2,FALSE)</f>
        <v>Hampton Roads</v>
      </c>
      <c r="AA97" s="18">
        <f t="shared" si="39"/>
        <v>42</v>
      </c>
      <c r="AB97" s="18" t="str">
        <f>VLOOKUP($AA97,AB$2:$AH$52,8-AB$1/10,FALSE)</f>
        <v>Minneapolis-St.Paul</v>
      </c>
      <c r="AC97" s="18" t="str">
        <f>VLOOKUP($AA97,AC$2:$AH$52,8-AC$1/10,FALSE)</f>
        <v>Atlanta</v>
      </c>
      <c r="AD97" s="18" t="str">
        <f>VLOOKUP($AA97,AD$2:$AH$52,8-AD$1/10,FALSE)</f>
        <v>Salt Lake City</v>
      </c>
      <c r="AE97" s="18" t="str">
        <f>VLOOKUP($AA97,AE$2:$AH$52,8-AE$1/10,FALSE)</f>
        <v>Salt Lake City</v>
      </c>
      <c r="AF97" s="18" t="str">
        <f>VLOOKUP($AA97,AF$2:$AH$52,8-AF$1/10,FALSE)</f>
        <v>Salt Lake City</v>
      </c>
      <c r="AG97" s="18" t="str">
        <f>VLOOKUP($AA97,AG$2:$AH$52,8-AG$1/10,FALSE)</f>
        <v>Salt Lake City</v>
      </c>
      <c r="AH97" s="18" t="str">
        <f t="shared" si="38"/>
        <v>Hampton Roads</v>
      </c>
    </row>
    <row r="98" spans="26:34">
      <c r="Z98" s="18" t="str">
        <f>VLOOKUP($AA98,Z$2:$AA$52,2,FALSE)</f>
        <v>Louisville</v>
      </c>
      <c r="AA98" s="18">
        <f t="shared" si="39"/>
        <v>43</v>
      </c>
      <c r="AB98" s="18" t="str">
        <f>VLOOKUP($AA98,AB$2:$AH$52,8-AB$1/10,FALSE)</f>
        <v>Pittsburgh</v>
      </c>
      <c r="AC98" s="18" t="str">
        <f>VLOOKUP($AA98,AC$2:$AH$52,8-AC$1/10,FALSE)</f>
        <v>Las Vegas</v>
      </c>
      <c r="AD98" s="18" t="str">
        <f>VLOOKUP($AA98,AD$2:$AH$52,8-AD$1/10,FALSE)</f>
        <v>Oklahoma City</v>
      </c>
      <c r="AE98" s="18" t="str">
        <f>VLOOKUP($AA98,AE$2:$AH$52,8-AE$1/10,FALSE)</f>
        <v>Oklahoma City</v>
      </c>
      <c r="AF98" s="18" t="str">
        <f>VLOOKUP($AA98,AF$2:$AH$52,8-AF$1/10,FALSE)</f>
        <v>Oklahoma City</v>
      </c>
      <c r="AG98" s="18" t="str">
        <f>VLOOKUP($AA98,AG$2:$AH$52,8-AG$1/10,FALSE)</f>
        <v>Oklahoma City</v>
      </c>
      <c r="AH98" s="18" t="str">
        <f t="shared" si="38"/>
        <v>Louisville</v>
      </c>
    </row>
    <row r="99" spans="26:34">
      <c r="Z99" s="18" t="str">
        <f>VLOOKUP($AA99,Z$2:$AA$52,2,FALSE)</f>
        <v>Memphis</v>
      </c>
      <c r="AA99" s="18">
        <f t="shared" si="39"/>
        <v>44</v>
      </c>
      <c r="AB99" s="18" t="str">
        <f>VLOOKUP($AA99,AB$2:$AH$52,8-AB$1/10,FALSE)</f>
        <v>Atlanta</v>
      </c>
      <c r="AC99" s="18" t="str">
        <f>VLOOKUP($AA99,AC$2:$AH$52,8-AC$1/10,FALSE)</f>
        <v>Tampa Bay</v>
      </c>
      <c r="AD99" s="18" t="str">
        <f>VLOOKUP($AA99,AD$2:$AH$52,8-AD$1/10,FALSE)</f>
        <v>Memphis</v>
      </c>
      <c r="AE99" s="18" t="str">
        <f>VLOOKUP($AA99,AE$2:$AH$52,8-AE$1/10,FALSE)</f>
        <v>Memphis</v>
      </c>
      <c r="AF99" s="18" t="str">
        <f>VLOOKUP($AA99,AF$2:$AH$52,8-AF$1/10,FALSE)</f>
        <v>Memphis</v>
      </c>
      <c r="AG99" s="18" t="str">
        <f>VLOOKUP($AA99,AG$2:$AH$52,8-AG$1/10,FALSE)</f>
        <v>Memphis</v>
      </c>
      <c r="AH99" s="18" t="str">
        <f t="shared" si="38"/>
        <v>Memphis</v>
      </c>
    </row>
    <row r="100" spans="26:34">
      <c r="Z100" s="18" t="str">
        <f>VLOOKUP($AA100,Z$2:$AA$52,2,FALSE)</f>
        <v>Orlando</v>
      </c>
      <c r="AA100" s="18">
        <f t="shared" si="39"/>
        <v>45</v>
      </c>
      <c r="AB100" s="18" t="str">
        <f>VLOOKUP($AA100,AB$2:$AH$52,8-AB$1/10,FALSE)</f>
        <v>Tampa Bay</v>
      </c>
      <c r="AC100" s="18" t="str">
        <f>VLOOKUP($AA100,AC$2:$AH$52,8-AC$1/10,FALSE)</f>
        <v>Orlando</v>
      </c>
      <c r="AD100" s="18" t="str">
        <f>VLOOKUP($AA100,AD$2:$AH$52,8-AD$1/10,FALSE)</f>
        <v>Louisville</v>
      </c>
      <c r="AE100" s="18" t="str">
        <f>VLOOKUP($AA100,AE$2:$AH$52,8-AE$1/10,FALSE)</f>
        <v>Louisville</v>
      </c>
      <c r="AF100" s="18" t="str">
        <f>VLOOKUP($AA100,AF$2:$AH$52,8-AF$1/10,FALSE)</f>
        <v>Louisville</v>
      </c>
      <c r="AG100" s="18" t="str">
        <f>VLOOKUP($AA100,AG$2:$AH$52,8-AG$1/10,FALSE)</f>
        <v>Louisville</v>
      </c>
      <c r="AH100" s="18" t="str">
        <f t="shared" si="38"/>
        <v>Orlando</v>
      </c>
    </row>
    <row r="101" spans="26:34">
      <c r="Z101" s="18" t="str">
        <f>VLOOKUP($AA101,Z$2:$AA$52,2,FALSE)</f>
        <v>Austin</v>
      </c>
      <c r="AA101" s="18">
        <f t="shared" si="39"/>
        <v>46</v>
      </c>
      <c r="AB101" s="18" t="str">
        <f>VLOOKUP($AA101,AB$2:$AH$52,8-AB$1/10,FALSE)</f>
        <v>Orlando</v>
      </c>
      <c r="AC101" s="18" t="str">
        <f>VLOOKUP($AA101,AC$2:$AH$52,8-AC$1/10,FALSE)</f>
        <v>Hampton Roads</v>
      </c>
      <c r="AD101" s="18" t="str">
        <f>VLOOKUP($AA101,AD$2:$AH$52,8-AD$1/10,FALSE)</f>
        <v>Jacksonville</v>
      </c>
      <c r="AE101" s="18" t="str">
        <f>VLOOKUP($AA101,AE$2:$AH$52,8-AE$1/10,FALSE)</f>
        <v>Jacksonville</v>
      </c>
      <c r="AF101" s="18" t="str">
        <f>VLOOKUP($AA101,AF$2:$AH$52,8-AF$1/10,FALSE)</f>
        <v>Jacksonville</v>
      </c>
      <c r="AG101" s="18" t="str">
        <f>VLOOKUP($AA101,AG$2:$AH$52,8-AG$1/10,FALSE)</f>
        <v>Jacksonville</v>
      </c>
      <c r="AH101" s="18" t="str">
        <f t="shared" si="38"/>
        <v>Austin</v>
      </c>
    </row>
    <row r="102" spans="26:34">
      <c r="Z102" s="18" t="str">
        <f>VLOOKUP($AA102,Z$2:$AA$52,2,FALSE)</f>
        <v>Grand Rapids</v>
      </c>
      <c r="AA102" s="18">
        <f t="shared" si="39"/>
        <v>47</v>
      </c>
      <c r="AB102" s="18" t="str">
        <f>VLOOKUP($AA102,AB$2:$AH$52,8-AB$1/10,FALSE)</f>
        <v>Hampton Roads</v>
      </c>
      <c r="AC102" s="18" t="str">
        <f>VLOOKUP($AA102,AC$2:$AH$52,8-AC$1/10,FALSE)</f>
        <v>Grand Rapids</v>
      </c>
      <c r="AD102" s="18" t="str">
        <f>VLOOKUP($AA102,AD$2:$AH$52,8-AD$1/10,FALSE)</f>
        <v>Honolulu</v>
      </c>
      <c r="AE102" s="18" t="str">
        <f>VLOOKUP($AA102,AE$2:$AH$52,8-AE$1/10,FALSE)</f>
        <v>Honolulu</v>
      </c>
      <c r="AF102" s="18" t="str">
        <f>VLOOKUP($AA102,AF$2:$AH$52,8-AF$1/10,FALSE)</f>
        <v>Honolulu</v>
      </c>
      <c r="AG102" s="18" t="str">
        <f>VLOOKUP($AA102,AG$2:$AH$52,8-AG$1/10,FALSE)</f>
        <v>Honolulu</v>
      </c>
      <c r="AH102" s="18" t="str">
        <f t="shared" si="38"/>
        <v>Grand Rapids</v>
      </c>
    </row>
    <row r="103" spans="26:34">
      <c r="Z103" s="18" t="str">
        <f>VLOOKUP($AA103,Z$2:$AA$52,2,FALSE)</f>
        <v>Las Vegas</v>
      </c>
      <c r="AA103" s="18">
        <f t="shared" si="39"/>
        <v>48</v>
      </c>
      <c r="AB103" s="18" t="str">
        <f>VLOOKUP($AA103,AB$2:$AH$52,8-AB$1/10,FALSE)</f>
        <v>Kansas City</v>
      </c>
      <c r="AC103" s="18" t="str">
        <f>VLOOKUP($AA103,AC$2:$AH$52,8-AC$1/10,FALSE)</f>
        <v>Kansas City</v>
      </c>
      <c r="AD103" s="18" t="str">
        <f>VLOOKUP($AA103,AD$2:$AH$52,8-AD$1/10,FALSE)</f>
        <v>Austin</v>
      </c>
      <c r="AE103" s="18" t="str">
        <f>VLOOKUP($AA103,AE$2:$AH$52,8-AE$1/10,FALSE)</f>
        <v>Austin</v>
      </c>
      <c r="AF103" s="18" t="str">
        <f>VLOOKUP($AA103,AF$2:$AH$52,8-AF$1/10,FALSE)</f>
        <v>Austin</v>
      </c>
      <c r="AG103" s="18" t="str">
        <f>VLOOKUP($AA103,AG$2:$AH$52,8-AG$1/10,FALSE)</f>
        <v>Austin</v>
      </c>
      <c r="AH103" s="18" t="str">
        <f t="shared" si="38"/>
        <v>Las Vegas</v>
      </c>
    </row>
    <row r="104" spans="26:34">
      <c r="Z104" s="18" t="str">
        <f>VLOOKUP($AA104,Z$2:$AA$52,2,FALSE)</f>
        <v>Nashville</v>
      </c>
      <c r="AA104" s="18">
        <f t="shared" si="39"/>
        <v>49</v>
      </c>
      <c r="AB104" s="18" t="str">
        <f>VLOOKUP($AA104,AB$2:$AH$52,8-AB$1/10,FALSE)</f>
        <v>Nashville</v>
      </c>
      <c r="AC104" s="18" t="str">
        <f>VLOOKUP($AA104,AC$2:$AH$52,8-AC$1/10,FALSE)</f>
        <v>Nashville</v>
      </c>
      <c r="AD104" s="18" t="str">
        <f>VLOOKUP($AA104,AD$2:$AH$52,8-AD$1/10,FALSE)</f>
        <v>Raleigh</v>
      </c>
      <c r="AE104" s="18" t="str">
        <f>VLOOKUP($AA104,AE$2:$AH$52,8-AE$1/10,FALSE)</f>
        <v>Raleigh</v>
      </c>
      <c r="AF104" s="18" t="str">
        <f>VLOOKUP($AA104,AF$2:$AH$52,8-AF$1/10,FALSE)</f>
        <v>Raleigh</v>
      </c>
      <c r="AG104" s="18" t="str">
        <f>VLOOKUP($AA104,AG$2:$AH$52,8-AG$1/10,FALSE)</f>
        <v>Raleigh</v>
      </c>
      <c r="AH104" s="18" t="str">
        <f t="shared" si="38"/>
        <v>Nashville</v>
      </c>
    </row>
    <row r="105" spans="26:34">
      <c r="Z105" s="18" t="str">
        <f>VLOOKUP($AA105,Z$2:$AA$52,2,FALSE)</f>
        <v>Oklahoma City</v>
      </c>
      <c r="AA105" s="18">
        <f t="shared" si="39"/>
        <v>50</v>
      </c>
      <c r="AB105" s="18" t="str">
        <f>VLOOKUP($AA105,AB$2:$AH$52,8-AB$1/10,FALSE)</f>
        <v>Oklahoma City</v>
      </c>
      <c r="AC105" s="18" t="str">
        <f>VLOOKUP($AA105,AC$2:$AH$52,8-AC$1/10,FALSE)</f>
        <v>Oklahoma City</v>
      </c>
      <c r="AD105" s="18" t="str">
        <f>VLOOKUP($AA105,AD$2:$AH$52,8-AD$1/10,FALSE)</f>
        <v>Las Vegas</v>
      </c>
      <c r="AE105" s="18" t="str">
        <f>VLOOKUP($AA105,AE$2:$AH$52,8-AE$1/10,FALSE)</f>
        <v>Las Vegas</v>
      </c>
      <c r="AF105" s="18" t="str">
        <f>VLOOKUP($AA105,AF$2:$AH$52,8-AF$1/10,FALSE)</f>
        <v>Las Vegas</v>
      </c>
      <c r="AG105" s="18" t="str">
        <f>VLOOKUP($AA105,AG$2:$AH$52,8-AG$1/10,FALSE)</f>
        <v>Las Vegas</v>
      </c>
      <c r="AH105" s="18" t="str">
        <f t="shared" si="38"/>
        <v>Oklahoma City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6"/>
  <sheetViews>
    <sheetView workbookViewId="0">
      <selection activeCell="H73" sqref="H73"/>
    </sheetView>
  </sheetViews>
  <sheetFormatPr baseColWidth="10" defaultRowHeight="14" x14ac:dyDescent="0"/>
  <cols>
    <col min="12" max="13" width="10.83203125" style="18"/>
  </cols>
  <sheetData>
    <row r="1" spans="1:36">
      <c r="A1" s="29" t="s">
        <v>16</v>
      </c>
      <c r="B1" s="29" t="s">
        <v>131</v>
      </c>
      <c r="C1" s="29" t="s">
        <v>132</v>
      </c>
      <c r="D1" s="29" t="s">
        <v>133</v>
      </c>
      <c r="E1" s="29" t="s">
        <v>134</v>
      </c>
      <c r="F1" s="29" t="s">
        <v>135</v>
      </c>
      <c r="G1" s="29" t="s">
        <v>136</v>
      </c>
      <c r="H1" s="29" t="s">
        <v>148</v>
      </c>
      <c r="I1" s="29" t="s">
        <v>149</v>
      </c>
      <c r="J1" s="29" t="s">
        <v>150</v>
      </c>
      <c r="K1" s="29" t="s">
        <v>16</v>
      </c>
      <c r="L1" s="29" t="s">
        <v>570</v>
      </c>
      <c r="M1" s="29"/>
      <c r="N1" s="29" t="s">
        <v>131</v>
      </c>
      <c r="O1" s="29" t="s">
        <v>137</v>
      </c>
      <c r="P1" s="29" t="s">
        <v>138</v>
      </c>
      <c r="Q1" s="29" t="s">
        <v>139</v>
      </c>
      <c r="R1" s="29" t="s">
        <v>140</v>
      </c>
      <c r="S1" s="29" t="s">
        <v>141</v>
      </c>
      <c r="T1" s="29" t="s">
        <v>151</v>
      </c>
      <c r="U1" s="29" t="s">
        <v>152</v>
      </c>
      <c r="V1" s="29" t="s">
        <v>153</v>
      </c>
      <c r="W1" s="29"/>
      <c r="X1" s="29" t="s">
        <v>142</v>
      </c>
      <c r="Y1" s="29"/>
      <c r="Z1" s="29" t="s">
        <v>144</v>
      </c>
      <c r="AA1" s="29" t="s">
        <v>128</v>
      </c>
      <c r="AB1" s="29" t="s">
        <v>16</v>
      </c>
      <c r="AC1" s="29">
        <v>10</v>
      </c>
      <c r="AD1" s="29">
        <v>20</v>
      </c>
      <c r="AE1" s="29">
        <v>30</v>
      </c>
      <c r="AF1" s="29">
        <v>40</v>
      </c>
      <c r="AG1" s="29">
        <v>50</v>
      </c>
      <c r="AH1" s="29">
        <v>60</v>
      </c>
      <c r="AI1" s="29" t="str">
        <f>AB1</f>
        <v>Area</v>
      </c>
      <c r="AJ1" s="18"/>
    </row>
    <row r="2" spans="1:36">
      <c r="A2" s="18" t="s">
        <v>26</v>
      </c>
      <c r="B2" s="13">
        <f>'Summary-2010'!B2-'Summary-1990'!B2</f>
        <v>-28082.557173116256</v>
      </c>
      <c r="C2" s="13">
        <f>'Summary-2010'!C2-'Summary-1990'!C2</f>
        <v>-118982.71940589481</v>
      </c>
      <c r="D2" s="13">
        <f>'Summary-2010'!D2-'Summary-1990'!D2</f>
        <v>-272851.7068548823</v>
      </c>
      <c r="E2" s="13">
        <f>'Summary-2010'!E2-'Summary-1990'!E2</f>
        <v>-303550.68648438226</v>
      </c>
      <c r="F2" s="13">
        <f>'Summary-2010'!F2-'Summary-1990'!F2</f>
        <v>420427.42087215348</v>
      </c>
      <c r="G2" s="13">
        <f>'Summary-2010'!G2-'Summary-1990'!G2</f>
        <v>521266</v>
      </c>
      <c r="H2" s="13">
        <f>'Summary-2010'!H2-'Summary-1990'!H2</f>
        <v>521266</v>
      </c>
      <c r="I2" s="13">
        <f>'Summary-2010'!I2-'Summary-1990'!I2</f>
        <v>521266</v>
      </c>
      <c r="J2" s="13">
        <f>'Summary-2010'!J2-'Summary-1990'!J2</f>
        <v>521266</v>
      </c>
      <c r="K2" s="18" t="str">
        <f>A2</f>
        <v>Atlanta</v>
      </c>
      <c r="L2" s="13">
        <f>SUM(N2:V2)</f>
        <v>521266</v>
      </c>
      <c r="M2" s="13"/>
      <c r="N2" s="13">
        <f>'Summary-2010'!M2-'Summary-1990'!M2</f>
        <v>-28082.557173116256</v>
      </c>
      <c r="O2" s="13">
        <f>'Summary-2010'!N2-'Summary-1990'!N2</f>
        <v>-90900.16223277853</v>
      </c>
      <c r="P2" s="13">
        <f>'Summary-2010'!O2-'Summary-1990'!O2</f>
        <v>-153868.98744898749</v>
      </c>
      <c r="Q2" s="13">
        <f>'Summary-2010'!P2-'Summary-1990'!P2</f>
        <v>-30698.979629499954</v>
      </c>
      <c r="R2" s="13">
        <f>'Summary-2010'!Q2-'Summary-1990'!Q2</f>
        <v>723978.10735653574</v>
      </c>
      <c r="S2" s="13">
        <f>'Summary-2010'!R2-'Summary-1990'!R2</f>
        <v>100838.57912784652</v>
      </c>
      <c r="T2" s="13">
        <f>'Summary-2010'!S2-'Summary-1990'!S2</f>
        <v>0</v>
      </c>
      <c r="U2" s="13">
        <f>'Summary-2010'!T2-'Summary-1990'!T2</f>
        <v>0</v>
      </c>
      <c r="V2" s="13">
        <f>'Summary-2010'!U2-'Summary-1990'!U2</f>
        <v>0</v>
      </c>
      <c r="W2" s="13"/>
      <c r="X2" s="13">
        <f>V2+U2+T2+S2+R2+Q2+P2+O2+N2</f>
        <v>521266.00000000012</v>
      </c>
      <c r="Y2" s="18"/>
      <c r="Z2" s="13">
        <f t="shared" ref="Z2:Z52" si="0">N2*EXP(Beta*10)+O2*EXP(Beta*20)+P2*EXP(Beta*30)+Q2*EXP(Beta*40)+R2*EXP(Beta*50)+S2*EXP(Beta*60)+T2*EXP(Beta*70)+U2*EXP(Beta*80)+V2*EXP(Beta*90)</f>
        <v>-32090.772673281775</v>
      </c>
      <c r="AA2" s="18">
        <f>RANK(Z2,$Z$2:$Z$52)</f>
        <v>33</v>
      </c>
      <c r="AB2" s="18" t="str">
        <f>A2</f>
        <v>Atlanta</v>
      </c>
      <c r="AC2" s="18">
        <f t="shared" ref="AC2:AH2" si="1">RANK(N2,N$2:N$52)</f>
        <v>28</v>
      </c>
      <c r="AD2" s="18">
        <f t="shared" si="1"/>
        <v>35</v>
      </c>
      <c r="AE2" s="18">
        <f t="shared" si="1"/>
        <v>43</v>
      </c>
      <c r="AF2" s="18">
        <f t="shared" si="1"/>
        <v>44</v>
      </c>
      <c r="AG2" s="18">
        <f t="shared" si="1"/>
        <v>3</v>
      </c>
      <c r="AH2" s="18">
        <f t="shared" si="1"/>
        <v>2</v>
      </c>
      <c r="AI2" s="18" t="str">
        <f t="shared" ref="AI2:AI52" si="2">AB2</f>
        <v>Atlanta</v>
      </c>
      <c r="AJ2" s="18"/>
    </row>
    <row r="3" spans="1:36">
      <c r="A3" s="18" t="s">
        <v>27</v>
      </c>
      <c r="B3" s="13">
        <f>'Summary-2010'!B3-'Summary-1990'!B3</f>
        <v>-9099.76260809011</v>
      </c>
      <c r="C3" s="13">
        <f>'Summary-2010'!C3-'Summary-1990'!C3</f>
        <v>-9021.3918615575531</v>
      </c>
      <c r="D3" s="13">
        <f>'Summary-2010'!D3-'Summary-1990'!D3</f>
        <v>236547</v>
      </c>
      <c r="E3" s="13">
        <f>'Summary-2010'!E3-'Summary-1990'!E3</f>
        <v>236547</v>
      </c>
      <c r="F3" s="13">
        <f>'Summary-2010'!F3-'Summary-1990'!F3</f>
        <v>236547</v>
      </c>
      <c r="G3" s="13">
        <f>'Summary-2010'!G3-'Summary-1990'!G3</f>
        <v>236547</v>
      </c>
      <c r="H3" s="13">
        <f>'Summary-2010'!H3-'Summary-1990'!H3</f>
        <v>236547</v>
      </c>
      <c r="I3" s="13">
        <f>'Summary-2010'!I3-'Summary-1990'!I3</f>
        <v>236547</v>
      </c>
      <c r="J3" s="13">
        <f>'Summary-2010'!J3-'Summary-1990'!J3</f>
        <v>236547</v>
      </c>
      <c r="K3" s="18" t="str">
        <f t="shared" ref="K3:K52" si="3">A3</f>
        <v>Austin</v>
      </c>
      <c r="L3" s="13">
        <f t="shared" ref="L3:L52" si="4">SUM(N3:V3)</f>
        <v>236547</v>
      </c>
      <c r="M3" s="13"/>
      <c r="N3" s="13">
        <f>'Summary-2010'!M3-'Summary-1990'!M3</f>
        <v>-9099.76260809011</v>
      </c>
      <c r="O3" s="13">
        <f>'Summary-2010'!N3-'Summary-1990'!N3</f>
        <v>78.370746532571502</v>
      </c>
      <c r="P3" s="13">
        <f>'Summary-2010'!O3-'Summary-1990'!O3</f>
        <v>245568.39186155755</v>
      </c>
      <c r="Q3" s="13">
        <f>'Summary-2010'!P3-'Summary-1990'!P3</f>
        <v>0</v>
      </c>
      <c r="R3" s="13">
        <f>'Summary-2010'!Q3-'Summary-1990'!Q3</f>
        <v>0</v>
      </c>
      <c r="S3" s="13">
        <f>'Summary-2010'!R3-'Summary-1990'!R3</f>
        <v>0</v>
      </c>
      <c r="T3" s="13">
        <f>'Summary-2010'!S3-'Summary-1990'!S3</f>
        <v>0</v>
      </c>
      <c r="U3" s="13">
        <f>'Summary-2010'!T3-'Summary-1990'!T3</f>
        <v>0</v>
      </c>
      <c r="V3" s="13">
        <f>'Summary-2010'!U3-'Summary-1990'!U3</f>
        <v>0</v>
      </c>
      <c r="W3" s="13"/>
      <c r="X3" s="13">
        <f t="shared" ref="X3:X52" si="5">V3+U3+T3+S3+R3+Q3+P3+O3+N3</f>
        <v>236547</v>
      </c>
      <c r="Y3" s="18"/>
      <c r="Z3" s="13">
        <f t="shared" si="0"/>
        <v>18204.497776684737</v>
      </c>
      <c r="AA3" s="18">
        <f t="shared" ref="AA3:AA52" si="6">RANK(Z3,$Z$2:$Z$52)</f>
        <v>13</v>
      </c>
      <c r="AB3" s="18" t="str">
        <f t="shared" ref="AB3:AB52" si="7">A3</f>
        <v>Austin</v>
      </c>
      <c r="AC3" s="18">
        <f t="shared" ref="AC3:AH52" si="8">RANK(N3,N$2:N$52)</f>
        <v>20</v>
      </c>
      <c r="AD3" s="18">
        <f t="shared" si="8"/>
        <v>22</v>
      </c>
      <c r="AE3" s="18">
        <f t="shared" si="8"/>
        <v>6</v>
      </c>
      <c r="AF3" s="18">
        <f t="shared" si="8"/>
        <v>15</v>
      </c>
      <c r="AG3" s="18">
        <f t="shared" si="8"/>
        <v>10</v>
      </c>
      <c r="AH3" s="18">
        <f t="shared" si="8"/>
        <v>3</v>
      </c>
      <c r="AI3" s="18" t="str">
        <f t="shared" si="2"/>
        <v>Austin</v>
      </c>
      <c r="AJ3" s="18"/>
    </row>
    <row r="4" spans="1:36">
      <c r="A4" s="18" t="s">
        <v>28</v>
      </c>
      <c r="B4" s="13">
        <f>'Summary-2010'!B4-'Summary-1990'!B4</f>
        <v>-29445.301254002959</v>
      </c>
      <c r="C4" s="13">
        <f>'Summary-2010'!C4-'Summary-1990'!C4</f>
        <v>-109148.40965264145</v>
      </c>
      <c r="D4" s="13">
        <f>'Summary-2010'!D4-'Summary-1990'!D4</f>
        <v>-132203</v>
      </c>
      <c r="E4" s="13">
        <f>'Summary-2010'!E4-'Summary-1990'!E4</f>
        <v>-132203</v>
      </c>
      <c r="F4" s="13">
        <f>'Summary-2010'!F4-'Summary-1990'!F4</f>
        <v>-132203</v>
      </c>
      <c r="G4" s="13">
        <f>'Summary-2010'!G4-'Summary-1990'!G4</f>
        <v>-132203</v>
      </c>
      <c r="H4" s="13">
        <f>'Summary-2010'!H4-'Summary-1990'!H4</f>
        <v>-132203</v>
      </c>
      <c r="I4" s="13">
        <f>'Summary-2010'!I4-'Summary-1990'!I4</f>
        <v>-132203</v>
      </c>
      <c r="J4" s="13">
        <f>'Summary-2010'!J4-'Summary-1990'!J4</f>
        <v>-132203</v>
      </c>
      <c r="K4" s="18" t="str">
        <f t="shared" si="3"/>
        <v>Baltimore</v>
      </c>
      <c r="L4" s="13">
        <f t="shared" si="4"/>
        <v>-132203.00000000006</v>
      </c>
      <c r="M4" s="13"/>
      <c r="N4" s="13">
        <f>'Summary-2010'!M4-'Summary-1990'!M4</f>
        <v>-29445.301254002959</v>
      </c>
      <c r="O4" s="13">
        <f>'Summary-2010'!N4-'Summary-1990'!N4</f>
        <v>-79703.108398638491</v>
      </c>
      <c r="P4" s="13">
        <f>'Summary-2010'!O4-'Summary-1990'!O4</f>
        <v>-23054.590347358608</v>
      </c>
      <c r="Q4" s="13">
        <f>'Summary-2010'!P4-'Summary-1990'!P4</f>
        <v>0</v>
      </c>
      <c r="R4" s="13">
        <f>'Summary-2010'!Q4-'Summary-1990'!Q4</f>
        <v>0</v>
      </c>
      <c r="S4" s="13">
        <f>'Summary-2010'!R4-'Summary-1990'!R4</f>
        <v>0</v>
      </c>
      <c r="T4" s="13">
        <f>'Summary-2010'!S4-'Summary-1990'!S4</f>
        <v>0</v>
      </c>
      <c r="U4" s="13">
        <f>'Summary-2010'!T4-'Summary-1990'!T4</f>
        <v>0</v>
      </c>
      <c r="V4" s="13">
        <f>'Summary-2010'!U4-'Summary-1990'!U4</f>
        <v>0</v>
      </c>
      <c r="W4" s="13"/>
      <c r="X4" s="13">
        <f t="shared" si="5"/>
        <v>-132203.00000000006</v>
      </c>
      <c r="Y4" s="18"/>
      <c r="Z4" s="13">
        <f t="shared" si="0"/>
        <v>-31413.872019854582</v>
      </c>
      <c r="AA4" s="18">
        <f t="shared" si="6"/>
        <v>32</v>
      </c>
      <c r="AB4" s="18" t="str">
        <f t="shared" si="7"/>
        <v>Baltimore</v>
      </c>
      <c r="AC4" s="18">
        <f t="shared" si="8"/>
        <v>29</v>
      </c>
      <c r="AD4" s="18">
        <f t="shared" si="8"/>
        <v>33</v>
      </c>
      <c r="AE4" s="18">
        <f t="shared" si="8"/>
        <v>37</v>
      </c>
      <c r="AF4" s="18">
        <f t="shared" si="8"/>
        <v>15</v>
      </c>
      <c r="AG4" s="18">
        <f t="shared" si="8"/>
        <v>10</v>
      </c>
      <c r="AH4" s="18">
        <f t="shared" si="8"/>
        <v>3</v>
      </c>
      <c r="AI4" s="18" t="str">
        <f t="shared" si="2"/>
        <v>Baltimore</v>
      </c>
      <c r="AJ4" s="18"/>
    </row>
    <row r="5" spans="1:36">
      <c r="A5" s="18" t="s">
        <v>29</v>
      </c>
      <c r="B5" s="13">
        <f>'Summary-2010'!B5-'Summary-1990'!B5</f>
        <v>-70258.597556069799</v>
      </c>
      <c r="C5" s="13">
        <f>'Summary-2010'!C5-'Summary-1990'!C5</f>
        <v>-316988.89966210473</v>
      </c>
      <c r="D5" s="13">
        <f>'Summary-2010'!D5-'Summary-1990'!D5</f>
        <v>-746477.23267940991</v>
      </c>
      <c r="E5" s="13">
        <f>'Summary-2010'!E5-'Summary-1990'!E5</f>
        <v>-142931.43680439005</v>
      </c>
      <c r="F5" s="13">
        <f>'Summary-2010'!F5-'Summary-1990'!F5</f>
        <v>761030</v>
      </c>
      <c r="G5" s="13">
        <f>'Summary-2010'!G5-'Summary-1990'!G5</f>
        <v>761030</v>
      </c>
      <c r="H5" s="13">
        <f>'Summary-2010'!H5-'Summary-1990'!H5</f>
        <v>761030</v>
      </c>
      <c r="I5" s="13">
        <f>'Summary-2010'!I5-'Summary-1990'!I5</f>
        <v>761030</v>
      </c>
      <c r="J5" s="13">
        <f>'Summary-2010'!J5-'Summary-1990'!J5</f>
        <v>761030</v>
      </c>
      <c r="K5" s="18" t="str">
        <f t="shared" si="3"/>
        <v>Boston</v>
      </c>
      <c r="L5" s="13">
        <f t="shared" si="4"/>
        <v>761030</v>
      </c>
      <c r="M5" s="13"/>
      <c r="N5" s="13">
        <f>'Summary-2010'!M5-'Summary-1990'!M5</f>
        <v>-70258.597556069799</v>
      </c>
      <c r="O5" s="13">
        <f>'Summary-2010'!N5-'Summary-1990'!N5</f>
        <v>-246730.30210603488</v>
      </c>
      <c r="P5" s="13">
        <f>'Summary-2010'!O5-'Summary-1990'!O5</f>
        <v>-429488.33301730524</v>
      </c>
      <c r="Q5" s="13">
        <f>'Summary-2010'!P5-'Summary-1990'!P5</f>
        <v>603545.79587501986</v>
      </c>
      <c r="R5" s="13">
        <f>'Summary-2010'!Q5-'Summary-1990'!Q5</f>
        <v>903961.43680439005</v>
      </c>
      <c r="S5" s="13">
        <f>'Summary-2010'!R5-'Summary-1990'!R5</f>
        <v>0</v>
      </c>
      <c r="T5" s="13">
        <f>'Summary-2010'!S5-'Summary-1990'!S5</f>
        <v>0</v>
      </c>
      <c r="U5" s="13">
        <f>'Summary-2010'!T5-'Summary-1990'!T5</f>
        <v>0</v>
      </c>
      <c r="V5" s="13">
        <f>'Summary-2010'!U5-'Summary-1990'!U5</f>
        <v>0</v>
      </c>
      <c r="W5" s="13"/>
      <c r="X5" s="13">
        <f t="shared" si="5"/>
        <v>761029.99999999988</v>
      </c>
      <c r="Y5" s="18"/>
      <c r="Z5" s="13">
        <f t="shared" si="0"/>
        <v>-79187.026184593517</v>
      </c>
      <c r="AA5" s="18">
        <f t="shared" si="6"/>
        <v>45</v>
      </c>
      <c r="AB5" s="18" t="str">
        <f t="shared" si="7"/>
        <v>Boston</v>
      </c>
      <c r="AC5" s="18">
        <f t="shared" si="8"/>
        <v>41</v>
      </c>
      <c r="AD5" s="18">
        <f t="shared" si="8"/>
        <v>48</v>
      </c>
      <c r="AE5" s="18">
        <f t="shared" si="8"/>
        <v>50</v>
      </c>
      <c r="AF5" s="18">
        <f t="shared" si="8"/>
        <v>3</v>
      </c>
      <c r="AG5" s="18">
        <f t="shared" si="8"/>
        <v>1</v>
      </c>
      <c r="AH5" s="18">
        <f t="shared" si="8"/>
        <v>3</v>
      </c>
      <c r="AI5" s="18" t="str">
        <f t="shared" si="2"/>
        <v>Boston</v>
      </c>
      <c r="AJ5" s="18"/>
    </row>
    <row r="6" spans="1:36">
      <c r="A6" s="18" t="s">
        <v>30</v>
      </c>
      <c r="B6" s="13">
        <f>'Summary-2010'!B6-'Summary-1990'!B6</f>
        <v>-121692.91062293939</v>
      </c>
      <c r="C6" s="13">
        <f>'Summary-2010'!C6-'Summary-1990'!C6</f>
        <v>-122821.27742682403</v>
      </c>
      <c r="D6" s="13">
        <f>'Summary-2010'!D6-'Summary-1990'!D6</f>
        <v>-75418</v>
      </c>
      <c r="E6" s="13">
        <f>'Summary-2010'!E6-'Summary-1990'!E6</f>
        <v>-75418</v>
      </c>
      <c r="F6" s="13">
        <f>'Summary-2010'!F6-'Summary-1990'!F6</f>
        <v>-75418</v>
      </c>
      <c r="G6" s="13">
        <f>'Summary-2010'!G6-'Summary-1990'!G6</f>
        <v>-75418</v>
      </c>
      <c r="H6" s="13">
        <f>'Summary-2010'!H6-'Summary-1990'!H6</f>
        <v>-75418</v>
      </c>
      <c r="I6" s="13">
        <f>'Summary-2010'!I6-'Summary-1990'!I6</f>
        <v>-75418</v>
      </c>
      <c r="J6" s="13">
        <f>'Summary-2010'!J6-'Summary-1990'!J6</f>
        <v>-75418</v>
      </c>
      <c r="K6" s="18" t="str">
        <f t="shared" si="3"/>
        <v>Buffalo</v>
      </c>
      <c r="L6" s="13">
        <f t="shared" si="4"/>
        <v>-75417.999999999985</v>
      </c>
      <c r="M6" s="13"/>
      <c r="N6" s="13">
        <f>'Summary-2010'!M6-'Summary-1990'!M6</f>
        <v>-121692.91062293939</v>
      </c>
      <c r="O6" s="13">
        <f>'Summary-2010'!N6-'Summary-1990'!N6</f>
        <v>-1128.3668038846226</v>
      </c>
      <c r="P6" s="13">
        <f>'Summary-2010'!O6-'Summary-1990'!O6</f>
        <v>47403.277426824032</v>
      </c>
      <c r="Q6" s="13">
        <f>'Summary-2010'!P6-'Summary-1990'!P6</f>
        <v>0</v>
      </c>
      <c r="R6" s="13">
        <f>'Summary-2010'!Q6-'Summary-1990'!Q6</f>
        <v>0</v>
      </c>
      <c r="S6" s="13">
        <f>'Summary-2010'!R6-'Summary-1990'!R6</f>
        <v>0</v>
      </c>
      <c r="T6" s="13">
        <f>'Summary-2010'!S6-'Summary-1990'!S6</f>
        <v>0</v>
      </c>
      <c r="U6" s="13">
        <f>'Summary-2010'!T6-'Summary-1990'!T6</f>
        <v>0</v>
      </c>
      <c r="V6" s="13">
        <f>'Summary-2010'!U6-'Summary-1990'!U6</f>
        <v>0</v>
      </c>
      <c r="W6" s="13"/>
      <c r="X6" s="13">
        <f t="shared" si="5"/>
        <v>-75417.999999999985</v>
      </c>
      <c r="Y6" s="18"/>
      <c r="Z6" s="13">
        <f t="shared" si="0"/>
        <v>-50607.634491968362</v>
      </c>
      <c r="AA6" s="18">
        <f t="shared" si="6"/>
        <v>41</v>
      </c>
      <c r="AB6" s="18" t="str">
        <f t="shared" si="7"/>
        <v>Buffalo</v>
      </c>
      <c r="AC6" s="18">
        <f t="shared" si="8"/>
        <v>47</v>
      </c>
      <c r="AD6" s="18">
        <f t="shared" si="8"/>
        <v>24</v>
      </c>
      <c r="AE6" s="18">
        <f t="shared" si="8"/>
        <v>23</v>
      </c>
      <c r="AF6" s="18">
        <f t="shared" si="8"/>
        <v>15</v>
      </c>
      <c r="AG6" s="18">
        <f t="shared" si="8"/>
        <v>10</v>
      </c>
      <c r="AH6" s="18">
        <f t="shared" si="8"/>
        <v>3</v>
      </c>
      <c r="AI6" s="18" t="str">
        <f t="shared" si="2"/>
        <v>Buffalo</v>
      </c>
      <c r="AJ6" s="18"/>
    </row>
    <row r="7" spans="1:36">
      <c r="A7" s="18" t="s">
        <v>31</v>
      </c>
      <c r="B7" s="13">
        <f>'Summary-2010'!B7-'Summary-1990'!B7</f>
        <v>-128788.02035602056</v>
      </c>
      <c r="C7" s="13">
        <f>'Summary-2010'!C7-'Summary-1990'!C7</f>
        <v>-269515.79894999065</v>
      </c>
      <c r="D7" s="13">
        <f>'Summary-2010'!D7-'Summary-1990'!D7</f>
        <v>122528</v>
      </c>
      <c r="E7" s="13">
        <f>'Summary-2010'!E7-'Summary-1990'!E7</f>
        <v>122528</v>
      </c>
      <c r="F7" s="13">
        <f>'Summary-2010'!F7-'Summary-1990'!F7</f>
        <v>122528</v>
      </c>
      <c r="G7" s="13">
        <f>'Summary-2010'!G7-'Summary-1990'!G7</f>
        <v>122528</v>
      </c>
      <c r="H7" s="13">
        <f>'Summary-2010'!H7-'Summary-1990'!H7</f>
        <v>122528</v>
      </c>
      <c r="I7" s="13">
        <f>'Summary-2010'!I7-'Summary-1990'!I7</f>
        <v>122528</v>
      </c>
      <c r="J7" s="13">
        <f>'Summary-2010'!J7-'Summary-1990'!J7</f>
        <v>122528</v>
      </c>
      <c r="K7" s="18" t="str">
        <f t="shared" si="3"/>
        <v>Charlotte</v>
      </c>
      <c r="L7" s="13">
        <f t="shared" si="4"/>
        <v>122528.00000000006</v>
      </c>
      <c r="M7" s="13"/>
      <c r="N7" s="13">
        <f>'Summary-2010'!M7-'Summary-1990'!M7</f>
        <v>-128788.02035602056</v>
      </c>
      <c r="O7" s="13">
        <f>'Summary-2010'!N7-'Summary-1990'!N7</f>
        <v>-140727.77859397006</v>
      </c>
      <c r="P7" s="13">
        <f>'Summary-2010'!O7-'Summary-1990'!O7</f>
        <v>392043.79894999065</v>
      </c>
      <c r="Q7" s="13">
        <f>'Summary-2010'!P7-'Summary-1990'!P7</f>
        <v>0</v>
      </c>
      <c r="R7" s="13">
        <f>'Summary-2010'!Q7-'Summary-1990'!Q7</f>
        <v>0</v>
      </c>
      <c r="S7" s="13">
        <f>'Summary-2010'!R7-'Summary-1990'!R7</f>
        <v>0</v>
      </c>
      <c r="T7" s="13">
        <f>'Summary-2010'!S7-'Summary-1990'!S7</f>
        <v>0</v>
      </c>
      <c r="U7" s="13">
        <f>'Summary-2010'!T7-'Summary-1990'!T7</f>
        <v>0</v>
      </c>
      <c r="V7" s="13">
        <f>'Summary-2010'!U7-'Summary-1990'!U7</f>
        <v>0</v>
      </c>
      <c r="W7" s="13"/>
      <c r="X7" s="13">
        <f t="shared" si="5"/>
        <v>122528.00000000004</v>
      </c>
      <c r="Y7" s="18"/>
      <c r="Z7" s="13">
        <f t="shared" si="0"/>
        <v>-50715.225219974644</v>
      </c>
      <c r="AA7" s="18">
        <f t="shared" si="6"/>
        <v>42</v>
      </c>
      <c r="AB7" s="18" t="str">
        <f t="shared" si="7"/>
        <v>Charlotte</v>
      </c>
      <c r="AC7" s="18">
        <f t="shared" si="8"/>
        <v>48</v>
      </c>
      <c r="AD7" s="18">
        <f t="shared" si="8"/>
        <v>42</v>
      </c>
      <c r="AE7" s="18">
        <f t="shared" si="8"/>
        <v>2</v>
      </c>
      <c r="AF7" s="18">
        <f t="shared" si="8"/>
        <v>15</v>
      </c>
      <c r="AG7" s="18">
        <f t="shared" si="8"/>
        <v>10</v>
      </c>
      <c r="AH7" s="18">
        <f t="shared" si="8"/>
        <v>3</v>
      </c>
      <c r="AI7" s="18" t="str">
        <f t="shared" si="2"/>
        <v>Charlotte</v>
      </c>
      <c r="AJ7" s="18"/>
    </row>
    <row r="8" spans="1:36">
      <c r="A8" s="18" t="s">
        <v>32</v>
      </c>
      <c r="B8" s="13">
        <f>'Summary-2010'!B8-'Summary-1990'!B8</f>
        <v>-52922.864356312508</v>
      </c>
      <c r="C8" s="13">
        <f>'Summary-2010'!C8-'Summary-1990'!C8</f>
        <v>-227090.22284790309</v>
      </c>
      <c r="D8" s="13">
        <f>'Summary-2010'!D8-'Summary-1990'!D8</f>
        <v>-540076.12612229283</v>
      </c>
      <c r="E8" s="13">
        <f>'Summary-2010'!E8-'Summary-1990'!E8</f>
        <v>-996262.32116986159</v>
      </c>
      <c r="F8" s="13">
        <f>'Summary-2010'!F8-'Summary-1990'!F8</f>
        <v>-327093.48499609809</v>
      </c>
      <c r="G8" s="13">
        <f>'Summary-2010'!G8-'Summary-1990'!G8</f>
        <v>-43565</v>
      </c>
      <c r="H8" s="13">
        <f>'Summary-2010'!H8-'Summary-1990'!H8</f>
        <v>-43565</v>
      </c>
      <c r="I8" s="13">
        <f>'Summary-2010'!I8-'Summary-1990'!I8</f>
        <v>-43565</v>
      </c>
      <c r="J8" s="13">
        <f>'Summary-2010'!J8-'Summary-1990'!J8</f>
        <v>-43565</v>
      </c>
      <c r="K8" s="18" t="str">
        <f t="shared" si="3"/>
        <v>Chicago</v>
      </c>
      <c r="L8" s="13">
        <f t="shared" si="4"/>
        <v>-43565</v>
      </c>
      <c r="M8" s="13"/>
      <c r="N8" s="13">
        <f>'Summary-2010'!M8-'Summary-1990'!M8</f>
        <v>-52922.864356312508</v>
      </c>
      <c r="O8" s="13">
        <f>'Summary-2010'!N8-'Summary-1990'!N8</f>
        <v>-174167.3584915906</v>
      </c>
      <c r="P8" s="13">
        <f>'Summary-2010'!O8-'Summary-1990'!O8</f>
        <v>-312985.9032743898</v>
      </c>
      <c r="Q8" s="13">
        <f>'Summary-2010'!P8-'Summary-1990'!P8</f>
        <v>-456186.19504756876</v>
      </c>
      <c r="R8" s="13">
        <f>'Summary-2010'!Q8-'Summary-1990'!Q8</f>
        <v>669168.8361737635</v>
      </c>
      <c r="S8" s="13">
        <f>'Summary-2010'!R8-'Summary-1990'!R8</f>
        <v>283528.48499609809</v>
      </c>
      <c r="T8" s="13">
        <f>'Summary-2010'!S8-'Summary-1990'!S8</f>
        <v>0</v>
      </c>
      <c r="U8" s="13">
        <f>'Summary-2010'!T8-'Summary-1990'!T8</f>
        <v>0</v>
      </c>
      <c r="V8" s="13">
        <f>'Summary-2010'!U8-'Summary-1990'!U8</f>
        <v>0</v>
      </c>
      <c r="W8" s="13"/>
      <c r="X8" s="13">
        <f t="shared" si="5"/>
        <v>-43565.000000000073</v>
      </c>
      <c r="Y8" s="18"/>
      <c r="Z8" s="13">
        <f t="shared" si="0"/>
        <v>-91342.531863588636</v>
      </c>
      <c r="AA8" s="18">
        <f t="shared" si="6"/>
        <v>48</v>
      </c>
      <c r="AB8" s="18" t="str">
        <f t="shared" si="7"/>
        <v>Chicago</v>
      </c>
      <c r="AC8" s="18">
        <f t="shared" si="8"/>
        <v>38</v>
      </c>
      <c r="AD8" s="18">
        <f t="shared" si="8"/>
        <v>46</v>
      </c>
      <c r="AE8" s="18">
        <f t="shared" si="8"/>
        <v>48</v>
      </c>
      <c r="AF8" s="18">
        <f t="shared" si="8"/>
        <v>50</v>
      </c>
      <c r="AG8" s="18">
        <f t="shared" si="8"/>
        <v>4</v>
      </c>
      <c r="AH8" s="18">
        <f t="shared" ref="AH8:AH52" si="9">RANK(S8,S$2:S$52)</f>
        <v>1</v>
      </c>
      <c r="AI8" s="18" t="str">
        <f t="shared" si="2"/>
        <v>Chicago</v>
      </c>
      <c r="AJ8" s="18"/>
    </row>
    <row r="9" spans="1:36">
      <c r="A9" s="18" t="s">
        <v>33</v>
      </c>
      <c r="B9" s="13">
        <f>'Summary-2010'!B9-'Summary-1990'!B9</f>
        <v>-49789.52862552744</v>
      </c>
      <c r="C9" s="13">
        <f>'Summary-2010'!C9-'Summary-1990'!C9</f>
        <v>-206886.38822239602</v>
      </c>
      <c r="D9" s="13">
        <f>'Summary-2010'!D9-'Summary-1990'!D9</f>
        <v>-2307.2924555909121</v>
      </c>
      <c r="E9" s="13">
        <f>'Summary-2010'!E9-'Summary-1990'!E9</f>
        <v>61781</v>
      </c>
      <c r="F9" s="13">
        <f>'Summary-2010'!F9-'Summary-1990'!F9</f>
        <v>61781</v>
      </c>
      <c r="G9" s="13">
        <f>'Summary-2010'!G9-'Summary-1990'!G9</f>
        <v>61781</v>
      </c>
      <c r="H9" s="13">
        <f>'Summary-2010'!H9-'Summary-1990'!H9</f>
        <v>61781</v>
      </c>
      <c r="I9" s="13">
        <f>'Summary-2010'!I9-'Summary-1990'!I9</f>
        <v>61781</v>
      </c>
      <c r="J9" s="13">
        <f>'Summary-2010'!J9-'Summary-1990'!J9</f>
        <v>61781</v>
      </c>
      <c r="K9" s="18" t="str">
        <f t="shared" si="3"/>
        <v>Cincinnati</v>
      </c>
      <c r="L9" s="13">
        <f t="shared" si="4"/>
        <v>61781</v>
      </c>
      <c r="M9" s="13"/>
      <c r="N9" s="13">
        <f>'Summary-2010'!M9-'Summary-1990'!M9</f>
        <v>-49789.52862552744</v>
      </c>
      <c r="O9" s="13">
        <f>'Summary-2010'!N9-'Summary-1990'!N9</f>
        <v>-157096.85959686857</v>
      </c>
      <c r="P9" s="13">
        <f>'Summary-2010'!O9-'Summary-1990'!O9</f>
        <v>204579.09576680511</v>
      </c>
      <c r="Q9" s="13">
        <f>'Summary-2010'!P9-'Summary-1990'!P9</f>
        <v>64088.292455590912</v>
      </c>
      <c r="R9" s="13">
        <f>'Summary-2010'!Q9-'Summary-1990'!Q9</f>
        <v>0</v>
      </c>
      <c r="S9" s="13">
        <f>'Summary-2010'!R9-'Summary-1990'!R9</f>
        <v>0</v>
      </c>
      <c r="T9" s="13">
        <f>'Summary-2010'!S9-'Summary-1990'!S9</f>
        <v>0</v>
      </c>
      <c r="U9" s="13">
        <f>'Summary-2010'!T9-'Summary-1990'!T9</f>
        <v>0</v>
      </c>
      <c r="V9" s="13">
        <f>'Summary-2010'!U9-'Summary-1990'!U9</f>
        <v>0</v>
      </c>
      <c r="W9" s="13"/>
      <c r="X9" s="13">
        <f t="shared" si="5"/>
        <v>61781.000000000015</v>
      </c>
      <c r="Y9" s="18"/>
      <c r="Z9" s="13">
        <f t="shared" si="0"/>
        <v>-32917.809358232764</v>
      </c>
      <c r="AA9" s="18">
        <f t="shared" si="6"/>
        <v>34</v>
      </c>
      <c r="AB9" s="18" t="str">
        <f t="shared" si="7"/>
        <v>Cincinnati</v>
      </c>
      <c r="AC9" s="18">
        <f t="shared" si="8"/>
        <v>37</v>
      </c>
      <c r="AD9" s="18">
        <f t="shared" si="8"/>
        <v>44</v>
      </c>
      <c r="AE9" s="18">
        <f t="shared" si="8"/>
        <v>11</v>
      </c>
      <c r="AF9" s="18">
        <f t="shared" si="8"/>
        <v>13</v>
      </c>
      <c r="AG9" s="18">
        <f t="shared" si="8"/>
        <v>10</v>
      </c>
      <c r="AH9" s="18">
        <f t="shared" si="9"/>
        <v>3</v>
      </c>
      <c r="AI9" s="18" t="str">
        <f t="shared" si="2"/>
        <v>Cincinnati</v>
      </c>
      <c r="AJ9" s="18"/>
    </row>
    <row r="10" spans="1:36">
      <c r="A10" s="18" t="s">
        <v>34</v>
      </c>
      <c r="B10" s="13">
        <f>'Summary-2010'!B10-'Summary-1990'!B10</f>
        <v>-115670.18456035711</v>
      </c>
      <c r="C10" s="13">
        <f>'Summary-2010'!C10-'Summary-1990'!C10</f>
        <v>-505065.48044226976</v>
      </c>
      <c r="D10" s="13">
        <f>'Summary-2010'!D10-'Summary-1990'!D10</f>
        <v>-371941</v>
      </c>
      <c r="E10" s="13">
        <f>'Summary-2010'!E10-'Summary-1990'!E10</f>
        <v>-371941</v>
      </c>
      <c r="F10" s="13">
        <f>'Summary-2010'!F10-'Summary-1990'!F10</f>
        <v>-371941</v>
      </c>
      <c r="G10" s="13">
        <f>'Summary-2010'!G10-'Summary-1990'!G10</f>
        <v>-371941</v>
      </c>
      <c r="H10" s="13">
        <f>'Summary-2010'!H10-'Summary-1990'!H10</f>
        <v>-371941</v>
      </c>
      <c r="I10" s="13">
        <f>'Summary-2010'!I10-'Summary-1990'!I10</f>
        <v>-371941</v>
      </c>
      <c r="J10" s="13">
        <f>'Summary-2010'!J10-'Summary-1990'!J10</f>
        <v>-371941</v>
      </c>
      <c r="K10" s="18" t="str">
        <f t="shared" si="3"/>
        <v>Cleveland</v>
      </c>
      <c r="L10" s="13">
        <f t="shared" si="4"/>
        <v>-371940.99999999994</v>
      </c>
      <c r="M10" s="13"/>
      <c r="N10" s="13">
        <f>'Summary-2010'!M10-'Summary-1990'!M10</f>
        <v>-115670.18456035711</v>
      </c>
      <c r="O10" s="13">
        <f>'Summary-2010'!N10-'Summary-1990'!N10</f>
        <v>-389395.29588191258</v>
      </c>
      <c r="P10" s="13">
        <f>'Summary-2010'!O10-'Summary-1990'!O10</f>
        <v>133124.48044226976</v>
      </c>
      <c r="Q10" s="13">
        <f>'Summary-2010'!P10-'Summary-1990'!P10</f>
        <v>0</v>
      </c>
      <c r="R10" s="13">
        <f>'Summary-2010'!Q10-'Summary-1990'!Q10</f>
        <v>0</v>
      </c>
      <c r="S10" s="13">
        <f>'Summary-2010'!R10-'Summary-1990'!R10</f>
        <v>0</v>
      </c>
      <c r="T10" s="13">
        <f>'Summary-2010'!S10-'Summary-1990'!S10</f>
        <v>0</v>
      </c>
      <c r="U10" s="13">
        <f>'Summary-2010'!T10-'Summary-1990'!T10</f>
        <v>0</v>
      </c>
      <c r="V10" s="13">
        <f>'Summary-2010'!U10-'Summary-1990'!U10</f>
        <v>0</v>
      </c>
      <c r="W10" s="13"/>
      <c r="X10" s="13">
        <f t="shared" si="5"/>
        <v>-371940.99999999994</v>
      </c>
      <c r="Y10" s="18"/>
      <c r="Z10" s="13">
        <f t="shared" si="0"/>
        <v>-118514.73817137069</v>
      </c>
      <c r="AA10" s="18">
        <f t="shared" si="6"/>
        <v>49</v>
      </c>
      <c r="AB10" s="18" t="str">
        <f t="shared" si="7"/>
        <v>Cleveland</v>
      </c>
      <c r="AC10" s="18">
        <f t="shared" si="8"/>
        <v>46</v>
      </c>
      <c r="AD10" s="18">
        <f t="shared" si="8"/>
        <v>50</v>
      </c>
      <c r="AE10" s="18">
        <f t="shared" si="8"/>
        <v>16</v>
      </c>
      <c r="AF10" s="18">
        <f t="shared" si="8"/>
        <v>15</v>
      </c>
      <c r="AG10" s="18">
        <f t="shared" si="8"/>
        <v>10</v>
      </c>
      <c r="AH10" s="18">
        <f t="shared" si="9"/>
        <v>3</v>
      </c>
      <c r="AI10" s="18" t="str">
        <f t="shared" si="2"/>
        <v>Cleveland</v>
      </c>
      <c r="AJ10" s="18"/>
    </row>
    <row r="11" spans="1:36">
      <c r="A11" s="18" t="s">
        <v>35</v>
      </c>
      <c r="B11" s="13">
        <f>'Summary-2010'!B11-'Summary-1990'!B11</f>
        <v>-59818.893189271199</v>
      </c>
      <c r="C11" s="13">
        <f>'Summary-2010'!C11-'Summary-1990'!C11</f>
        <v>-156076.98514295078</v>
      </c>
      <c r="D11" s="13">
        <f>'Summary-2010'!D11-'Summary-1990'!D11</f>
        <v>72470</v>
      </c>
      <c r="E11" s="13">
        <f>'Summary-2010'!E11-'Summary-1990'!E11</f>
        <v>72470</v>
      </c>
      <c r="F11" s="13">
        <f>'Summary-2010'!F11-'Summary-1990'!F11</f>
        <v>72470</v>
      </c>
      <c r="G11" s="13">
        <f>'Summary-2010'!G11-'Summary-1990'!G11</f>
        <v>72470</v>
      </c>
      <c r="H11" s="13">
        <f>'Summary-2010'!H11-'Summary-1990'!H11</f>
        <v>72470</v>
      </c>
      <c r="I11" s="13">
        <f>'Summary-2010'!I11-'Summary-1990'!I11</f>
        <v>72470</v>
      </c>
      <c r="J11" s="13">
        <f>'Summary-2010'!J11-'Summary-1990'!J11</f>
        <v>72470</v>
      </c>
      <c r="K11" s="18" t="str">
        <f t="shared" si="3"/>
        <v>Columbus</v>
      </c>
      <c r="L11" s="13">
        <f t="shared" si="4"/>
        <v>72469.999999999942</v>
      </c>
      <c r="M11" s="13"/>
      <c r="N11" s="13">
        <f>'Summary-2010'!M11-'Summary-1990'!M11</f>
        <v>-59818.893189271199</v>
      </c>
      <c r="O11" s="13">
        <f>'Summary-2010'!N11-'Summary-1990'!N11</f>
        <v>-96258.091953679628</v>
      </c>
      <c r="P11" s="13">
        <f>'Summary-2010'!O11-'Summary-1990'!O11</f>
        <v>228546.98514295078</v>
      </c>
      <c r="Q11" s="13">
        <f>'Summary-2010'!P11-'Summary-1990'!P11</f>
        <v>0</v>
      </c>
      <c r="R11" s="13">
        <f>'Summary-2010'!Q11-'Summary-1990'!Q11</f>
        <v>0</v>
      </c>
      <c r="S11" s="13">
        <f>'Summary-2010'!R11-'Summary-1990'!R11</f>
        <v>0</v>
      </c>
      <c r="T11" s="13">
        <f>'Summary-2010'!S11-'Summary-1990'!S11</f>
        <v>0</v>
      </c>
      <c r="U11" s="13">
        <f>'Summary-2010'!T11-'Summary-1990'!T11</f>
        <v>0</v>
      </c>
      <c r="V11" s="13">
        <f>'Summary-2010'!U11-'Summary-1990'!U11</f>
        <v>0</v>
      </c>
      <c r="W11" s="13"/>
      <c r="X11" s="13">
        <f t="shared" si="5"/>
        <v>72469.999999999956</v>
      </c>
      <c r="Y11" s="18"/>
      <c r="Z11" s="13">
        <f t="shared" si="0"/>
        <v>-25579.220182996953</v>
      </c>
      <c r="AA11" s="18">
        <f t="shared" si="6"/>
        <v>31</v>
      </c>
      <c r="AB11" s="18" t="str">
        <f t="shared" si="7"/>
        <v>Columbus</v>
      </c>
      <c r="AC11" s="18">
        <f t="shared" si="8"/>
        <v>40</v>
      </c>
      <c r="AD11" s="18">
        <f t="shared" si="8"/>
        <v>36</v>
      </c>
      <c r="AE11" s="18">
        <f t="shared" si="8"/>
        <v>8</v>
      </c>
      <c r="AF11" s="18">
        <f t="shared" si="8"/>
        <v>15</v>
      </c>
      <c r="AG11" s="18">
        <f t="shared" si="8"/>
        <v>10</v>
      </c>
      <c r="AH11" s="18">
        <f t="shared" si="9"/>
        <v>3</v>
      </c>
      <c r="AI11" s="18" t="str">
        <f t="shared" si="2"/>
        <v>Columbus</v>
      </c>
      <c r="AJ11" s="18"/>
    </row>
    <row r="12" spans="1:36">
      <c r="A12" s="18" t="s">
        <v>569</v>
      </c>
      <c r="B12" s="13">
        <f>'Summary-2010'!B12-'Summary-1990'!B12</f>
        <v>1258.1561079467501</v>
      </c>
      <c r="C12" s="13">
        <f>'Summary-2010'!C12-'Summary-1990'!C12</f>
        <v>8081.5604464113712</v>
      </c>
      <c r="D12" s="13">
        <f>'Summary-2010'!D12-'Summary-1990'!D12</f>
        <v>19128.619074431248</v>
      </c>
      <c r="E12" s="13">
        <f>'Summary-2010'!E12-'Summary-1990'!E12</f>
        <v>101349.45630416414</v>
      </c>
      <c r="F12" s="13">
        <f>'Summary-2010'!F12-'Summary-1990'!F12</f>
        <v>533674</v>
      </c>
      <c r="G12" s="13">
        <f>'Summary-2010'!G12-'Summary-1990'!G12</f>
        <v>533674</v>
      </c>
      <c r="H12" s="13">
        <f>'Summary-2010'!H12-'Summary-1990'!H12</f>
        <v>533674</v>
      </c>
      <c r="I12" s="13">
        <f>'Summary-2010'!I12-'Summary-1990'!I12</f>
        <v>533674</v>
      </c>
      <c r="J12" s="13">
        <f>'Summary-2010'!J12-'Summary-1990'!J12</f>
        <v>533674</v>
      </c>
      <c r="K12" s="18" t="str">
        <f t="shared" si="3"/>
        <v>Dallas</v>
      </c>
      <c r="L12" s="13">
        <f t="shared" si="4"/>
        <v>533674</v>
      </c>
      <c r="M12" s="13"/>
      <c r="N12" s="13">
        <f>'Summary-2010'!M12-'Summary-1990'!M12</f>
        <v>1258.1561079467501</v>
      </c>
      <c r="O12" s="13">
        <f>'Summary-2010'!N12-'Summary-1990'!N12</f>
        <v>6823.4043384646066</v>
      </c>
      <c r="P12" s="13">
        <f>'Summary-2010'!O12-'Summary-1990'!O12</f>
        <v>11047.058628019877</v>
      </c>
      <c r="Q12" s="13">
        <f>'Summary-2010'!P12-'Summary-1990'!P12</f>
        <v>82220.83722973289</v>
      </c>
      <c r="R12" s="13">
        <f>'Summary-2010'!Q12-'Summary-1990'!Q12</f>
        <v>432324.54369583586</v>
      </c>
      <c r="S12" s="13">
        <f>'Summary-2010'!R12-'Summary-1990'!R12</f>
        <v>0</v>
      </c>
      <c r="T12" s="13">
        <f>'Summary-2010'!S12-'Summary-1990'!S12</f>
        <v>0</v>
      </c>
      <c r="U12" s="13">
        <f>'Summary-2010'!T12-'Summary-1990'!T12</f>
        <v>0</v>
      </c>
      <c r="V12" s="13">
        <f>'Summary-2010'!U12-'Summary-1990'!U12</f>
        <v>0</v>
      </c>
      <c r="W12" s="13"/>
      <c r="X12" s="13">
        <f t="shared" si="5"/>
        <v>533674</v>
      </c>
      <c r="Y12" s="18"/>
      <c r="Z12" s="13">
        <f t="shared" si="0"/>
        <v>14214.916869589335</v>
      </c>
      <c r="AA12" s="18">
        <f t="shared" si="6"/>
        <v>15</v>
      </c>
      <c r="AB12" s="18" t="str">
        <f t="shared" si="7"/>
        <v>Dallas</v>
      </c>
      <c r="AC12" s="18">
        <f t="shared" si="8"/>
        <v>17</v>
      </c>
      <c r="AD12" s="18">
        <f t="shared" si="8"/>
        <v>21</v>
      </c>
      <c r="AE12" s="18">
        <f t="shared" si="8"/>
        <v>28</v>
      </c>
      <c r="AF12" s="18">
        <f t="shared" si="8"/>
        <v>11</v>
      </c>
      <c r="AG12" s="18">
        <f t="shared" si="8"/>
        <v>5</v>
      </c>
      <c r="AH12" s="18">
        <f t="shared" si="9"/>
        <v>3</v>
      </c>
      <c r="AI12" s="18" t="str">
        <f t="shared" si="2"/>
        <v>Dallas</v>
      </c>
      <c r="AJ12" s="18"/>
    </row>
    <row r="13" spans="1:36">
      <c r="A13" s="18" t="s">
        <v>36</v>
      </c>
      <c r="B13" s="13">
        <f>'Summary-2010'!B13-'Summary-1990'!B13</f>
        <v>-57254.143000920521</v>
      </c>
      <c r="C13" s="13">
        <f>'Summary-2010'!C13-'Summary-1990'!C13</f>
        <v>-234486.90721503022</v>
      </c>
      <c r="D13" s="13">
        <f>'Summary-2010'!D13-'Summary-1990'!D13</f>
        <v>-38585.446112378268</v>
      </c>
      <c r="E13" s="13">
        <f>'Summary-2010'!E13-'Summary-1990'!E13</f>
        <v>73234</v>
      </c>
      <c r="F13" s="13">
        <f>'Summary-2010'!F13-'Summary-1990'!F13</f>
        <v>73234</v>
      </c>
      <c r="G13" s="13">
        <f>'Summary-2010'!G13-'Summary-1990'!G13</f>
        <v>73234</v>
      </c>
      <c r="H13" s="13">
        <f>'Summary-2010'!H13-'Summary-1990'!H13</f>
        <v>73234</v>
      </c>
      <c r="I13" s="13">
        <f>'Summary-2010'!I13-'Summary-1990'!I13</f>
        <v>73234</v>
      </c>
      <c r="J13" s="13">
        <f>'Summary-2010'!J13-'Summary-1990'!J13</f>
        <v>73234</v>
      </c>
      <c r="K13" s="18" t="str">
        <f t="shared" si="3"/>
        <v>Denver</v>
      </c>
      <c r="L13" s="13">
        <f t="shared" si="4"/>
        <v>73234</v>
      </c>
      <c r="M13" s="13"/>
      <c r="N13" s="13">
        <f>'Summary-2010'!M13-'Summary-1990'!M13</f>
        <v>-57254.143000920521</v>
      </c>
      <c r="O13" s="13">
        <f>'Summary-2010'!N13-'Summary-1990'!N13</f>
        <v>-177232.76421410969</v>
      </c>
      <c r="P13" s="13">
        <f>'Summary-2010'!O13-'Summary-1990'!O13</f>
        <v>195901.46110265196</v>
      </c>
      <c r="Q13" s="13">
        <f>'Summary-2010'!P13-'Summary-1990'!P13</f>
        <v>111819.44611237827</v>
      </c>
      <c r="R13" s="13">
        <f>'Summary-2010'!Q13-'Summary-1990'!Q13</f>
        <v>0</v>
      </c>
      <c r="S13" s="13">
        <f>'Summary-2010'!R13-'Summary-1990'!R13</f>
        <v>0</v>
      </c>
      <c r="T13" s="13">
        <f>'Summary-2010'!S13-'Summary-1990'!S13</f>
        <v>0</v>
      </c>
      <c r="U13" s="13">
        <f>'Summary-2010'!T13-'Summary-1990'!T13</f>
        <v>0</v>
      </c>
      <c r="V13" s="13">
        <f>'Summary-2010'!U13-'Summary-1990'!U13</f>
        <v>0</v>
      </c>
      <c r="W13" s="13"/>
      <c r="X13" s="13">
        <f t="shared" si="5"/>
        <v>73234.000000000015</v>
      </c>
      <c r="Y13" s="18"/>
      <c r="Z13" s="13">
        <f t="shared" si="0"/>
        <v>-39178.83606660067</v>
      </c>
      <c r="AA13" s="18">
        <f t="shared" si="6"/>
        <v>35</v>
      </c>
      <c r="AB13" s="18" t="str">
        <f t="shared" si="7"/>
        <v>Denver</v>
      </c>
      <c r="AC13" s="18">
        <f t="shared" si="8"/>
        <v>39</v>
      </c>
      <c r="AD13" s="18">
        <f t="shared" si="8"/>
        <v>47</v>
      </c>
      <c r="AE13" s="18">
        <f t="shared" si="8"/>
        <v>13</v>
      </c>
      <c r="AF13" s="18">
        <f t="shared" si="8"/>
        <v>10</v>
      </c>
      <c r="AG13" s="18">
        <f t="shared" si="8"/>
        <v>10</v>
      </c>
      <c r="AH13" s="18">
        <f t="shared" si="9"/>
        <v>3</v>
      </c>
      <c r="AI13" s="18" t="str">
        <f t="shared" si="2"/>
        <v>Denver</v>
      </c>
      <c r="AJ13" s="18"/>
    </row>
    <row r="14" spans="1:36">
      <c r="A14" s="18" t="s">
        <v>37</v>
      </c>
      <c r="B14" s="13">
        <f>'Summary-2010'!B14-'Summary-1990'!B14</f>
        <v>-46885.189525653695</v>
      </c>
      <c r="C14" s="13">
        <f>'Summary-2010'!C14-'Summary-1990'!C14</f>
        <v>-201053.42433933448</v>
      </c>
      <c r="D14" s="13">
        <f>'Summary-2010'!D14-'Summary-1990'!D14</f>
        <v>-467182.72276398074</v>
      </c>
      <c r="E14" s="13">
        <f>'Summary-2010'!E14-'Summary-1990'!E14</f>
        <v>-578902</v>
      </c>
      <c r="F14" s="13">
        <f>'Summary-2010'!F14-'Summary-1990'!F14</f>
        <v>-578902</v>
      </c>
      <c r="G14" s="13">
        <f>'Summary-2010'!G14-'Summary-1990'!G14</f>
        <v>-578902</v>
      </c>
      <c r="H14" s="13">
        <f>'Summary-2010'!H14-'Summary-1990'!H14</f>
        <v>-578902</v>
      </c>
      <c r="I14" s="13">
        <f>'Summary-2010'!I14-'Summary-1990'!I14</f>
        <v>-578902</v>
      </c>
      <c r="J14" s="13">
        <f>'Summary-2010'!J14-'Summary-1990'!J14</f>
        <v>-578902</v>
      </c>
      <c r="K14" s="18" t="str">
        <f t="shared" si="3"/>
        <v>Detroit</v>
      </c>
      <c r="L14" s="13">
        <f t="shared" si="4"/>
        <v>-578902</v>
      </c>
      <c r="M14" s="13"/>
      <c r="N14" s="13">
        <f>'Summary-2010'!M14-'Summary-1990'!M14</f>
        <v>-46885.189525653695</v>
      </c>
      <c r="O14" s="13">
        <f>'Summary-2010'!N14-'Summary-1990'!N14</f>
        <v>-154168.23481368076</v>
      </c>
      <c r="P14" s="13">
        <f>'Summary-2010'!O14-'Summary-1990'!O14</f>
        <v>-266129.29842464626</v>
      </c>
      <c r="Q14" s="13">
        <f>'Summary-2010'!P14-'Summary-1990'!P14</f>
        <v>-111719.27723601926</v>
      </c>
      <c r="R14" s="13">
        <f>'Summary-2010'!Q14-'Summary-1990'!Q14</f>
        <v>0</v>
      </c>
      <c r="S14" s="13">
        <f>'Summary-2010'!R14-'Summary-1990'!R14</f>
        <v>0</v>
      </c>
      <c r="T14" s="13">
        <f>'Summary-2010'!S14-'Summary-1990'!S14</f>
        <v>0</v>
      </c>
      <c r="U14" s="13">
        <f>'Summary-2010'!T14-'Summary-1990'!T14</f>
        <v>0</v>
      </c>
      <c r="V14" s="13">
        <f>'Summary-2010'!U14-'Summary-1990'!U14</f>
        <v>0</v>
      </c>
      <c r="W14" s="13"/>
      <c r="X14" s="13">
        <f t="shared" si="5"/>
        <v>-578902</v>
      </c>
      <c r="Y14" s="18"/>
      <c r="Z14" s="13">
        <f t="shared" si="0"/>
        <v>-80889.532666707586</v>
      </c>
      <c r="AA14" s="18">
        <f t="shared" si="6"/>
        <v>46</v>
      </c>
      <c r="AB14" s="18" t="str">
        <f t="shared" si="7"/>
        <v>Detroit</v>
      </c>
      <c r="AC14" s="18">
        <f t="shared" si="8"/>
        <v>36</v>
      </c>
      <c r="AD14" s="18">
        <f t="shared" si="8"/>
        <v>43</v>
      </c>
      <c r="AE14" s="18">
        <f t="shared" si="8"/>
        <v>46</v>
      </c>
      <c r="AF14" s="18">
        <f t="shared" si="8"/>
        <v>46</v>
      </c>
      <c r="AG14" s="18">
        <f t="shared" si="8"/>
        <v>10</v>
      </c>
      <c r="AH14" s="18">
        <f t="shared" si="9"/>
        <v>3</v>
      </c>
      <c r="AI14" s="18" t="str">
        <f t="shared" si="2"/>
        <v>Detroit</v>
      </c>
      <c r="AJ14" s="18"/>
    </row>
    <row r="15" spans="1:36">
      <c r="A15" s="18" t="s">
        <v>79</v>
      </c>
      <c r="B15" s="13">
        <f>'Summary-2010'!B15-'Summary-1990'!B15</f>
        <v>-43129.235226531469</v>
      </c>
      <c r="C15" s="13">
        <f>'Summary-2010'!C15-'Summary-1990'!C15</f>
        <v>-18968</v>
      </c>
      <c r="D15" s="13">
        <f>'Summary-2010'!D15-'Summary-1990'!D15</f>
        <v>-18968</v>
      </c>
      <c r="E15" s="13">
        <f>'Summary-2010'!E15-'Summary-1990'!E15</f>
        <v>-18968</v>
      </c>
      <c r="F15" s="13">
        <f>'Summary-2010'!F15-'Summary-1990'!F15</f>
        <v>-18968</v>
      </c>
      <c r="G15" s="13">
        <f>'Summary-2010'!G15-'Summary-1990'!G15</f>
        <v>-18968</v>
      </c>
      <c r="H15" s="13">
        <f>'Summary-2010'!H15-'Summary-1990'!H15</f>
        <v>-18968</v>
      </c>
      <c r="I15" s="13">
        <f>'Summary-2010'!I15-'Summary-1990'!I15</f>
        <v>-18968</v>
      </c>
      <c r="J15" s="13">
        <f>'Summary-2010'!J15-'Summary-1990'!J15</f>
        <v>-18968</v>
      </c>
      <c r="K15" s="18" t="str">
        <f t="shared" si="3"/>
        <v>Grand Rapids</v>
      </c>
      <c r="L15" s="13">
        <f t="shared" si="4"/>
        <v>-18968.000000000015</v>
      </c>
      <c r="M15" s="13"/>
      <c r="N15" s="13">
        <f>'Summary-2010'!M15-'Summary-1990'!M15</f>
        <v>-43129.235226531469</v>
      </c>
      <c r="O15" s="13">
        <f>'Summary-2010'!N15-'Summary-1990'!N15</f>
        <v>24161.235226531455</v>
      </c>
      <c r="P15" s="13">
        <f>'Summary-2010'!O15-'Summary-1990'!O15</f>
        <v>0</v>
      </c>
      <c r="Q15" s="13">
        <f>'Summary-2010'!P15-'Summary-1990'!P15</f>
        <v>0</v>
      </c>
      <c r="R15" s="13">
        <f>'Summary-2010'!Q15-'Summary-1990'!Q15</f>
        <v>0</v>
      </c>
      <c r="S15" s="13">
        <f>'Summary-2010'!R15-'Summary-1990'!R15</f>
        <v>0</v>
      </c>
      <c r="T15" s="13">
        <f>'Summary-2010'!S15-'Summary-1990'!S15</f>
        <v>0</v>
      </c>
      <c r="U15" s="13">
        <f>'Summary-2010'!T15-'Summary-1990'!T15</f>
        <v>0</v>
      </c>
      <c r="V15" s="13">
        <f>'Summary-2010'!U15-'Summary-1990'!U15</f>
        <v>0</v>
      </c>
      <c r="W15" s="13"/>
      <c r="X15" s="13">
        <f t="shared" si="5"/>
        <v>-18968.000000000015</v>
      </c>
      <c r="Y15" s="18"/>
      <c r="Z15" s="13">
        <f t="shared" si="0"/>
        <v>-14501.145324818859</v>
      </c>
      <c r="AA15" s="18">
        <f t="shared" si="6"/>
        <v>25</v>
      </c>
      <c r="AB15" s="18" t="str">
        <f t="shared" si="7"/>
        <v>Grand Rapids</v>
      </c>
      <c r="AC15" s="18">
        <f t="shared" si="8"/>
        <v>33</v>
      </c>
      <c r="AD15" s="18">
        <f t="shared" si="8"/>
        <v>16</v>
      </c>
      <c r="AE15" s="18">
        <f t="shared" si="8"/>
        <v>29</v>
      </c>
      <c r="AF15" s="18">
        <f t="shared" si="8"/>
        <v>15</v>
      </c>
      <c r="AG15" s="18">
        <f t="shared" si="8"/>
        <v>10</v>
      </c>
      <c r="AH15" s="18">
        <f t="shared" si="9"/>
        <v>3</v>
      </c>
      <c r="AI15" s="18" t="str">
        <f t="shared" si="2"/>
        <v>Grand Rapids</v>
      </c>
      <c r="AJ15" s="18"/>
    </row>
    <row r="16" spans="1:36">
      <c r="A16" s="18" t="s">
        <v>511</v>
      </c>
      <c r="B16" s="13">
        <f>'Summary-2010'!B16-'Summary-1990'!B16</f>
        <v>3635.7480411957949</v>
      </c>
      <c r="C16" s="13">
        <f>'Summary-2010'!C16-'Summary-1990'!C16</f>
        <v>23539.779141838313</v>
      </c>
      <c r="D16" s="13">
        <f>'Summary-2010'!D16-'Summary-1990'!D16</f>
        <v>-105202</v>
      </c>
      <c r="E16" s="13">
        <f>'Summary-2010'!E16-'Summary-1990'!E16</f>
        <v>-105202</v>
      </c>
      <c r="F16" s="13">
        <f>'Summary-2010'!F16-'Summary-1990'!F16</f>
        <v>-105202</v>
      </c>
      <c r="G16" s="13">
        <f>'Summary-2010'!G16-'Summary-1990'!G16</f>
        <v>-105202</v>
      </c>
      <c r="H16" s="13">
        <f>'Summary-2010'!H16-'Summary-1990'!H16</f>
        <v>-105202</v>
      </c>
      <c r="I16" s="13">
        <f>'Summary-2010'!I16-'Summary-1990'!I16</f>
        <v>-105202</v>
      </c>
      <c r="J16" s="13">
        <f>'Summary-2010'!J16-'Summary-1990'!J16</f>
        <v>-105202</v>
      </c>
      <c r="K16" s="18" t="str">
        <f t="shared" si="3"/>
        <v>Virginia Beach</v>
      </c>
      <c r="L16" s="13">
        <f t="shared" si="4"/>
        <v>-105201.99999999997</v>
      </c>
      <c r="M16" s="13"/>
      <c r="N16" s="13">
        <f>'Summary-2010'!M16-'Summary-1990'!M16</f>
        <v>3635.7480411957949</v>
      </c>
      <c r="O16" s="13">
        <f>'Summary-2010'!N16-'Summary-1990'!N16</f>
        <v>19904.031100642547</v>
      </c>
      <c r="P16" s="13">
        <f>'Summary-2010'!O16-'Summary-1990'!O16</f>
        <v>-128741.77914183831</v>
      </c>
      <c r="Q16" s="13">
        <f>'Summary-2010'!P16-'Summary-1990'!P16</f>
        <v>0</v>
      </c>
      <c r="R16" s="13">
        <f>'Summary-2010'!Q16-'Summary-1990'!Q16</f>
        <v>0</v>
      </c>
      <c r="S16" s="13">
        <f>'Summary-2010'!R16-'Summary-1990'!R16</f>
        <v>0</v>
      </c>
      <c r="T16" s="13">
        <f>'Summary-2010'!S16-'Summary-1990'!S16</f>
        <v>0</v>
      </c>
      <c r="U16" s="13">
        <f>'Summary-2010'!T16-'Summary-1990'!T16</f>
        <v>0</v>
      </c>
      <c r="V16" s="13">
        <f>'Summary-2010'!U16-'Summary-1990'!U16</f>
        <v>0</v>
      </c>
      <c r="W16" s="13"/>
      <c r="X16" s="13">
        <f t="shared" si="5"/>
        <v>-105201.99999999997</v>
      </c>
      <c r="Y16" s="18"/>
      <c r="Z16" s="13">
        <f t="shared" si="0"/>
        <v>-6026.9892321663683</v>
      </c>
      <c r="AA16" s="18">
        <f t="shared" si="6"/>
        <v>20</v>
      </c>
      <c r="AB16" s="18" t="str">
        <f t="shared" si="7"/>
        <v>Virginia Beach</v>
      </c>
      <c r="AC16" s="18">
        <f t="shared" si="8"/>
        <v>15</v>
      </c>
      <c r="AD16" s="18">
        <f t="shared" si="8"/>
        <v>17</v>
      </c>
      <c r="AE16" s="18">
        <f t="shared" si="8"/>
        <v>42</v>
      </c>
      <c r="AF16" s="18">
        <f t="shared" si="8"/>
        <v>15</v>
      </c>
      <c r="AG16" s="18">
        <f t="shared" si="8"/>
        <v>10</v>
      </c>
      <c r="AH16" s="18">
        <f t="shared" si="9"/>
        <v>3</v>
      </c>
      <c r="AI16" s="18" t="str">
        <f t="shared" si="2"/>
        <v>Virginia Beach</v>
      </c>
      <c r="AJ16" s="18"/>
    </row>
    <row r="17" spans="1:36">
      <c r="A17" s="18" t="s">
        <v>38</v>
      </c>
      <c r="B17" s="13">
        <f>'Summary-2010'!B17-'Summary-1990'!B17</f>
        <v>-151318.41428248768</v>
      </c>
      <c r="C17" s="13">
        <f>'Summary-2010'!C17-'Summary-1990'!C17</f>
        <v>-213872.88518613233</v>
      </c>
      <c r="D17" s="13">
        <f>'Summary-2010'!D17-'Summary-1990'!D17</f>
        <v>-32646</v>
      </c>
      <c r="E17" s="13">
        <f>'Summary-2010'!E17-'Summary-1990'!E17</f>
        <v>-32646</v>
      </c>
      <c r="F17" s="13">
        <f>'Summary-2010'!F17-'Summary-1990'!F17</f>
        <v>-32646</v>
      </c>
      <c r="G17" s="13">
        <f>'Summary-2010'!G17-'Summary-1990'!G17</f>
        <v>-32646</v>
      </c>
      <c r="H17" s="13">
        <f>'Summary-2010'!H17-'Summary-1990'!H17</f>
        <v>-32646</v>
      </c>
      <c r="I17" s="13">
        <f>'Summary-2010'!I17-'Summary-1990'!I17</f>
        <v>-32646</v>
      </c>
      <c r="J17" s="13">
        <f>'Summary-2010'!J17-'Summary-1990'!J17</f>
        <v>-32646</v>
      </c>
      <c r="K17" s="18" t="str">
        <f t="shared" si="3"/>
        <v>Hartford</v>
      </c>
      <c r="L17" s="13">
        <f t="shared" si="4"/>
        <v>-32645.999999999971</v>
      </c>
      <c r="M17" s="13"/>
      <c r="N17" s="13">
        <f>'Summary-2010'!M17-'Summary-1990'!M17</f>
        <v>-151318.41428248768</v>
      </c>
      <c r="O17" s="13">
        <f>'Summary-2010'!N17-'Summary-1990'!N17</f>
        <v>-62554.470903644629</v>
      </c>
      <c r="P17" s="13">
        <f>'Summary-2010'!O17-'Summary-1990'!O17</f>
        <v>181226.88518613233</v>
      </c>
      <c r="Q17" s="13">
        <f>'Summary-2010'!P17-'Summary-1990'!P17</f>
        <v>0</v>
      </c>
      <c r="R17" s="13">
        <f>'Summary-2010'!Q17-'Summary-1990'!Q17</f>
        <v>0</v>
      </c>
      <c r="S17" s="13">
        <f>'Summary-2010'!R17-'Summary-1990'!R17</f>
        <v>0</v>
      </c>
      <c r="T17" s="13">
        <f>'Summary-2010'!S17-'Summary-1990'!S17</f>
        <v>0</v>
      </c>
      <c r="U17" s="13">
        <f>'Summary-2010'!T17-'Summary-1990'!T17</f>
        <v>0</v>
      </c>
      <c r="V17" s="13">
        <f>'Summary-2010'!U17-'Summary-1990'!U17</f>
        <v>0</v>
      </c>
      <c r="W17" s="13"/>
      <c r="X17" s="13">
        <f t="shared" si="5"/>
        <v>-32645.999999999971</v>
      </c>
      <c r="Y17" s="18"/>
      <c r="Z17" s="13">
        <f t="shared" si="0"/>
        <v>-64180.744096753333</v>
      </c>
      <c r="AA17" s="18">
        <f t="shared" si="6"/>
        <v>44</v>
      </c>
      <c r="AB17" s="18" t="str">
        <f t="shared" si="7"/>
        <v>Hartford</v>
      </c>
      <c r="AC17" s="18">
        <f t="shared" si="8"/>
        <v>50</v>
      </c>
      <c r="AD17" s="18">
        <f t="shared" si="8"/>
        <v>30</v>
      </c>
      <c r="AE17" s="18">
        <f t="shared" si="8"/>
        <v>14</v>
      </c>
      <c r="AF17" s="18">
        <f t="shared" si="8"/>
        <v>15</v>
      </c>
      <c r="AG17" s="18">
        <f t="shared" si="8"/>
        <v>10</v>
      </c>
      <c r="AH17" s="18">
        <f t="shared" si="9"/>
        <v>3</v>
      </c>
      <c r="AI17" s="18" t="str">
        <f t="shared" si="2"/>
        <v>Hartford</v>
      </c>
      <c r="AJ17" s="18"/>
    </row>
    <row r="18" spans="1:36">
      <c r="A18" s="18" t="s">
        <v>80</v>
      </c>
      <c r="B18" s="13">
        <f>'Summary-2010'!B18-'Summary-1990'!B18</f>
        <v>-108699.43480928426</v>
      </c>
      <c r="C18" s="13">
        <f>'Summary-2010'!C18-'Summary-1990'!C18</f>
        <v>-101584</v>
      </c>
      <c r="D18" s="13">
        <f>'Summary-2010'!D18-'Summary-1990'!D18</f>
        <v>-101584</v>
      </c>
      <c r="E18" s="13">
        <f>'Summary-2010'!E18-'Summary-1990'!E18</f>
        <v>-101584</v>
      </c>
      <c r="F18" s="13">
        <f>'Summary-2010'!F18-'Summary-1990'!F18</f>
        <v>-101584</v>
      </c>
      <c r="G18" s="13">
        <f>'Summary-2010'!G18-'Summary-1990'!G18</f>
        <v>-101584</v>
      </c>
      <c r="H18" s="13">
        <f>'Summary-2010'!H18-'Summary-1990'!H18</f>
        <v>-101584</v>
      </c>
      <c r="I18" s="13">
        <f>'Summary-2010'!I18-'Summary-1990'!I18</f>
        <v>-101584</v>
      </c>
      <c r="J18" s="13">
        <f>'Summary-2010'!J18-'Summary-1990'!J18</f>
        <v>-101584</v>
      </c>
      <c r="K18" s="18" t="str">
        <f t="shared" si="3"/>
        <v>Honolulu</v>
      </c>
      <c r="L18" s="13">
        <f t="shared" si="4"/>
        <v>-101584</v>
      </c>
      <c r="M18" s="13"/>
      <c r="N18" s="13">
        <f>'Summary-2010'!M18-'Summary-1990'!M18</f>
        <v>-108699.43480928426</v>
      </c>
      <c r="O18" s="13">
        <f>'Summary-2010'!N18-'Summary-1990'!N18</f>
        <v>7115.4348092842556</v>
      </c>
      <c r="P18" s="13">
        <f>'Summary-2010'!O18-'Summary-1990'!O18</f>
        <v>0</v>
      </c>
      <c r="Q18" s="13">
        <f>'Summary-2010'!P18-'Summary-1990'!P18</f>
        <v>0</v>
      </c>
      <c r="R18" s="13">
        <f>'Summary-2010'!Q18-'Summary-1990'!Q18</f>
        <v>0</v>
      </c>
      <c r="S18" s="13">
        <f>'Summary-2010'!R18-'Summary-1990'!R18</f>
        <v>0</v>
      </c>
      <c r="T18" s="13">
        <f>'Summary-2010'!S18-'Summary-1990'!S18</f>
        <v>0</v>
      </c>
      <c r="U18" s="13">
        <f>'Summary-2010'!T18-'Summary-1990'!T18</f>
        <v>0</v>
      </c>
      <c r="V18" s="13">
        <f>'Summary-2010'!U18-'Summary-1990'!U18</f>
        <v>0</v>
      </c>
      <c r="W18" s="13"/>
      <c r="X18" s="13">
        <f t="shared" si="5"/>
        <v>-101584</v>
      </c>
      <c r="Y18" s="18"/>
      <c r="Z18" s="13">
        <f t="shared" si="0"/>
        <v>-47405.222930970696</v>
      </c>
      <c r="AA18" s="18">
        <f t="shared" si="6"/>
        <v>40</v>
      </c>
      <c r="AB18" s="18" t="str">
        <f t="shared" si="7"/>
        <v>Honolulu</v>
      </c>
      <c r="AC18" s="18">
        <f t="shared" si="8"/>
        <v>43</v>
      </c>
      <c r="AD18" s="18">
        <f t="shared" si="8"/>
        <v>20</v>
      </c>
      <c r="AE18" s="18">
        <f t="shared" si="8"/>
        <v>29</v>
      </c>
      <c r="AF18" s="18">
        <f t="shared" si="8"/>
        <v>15</v>
      </c>
      <c r="AG18" s="18">
        <f t="shared" si="8"/>
        <v>10</v>
      </c>
      <c r="AH18" s="18">
        <f t="shared" si="9"/>
        <v>3</v>
      </c>
      <c r="AI18" s="18" t="str">
        <f t="shared" si="2"/>
        <v>Honolulu</v>
      </c>
      <c r="AJ18" s="18"/>
    </row>
    <row r="19" spans="1:36">
      <c r="A19" s="18" t="s">
        <v>39</v>
      </c>
      <c r="B19" s="13">
        <f>'Summary-2010'!B19-'Summary-1990'!B19</f>
        <v>-1139.7573877075047</v>
      </c>
      <c r="C19" s="13">
        <f>'Summary-2010'!C19-'Summary-1990'!C19</f>
        <v>7641.9231638154015</v>
      </c>
      <c r="D19" s="13">
        <f>'Summary-2010'!D19-'Summary-1990'!D19</f>
        <v>19918.556952465326</v>
      </c>
      <c r="E19" s="13">
        <f>'Summary-2010'!E19-'Summary-1990'!E19</f>
        <v>148908.58960266178</v>
      </c>
      <c r="F19" s="13">
        <f>'Summary-2010'!F19-'Summary-1990'!F19</f>
        <v>416771</v>
      </c>
      <c r="G19" s="13">
        <f>'Summary-2010'!G19-'Summary-1990'!G19</f>
        <v>416771</v>
      </c>
      <c r="H19" s="13">
        <f>'Summary-2010'!H19-'Summary-1990'!H19</f>
        <v>416771</v>
      </c>
      <c r="I19" s="13">
        <f>'Summary-2010'!I19-'Summary-1990'!I19</f>
        <v>416771</v>
      </c>
      <c r="J19" s="13">
        <f>'Summary-2010'!J19-'Summary-1990'!J19</f>
        <v>416771</v>
      </c>
      <c r="K19" s="18" t="str">
        <f t="shared" si="3"/>
        <v>Houston</v>
      </c>
      <c r="L19" s="13">
        <f t="shared" si="4"/>
        <v>416771</v>
      </c>
      <c r="M19" s="13"/>
      <c r="N19" s="13">
        <f>'Summary-2010'!M19-'Summary-1990'!M19</f>
        <v>-1139.7573877075047</v>
      </c>
      <c r="O19" s="13">
        <f>'Summary-2010'!N19-'Summary-1990'!N19</f>
        <v>8781.6805515229353</v>
      </c>
      <c r="P19" s="13">
        <f>'Summary-2010'!O19-'Summary-1990'!O19</f>
        <v>12276.633788649924</v>
      </c>
      <c r="Q19" s="13">
        <f>'Summary-2010'!P19-'Summary-1990'!P19</f>
        <v>128990.03265019646</v>
      </c>
      <c r="R19" s="13">
        <f>'Summary-2010'!Q19-'Summary-1990'!Q19</f>
        <v>267862.41039733822</v>
      </c>
      <c r="S19" s="13">
        <f>'Summary-2010'!R19-'Summary-1990'!R19</f>
        <v>0</v>
      </c>
      <c r="T19" s="13">
        <f>'Summary-2010'!S19-'Summary-1990'!S19</f>
        <v>0</v>
      </c>
      <c r="U19" s="13">
        <f>'Summary-2010'!T19-'Summary-1990'!T19</f>
        <v>0</v>
      </c>
      <c r="V19" s="13">
        <f>'Summary-2010'!U19-'Summary-1990'!U19</f>
        <v>0</v>
      </c>
      <c r="W19" s="13"/>
      <c r="X19" s="13">
        <f t="shared" si="5"/>
        <v>416771</v>
      </c>
      <c r="Y19" s="18"/>
      <c r="Z19" s="13">
        <f t="shared" si="0"/>
        <v>12538.565012487257</v>
      </c>
      <c r="AA19" s="18">
        <f t="shared" si="6"/>
        <v>16</v>
      </c>
      <c r="AB19" s="18" t="str">
        <f t="shared" si="7"/>
        <v>Houston</v>
      </c>
      <c r="AC19" s="18">
        <f t="shared" si="8"/>
        <v>18</v>
      </c>
      <c r="AD19" s="18">
        <f t="shared" si="8"/>
        <v>19</v>
      </c>
      <c r="AE19" s="18">
        <f t="shared" si="8"/>
        <v>27</v>
      </c>
      <c r="AF19" s="18">
        <f t="shared" si="8"/>
        <v>8</v>
      </c>
      <c r="AG19" s="18">
        <f t="shared" si="8"/>
        <v>6</v>
      </c>
      <c r="AH19" s="18">
        <f t="shared" si="9"/>
        <v>3</v>
      </c>
      <c r="AI19" s="18" t="str">
        <f t="shared" si="2"/>
        <v>Houston</v>
      </c>
      <c r="AJ19" s="18"/>
    </row>
    <row r="20" spans="1:36">
      <c r="A20" s="18" t="s">
        <v>40</v>
      </c>
      <c r="B20" s="13">
        <f>'Summary-2010'!B20-'Summary-1990'!B20</f>
        <v>-35410.459149895614</v>
      </c>
      <c r="C20" s="13">
        <f>'Summary-2010'!C20-'Summary-1990'!C20</f>
        <v>-158868.27182816569</v>
      </c>
      <c r="D20" s="13">
        <f>'Summary-2010'!D20-'Summary-1990'!D20</f>
        <v>117948</v>
      </c>
      <c r="E20" s="13">
        <f>'Summary-2010'!E20-'Summary-1990'!E20</f>
        <v>117948</v>
      </c>
      <c r="F20" s="13">
        <f>'Summary-2010'!F20-'Summary-1990'!F20</f>
        <v>117948</v>
      </c>
      <c r="G20" s="13">
        <f>'Summary-2010'!G20-'Summary-1990'!G20</f>
        <v>117948</v>
      </c>
      <c r="H20" s="13">
        <f>'Summary-2010'!H20-'Summary-1990'!H20</f>
        <v>117948</v>
      </c>
      <c r="I20" s="13">
        <f>'Summary-2010'!I20-'Summary-1990'!I20</f>
        <v>117948</v>
      </c>
      <c r="J20" s="13">
        <f>'Summary-2010'!J20-'Summary-1990'!J20</f>
        <v>117948</v>
      </c>
      <c r="K20" s="18" t="str">
        <f t="shared" si="3"/>
        <v>Indianapolis</v>
      </c>
      <c r="L20" s="13">
        <f t="shared" si="4"/>
        <v>117947.99999999997</v>
      </c>
      <c r="M20" s="13"/>
      <c r="N20" s="13">
        <f>'Summary-2010'!M20-'Summary-1990'!M20</f>
        <v>-35410.459149895614</v>
      </c>
      <c r="O20" s="13">
        <f>'Summary-2010'!N20-'Summary-1990'!N20</f>
        <v>-123457.8126782701</v>
      </c>
      <c r="P20" s="13">
        <f>'Summary-2010'!O20-'Summary-1990'!O20</f>
        <v>276816.27182816569</v>
      </c>
      <c r="Q20" s="13">
        <f>'Summary-2010'!P20-'Summary-1990'!P20</f>
        <v>0</v>
      </c>
      <c r="R20" s="13">
        <f>'Summary-2010'!Q20-'Summary-1990'!Q20</f>
        <v>0</v>
      </c>
      <c r="S20" s="13">
        <f>'Summary-2010'!R20-'Summary-1990'!R20</f>
        <v>0</v>
      </c>
      <c r="T20" s="13">
        <f>'Summary-2010'!S20-'Summary-1990'!S20</f>
        <v>0</v>
      </c>
      <c r="U20" s="13">
        <f>'Summary-2010'!T20-'Summary-1990'!T20</f>
        <v>0</v>
      </c>
      <c r="V20" s="13">
        <f>'Summary-2010'!U20-'Summary-1990'!U20</f>
        <v>0</v>
      </c>
      <c r="W20" s="13"/>
      <c r="X20" s="13">
        <f t="shared" si="5"/>
        <v>117947.99999999997</v>
      </c>
      <c r="Y20" s="18"/>
      <c r="Z20" s="13">
        <f t="shared" si="0"/>
        <v>-15724.44181026009</v>
      </c>
      <c r="AA20" s="18">
        <f t="shared" si="6"/>
        <v>27</v>
      </c>
      <c r="AB20" s="18" t="str">
        <f t="shared" si="7"/>
        <v>Indianapolis</v>
      </c>
      <c r="AC20" s="18">
        <f t="shared" si="8"/>
        <v>31</v>
      </c>
      <c r="AD20" s="18">
        <f t="shared" si="8"/>
        <v>39</v>
      </c>
      <c r="AE20" s="18">
        <f t="shared" si="8"/>
        <v>4</v>
      </c>
      <c r="AF20" s="18">
        <f t="shared" si="8"/>
        <v>15</v>
      </c>
      <c r="AG20" s="18">
        <f t="shared" si="8"/>
        <v>10</v>
      </c>
      <c r="AH20" s="18">
        <f t="shared" si="9"/>
        <v>3</v>
      </c>
      <c r="AI20" s="18" t="str">
        <f t="shared" si="2"/>
        <v>Indianapolis</v>
      </c>
      <c r="AJ20" s="18"/>
    </row>
    <row r="21" spans="1:36">
      <c r="A21" s="18" t="s">
        <v>559</v>
      </c>
      <c r="B21" s="13">
        <f>'Summary-2010'!B21-'Summary-1990'!B21</f>
        <v>38897.849745875079</v>
      </c>
      <c r="C21" s="13">
        <f>'Summary-2010'!C21-'Summary-1990'!C21</f>
        <v>138412.64556998137</v>
      </c>
      <c r="D21" s="13">
        <f>'Summary-2010'!D21-'Summary-1990'!D21</f>
        <v>190373</v>
      </c>
      <c r="E21" s="13">
        <f>'Summary-2010'!E21-'Summary-1990'!E21</f>
        <v>190373</v>
      </c>
      <c r="F21" s="13">
        <f>'Summary-2010'!F21-'Summary-1990'!F21</f>
        <v>190373</v>
      </c>
      <c r="G21" s="13">
        <f>'Summary-2010'!G21-'Summary-1990'!G21</f>
        <v>190373</v>
      </c>
      <c r="H21" s="13">
        <f>'Summary-2010'!H21-'Summary-1990'!H21</f>
        <v>190373</v>
      </c>
      <c r="I21" s="13">
        <f>'Summary-2010'!I21-'Summary-1990'!I21</f>
        <v>190373</v>
      </c>
      <c r="J21" s="13">
        <f>'Summary-2010'!J21-'Summary-1990'!J21</f>
        <v>190373</v>
      </c>
      <c r="K21" s="18" t="str">
        <f t="shared" si="3"/>
        <v>Riverside</v>
      </c>
      <c r="L21" s="13">
        <f t="shared" si="4"/>
        <v>190373.00000000003</v>
      </c>
      <c r="M21" s="13"/>
      <c r="N21" s="13">
        <f>'Summary-2010'!M21-'Summary-1990'!M21</f>
        <v>38897.849745875079</v>
      </c>
      <c r="O21" s="13">
        <f>'Summary-2010'!N21-'Summary-1990'!N21</f>
        <v>99514.795824106317</v>
      </c>
      <c r="P21" s="13">
        <f>'Summary-2010'!O21-'Summary-1990'!O21</f>
        <v>51960.354430018633</v>
      </c>
      <c r="Q21" s="13">
        <f>'Summary-2010'!P21-'Summary-1990'!P21</f>
        <v>0</v>
      </c>
      <c r="R21" s="13">
        <f>'Summary-2010'!Q21-'Summary-1990'!Q21</f>
        <v>0</v>
      </c>
      <c r="S21" s="13">
        <f>'Summary-2010'!R21-'Summary-1990'!R21</f>
        <v>0</v>
      </c>
      <c r="T21" s="13">
        <f>'Summary-2010'!S21-'Summary-1990'!S21</f>
        <v>0</v>
      </c>
      <c r="U21" s="13">
        <f>'Summary-2010'!T21-'Summary-1990'!T21</f>
        <v>0</v>
      </c>
      <c r="V21" s="13">
        <f>'Summary-2010'!U21-'Summary-1990'!U21</f>
        <v>0</v>
      </c>
      <c r="W21" s="13"/>
      <c r="X21" s="13">
        <f t="shared" si="5"/>
        <v>190373.00000000003</v>
      </c>
      <c r="Y21" s="18"/>
      <c r="Z21" s="13">
        <f t="shared" si="0"/>
        <v>42283.358304621266</v>
      </c>
      <c r="AA21" s="18">
        <f t="shared" si="6"/>
        <v>7</v>
      </c>
      <c r="AB21" s="18" t="str">
        <f t="shared" si="7"/>
        <v>Riverside</v>
      </c>
      <c r="AC21" s="18">
        <f t="shared" si="8"/>
        <v>7</v>
      </c>
      <c r="AD21" s="18">
        <f t="shared" si="8"/>
        <v>8</v>
      </c>
      <c r="AE21" s="18">
        <f t="shared" si="8"/>
        <v>21</v>
      </c>
      <c r="AF21" s="18">
        <f t="shared" si="8"/>
        <v>15</v>
      </c>
      <c r="AG21" s="18">
        <f t="shared" si="8"/>
        <v>10</v>
      </c>
      <c r="AH21" s="18">
        <f t="shared" si="9"/>
        <v>3</v>
      </c>
      <c r="AI21" s="18" t="str">
        <f t="shared" si="2"/>
        <v>Riverside</v>
      </c>
      <c r="AJ21" s="18"/>
    </row>
    <row r="22" spans="1:36">
      <c r="A22" s="18" t="s">
        <v>41</v>
      </c>
      <c r="B22" s="13">
        <f>'Summary-2010'!B22-'Summary-1990'!B22</f>
        <v>87166.207354565428</v>
      </c>
      <c r="C22" s="13">
        <f>'Summary-2010'!C22-'Summary-1990'!C22</f>
        <v>364936.50351592875</v>
      </c>
      <c r="D22" s="13">
        <f>'Summary-2010'!D22-'Summary-1990'!D22</f>
        <v>416758</v>
      </c>
      <c r="E22" s="13">
        <f>'Summary-2010'!E22-'Summary-1990'!E22</f>
        <v>416758</v>
      </c>
      <c r="F22" s="13">
        <f>'Summary-2010'!F22-'Summary-1990'!F22</f>
        <v>416758</v>
      </c>
      <c r="G22" s="13">
        <f>'Summary-2010'!G22-'Summary-1990'!G22</f>
        <v>416758</v>
      </c>
      <c r="H22" s="13">
        <f>'Summary-2010'!H22-'Summary-1990'!H22</f>
        <v>416758</v>
      </c>
      <c r="I22" s="13">
        <f>'Summary-2010'!I22-'Summary-1990'!I22</f>
        <v>416758</v>
      </c>
      <c r="J22" s="13">
        <f>'Summary-2010'!J22-'Summary-1990'!J22</f>
        <v>416758</v>
      </c>
      <c r="K22" s="18" t="str">
        <f t="shared" si="3"/>
        <v>Jacksonville</v>
      </c>
      <c r="L22" s="13">
        <f t="shared" si="4"/>
        <v>416758</v>
      </c>
      <c r="M22" s="13"/>
      <c r="N22" s="13">
        <f>'Summary-2010'!M22-'Summary-1990'!M22</f>
        <v>87166.207354565428</v>
      </c>
      <c r="O22" s="13">
        <f>'Summary-2010'!N22-'Summary-1990'!N22</f>
        <v>277770.29616136337</v>
      </c>
      <c r="P22" s="13">
        <f>'Summary-2010'!O22-'Summary-1990'!O22</f>
        <v>51821.49648407122</v>
      </c>
      <c r="Q22" s="13">
        <f>'Summary-2010'!P22-'Summary-1990'!P22</f>
        <v>0</v>
      </c>
      <c r="R22" s="13">
        <f>'Summary-2010'!Q22-'Summary-1990'!Q22</f>
        <v>0</v>
      </c>
      <c r="S22" s="13">
        <f>'Summary-2010'!R22-'Summary-1990'!R22</f>
        <v>0</v>
      </c>
      <c r="T22" s="13">
        <f>'Summary-2010'!S22-'Summary-1990'!S22</f>
        <v>0</v>
      </c>
      <c r="U22" s="13">
        <f>'Summary-2010'!T22-'Summary-1990'!T22</f>
        <v>0</v>
      </c>
      <c r="V22" s="13">
        <f>'Summary-2010'!U22-'Summary-1990'!U22</f>
        <v>0</v>
      </c>
      <c r="W22" s="13"/>
      <c r="X22" s="13">
        <f t="shared" si="5"/>
        <v>416758.00000000006</v>
      </c>
      <c r="Y22" s="18"/>
      <c r="Z22" s="13">
        <f t="shared" si="0"/>
        <v>99948.297351406698</v>
      </c>
      <c r="AA22" s="18">
        <f t="shared" si="6"/>
        <v>3</v>
      </c>
      <c r="AB22" s="18" t="str">
        <f t="shared" si="7"/>
        <v>Jacksonville</v>
      </c>
      <c r="AC22" s="18">
        <f t="shared" si="8"/>
        <v>3</v>
      </c>
      <c r="AD22" s="18">
        <f t="shared" si="8"/>
        <v>3</v>
      </c>
      <c r="AE22" s="18">
        <f t="shared" si="8"/>
        <v>22</v>
      </c>
      <c r="AF22" s="18">
        <f t="shared" si="8"/>
        <v>15</v>
      </c>
      <c r="AG22" s="18">
        <f t="shared" si="8"/>
        <v>10</v>
      </c>
      <c r="AH22" s="18">
        <f t="shared" si="9"/>
        <v>3</v>
      </c>
      <c r="AI22" s="18" t="str">
        <f t="shared" si="2"/>
        <v>Jacksonville</v>
      </c>
      <c r="AJ22" s="18"/>
    </row>
    <row r="23" spans="1:36">
      <c r="A23" s="18" t="s">
        <v>74</v>
      </c>
      <c r="B23" s="13">
        <f>'Summary-2010'!B23-'Summary-1990'!B23</f>
        <v>42030.303658762961</v>
      </c>
      <c r="C23" s="13">
        <f>'Summary-2010'!C23-'Summary-1990'!C23</f>
        <v>176226.6630288827</v>
      </c>
      <c r="D23" s="13">
        <f>'Summary-2010'!D23-'Summary-1990'!D23</f>
        <v>175382.51153109001</v>
      </c>
      <c r="E23" s="13">
        <f>'Summary-2010'!E23-'Summary-1990'!E23</f>
        <v>157308</v>
      </c>
      <c r="F23" s="13">
        <f>'Summary-2010'!F23-'Summary-1990'!F23</f>
        <v>157308</v>
      </c>
      <c r="G23" s="13">
        <f>'Summary-2010'!G23-'Summary-1990'!G23</f>
        <v>157308</v>
      </c>
      <c r="H23" s="13">
        <f>'Summary-2010'!H23-'Summary-1990'!H23</f>
        <v>157308</v>
      </c>
      <c r="I23" s="13">
        <f>'Summary-2010'!I23-'Summary-1990'!I23</f>
        <v>157308</v>
      </c>
      <c r="J23" s="13">
        <f>'Summary-2010'!J23-'Summary-1990'!J23</f>
        <v>157308</v>
      </c>
      <c r="K23" s="18" t="str">
        <f t="shared" si="3"/>
        <v>Kansas City</v>
      </c>
      <c r="L23" s="13">
        <f t="shared" si="4"/>
        <v>157308</v>
      </c>
      <c r="M23" s="13"/>
      <c r="N23" s="13">
        <f>'Summary-2010'!M23-'Summary-1990'!M23</f>
        <v>42030.303658762961</v>
      </c>
      <c r="O23" s="13">
        <f>'Summary-2010'!N23-'Summary-1990'!N23</f>
        <v>134196.35937011975</v>
      </c>
      <c r="P23" s="13">
        <f>'Summary-2010'!O23-'Summary-1990'!O23</f>
        <v>-844.1514977926854</v>
      </c>
      <c r="Q23" s="13">
        <f>'Summary-2010'!P23-'Summary-1990'!P23</f>
        <v>-18074.511531090015</v>
      </c>
      <c r="R23" s="13">
        <f>'Summary-2010'!Q23-'Summary-1990'!Q23</f>
        <v>0</v>
      </c>
      <c r="S23" s="13">
        <f>'Summary-2010'!R23-'Summary-1990'!R23</f>
        <v>0</v>
      </c>
      <c r="T23" s="13">
        <f>'Summary-2010'!S23-'Summary-1990'!S23</f>
        <v>0</v>
      </c>
      <c r="U23" s="13">
        <f>'Summary-2010'!T23-'Summary-1990'!T23</f>
        <v>0</v>
      </c>
      <c r="V23" s="13">
        <f>'Summary-2010'!U23-'Summary-1990'!U23</f>
        <v>0</v>
      </c>
      <c r="W23" s="13"/>
      <c r="X23" s="13">
        <f t="shared" si="5"/>
        <v>157308</v>
      </c>
      <c r="Y23" s="18"/>
      <c r="Z23" s="13">
        <f t="shared" si="0"/>
        <v>45165.873866925285</v>
      </c>
      <c r="AA23" s="18">
        <f t="shared" si="6"/>
        <v>6</v>
      </c>
      <c r="AB23" s="18" t="str">
        <f t="shared" si="7"/>
        <v>Kansas City</v>
      </c>
      <c r="AC23" s="18">
        <f t="shared" si="8"/>
        <v>6</v>
      </c>
      <c r="AD23" s="18">
        <f t="shared" si="8"/>
        <v>6</v>
      </c>
      <c r="AE23" s="18">
        <f t="shared" si="8"/>
        <v>34</v>
      </c>
      <c r="AF23" s="18">
        <f t="shared" si="8"/>
        <v>43</v>
      </c>
      <c r="AG23" s="18">
        <f t="shared" si="8"/>
        <v>10</v>
      </c>
      <c r="AH23" s="18">
        <f t="shared" si="9"/>
        <v>3</v>
      </c>
      <c r="AI23" s="18" t="str">
        <f t="shared" si="2"/>
        <v>Kansas City</v>
      </c>
      <c r="AJ23" s="18"/>
    </row>
    <row r="24" spans="1:36">
      <c r="A24" s="18" t="s">
        <v>62</v>
      </c>
      <c r="B24" s="13">
        <f>'Summary-2010'!B24-'Summary-1990'!B24</f>
        <v>24039.559455903101</v>
      </c>
      <c r="C24" s="13">
        <f>'Summary-2010'!C24-'Summary-1990'!C24</f>
        <v>156746.721026566</v>
      </c>
      <c r="D24" s="13">
        <f>'Summary-2010'!D24-'Summary-1990'!D24</f>
        <v>360748</v>
      </c>
      <c r="E24" s="13">
        <f>'Summary-2010'!E24-'Summary-1990'!E24</f>
        <v>360748</v>
      </c>
      <c r="F24" s="13">
        <f>'Summary-2010'!F24-'Summary-1990'!F24</f>
        <v>360748</v>
      </c>
      <c r="G24" s="13">
        <f>'Summary-2010'!G24-'Summary-1990'!G24</f>
        <v>360748</v>
      </c>
      <c r="H24" s="13">
        <f>'Summary-2010'!H24-'Summary-1990'!H24</f>
        <v>360748</v>
      </c>
      <c r="I24" s="13">
        <f>'Summary-2010'!I24-'Summary-1990'!I24</f>
        <v>360748</v>
      </c>
      <c r="J24" s="13">
        <f>'Summary-2010'!J24-'Summary-1990'!J24</f>
        <v>360748</v>
      </c>
      <c r="K24" s="18" t="str">
        <f t="shared" si="3"/>
        <v>Las Vegas</v>
      </c>
      <c r="L24" s="13">
        <f t="shared" si="4"/>
        <v>360748</v>
      </c>
      <c r="M24" s="13"/>
      <c r="N24" s="13">
        <f>'Summary-2010'!M24-'Summary-1990'!M24</f>
        <v>24039.559455903101</v>
      </c>
      <c r="O24" s="13">
        <f>'Summary-2010'!N24-'Summary-1990'!N24</f>
        <v>132707.16157066287</v>
      </c>
      <c r="P24" s="13">
        <f>'Summary-2010'!O24-'Summary-1990'!O24</f>
        <v>204001.278973434</v>
      </c>
      <c r="Q24" s="13">
        <f>'Summary-2010'!P24-'Summary-1990'!P24</f>
        <v>0</v>
      </c>
      <c r="R24" s="13">
        <f>'Summary-2010'!Q24-'Summary-1990'!Q24</f>
        <v>0</v>
      </c>
      <c r="S24" s="13">
        <f>'Summary-2010'!R24-'Summary-1990'!R24</f>
        <v>0</v>
      </c>
      <c r="T24" s="13">
        <f>'Summary-2010'!S24-'Summary-1990'!S24</f>
        <v>0</v>
      </c>
      <c r="U24" s="13">
        <f>'Summary-2010'!T24-'Summary-1990'!T24</f>
        <v>0</v>
      </c>
      <c r="V24" s="13">
        <f>'Summary-2010'!U24-'Summary-1990'!U24</f>
        <v>0</v>
      </c>
      <c r="W24" s="13"/>
      <c r="X24" s="13">
        <f t="shared" si="5"/>
        <v>360748</v>
      </c>
      <c r="Y24" s="18"/>
      <c r="Z24" s="13">
        <f t="shared" si="0"/>
        <v>56101.362679118669</v>
      </c>
      <c r="AA24" s="18">
        <f t="shared" si="6"/>
        <v>5</v>
      </c>
      <c r="AB24" s="18" t="str">
        <f t="shared" si="7"/>
        <v>Las Vegas</v>
      </c>
      <c r="AC24" s="18">
        <f t="shared" si="8"/>
        <v>9</v>
      </c>
      <c r="AD24" s="18">
        <f t="shared" si="8"/>
        <v>7</v>
      </c>
      <c r="AE24" s="18">
        <f t="shared" si="8"/>
        <v>12</v>
      </c>
      <c r="AF24" s="18">
        <f t="shared" si="8"/>
        <v>15</v>
      </c>
      <c r="AG24" s="18">
        <f t="shared" si="8"/>
        <v>10</v>
      </c>
      <c r="AH24" s="18">
        <f t="shared" si="9"/>
        <v>3</v>
      </c>
      <c r="AI24" s="18" t="str">
        <f t="shared" si="2"/>
        <v>Las Vegas</v>
      </c>
      <c r="AJ24" s="18"/>
    </row>
    <row r="25" spans="1:36">
      <c r="A25" s="18" t="s">
        <v>63</v>
      </c>
      <c r="B25" s="13">
        <f>'Summary-2010'!B25-'Summary-1990'!B25</f>
        <v>94610.787491060735</v>
      </c>
      <c r="C25" s="13">
        <f>'Summary-2010'!C25-'Summary-1990'!C25</f>
        <v>468708.74220149021</v>
      </c>
      <c r="D25" s="13">
        <f>'Summary-2010'!D25-'Summary-1990'!D25</f>
        <v>1093440.3450871599</v>
      </c>
      <c r="E25" s="13">
        <f>'Summary-2010'!E25-'Summary-1990'!E25</f>
        <v>1985476.2019764418</v>
      </c>
      <c r="F25" s="13">
        <f>'Summary-2010'!F25-'Summary-1990'!F25</f>
        <v>929279.83163060341</v>
      </c>
      <c r="G25" s="13">
        <f>'Summary-2010'!G25-'Summary-1990'!G25</f>
        <v>-782292.9301491892</v>
      </c>
      <c r="H25" s="13">
        <f>'Summary-2010'!H25-'Summary-1990'!H25</f>
        <v>-1189736</v>
      </c>
      <c r="I25" s="13">
        <f>'Summary-2010'!I25-'Summary-1990'!I25</f>
        <v>-1189736</v>
      </c>
      <c r="J25" s="13">
        <f>'Summary-2010'!J25-'Summary-1990'!J25</f>
        <v>-1189736</v>
      </c>
      <c r="K25" s="18" t="str">
        <f t="shared" si="3"/>
        <v>Los Angeles</v>
      </c>
      <c r="L25" s="13">
        <f t="shared" si="4"/>
        <v>-1189736</v>
      </c>
      <c r="M25" s="13"/>
      <c r="N25" s="13">
        <f>'Summary-2010'!M25-'Summary-1990'!M25</f>
        <v>94610.787491060735</v>
      </c>
      <c r="O25" s="13">
        <f>'Summary-2010'!N25-'Summary-1990'!N25</f>
        <v>374097.95471042953</v>
      </c>
      <c r="P25" s="13">
        <f>'Summary-2010'!O25-'Summary-1990'!O25</f>
        <v>624731.60288566968</v>
      </c>
      <c r="Q25" s="13">
        <f>'Summary-2010'!P25-'Summary-1990'!P25</f>
        <v>892035.85688928189</v>
      </c>
      <c r="R25" s="13">
        <f>'Summary-2010'!Q25-'Summary-1990'!Q25</f>
        <v>-1056196.3703458384</v>
      </c>
      <c r="S25" s="13">
        <f>'Summary-2010'!R25-'Summary-1990'!R25</f>
        <v>-1711572.7617797926</v>
      </c>
      <c r="T25" s="13">
        <f>'Summary-2010'!S25-'Summary-1990'!S25</f>
        <v>-407443.0698508108</v>
      </c>
      <c r="U25" s="13">
        <f>'Summary-2010'!T25-'Summary-1990'!T25</f>
        <v>0</v>
      </c>
      <c r="V25" s="13">
        <f>'Summary-2010'!U25-'Summary-1990'!U25</f>
        <v>0</v>
      </c>
      <c r="W25" s="13"/>
      <c r="X25" s="13">
        <f t="shared" si="5"/>
        <v>-1189736</v>
      </c>
      <c r="Y25" s="18"/>
      <c r="Z25" s="13">
        <f t="shared" si="0"/>
        <v>176138.77036135033</v>
      </c>
      <c r="AA25" s="18">
        <f t="shared" si="6"/>
        <v>1</v>
      </c>
      <c r="AB25" s="18" t="str">
        <f t="shared" si="7"/>
        <v>Los Angeles</v>
      </c>
      <c r="AC25" s="18">
        <f t="shared" si="8"/>
        <v>2</v>
      </c>
      <c r="AD25" s="18">
        <f t="shared" si="8"/>
        <v>2</v>
      </c>
      <c r="AE25" s="18">
        <f t="shared" si="8"/>
        <v>1</v>
      </c>
      <c r="AF25" s="18">
        <f t="shared" si="8"/>
        <v>1</v>
      </c>
      <c r="AG25" s="18">
        <f t="shared" si="8"/>
        <v>51</v>
      </c>
      <c r="AH25" s="18">
        <f t="shared" si="9"/>
        <v>51</v>
      </c>
      <c r="AI25" s="18" t="str">
        <f t="shared" si="2"/>
        <v>Los Angeles</v>
      </c>
      <c r="AJ25" s="18"/>
    </row>
    <row r="26" spans="1:36">
      <c r="A26" s="18" t="s">
        <v>42</v>
      </c>
      <c r="B26" s="13">
        <f>'Summary-2010'!B26-'Summary-1990'!B26</f>
        <v>-11046.301592510034</v>
      </c>
      <c r="C26" s="13">
        <f>'Summary-2010'!C26-'Summary-1990'!C26</f>
        <v>-51105.695361813589</v>
      </c>
      <c r="D26" s="13">
        <f>'Summary-2010'!D26-'Summary-1990'!D26</f>
        <v>68124</v>
      </c>
      <c r="E26" s="13">
        <f>'Summary-2010'!E26-'Summary-1990'!E26</f>
        <v>68124</v>
      </c>
      <c r="F26" s="13">
        <f>'Summary-2010'!F26-'Summary-1990'!F26</f>
        <v>68124</v>
      </c>
      <c r="G26" s="13">
        <f>'Summary-2010'!G26-'Summary-1990'!G26</f>
        <v>68124</v>
      </c>
      <c r="H26" s="13">
        <f>'Summary-2010'!H26-'Summary-1990'!H26</f>
        <v>68124</v>
      </c>
      <c r="I26" s="13">
        <f>'Summary-2010'!I26-'Summary-1990'!I26</f>
        <v>68124</v>
      </c>
      <c r="J26" s="13">
        <f>'Summary-2010'!J26-'Summary-1990'!J26</f>
        <v>68124</v>
      </c>
      <c r="K26" s="18" t="str">
        <f t="shared" si="3"/>
        <v>Louisville</v>
      </c>
      <c r="L26" s="13">
        <f t="shared" si="4"/>
        <v>68123.999999999985</v>
      </c>
      <c r="M26" s="13"/>
      <c r="N26" s="13">
        <f>'Summary-2010'!M26-'Summary-1990'!M26</f>
        <v>-11046.301592510034</v>
      </c>
      <c r="O26" s="13">
        <f>'Summary-2010'!N26-'Summary-1990'!N26</f>
        <v>-40059.39376930357</v>
      </c>
      <c r="P26" s="13">
        <f>'Summary-2010'!O26-'Summary-1990'!O26</f>
        <v>119229.69536181359</v>
      </c>
      <c r="Q26" s="13">
        <f>'Summary-2010'!P26-'Summary-1990'!P26</f>
        <v>0</v>
      </c>
      <c r="R26" s="13">
        <f>'Summary-2010'!Q26-'Summary-1990'!Q26</f>
        <v>0</v>
      </c>
      <c r="S26" s="13">
        <f>'Summary-2010'!R26-'Summary-1990'!R26</f>
        <v>0</v>
      </c>
      <c r="T26" s="13">
        <f>'Summary-2010'!S26-'Summary-1990'!S26</f>
        <v>0</v>
      </c>
      <c r="U26" s="13">
        <f>'Summary-2010'!T26-'Summary-1990'!T26</f>
        <v>0</v>
      </c>
      <c r="V26" s="13">
        <f>'Summary-2010'!U26-'Summary-1990'!U26</f>
        <v>0</v>
      </c>
      <c r="W26" s="13"/>
      <c r="X26" s="13">
        <f t="shared" si="5"/>
        <v>68123.999999999985</v>
      </c>
      <c r="Y26" s="18"/>
      <c r="Z26" s="13">
        <f t="shared" si="0"/>
        <v>-2235.0014323442429</v>
      </c>
      <c r="AA26" s="18">
        <f t="shared" si="6"/>
        <v>19</v>
      </c>
      <c r="AB26" s="18" t="str">
        <f t="shared" si="7"/>
        <v>Louisville</v>
      </c>
      <c r="AC26" s="18">
        <f t="shared" si="8"/>
        <v>22</v>
      </c>
      <c r="AD26" s="18">
        <f t="shared" si="8"/>
        <v>29</v>
      </c>
      <c r="AE26" s="18">
        <f t="shared" si="8"/>
        <v>18</v>
      </c>
      <c r="AF26" s="18">
        <f t="shared" si="8"/>
        <v>15</v>
      </c>
      <c r="AG26" s="18">
        <f t="shared" si="8"/>
        <v>10</v>
      </c>
      <c r="AH26" s="18">
        <f t="shared" si="9"/>
        <v>3</v>
      </c>
      <c r="AI26" s="18" t="str">
        <f t="shared" si="2"/>
        <v>Louisville</v>
      </c>
      <c r="AJ26" s="18"/>
    </row>
    <row r="27" spans="1:36">
      <c r="A27" s="18" t="s">
        <v>43</v>
      </c>
      <c r="B27" s="13">
        <f>'Summary-2010'!B27-'Summary-1990'!B27</f>
        <v>-22507.740760310495</v>
      </c>
      <c r="C27" s="13">
        <f>'Summary-2010'!C27-'Summary-1990'!C27</f>
        <v>-88423.727357402444</v>
      </c>
      <c r="D27" s="13">
        <f>'Summary-2010'!D27-'Summary-1990'!D27</f>
        <v>60929</v>
      </c>
      <c r="E27" s="13">
        <f>'Summary-2010'!E27-'Summary-1990'!E27</f>
        <v>60929</v>
      </c>
      <c r="F27" s="13">
        <f>'Summary-2010'!F27-'Summary-1990'!F27</f>
        <v>60929</v>
      </c>
      <c r="G27" s="13">
        <f>'Summary-2010'!G27-'Summary-1990'!G27</f>
        <v>60929</v>
      </c>
      <c r="H27" s="13">
        <f>'Summary-2010'!H27-'Summary-1990'!H27</f>
        <v>60929</v>
      </c>
      <c r="I27" s="13">
        <f>'Summary-2010'!I27-'Summary-1990'!I27</f>
        <v>60929</v>
      </c>
      <c r="J27" s="13">
        <f>'Summary-2010'!J27-'Summary-1990'!J27</f>
        <v>60929</v>
      </c>
      <c r="K27" s="18" t="str">
        <f t="shared" si="3"/>
        <v>Memphis</v>
      </c>
      <c r="L27" s="13">
        <f t="shared" si="4"/>
        <v>60929</v>
      </c>
      <c r="M27" s="13"/>
      <c r="N27" s="13">
        <f>'Summary-2010'!M27-'Summary-1990'!M27</f>
        <v>-22507.740760310495</v>
      </c>
      <c r="O27" s="13">
        <f>'Summary-2010'!N27-'Summary-1990'!N27</f>
        <v>-65915.986597091949</v>
      </c>
      <c r="P27" s="13">
        <f>'Summary-2010'!O27-'Summary-1990'!O27</f>
        <v>149352.72735740244</v>
      </c>
      <c r="Q27" s="13">
        <f>'Summary-2010'!P27-'Summary-1990'!P27</f>
        <v>0</v>
      </c>
      <c r="R27" s="13">
        <f>'Summary-2010'!Q27-'Summary-1990'!Q27</f>
        <v>0</v>
      </c>
      <c r="S27" s="13">
        <f>'Summary-2010'!R27-'Summary-1990'!R27</f>
        <v>0</v>
      </c>
      <c r="T27" s="13">
        <f>'Summary-2010'!S27-'Summary-1990'!S27</f>
        <v>0</v>
      </c>
      <c r="U27" s="13">
        <f>'Summary-2010'!T27-'Summary-1990'!T27</f>
        <v>0</v>
      </c>
      <c r="V27" s="13">
        <f>'Summary-2010'!U27-'Summary-1990'!U27</f>
        <v>0</v>
      </c>
      <c r="W27" s="13"/>
      <c r="X27" s="13">
        <f t="shared" si="5"/>
        <v>60929</v>
      </c>
      <c r="Y27" s="18"/>
      <c r="Z27" s="13">
        <f t="shared" si="0"/>
        <v>-9872.6142705293187</v>
      </c>
      <c r="AA27" s="18">
        <f t="shared" si="6"/>
        <v>22</v>
      </c>
      <c r="AB27" s="18" t="str">
        <f t="shared" si="7"/>
        <v>Memphis</v>
      </c>
      <c r="AC27" s="18">
        <f t="shared" si="8"/>
        <v>27</v>
      </c>
      <c r="AD27" s="18">
        <f t="shared" si="8"/>
        <v>31</v>
      </c>
      <c r="AE27" s="18">
        <f t="shared" si="8"/>
        <v>15</v>
      </c>
      <c r="AF27" s="18">
        <f t="shared" si="8"/>
        <v>15</v>
      </c>
      <c r="AG27" s="18">
        <f t="shared" si="8"/>
        <v>10</v>
      </c>
      <c r="AH27" s="18">
        <f t="shared" si="9"/>
        <v>3</v>
      </c>
      <c r="AI27" s="18" t="str">
        <f t="shared" si="2"/>
        <v>Memphis</v>
      </c>
      <c r="AJ27" s="18"/>
    </row>
    <row r="28" spans="1:36">
      <c r="A28" s="18" t="s">
        <v>44</v>
      </c>
      <c r="B28" s="13">
        <f>'Summary-2010'!B28-'Summary-1990'!B28</f>
        <v>-5061.3663712025154</v>
      </c>
      <c r="C28" s="13">
        <f>'Summary-2010'!C28-'Summary-1990'!C28</f>
        <v>-17451.368617709843</v>
      </c>
      <c r="D28" s="13">
        <f>'Summary-2010'!D28-'Summary-1990'!D28</f>
        <v>-35473</v>
      </c>
      <c r="E28" s="13">
        <f>'Summary-2010'!E28-'Summary-1990'!E28</f>
        <v>-35473</v>
      </c>
      <c r="F28" s="13">
        <f>'Summary-2010'!F28-'Summary-1990'!F28</f>
        <v>-35473</v>
      </c>
      <c r="G28" s="13">
        <f>'Summary-2010'!G28-'Summary-1990'!G28</f>
        <v>-35473</v>
      </c>
      <c r="H28" s="13">
        <f>'Summary-2010'!H28-'Summary-1990'!H28</f>
        <v>-35473</v>
      </c>
      <c r="I28" s="13">
        <f>'Summary-2010'!I28-'Summary-1990'!I28</f>
        <v>-35473</v>
      </c>
      <c r="J28" s="13">
        <f>'Summary-2010'!J28-'Summary-1990'!J28</f>
        <v>-35473</v>
      </c>
      <c r="K28" s="18" t="str">
        <f t="shared" si="3"/>
        <v>Milwaukee</v>
      </c>
      <c r="L28" s="13">
        <f t="shared" si="4"/>
        <v>-35473</v>
      </c>
      <c r="M28" s="13"/>
      <c r="N28" s="13">
        <f>'Summary-2010'!M28-'Summary-1990'!M28</f>
        <v>-5061.3663712025154</v>
      </c>
      <c r="O28" s="13">
        <f>'Summary-2010'!N28-'Summary-1990'!N28</f>
        <v>-12390.002246507327</v>
      </c>
      <c r="P28" s="13">
        <f>'Summary-2010'!O28-'Summary-1990'!O28</f>
        <v>-18021.631382290157</v>
      </c>
      <c r="Q28" s="13">
        <f>'Summary-2010'!P28-'Summary-1990'!P28</f>
        <v>0</v>
      </c>
      <c r="R28" s="13">
        <f>'Summary-2010'!Q28-'Summary-1990'!Q28</f>
        <v>0</v>
      </c>
      <c r="S28" s="13">
        <f>'Summary-2010'!R28-'Summary-1990'!R28</f>
        <v>0</v>
      </c>
      <c r="T28" s="13">
        <f>'Summary-2010'!S28-'Summary-1990'!S28</f>
        <v>0</v>
      </c>
      <c r="U28" s="13">
        <f>'Summary-2010'!T28-'Summary-1990'!T28</f>
        <v>0</v>
      </c>
      <c r="V28" s="13">
        <f>'Summary-2010'!U28-'Summary-1990'!U28</f>
        <v>0</v>
      </c>
      <c r="W28" s="13"/>
      <c r="X28" s="13">
        <f t="shared" si="5"/>
        <v>-35473</v>
      </c>
      <c r="Y28" s="18"/>
      <c r="Z28" s="13">
        <f t="shared" si="0"/>
        <v>-6410.6023340435631</v>
      </c>
      <c r="AA28" s="18">
        <f t="shared" si="6"/>
        <v>21</v>
      </c>
      <c r="AB28" s="18" t="str">
        <f t="shared" si="7"/>
        <v>Milwaukee</v>
      </c>
      <c r="AC28" s="18">
        <f t="shared" si="8"/>
        <v>19</v>
      </c>
      <c r="AD28" s="18">
        <f t="shared" si="8"/>
        <v>25</v>
      </c>
      <c r="AE28" s="18">
        <f t="shared" si="8"/>
        <v>36</v>
      </c>
      <c r="AF28" s="18">
        <f t="shared" si="8"/>
        <v>15</v>
      </c>
      <c r="AG28" s="18">
        <f t="shared" si="8"/>
        <v>10</v>
      </c>
      <c r="AH28" s="18">
        <f t="shared" si="9"/>
        <v>3</v>
      </c>
      <c r="AI28" s="18" t="str">
        <f t="shared" si="2"/>
        <v>Milwaukee</v>
      </c>
      <c r="AJ28" s="18"/>
    </row>
    <row r="29" spans="1:36">
      <c r="A29" s="18" t="s">
        <v>568</v>
      </c>
      <c r="B29" s="13">
        <f>'Summary-2010'!B29-'Summary-1990'!B29</f>
        <v>52234.16821284176</v>
      </c>
      <c r="C29" s="13">
        <f>'Summary-2010'!C29-'Summary-1990'!C29</f>
        <v>239735.22843453666</v>
      </c>
      <c r="D29" s="13">
        <f>'Summary-2010'!D29-'Summary-1990'!D29</f>
        <v>571183.65811476205</v>
      </c>
      <c r="E29" s="13">
        <f>'Summary-2010'!E29-'Summary-1990'!E29</f>
        <v>264757</v>
      </c>
      <c r="F29" s="13">
        <f>'Summary-2010'!F29-'Summary-1990'!F29</f>
        <v>264757</v>
      </c>
      <c r="G29" s="13">
        <f>'Summary-2010'!G29-'Summary-1990'!G29</f>
        <v>264757</v>
      </c>
      <c r="H29" s="13">
        <f>'Summary-2010'!H29-'Summary-1990'!H29</f>
        <v>264757</v>
      </c>
      <c r="I29" s="13">
        <f>'Summary-2010'!I29-'Summary-1990'!I29</f>
        <v>264757</v>
      </c>
      <c r="J29" s="13">
        <f>'Summary-2010'!J29-'Summary-1990'!J29</f>
        <v>264757</v>
      </c>
      <c r="K29" s="18" t="str">
        <f t="shared" si="3"/>
        <v>Minneapolis</v>
      </c>
      <c r="L29" s="13">
        <f t="shared" si="4"/>
        <v>264757.00000000012</v>
      </c>
      <c r="M29" s="13"/>
      <c r="N29" s="13">
        <f>'Summary-2010'!M29-'Summary-1990'!M29</f>
        <v>52234.16821284176</v>
      </c>
      <c r="O29" s="13">
        <f>'Summary-2010'!N29-'Summary-1990'!N29</f>
        <v>187501.06022169493</v>
      </c>
      <c r="P29" s="13">
        <f>'Summary-2010'!O29-'Summary-1990'!O29</f>
        <v>331448.42968022544</v>
      </c>
      <c r="Q29" s="13">
        <f>'Summary-2010'!P29-'Summary-1990'!P29</f>
        <v>-306426.65811476205</v>
      </c>
      <c r="R29" s="13">
        <f>'Summary-2010'!Q29-'Summary-1990'!Q29</f>
        <v>0</v>
      </c>
      <c r="S29" s="13">
        <f>'Summary-2010'!R29-'Summary-1990'!R29</f>
        <v>0</v>
      </c>
      <c r="T29" s="13">
        <f>'Summary-2010'!S29-'Summary-1990'!S29</f>
        <v>0</v>
      </c>
      <c r="U29" s="13">
        <f>'Summary-2010'!T29-'Summary-1990'!T29</f>
        <v>0</v>
      </c>
      <c r="V29" s="13">
        <f>'Summary-2010'!U29-'Summary-1990'!U29</f>
        <v>0</v>
      </c>
      <c r="W29" s="13"/>
      <c r="X29" s="13">
        <f t="shared" si="5"/>
        <v>264757.00000000012</v>
      </c>
      <c r="Y29" s="18"/>
      <c r="Z29" s="13">
        <f t="shared" si="0"/>
        <v>78903.833092764078</v>
      </c>
      <c r="AA29" s="18">
        <f t="shared" si="6"/>
        <v>4</v>
      </c>
      <c r="AB29" s="18" t="str">
        <f t="shared" si="7"/>
        <v>Minneapolis</v>
      </c>
      <c r="AC29" s="18">
        <f t="shared" si="8"/>
        <v>5</v>
      </c>
      <c r="AD29" s="18">
        <f t="shared" si="8"/>
        <v>4</v>
      </c>
      <c r="AE29" s="18">
        <f t="shared" si="8"/>
        <v>3</v>
      </c>
      <c r="AF29" s="18">
        <f t="shared" si="8"/>
        <v>49</v>
      </c>
      <c r="AG29" s="18">
        <f t="shared" si="8"/>
        <v>10</v>
      </c>
      <c r="AH29" s="18">
        <f t="shared" si="9"/>
        <v>3</v>
      </c>
      <c r="AI29" s="18" t="str">
        <f t="shared" si="2"/>
        <v>Minneapolis</v>
      </c>
      <c r="AJ29" s="18"/>
    </row>
    <row r="30" spans="1:36">
      <c r="A30" s="18" t="s">
        <v>46</v>
      </c>
      <c r="B30" s="13">
        <f>'Summary-2010'!B30-'Summary-1990'!B30</f>
        <v>12509.127961286547</v>
      </c>
      <c r="C30" s="13">
        <f>'Summary-2010'!C30-'Summary-1990'!C30</f>
        <v>68140.252293489582</v>
      </c>
      <c r="D30" s="13">
        <f>'Summary-2010'!D30-'Summary-1990'!D30</f>
        <v>157218</v>
      </c>
      <c r="E30" s="13">
        <f>'Summary-2010'!E30-'Summary-1990'!E30</f>
        <v>157218</v>
      </c>
      <c r="F30" s="13">
        <f>'Summary-2010'!F30-'Summary-1990'!F30</f>
        <v>157218</v>
      </c>
      <c r="G30" s="13">
        <f>'Summary-2010'!G30-'Summary-1990'!G30</f>
        <v>157218</v>
      </c>
      <c r="H30" s="13">
        <f>'Summary-2010'!H30-'Summary-1990'!H30</f>
        <v>157218</v>
      </c>
      <c r="I30" s="13">
        <f>'Summary-2010'!I30-'Summary-1990'!I30</f>
        <v>157218</v>
      </c>
      <c r="J30" s="13">
        <f>'Summary-2010'!J30-'Summary-1990'!J30</f>
        <v>157218</v>
      </c>
      <c r="K30" s="18" t="str">
        <f t="shared" si="3"/>
        <v>Nashville</v>
      </c>
      <c r="L30" s="13">
        <f t="shared" si="4"/>
        <v>157218.00000000003</v>
      </c>
      <c r="M30" s="13"/>
      <c r="N30" s="13">
        <f>'Summary-2010'!M30-'Summary-1990'!M30</f>
        <v>12509.127961286547</v>
      </c>
      <c r="O30" s="13">
        <f>'Summary-2010'!N30-'Summary-1990'!N30</f>
        <v>55631.124332203064</v>
      </c>
      <c r="P30" s="13">
        <f>'Summary-2010'!O30-'Summary-1990'!O30</f>
        <v>89077.747706510418</v>
      </c>
      <c r="Q30" s="13">
        <f>'Summary-2010'!P30-'Summary-1990'!P30</f>
        <v>0</v>
      </c>
      <c r="R30" s="13">
        <f>'Summary-2010'!Q30-'Summary-1990'!Q30</f>
        <v>0</v>
      </c>
      <c r="S30" s="13">
        <f>'Summary-2010'!R30-'Summary-1990'!R30</f>
        <v>0</v>
      </c>
      <c r="T30" s="13">
        <f>'Summary-2010'!S30-'Summary-1990'!S30</f>
        <v>0</v>
      </c>
      <c r="U30" s="13">
        <f>'Summary-2010'!T30-'Summary-1990'!T30</f>
        <v>0</v>
      </c>
      <c r="V30" s="13">
        <f>'Summary-2010'!U30-'Summary-1990'!U30</f>
        <v>0</v>
      </c>
      <c r="W30" s="13"/>
      <c r="X30" s="13">
        <f t="shared" si="5"/>
        <v>157218.00000000003</v>
      </c>
      <c r="Y30" s="18"/>
      <c r="Z30" s="13">
        <f t="shared" si="0"/>
        <v>24933.394759219485</v>
      </c>
      <c r="AA30" s="18">
        <f t="shared" si="6"/>
        <v>10</v>
      </c>
      <c r="AB30" s="18" t="str">
        <f t="shared" si="7"/>
        <v>Nashville</v>
      </c>
      <c r="AC30" s="18">
        <f t="shared" si="8"/>
        <v>13</v>
      </c>
      <c r="AD30" s="18">
        <f t="shared" si="8"/>
        <v>12</v>
      </c>
      <c r="AE30" s="18">
        <f t="shared" si="8"/>
        <v>19</v>
      </c>
      <c r="AF30" s="18">
        <f t="shared" si="8"/>
        <v>15</v>
      </c>
      <c r="AG30" s="18">
        <f t="shared" si="8"/>
        <v>10</v>
      </c>
      <c r="AH30" s="18">
        <f t="shared" si="9"/>
        <v>3</v>
      </c>
      <c r="AI30" s="18" t="str">
        <f t="shared" si="2"/>
        <v>Nashville</v>
      </c>
      <c r="AJ30" s="18"/>
    </row>
    <row r="31" spans="1:36">
      <c r="A31" s="18" t="s">
        <v>47</v>
      </c>
      <c r="B31" s="13">
        <f>'Summary-2010'!B31-'Summary-1990'!B31</f>
        <v>15534.183203920809</v>
      </c>
      <c r="C31" s="13">
        <f>'Summary-2010'!C31-'Summary-1990'!C31</f>
        <v>-68639</v>
      </c>
      <c r="D31" s="13">
        <f>'Summary-2010'!D31-'Summary-1990'!D31</f>
        <v>-68639</v>
      </c>
      <c r="E31" s="13">
        <f>'Summary-2010'!E31-'Summary-1990'!E31</f>
        <v>-68639</v>
      </c>
      <c r="F31" s="13">
        <f>'Summary-2010'!F31-'Summary-1990'!F31</f>
        <v>-68639</v>
      </c>
      <c r="G31" s="13">
        <f>'Summary-2010'!G31-'Summary-1990'!G31</f>
        <v>-68639</v>
      </c>
      <c r="H31" s="13">
        <f>'Summary-2010'!H31-'Summary-1990'!H31</f>
        <v>-68639</v>
      </c>
      <c r="I31" s="13">
        <f>'Summary-2010'!I31-'Summary-1990'!I31</f>
        <v>-68639</v>
      </c>
      <c r="J31" s="13">
        <f>'Summary-2010'!J31-'Summary-1990'!J31</f>
        <v>-68639</v>
      </c>
      <c r="K31" s="18" t="str">
        <f t="shared" si="3"/>
        <v>New Orleans</v>
      </c>
      <c r="L31" s="13">
        <f t="shared" si="4"/>
        <v>-68639.000000000029</v>
      </c>
      <c r="M31" s="13"/>
      <c r="N31" s="13">
        <f>'Summary-2010'!M31-'Summary-1990'!M31</f>
        <v>15534.183203920809</v>
      </c>
      <c r="O31" s="13">
        <f>'Summary-2010'!N31-'Summary-1990'!N31</f>
        <v>-84173.183203920838</v>
      </c>
      <c r="P31" s="13">
        <f>'Summary-2010'!O31-'Summary-1990'!O31</f>
        <v>0</v>
      </c>
      <c r="Q31" s="13">
        <f>'Summary-2010'!P31-'Summary-1990'!P31</f>
        <v>0</v>
      </c>
      <c r="R31" s="13">
        <f>'Summary-2010'!Q31-'Summary-1990'!Q31</f>
        <v>0</v>
      </c>
      <c r="S31" s="13">
        <f>'Summary-2010'!R31-'Summary-1990'!R31</f>
        <v>0</v>
      </c>
      <c r="T31" s="13">
        <f>'Summary-2010'!S31-'Summary-1990'!S31</f>
        <v>0</v>
      </c>
      <c r="U31" s="13">
        <f>'Summary-2010'!T31-'Summary-1990'!T31</f>
        <v>0</v>
      </c>
      <c r="V31" s="13">
        <f>'Summary-2010'!U31-'Summary-1990'!U31</f>
        <v>0</v>
      </c>
      <c r="W31" s="13"/>
      <c r="X31" s="13">
        <f t="shared" si="5"/>
        <v>-68639.000000000029</v>
      </c>
      <c r="Y31" s="18"/>
      <c r="Z31" s="13">
        <f t="shared" si="0"/>
        <v>-10014.314149972946</v>
      </c>
      <c r="AA31" s="18">
        <f t="shared" si="6"/>
        <v>23</v>
      </c>
      <c r="AB31" s="18" t="str">
        <f t="shared" si="7"/>
        <v>New Orleans</v>
      </c>
      <c r="AC31" s="18">
        <f t="shared" si="8"/>
        <v>11</v>
      </c>
      <c r="AD31" s="18">
        <f t="shared" si="8"/>
        <v>34</v>
      </c>
      <c r="AE31" s="18">
        <f t="shared" si="8"/>
        <v>29</v>
      </c>
      <c r="AF31" s="18">
        <f t="shared" si="8"/>
        <v>15</v>
      </c>
      <c r="AG31" s="18">
        <f t="shared" si="8"/>
        <v>10</v>
      </c>
      <c r="AH31" s="18">
        <f t="shared" si="9"/>
        <v>3</v>
      </c>
      <c r="AI31" s="18" t="str">
        <f t="shared" si="2"/>
        <v>New Orleans</v>
      </c>
      <c r="AJ31" s="18"/>
    </row>
    <row r="32" spans="1:36">
      <c r="A32" s="18" t="s">
        <v>64</v>
      </c>
      <c r="B32" s="13">
        <f>'Summary-2010'!B32-'Summary-1990'!B32</f>
        <v>-43486.992016184959</v>
      </c>
      <c r="C32" s="13">
        <f>'Summary-2010'!C32-'Summary-1990'!C32</f>
        <v>-176964.28771257307</v>
      </c>
      <c r="D32" s="13">
        <f>'Summary-2010'!D32-'Summary-1990'!D32</f>
        <v>-396884.41157796071</v>
      </c>
      <c r="E32" s="13">
        <f>'Summary-2010'!E32-'Summary-1990'!E32</f>
        <v>-699665.57783244876</v>
      </c>
      <c r="F32" s="13">
        <f>'Summary-2010'!F32-'Summary-1990'!F32</f>
        <v>-1135038.2847445616</v>
      </c>
      <c r="G32" s="13">
        <f>'Summary-2010'!G32-'Summary-1990'!G32</f>
        <v>-1679160.9384562271</v>
      </c>
      <c r="H32" s="13">
        <f>'Summary-2010'!H32-'Summary-1990'!H32</f>
        <v>-1277178</v>
      </c>
      <c r="I32" s="13">
        <f>'Summary-2010'!I32-'Summary-1990'!I32</f>
        <v>-1277178</v>
      </c>
      <c r="J32" s="13">
        <f>'Summary-2010'!J32-'Summary-1990'!J32</f>
        <v>-1277178</v>
      </c>
      <c r="K32" s="18" t="str">
        <f t="shared" si="3"/>
        <v>New York</v>
      </c>
      <c r="L32" s="13">
        <f t="shared" si="4"/>
        <v>-1277178</v>
      </c>
      <c r="M32" s="13"/>
      <c r="N32" s="13">
        <f>'Summary-2010'!M32-'Summary-1990'!M32</f>
        <v>-43486.992016184959</v>
      </c>
      <c r="O32" s="13">
        <f>'Summary-2010'!N32-'Summary-1990'!N32</f>
        <v>-133477.29569638812</v>
      </c>
      <c r="P32" s="13">
        <f>'Summary-2010'!O32-'Summary-1990'!O32</f>
        <v>-219920.12386538764</v>
      </c>
      <c r="Q32" s="13">
        <f>'Summary-2010'!P32-'Summary-1990'!P32</f>
        <v>-302781.16625448805</v>
      </c>
      <c r="R32" s="13">
        <f>'Summary-2010'!Q32-'Summary-1990'!Q32</f>
        <v>-435372.70691211289</v>
      </c>
      <c r="S32" s="13">
        <f>'Summary-2010'!R32-'Summary-1990'!R32</f>
        <v>-544122.65371166542</v>
      </c>
      <c r="T32" s="13">
        <f>'Summary-2010'!S32-'Summary-1990'!S32</f>
        <v>401982.93845622707</v>
      </c>
      <c r="U32" s="13">
        <f>'Summary-2010'!T32-'Summary-1990'!T32</f>
        <v>0</v>
      </c>
      <c r="V32" s="13">
        <f>'Summary-2010'!U32-'Summary-1990'!U32</f>
        <v>0</v>
      </c>
      <c r="W32" s="13"/>
      <c r="X32" s="13">
        <f t="shared" si="5"/>
        <v>-1277178</v>
      </c>
      <c r="Y32" s="18"/>
      <c r="Z32" s="13">
        <f t="shared" si="0"/>
        <v>-89746.940454284137</v>
      </c>
      <c r="AA32" s="18">
        <f t="shared" si="6"/>
        <v>47</v>
      </c>
      <c r="AB32" s="18" t="str">
        <f t="shared" si="7"/>
        <v>New York</v>
      </c>
      <c r="AC32" s="18">
        <f t="shared" si="8"/>
        <v>34</v>
      </c>
      <c r="AD32" s="18">
        <f t="shared" si="8"/>
        <v>41</v>
      </c>
      <c r="AE32" s="18">
        <f t="shared" si="8"/>
        <v>44</v>
      </c>
      <c r="AF32" s="18">
        <f t="shared" si="8"/>
        <v>48</v>
      </c>
      <c r="AG32" s="18">
        <f t="shared" si="8"/>
        <v>50</v>
      </c>
      <c r="AH32" s="18">
        <f t="shared" si="9"/>
        <v>50</v>
      </c>
      <c r="AI32" s="18" t="str">
        <f t="shared" si="2"/>
        <v>New York</v>
      </c>
      <c r="AJ32" s="18"/>
    </row>
    <row r="33" spans="1:36">
      <c r="A33" s="18" t="s">
        <v>65</v>
      </c>
      <c r="B33" s="13">
        <f>'Summary-2010'!B33-'Summary-1990'!B33</f>
        <v>16022.388576383586</v>
      </c>
      <c r="C33" s="13">
        <f>'Summary-2010'!C33-'Summary-1990'!C33</f>
        <v>70820.098840965074</v>
      </c>
      <c r="D33" s="13">
        <f>'Summary-2010'!D33-'Summary-1990'!D33</f>
        <v>2632</v>
      </c>
      <c r="E33" s="13">
        <f>'Summary-2010'!E33-'Summary-1990'!E33</f>
        <v>2632</v>
      </c>
      <c r="F33" s="13">
        <f>'Summary-2010'!F33-'Summary-1990'!F33</f>
        <v>2632</v>
      </c>
      <c r="G33" s="13">
        <f>'Summary-2010'!G33-'Summary-1990'!G33</f>
        <v>2632</v>
      </c>
      <c r="H33" s="13">
        <f>'Summary-2010'!H33-'Summary-1990'!H33</f>
        <v>2632</v>
      </c>
      <c r="I33" s="13">
        <f>'Summary-2010'!I33-'Summary-1990'!I33</f>
        <v>2632</v>
      </c>
      <c r="J33" s="13">
        <f>'Summary-2010'!J33-'Summary-1990'!J33</f>
        <v>2632</v>
      </c>
      <c r="K33" s="18" t="str">
        <f t="shared" si="3"/>
        <v>Oklahoma City</v>
      </c>
      <c r="L33" s="13">
        <f t="shared" si="4"/>
        <v>2632.0000000000291</v>
      </c>
      <c r="M33" s="13"/>
      <c r="N33" s="13">
        <f>'Summary-2010'!M33-'Summary-1990'!M33</f>
        <v>16022.388576383586</v>
      </c>
      <c r="O33" s="13">
        <f>'Summary-2010'!N33-'Summary-1990'!N33</f>
        <v>54797.710264581518</v>
      </c>
      <c r="P33" s="13">
        <f>'Summary-2010'!O33-'Summary-1990'!O33</f>
        <v>-68188.098840965074</v>
      </c>
      <c r="Q33" s="13">
        <f>'Summary-2010'!P33-'Summary-1990'!P33</f>
        <v>0</v>
      </c>
      <c r="R33" s="13">
        <f>'Summary-2010'!Q33-'Summary-1990'!Q33</f>
        <v>0</v>
      </c>
      <c r="S33" s="13">
        <f>'Summary-2010'!R33-'Summary-1990'!R33</f>
        <v>0</v>
      </c>
      <c r="T33" s="13">
        <f>'Summary-2010'!S33-'Summary-1990'!S33</f>
        <v>0</v>
      </c>
      <c r="U33" s="13">
        <f>'Summary-2010'!T33-'Summary-1990'!T33</f>
        <v>0</v>
      </c>
      <c r="V33" s="13">
        <f>'Summary-2010'!U33-'Summary-1990'!U33</f>
        <v>0</v>
      </c>
      <c r="W33" s="13"/>
      <c r="X33" s="13">
        <f t="shared" si="5"/>
        <v>2632.0000000000291</v>
      </c>
      <c r="Y33" s="18"/>
      <c r="Z33" s="13">
        <f t="shared" si="0"/>
        <v>12076.905392660521</v>
      </c>
      <c r="AA33" s="18">
        <f t="shared" si="6"/>
        <v>17</v>
      </c>
      <c r="AB33" s="18" t="str">
        <f t="shared" si="7"/>
        <v>Oklahoma City</v>
      </c>
      <c r="AC33" s="18">
        <f t="shared" si="8"/>
        <v>10</v>
      </c>
      <c r="AD33" s="18">
        <f t="shared" si="8"/>
        <v>13</v>
      </c>
      <c r="AE33" s="18">
        <f t="shared" si="8"/>
        <v>39</v>
      </c>
      <c r="AF33" s="18">
        <f t="shared" si="8"/>
        <v>15</v>
      </c>
      <c r="AG33" s="18">
        <f t="shared" si="8"/>
        <v>10</v>
      </c>
      <c r="AH33" s="18">
        <f t="shared" si="9"/>
        <v>3</v>
      </c>
      <c r="AI33" s="18" t="str">
        <f t="shared" si="2"/>
        <v>Oklahoma City</v>
      </c>
      <c r="AJ33" s="18"/>
    </row>
    <row r="34" spans="1:36">
      <c r="A34" s="18" t="s">
        <v>48</v>
      </c>
      <c r="B34" s="13">
        <f>'Summary-2010'!B34-'Summary-1990'!B34</f>
        <v>13021.132927584826</v>
      </c>
      <c r="C34" s="13">
        <f>'Summary-2010'!C34-'Summary-1990'!C34</f>
        <v>59352.179542629921</v>
      </c>
      <c r="D34" s="13">
        <f>'Summary-2010'!D34-'Summary-1990'!D34</f>
        <v>298416</v>
      </c>
      <c r="E34" s="13">
        <f>'Summary-2010'!E34-'Summary-1990'!E34</f>
        <v>298416</v>
      </c>
      <c r="F34" s="13">
        <f>'Summary-2010'!F34-'Summary-1990'!F34</f>
        <v>298416</v>
      </c>
      <c r="G34" s="13">
        <f>'Summary-2010'!G34-'Summary-1990'!G34</f>
        <v>298416</v>
      </c>
      <c r="H34" s="13">
        <f>'Summary-2010'!H34-'Summary-1990'!H34</f>
        <v>298416</v>
      </c>
      <c r="I34" s="13">
        <f>'Summary-2010'!I34-'Summary-1990'!I34</f>
        <v>298416</v>
      </c>
      <c r="J34" s="13">
        <f>'Summary-2010'!J34-'Summary-1990'!J34</f>
        <v>298416</v>
      </c>
      <c r="K34" s="18" t="str">
        <f t="shared" si="3"/>
        <v>Orlando</v>
      </c>
      <c r="L34" s="13">
        <f t="shared" si="4"/>
        <v>298415.99999999994</v>
      </c>
      <c r="M34" s="13"/>
      <c r="N34" s="13">
        <f>'Summary-2010'!M34-'Summary-1990'!M34</f>
        <v>13021.132927584826</v>
      </c>
      <c r="O34" s="13">
        <f>'Summary-2010'!N34-'Summary-1990'!N34</f>
        <v>46331.046615045052</v>
      </c>
      <c r="P34" s="13">
        <f>'Summary-2010'!O34-'Summary-1990'!O34</f>
        <v>239063.82045737008</v>
      </c>
      <c r="Q34" s="13">
        <f>'Summary-2010'!P34-'Summary-1990'!P34</f>
        <v>0</v>
      </c>
      <c r="R34" s="13">
        <f>'Summary-2010'!Q34-'Summary-1990'!Q34</f>
        <v>0</v>
      </c>
      <c r="S34" s="13">
        <f>'Summary-2010'!R34-'Summary-1990'!R34</f>
        <v>0</v>
      </c>
      <c r="T34" s="13">
        <f>'Summary-2010'!S34-'Summary-1990'!S34</f>
        <v>0</v>
      </c>
      <c r="U34" s="13">
        <f>'Summary-2010'!T34-'Summary-1990'!T34</f>
        <v>0</v>
      </c>
      <c r="V34" s="13">
        <f>'Summary-2010'!U34-'Summary-1990'!U34</f>
        <v>0</v>
      </c>
      <c r="W34" s="13"/>
      <c r="X34" s="13">
        <f t="shared" si="5"/>
        <v>298415.99999999994</v>
      </c>
      <c r="Y34" s="18"/>
      <c r="Z34" s="13">
        <f t="shared" si="0"/>
        <v>36892.229654050192</v>
      </c>
      <c r="AA34" s="18">
        <f t="shared" si="6"/>
        <v>9</v>
      </c>
      <c r="AB34" s="18" t="str">
        <f t="shared" si="7"/>
        <v>Orlando</v>
      </c>
      <c r="AC34" s="18">
        <f t="shared" si="8"/>
        <v>12</v>
      </c>
      <c r="AD34" s="18">
        <f t="shared" si="8"/>
        <v>15</v>
      </c>
      <c r="AE34" s="18">
        <f t="shared" si="8"/>
        <v>7</v>
      </c>
      <c r="AF34" s="18">
        <f t="shared" si="8"/>
        <v>15</v>
      </c>
      <c r="AG34" s="18">
        <f t="shared" si="8"/>
        <v>10</v>
      </c>
      <c r="AH34" s="18">
        <f t="shared" si="9"/>
        <v>3</v>
      </c>
      <c r="AI34" s="18" t="str">
        <f t="shared" si="2"/>
        <v>Orlando</v>
      </c>
      <c r="AJ34" s="18"/>
    </row>
    <row r="35" spans="1:36">
      <c r="A35" s="18" t="s">
        <v>66</v>
      </c>
      <c r="B35" s="13">
        <f>'Summary-2010'!B35-'Summary-1990'!B35</f>
        <v>-113835.99477289905</v>
      </c>
      <c r="C35" s="13">
        <f>'Summary-2010'!C35-'Summary-1990'!C35</f>
        <v>-492240.27899354033</v>
      </c>
      <c r="D35" s="13">
        <f>'Summary-2010'!D35-'Summary-1990'!D35</f>
        <v>-1158494.7180506769</v>
      </c>
      <c r="E35" s="13">
        <f>'Summary-2010'!E35-'Summary-1990'!E35</f>
        <v>-1240451.4748363285</v>
      </c>
      <c r="F35" s="13">
        <f>'Summary-2010'!F35-'Summary-1990'!F35</f>
        <v>-373326</v>
      </c>
      <c r="G35" s="13">
        <f>'Summary-2010'!G35-'Summary-1990'!G35</f>
        <v>-373326</v>
      </c>
      <c r="H35" s="13">
        <f>'Summary-2010'!H35-'Summary-1990'!H35</f>
        <v>-373326</v>
      </c>
      <c r="I35" s="13">
        <f>'Summary-2010'!I35-'Summary-1990'!I35</f>
        <v>-373326</v>
      </c>
      <c r="J35" s="13">
        <f>'Summary-2010'!J35-'Summary-1990'!J35</f>
        <v>-373326</v>
      </c>
      <c r="K35" s="18" t="str">
        <f t="shared" si="3"/>
        <v>Philadelphia</v>
      </c>
      <c r="L35" s="13">
        <f t="shared" si="4"/>
        <v>-373326</v>
      </c>
      <c r="M35" s="13"/>
      <c r="N35" s="13">
        <f>'Summary-2010'!M35-'Summary-1990'!M35</f>
        <v>-113835.99477289905</v>
      </c>
      <c r="O35" s="13">
        <f>'Summary-2010'!N35-'Summary-1990'!N35</f>
        <v>-378404.28422064125</v>
      </c>
      <c r="P35" s="13">
        <f>'Summary-2010'!O35-'Summary-1990'!O35</f>
        <v>-666254.43905713654</v>
      </c>
      <c r="Q35" s="13">
        <f>'Summary-2010'!P35-'Summary-1990'!P35</f>
        <v>-81956.756785651785</v>
      </c>
      <c r="R35" s="13">
        <f>'Summary-2010'!Q35-'Summary-1990'!Q35</f>
        <v>867125.47483632853</v>
      </c>
      <c r="S35" s="13">
        <f>'Summary-2010'!R35-'Summary-1990'!R35</f>
        <v>0</v>
      </c>
      <c r="T35" s="13">
        <f>'Summary-2010'!S35-'Summary-1990'!S35</f>
        <v>0</v>
      </c>
      <c r="U35" s="13">
        <f>'Summary-2010'!T35-'Summary-1990'!T35</f>
        <v>0</v>
      </c>
      <c r="V35" s="13">
        <f>'Summary-2010'!U35-'Summary-1990'!U35</f>
        <v>0</v>
      </c>
      <c r="W35" s="13"/>
      <c r="X35" s="13">
        <f t="shared" si="5"/>
        <v>-373326.00000000012</v>
      </c>
      <c r="Y35" s="18"/>
      <c r="Z35" s="13">
        <f t="shared" si="0"/>
        <v>-175448.33703939433</v>
      </c>
      <c r="AA35" s="18">
        <f t="shared" si="6"/>
        <v>51</v>
      </c>
      <c r="AB35" s="18" t="str">
        <f t="shared" si="7"/>
        <v>Philadelphia</v>
      </c>
      <c r="AC35" s="18">
        <f t="shared" si="8"/>
        <v>44</v>
      </c>
      <c r="AD35" s="18">
        <f t="shared" si="8"/>
        <v>49</v>
      </c>
      <c r="AE35" s="18">
        <f t="shared" si="8"/>
        <v>51</v>
      </c>
      <c r="AF35" s="18">
        <f t="shared" si="8"/>
        <v>45</v>
      </c>
      <c r="AG35" s="18">
        <f t="shared" si="8"/>
        <v>2</v>
      </c>
      <c r="AH35" s="18">
        <f t="shared" si="9"/>
        <v>3</v>
      </c>
      <c r="AI35" s="18" t="str">
        <f t="shared" si="2"/>
        <v>Philadelphia</v>
      </c>
      <c r="AJ35" s="18"/>
    </row>
    <row r="36" spans="1:36">
      <c r="A36" s="18" t="s">
        <v>49</v>
      </c>
      <c r="B36" s="13">
        <f>'Summary-2010'!B36-'Summary-1990'!B36</f>
        <v>4033.4020399888395</v>
      </c>
      <c r="C36" s="13">
        <f>'Summary-2010'!C36-'Summary-1990'!C36</f>
        <v>3927.4866730657523</v>
      </c>
      <c r="D36" s="13">
        <f>'Summary-2010'!D36-'Summary-1990'!D36</f>
        <v>31222.777726915432</v>
      </c>
      <c r="E36" s="13">
        <f>'Summary-2010'!E36-'Summary-1990'!E36</f>
        <v>456864</v>
      </c>
      <c r="F36" s="13">
        <f>'Summary-2010'!F36-'Summary-1990'!F36</f>
        <v>456864</v>
      </c>
      <c r="G36" s="13">
        <f>'Summary-2010'!G36-'Summary-1990'!G36</f>
        <v>456864</v>
      </c>
      <c r="H36" s="13">
        <f>'Summary-2010'!H36-'Summary-1990'!H36</f>
        <v>456864</v>
      </c>
      <c r="I36" s="13">
        <f>'Summary-2010'!I36-'Summary-1990'!I36</f>
        <v>456864</v>
      </c>
      <c r="J36" s="13">
        <f>'Summary-2010'!J36-'Summary-1990'!J36</f>
        <v>456864</v>
      </c>
      <c r="K36" s="18" t="str">
        <f t="shared" si="3"/>
        <v>Phoenix</v>
      </c>
      <c r="L36" s="13">
        <f t="shared" si="4"/>
        <v>456864.00000000006</v>
      </c>
      <c r="M36" s="13"/>
      <c r="N36" s="13">
        <f>'Summary-2010'!M36-'Summary-1990'!M36</f>
        <v>4033.4020399888395</v>
      </c>
      <c r="O36" s="13">
        <f>'Summary-2010'!N36-'Summary-1990'!N36</f>
        <v>-105.91536692308728</v>
      </c>
      <c r="P36" s="13">
        <f>'Summary-2010'!O36-'Summary-1990'!O36</f>
        <v>27295.291053849738</v>
      </c>
      <c r="Q36" s="13">
        <f>'Summary-2010'!P36-'Summary-1990'!P36</f>
        <v>425641.22227308457</v>
      </c>
      <c r="R36" s="13">
        <f>'Summary-2010'!Q36-'Summary-1990'!Q36</f>
        <v>0</v>
      </c>
      <c r="S36" s="13">
        <f>'Summary-2010'!R36-'Summary-1990'!R36</f>
        <v>0</v>
      </c>
      <c r="T36" s="13">
        <f>'Summary-2010'!S36-'Summary-1990'!S36</f>
        <v>0</v>
      </c>
      <c r="U36" s="13">
        <f>'Summary-2010'!T36-'Summary-1990'!T36</f>
        <v>0</v>
      </c>
      <c r="V36" s="13">
        <f>'Summary-2010'!U36-'Summary-1990'!U36</f>
        <v>0</v>
      </c>
      <c r="W36" s="13"/>
      <c r="X36" s="13">
        <f t="shared" si="5"/>
        <v>456864.00000000006</v>
      </c>
      <c r="Y36" s="18"/>
      <c r="Z36" s="13">
        <f t="shared" si="0"/>
        <v>21617.187679453222</v>
      </c>
      <c r="AA36" s="18">
        <f t="shared" si="6"/>
        <v>12</v>
      </c>
      <c r="AB36" s="18" t="str">
        <f t="shared" si="7"/>
        <v>Phoenix</v>
      </c>
      <c r="AC36" s="18">
        <f t="shared" si="8"/>
        <v>14</v>
      </c>
      <c r="AD36" s="18">
        <f t="shared" si="8"/>
        <v>23</v>
      </c>
      <c r="AE36" s="18">
        <f t="shared" si="8"/>
        <v>25</v>
      </c>
      <c r="AF36" s="18">
        <f t="shared" si="8"/>
        <v>5</v>
      </c>
      <c r="AG36" s="18">
        <f t="shared" si="8"/>
        <v>10</v>
      </c>
      <c r="AH36" s="18">
        <f t="shared" si="9"/>
        <v>3</v>
      </c>
      <c r="AI36" s="18" t="str">
        <f t="shared" si="2"/>
        <v>Phoenix</v>
      </c>
      <c r="AJ36" s="18"/>
    </row>
    <row r="37" spans="1:36">
      <c r="A37" s="18" t="s">
        <v>50</v>
      </c>
      <c r="B37" s="13">
        <f>'Summary-2010'!B37-'Summary-1990'!B37</f>
        <v>-22001.888025028442</v>
      </c>
      <c r="C37" s="13">
        <f>'Summary-2010'!C37-'Summary-1990'!C37</f>
        <v>-94999.850224245805</v>
      </c>
      <c r="D37" s="13">
        <f>'Summary-2010'!D37-'Summary-1990'!D37</f>
        <v>-221895.15986142226</v>
      </c>
      <c r="E37" s="13">
        <f>'Summary-2010'!E37-'Summary-1990'!E37</f>
        <v>74784</v>
      </c>
      <c r="F37" s="13">
        <f>'Summary-2010'!F37-'Summary-1990'!F37</f>
        <v>74784</v>
      </c>
      <c r="G37" s="13">
        <f>'Summary-2010'!G37-'Summary-1990'!G37</f>
        <v>74784</v>
      </c>
      <c r="H37" s="13">
        <f>'Summary-2010'!H37-'Summary-1990'!H37</f>
        <v>74784</v>
      </c>
      <c r="I37" s="13">
        <f>'Summary-2010'!I37-'Summary-1990'!I37</f>
        <v>74784</v>
      </c>
      <c r="J37" s="13">
        <f>'Summary-2010'!J37-'Summary-1990'!J37</f>
        <v>74784</v>
      </c>
      <c r="K37" s="18" t="str">
        <f t="shared" si="3"/>
        <v>Pittsburgh</v>
      </c>
      <c r="L37" s="13">
        <f t="shared" si="4"/>
        <v>74784</v>
      </c>
      <c r="M37" s="13"/>
      <c r="N37" s="13">
        <f>'Summary-2010'!M37-'Summary-1990'!M37</f>
        <v>-22001.888025028442</v>
      </c>
      <c r="O37" s="13">
        <f>'Summary-2010'!N37-'Summary-1990'!N37</f>
        <v>-72997.962199217349</v>
      </c>
      <c r="P37" s="13">
        <f>'Summary-2010'!O37-'Summary-1990'!O37</f>
        <v>-126895.30963717645</v>
      </c>
      <c r="Q37" s="13">
        <f>'Summary-2010'!P37-'Summary-1990'!P37</f>
        <v>296679.15986142226</v>
      </c>
      <c r="R37" s="13">
        <f>'Summary-2010'!Q37-'Summary-1990'!Q37</f>
        <v>0</v>
      </c>
      <c r="S37" s="13">
        <f>'Summary-2010'!R37-'Summary-1990'!R37</f>
        <v>0</v>
      </c>
      <c r="T37" s="13">
        <f>'Summary-2010'!S37-'Summary-1990'!S37</f>
        <v>0</v>
      </c>
      <c r="U37" s="13">
        <f>'Summary-2010'!T37-'Summary-1990'!T37</f>
        <v>0</v>
      </c>
      <c r="V37" s="13">
        <f>'Summary-2010'!U37-'Summary-1990'!U37</f>
        <v>0</v>
      </c>
      <c r="W37" s="13"/>
      <c r="X37" s="13">
        <f t="shared" si="5"/>
        <v>74784.000000000015</v>
      </c>
      <c r="Y37" s="18"/>
      <c r="Z37" s="13">
        <f t="shared" si="0"/>
        <v>-24042.506285545889</v>
      </c>
      <c r="AA37" s="18">
        <f t="shared" si="6"/>
        <v>30</v>
      </c>
      <c r="AB37" s="18" t="str">
        <f t="shared" si="7"/>
        <v>Pittsburgh</v>
      </c>
      <c r="AC37" s="18">
        <f t="shared" si="8"/>
        <v>26</v>
      </c>
      <c r="AD37" s="18">
        <f t="shared" si="8"/>
        <v>32</v>
      </c>
      <c r="AE37" s="18">
        <f t="shared" si="8"/>
        <v>41</v>
      </c>
      <c r="AF37" s="18">
        <f t="shared" si="8"/>
        <v>7</v>
      </c>
      <c r="AG37" s="18">
        <f t="shared" si="8"/>
        <v>10</v>
      </c>
      <c r="AH37" s="18">
        <f t="shared" si="9"/>
        <v>3</v>
      </c>
      <c r="AI37" s="18" t="str">
        <f t="shared" si="2"/>
        <v>Pittsburgh</v>
      </c>
      <c r="AJ37" s="18"/>
    </row>
    <row r="38" spans="1:36">
      <c r="A38" s="18" t="s">
        <v>51</v>
      </c>
      <c r="B38" s="13">
        <f>'Summary-2010'!B38-'Summary-1990'!B38</f>
        <v>-35276.315606752469</v>
      </c>
      <c r="C38" s="13">
        <f>'Summary-2010'!C38-'Summary-1990'!C38</f>
        <v>-159912.61836024805</v>
      </c>
      <c r="D38" s="13">
        <f>'Summary-2010'!D38-'Summary-1990'!D38</f>
        <v>65013.412264833692</v>
      </c>
      <c r="E38" s="13">
        <f>'Summary-2010'!E38-'Summary-1990'!E38</f>
        <v>146262</v>
      </c>
      <c r="F38" s="13">
        <f>'Summary-2010'!F38-'Summary-1990'!F38</f>
        <v>146262</v>
      </c>
      <c r="G38" s="13">
        <f>'Summary-2010'!G38-'Summary-1990'!G38</f>
        <v>146262</v>
      </c>
      <c r="H38" s="13">
        <f>'Summary-2010'!H38-'Summary-1990'!H38</f>
        <v>146262</v>
      </c>
      <c r="I38" s="13">
        <f>'Summary-2010'!I38-'Summary-1990'!I38</f>
        <v>146262</v>
      </c>
      <c r="J38" s="13">
        <f>'Summary-2010'!J38-'Summary-1990'!J38</f>
        <v>146262</v>
      </c>
      <c r="K38" s="18" t="str">
        <f t="shared" si="3"/>
        <v>Portland</v>
      </c>
      <c r="L38" s="13">
        <f t="shared" si="4"/>
        <v>146262</v>
      </c>
      <c r="M38" s="13"/>
      <c r="N38" s="13">
        <f>'Summary-2010'!M38-'Summary-1990'!M38</f>
        <v>-35276.315606752469</v>
      </c>
      <c r="O38" s="13">
        <f>'Summary-2010'!N38-'Summary-1990'!N38</f>
        <v>-124636.30275349558</v>
      </c>
      <c r="P38" s="13">
        <f>'Summary-2010'!O38-'Summary-1990'!O38</f>
        <v>224926.03062508174</v>
      </c>
      <c r="Q38" s="13">
        <f>'Summary-2010'!P38-'Summary-1990'!P38</f>
        <v>81248.587735166308</v>
      </c>
      <c r="R38" s="13">
        <f>'Summary-2010'!Q38-'Summary-1990'!Q38</f>
        <v>0</v>
      </c>
      <c r="S38" s="13">
        <f>'Summary-2010'!R38-'Summary-1990'!R38</f>
        <v>0</v>
      </c>
      <c r="T38" s="13">
        <f>'Summary-2010'!S38-'Summary-1990'!S38</f>
        <v>0</v>
      </c>
      <c r="U38" s="13">
        <f>'Summary-2010'!T38-'Summary-1990'!T38</f>
        <v>0</v>
      </c>
      <c r="V38" s="13">
        <f>'Summary-2010'!U38-'Summary-1990'!U38</f>
        <v>0</v>
      </c>
      <c r="W38" s="13"/>
      <c r="X38" s="13">
        <f t="shared" si="5"/>
        <v>146262</v>
      </c>
      <c r="Y38" s="18"/>
      <c r="Z38" s="13">
        <f t="shared" si="0"/>
        <v>-17297.605245078536</v>
      </c>
      <c r="AA38" s="18">
        <f t="shared" si="6"/>
        <v>29</v>
      </c>
      <c r="AB38" s="18" t="str">
        <f t="shared" si="7"/>
        <v>Portland</v>
      </c>
      <c r="AC38" s="18">
        <f t="shared" si="8"/>
        <v>30</v>
      </c>
      <c r="AD38" s="18">
        <f t="shared" si="8"/>
        <v>40</v>
      </c>
      <c r="AE38" s="18">
        <f t="shared" si="8"/>
        <v>9</v>
      </c>
      <c r="AF38" s="18">
        <f t="shared" si="8"/>
        <v>12</v>
      </c>
      <c r="AG38" s="18">
        <f t="shared" si="8"/>
        <v>10</v>
      </c>
      <c r="AH38" s="18">
        <f t="shared" si="9"/>
        <v>3</v>
      </c>
      <c r="AI38" s="18" t="str">
        <f t="shared" si="2"/>
        <v>Portland</v>
      </c>
      <c r="AJ38" s="18"/>
    </row>
    <row r="39" spans="1:36">
      <c r="A39" s="18" t="s">
        <v>52</v>
      </c>
      <c r="B39" s="13">
        <f>'Summary-2010'!B39-'Summary-1990'!B39</f>
        <v>-98801.675610473205</v>
      </c>
      <c r="C39" s="13">
        <f>'Summary-2010'!C39-'Summary-1990'!C39</f>
        <v>-209043.98763711547</v>
      </c>
      <c r="D39" s="13">
        <f>'Summary-2010'!D39-'Summary-1990'!D39</f>
        <v>45833</v>
      </c>
      <c r="E39" s="13">
        <f>'Summary-2010'!E39-'Summary-1990'!E39</f>
        <v>45833</v>
      </c>
      <c r="F39" s="13">
        <f>'Summary-2010'!F39-'Summary-1990'!F39</f>
        <v>45833</v>
      </c>
      <c r="G39" s="13">
        <f>'Summary-2010'!G39-'Summary-1990'!G39</f>
        <v>45833</v>
      </c>
      <c r="H39" s="13">
        <f>'Summary-2010'!H39-'Summary-1990'!H39</f>
        <v>45833</v>
      </c>
      <c r="I39" s="13">
        <f>'Summary-2010'!I39-'Summary-1990'!I39</f>
        <v>45833</v>
      </c>
      <c r="J39" s="13">
        <f>'Summary-2010'!J39-'Summary-1990'!J39</f>
        <v>45833</v>
      </c>
      <c r="K39" s="18" t="str">
        <f t="shared" si="3"/>
        <v>Providence</v>
      </c>
      <c r="L39" s="13">
        <f t="shared" si="4"/>
        <v>45833</v>
      </c>
      <c r="M39" s="13"/>
      <c r="N39" s="13">
        <f>'Summary-2010'!M39-'Summary-1990'!M39</f>
        <v>-98801.675610473205</v>
      </c>
      <c r="O39" s="13">
        <f>'Summary-2010'!N39-'Summary-1990'!N39</f>
        <v>-110242.31202664226</v>
      </c>
      <c r="P39" s="13">
        <f>'Summary-2010'!O39-'Summary-1990'!O39</f>
        <v>254876.98763711547</v>
      </c>
      <c r="Q39" s="13">
        <f>'Summary-2010'!P39-'Summary-1990'!P39</f>
        <v>0</v>
      </c>
      <c r="R39" s="13">
        <f>'Summary-2010'!Q39-'Summary-1990'!Q39</f>
        <v>0</v>
      </c>
      <c r="S39" s="13">
        <f>'Summary-2010'!R39-'Summary-1990'!R39</f>
        <v>0</v>
      </c>
      <c r="T39" s="13">
        <f>'Summary-2010'!S39-'Summary-1990'!S39</f>
        <v>0</v>
      </c>
      <c r="U39" s="13">
        <f>'Summary-2010'!T39-'Summary-1990'!T39</f>
        <v>0</v>
      </c>
      <c r="V39" s="13">
        <f>'Summary-2010'!U39-'Summary-1990'!U39</f>
        <v>0</v>
      </c>
      <c r="W39" s="13"/>
      <c r="X39" s="13">
        <f t="shared" si="5"/>
        <v>45833</v>
      </c>
      <c r="Y39" s="18"/>
      <c r="Z39" s="13">
        <f t="shared" si="0"/>
        <v>-43530.074829949051</v>
      </c>
      <c r="AA39" s="18">
        <f t="shared" si="6"/>
        <v>38</v>
      </c>
      <c r="AB39" s="18" t="str">
        <f t="shared" si="7"/>
        <v>Providence</v>
      </c>
      <c r="AC39" s="18">
        <f t="shared" si="8"/>
        <v>42</v>
      </c>
      <c r="AD39" s="18">
        <f t="shared" si="8"/>
        <v>37</v>
      </c>
      <c r="AE39" s="18">
        <f t="shared" si="8"/>
        <v>5</v>
      </c>
      <c r="AF39" s="18">
        <f t="shared" si="8"/>
        <v>15</v>
      </c>
      <c r="AG39" s="18">
        <f t="shared" si="8"/>
        <v>10</v>
      </c>
      <c r="AH39" s="18">
        <f t="shared" si="9"/>
        <v>3</v>
      </c>
      <c r="AI39" s="18" t="str">
        <f t="shared" si="2"/>
        <v>Providence</v>
      </c>
      <c r="AJ39" s="18"/>
    </row>
    <row r="40" spans="1:36">
      <c r="A40" s="18" t="s">
        <v>53</v>
      </c>
      <c r="B40" s="13">
        <f>'Summary-2010'!B40-'Summary-1990'!B40</f>
        <v>-131800.7701276365</v>
      </c>
      <c r="C40" s="13">
        <f>'Summary-2010'!C40-'Summary-1990'!C40</f>
        <v>-74236.501874143432</v>
      </c>
      <c r="D40" s="13">
        <f>'Summary-2010'!D40-'Summary-1990'!D40</f>
        <v>10916</v>
      </c>
      <c r="E40" s="13">
        <f>'Summary-2010'!E40-'Summary-1990'!E40</f>
        <v>10916</v>
      </c>
      <c r="F40" s="13">
        <f>'Summary-2010'!F40-'Summary-1990'!F40</f>
        <v>10916</v>
      </c>
      <c r="G40" s="13">
        <f>'Summary-2010'!G40-'Summary-1990'!G40</f>
        <v>10916</v>
      </c>
      <c r="H40" s="13">
        <f>'Summary-2010'!H40-'Summary-1990'!H40</f>
        <v>10916</v>
      </c>
      <c r="I40" s="13">
        <f>'Summary-2010'!I40-'Summary-1990'!I40</f>
        <v>10916</v>
      </c>
      <c r="J40" s="13">
        <f>'Summary-2010'!J40-'Summary-1990'!J40</f>
        <v>10916</v>
      </c>
      <c r="K40" s="18" t="str">
        <f t="shared" si="3"/>
        <v>Raleigh</v>
      </c>
      <c r="L40" s="13">
        <f t="shared" si="4"/>
        <v>10916</v>
      </c>
      <c r="M40" s="13"/>
      <c r="N40" s="13">
        <f>'Summary-2010'!M40-'Summary-1990'!M40</f>
        <v>-131800.7701276365</v>
      </c>
      <c r="O40" s="13">
        <f>'Summary-2010'!N40-'Summary-1990'!N40</f>
        <v>57564.268253493065</v>
      </c>
      <c r="P40" s="13">
        <f>'Summary-2010'!O40-'Summary-1990'!O40</f>
        <v>85152.501874143432</v>
      </c>
      <c r="Q40" s="13">
        <f>'Summary-2010'!P40-'Summary-1990'!P40</f>
        <v>0</v>
      </c>
      <c r="R40" s="13">
        <f>'Summary-2010'!Q40-'Summary-1990'!Q40</f>
        <v>0</v>
      </c>
      <c r="S40" s="13">
        <f>'Summary-2010'!R40-'Summary-1990'!R40</f>
        <v>0</v>
      </c>
      <c r="T40" s="13">
        <f>'Summary-2010'!S40-'Summary-1990'!S40</f>
        <v>0</v>
      </c>
      <c r="U40" s="13">
        <f>'Summary-2010'!T40-'Summary-1990'!T40</f>
        <v>0</v>
      </c>
      <c r="V40" s="13">
        <f>'Summary-2010'!U40-'Summary-1990'!U40</f>
        <v>0</v>
      </c>
      <c r="W40" s="13"/>
      <c r="X40" s="13">
        <f t="shared" si="5"/>
        <v>10916</v>
      </c>
      <c r="Y40" s="18"/>
      <c r="Z40" s="13">
        <f t="shared" si="0"/>
        <v>-39875.017502517258</v>
      </c>
      <c r="AA40" s="18">
        <f t="shared" si="6"/>
        <v>36</v>
      </c>
      <c r="AB40" s="18" t="str">
        <f t="shared" si="7"/>
        <v>Raleigh</v>
      </c>
      <c r="AC40" s="18">
        <f t="shared" si="8"/>
        <v>49</v>
      </c>
      <c r="AD40" s="18">
        <f t="shared" si="8"/>
        <v>10</v>
      </c>
      <c r="AE40" s="18">
        <f t="shared" si="8"/>
        <v>20</v>
      </c>
      <c r="AF40" s="18">
        <f t="shared" si="8"/>
        <v>15</v>
      </c>
      <c r="AG40" s="18">
        <f t="shared" si="8"/>
        <v>10</v>
      </c>
      <c r="AH40" s="18">
        <f t="shared" si="9"/>
        <v>3</v>
      </c>
      <c r="AI40" s="18" t="str">
        <f t="shared" si="2"/>
        <v>Raleigh</v>
      </c>
      <c r="AJ40" s="18"/>
    </row>
    <row r="41" spans="1:36">
      <c r="A41" s="18" t="s">
        <v>81</v>
      </c>
      <c r="B41" s="13">
        <f>'Summary-2010'!B41-'Summary-1990'!B41</f>
        <v>-114244.45660048247</v>
      </c>
      <c r="C41" s="13">
        <f>'Summary-2010'!C41-'Summary-1990'!C41</f>
        <v>-66382</v>
      </c>
      <c r="D41" s="13">
        <f>'Summary-2010'!D41-'Summary-1990'!D41</f>
        <v>-66382</v>
      </c>
      <c r="E41" s="13">
        <f>'Summary-2010'!E41-'Summary-1990'!E41</f>
        <v>-66382</v>
      </c>
      <c r="F41" s="13">
        <f>'Summary-2010'!F41-'Summary-1990'!F41</f>
        <v>-66382</v>
      </c>
      <c r="G41" s="13">
        <f>'Summary-2010'!G41-'Summary-1990'!G41</f>
        <v>-66382</v>
      </c>
      <c r="H41" s="13">
        <f>'Summary-2010'!H41-'Summary-1990'!H41</f>
        <v>-66382</v>
      </c>
      <c r="I41" s="13">
        <f>'Summary-2010'!I41-'Summary-1990'!I41</f>
        <v>-66382</v>
      </c>
      <c r="J41" s="13">
        <f>'Summary-2010'!J41-'Summary-1990'!J41</f>
        <v>-66382</v>
      </c>
      <c r="K41" s="18" t="str">
        <f t="shared" si="3"/>
        <v>Rochester</v>
      </c>
      <c r="L41" s="13">
        <f t="shared" si="4"/>
        <v>-66382.000000000015</v>
      </c>
      <c r="M41" s="13"/>
      <c r="N41" s="13">
        <f>'Summary-2010'!M41-'Summary-1990'!M41</f>
        <v>-114244.45660048247</v>
      </c>
      <c r="O41" s="13">
        <f>'Summary-2010'!N41-'Summary-1990'!N41</f>
        <v>47862.456600482459</v>
      </c>
      <c r="P41" s="13">
        <f>'Summary-2010'!O41-'Summary-1990'!O41</f>
        <v>0</v>
      </c>
      <c r="Q41" s="13">
        <f>'Summary-2010'!P41-'Summary-1990'!P41</f>
        <v>0</v>
      </c>
      <c r="R41" s="13">
        <f>'Summary-2010'!Q41-'Summary-1990'!Q41</f>
        <v>0</v>
      </c>
      <c r="S41" s="13">
        <f>'Summary-2010'!R41-'Summary-1990'!R41</f>
        <v>0</v>
      </c>
      <c r="T41" s="13">
        <f>'Summary-2010'!S41-'Summary-1990'!S41</f>
        <v>0</v>
      </c>
      <c r="U41" s="13">
        <f>'Summary-2010'!T41-'Summary-1990'!T41</f>
        <v>0</v>
      </c>
      <c r="V41" s="13">
        <f>'Summary-2010'!U41-'Summary-1990'!U41</f>
        <v>0</v>
      </c>
      <c r="W41" s="13"/>
      <c r="X41" s="13">
        <f t="shared" si="5"/>
        <v>-66382.000000000015</v>
      </c>
      <c r="Y41" s="18"/>
      <c r="Z41" s="13">
        <f t="shared" si="0"/>
        <v>-41670.08001012195</v>
      </c>
      <c r="AA41" s="18">
        <f t="shared" si="6"/>
        <v>37</v>
      </c>
      <c r="AB41" s="18" t="str">
        <f t="shared" si="7"/>
        <v>Rochester</v>
      </c>
      <c r="AC41" s="18">
        <f t="shared" si="8"/>
        <v>45</v>
      </c>
      <c r="AD41" s="18">
        <f t="shared" si="8"/>
        <v>14</v>
      </c>
      <c r="AE41" s="18">
        <f t="shared" si="8"/>
        <v>29</v>
      </c>
      <c r="AF41" s="18">
        <f t="shared" si="8"/>
        <v>15</v>
      </c>
      <c r="AG41" s="18">
        <f t="shared" si="8"/>
        <v>10</v>
      </c>
      <c r="AH41" s="18">
        <f t="shared" si="9"/>
        <v>3</v>
      </c>
      <c r="AI41" s="18" t="str">
        <f t="shared" si="2"/>
        <v>Rochester</v>
      </c>
      <c r="AJ41" s="18"/>
    </row>
    <row r="42" spans="1:36">
      <c r="A42" s="18" t="s">
        <v>54</v>
      </c>
      <c r="B42" s="13">
        <f>'Summary-2010'!B42-'Summary-1990'!B42</f>
        <v>-18273.938875904729</v>
      </c>
      <c r="C42" s="13">
        <f>'Summary-2010'!C42-'Summary-1990'!C42</f>
        <v>-55406.654725422442</v>
      </c>
      <c r="D42" s="13">
        <f>'Summary-2010'!D42-'Summary-1990'!D42</f>
        <v>-64877</v>
      </c>
      <c r="E42" s="13">
        <f>'Summary-2010'!E42-'Summary-1990'!E42</f>
        <v>-64877</v>
      </c>
      <c r="F42" s="13">
        <f>'Summary-2010'!F42-'Summary-1990'!F42</f>
        <v>-64877</v>
      </c>
      <c r="G42" s="13">
        <f>'Summary-2010'!G42-'Summary-1990'!G42</f>
        <v>-64877</v>
      </c>
      <c r="H42" s="13">
        <f>'Summary-2010'!H42-'Summary-1990'!H42</f>
        <v>-64877</v>
      </c>
      <c r="I42" s="13">
        <f>'Summary-2010'!I42-'Summary-1990'!I42</f>
        <v>-64877</v>
      </c>
      <c r="J42" s="13">
        <f>'Summary-2010'!J42-'Summary-1990'!J42</f>
        <v>-64877</v>
      </c>
      <c r="K42" s="18" t="str">
        <f t="shared" si="3"/>
        <v>Sacramento</v>
      </c>
      <c r="L42" s="13">
        <f t="shared" si="4"/>
        <v>-64876.999999999956</v>
      </c>
      <c r="M42" s="13"/>
      <c r="N42" s="13">
        <f>'Summary-2010'!M42-'Summary-1990'!M42</f>
        <v>-18273.938875904729</v>
      </c>
      <c r="O42" s="13">
        <f>'Summary-2010'!N42-'Summary-1990'!N42</f>
        <v>-37132.71584951767</v>
      </c>
      <c r="P42" s="13">
        <f>'Summary-2010'!O42-'Summary-1990'!O42</f>
        <v>-9470.3452745775576</v>
      </c>
      <c r="Q42" s="13">
        <f>'Summary-2010'!P42-'Summary-1990'!P42</f>
        <v>0</v>
      </c>
      <c r="R42" s="13">
        <f>'Summary-2010'!Q42-'Summary-1990'!Q42</f>
        <v>0</v>
      </c>
      <c r="S42" s="13">
        <f>'Summary-2010'!R42-'Summary-1990'!R42</f>
        <v>0</v>
      </c>
      <c r="T42" s="13">
        <f>'Summary-2010'!S42-'Summary-1990'!S42</f>
        <v>0</v>
      </c>
      <c r="U42" s="13">
        <f>'Summary-2010'!T42-'Summary-1990'!T42</f>
        <v>0</v>
      </c>
      <c r="V42" s="13">
        <f>'Summary-2010'!U42-'Summary-1990'!U42</f>
        <v>0</v>
      </c>
      <c r="W42" s="13"/>
      <c r="X42" s="13">
        <f t="shared" si="5"/>
        <v>-64876.999999999956</v>
      </c>
      <c r="Y42" s="18"/>
      <c r="Z42" s="13">
        <f t="shared" si="0"/>
        <v>-16567.106399408</v>
      </c>
      <c r="AA42" s="18">
        <f t="shared" si="6"/>
        <v>28</v>
      </c>
      <c r="AB42" s="18" t="str">
        <f t="shared" si="7"/>
        <v>Sacramento</v>
      </c>
      <c r="AC42" s="18">
        <f t="shared" si="8"/>
        <v>25</v>
      </c>
      <c r="AD42" s="18">
        <f t="shared" si="8"/>
        <v>27</v>
      </c>
      <c r="AE42" s="18">
        <f t="shared" si="8"/>
        <v>35</v>
      </c>
      <c r="AF42" s="18">
        <f t="shared" si="8"/>
        <v>15</v>
      </c>
      <c r="AG42" s="18">
        <f t="shared" si="8"/>
        <v>10</v>
      </c>
      <c r="AH42" s="18">
        <f t="shared" si="9"/>
        <v>3</v>
      </c>
      <c r="AI42" s="18" t="str">
        <f t="shared" si="2"/>
        <v>Sacramento</v>
      </c>
      <c r="AJ42" s="18"/>
    </row>
    <row r="43" spans="1:36">
      <c r="A43" s="18" t="s">
        <v>55</v>
      </c>
      <c r="B43" s="13">
        <f>'Summary-2010'!B43-'Summary-1990'!B43</f>
        <v>-9488.1755761320819</v>
      </c>
      <c r="C43" s="13">
        <f>'Summary-2010'!C43-'Summary-1990'!C43</f>
        <v>46819</v>
      </c>
      <c r="D43" s="13">
        <f>'Summary-2010'!D43-'Summary-1990'!D43</f>
        <v>46819</v>
      </c>
      <c r="E43" s="13">
        <f>'Summary-2010'!E43-'Summary-1990'!E43</f>
        <v>46819</v>
      </c>
      <c r="F43" s="13">
        <f>'Summary-2010'!F43-'Summary-1990'!F43</f>
        <v>46819</v>
      </c>
      <c r="G43" s="13">
        <f>'Summary-2010'!G43-'Summary-1990'!G43</f>
        <v>46819</v>
      </c>
      <c r="H43" s="13">
        <f>'Summary-2010'!H43-'Summary-1990'!H43</f>
        <v>46819</v>
      </c>
      <c r="I43" s="13">
        <f>'Summary-2010'!I43-'Summary-1990'!I43</f>
        <v>46819</v>
      </c>
      <c r="J43" s="13">
        <f>'Summary-2010'!J43-'Summary-1990'!J43</f>
        <v>46819</v>
      </c>
      <c r="K43" s="18" t="str">
        <f t="shared" si="3"/>
        <v>Salt Lake City</v>
      </c>
      <c r="L43" s="13">
        <f t="shared" si="4"/>
        <v>46819.000000000058</v>
      </c>
      <c r="M43" s="13"/>
      <c r="N43" s="13">
        <f>'Summary-2010'!M43-'Summary-1990'!M43</f>
        <v>-9488.1755761320819</v>
      </c>
      <c r="O43" s="13">
        <f>'Summary-2010'!N43-'Summary-1990'!N43</f>
        <v>56307.17557613214</v>
      </c>
      <c r="P43" s="13">
        <f>'Summary-2010'!O43-'Summary-1990'!O43</f>
        <v>0</v>
      </c>
      <c r="Q43" s="13">
        <f>'Summary-2010'!P43-'Summary-1990'!P43</f>
        <v>0</v>
      </c>
      <c r="R43" s="13">
        <f>'Summary-2010'!Q43-'Summary-1990'!Q43</f>
        <v>0</v>
      </c>
      <c r="S43" s="13">
        <f>'Summary-2010'!R43-'Summary-1990'!R43</f>
        <v>0</v>
      </c>
      <c r="T43" s="13">
        <f>'Summary-2010'!S43-'Summary-1990'!S43</f>
        <v>0</v>
      </c>
      <c r="U43" s="13">
        <f>'Summary-2010'!T43-'Summary-1990'!T43</f>
        <v>0</v>
      </c>
      <c r="V43" s="13">
        <f>'Summary-2010'!U43-'Summary-1990'!U43</f>
        <v>0</v>
      </c>
      <c r="W43" s="13"/>
      <c r="X43" s="13">
        <f t="shared" si="5"/>
        <v>46819.000000000058</v>
      </c>
      <c r="Y43" s="18"/>
      <c r="Z43" s="13">
        <f t="shared" si="0"/>
        <v>7104.910583949033</v>
      </c>
      <c r="AA43" s="18">
        <f t="shared" si="6"/>
        <v>18</v>
      </c>
      <c r="AB43" s="18" t="str">
        <f t="shared" si="7"/>
        <v>Salt Lake City</v>
      </c>
      <c r="AC43" s="18">
        <f t="shared" si="8"/>
        <v>21</v>
      </c>
      <c r="AD43" s="18">
        <f t="shared" si="8"/>
        <v>11</v>
      </c>
      <c r="AE43" s="18">
        <f t="shared" si="8"/>
        <v>29</v>
      </c>
      <c r="AF43" s="18">
        <f t="shared" si="8"/>
        <v>15</v>
      </c>
      <c r="AG43" s="18">
        <f t="shared" si="8"/>
        <v>10</v>
      </c>
      <c r="AH43" s="18">
        <f t="shared" si="9"/>
        <v>3</v>
      </c>
      <c r="AI43" s="18" t="str">
        <f t="shared" si="2"/>
        <v>Salt Lake City</v>
      </c>
      <c r="AJ43" s="18"/>
    </row>
    <row r="44" spans="1:36">
      <c r="A44" s="18" t="s">
        <v>67</v>
      </c>
      <c r="B44" s="13">
        <f>'Summary-2010'!B44-'Summary-1990'!B44</f>
        <v>1386.6579060381482</v>
      </c>
      <c r="C44" s="13">
        <f>'Summary-2010'!C44-'Summary-1990'!C44</f>
        <v>17535.601922669855</v>
      </c>
      <c r="D44" s="13">
        <f>'Summary-2010'!D44-'Summary-1990'!D44</f>
        <v>149026</v>
      </c>
      <c r="E44" s="13">
        <f>'Summary-2010'!E44-'Summary-1990'!E44</f>
        <v>149026</v>
      </c>
      <c r="F44" s="13">
        <f>'Summary-2010'!F44-'Summary-1990'!F44</f>
        <v>149026</v>
      </c>
      <c r="G44" s="13">
        <f>'Summary-2010'!G44-'Summary-1990'!G44</f>
        <v>149026</v>
      </c>
      <c r="H44" s="13">
        <f>'Summary-2010'!H44-'Summary-1990'!H44</f>
        <v>149026</v>
      </c>
      <c r="I44" s="13">
        <f>'Summary-2010'!I44-'Summary-1990'!I44</f>
        <v>149026</v>
      </c>
      <c r="J44" s="13">
        <f>'Summary-2010'!J44-'Summary-1990'!J44</f>
        <v>149026</v>
      </c>
      <c r="K44" s="18" t="str">
        <f t="shared" si="3"/>
        <v>San Antonio</v>
      </c>
      <c r="L44" s="13">
        <f t="shared" si="4"/>
        <v>149026</v>
      </c>
      <c r="M44" s="13"/>
      <c r="N44" s="13">
        <f>'Summary-2010'!M44-'Summary-1990'!M44</f>
        <v>1386.6579060381482</v>
      </c>
      <c r="O44" s="13">
        <f>'Summary-2010'!N44-'Summary-1990'!N44</f>
        <v>16148.944016631693</v>
      </c>
      <c r="P44" s="13">
        <f>'Summary-2010'!O44-'Summary-1990'!O44</f>
        <v>131490.39807733014</v>
      </c>
      <c r="Q44" s="13">
        <f>'Summary-2010'!P44-'Summary-1990'!P44</f>
        <v>0</v>
      </c>
      <c r="R44" s="13">
        <f>'Summary-2010'!Q44-'Summary-1990'!Q44</f>
        <v>0</v>
      </c>
      <c r="S44" s="13">
        <f>'Summary-2010'!R44-'Summary-1990'!R44</f>
        <v>0</v>
      </c>
      <c r="T44" s="13">
        <f>'Summary-2010'!S44-'Summary-1990'!S44</f>
        <v>0</v>
      </c>
      <c r="U44" s="13">
        <f>'Summary-2010'!T44-'Summary-1990'!T44</f>
        <v>0</v>
      </c>
      <c r="V44" s="13">
        <f>'Summary-2010'!U44-'Summary-1990'!U44</f>
        <v>0</v>
      </c>
      <c r="W44" s="13"/>
      <c r="X44" s="13">
        <f t="shared" si="5"/>
        <v>149026</v>
      </c>
      <c r="Y44" s="18"/>
      <c r="Z44" s="13">
        <f t="shared" si="0"/>
        <v>15812.020917539132</v>
      </c>
      <c r="AA44" s="18">
        <f t="shared" si="6"/>
        <v>14</v>
      </c>
      <c r="AB44" s="18" t="str">
        <f t="shared" si="7"/>
        <v>San Antonio</v>
      </c>
      <c r="AC44" s="18">
        <f t="shared" si="8"/>
        <v>16</v>
      </c>
      <c r="AD44" s="18">
        <f t="shared" si="8"/>
        <v>18</v>
      </c>
      <c r="AE44" s="18">
        <f t="shared" si="8"/>
        <v>17</v>
      </c>
      <c r="AF44" s="18">
        <f t="shared" si="8"/>
        <v>15</v>
      </c>
      <c r="AG44" s="18">
        <f t="shared" si="8"/>
        <v>10</v>
      </c>
      <c r="AH44" s="18">
        <f t="shared" si="9"/>
        <v>3</v>
      </c>
      <c r="AI44" s="18" t="str">
        <f t="shared" si="2"/>
        <v>San Antonio</v>
      </c>
      <c r="AJ44" s="18"/>
    </row>
    <row r="45" spans="1:36">
      <c r="A45" s="18" t="s">
        <v>68</v>
      </c>
      <c r="B45" s="13">
        <f>'Summary-2010'!B45-'Summary-1990'!B45</f>
        <v>27479.316928607805</v>
      </c>
      <c r="C45" s="13">
        <f>'Summary-2010'!C45-'Summary-1990'!C45</f>
        <v>123738.41821632476</v>
      </c>
      <c r="D45" s="13">
        <f>'Summary-2010'!D45-'Summary-1990'!D45</f>
        <v>137741.55605297664</v>
      </c>
      <c r="E45" s="13">
        <f>'Summary-2010'!E45-'Summary-1990'!E45</f>
        <v>-129122</v>
      </c>
      <c r="F45" s="13">
        <f>'Summary-2010'!F45-'Summary-1990'!F45</f>
        <v>-129122</v>
      </c>
      <c r="G45" s="13">
        <f>'Summary-2010'!G45-'Summary-1990'!G45</f>
        <v>-129122</v>
      </c>
      <c r="H45" s="13">
        <f>'Summary-2010'!H45-'Summary-1990'!H45</f>
        <v>-129122</v>
      </c>
      <c r="I45" s="13">
        <f>'Summary-2010'!I45-'Summary-1990'!I45</f>
        <v>-129122</v>
      </c>
      <c r="J45" s="13">
        <f>'Summary-2010'!J45-'Summary-1990'!J45</f>
        <v>-129122</v>
      </c>
      <c r="K45" s="18" t="str">
        <f t="shared" si="3"/>
        <v>San Diego</v>
      </c>
      <c r="L45" s="13">
        <f t="shared" si="4"/>
        <v>-129122</v>
      </c>
      <c r="M45" s="13"/>
      <c r="N45" s="13">
        <f>'Summary-2010'!M45-'Summary-1990'!M45</f>
        <v>27479.316928607805</v>
      </c>
      <c r="O45" s="13">
        <f>'Summary-2010'!N45-'Summary-1990'!N45</f>
        <v>96259.101287716941</v>
      </c>
      <c r="P45" s="13">
        <f>'Summary-2010'!O45-'Summary-1990'!O45</f>
        <v>14003.137836651877</v>
      </c>
      <c r="Q45" s="13">
        <f>'Summary-2010'!P45-'Summary-1990'!P45</f>
        <v>-266863.55605297664</v>
      </c>
      <c r="R45" s="13">
        <f>'Summary-2010'!Q45-'Summary-1990'!Q45</f>
        <v>0</v>
      </c>
      <c r="S45" s="13">
        <f>'Summary-2010'!R45-'Summary-1990'!R45</f>
        <v>0</v>
      </c>
      <c r="T45" s="13">
        <f>'Summary-2010'!S45-'Summary-1990'!S45</f>
        <v>0</v>
      </c>
      <c r="U45" s="13">
        <f>'Summary-2010'!T45-'Summary-1990'!T45</f>
        <v>0</v>
      </c>
      <c r="V45" s="13">
        <f>'Summary-2010'!U45-'Summary-1990'!U45</f>
        <v>0</v>
      </c>
      <c r="W45" s="13"/>
      <c r="X45" s="13">
        <f t="shared" si="5"/>
        <v>-129122.00000000001</v>
      </c>
      <c r="Y45" s="18"/>
      <c r="Z45" s="13">
        <f t="shared" si="0"/>
        <v>22174.019683412065</v>
      </c>
      <c r="AA45" s="18">
        <f t="shared" si="6"/>
        <v>11</v>
      </c>
      <c r="AB45" s="18" t="str">
        <f t="shared" si="7"/>
        <v>San Diego</v>
      </c>
      <c r="AC45" s="18">
        <f t="shared" si="8"/>
        <v>8</v>
      </c>
      <c r="AD45" s="18">
        <f t="shared" si="8"/>
        <v>9</v>
      </c>
      <c r="AE45" s="18">
        <f t="shared" si="8"/>
        <v>26</v>
      </c>
      <c r="AF45" s="18">
        <f t="shared" si="8"/>
        <v>47</v>
      </c>
      <c r="AG45" s="18">
        <f t="shared" si="8"/>
        <v>10</v>
      </c>
      <c r="AH45" s="18">
        <f t="shared" si="9"/>
        <v>3</v>
      </c>
      <c r="AI45" s="18" t="str">
        <f t="shared" si="2"/>
        <v>San Diego</v>
      </c>
      <c r="AJ45" s="18"/>
    </row>
    <row r="46" spans="1:36">
      <c r="A46" s="18" t="s">
        <v>69</v>
      </c>
      <c r="B46" s="13">
        <f>'Summary-2010'!B46-'Summary-1990'!B46</f>
        <v>172777.6238002234</v>
      </c>
      <c r="C46" s="13">
        <f>'Summary-2010'!C46-'Summary-1990'!C46</f>
        <v>721115.25138512067</v>
      </c>
      <c r="D46" s="13">
        <f>'Summary-2010'!D46-'Summary-1990'!D46</f>
        <v>757474.80381615111</v>
      </c>
      <c r="E46" s="13">
        <f>'Summary-2010'!E46-'Summary-1990'!E46</f>
        <v>-31916.556540729245</v>
      </c>
      <c r="F46" s="13">
        <f>'Summary-2010'!F46-'Summary-1990'!F46</f>
        <v>-202594</v>
      </c>
      <c r="G46" s="13">
        <f>'Summary-2010'!G46-'Summary-1990'!G46</f>
        <v>-202594</v>
      </c>
      <c r="H46" s="13">
        <f>'Summary-2010'!H46-'Summary-1990'!H46</f>
        <v>-202594</v>
      </c>
      <c r="I46" s="13">
        <f>'Summary-2010'!I46-'Summary-1990'!I46</f>
        <v>-202594</v>
      </c>
      <c r="J46" s="13">
        <f>'Summary-2010'!J46-'Summary-1990'!J46</f>
        <v>-202594</v>
      </c>
      <c r="K46" s="18" t="str">
        <f t="shared" si="3"/>
        <v>San Francisco</v>
      </c>
      <c r="L46" s="13">
        <f t="shared" si="4"/>
        <v>-202594</v>
      </c>
      <c r="M46" s="13"/>
      <c r="N46" s="13">
        <f>'Summary-2010'!M46-'Summary-1990'!M46</f>
        <v>172777.6238002234</v>
      </c>
      <c r="O46" s="13">
        <f>'Summary-2010'!N46-'Summary-1990'!N46</f>
        <v>548337.62758489733</v>
      </c>
      <c r="P46" s="13">
        <f>'Summary-2010'!O46-'Summary-1990'!O46</f>
        <v>36359.552431030432</v>
      </c>
      <c r="Q46" s="13">
        <f>'Summary-2010'!P46-'Summary-1990'!P46</f>
        <v>-789391.36035688035</v>
      </c>
      <c r="R46" s="13">
        <f>'Summary-2010'!Q46-'Summary-1990'!Q46</f>
        <v>-170677.44345927075</v>
      </c>
      <c r="S46" s="13">
        <f>'Summary-2010'!R46-'Summary-1990'!R46</f>
        <v>0</v>
      </c>
      <c r="T46" s="13">
        <f>'Summary-2010'!S46-'Summary-1990'!S46</f>
        <v>0</v>
      </c>
      <c r="U46" s="13">
        <f>'Summary-2010'!T46-'Summary-1990'!T46</f>
        <v>0</v>
      </c>
      <c r="V46" s="13">
        <f>'Summary-2010'!U46-'Summary-1990'!U46</f>
        <v>0</v>
      </c>
      <c r="W46" s="13"/>
      <c r="X46" s="13">
        <f t="shared" si="5"/>
        <v>-202593.99999999994</v>
      </c>
      <c r="Y46" s="18"/>
      <c r="Z46" s="13">
        <f t="shared" si="0"/>
        <v>156336.51452821292</v>
      </c>
      <c r="AA46" s="18">
        <f t="shared" si="6"/>
        <v>2</v>
      </c>
      <c r="AB46" s="18" t="str">
        <f t="shared" si="7"/>
        <v>San Francisco</v>
      </c>
      <c r="AC46" s="18">
        <f t="shared" si="8"/>
        <v>1</v>
      </c>
      <c r="AD46" s="18">
        <f t="shared" si="8"/>
        <v>1</v>
      </c>
      <c r="AE46" s="18">
        <f t="shared" si="8"/>
        <v>24</v>
      </c>
      <c r="AF46" s="18">
        <f t="shared" si="8"/>
        <v>51</v>
      </c>
      <c r="AG46" s="18">
        <f t="shared" si="8"/>
        <v>49</v>
      </c>
      <c r="AH46" s="18">
        <f t="shared" si="9"/>
        <v>3</v>
      </c>
      <c r="AI46" s="18" t="str">
        <f t="shared" si="2"/>
        <v>San Francisco</v>
      </c>
      <c r="AJ46" s="18"/>
    </row>
    <row r="47" spans="1:36">
      <c r="A47" s="18" t="s">
        <v>85</v>
      </c>
      <c r="B47" s="13">
        <f>'Summary-2010'!B47-'Summary-1990'!B47</f>
        <v>80698.591437204945</v>
      </c>
      <c r="C47" s="13">
        <f>'Summary-2010'!C47-'Summary-1990'!C47</f>
        <v>228107.58033415652</v>
      </c>
      <c r="D47" s="13">
        <f>'Summary-2010'!D47-'Summary-1990'!D47</f>
        <v>-89331</v>
      </c>
      <c r="E47" s="13">
        <f>'Summary-2010'!E47-'Summary-1990'!E47</f>
        <v>-89331</v>
      </c>
      <c r="F47" s="13">
        <f>'Summary-2010'!F47-'Summary-1990'!F47</f>
        <v>-89331</v>
      </c>
      <c r="G47" s="13">
        <f>'Summary-2010'!G47-'Summary-1990'!G47</f>
        <v>-89331</v>
      </c>
      <c r="H47" s="13">
        <f>'Summary-2010'!H47-'Summary-1990'!H47</f>
        <v>-89331</v>
      </c>
      <c r="I47" s="13">
        <f>'Summary-2010'!I47-'Summary-1990'!I47</f>
        <v>-89331</v>
      </c>
      <c r="J47" s="13">
        <f>'Summary-2010'!J47-'Summary-1990'!J47</f>
        <v>-89331</v>
      </c>
      <c r="K47" s="18" t="str">
        <f t="shared" si="3"/>
        <v>San Jose</v>
      </c>
      <c r="L47" s="13">
        <f t="shared" si="4"/>
        <v>-89331.000000000029</v>
      </c>
      <c r="M47" s="13"/>
      <c r="N47" s="13">
        <f>'Summary-2010'!M47-'Summary-1990'!M47</f>
        <v>80698.591437204945</v>
      </c>
      <c r="O47" s="13">
        <f>'Summary-2010'!N47-'Summary-1990'!N47</f>
        <v>147408.98889695155</v>
      </c>
      <c r="P47" s="13">
        <f>'Summary-2010'!O47-'Summary-1990'!O47</f>
        <v>-317438.58033415652</v>
      </c>
      <c r="Q47" s="13">
        <f>'Summary-2010'!P47-'Summary-1990'!P47</f>
        <v>0</v>
      </c>
      <c r="R47" s="13">
        <f>'Summary-2010'!Q47-'Summary-1990'!Q47</f>
        <v>0</v>
      </c>
      <c r="S47" s="13">
        <f>'Summary-2010'!R47-'Summary-1990'!R47</f>
        <v>0</v>
      </c>
      <c r="T47" s="13">
        <f>'Summary-2010'!S47-'Summary-1990'!S47</f>
        <v>0</v>
      </c>
      <c r="U47" s="13">
        <f>'Summary-2010'!T47-'Summary-1990'!T47</f>
        <v>0</v>
      </c>
      <c r="V47" s="13">
        <f>'Summary-2010'!U47-'Summary-1990'!U47</f>
        <v>0</v>
      </c>
      <c r="W47" s="13"/>
      <c r="X47" s="13">
        <f t="shared" si="5"/>
        <v>-89331.000000000029</v>
      </c>
      <c r="Y47" s="18"/>
      <c r="Z47" s="13">
        <f t="shared" si="0"/>
        <v>37224.197772594096</v>
      </c>
      <c r="AA47" s="18">
        <f t="shared" si="6"/>
        <v>8</v>
      </c>
      <c r="AB47" s="18" t="str">
        <f t="shared" si="7"/>
        <v>San Jose</v>
      </c>
      <c r="AC47" s="18">
        <f t="shared" si="8"/>
        <v>4</v>
      </c>
      <c r="AD47" s="18">
        <f t="shared" si="8"/>
        <v>5</v>
      </c>
      <c r="AE47" s="18">
        <f t="shared" si="8"/>
        <v>49</v>
      </c>
      <c r="AF47" s="18">
        <f t="shared" si="8"/>
        <v>15</v>
      </c>
      <c r="AG47" s="18">
        <f t="shared" si="8"/>
        <v>10</v>
      </c>
      <c r="AH47" s="18">
        <f t="shared" si="9"/>
        <v>3</v>
      </c>
      <c r="AI47" s="18" t="str">
        <f t="shared" si="2"/>
        <v>San Jose</v>
      </c>
      <c r="AJ47" s="18"/>
    </row>
    <row r="48" spans="1:36">
      <c r="A48" s="18" t="s">
        <v>56</v>
      </c>
      <c r="B48" s="13">
        <f>'Summary-2010'!B48-'Summary-1990'!B48</f>
        <v>-42177.512368782584</v>
      </c>
      <c r="C48" s="13">
        <f>'Summary-2010'!C48-'Summary-1990'!C48</f>
        <v>-164831.42539982247</v>
      </c>
      <c r="D48" s="13">
        <f>'Summary-2010'!D48-'Summary-1990'!D48</f>
        <v>-386464.76664970117</v>
      </c>
      <c r="E48" s="13">
        <f>'Summary-2010'!E48-'Summary-1990'!E48</f>
        <v>-5464.7093957846519</v>
      </c>
      <c r="F48" s="13">
        <f>'Summary-2010'!F48-'Summary-1990'!F48</f>
        <v>127426</v>
      </c>
      <c r="G48" s="13">
        <f>'Summary-2010'!G48-'Summary-1990'!G48</f>
        <v>127426</v>
      </c>
      <c r="H48" s="13">
        <f>'Summary-2010'!H48-'Summary-1990'!H48</f>
        <v>127426</v>
      </c>
      <c r="I48" s="13">
        <f>'Summary-2010'!I48-'Summary-1990'!I48</f>
        <v>127426</v>
      </c>
      <c r="J48" s="13">
        <f>'Summary-2010'!J48-'Summary-1990'!J48</f>
        <v>127426</v>
      </c>
      <c r="K48" s="18" t="str">
        <f t="shared" si="3"/>
        <v>Seattle</v>
      </c>
      <c r="L48" s="13">
        <f t="shared" si="4"/>
        <v>127425.99999999988</v>
      </c>
      <c r="M48" s="13"/>
      <c r="N48" s="13">
        <f>'Summary-2010'!M48-'Summary-1990'!M48</f>
        <v>-42177.512368782584</v>
      </c>
      <c r="O48" s="13">
        <f>'Summary-2010'!N48-'Summary-1990'!N48</f>
        <v>-122653.91303103993</v>
      </c>
      <c r="P48" s="13">
        <f>'Summary-2010'!O48-'Summary-1990'!O48</f>
        <v>-221633.34124987875</v>
      </c>
      <c r="Q48" s="13">
        <f>'Summary-2010'!P48-'Summary-1990'!P48</f>
        <v>381000.05725391652</v>
      </c>
      <c r="R48" s="13">
        <f>'Summary-2010'!Q48-'Summary-1990'!Q48</f>
        <v>132890.70939578465</v>
      </c>
      <c r="S48" s="13">
        <f>'Summary-2010'!R48-'Summary-1990'!R48</f>
        <v>0</v>
      </c>
      <c r="T48" s="13">
        <f>'Summary-2010'!S48-'Summary-1990'!S48</f>
        <v>0</v>
      </c>
      <c r="U48" s="13">
        <f>'Summary-2010'!T48-'Summary-1990'!T48</f>
        <v>0</v>
      </c>
      <c r="V48" s="13">
        <f>'Summary-2010'!U48-'Summary-1990'!U48</f>
        <v>0</v>
      </c>
      <c r="W48" s="13"/>
      <c r="X48" s="13">
        <f t="shared" si="5"/>
        <v>127425.9999999999</v>
      </c>
      <c r="Y48" s="18"/>
      <c r="Z48" s="13">
        <f t="shared" si="0"/>
        <v>-45856.718705461302</v>
      </c>
      <c r="AA48" s="18">
        <f t="shared" si="6"/>
        <v>39</v>
      </c>
      <c r="AB48" s="18" t="str">
        <f t="shared" si="7"/>
        <v>Seattle</v>
      </c>
      <c r="AC48" s="18">
        <f t="shared" si="8"/>
        <v>32</v>
      </c>
      <c r="AD48" s="18">
        <f t="shared" si="8"/>
        <v>38</v>
      </c>
      <c r="AE48" s="18">
        <f t="shared" si="8"/>
        <v>45</v>
      </c>
      <c r="AF48" s="18">
        <f t="shared" si="8"/>
        <v>6</v>
      </c>
      <c r="AG48" s="18">
        <f t="shared" si="8"/>
        <v>8</v>
      </c>
      <c r="AH48" s="18">
        <f t="shared" si="9"/>
        <v>3</v>
      </c>
      <c r="AI48" s="18" t="str">
        <f t="shared" si="2"/>
        <v>Seattle</v>
      </c>
      <c r="AJ48" s="18"/>
    </row>
    <row r="49" spans="1:36">
      <c r="A49" s="18" t="s">
        <v>397</v>
      </c>
      <c r="B49" s="13">
        <f>'Summary-2010'!B49-'Summary-1990'!B49</f>
        <v>-167519.1044888616</v>
      </c>
      <c r="C49" s="13">
        <f>'Summary-2010'!C49-'Summary-1990'!C49</f>
        <v>-709924.84916666534</v>
      </c>
      <c r="D49" s="13">
        <f>'Summary-2010'!D49-'Summary-1990'!D49</f>
        <v>-490018.78780013835</v>
      </c>
      <c r="E49" s="13">
        <f>'Summary-2010'!E49-'Summary-1990'!E49</f>
        <v>314928.7473319578</v>
      </c>
      <c r="F49" s="13">
        <f>'Summary-2010'!F49-'Summary-1990'!F49</f>
        <v>344824</v>
      </c>
      <c r="G49" s="13">
        <f>'Summary-2010'!G49-'Summary-1990'!G49</f>
        <v>344824</v>
      </c>
      <c r="H49" s="13">
        <f>'Summary-2010'!H49-'Summary-1990'!H49</f>
        <v>344824</v>
      </c>
      <c r="I49" s="13">
        <f>'Summary-2010'!I49-'Summary-1990'!I49</f>
        <v>344824</v>
      </c>
      <c r="J49" s="13">
        <f>'Summary-2010'!J49-'Summary-1990'!J49</f>
        <v>344824</v>
      </c>
      <c r="K49" s="18" t="str">
        <f t="shared" si="3"/>
        <v>Miami</v>
      </c>
      <c r="L49" s="13">
        <f t="shared" si="4"/>
        <v>344824</v>
      </c>
      <c r="M49" s="13"/>
      <c r="N49" s="13">
        <f>'Summary-2010'!M49-'Summary-1990'!M49</f>
        <v>-167519.1044888616</v>
      </c>
      <c r="O49" s="13">
        <f>'Summary-2010'!N49-'Summary-1990'!N49</f>
        <v>-542405.74467780371</v>
      </c>
      <c r="P49" s="13">
        <f>'Summary-2010'!O49-'Summary-1990'!O49</f>
        <v>219906.06136652699</v>
      </c>
      <c r="Q49" s="13">
        <f>'Summary-2010'!P49-'Summary-1990'!P49</f>
        <v>804947.53513209615</v>
      </c>
      <c r="R49" s="13">
        <f>'Summary-2010'!Q49-'Summary-1990'!Q49</f>
        <v>29895.252668042202</v>
      </c>
      <c r="S49" s="13">
        <f>'Summary-2010'!R49-'Summary-1990'!R49</f>
        <v>0</v>
      </c>
      <c r="T49" s="13">
        <f>'Summary-2010'!S49-'Summary-1990'!S49</f>
        <v>0</v>
      </c>
      <c r="U49" s="13">
        <f>'Summary-2010'!T49-'Summary-1990'!T49</f>
        <v>0</v>
      </c>
      <c r="V49" s="13">
        <f>'Summary-2010'!U49-'Summary-1990'!U49</f>
        <v>0</v>
      </c>
      <c r="W49" s="13"/>
      <c r="X49" s="13">
        <f t="shared" si="5"/>
        <v>344823.99999999988</v>
      </c>
      <c r="Y49" s="18"/>
      <c r="Z49" s="13">
        <f t="shared" si="0"/>
        <v>-131472.60280617123</v>
      </c>
      <c r="AA49" s="18">
        <f t="shared" si="6"/>
        <v>50</v>
      </c>
      <c r="AB49" s="18" t="str">
        <f t="shared" si="7"/>
        <v>Miami</v>
      </c>
      <c r="AC49" s="18">
        <f t="shared" si="8"/>
        <v>51</v>
      </c>
      <c r="AD49" s="18">
        <f t="shared" si="8"/>
        <v>51</v>
      </c>
      <c r="AE49" s="18">
        <f t="shared" si="8"/>
        <v>10</v>
      </c>
      <c r="AF49" s="18">
        <f t="shared" si="8"/>
        <v>2</v>
      </c>
      <c r="AG49" s="18">
        <f t="shared" si="8"/>
        <v>9</v>
      </c>
      <c r="AH49" s="18">
        <f t="shared" si="9"/>
        <v>3</v>
      </c>
      <c r="AI49" s="18" t="str">
        <f t="shared" si="2"/>
        <v>Miami</v>
      </c>
      <c r="AJ49" s="18"/>
    </row>
    <row r="50" spans="1:36">
      <c r="A50" s="18" t="s">
        <v>57</v>
      </c>
      <c r="B50" s="13">
        <f>'Summary-2010'!B50-'Summary-1990'!B50</f>
        <v>-44898.821815314615</v>
      </c>
      <c r="C50" s="13">
        <f>'Summary-2010'!C50-'Summary-1990'!C50</f>
        <v>-204867.23347860057</v>
      </c>
      <c r="D50" s="13">
        <f>'Summary-2010'!D50-'Summary-1990'!D50</f>
        <v>-485916.36584520864</v>
      </c>
      <c r="E50" s="13">
        <f>'Summary-2010'!E50-'Summary-1990'!E50</f>
        <v>25305</v>
      </c>
      <c r="F50" s="13">
        <f>'Summary-2010'!F50-'Summary-1990'!F50</f>
        <v>25305</v>
      </c>
      <c r="G50" s="13">
        <f>'Summary-2010'!G50-'Summary-1990'!G50</f>
        <v>25305</v>
      </c>
      <c r="H50" s="13">
        <f>'Summary-2010'!H50-'Summary-1990'!H50</f>
        <v>25305</v>
      </c>
      <c r="I50" s="13">
        <f>'Summary-2010'!I50-'Summary-1990'!I50</f>
        <v>25305</v>
      </c>
      <c r="J50" s="13">
        <f>'Summary-2010'!J50-'Summary-1990'!J50</f>
        <v>25305</v>
      </c>
      <c r="K50" s="18" t="str">
        <f t="shared" si="3"/>
        <v>St. Louis</v>
      </c>
      <c r="L50" s="13">
        <f t="shared" si="4"/>
        <v>25305</v>
      </c>
      <c r="M50" s="13"/>
      <c r="N50" s="13">
        <f>'Summary-2010'!M50-'Summary-1990'!M50</f>
        <v>-44898.821815314615</v>
      </c>
      <c r="O50" s="13">
        <f>'Summary-2010'!N50-'Summary-1990'!N50</f>
        <v>-159968.41166328595</v>
      </c>
      <c r="P50" s="13">
        <f>'Summary-2010'!O50-'Summary-1990'!O50</f>
        <v>-281049.13236660807</v>
      </c>
      <c r="Q50" s="13">
        <f>'Summary-2010'!P50-'Summary-1990'!P50</f>
        <v>511221.36584520864</v>
      </c>
      <c r="R50" s="13">
        <f>'Summary-2010'!Q50-'Summary-1990'!Q50</f>
        <v>0</v>
      </c>
      <c r="S50" s="13">
        <f>'Summary-2010'!R50-'Summary-1990'!R50</f>
        <v>0</v>
      </c>
      <c r="T50" s="13">
        <f>'Summary-2010'!S50-'Summary-1990'!S50</f>
        <v>0</v>
      </c>
      <c r="U50" s="13">
        <f>'Summary-2010'!T50-'Summary-1990'!T50</f>
        <v>0</v>
      </c>
      <c r="V50" s="13">
        <f>'Summary-2010'!U50-'Summary-1990'!U50</f>
        <v>0</v>
      </c>
      <c r="W50" s="13"/>
      <c r="X50" s="13">
        <f t="shared" si="5"/>
        <v>25305</v>
      </c>
      <c r="Y50" s="18"/>
      <c r="Z50" s="13">
        <f t="shared" si="0"/>
        <v>-57129.098869694571</v>
      </c>
      <c r="AA50" s="18">
        <f t="shared" si="6"/>
        <v>43</v>
      </c>
      <c r="AB50" s="18" t="str">
        <f t="shared" si="7"/>
        <v>St. Louis</v>
      </c>
      <c r="AC50" s="18">
        <f t="shared" si="8"/>
        <v>35</v>
      </c>
      <c r="AD50" s="18">
        <f t="shared" si="8"/>
        <v>45</v>
      </c>
      <c r="AE50" s="18">
        <f t="shared" si="8"/>
        <v>47</v>
      </c>
      <c r="AF50" s="18">
        <f t="shared" si="8"/>
        <v>4</v>
      </c>
      <c r="AG50" s="18">
        <f t="shared" si="8"/>
        <v>10</v>
      </c>
      <c r="AH50" s="18">
        <f t="shared" si="9"/>
        <v>3</v>
      </c>
      <c r="AI50" s="18" t="str">
        <f t="shared" si="2"/>
        <v>St. Louis</v>
      </c>
      <c r="AJ50" s="18"/>
    </row>
    <row r="51" spans="1:36">
      <c r="A51" s="18" t="s">
        <v>70</v>
      </c>
      <c r="B51" s="13">
        <f>'Summary-2010'!B51-'Summary-1990'!B51</f>
        <v>-11726.664797651363</v>
      </c>
      <c r="C51" s="13">
        <f>'Summary-2010'!C51-'Summary-1990'!C51</f>
        <v>-42298.353023767471</v>
      </c>
      <c r="D51" s="13">
        <f>'Summary-2010'!D51-'Summary-1990'!D51</f>
        <v>-96887.548863852047</v>
      </c>
      <c r="E51" s="13">
        <f>'Summary-2010'!E51-'Summary-1990'!E51</f>
        <v>17520</v>
      </c>
      <c r="F51" s="13">
        <f>'Summary-2010'!F51-'Summary-1990'!F51</f>
        <v>17520</v>
      </c>
      <c r="G51" s="13">
        <f>'Summary-2010'!G51-'Summary-1990'!G51</f>
        <v>17520</v>
      </c>
      <c r="H51" s="13">
        <f>'Summary-2010'!H51-'Summary-1990'!H51</f>
        <v>17520</v>
      </c>
      <c r="I51" s="13">
        <f>'Summary-2010'!I51-'Summary-1990'!I51</f>
        <v>17520</v>
      </c>
      <c r="J51" s="13">
        <f>'Summary-2010'!J51-'Summary-1990'!J51</f>
        <v>17520</v>
      </c>
      <c r="K51" s="18" t="str">
        <f t="shared" si="3"/>
        <v>Tampa Bay</v>
      </c>
      <c r="L51" s="13">
        <f t="shared" si="4"/>
        <v>17520.000000000044</v>
      </c>
      <c r="M51" s="13"/>
      <c r="N51" s="13">
        <f>'Summary-2010'!M51-'Summary-1990'!M51</f>
        <v>-11726.664797651363</v>
      </c>
      <c r="O51" s="13">
        <f>'Summary-2010'!N51-'Summary-1990'!N51</f>
        <v>-30571.688226116064</v>
      </c>
      <c r="P51" s="13">
        <f>'Summary-2010'!O51-'Summary-1990'!O51</f>
        <v>-54589.195840084576</v>
      </c>
      <c r="Q51" s="13">
        <f>'Summary-2010'!P51-'Summary-1990'!P51</f>
        <v>114407.54886385205</v>
      </c>
      <c r="R51" s="13">
        <f>'Summary-2010'!Q51-'Summary-1990'!Q51</f>
        <v>0</v>
      </c>
      <c r="S51" s="13">
        <f>'Summary-2010'!R51-'Summary-1990'!R51</f>
        <v>0</v>
      </c>
      <c r="T51" s="13">
        <f>'Summary-2010'!S51-'Summary-1990'!S51</f>
        <v>0</v>
      </c>
      <c r="U51" s="13">
        <f>'Summary-2010'!T51-'Summary-1990'!T51</f>
        <v>0</v>
      </c>
      <c r="V51" s="13">
        <f>'Summary-2010'!U51-'Summary-1990'!U51</f>
        <v>0</v>
      </c>
      <c r="W51" s="13"/>
      <c r="X51" s="13">
        <f t="shared" si="5"/>
        <v>17520.000000000044</v>
      </c>
      <c r="Y51" s="18"/>
      <c r="Z51" s="13">
        <f t="shared" si="0"/>
        <v>-11730.163823023759</v>
      </c>
      <c r="AA51" s="18">
        <f t="shared" si="6"/>
        <v>24</v>
      </c>
      <c r="AB51" s="18" t="str">
        <f t="shared" si="7"/>
        <v>Tampa Bay</v>
      </c>
      <c r="AC51" s="18">
        <f t="shared" si="8"/>
        <v>23</v>
      </c>
      <c r="AD51" s="18">
        <f t="shared" si="8"/>
        <v>26</v>
      </c>
      <c r="AE51" s="18">
        <f t="shared" si="8"/>
        <v>38</v>
      </c>
      <c r="AF51" s="18">
        <f t="shared" si="8"/>
        <v>9</v>
      </c>
      <c r="AG51" s="18">
        <f t="shared" si="8"/>
        <v>10</v>
      </c>
      <c r="AH51" s="18">
        <f t="shared" si="9"/>
        <v>3</v>
      </c>
      <c r="AI51" s="18" t="str">
        <f t="shared" si="2"/>
        <v>Tampa Bay</v>
      </c>
      <c r="AJ51" s="18"/>
    </row>
    <row r="52" spans="1:36">
      <c r="A52" s="18" t="s">
        <v>58</v>
      </c>
      <c r="B52" s="13">
        <f>'Summary-2010'!B52-'Summary-1990'!B52</f>
        <v>-16261.517315524645</v>
      </c>
      <c r="C52" s="13">
        <f>'Summary-2010'!C52-'Summary-1990'!C52</f>
        <v>-54835.379936561571</v>
      </c>
      <c r="D52" s="13">
        <f>'Summary-2010'!D52-'Summary-1990'!D52</f>
        <v>-124331.76911718491</v>
      </c>
      <c r="E52" s="13">
        <f>'Summary-2010'!E52-'Summary-1990'!E52</f>
        <v>-78437.528284407686</v>
      </c>
      <c r="F52" s="13">
        <f>'Summary-2010'!F52-'Summary-1990'!F52</f>
        <v>156181</v>
      </c>
      <c r="G52" s="13">
        <f>'Summary-2010'!G52-'Summary-1990'!G52</f>
        <v>156181</v>
      </c>
      <c r="H52" s="13">
        <f>'Summary-2010'!H52-'Summary-1990'!H52</f>
        <v>156181</v>
      </c>
      <c r="I52" s="13">
        <f>'Summary-2010'!I52-'Summary-1990'!I52</f>
        <v>156181</v>
      </c>
      <c r="J52" s="13">
        <f>'Summary-2010'!J52-'Summary-1990'!J52</f>
        <v>156181</v>
      </c>
      <c r="K52" s="18" t="str">
        <f t="shared" si="3"/>
        <v>Washington</v>
      </c>
      <c r="L52" s="13">
        <f t="shared" si="4"/>
        <v>156181</v>
      </c>
      <c r="M52" s="13"/>
      <c r="N52" s="13">
        <f>'Summary-2010'!M52-'Summary-1990'!M52</f>
        <v>-16261.517315524645</v>
      </c>
      <c r="O52" s="13">
        <f>'Summary-2010'!N52-'Summary-1990'!N52</f>
        <v>-38573.86262103694</v>
      </c>
      <c r="P52" s="13">
        <f>'Summary-2010'!O52-'Summary-1990'!O52</f>
        <v>-69496.389180623344</v>
      </c>
      <c r="Q52" s="13">
        <f>'Summary-2010'!P52-'Summary-1990'!P52</f>
        <v>45894.240832777228</v>
      </c>
      <c r="R52" s="13">
        <f>'Summary-2010'!Q52-'Summary-1990'!Q52</f>
        <v>234618.52828440769</v>
      </c>
      <c r="S52" s="13">
        <f>'Summary-2010'!R52-'Summary-1990'!R52</f>
        <v>0</v>
      </c>
      <c r="T52" s="13">
        <f>'Summary-2010'!S52-'Summary-1990'!S52</f>
        <v>0</v>
      </c>
      <c r="U52" s="13">
        <f>'Summary-2010'!T52-'Summary-1990'!T52</f>
        <v>0</v>
      </c>
      <c r="V52" s="13">
        <f>'Summary-2010'!U52-'Summary-1990'!U52</f>
        <v>0</v>
      </c>
      <c r="W52" s="13"/>
      <c r="X52" s="13">
        <f t="shared" si="5"/>
        <v>156181</v>
      </c>
      <c r="Y52" s="18"/>
      <c r="Z52" s="13">
        <f t="shared" si="0"/>
        <v>-15231.330819699715</v>
      </c>
      <c r="AA52" s="18">
        <f t="shared" si="6"/>
        <v>26</v>
      </c>
      <c r="AB52" s="18" t="str">
        <f t="shared" si="7"/>
        <v>Washington</v>
      </c>
      <c r="AC52" s="18">
        <f t="shared" si="8"/>
        <v>24</v>
      </c>
      <c r="AD52" s="18">
        <f t="shared" si="8"/>
        <v>28</v>
      </c>
      <c r="AE52" s="18">
        <f t="shared" si="8"/>
        <v>40</v>
      </c>
      <c r="AF52" s="18">
        <f t="shared" si="8"/>
        <v>14</v>
      </c>
      <c r="AG52" s="18">
        <f t="shared" si="8"/>
        <v>7</v>
      </c>
      <c r="AH52" s="18">
        <f t="shared" si="9"/>
        <v>3</v>
      </c>
      <c r="AI52" s="18" t="str">
        <f t="shared" si="2"/>
        <v>Washington</v>
      </c>
      <c r="AJ52" s="18"/>
    </row>
    <row r="53" spans="1:36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</row>
    <row r="54" spans="1:36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 t="s">
        <v>578</v>
      </c>
      <c r="N54" s="18">
        <v>1</v>
      </c>
      <c r="O54" s="18">
        <v>1</v>
      </c>
      <c r="P54" s="18">
        <v>1</v>
      </c>
      <c r="Q54" s="18">
        <v>1</v>
      </c>
      <c r="R54" s="18">
        <v>1</v>
      </c>
      <c r="S54" s="18">
        <v>1</v>
      </c>
      <c r="T54" s="18">
        <v>1</v>
      </c>
      <c r="U54" s="18">
        <v>1</v>
      </c>
      <c r="V54" s="18">
        <v>1</v>
      </c>
      <c r="W54" s="18"/>
      <c r="X54" s="18"/>
      <c r="Y54" s="18"/>
      <c r="Z54" s="28">
        <f>N54*EXP(Beta*10)+O54*EXP(Beta*20)+P54*EXP(Beta*30)+Q54*EXP(Beta*40)+R54*EXP(Beta*50)+S54*EXP(Beta*60)</f>
        <v>0.80925102531740989</v>
      </c>
      <c r="AA54" s="18"/>
      <c r="AB54" s="18"/>
      <c r="AC54" s="18" t="s">
        <v>146</v>
      </c>
      <c r="AD54" s="18"/>
      <c r="AE54" s="18"/>
      <c r="AF54" s="18"/>
      <c r="AG54" s="18"/>
      <c r="AH54" s="18"/>
      <c r="AI54" s="18"/>
      <c r="AJ54" s="18"/>
    </row>
    <row r="55" spans="1:36">
      <c r="A55" s="18" t="s">
        <v>143</v>
      </c>
      <c r="B55" s="18">
        <v>-0.08</v>
      </c>
      <c r="C55" s="18"/>
      <c r="D55" s="18"/>
      <c r="E55" s="18"/>
      <c r="F55" s="18"/>
      <c r="G55" s="18"/>
      <c r="H55" s="18"/>
      <c r="I55" s="18"/>
      <c r="J55" s="18"/>
      <c r="K55" s="29" t="s">
        <v>16</v>
      </c>
      <c r="L55" s="29" t="s">
        <v>570</v>
      </c>
      <c r="M55" s="29" t="s">
        <v>147</v>
      </c>
      <c r="N55" s="29" t="s">
        <v>131</v>
      </c>
      <c r="O55" s="29" t="s">
        <v>137</v>
      </c>
      <c r="P55" s="29" t="s">
        <v>138</v>
      </c>
      <c r="Q55" s="29" t="s">
        <v>139</v>
      </c>
      <c r="R55" s="29" t="s">
        <v>140</v>
      </c>
      <c r="S55" s="29" t="s">
        <v>141</v>
      </c>
      <c r="T55" s="29" t="s">
        <v>151</v>
      </c>
      <c r="U55" s="29" t="s">
        <v>152</v>
      </c>
      <c r="V55" s="29" t="s">
        <v>153</v>
      </c>
      <c r="W55" s="18"/>
      <c r="X55" s="18"/>
      <c r="Y55" s="18"/>
      <c r="Z55" s="18"/>
      <c r="AA55" s="29" t="s">
        <v>147</v>
      </c>
      <c r="AB55" s="29" t="s">
        <v>128</v>
      </c>
      <c r="AC55" s="29">
        <f>AC1</f>
        <v>10</v>
      </c>
      <c r="AD55" s="29">
        <f t="shared" ref="AD55:AH55" si="10">AD1</f>
        <v>20</v>
      </c>
      <c r="AE55" s="29">
        <f t="shared" si="10"/>
        <v>30</v>
      </c>
      <c r="AF55" s="29">
        <f t="shared" si="10"/>
        <v>40</v>
      </c>
      <c r="AG55" s="29">
        <f t="shared" si="10"/>
        <v>50</v>
      </c>
      <c r="AH55" s="29">
        <f t="shared" si="10"/>
        <v>60</v>
      </c>
      <c r="AI55" s="18" t="s">
        <v>147</v>
      </c>
      <c r="AJ55" s="18"/>
    </row>
    <row r="56" spans="1:3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28" t="str">
        <f t="shared" ref="K56:K87" si="11">A2</f>
        <v>Atlanta</v>
      </c>
      <c r="L56" s="28">
        <f>L2/'Summary-1990'!L2*100</f>
        <v>35.178342818540656</v>
      </c>
      <c r="M56" s="28">
        <f>Z2/'Summary-2010'!Y2*100</f>
        <v>-23.250922092607702</v>
      </c>
      <c r="N56" s="28">
        <f>N2/'Summary-1990'!M2*100</f>
        <v>-32.072488838088717</v>
      </c>
      <c r="O56" s="28">
        <f>O2/'Summary-1990'!N2*100</f>
        <v>-30.671656906538868</v>
      </c>
      <c r="P56" s="28">
        <f>P2/'Summary-1990'!O2*100</f>
        <v>-29.359747360675883</v>
      </c>
      <c r="Q56" s="28">
        <f>Q2/'Summary-1990'!P2*100</f>
        <v>-5.3503555932309155</v>
      </c>
      <c r="R56" s="28" t="e">
        <f>R2/'Summary-1990'!Q2*100</f>
        <v>#DIV/0!</v>
      </c>
      <c r="S56" s="28" t="e">
        <f>S2/'Summary-1990'!R2*100</f>
        <v>#DIV/0!</v>
      </c>
      <c r="T56" s="28" t="e">
        <f>T2/'Summary-1990'!S2*100</f>
        <v>#DIV/0!</v>
      </c>
      <c r="U56" s="28" t="e">
        <f>U2/'Summary-1990'!T2*100</f>
        <v>#DIV/0!</v>
      </c>
      <c r="V56" s="28" t="e">
        <f>V2/'Summary-1990'!U2*100</f>
        <v>#DIV/0!</v>
      </c>
      <c r="W56" s="18"/>
      <c r="X56" s="18"/>
      <c r="Y56" s="18"/>
      <c r="Z56" s="18"/>
      <c r="AA56" s="18" t="str">
        <f>VLOOKUP($AB56,AA$2:$AB$52,2,FALSE)</f>
        <v>Los Angeles</v>
      </c>
      <c r="AB56" s="18">
        <v>1</v>
      </c>
      <c r="AC56" s="18" t="str">
        <f>VLOOKUP($AB56,AC$2:$AI$52,8-AC$1/10,FALSE)</f>
        <v>San Francisco</v>
      </c>
      <c r="AD56" s="18" t="str">
        <f>VLOOKUP($AB56,AD$2:$AI$52,8-AD$1/10,FALSE)</f>
        <v>San Francisco</v>
      </c>
      <c r="AE56" s="18" t="str">
        <f>VLOOKUP($AB56,AE$2:$AI$52,8-AE$1/10,FALSE)</f>
        <v>Los Angeles</v>
      </c>
      <c r="AF56" s="18" t="str">
        <f>VLOOKUP($AB56,AF$2:$AI$52,8-AF$1/10,FALSE)</f>
        <v>Los Angeles</v>
      </c>
      <c r="AG56" s="18" t="str">
        <f>VLOOKUP($AB56,AG$2:$AI$52,8-AG$1/10,FALSE)</f>
        <v>Boston</v>
      </c>
      <c r="AH56" s="18" t="str">
        <f>VLOOKUP($AB56,AH$2:$AI$52,8-AH$1/10,FALSE)</f>
        <v>Chicago</v>
      </c>
      <c r="AI56" s="18" t="str">
        <f>AA56</f>
        <v>Los Angeles</v>
      </c>
      <c r="AJ56" s="18"/>
    </row>
    <row r="57" spans="1:36">
      <c r="A57" s="18" t="s">
        <v>145</v>
      </c>
      <c r="B57" s="18"/>
      <c r="C57" s="18"/>
      <c r="D57" s="18"/>
      <c r="E57" s="18"/>
      <c r="F57" s="18"/>
      <c r="G57" s="18"/>
      <c r="H57" s="18"/>
      <c r="I57" s="18"/>
      <c r="J57" s="18"/>
      <c r="K57" s="28" t="str">
        <f t="shared" si="11"/>
        <v>Austin</v>
      </c>
      <c r="L57" s="28">
        <f>L3/'Summary-1990'!L3*100</f>
        <v>58.548918854698826</v>
      </c>
      <c r="M57" s="28">
        <f>Z3/'Summary-2010'!Y3*100</f>
        <v>14.657090458812066</v>
      </c>
      <c r="N57" s="28">
        <f>N3/'Summary-1990'!M3*100</f>
        <v>-9.2169128487941236</v>
      </c>
      <c r="O57" s="28">
        <f>O3/'Summary-1990'!N3*100</f>
        <v>2.5671167590334498E-2</v>
      </c>
      <c r="P57" s="28" t="e">
        <f>P3/'Summary-1990'!O3*100</f>
        <v>#DIV/0!</v>
      </c>
      <c r="Q57" s="28" t="e">
        <f>Q3/'Summary-1990'!P3*100</f>
        <v>#DIV/0!</v>
      </c>
      <c r="R57" s="28" t="e">
        <f>R3/'Summary-1990'!Q3*100</f>
        <v>#DIV/0!</v>
      </c>
      <c r="S57" s="28" t="e">
        <f>S3/'Summary-1990'!R3*100</f>
        <v>#DIV/0!</v>
      </c>
      <c r="T57" s="28" t="e">
        <f>T3/'Summary-1990'!S3*100</f>
        <v>#DIV/0!</v>
      </c>
      <c r="U57" s="28" t="e">
        <f>U3/'Summary-1990'!T3*100</f>
        <v>#DIV/0!</v>
      </c>
      <c r="V57" s="28" t="e">
        <f>V3/'Summary-1990'!U3*100</f>
        <v>#DIV/0!</v>
      </c>
      <c r="W57" s="18"/>
      <c r="X57" s="18"/>
      <c r="Y57" s="18"/>
      <c r="Z57" s="18"/>
      <c r="AA57" s="18" t="str">
        <f>VLOOKUP($AB57,AA$2:$AB$52,2,FALSE)</f>
        <v>San Francisco</v>
      </c>
      <c r="AB57" s="18">
        <v>2</v>
      </c>
      <c r="AC57" s="18" t="str">
        <f>VLOOKUP($AB57,AC$2:$AI$52,8-AC$1/10,FALSE)</f>
        <v>Los Angeles</v>
      </c>
      <c r="AD57" s="18" t="str">
        <f>VLOOKUP($AB57,AD$2:$AI$52,8-AD$1/10,FALSE)</f>
        <v>Los Angeles</v>
      </c>
      <c r="AE57" s="18" t="str">
        <f>VLOOKUP($AB57,AE$2:$AI$52,8-AE$1/10,FALSE)</f>
        <v>Charlotte</v>
      </c>
      <c r="AF57" s="18" t="str">
        <f>VLOOKUP($AB57,AF$2:$AI$52,8-AF$1/10,FALSE)</f>
        <v>Miami</v>
      </c>
      <c r="AG57" s="18" t="str">
        <f>VLOOKUP($AB57,AG$2:$AI$52,8-AG$1/10,FALSE)</f>
        <v>Philadelphia</v>
      </c>
      <c r="AH57" s="18" t="str">
        <f>VLOOKUP($AB57,AH$2:$AI$52,8-AH$1/10,FALSE)</f>
        <v>Atlanta</v>
      </c>
      <c r="AI57" s="18" t="str">
        <f t="shared" ref="AI57:AI105" si="12">AA57</f>
        <v>San Francisco</v>
      </c>
      <c r="AJ57" s="18"/>
    </row>
    <row r="58" spans="1:36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28" t="str">
        <f t="shared" si="11"/>
        <v>Baltimore</v>
      </c>
      <c r="L58" s="28">
        <f>L4/'Summary-1990'!L4*100</f>
        <v>-11.092595902209496</v>
      </c>
      <c r="M58" s="28">
        <f>Z4/'Summary-2010'!Y4*100</f>
        <v>-17.821503439491817</v>
      </c>
      <c r="N58" s="28">
        <f>N4/'Summary-1990'!M4*100</f>
        <v>-21.447527779580444</v>
      </c>
      <c r="O58" s="28">
        <f>O4/'Summary-1990'!N4*100</f>
        <v>-17.606062244913932</v>
      </c>
      <c r="P58" s="28">
        <f>P4/'Summary-1990'!O4*100</f>
        <v>-3.830809011917137</v>
      </c>
      <c r="Q58" s="28" t="e">
        <f>Q4/'Summary-1990'!P4*100</f>
        <v>#DIV/0!</v>
      </c>
      <c r="R58" s="28" t="e">
        <f>R4/'Summary-1990'!Q4*100</f>
        <v>#DIV/0!</v>
      </c>
      <c r="S58" s="28" t="e">
        <f>S4/'Summary-1990'!R4*100</f>
        <v>#DIV/0!</v>
      </c>
      <c r="T58" s="28" t="e">
        <f>T4/'Summary-1990'!S4*100</f>
        <v>#DIV/0!</v>
      </c>
      <c r="U58" s="28" t="e">
        <f>U4/'Summary-1990'!T4*100</f>
        <v>#DIV/0!</v>
      </c>
      <c r="V58" s="28" t="e">
        <f>V4/'Summary-1990'!U4*100</f>
        <v>#DIV/0!</v>
      </c>
      <c r="W58" s="18"/>
      <c r="X58" s="18"/>
      <c r="Y58" s="18"/>
      <c r="Z58" s="18"/>
      <c r="AA58" s="18" t="str">
        <f>VLOOKUP($AB58,AA$2:$AB$52,2,FALSE)</f>
        <v>Jacksonville</v>
      </c>
      <c r="AB58" s="18">
        <v>3</v>
      </c>
      <c r="AC58" s="18" t="str">
        <f>VLOOKUP($AB58,AC$2:$AI$52,8-AC$1/10,FALSE)</f>
        <v>Jacksonville</v>
      </c>
      <c r="AD58" s="18" t="str">
        <f>VLOOKUP($AB58,AD$2:$AI$52,8-AD$1/10,FALSE)</f>
        <v>Jacksonville</v>
      </c>
      <c r="AE58" s="18" t="str">
        <f>VLOOKUP($AB58,AE$2:$AI$52,8-AE$1/10,FALSE)</f>
        <v>Minneapolis</v>
      </c>
      <c r="AF58" s="18" t="str">
        <f>VLOOKUP($AB58,AF$2:$AI$52,8-AF$1/10,FALSE)</f>
        <v>Boston</v>
      </c>
      <c r="AG58" s="18" t="str">
        <f>VLOOKUP($AB58,AG$2:$AI$52,8-AG$1/10,FALSE)</f>
        <v>Atlanta</v>
      </c>
      <c r="AH58" s="18" t="str">
        <f>VLOOKUP($AB58,AH$2:$AI$52,8-AH$1/10,FALSE)</f>
        <v>Austin</v>
      </c>
      <c r="AI58" s="18" t="str">
        <f t="shared" si="12"/>
        <v>Jacksonville</v>
      </c>
      <c r="AJ58" s="18"/>
    </row>
    <row r="59" spans="1:36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28" t="str">
        <f t="shared" si="11"/>
        <v>Boston</v>
      </c>
      <c r="L59" s="28">
        <f>L5/'Summary-1990'!L5*100</f>
        <v>35.533639598509048</v>
      </c>
      <c r="M59" s="28">
        <f>Z5/'Summary-2010'!Y5*100</f>
        <v>-34.49381468657036</v>
      </c>
      <c r="N59" s="28">
        <f>N5/'Summary-1990'!M5*100</f>
        <v>-40.260728649918335</v>
      </c>
      <c r="O59" s="28">
        <f>O5/'Summary-1990'!N5*100</f>
        <v>-40.907205842781515</v>
      </c>
      <c r="P59" s="28">
        <f>P5/'Summary-1990'!O5*100</f>
        <v>-40.505948310171355</v>
      </c>
      <c r="Q59" s="28">
        <f>Q5/'Summary-1990'!P5*100</f>
        <v>198.69663807177267</v>
      </c>
      <c r="R59" s="28" t="e">
        <f>R5/'Summary-1990'!Q5*100</f>
        <v>#DIV/0!</v>
      </c>
      <c r="S59" s="28" t="e">
        <f>S5/'Summary-1990'!R5*100</f>
        <v>#DIV/0!</v>
      </c>
      <c r="T59" s="28" t="e">
        <f>T5/'Summary-1990'!S5*100</f>
        <v>#DIV/0!</v>
      </c>
      <c r="U59" s="28" t="e">
        <f>U5/'Summary-1990'!T5*100</f>
        <v>#DIV/0!</v>
      </c>
      <c r="V59" s="28" t="e">
        <f>V5/'Summary-1990'!U5*100</f>
        <v>#DIV/0!</v>
      </c>
      <c r="W59" s="18"/>
      <c r="X59" s="18"/>
      <c r="Y59" s="18"/>
      <c r="Z59" s="18"/>
      <c r="AA59" s="18" t="str">
        <f>VLOOKUP($AB59,AA$2:$AB$52,2,FALSE)</f>
        <v>Minneapolis</v>
      </c>
      <c r="AB59" s="18">
        <f>AB58+1</f>
        <v>4</v>
      </c>
      <c r="AC59" s="18" t="str">
        <f>VLOOKUP($AB59,AC$2:$AI$52,8-AC$1/10,FALSE)</f>
        <v>San Jose</v>
      </c>
      <c r="AD59" s="18" t="str">
        <f>VLOOKUP($AB59,AD$2:$AI$52,8-AD$1/10,FALSE)</f>
        <v>Minneapolis</v>
      </c>
      <c r="AE59" s="18" t="str">
        <f>VLOOKUP($AB59,AE$2:$AI$52,8-AE$1/10,FALSE)</f>
        <v>Indianapolis</v>
      </c>
      <c r="AF59" s="18" t="str">
        <f>VLOOKUP($AB59,AF$2:$AI$52,8-AF$1/10,FALSE)</f>
        <v>St. Louis</v>
      </c>
      <c r="AG59" s="18" t="str">
        <f>VLOOKUP($AB59,AG$2:$AI$52,8-AG$1/10,FALSE)</f>
        <v>Chicago</v>
      </c>
      <c r="AH59" s="18" t="e">
        <f>VLOOKUP($AB59,AH$2:$AI$52,8-AH$1/10,FALSE)</f>
        <v>#N/A</v>
      </c>
      <c r="AI59" s="18" t="str">
        <f t="shared" si="12"/>
        <v>Minneapolis</v>
      </c>
      <c r="AJ59" s="18"/>
    </row>
    <row r="60" spans="1:36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28" t="str">
        <f t="shared" si="11"/>
        <v>Buffalo</v>
      </c>
      <c r="L60" s="28">
        <f>L6/'Summary-1990'!L6*100</f>
        <v>-14.199750716407902</v>
      </c>
      <c r="M60" s="28">
        <f>Z6/'Summary-2010'!Y6*100</f>
        <v>-45.962163369954126</v>
      </c>
      <c r="N60" s="28">
        <f>N6/'Summary-1990'!M6*100</f>
        <v>-56.299589291857586</v>
      </c>
      <c r="O60" s="28">
        <f>O6/'Summary-1990'!N6*100</f>
        <v>-0.35824625167967838</v>
      </c>
      <c r="P60" s="28" t="e">
        <f>P6/'Summary-1990'!O6*100</f>
        <v>#DIV/0!</v>
      </c>
      <c r="Q60" s="28" t="e">
        <f>Q6/'Summary-1990'!P6*100</f>
        <v>#DIV/0!</v>
      </c>
      <c r="R60" s="28" t="e">
        <f>R6/'Summary-1990'!Q6*100</f>
        <v>#DIV/0!</v>
      </c>
      <c r="S60" s="28" t="e">
        <f>S6/'Summary-1990'!R6*100</f>
        <v>#DIV/0!</v>
      </c>
      <c r="T60" s="28" t="e">
        <f>T6/'Summary-1990'!S6*100</f>
        <v>#DIV/0!</v>
      </c>
      <c r="U60" s="28" t="e">
        <f>U6/'Summary-1990'!T6*100</f>
        <v>#DIV/0!</v>
      </c>
      <c r="V60" s="28" t="e">
        <f>V6/'Summary-1990'!U6*100</f>
        <v>#DIV/0!</v>
      </c>
      <c r="W60" s="18"/>
      <c r="X60" s="18"/>
      <c r="Y60" s="18"/>
      <c r="Z60" s="18"/>
      <c r="AA60" s="18" t="str">
        <f>VLOOKUP($AB60,AA$2:$AB$52,2,FALSE)</f>
        <v>Las Vegas</v>
      </c>
      <c r="AB60" s="18">
        <f t="shared" ref="AB60:AB106" si="13">AB59+1</f>
        <v>5</v>
      </c>
      <c r="AC60" s="18" t="str">
        <f>VLOOKUP($AB60,AC$2:$AI$52,8-AC$1/10,FALSE)</f>
        <v>Minneapolis</v>
      </c>
      <c r="AD60" s="18" t="str">
        <f>VLOOKUP($AB60,AD$2:$AI$52,8-AD$1/10,FALSE)</f>
        <v>San Jose</v>
      </c>
      <c r="AE60" s="18" t="str">
        <f>VLOOKUP($AB60,AE$2:$AI$52,8-AE$1/10,FALSE)</f>
        <v>Providence</v>
      </c>
      <c r="AF60" s="18" t="str">
        <f>VLOOKUP($AB60,AF$2:$AI$52,8-AF$1/10,FALSE)</f>
        <v>Phoenix</v>
      </c>
      <c r="AG60" s="18" t="str">
        <f>VLOOKUP($AB60,AG$2:$AI$52,8-AG$1/10,FALSE)</f>
        <v>Dallas</v>
      </c>
      <c r="AH60" s="18" t="e">
        <f>VLOOKUP($AB60,AH$2:$AI$52,8-AH$1/10,FALSE)</f>
        <v>#N/A</v>
      </c>
      <c r="AI60" s="18" t="str">
        <f t="shared" si="12"/>
        <v>Las Vegas</v>
      </c>
      <c r="AJ60" s="18"/>
    </row>
    <row r="61" spans="1:36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28" t="str">
        <f t="shared" si="11"/>
        <v>Charlotte</v>
      </c>
      <c r="L61" s="28">
        <f>L7/'Summary-1990'!L7*100</f>
        <v>20.257383575594861</v>
      </c>
      <c r="M61" s="28">
        <f>Z7/'Summary-2010'!Y7*100</f>
        <v>-41.724052912618596</v>
      </c>
      <c r="N61" s="28">
        <f>N7/'Summary-1990'!M7*100</f>
        <v>-63.547062198517679</v>
      </c>
      <c r="O61" s="28">
        <f>O7/'Summary-1990'!N7*100</f>
        <v>-34.990335570642848</v>
      </c>
      <c r="P61" s="28" t="e">
        <f>P7/'Summary-1990'!O7*100</f>
        <v>#DIV/0!</v>
      </c>
      <c r="Q61" s="28" t="e">
        <f>Q7/'Summary-1990'!P7*100</f>
        <v>#DIV/0!</v>
      </c>
      <c r="R61" s="28" t="e">
        <f>R7/'Summary-1990'!Q7*100</f>
        <v>#DIV/0!</v>
      </c>
      <c r="S61" s="28" t="e">
        <f>S7/'Summary-1990'!R7*100</f>
        <v>#DIV/0!</v>
      </c>
      <c r="T61" s="28" t="e">
        <f>T7/'Summary-1990'!S7*100</f>
        <v>#DIV/0!</v>
      </c>
      <c r="U61" s="28" t="e">
        <f>U7/'Summary-1990'!T7*100</f>
        <v>#DIV/0!</v>
      </c>
      <c r="V61" s="28" t="e">
        <f>V7/'Summary-1990'!U7*100</f>
        <v>#DIV/0!</v>
      </c>
      <c r="W61" s="18"/>
      <c r="X61" s="18"/>
      <c r="Y61" s="18"/>
      <c r="Z61" s="18"/>
      <c r="AA61" s="18" t="str">
        <f>VLOOKUP($AB61,AA$2:$AB$52,2,FALSE)</f>
        <v>Kansas City</v>
      </c>
      <c r="AB61" s="18">
        <f t="shared" si="13"/>
        <v>6</v>
      </c>
      <c r="AC61" s="18" t="str">
        <f>VLOOKUP($AB61,AC$2:$AI$52,8-AC$1/10,FALSE)</f>
        <v>Kansas City</v>
      </c>
      <c r="AD61" s="18" t="str">
        <f>VLOOKUP($AB61,AD$2:$AI$52,8-AD$1/10,FALSE)</f>
        <v>Kansas City</v>
      </c>
      <c r="AE61" s="18" t="str">
        <f>VLOOKUP($AB61,AE$2:$AI$52,8-AE$1/10,FALSE)</f>
        <v>Austin</v>
      </c>
      <c r="AF61" s="18" t="str">
        <f>VLOOKUP($AB61,AF$2:$AI$52,8-AF$1/10,FALSE)</f>
        <v>Seattle</v>
      </c>
      <c r="AG61" s="18" t="str">
        <f>VLOOKUP($AB61,AG$2:$AI$52,8-AG$1/10,FALSE)</f>
        <v>Houston</v>
      </c>
      <c r="AH61" s="18" t="e">
        <f>VLOOKUP($AB61,AH$2:$AI$52,8-AH$1/10,FALSE)</f>
        <v>#N/A</v>
      </c>
      <c r="AI61" s="18" t="str">
        <f t="shared" si="12"/>
        <v>Kansas City</v>
      </c>
      <c r="AJ61" s="18"/>
    </row>
    <row r="62" spans="1:36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28" t="str">
        <f t="shared" si="11"/>
        <v>Chicago</v>
      </c>
      <c r="L62" s="28">
        <f>L8/'Summary-1990'!L8*100</f>
        <v>-1.1341103371039822</v>
      </c>
      <c r="M62" s="28">
        <f>Z8/'Summary-2010'!Y8*100</f>
        <v>-34.994019922792894</v>
      </c>
      <c r="N62" s="28">
        <f>N8/'Summary-1990'!M8*100</f>
        <v>-31.349970598173755</v>
      </c>
      <c r="O62" s="28">
        <f>O8/'Summary-1990'!N8*100</f>
        <v>-30.661549748534018</v>
      </c>
      <c r="P62" s="28">
        <f>P8/'Summary-1990'!O8*100</f>
        <v>-31.381216257790744</v>
      </c>
      <c r="Q62" s="28">
        <f>Q8/'Summary-1990'!P8*100</f>
        <v>-31.259842934665784</v>
      </c>
      <c r="R62" s="28">
        <f>R8/'Summary-1990'!Q8*100</f>
        <v>103.30045413080067</v>
      </c>
      <c r="S62" s="28" t="e">
        <f>S8/'Summary-1990'!R8*100</f>
        <v>#DIV/0!</v>
      </c>
      <c r="T62" s="28" t="e">
        <f>T8/'Summary-1990'!S8*100</f>
        <v>#DIV/0!</v>
      </c>
      <c r="U62" s="28" t="e">
        <f>U8/'Summary-1990'!T8*100</f>
        <v>#DIV/0!</v>
      </c>
      <c r="V62" s="28" t="e">
        <f>V8/'Summary-1990'!U8*100</f>
        <v>#DIV/0!</v>
      </c>
      <c r="W62" s="18"/>
      <c r="X62" s="18"/>
      <c r="Y62" s="18"/>
      <c r="Z62" s="18"/>
      <c r="AA62" s="18" t="str">
        <f>VLOOKUP($AB62,AA$2:$AB$52,2,FALSE)</f>
        <v>Riverside</v>
      </c>
      <c r="AB62" s="18">
        <f t="shared" si="13"/>
        <v>7</v>
      </c>
      <c r="AC62" s="18" t="str">
        <f>VLOOKUP($AB62,AC$2:$AI$52,8-AC$1/10,FALSE)</f>
        <v>Riverside</v>
      </c>
      <c r="AD62" s="18" t="str">
        <f>VLOOKUP($AB62,AD$2:$AI$52,8-AD$1/10,FALSE)</f>
        <v>Las Vegas</v>
      </c>
      <c r="AE62" s="18" t="str">
        <f>VLOOKUP($AB62,AE$2:$AI$52,8-AE$1/10,FALSE)</f>
        <v>Orlando</v>
      </c>
      <c r="AF62" s="18" t="str">
        <f>VLOOKUP($AB62,AF$2:$AI$52,8-AF$1/10,FALSE)</f>
        <v>Pittsburgh</v>
      </c>
      <c r="AG62" s="18" t="str">
        <f>VLOOKUP($AB62,AG$2:$AI$52,8-AG$1/10,FALSE)</f>
        <v>Washington</v>
      </c>
      <c r="AH62" s="18" t="e">
        <f>VLOOKUP($AB62,AH$2:$AI$52,8-AH$1/10,FALSE)</f>
        <v>#N/A</v>
      </c>
      <c r="AI62" s="18" t="str">
        <f t="shared" si="12"/>
        <v>Riverside</v>
      </c>
      <c r="AJ62" s="18"/>
    </row>
    <row r="63" spans="1:36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28" t="str">
        <f t="shared" si="11"/>
        <v>Cincinnati</v>
      </c>
      <c r="L63" s="28">
        <f>L9/'Summary-1990'!L9*100</f>
        <v>7.6013268271556633</v>
      </c>
      <c r="M63" s="28">
        <f>Z9/'Summary-2010'!Y9*100</f>
        <v>-24.727187402543073</v>
      </c>
      <c r="N63" s="28">
        <f>N9/'Summary-1990'!M9*100</f>
        <v>-39.389915944342867</v>
      </c>
      <c r="O63" s="28">
        <f>O9/'Summary-1990'!N9*100</f>
        <v>-37.176907365297311</v>
      </c>
      <c r="P63" s="28">
        <f>P9/'Summary-1990'!O9*100</f>
        <v>77.551248435401106</v>
      </c>
      <c r="Q63" s="28" t="e">
        <f>Q9/'Summary-1990'!P9*100</f>
        <v>#DIV/0!</v>
      </c>
      <c r="R63" s="28" t="e">
        <f>R9/'Summary-1990'!Q9*100</f>
        <v>#DIV/0!</v>
      </c>
      <c r="S63" s="28" t="e">
        <f>S9/'Summary-1990'!R9*100</f>
        <v>#DIV/0!</v>
      </c>
      <c r="T63" s="28" t="e">
        <f>T9/'Summary-1990'!S9*100</f>
        <v>#DIV/0!</v>
      </c>
      <c r="U63" s="28" t="e">
        <f>U9/'Summary-1990'!T9*100</f>
        <v>#DIV/0!</v>
      </c>
      <c r="V63" s="28" t="e">
        <f>V9/'Summary-1990'!U9*100</f>
        <v>#DIV/0!</v>
      </c>
      <c r="W63" s="18"/>
      <c r="X63" s="18"/>
      <c r="Y63" s="18"/>
      <c r="Z63" s="18"/>
      <c r="AA63" s="18" t="str">
        <f>VLOOKUP($AB63,AA$2:$AB$52,2,FALSE)</f>
        <v>San Jose</v>
      </c>
      <c r="AB63" s="18">
        <f t="shared" si="13"/>
        <v>8</v>
      </c>
      <c r="AC63" s="18" t="str">
        <f>VLOOKUP($AB63,AC$2:$AI$52,8-AC$1/10,FALSE)</f>
        <v>San Diego</v>
      </c>
      <c r="AD63" s="18" t="str">
        <f>VLOOKUP($AB63,AD$2:$AI$52,8-AD$1/10,FALSE)</f>
        <v>Riverside</v>
      </c>
      <c r="AE63" s="18" t="str">
        <f>VLOOKUP($AB63,AE$2:$AI$52,8-AE$1/10,FALSE)</f>
        <v>Columbus</v>
      </c>
      <c r="AF63" s="18" t="str">
        <f>VLOOKUP($AB63,AF$2:$AI$52,8-AF$1/10,FALSE)</f>
        <v>Houston</v>
      </c>
      <c r="AG63" s="18" t="str">
        <f>VLOOKUP($AB63,AG$2:$AI$52,8-AG$1/10,FALSE)</f>
        <v>Seattle</v>
      </c>
      <c r="AH63" s="18" t="e">
        <f>VLOOKUP($AB63,AH$2:$AI$52,8-AH$1/10,FALSE)</f>
        <v>#N/A</v>
      </c>
      <c r="AI63" s="18" t="str">
        <f t="shared" si="12"/>
        <v>San Jose</v>
      </c>
      <c r="AJ63" s="18"/>
    </row>
    <row r="64" spans="1:36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28" t="str">
        <f t="shared" si="11"/>
        <v>Cleveland</v>
      </c>
      <c r="L64" s="28">
        <f>L10/'Summary-1990'!L10*100</f>
        <v>-29.944553533977558</v>
      </c>
      <c r="M64" s="28">
        <f>Z10/'Summary-2010'!Y10*100</f>
        <v>-83.665538301930894</v>
      </c>
      <c r="N64" s="28">
        <f>N10/'Summary-1990'!M10*100</f>
        <v>-57.549004840712769</v>
      </c>
      <c r="O64" s="28">
        <f>O10/'Summary-1990'!N10*100</f>
        <v>-57.410667022653648</v>
      </c>
      <c r="P64" s="28">
        <f>P10/'Summary-1990'!O10*100</f>
        <v>36.689401358212677</v>
      </c>
      <c r="Q64" s="28" t="e">
        <f>Q10/'Summary-1990'!P10*100</f>
        <v>#DIV/0!</v>
      </c>
      <c r="R64" s="28" t="e">
        <f>R10/'Summary-1990'!Q10*100</f>
        <v>#DIV/0!</v>
      </c>
      <c r="S64" s="28" t="e">
        <f>S10/'Summary-1990'!R10*100</f>
        <v>#DIV/0!</v>
      </c>
      <c r="T64" s="28" t="e">
        <f>T10/'Summary-1990'!S10*100</f>
        <v>#DIV/0!</v>
      </c>
      <c r="U64" s="28" t="e">
        <f>U10/'Summary-1990'!T10*100</f>
        <v>#DIV/0!</v>
      </c>
      <c r="V64" s="28" t="e">
        <f>V10/'Summary-1990'!U10*100</f>
        <v>#DIV/0!</v>
      </c>
      <c r="W64" s="18"/>
      <c r="X64" s="18"/>
      <c r="Y64" s="18"/>
      <c r="Z64" s="18"/>
      <c r="AA64" s="18" t="str">
        <f>VLOOKUP($AB64,AA$2:$AB$52,2,FALSE)</f>
        <v>Orlando</v>
      </c>
      <c r="AB64" s="18">
        <f t="shared" si="13"/>
        <v>9</v>
      </c>
      <c r="AC64" s="18" t="str">
        <f>VLOOKUP($AB64,AC$2:$AI$52,8-AC$1/10,FALSE)</f>
        <v>Las Vegas</v>
      </c>
      <c r="AD64" s="18" t="str">
        <f>VLOOKUP($AB64,AD$2:$AI$52,8-AD$1/10,FALSE)</f>
        <v>San Diego</v>
      </c>
      <c r="AE64" s="18" t="str">
        <f>VLOOKUP($AB64,AE$2:$AI$52,8-AE$1/10,FALSE)</f>
        <v>Portland</v>
      </c>
      <c r="AF64" s="18" t="str">
        <f>VLOOKUP($AB64,AF$2:$AI$52,8-AF$1/10,FALSE)</f>
        <v>Tampa Bay</v>
      </c>
      <c r="AG64" s="18" t="str">
        <f>VLOOKUP($AB64,AG$2:$AI$52,8-AG$1/10,FALSE)</f>
        <v>Miami</v>
      </c>
      <c r="AH64" s="18" t="e">
        <f>VLOOKUP($AB64,AH$2:$AI$52,8-AH$1/10,FALSE)</f>
        <v>#N/A</v>
      </c>
      <c r="AI64" s="18" t="str">
        <f t="shared" si="12"/>
        <v>Orlando</v>
      </c>
      <c r="AJ64" s="18"/>
    </row>
    <row r="65" spans="1:36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28" t="str">
        <f t="shared" si="11"/>
        <v>Columbus</v>
      </c>
      <c r="L65" s="28">
        <f>L11/'Summary-1990'!L11*100</f>
        <v>10.691013912922886</v>
      </c>
      <c r="M65" s="28">
        <f>Z11/'Summary-2010'!Y11*100</f>
        <v>-16.53335082610721</v>
      </c>
      <c r="N65" s="28">
        <f>N11/'Summary-1990'!M11*100</f>
        <v>-34.076744303794989</v>
      </c>
      <c r="O65" s="28">
        <f>O11/'Summary-1990'!N11*100</f>
        <v>-19.162806104704902</v>
      </c>
      <c r="P65" s="28" t="e">
        <f>P11/'Summary-1990'!O11*100</f>
        <v>#DIV/0!</v>
      </c>
      <c r="Q65" s="28" t="e">
        <f>Q11/'Summary-1990'!P11*100</f>
        <v>#DIV/0!</v>
      </c>
      <c r="R65" s="28" t="e">
        <f>R11/'Summary-1990'!Q11*100</f>
        <v>#DIV/0!</v>
      </c>
      <c r="S65" s="28" t="e">
        <f>S11/'Summary-1990'!R11*100</f>
        <v>#DIV/0!</v>
      </c>
      <c r="T65" s="28" t="e">
        <f>T11/'Summary-1990'!S11*100</f>
        <v>#DIV/0!</v>
      </c>
      <c r="U65" s="28" t="e">
        <f>U11/'Summary-1990'!T11*100</f>
        <v>#DIV/0!</v>
      </c>
      <c r="V65" s="28" t="e">
        <f>V11/'Summary-1990'!U11*100</f>
        <v>#DIV/0!</v>
      </c>
      <c r="W65" s="18"/>
      <c r="X65" s="18"/>
      <c r="Y65" s="18"/>
      <c r="Z65" s="18"/>
      <c r="AA65" s="18" t="str">
        <f>VLOOKUP($AB65,AA$2:$AB$52,2,FALSE)</f>
        <v>Nashville</v>
      </c>
      <c r="AB65" s="18">
        <f t="shared" si="13"/>
        <v>10</v>
      </c>
      <c r="AC65" s="18" t="str">
        <f>VLOOKUP($AB65,AC$2:$AI$52,8-AC$1/10,FALSE)</f>
        <v>Oklahoma City</v>
      </c>
      <c r="AD65" s="18" t="str">
        <f>VLOOKUP($AB65,AD$2:$AI$52,8-AD$1/10,FALSE)</f>
        <v>Raleigh</v>
      </c>
      <c r="AE65" s="18" t="str">
        <f>VLOOKUP($AB65,AE$2:$AI$52,8-AE$1/10,FALSE)</f>
        <v>Miami</v>
      </c>
      <c r="AF65" s="18" t="str">
        <f>VLOOKUP($AB65,AF$2:$AI$52,8-AF$1/10,FALSE)</f>
        <v>Denver</v>
      </c>
      <c r="AG65" s="18" t="str">
        <f>VLOOKUP($AB65,AG$2:$AI$52,8-AG$1/10,FALSE)</f>
        <v>Austin</v>
      </c>
      <c r="AH65" s="18" t="e">
        <f>VLOOKUP($AB65,AH$2:$AI$52,8-AH$1/10,FALSE)</f>
        <v>#N/A</v>
      </c>
      <c r="AI65" s="18" t="str">
        <f t="shared" si="12"/>
        <v>Nashville</v>
      </c>
      <c r="AJ65" s="18"/>
    </row>
    <row r="66" spans="1:3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28" t="str">
        <f t="shared" si="11"/>
        <v>Dallas</v>
      </c>
      <c r="L66" s="28">
        <f>L12/'Summary-1990'!L12*100</f>
        <v>26.999513307153777</v>
      </c>
      <c r="M66" s="28">
        <f>Z12/'Summary-2010'!Y12*100</f>
        <v>6.2304001769989004</v>
      </c>
      <c r="N66" s="28">
        <f>N12/'Summary-1990'!M12*100</f>
        <v>1.175118115926246</v>
      </c>
      <c r="O66" s="28">
        <f>O12/'Summary-1990'!N12*100</f>
        <v>1.9103634424474336</v>
      </c>
      <c r="P66" s="28">
        <f>P12/'Summary-1990'!O12*100</f>
        <v>1.7207583127746378</v>
      </c>
      <c r="Q66" s="28">
        <f>Q12/'Summary-1990'!P12*100</f>
        <v>9.446615406661202</v>
      </c>
      <c r="R66" s="28" t="e">
        <f>R12/'Summary-1990'!Q12*100</f>
        <v>#DIV/0!</v>
      </c>
      <c r="S66" s="28" t="e">
        <f>S12/'Summary-1990'!R12*100</f>
        <v>#DIV/0!</v>
      </c>
      <c r="T66" s="28" t="e">
        <f>T12/'Summary-1990'!S12*100</f>
        <v>#DIV/0!</v>
      </c>
      <c r="U66" s="28" t="e">
        <f>U12/'Summary-1990'!T12*100</f>
        <v>#DIV/0!</v>
      </c>
      <c r="V66" s="28" t="e">
        <f>V12/'Summary-1990'!U12*100</f>
        <v>#DIV/0!</v>
      </c>
      <c r="W66" s="18"/>
      <c r="X66" s="18"/>
      <c r="Y66" s="18"/>
      <c r="Z66" s="18"/>
      <c r="AA66" s="18" t="str">
        <f>VLOOKUP($AB66,AA$2:$AB$52,2,FALSE)</f>
        <v>San Diego</v>
      </c>
      <c r="AB66" s="18">
        <f t="shared" si="13"/>
        <v>11</v>
      </c>
      <c r="AC66" s="18" t="str">
        <f>VLOOKUP($AB66,AC$2:$AI$52,8-AC$1/10,FALSE)</f>
        <v>New Orleans</v>
      </c>
      <c r="AD66" s="18" t="str">
        <f>VLOOKUP($AB66,AD$2:$AI$52,8-AD$1/10,FALSE)</f>
        <v>Salt Lake City</v>
      </c>
      <c r="AE66" s="18" t="str">
        <f>VLOOKUP($AB66,AE$2:$AI$52,8-AE$1/10,FALSE)</f>
        <v>Cincinnati</v>
      </c>
      <c r="AF66" s="18" t="str">
        <f>VLOOKUP($AB66,AF$2:$AI$52,8-AF$1/10,FALSE)</f>
        <v>Dallas</v>
      </c>
      <c r="AG66" s="18" t="e">
        <f>VLOOKUP($AB66,AG$2:$AI$52,8-AG$1/10,FALSE)</f>
        <v>#N/A</v>
      </c>
      <c r="AH66" s="18" t="e">
        <f>VLOOKUP($AB66,AH$2:$AI$52,8-AH$1/10,FALSE)</f>
        <v>#N/A</v>
      </c>
      <c r="AI66" s="18" t="str">
        <f t="shared" si="12"/>
        <v>San Diego</v>
      </c>
      <c r="AJ66" s="18"/>
    </row>
    <row r="67" spans="1:36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28" t="str">
        <f t="shared" si="11"/>
        <v>Denver</v>
      </c>
      <c r="L67" s="28">
        <f>L13/'Summary-1990'!L13*100</f>
        <v>7.5897076624604116</v>
      </c>
      <c r="M67" s="28">
        <f>Z13/'Summary-2010'!Y13*100</f>
        <v>-24.794326973938226</v>
      </c>
      <c r="N67" s="28">
        <f>N13/'Summary-1990'!M13*100</f>
        <v>-36.625622978178058</v>
      </c>
      <c r="O67" s="28">
        <f>O13/'Summary-1990'!N13*100</f>
        <v>-36.761894617534359</v>
      </c>
      <c r="P67" s="28">
        <f>P13/'Summary-1990'!O13*100</f>
        <v>60.004238891914966</v>
      </c>
      <c r="Q67" s="28" t="e">
        <f>Q13/'Summary-1990'!P13*100</f>
        <v>#DIV/0!</v>
      </c>
      <c r="R67" s="28" t="e">
        <f>R13/'Summary-1990'!Q13*100</f>
        <v>#DIV/0!</v>
      </c>
      <c r="S67" s="28" t="e">
        <f>S13/'Summary-1990'!R13*100</f>
        <v>#DIV/0!</v>
      </c>
      <c r="T67" s="28" t="e">
        <f>T13/'Summary-1990'!S13*100</f>
        <v>#DIV/0!</v>
      </c>
      <c r="U67" s="28" t="e">
        <f>U13/'Summary-1990'!T13*100</f>
        <v>#DIV/0!</v>
      </c>
      <c r="V67" s="28" t="e">
        <f>V13/'Summary-1990'!U13*100</f>
        <v>#DIV/0!</v>
      </c>
      <c r="W67" s="18"/>
      <c r="X67" s="18"/>
      <c r="Y67" s="18"/>
      <c r="Z67" s="18"/>
      <c r="AA67" s="18" t="str">
        <f>VLOOKUP($AB67,AA$2:$AB$52,2,FALSE)</f>
        <v>Phoenix</v>
      </c>
      <c r="AB67" s="18">
        <f t="shared" si="13"/>
        <v>12</v>
      </c>
      <c r="AC67" s="18" t="str">
        <f>VLOOKUP($AB67,AC$2:$AI$52,8-AC$1/10,FALSE)</f>
        <v>Orlando</v>
      </c>
      <c r="AD67" s="18" t="str">
        <f>VLOOKUP($AB67,AD$2:$AI$52,8-AD$1/10,FALSE)</f>
        <v>Nashville</v>
      </c>
      <c r="AE67" s="18" t="str">
        <f>VLOOKUP($AB67,AE$2:$AI$52,8-AE$1/10,FALSE)</f>
        <v>Las Vegas</v>
      </c>
      <c r="AF67" s="18" t="str">
        <f>VLOOKUP($AB67,AF$2:$AI$52,8-AF$1/10,FALSE)</f>
        <v>Portland</v>
      </c>
      <c r="AG67" s="18" t="e">
        <f>VLOOKUP($AB67,AG$2:$AI$52,8-AG$1/10,FALSE)</f>
        <v>#N/A</v>
      </c>
      <c r="AH67" s="18" t="e">
        <f>VLOOKUP($AB67,AH$2:$AI$52,8-AH$1/10,FALSE)</f>
        <v>#N/A</v>
      </c>
      <c r="AI67" s="18" t="str">
        <f t="shared" si="12"/>
        <v>Phoenix</v>
      </c>
      <c r="AJ67" s="18"/>
    </row>
    <row r="68" spans="1:36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28" t="str">
        <f t="shared" si="11"/>
        <v>Detroit</v>
      </c>
      <c r="L68" s="28">
        <f>L14/'Summary-1990'!L14*100</f>
        <v>-27.833432698040273</v>
      </c>
      <c r="M68" s="28">
        <f>Z14/'Summary-2010'!Y14*100</f>
        <v>-48.04768918103143</v>
      </c>
      <c r="N68" s="28">
        <f>N14/'Summary-1990'!M14*100</f>
        <v>-35.258392540648458</v>
      </c>
      <c r="O68" s="28">
        <f>O14/'Summary-1990'!N14*100</f>
        <v>-34.692400027452393</v>
      </c>
      <c r="P68" s="28">
        <f>P14/'Summary-1990'!O14*100</f>
        <v>-34.508164330009286</v>
      </c>
      <c r="Q68" s="28">
        <f>Q14/'Summary-1990'!P14*100</f>
        <v>-15.276574005500457</v>
      </c>
      <c r="R68" s="28" t="e">
        <f>R14/'Summary-1990'!Q14*100</f>
        <v>#DIV/0!</v>
      </c>
      <c r="S68" s="28" t="e">
        <f>S14/'Summary-1990'!R14*100</f>
        <v>#DIV/0!</v>
      </c>
      <c r="T68" s="28" t="e">
        <f>T14/'Summary-1990'!S14*100</f>
        <v>#DIV/0!</v>
      </c>
      <c r="U68" s="28" t="e">
        <f>U14/'Summary-1990'!T14*100</f>
        <v>#DIV/0!</v>
      </c>
      <c r="V68" s="28" t="e">
        <f>V14/'Summary-1990'!U14*100</f>
        <v>#DIV/0!</v>
      </c>
      <c r="W68" s="18"/>
      <c r="X68" s="18"/>
      <c r="Y68" s="18"/>
      <c r="Z68" s="18"/>
      <c r="AA68" s="18" t="str">
        <f>VLOOKUP($AB68,AA$2:$AB$52,2,FALSE)</f>
        <v>Austin</v>
      </c>
      <c r="AB68" s="18">
        <f t="shared" si="13"/>
        <v>13</v>
      </c>
      <c r="AC68" s="18" t="str">
        <f>VLOOKUP($AB68,AC$2:$AI$52,8-AC$1/10,FALSE)</f>
        <v>Nashville</v>
      </c>
      <c r="AD68" s="18" t="str">
        <f>VLOOKUP($AB68,AD$2:$AI$52,8-AD$1/10,FALSE)</f>
        <v>Oklahoma City</v>
      </c>
      <c r="AE68" s="18" t="str">
        <f>VLOOKUP($AB68,AE$2:$AI$52,8-AE$1/10,FALSE)</f>
        <v>Denver</v>
      </c>
      <c r="AF68" s="18" t="str">
        <f>VLOOKUP($AB68,AF$2:$AI$52,8-AF$1/10,FALSE)</f>
        <v>Cincinnati</v>
      </c>
      <c r="AG68" s="18" t="e">
        <f>VLOOKUP($AB68,AG$2:$AI$52,8-AG$1/10,FALSE)</f>
        <v>#N/A</v>
      </c>
      <c r="AH68" s="18" t="e">
        <f>VLOOKUP($AB68,AH$2:$AI$52,8-AH$1/10,FALSE)</f>
        <v>#N/A</v>
      </c>
      <c r="AI68" s="18" t="str">
        <f t="shared" si="12"/>
        <v>Austin</v>
      </c>
      <c r="AJ68" s="18"/>
    </row>
    <row r="69" spans="1:36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28" t="str">
        <f t="shared" si="11"/>
        <v>Grand Rapids</v>
      </c>
      <c r="L69" s="28">
        <f>L15/'Summary-1990'!L15*100</f>
        <v>-5.6228971200735218</v>
      </c>
      <c r="M69" s="28">
        <f>Z15/'Summary-2010'!Y15*100</f>
        <v>-16.259889507711261</v>
      </c>
      <c r="N69" s="28">
        <f>N15/'Summary-1990'!M15*100</f>
        <v>-29.994925674916296</v>
      </c>
      <c r="O69" s="28">
        <f>O15/'Summary-1990'!N15*100</f>
        <v>12.483422607210013</v>
      </c>
      <c r="P69" s="28" t="e">
        <f>P15/'Summary-1990'!O15*100</f>
        <v>#DIV/0!</v>
      </c>
      <c r="Q69" s="28" t="e">
        <f>Q15/'Summary-1990'!P15*100</f>
        <v>#DIV/0!</v>
      </c>
      <c r="R69" s="28" t="e">
        <f>R15/'Summary-1990'!Q15*100</f>
        <v>#DIV/0!</v>
      </c>
      <c r="S69" s="28" t="e">
        <f>S15/'Summary-1990'!R15*100</f>
        <v>#DIV/0!</v>
      </c>
      <c r="T69" s="28" t="e">
        <f>T15/'Summary-1990'!S15*100</f>
        <v>#DIV/0!</v>
      </c>
      <c r="U69" s="28" t="e">
        <f>U15/'Summary-1990'!T15*100</f>
        <v>#DIV/0!</v>
      </c>
      <c r="V69" s="28" t="e">
        <f>V15/'Summary-1990'!U15*100</f>
        <v>#DIV/0!</v>
      </c>
      <c r="W69" s="18"/>
      <c r="X69" s="18"/>
      <c r="Y69" s="18"/>
      <c r="Z69" s="18"/>
      <c r="AA69" s="18" t="str">
        <f>VLOOKUP($AB69,AA$2:$AB$52,2,FALSE)</f>
        <v>San Antonio</v>
      </c>
      <c r="AB69" s="18">
        <f t="shared" si="13"/>
        <v>14</v>
      </c>
      <c r="AC69" s="18" t="str">
        <f>VLOOKUP($AB69,AC$2:$AI$52,8-AC$1/10,FALSE)</f>
        <v>Phoenix</v>
      </c>
      <c r="AD69" s="18" t="str">
        <f>VLOOKUP($AB69,AD$2:$AI$52,8-AD$1/10,FALSE)</f>
        <v>Rochester</v>
      </c>
      <c r="AE69" s="18" t="str">
        <f>VLOOKUP($AB69,AE$2:$AI$52,8-AE$1/10,FALSE)</f>
        <v>Hartford</v>
      </c>
      <c r="AF69" s="18" t="str">
        <f>VLOOKUP($AB69,AF$2:$AI$52,8-AF$1/10,FALSE)</f>
        <v>Washington</v>
      </c>
      <c r="AG69" s="18" t="e">
        <f>VLOOKUP($AB69,AG$2:$AI$52,8-AG$1/10,FALSE)</f>
        <v>#N/A</v>
      </c>
      <c r="AH69" s="18" t="e">
        <f>VLOOKUP($AB69,AH$2:$AI$52,8-AH$1/10,FALSE)</f>
        <v>#N/A</v>
      </c>
      <c r="AI69" s="18" t="str">
        <f t="shared" si="12"/>
        <v>San Antonio</v>
      </c>
      <c r="AJ69" s="18"/>
    </row>
    <row r="70" spans="1:36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28" t="str">
        <f t="shared" si="11"/>
        <v>Virginia Beach</v>
      </c>
      <c r="L70" s="28">
        <f>L16/'Summary-1990'!L16*100</f>
        <v>-15.050379185091819</v>
      </c>
      <c r="M70" s="28">
        <f>Z16/'Summary-2010'!Y16*100</f>
        <v>-5.2600969522449494</v>
      </c>
      <c r="N70" s="28">
        <f>N16/'Summary-1990'!M16*100</f>
        <v>4.6125780916846288</v>
      </c>
      <c r="O70" s="28">
        <f>O16/'Summary-1990'!N16*100</f>
        <v>7.6496724831400105</v>
      </c>
      <c r="P70" s="28">
        <f>P16/'Summary-1990'!O16*100</f>
        <v>-35.763395868528221</v>
      </c>
      <c r="Q70" s="28" t="e">
        <f>Q16/'Summary-1990'!P16*100</f>
        <v>#DIV/0!</v>
      </c>
      <c r="R70" s="28" t="e">
        <f>R16/'Summary-1990'!Q16*100</f>
        <v>#DIV/0!</v>
      </c>
      <c r="S70" s="28" t="e">
        <f>S16/'Summary-1990'!R16*100</f>
        <v>#DIV/0!</v>
      </c>
      <c r="T70" s="28" t="e">
        <f>T16/'Summary-1990'!S16*100</f>
        <v>#DIV/0!</v>
      </c>
      <c r="U70" s="28" t="e">
        <f>U16/'Summary-1990'!T16*100</f>
        <v>#DIV/0!</v>
      </c>
      <c r="V70" s="28" t="e">
        <f>V16/'Summary-1990'!U16*100</f>
        <v>#DIV/0!</v>
      </c>
      <c r="W70" s="18"/>
      <c r="X70" s="18"/>
      <c r="Y70" s="18"/>
      <c r="Z70" s="18"/>
      <c r="AA70" s="18" t="str">
        <f>VLOOKUP($AB70,AA$2:$AB$52,2,FALSE)</f>
        <v>Dallas</v>
      </c>
      <c r="AB70" s="18">
        <f t="shared" si="13"/>
        <v>15</v>
      </c>
      <c r="AC70" s="18" t="str">
        <f>VLOOKUP($AB70,AC$2:$AI$52,8-AC$1/10,FALSE)</f>
        <v>Virginia Beach</v>
      </c>
      <c r="AD70" s="18" t="str">
        <f>VLOOKUP($AB70,AD$2:$AI$52,8-AD$1/10,FALSE)</f>
        <v>Orlando</v>
      </c>
      <c r="AE70" s="18" t="str">
        <f>VLOOKUP($AB70,AE$2:$AI$52,8-AE$1/10,FALSE)</f>
        <v>Memphis</v>
      </c>
      <c r="AF70" s="18" t="str">
        <f>VLOOKUP($AB70,AF$2:$AI$52,8-AF$1/10,FALSE)</f>
        <v>Austin</v>
      </c>
      <c r="AG70" s="18" t="e">
        <f>VLOOKUP($AB70,AG$2:$AI$52,8-AG$1/10,FALSE)</f>
        <v>#N/A</v>
      </c>
      <c r="AH70" s="18" t="e">
        <f>VLOOKUP($AB70,AH$2:$AI$52,8-AH$1/10,FALSE)</f>
        <v>#N/A</v>
      </c>
      <c r="AI70" s="18" t="str">
        <f t="shared" si="12"/>
        <v>Dallas</v>
      </c>
      <c r="AJ70" s="18"/>
    </row>
    <row r="71" spans="1:36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28" t="str">
        <f t="shared" si="11"/>
        <v>Hartford</v>
      </c>
      <c r="L71" s="28">
        <f>L17/'Summary-1990'!L17*100</f>
        <v>-5.8092172344026043</v>
      </c>
      <c r="M71" s="28">
        <f>Z17/'Summary-2010'!Y17*100</f>
        <v>-60.296328951787615</v>
      </c>
      <c r="N71" s="28">
        <f>N17/'Summary-1990'!M17*100</f>
        <v>-65.498389282882982</v>
      </c>
      <c r="O71" s="28">
        <f>O17/'Summary-1990'!N17*100</f>
        <v>-18.901895896652174</v>
      </c>
      <c r="P71" s="28" t="e">
        <f>P17/'Summary-1990'!O17*100</f>
        <v>#DIV/0!</v>
      </c>
      <c r="Q71" s="28" t="e">
        <f>Q17/'Summary-1990'!P17*100</f>
        <v>#DIV/0!</v>
      </c>
      <c r="R71" s="28" t="e">
        <f>R17/'Summary-1990'!Q17*100</f>
        <v>#DIV/0!</v>
      </c>
      <c r="S71" s="28" t="e">
        <f>S17/'Summary-1990'!R17*100</f>
        <v>#DIV/0!</v>
      </c>
      <c r="T71" s="28" t="e">
        <f>T17/'Summary-1990'!S17*100</f>
        <v>#DIV/0!</v>
      </c>
      <c r="U71" s="28" t="e">
        <f>U17/'Summary-1990'!T17*100</f>
        <v>#DIV/0!</v>
      </c>
      <c r="V71" s="28" t="e">
        <f>V17/'Summary-1990'!U17*100</f>
        <v>#DIV/0!</v>
      </c>
      <c r="W71" s="18"/>
      <c r="X71" s="18"/>
      <c r="Y71" s="18"/>
      <c r="Z71" s="18"/>
      <c r="AA71" s="18" t="str">
        <f>VLOOKUP($AB71,AA$2:$AB$52,2,FALSE)</f>
        <v>Houston</v>
      </c>
      <c r="AB71" s="18">
        <f t="shared" si="13"/>
        <v>16</v>
      </c>
      <c r="AC71" s="18" t="str">
        <f>VLOOKUP($AB71,AC$2:$AI$52,8-AC$1/10,FALSE)</f>
        <v>San Antonio</v>
      </c>
      <c r="AD71" s="18" t="str">
        <f>VLOOKUP($AB71,AD$2:$AI$52,8-AD$1/10,FALSE)</f>
        <v>Grand Rapids</v>
      </c>
      <c r="AE71" s="18" t="str">
        <f>VLOOKUP($AB71,AE$2:$AI$52,8-AE$1/10,FALSE)</f>
        <v>Cleveland</v>
      </c>
      <c r="AF71" s="18" t="e">
        <f>VLOOKUP($AB71,AF$2:$AI$52,8-AF$1/10,FALSE)</f>
        <v>#N/A</v>
      </c>
      <c r="AG71" s="18" t="e">
        <f>VLOOKUP($AB71,AG$2:$AI$52,8-AG$1/10,FALSE)</f>
        <v>#N/A</v>
      </c>
      <c r="AH71" s="18" t="e">
        <f>VLOOKUP($AB71,AH$2:$AI$52,8-AH$1/10,FALSE)</f>
        <v>#N/A</v>
      </c>
      <c r="AI71" s="18" t="str">
        <f t="shared" si="12"/>
        <v>Houston</v>
      </c>
      <c r="AJ71" s="18"/>
    </row>
    <row r="72" spans="1:36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28" t="str">
        <f t="shared" si="11"/>
        <v>Honolulu</v>
      </c>
      <c r="L72" s="28">
        <f>L18/'Summary-1990'!L18*100</f>
        <v>-23.218244735073757</v>
      </c>
      <c r="M72" s="28">
        <f>Z18/'Summary-2010'!Y18*100</f>
        <v>-51.327477586966694</v>
      </c>
      <c r="N72" s="28">
        <f>N18/'Summary-1990'!M18*100</f>
        <v>-52.295633556746601</v>
      </c>
      <c r="O72" s="28">
        <f>O18/'Summary-1990'!N18*100</f>
        <v>3.0982157721672174</v>
      </c>
      <c r="P72" s="28" t="e">
        <f>P18/'Summary-1990'!O18*100</f>
        <v>#DIV/0!</v>
      </c>
      <c r="Q72" s="28" t="e">
        <f>Q18/'Summary-1990'!P18*100</f>
        <v>#DIV/0!</v>
      </c>
      <c r="R72" s="28" t="e">
        <f>R18/'Summary-1990'!Q18*100</f>
        <v>#DIV/0!</v>
      </c>
      <c r="S72" s="28" t="e">
        <f>S18/'Summary-1990'!R18*100</f>
        <v>#DIV/0!</v>
      </c>
      <c r="T72" s="28" t="e">
        <f>T18/'Summary-1990'!S18*100</f>
        <v>#DIV/0!</v>
      </c>
      <c r="U72" s="28" t="e">
        <f>U18/'Summary-1990'!T18*100</f>
        <v>#DIV/0!</v>
      </c>
      <c r="V72" s="28" t="e">
        <f>V18/'Summary-1990'!U18*100</f>
        <v>#DIV/0!</v>
      </c>
      <c r="W72" s="18"/>
      <c r="X72" s="18"/>
      <c r="Y72" s="18"/>
      <c r="Z72" s="18"/>
      <c r="AA72" s="18" t="str">
        <f>VLOOKUP($AB72,AA$2:$AB$52,2,FALSE)</f>
        <v>Oklahoma City</v>
      </c>
      <c r="AB72" s="18">
        <f t="shared" si="13"/>
        <v>17</v>
      </c>
      <c r="AC72" s="18" t="str">
        <f>VLOOKUP($AB72,AC$2:$AI$52,8-AC$1/10,FALSE)</f>
        <v>Dallas</v>
      </c>
      <c r="AD72" s="18" t="str">
        <f>VLOOKUP($AB72,AD$2:$AI$52,8-AD$1/10,FALSE)</f>
        <v>Virginia Beach</v>
      </c>
      <c r="AE72" s="18" t="str">
        <f>VLOOKUP($AB72,AE$2:$AI$52,8-AE$1/10,FALSE)</f>
        <v>San Antonio</v>
      </c>
      <c r="AF72" s="18" t="e">
        <f>VLOOKUP($AB72,AF$2:$AI$52,8-AF$1/10,FALSE)</f>
        <v>#N/A</v>
      </c>
      <c r="AG72" s="18" t="e">
        <f>VLOOKUP($AB72,AG$2:$AI$52,8-AG$1/10,FALSE)</f>
        <v>#N/A</v>
      </c>
      <c r="AH72" s="18" t="e">
        <f>VLOOKUP($AB72,AH$2:$AI$52,8-AH$1/10,FALSE)</f>
        <v>#N/A</v>
      </c>
      <c r="AI72" s="18" t="str">
        <f t="shared" si="12"/>
        <v>Oklahoma City</v>
      </c>
      <c r="AJ72" s="18"/>
    </row>
    <row r="73" spans="1:36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28" t="str">
        <f t="shared" si="11"/>
        <v>Houston</v>
      </c>
      <c r="L73" s="28">
        <f>L19/'Summary-1990'!L19*100</f>
        <v>23.682915519753426</v>
      </c>
      <c r="M73" s="28">
        <f>Z19/'Summary-2010'!Y19*100</f>
        <v>6.0417071121098029</v>
      </c>
      <c r="N73" s="28">
        <f>N19/'Summary-1990'!M19*100</f>
        <v>-1.1420162239564773</v>
      </c>
      <c r="O73" s="28">
        <f>O19/'Summary-1990'!N19*100</f>
        <v>2.6578848573557967</v>
      </c>
      <c r="P73" s="28">
        <f>P19/'Summary-1990'!O19*100</f>
        <v>2.0969324028232394</v>
      </c>
      <c r="Q73" s="28">
        <f>Q19/'Summary-1990'!P19*100</f>
        <v>17.334204110106075</v>
      </c>
      <c r="R73" s="28" t="e">
        <f>R19/'Summary-1990'!Q19*100</f>
        <v>#DIV/0!</v>
      </c>
      <c r="S73" s="28" t="e">
        <f>S19/'Summary-1990'!R19*100</f>
        <v>#DIV/0!</v>
      </c>
      <c r="T73" s="28" t="e">
        <f>T19/'Summary-1990'!S19*100</f>
        <v>#DIV/0!</v>
      </c>
      <c r="U73" s="28" t="e">
        <f>U19/'Summary-1990'!T19*100</f>
        <v>#DIV/0!</v>
      </c>
      <c r="V73" s="28" t="e">
        <f>V19/'Summary-1990'!U19*100</f>
        <v>#DIV/0!</v>
      </c>
      <c r="W73" s="18"/>
      <c r="X73" s="18"/>
      <c r="Y73" s="18"/>
      <c r="Z73" s="18"/>
      <c r="AA73" s="18" t="str">
        <f>VLOOKUP($AB73,AA$2:$AB$52,2,FALSE)</f>
        <v>Salt Lake City</v>
      </c>
      <c r="AB73" s="18">
        <f t="shared" si="13"/>
        <v>18</v>
      </c>
      <c r="AC73" s="18" t="str">
        <f>VLOOKUP($AB73,AC$2:$AI$52,8-AC$1/10,FALSE)</f>
        <v>Houston</v>
      </c>
      <c r="AD73" s="18" t="str">
        <f>VLOOKUP($AB73,AD$2:$AI$52,8-AD$1/10,FALSE)</f>
        <v>San Antonio</v>
      </c>
      <c r="AE73" s="18" t="str">
        <f>VLOOKUP($AB73,AE$2:$AI$52,8-AE$1/10,FALSE)</f>
        <v>Louisville</v>
      </c>
      <c r="AF73" s="18" t="e">
        <f>VLOOKUP($AB73,AF$2:$AI$52,8-AF$1/10,FALSE)</f>
        <v>#N/A</v>
      </c>
      <c r="AG73" s="18" t="e">
        <f>VLOOKUP($AB73,AG$2:$AI$52,8-AG$1/10,FALSE)</f>
        <v>#N/A</v>
      </c>
      <c r="AH73" s="18" t="e">
        <f>VLOOKUP($AB73,AH$2:$AI$52,8-AH$1/10,FALSE)</f>
        <v>#N/A</v>
      </c>
      <c r="AI73" s="18" t="str">
        <f t="shared" si="12"/>
        <v>Salt Lake City</v>
      </c>
      <c r="AJ73" s="18"/>
    </row>
    <row r="74" spans="1:36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28" t="str">
        <f t="shared" si="11"/>
        <v>Indianapolis</v>
      </c>
      <c r="L74" s="28">
        <f>L20/'Summary-1990'!L20*100</f>
        <v>18.872555686583851</v>
      </c>
      <c r="M74" s="28">
        <f>Z20/'Summary-2010'!Y20*100</f>
        <v>-12.564855495416888</v>
      </c>
      <c r="N74" s="28">
        <f>N20/'Summary-1990'!M20*100</f>
        <v>-31.046677330427208</v>
      </c>
      <c r="O74" s="28">
        <f>O20/'Summary-1990'!N20*100</f>
        <v>-31.719232995963914</v>
      </c>
      <c r="P74" s="28">
        <f>P20/'Summary-1990'!O20*100</f>
        <v>227.46767500077439</v>
      </c>
      <c r="Q74" s="28" t="e">
        <f>Q20/'Summary-1990'!P20*100</f>
        <v>#DIV/0!</v>
      </c>
      <c r="R74" s="28" t="e">
        <f>R20/'Summary-1990'!Q20*100</f>
        <v>#DIV/0!</v>
      </c>
      <c r="S74" s="28" t="e">
        <f>S20/'Summary-1990'!R20*100</f>
        <v>#DIV/0!</v>
      </c>
      <c r="T74" s="28" t="e">
        <f>T20/'Summary-1990'!S20*100</f>
        <v>#DIV/0!</v>
      </c>
      <c r="U74" s="28" t="e">
        <f>U20/'Summary-1990'!T20*100</f>
        <v>#DIV/0!</v>
      </c>
      <c r="V74" s="28" t="e">
        <f>V20/'Summary-1990'!U20*100</f>
        <v>#DIV/0!</v>
      </c>
      <c r="W74" s="18"/>
      <c r="X74" s="18"/>
      <c r="Y74" s="18"/>
      <c r="Z74" s="18"/>
      <c r="AA74" s="18" t="str">
        <f>VLOOKUP($AB74,AA$2:$AB$52,2,FALSE)</f>
        <v>Louisville</v>
      </c>
      <c r="AB74" s="18">
        <f t="shared" si="13"/>
        <v>19</v>
      </c>
      <c r="AC74" s="18" t="str">
        <f>VLOOKUP($AB74,AC$2:$AI$52,8-AC$1/10,FALSE)</f>
        <v>Milwaukee</v>
      </c>
      <c r="AD74" s="18" t="str">
        <f>VLOOKUP($AB74,AD$2:$AI$52,8-AD$1/10,FALSE)</f>
        <v>Houston</v>
      </c>
      <c r="AE74" s="18" t="str">
        <f>VLOOKUP($AB74,AE$2:$AI$52,8-AE$1/10,FALSE)</f>
        <v>Nashville</v>
      </c>
      <c r="AF74" s="18" t="e">
        <f>VLOOKUP($AB74,AF$2:$AI$52,8-AF$1/10,FALSE)</f>
        <v>#N/A</v>
      </c>
      <c r="AG74" s="18" t="e">
        <f>VLOOKUP($AB74,AG$2:$AI$52,8-AG$1/10,FALSE)</f>
        <v>#N/A</v>
      </c>
      <c r="AH74" s="18" t="e">
        <f>VLOOKUP($AB74,AH$2:$AI$52,8-AH$1/10,FALSE)</f>
        <v>#N/A</v>
      </c>
      <c r="AI74" s="18" t="str">
        <f t="shared" si="12"/>
        <v>Louisville</v>
      </c>
      <c r="AJ74" s="18"/>
    </row>
    <row r="75" spans="1:36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28" t="str">
        <f t="shared" si="11"/>
        <v>Riverside</v>
      </c>
      <c r="L75" s="28">
        <f>L21/'Summary-1990'!L21*100</f>
        <v>24.821990395760889</v>
      </c>
      <c r="M75" s="28">
        <f>Z21/'Summary-2010'!Y21*100</f>
        <v>21.084349562608953</v>
      </c>
      <c r="N75" s="28">
        <f>N21/'Summary-1990'!M21*100</f>
        <v>31.306067925641507</v>
      </c>
      <c r="O75" s="28">
        <f>O21/'Summary-1990'!N21*100</f>
        <v>25.073135562906479</v>
      </c>
      <c r="P75" s="28">
        <f>P21/'Summary-1990'!O21*100</f>
        <v>21.138875908722273</v>
      </c>
      <c r="Q75" s="28" t="e">
        <f>Q21/'Summary-1990'!P21*100</f>
        <v>#DIV/0!</v>
      </c>
      <c r="R75" s="28" t="e">
        <f>R21/'Summary-1990'!Q21*100</f>
        <v>#DIV/0!</v>
      </c>
      <c r="S75" s="28" t="e">
        <f>S21/'Summary-1990'!R21*100</f>
        <v>#DIV/0!</v>
      </c>
      <c r="T75" s="28" t="e">
        <f>T21/'Summary-1990'!S21*100</f>
        <v>#DIV/0!</v>
      </c>
      <c r="U75" s="28" t="e">
        <f>U21/'Summary-1990'!T21*100</f>
        <v>#DIV/0!</v>
      </c>
      <c r="V75" s="28" t="e">
        <f>V21/'Summary-1990'!U21*100</f>
        <v>#DIV/0!</v>
      </c>
      <c r="W75" s="18"/>
      <c r="X75" s="18"/>
      <c r="Y75" s="18"/>
      <c r="Z75" s="18"/>
      <c r="AA75" s="18" t="str">
        <f>VLOOKUP($AB75,AA$2:$AB$52,2,FALSE)</f>
        <v>Virginia Beach</v>
      </c>
      <c r="AB75" s="18">
        <f t="shared" si="13"/>
        <v>20</v>
      </c>
      <c r="AC75" s="18" t="str">
        <f>VLOOKUP($AB75,AC$2:$AI$52,8-AC$1/10,FALSE)</f>
        <v>Austin</v>
      </c>
      <c r="AD75" s="18" t="str">
        <f>VLOOKUP($AB75,AD$2:$AI$52,8-AD$1/10,FALSE)</f>
        <v>Honolulu</v>
      </c>
      <c r="AE75" s="18" t="str">
        <f>VLOOKUP($AB75,AE$2:$AI$52,8-AE$1/10,FALSE)</f>
        <v>Raleigh</v>
      </c>
      <c r="AF75" s="18" t="e">
        <f>VLOOKUP($AB75,AF$2:$AI$52,8-AF$1/10,FALSE)</f>
        <v>#N/A</v>
      </c>
      <c r="AG75" s="18" t="e">
        <f>VLOOKUP($AB75,AG$2:$AI$52,8-AG$1/10,FALSE)</f>
        <v>#N/A</v>
      </c>
      <c r="AH75" s="18" t="e">
        <f>VLOOKUP($AB75,AH$2:$AI$52,8-AH$1/10,FALSE)</f>
        <v>#N/A</v>
      </c>
      <c r="AI75" s="18" t="str">
        <f t="shared" si="12"/>
        <v>Virginia Beach</v>
      </c>
      <c r="AJ75" s="18"/>
    </row>
    <row r="76" spans="1:3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28" t="str">
        <f t="shared" si="11"/>
        <v>Jacksonville</v>
      </c>
      <c r="L76" s="28">
        <f>L22/'Summary-1990'!L22*100</f>
        <v>93.889366993930821</v>
      </c>
      <c r="M76" s="28">
        <f>Z22/'Summary-2010'!Y22*100</f>
        <v>57.50658763960773</v>
      </c>
      <c r="N76" s="28">
        <f>N22/'Summary-1990'!M22*100</f>
        <v>183.08468790538541</v>
      </c>
      <c r="O76" s="28">
        <f>O22/'Summary-1990'!N22*100</f>
        <v>187.01170013530745</v>
      </c>
      <c r="P76" s="28">
        <f>P22/'Summary-1990'!O22*100</f>
        <v>20.917588737478813</v>
      </c>
      <c r="Q76" s="28" t="e">
        <f>Q22/'Summary-1990'!P22*100</f>
        <v>#DIV/0!</v>
      </c>
      <c r="R76" s="28" t="e">
        <f>R22/'Summary-1990'!Q22*100</f>
        <v>#DIV/0!</v>
      </c>
      <c r="S76" s="28" t="e">
        <f>S22/'Summary-1990'!R22*100</f>
        <v>#DIV/0!</v>
      </c>
      <c r="T76" s="28" t="e">
        <f>T22/'Summary-1990'!S22*100</f>
        <v>#DIV/0!</v>
      </c>
      <c r="U76" s="28" t="e">
        <f>U22/'Summary-1990'!T22*100</f>
        <v>#DIV/0!</v>
      </c>
      <c r="V76" s="28" t="e">
        <f>V22/'Summary-1990'!U22*100</f>
        <v>#DIV/0!</v>
      </c>
      <c r="W76" s="18"/>
      <c r="X76" s="18"/>
      <c r="Y76" s="18"/>
      <c r="Z76" s="18"/>
      <c r="AA76" s="18" t="str">
        <f>VLOOKUP($AB76,AA$2:$AB$52,2,FALSE)</f>
        <v>Milwaukee</v>
      </c>
      <c r="AB76" s="18">
        <f t="shared" si="13"/>
        <v>21</v>
      </c>
      <c r="AC76" s="18" t="str">
        <f>VLOOKUP($AB76,AC$2:$AI$52,8-AC$1/10,FALSE)</f>
        <v>Salt Lake City</v>
      </c>
      <c r="AD76" s="18" t="str">
        <f>VLOOKUP($AB76,AD$2:$AI$52,8-AD$1/10,FALSE)</f>
        <v>Dallas</v>
      </c>
      <c r="AE76" s="18" t="str">
        <f>VLOOKUP($AB76,AE$2:$AI$52,8-AE$1/10,FALSE)</f>
        <v>Riverside</v>
      </c>
      <c r="AF76" s="18" t="e">
        <f>VLOOKUP($AB76,AF$2:$AI$52,8-AF$1/10,FALSE)</f>
        <v>#N/A</v>
      </c>
      <c r="AG76" s="18" t="e">
        <f>VLOOKUP($AB76,AG$2:$AI$52,8-AG$1/10,FALSE)</f>
        <v>#N/A</v>
      </c>
      <c r="AH76" s="18" t="e">
        <f>VLOOKUP($AB76,AH$2:$AI$52,8-AH$1/10,FALSE)</f>
        <v>#N/A</v>
      </c>
      <c r="AI76" s="18" t="str">
        <f t="shared" si="12"/>
        <v>Milwaukee</v>
      </c>
      <c r="AJ76" s="18"/>
    </row>
    <row r="77" spans="1:36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28" t="str">
        <f t="shared" si="11"/>
        <v>Kansas City</v>
      </c>
      <c r="L77" s="28">
        <f>L23/'Summary-1990'!L23*100</f>
        <v>20.394938993321745</v>
      </c>
      <c r="M77" s="28">
        <f>Z23/'Summary-2010'!Y23*100</f>
        <v>26.705236928291832</v>
      </c>
      <c r="N77" s="28">
        <f>N23/'Summary-1990'!M23*100</f>
        <v>56.159845024887368</v>
      </c>
      <c r="O77" s="28">
        <f>O23/'Summary-1990'!N23*100</f>
        <v>53.181797874434835</v>
      </c>
      <c r="P77" s="28">
        <f>P23/'Summary-1990'!O23*100</f>
        <v>-0.19813025006586654</v>
      </c>
      <c r="Q77" s="28">
        <f>Q23/'Summary-1990'!P23*100</f>
        <v>-100</v>
      </c>
      <c r="R77" s="28" t="e">
        <f>R23/'Summary-1990'!Q23*100</f>
        <v>#DIV/0!</v>
      </c>
      <c r="S77" s="28" t="e">
        <f>S23/'Summary-1990'!R23*100</f>
        <v>#DIV/0!</v>
      </c>
      <c r="T77" s="28" t="e">
        <f>T23/'Summary-1990'!S23*100</f>
        <v>#DIV/0!</v>
      </c>
      <c r="U77" s="28" t="e">
        <f>U23/'Summary-1990'!T23*100</f>
        <v>#DIV/0!</v>
      </c>
      <c r="V77" s="28" t="e">
        <f>V23/'Summary-1990'!U23*100</f>
        <v>#DIV/0!</v>
      </c>
      <c r="W77" s="18"/>
      <c r="X77" s="18"/>
      <c r="Y77" s="18"/>
      <c r="Z77" s="18"/>
      <c r="AA77" s="18" t="str">
        <f>VLOOKUP($AB77,AA$2:$AB$52,2,FALSE)</f>
        <v>Memphis</v>
      </c>
      <c r="AB77" s="18">
        <f t="shared" si="13"/>
        <v>22</v>
      </c>
      <c r="AC77" s="18" t="str">
        <f>VLOOKUP($AB77,AC$2:$AI$52,8-AC$1/10,FALSE)</f>
        <v>Louisville</v>
      </c>
      <c r="AD77" s="18" t="str">
        <f>VLOOKUP($AB77,AD$2:$AI$52,8-AD$1/10,FALSE)</f>
        <v>Austin</v>
      </c>
      <c r="AE77" s="18" t="str">
        <f>VLOOKUP($AB77,AE$2:$AI$52,8-AE$1/10,FALSE)</f>
        <v>Jacksonville</v>
      </c>
      <c r="AF77" s="18" t="e">
        <f>VLOOKUP($AB77,AF$2:$AI$52,8-AF$1/10,FALSE)</f>
        <v>#N/A</v>
      </c>
      <c r="AG77" s="18" t="e">
        <f>VLOOKUP($AB77,AG$2:$AI$52,8-AG$1/10,FALSE)</f>
        <v>#N/A</v>
      </c>
      <c r="AH77" s="18" t="e">
        <f>VLOOKUP($AB77,AH$2:$AI$52,8-AH$1/10,FALSE)</f>
        <v>#N/A</v>
      </c>
      <c r="AI77" s="18" t="str">
        <f t="shared" si="12"/>
        <v>Memphis</v>
      </c>
      <c r="AJ77" s="18"/>
    </row>
    <row r="78" spans="1:36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28" t="str">
        <f t="shared" si="11"/>
        <v>Las Vegas</v>
      </c>
      <c r="L78" s="28">
        <f>L24/'Summary-1990'!L24*100</f>
        <v>97.203121295078788</v>
      </c>
      <c r="M78" s="28">
        <f>Z24/'Summary-2010'!Y24*100</f>
        <v>35.636787161957486</v>
      </c>
      <c r="N78" s="28">
        <f>N24/'Summary-1990'!M24*100</f>
        <v>22.535537740367285</v>
      </c>
      <c r="O78" s="28">
        <f>O24/'Summary-1990'!N24*100</f>
        <v>50.181567080678526</v>
      </c>
      <c r="P78" s="28" t="e">
        <f>P24/'Summary-1990'!O24*100</f>
        <v>#DIV/0!</v>
      </c>
      <c r="Q78" s="28" t="e">
        <f>Q24/'Summary-1990'!P24*100</f>
        <v>#DIV/0!</v>
      </c>
      <c r="R78" s="28" t="e">
        <f>R24/'Summary-1990'!Q24*100</f>
        <v>#DIV/0!</v>
      </c>
      <c r="S78" s="28" t="e">
        <f>S24/'Summary-1990'!R24*100</f>
        <v>#DIV/0!</v>
      </c>
      <c r="T78" s="28" t="e">
        <f>T24/'Summary-1990'!S24*100</f>
        <v>#DIV/0!</v>
      </c>
      <c r="U78" s="28" t="e">
        <f>U24/'Summary-1990'!T24*100</f>
        <v>#DIV/0!</v>
      </c>
      <c r="V78" s="28" t="e">
        <f>V24/'Summary-1990'!U24*100</f>
        <v>#DIV/0!</v>
      </c>
      <c r="W78" s="18"/>
      <c r="X78" s="18"/>
      <c r="Y78" s="18"/>
      <c r="Z78" s="18"/>
      <c r="AA78" s="18" t="str">
        <f>VLOOKUP($AB78,AA$2:$AB$52,2,FALSE)</f>
        <v>New Orleans</v>
      </c>
      <c r="AB78" s="18">
        <f t="shared" si="13"/>
        <v>23</v>
      </c>
      <c r="AC78" s="18" t="str">
        <f>VLOOKUP($AB78,AC$2:$AI$52,8-AC$1/10,FALSE)</f>
        <v>Tampa Bay</v>
      </c>
      <c r="AD78" s="18" t="str">
        <f>VLOOKUP($AB78,AD$2:$AI$52,8-AD$1/10,FALSE)</f>
        <v>Phoenix</v>
      </c>
      <c r="AE78" s="18" t="str">
        <f>VLOOKUP($AB78,AE$2:$AI$52,8-AE$1/10,FALSE)</f>
        <v>Buffalo</v>
      </c>
      <c r="AF78" s="18" t="e">
        <f>VLOOKUP($AB78,AF$2:$AI$52,8-AF$1/10,FALSE)</f>
        <v>#N/A</v>
      </c>
      <c r="AG78" s="18" t="e">
        <f>VLOOKUP($AB78,AG$2:$AI$52,8-AG$1/10,FALSE)</f>
        <v>#N/A</v>
      </c>
      <c r="AH78" s="18" t="e">
        <f>VLOOKUP($AB78,AH$2:$AI$52,8-AH$1/10,FALSE)</f>
        <v>#N/A</v>
      </c>
      <c r="AI78" s="18" t="str">
        <f t="shared" si="12"/>
        <v>New Orleans</v>
      </c>
      <c r="AJ78" s="18"/>
    </row>
    <row r="79" spans="1:36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28" t="str">
        <f t="shared" si="11"/>
        <v>Los Angeles</v>
      </c>
      <c r="L79" s="28">
        <f>L25/'Summary-1990'!L25*100</f>
        <v>-19.690802354814309</v>
      </c>
      <c r="M79" s="28">
        <f>Z25/'Summary-2010'!Y25*100</f>
        <v>36.11837084262028</v>
      </c>
      <c r="N79" s="28">
        <f>N25/'Summary-1990'!M25*100</f>
        <v>66.350597453079558</v>
      </c>
      <c r="O79" s="28">
        <f>O25/'Summary-1990'!N25*100</f>
        <v>84.749646056427025</v>
      </c>
      <c r="P79" s="28">
        <f>P25/'Summary-1990'!O25*100</f>
        <v>80.025743584964118</v>
      </c>
      <c r="Q79" s="28">
        <f>Q25/'Summary-1990'!P25*100</f>
        <v>79.870180250739679</v>
      </c>
      <c r="R79" s="28">
        <f>R25/'Summary-1990'!Q25*100</f>
        <v>-73.268303167661912</v>
      </c>
      <c r="S79" s="28">
        <f>S25/'Summary-1990'!R25*100</f>
        <v>-100</v>
      </c>
      <c r="T79" s="28">
        <f>T25/'Summary-1990'!S25*100</f>
        <v>-100</v>
      </c>
      <c r="U79" s="28" t="e">
        <f>U25/'Summary-1990'!T25*100</f>
        <v>#DIV/0!</v>
      </c>
      <c r="V79" s="28" t="e">
        <f>V25/'Summary-1990'!U25*100</f>
        <v>#DIV/0!</v>
      </c>
      <c r="W79" s="18"/>
      <c r="X79" s="18"/>
      <c r="Y79" s="18"/>
      <c r="Z79" s="18"/>
      <c r="AA79" s="18" t="str">
        <f>VLOOKUP($AB79,AA$2:$AB$52,2,FALSE)</f>
        <v>Tampa Bay</v>
      </c>
      <c r="AB79" s="18">
        <f t="shared" si="13"/>
        <v>24</v>
      </c>
      <c r="AC79" s="18" t="str">
        <f>VLOOKUP($AB79,AC$2:$AI$52,8-AC$1/10,FALSE)</f>
        <v>Washington</v>
      </c>
      <c r="AD79" s="18" t="str">
        <f>VLOOKUP($AB79,AD$2:$AI$52,8-AD$1/10,FALSE)</f>
        <v>Buffalo</v>
      </c>
      <c r="AE79" s="18" t="str">
        <f>VLOOKUP($AB79,AE$2:$AI$52,8-AE$1/10,FALSE)</f>
        <v>San Francisco</v>
      </c>
      <c r="AF79" s="18" t="e">
        <f>VLOOKUP($AB79,AF$2:$AI$52,8-AF$1/10,FALSE)</f>
        <v>#N/A</v>
      </c>
      <c r="AG79" s="18" t="e">
        <f>VLOOKUP($AB79,AG$2:$AI$52,8-AG$1/10,FALSE)</f>
        <v>#N/A</v>
      </c>
      <c r="AH79" s="18" t="e">
        <f>VLOOKUP($AB79,AH$2:$AI$52,8-AH$1/10,FALSE)</f>
        <v>#N/A</v>
      </c>
      <c r="AI79" s="18" t="str">
        <f t="shared" si="12"/>
        <v>Tampa Bay</v>
      </c>
      <c r="AJ79" s="18"/>
    </row>
    <row r="80" spans="1:36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28" t="str">
        <f t="shared" si="11"/>
        <v>Louisville</v>
      </c>
      <c r="L80" s="28">
        <f>L26/'Summary-1990'!L26*100</f>
        <v>15.244497354970951</v>
      </c>
      <c r="M80" s="28">
        <f>Z26/'Summary-2010'!Y26*100</f>
        <v>-2.0011198869507099</v>
      </c>
      <c r="N80" s="28">
        <f>N26/'Summary-1990'!M26*100</f>
        <v>-11.10264311288995</v>
      </c>
      <c r="O80" s="28">
        <f>O26/'Summary-1990'!N26*100</f>
        <v>-11.812478366440327</v>
      </c>
      <c r="P80" s="28">
        <f>P26/'Summary-1990'!O26*100</f>
        <v>1444.2112531504836</v>
      </c>
      <c r="Q80" s="28" t="e">
        <f>Q26/'Summary-1990'!P26*100</f>
        <v>#DIV/0!</v>
      </c>
      <c r="R80" s="28" t="e">
        <f>R26/'Summary-1990'!Q26*100</f>
        <v>#DIV/0!</v>
      </c>
      <c r="S80" s="28" t="e">
        <f>S26/'Summary-1990'!R26*100</f>
        <v>#DIV/0!</v>
      </c>
      <c r="T80" s="28" t="e">
        <f>T26/'Summary-1990'!S26*100</f>
        <v>#DIV/0!</v>
      </c>
      <c r="U80" s="28" t="e">
        <f>U26/'Summary-1990'!T26*100</f>
        <v>#DIV/0!</v>
      </c>
      <c r="V80" s="28" t="e">
        <f>V26/'Summary-1990'!U26*100</f>
        <v>#DIV/0!</v>
      </c>
      <c r="W80" s="18"/>
      <c r="X80" s="18"/>
      <c r="Y80" s="18"/>
      <c r="Z80" s="18"/>
      <c r="AA80" s="18" t="str">
        <f>VLOOKUP($AB80,AA$2:$AB$52,2,FALSE)</f>
        <v>Grand Rapids</v>
      </c>
      <c r="AB80" s="18">
        <f t="shared" si="13"/>
        <v>25</v>
      </c>
      <c r="AC80" s="18" t="str">
        <f>VLOOKUP($AB80,AC$2:$AI$52,8-AC$1/10,FALSE)</f>
        <v>Sacramento</v>
      </c>
      <c r="AD80" s="18" t="str">
        <f>VLOOKUP($AB80,AD$2:$AI$52,8-AD$1/10,FALSE)</f>
        <v>Milwaukee</v>
      </c>
      <c r="AE80" s="18" t="str">
        <f>VLOOKUP($AB80,AE$2:$AI$52,8-AE$1/10,FALSE)</f>
        <v>Phoenix</v>
      </c>
      <c r="AF80" s="18" t="e">
        <f>VLOOKUP($AB80,AF$2:$AI$52,8-AF$1/10,FALSE)</f>
        <v>#N/A</v>
      </c>
      <c r="AG80" s="18" t="e">
        <f>VLOOKUP($AB80,AG$2:$AI$52,8-AG$1/10,FALSE)</f>
        <v>#N/A</v>
      </c>
      <c r="AH80" s="18" t="e">
        <f>VLOOKUP($AB80,AH$2:$AI$52,8-AH$1/10,FALSE)</f>
        <v>#N/A</v>
      </c>
      <c r="AI80" s="18" t="str">
        <f t="shared" si="12"/>
        <v>Grand Rapids</v>
      </c>
      <c r="AJ80" s="18"/>
    </row>
    <row r="81" spans="1:36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28" t="str">
        <f t="shared" si="11"/>
        <v>Memphis</v>
      </c>
      <c r="L81" s="28">
        <f>L27/'Summary-1990'!L27*100</f>
        <v>13.593032257488785</v>
      </c>
      <c r="M81" s="28">
        <f>Z27/'Summary-2010'!Y27*100</f>
        <v>-9.519559000574743</v>
      </c>
      <c r="N81" s="28">
        <f>N27/'Summary-1990'!M27*100</f>
        <v>-22.279550087281969</v>
      </c>
      <c r="O81" s="28">
        <f>O27/'Summary-1990'!N27*100</f>
        <v>-19.974060072601116</v>
      </c>
      <c r="P81" s="28">
        <f>P27/'Summary-1990'!O27*100</f>
        <v>868.08593385331801</v>
      </c>
      <c r="Q81" s="28" t="e">
        <f>Q27/'Summary-1990'!P27*100</f>
        <v>#DIV/0!</v>
      </c>
      <c r="R81" s="28" t="e">
        <f>R27/'Summary-1990'!Q27*100</f>
        <v>#DIV/0!</v>
      </c>
      <c r="S81" s="28" t="e">
        <f>S27/'Summary-1990'!R27*100</f>
        <v>#DIV/0!</v>
      </c>
      <c r="T81" s="28" t="e">
        <f>T27/'Summary-1990'!S27*100</f>
        <v>#DIV/0!</v>
      </c>
      <c r="U81" s="28" t="e">
        <f>U27/'Summary-1990'!T27*100</f>
        <v>#DIV/0!</v>
      </c>
      <c r="V81" s="28" t="e">
        <f>V27/'Summary-1990'!U27*100</f>
        <v>#DIV/0!</v>
      </c>
      <c r="W81" s="18"/>
      <c r="X81" s="18"/>
      <c r="Y81" s="18"/>
      <c r="Z81" s="18"/>
      <c r="AA81" s="18" t="str">
        <f>VLOOKUP($AB81,AA$2:$AB$52,2,FALSE)</f>
        <v>Washington</v>
      </c>
      <c r="AB81" s="18">
        <f t="shared" si="13"/>
        <v>26</v>
      </c>
      <c r="AC81" s="18" t="str">
        <f>VLOOKUP($AB81,AC$2:$AI$52,8-AC$1/10,FALSE)</f>
        <v>Pittsburgh</v>
      </c>
      <c r="AD81" s="18" t="str">
        <f>VLOOKUP($AB81,AD$2:$AI$52,8-AD$1/10,FALSE)</f>
        <v>Tampa Bay</v>
      </c>
      <c r="AE81" s="18" t="str">
        <f>VLOOKUP($AB81,AE$2:$AI$52,8-AE$1/10,FALSE)</f>
        <v>San Diego</v>
      </c>
      <c r="AF81" s="18" t="e">
        <f>VLOOKUP($AB81,AF$2:$AI$52,8-AF$1/10,FALSE)</f>
        <v>#N/A</v>
      </c>
      <c r="AG81" s="18" t="e">
        <f>VLOOKUP($AB81,AG$2:$AI$52,8-AG$1/10,FALSE)</f>
        <v>#N/A</v>
      </c>
      <c r="AH81" s="18" t="e">
        <f>VLOOKUP($AB81,AH$2:$AI$52,8-AH$1/10,FALSE)</f>
        <v>#N/A</v>
      </c>
      <c r="AI81" s="18" t="str">
        <f t="shared" si="12"/>
        <v>Washington</v>
      </c>
      <c r="AJ81" s="18"/>
    </row>
    <row r="82" spans="1:36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28" t="str">
        <f t="shared" si="11"/>
        <v>Milwaukee</v>
      </c>
      <c r="L82" s="28">
        <f>L28/'Summary-1990'!L28*100</f>
        <v>-4.5904766341594714</v>
      </c>
      <c r="M82" s="28">
        <f>Z28/'Summary-2010'!Y28*100</f>
        <v>-4.0126457114301468</v>
      </c>
      <c r="N82" s="28">
        <f>N28/'Summary-1990'!M28*100</f>
        <v>-3.8252386560826008</v>
      </c>
      <c r="O82" s="28">
        <f>O28/'Summary-1990'!N28*100</f>
        <v>-2.8332903939050409</v>
      </c>
      <c r="P82" s="28">
        <f>P28/'Summary-1990'!O28*100</f>
        <v>-8.8717017502419129</v>
      </c>
      <c r="Q82" s="28" t="e">
        <f>Q28/'Summary-1990'!P28*100</f>
        <v>#DIV/0!</v>
      </c>
      <c r="R82" s="28" t="e">
        <f>R28/'Summary-1990'!Q28*100</f>
        <v>#DIV/0!</v>
      </c>
      <c r="S82" s="28" t="e">
        <f>S28/'Summary-1990'!R28*100</f>
        <v>#DIV/0!</v>
      </c>
      <c r="T82" s="28" t="e">
        <f>T28/'Summary-1990'!S28*100</f>
        <v>#DIV/0!</v>
      </c>
      <c r="U82" s="28" t="e">
        <f>U28/'Summary-1990'!T28*100</f>
        <v>#DIV/0!</v>
      </c>
      <c r="V82" s="28" t="e">
        <f>V28/'Summary-1990'!U28*100</f>
        <v>#DIV/0!</v>
      </c>
      <c r="W82" s="18"/>
      <c r="X82" s="18"/>
      <c r="Y82" s="18"/>
      <c r="Z82" s="18"/>
      <c r="AA82" s="18" t="str">
        <f>VLOOKUP($AB82,AA$2:$AB$52,2,FALSE)</f>
        <v>Indianapolis</v>
      </c>
      <c r="AB82" s="18">
        <f t="shared" si="13"/>
        <v>27</v>
      </c>
      <c r="AC82" s="18" t="str">
        <f>VLOOKUP($AB82,AC$2:$AI$52,8-AC$1/10,FALSE)</f>
        <v>Memphis</v>
      </c>
      <c r="AD82" s="18" t="str">
        <f>VLOOKUP($AB82,AD$2:$AI$52,8-AD$1/10,FALSE)</f>
        <v>Sacramento</v>
      </c>
      <c r="AE82" s="18" t="str">
        <f>VLOOKUP($AB82,AE$2:$AI$52,8-AE$1/10,FALSE)</f>
        <v>Houston</v>
      </c>
      <c r="AF82" s="18" t="e">
        <f>VLOOKUP($AB82,AF$2:$AI$52,8-AF$1/10,FALSE)</f>
        <v>#N/A</v>
      </c>
      <c r="AG82" s="18" t="e">
        <f>VLOOKUP($AB82,AG$2:$AI$52,8-AG$1/10,FALSE)</f>
        <v>#N/A</v>
      </c>
      <c r="AH82" s="18" t="e">
        <f>VLOOKUP($AB82,AH$2:$AI$52,8-AH$1/10,FALSE)</f>
        <v>#N/A</v>
      </c>
      <c r="AI82" s="18" t="str">
        <f t="shared" si="12"/>
        <v>Indianapolis</v>
      </c>
      <c r="AJ82" s="18"/>
    </row>
    <row r="83" spans="1:36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28" t="str">
        <f t="shared" si="11"/>
        <v>Minneapolis</v>
      </c>
      <c r="L83" s="28">
        <f>L29/'Summary-1990'!L29*100</f>
        <v>20.247181146874034</v>
      </c>
      <c r="M83" s="28">
        <f>Z29/'Summary-2010'!Y29*100</f>
        <v>31.982201392035115</v>
      </c>
      <c r="N83" s="28">
        <f>N29/'Summary-1990'!M29*100</f>
        <v>56.276179726984111</v>
      </c>
      <c r="O83" s="28">
        <f>O29/'Summary-1990'!N29*100</f>
        <v>61.12286044623022</v>
      </c>
      <c r="P83" s="28">
        <f>P29/'Summary-1990'!O29*100</f>
        <v>60.97642426503468</v>
      </c>
      <c r="Q83" s="28">
        <f>Q29/'Summary-1990'!P29*100</f>
        <v>-84.072893766601169</v>
      </c>
      <c r="R83" s="28" t="e">
        <f>R29/'Summary-1990'!Q29*100</f>
        <v>#DIV/0!</v>
      </c>
      <c r="S83" s="28" t="e">
        <f>S29/'Summary-1990'!R29*100</f>
        <v>#DIV/0!</v>
      </c>
      <c r="T83" s="28" t="e">
        <f>T29/'Summary-1990'!S29*100</f>
        <v>#DIV/0!</v>
      </c>
      <c r="U83" s="28" t="e">
        <f>U29/'Summary-1990'!T29*100</f>
        <v>#DIV/0!</v>
      </c>
      <c r="V83" s="28" t="e">
        <f>V29/'Summary-1990'!U29*100</f>
        <v>#DIV/0!</v>
      </c>
      <c r="W83" s="18"/>
      <c r="X83" s="18"/>
      <c r="Y83" s="18"/>
      <c r="Z83" s="18"/>
      <c r="AA83" s="18" t="str">
        <f>VLOOKUP($AB83,AA$2:$AB$52,2,FALSE)</f>
        <v>Sacramento</v>
      </c>
      <c r="AB83" s="18">
        <f t="shared" si="13"/>
        <v>28</v>
      </c>
      <c r="AC83" s="18" t="str">
        <f>VLOOKUP($AB83,AC$2:$AI$52,8-AC$1/10,FALSE)</f>
        <v>Atlanta</v>
      </c>
      <c r="AD83" s="18" t="str">
        <f>VLOOKUP($AB83,AD$2:$AI$52,8-AD$1/10,FALSE)</f>
        <v>Washington</v>
      </c>
      <c r="AE83" s="18" t="str">
        <f>VLOOKUP($AB83,AE$2:$AI$52,8-AE$1/10,FALSE)</f>
        <v>Dallas</v>
      </c>
      <c r="AF83" s="18" t="e">
        <f>VLOOKUP($AB83,AF$2:$AI$52,8-AF$1/10,FALSE)</f>
        <v>#N/A</v>
      </c>
      <c r="AG83" s="18" t="e">
        <f>VLOOKUP($AB83,AG$2:$AI$52,8-AG$1/10,FALSE)</f>
        <v>#N/A</v>
      </c>
      <c r="AH83" s="18" t="e">
        <f>VLOOKUP($AB83,AH$2:$AI$52,8-AH$1/10,FALSE)</f>
        <v>#N/A</v>
      </c>
      <c r="AI83" s="18" t="str">
        <f t="shared" si="12"/>
        <v>Sacramento</v>
      </c>
      <c r="AJ83" s="18"/>
    </row>
    <row r="84" spans="1:36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28" t="str">
        <f t="shared" si="11"/>
        <v>Nashville</v>
      </c>
      <c r="L84" s="28">
        <f>L30/'Summary-1990'!L30*100</f>
        <v>31.7152730287644</v>
      </c>
      <c r="M84" s="28">
        <f>Z30/'Summary-2010'!Y30*100</f>
        <v>20.492365038459564</v>
      </c>
      <c r="N84" s="28">
        <f>N30/'Summary-1990'!M30*100</f>
        <v>17.379096461374214</v>
      </c>
      <c r="O84" s="28">
        <f>O30/'Summary-1990'!N30*100</f>
        <v>23.82902103492567</v>
      </c>
      <c r="P84" s="28">
        <f>P30/'Summary-1990'!O30*100</f>
        <v>46.814173046613838</v>
      </c>
      <c r="Q84" s="28" t="e">
        <f>Q30/'Summary-1990'!P30*100</f>
        <v>#DIV/0!</v>
      </c>
      <c r="R84" s="28" t="e">
        <f>R30/'Summary-1990'!Q30*100</f>
        <v>#DIV/0!</v>
      </c>
      <c r="S84" s="28" t="e">
        <f>S30/'Summary-1990'!R30*100</f>
        <v>#DIV/0!</v>
      </c>
      <c r="T84" s="28" t="e">
        <f>T30/'Summary-1990'!S30*100</f>
        <v>#DIV/0!</v>
      </c>
      <c r="U84" s="28" t="e">
        <f>U30/'Summary-1990'!T30*100</f>
        <v>#DIV/0!</v>
      </c>
      <c r="V84" s="28" t="e">
        <f>V30/'Summary-1990'!U30*100</f>
        <v>#DIV/0!</v>
      </c>
      <c r="W84" s="18"/>
      <c r="X84" s="18"/>
      <c r="Y84" s="18"/>
      <c r="Z84" s="18"/>
      <c r="AA84" s="18" t="str">
        <f>VLOOKUP($AB84,AA$2:$AB$52,2,FALSE)</f>
        <v>Portland</v>
      </c>
      <c r="AB84" s="18">
        <f t="shared" si="13"/>
        <v>29</v>
      </c>
      <c r="AC84" s="18" t="str">
        <f>VLOOKUP($AB84,AC$2:$AI$52,8-AC$1/10,FALSE)</f>
        <v>Baltimore</v>
      </c>
      <c r="AD84" s="18" t="str">
        <f>VLOOKUP($AB84,AD$2:$AI$52,8-AD$1/10,FALSE)</f>
        <v>Louisville</v>
      </c>
      <c r="AE84" s="18" t="str">
        <f>VLOOKUP($AB84,AE$2:$AI$52,8-AE$1/10,FALSE)</f>
        <v>Grand Rapids</v>
      </c>
      <c r="AF84" s="18" t="e">
        <f>VLOOKUP($AB84,AF$2:$AI$52,8-AF$1/10,FALSE)</f>
        <v>#N/A</v>
      </c>
      <c r="AG84" s="18" t="e">
        <f>VLOOKUP($AB84,AG$2:$AI$52,8-AG$1/10,FALSE)</f>
        <v>#N/A</v>
      </c>
      <c r="AH84" s="18" t="e">
        <f>VLOOKUP($AB84,AH$2:$AI$52,8-AH$1/10,FALSE)</f>
        <v>#N/A</v>
      </c>
      <c r="AI84" s="18" t="str">
        <f t="shared" si="12"/>
        <v>Portland</v>
      </c>
      <c r="AJ84" s="18"/>
    </row>
    <row r="85" spans="1:36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28" t="str">
        <f t="shared" si="11"/>
        <v>New Orleans</v>
      </c>
      <c r="L85" s="28">
        <f>L31/'Summary-1990'!L31*100</f>
        <v>-13.335055932670981</v>
      </c>
      <c r="M85" s="28">
        <f>Z31/'Summary-2010'!Y31*100</f>
        <v>-7.9278937054878496</v>
      </c>
      <c r="N85" s="28">
        <f>N31/'Summary-1990'!M31*100</f>
        <v>11.859348243790059</v>
      </c>
      <c r="O85" s="28">
        <f>O31/'Summary-1990'!N31*100</f>
        <v>-21.93499848704645</v>
      </c>
      <c r="P85" s="28" t="e">
        <f>P31/'Summary-1990'!O31*100</f>
        <v>#DIV/0!</v>
      </c>
      <c r="Q85" s="28" t="e">
        <f>Q31/'Summary-1990'!P31*100</f>
        <v>#DIV/0!</v>
      </c>
      <c r="R85" s="28" t="e">
        <f>R31/'Summary-1990'!Q31*100</f>
        <v>#DIV/0!</v>
      </c>
      <c r="S85" s="28" t="e">
        <f>S31/'Summary-1990'!R31*100</f>
        <v>#DIV/0!</v>
      </c>
      <c r="T85" s="28" t="e">
        <f>T31/'Summary-1990'!S31*100</f>
        <v>#DIV/0!</v>
      </c>
      <c r="U85" s="28" t="e">
        <f>U31/'Summary-1990'!T31*100</f>
        <v>#DIV/0!</v>
      </c>
      <c r="V85" s="28" t="e">
        <f>V31/'Summary-1990'!U31*100</f>
        <v>#DIV/0!</v>
      </c>
      <c r="W85" s="18"/>
      <c r="X85" s="18"/>
      <c r="Y85" s="18"/>
      <c r="Z85" s="18"/>
      <c r="AA85" s="18" t="str">
        <f>VLOOKUP($AB85,AA$2:$AB$52,2,FALSE)</f>
        <v>Pittsburgh</v>
      </c>
      <c r="AB85" s="18">
        <f t="shared" si="13"/>
        <v>30</v>
      </c>
      <c r="AC85" s="18" t="str">
        <f>VLOOKUP($AB85,AC$2:$AI$52,8-AC$1/10,FALSE)</f>
        <v>Portland</v>
      </c>
      <c r="AD85" s="18" t="str">
        <f>VLOOKUP($AB85,AD$2:$AI$52,8-AD$1/10,FALSE)</f>
        <v>Hartford</v>
      </c>
      <c r="AE85" s="18" t="e">
        <f>VLOOKUP($AB85,AE$2:$AI$52,8-AE$1/10,FALSE)</f>
        <v>#N/A</v>
      </c>
      <c r="AF85" s="18" t="e">
        <f>VLOOKUP($AB85,AF$2:$AI$52,8-AF$1/10,FALSE)</f>
        <v>#N/A</v>
      </c>
      <c r="AG85" s="18" t="e">
        <f>VLOOKUP($AB85,AG$2:$AI$52,8-AG$1/10,FALSE)</f>
        <v>#N/A</v>
      </c>
      <c r="AH85" s="18" t="e">
        <f>VLOOKUP($AB85,AH$2:$AI$52,8-AH$1/10,FALSE)</f>
        <v>#N/A</v>
      </c>
      <c r="AI85" s="18" t="str">
        <f t="shared" si="12"/>
        <v>Pittsburgh</v>
      </c>
      <c r="AJ85" s="18"/>
    </row>
    <row r="86" spans="1:3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28" t="str">
        <f t="shared" si="11"/>
        <v>New York</v>
      </c>
      <c r="L86" s="28">
        <f>L32/'Summary-1990'!L32*100</f>
        <v>-14.936928050647023</v>
      </c>
      <c r="M86" s="28">
        <f>Z32/'Summary-2010'!Y32*100</f>
        <v>-25.607313135247757</v>
      </c>
      <c r="N86" s="28">
        <f>N32/'Summary-1990'!M32*100</f>
        <v>-22.377193370167046</v>
      </c>
      <c r="O86" s="28">
        <f>O32/'Summary-1990'!N32*100</f>
        <v>-20.935634685243159</v>
      </c>
      <c r="P86" s="28">
        <f>P32/'Summary-1990'!O32*100</f>
        <v>-19.948377731853554</v>
      </c>
      <c r="Q86" s="28">
        <f>Q32/'Summary-1990'!P32*100</f>
        <v>-19.396893041184949</v>
      </c>
      <c r="R86" s="28">
        <f>R32/'Summary-1990'!Q32*100</f>
        <v>-21.012983378387656</v>
      </c>
      <c r="S86" s="28">
        <f>S32/'Summary-1990'!R32*100</f>
        <v>-21.335011025145437</v>
      </c>
      <c r="T86" s="28">
        <f>T32/'Summary-1990'!S32*100</f>
        <v>92.867611609073535</v>
      </c>
      <c r="U86" s="28" t="e">
        <f>U32/'Summary-1990'!T32*100</f>
        <v>#DIV/0!</v>
      </c>
      <c r="V86" s="28" t="e">
        <f>V32/'Summary-1990'!U32*100</f>
        <v>#DIV/0!</v>
      </c>
      <c r="W86" s="18"/>
      <c r="X86" s="18"/>
      <c r="Y86" s="18"/>
      <c r="Z86" s="18"/>
      <c r="AA86" s="18" t="str">
        <f>VLOOKUP($AB86,AA$2:$AB$52,2,FALSE)</f>
        <v>Columbus</v>
      </c>
      <c r="AB86" s="18">
        <f t="shared" si="13"/>
        <v>31</v>
      </c>
      <c r="AC86" s="18" t="str">
        <f>VLOOKUP($AB86,AC$2:$AI$52,8-AC$1/10,FALSE)</f>
        <v>Indianapolis</v>
      </c>
      <c r="AD86" s="18" t="str">
        <f>VLOOKUP($AB86,AD$2:$AI$52,8-AD$1/10,FALSE)</f>
        <v>Memphis</v>
      </c>
      <c r="AE86" s="18" t="e">
        <f>VLOOKUP($AB86,AE$2:$AI$52,8-AE$1/10,FALSE)</f>
        <v>#N/A</v>
      </c>
      <c r="AF86" s="18" t="e">
        <f>VLOOKUP($AB86,AF$2:$AI$52,8-AF$1/10,FALSE)</f>
        <v>#N/A</v>
      </c>
      <c r="AG86" s="18" t="e">
        <f>VLOOKUP($AB86,AG$2:$AI$52,8-AG$1/10,FALSE)</f>
        <v>#N/A</v>
      </c>
      <c r="AH86" s="18" t="e">
        <f>VLOOKUP($AB86,AH$2:$AI$52,8-AH$1/10,FALSE)</f>
        <v>#N/A</v>
      </c>
      <c r="AI86" s="18" t="str">
        <f t="shared" si="12"/>
        <v>Columbus</v>
      </c>
      <c r="AJ86" s="18"/>
    </row>
    <row r="87" spans="1:36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28" t="str">
        <f t="shared" si="11"/>
        <v>Oklahoma City</v>
      </c>
      <c r="L87" s="28">
        <f>L33/'Summary-1990'!L33*100</f>
        <v>0.58473036199075568</v>
      </c>
      <c r="M87" s="28">
        <f>Z33/'Summary-2010'!Y33*100</f>
        <v>12.10391995449138</v>
      </c>
      <c r="N87" s="28">
        <f>N33/'Summary-1990'!M33*100</f>
        <v>24.169460230727672</v>
      </c>
      <c r="O87" s="28">
        <f>O33/'Summary-1990'!N33*100</f>
        <v>26.38199165457296</v>
      </c>
      <c r="P87" s="28">
        <f>P33/'Summary-1990'!O33*100</f>
        <v>-38.716542369340267</v>
      </c>
      <c r="Q87" s="28" t="e">
        <f>Q33/'Summary-1990'!P33*100</f>
        <v>#DIV/0!</v>
      </c>
      <c r="R87" s="28" t="e">
        <f>R33/'Summary-1990'!Q33*100</f>
        <v>#DIV/0!</v>
      </c>
      <c r="S87" s="28" t="e">
        <f>S33/'Summary-1990'!R33*100</f>
        <v>#DIV/0!</v>
      </c>
      <c r="T87" s="28" t="e">
        <f>T33/'Summary-1990'!S33*100</f>
        <v>#DIV/0!</v>
      </c>
      <c r="U87" s="28" t="e">
        <f>U33/'Summary-1990'!T33*100</f>
        <v>#DIV/0!</v>
      </c>
      <c r="V87" s="28" t="e">
        <f>V33/'Summary-1990'!U33*100</f>
        <v>#DIV/0!</v>
      </c>
      <c r="W87" s="18"/>
      <c r="X87" s="18"/>
      <c r="Y87" s="18"/>
      <c r="Z87" s="18"/>
      <c r="AA87" s="18" t="str">
        <f>VLOOKUP($AB87,AA$2:$AB$52,2,FALSE)</f>
        <v>Baltimore</v>
      </c>
      <c r="AB87" s="18">
        <f t="shared" si="13"/>
        <v>32</v>
      </c>
      <c r="AC87" s="18" t="str">
        <f>VLOOKUP($AB87,AC$2:$AI$52,8-AC$1/10,FALSE)</f>
        <v>Seattle</v>
      </c>
      <c r="AD87" s="18" t="str">
        <f>VLOOKUP($AB87,AD$2:$AI$52,8-AD$1/10,FALSE)</f>
        <v>Pittsburgh</v>
      </c>
      <c r="AE87" s="18" t="e">
        <f>VLOOKUP($AB87,AE$2:$AI$52,8-AE$1/10,FALSE)</f>
        <v>#N/A</v>
      </c>
      <c r="AF87" s="18" t="e">
        <f>VLOOKUP($AB87,AF$2:$AI$52,8-AF$1/10,FALSE)</f>
        <v>#N/A</v>
      </c>
      <c r="AG87" s="18" t="e">
        <f>VLOOKUP($AB87,AG$2:$AI$52,8-AG$1/10,FALSE)</f>
        <v>#N/A</v>
      </c>
      <c r="AH87" s="18" t="e">
        <f>VLOOKUP($AB87,AH$2:$AI$52,8-AH$1/10,FALSE)</f>
        <v>#N/A</v>
      </c>
      <c r="AI87" s="18" t="str">
        <f t="shared" si="12"/>
        <v>Baltimore</v>
      </c>
      <c r="AJ87" s="18"/>
    </row>
    <row r="88" spans="1:36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28" t="str">
        <f t="shared" ref="K88:K106" si="14">A34</f>
        <v>Orlando</v>
      </c>
      <c r="L88" s="28">
        <f>L34/'Summary-1990'!L34*100</f>
        <v>53.532526800706059</v>
      </c>
      <c r="M88" s="28">
        <f>Z34/'Summary-2010'!Y34*100</f>
        <v>24.831758894426219</v>
      </c>
      <c r="N88" s="28">
        <f>N34/'Summary-1990'!M34*100</f>
        <v>15.184513228390772</v>
      </c>
      <c r="O88" s="28">
        <f>O34/'Summary-1990'!N34*100</f>
        <v>16.96976840185291</v>
      </c>
      <c r="P88" s="28">
        <f>P34/'Summary-1990'!O34*100</f>
        <v>120.32958013708944</v>
      </c>
      <c r="Q88" s="28" t="e">
        <f>Q34/'Summary-1990'!P34*100</f>
        <v>#DIV/0!</v>
      </c>
      <c r="R88" s="28" t="e">
        <f>R34/'Summary-1990'!Q34*100</f>
        <v>#DIV/0!</v>
      </c>
      <c r="S88" s="28" t="e">
        <f>S34/'Summary-1990'!R34*100</f>
        <v>#DIV/0!</v>
      </c>
      <c r="T88" s="28" t="e">
        <f>T34/'Summary-1990'!S34*100</f>
        <v>#DIV/0!</v>
      </c>
      <c r="U88" s="28" t="e">
        <f>U34/'Summary-1990'!T34*100</f>
        <v>#DIV/0!</v>
      </c>
      <c r="V88" s="28" t="e">
        <f>V34/'Summary-1990'!U34*100</f>
        <v>#DIV/0!</v>
      </c>
      <c r="W88" s="18"/>
      <c r="X88" s="18"/>
      <c r="Y88" s="18"/>
      <c r="Z88" s="18"/>
      <c r="AA88" s="18" t="str">
        <f>VLOOKUP($AB88,AA$2:$AB$52,2,FALSE)</f>
        <v>Atlanta</v>
      </c>
      <c r="AB88" s="18">
        <f t="shared" si="13"/>
        <v>33</v>
      </c>
      <c r="AC88" s="18" t="str">
        <f>VLOOKUP($AB88,AC$2:$AI$52,8-AC$1/10,FALSE)</f>
        <v>Grand Rapids</v>
      </c>
      <c r="AD88" s="18" t="str">
        <f>VLOOKUP($AB88,AD$2:$AI$52,8-AD$1/10,FALSE)</f>
        <v>Baltimore</v>
      </c>
      <c r="AE88" s="18" t="e">
        <f>VLOOKUP($AB88,AE$2:$AI$52,8-AE$1/10,FALSE)</f>
        <v>#N/A</v>
      </c>
      <c r="AF88" s="18" t="e">
        <f>VLOOKUP($AB88,AF$2:$AI$52,8-AF$1/10,FALSE)</f>
        <v>#N/A</v>
      </c>
      <c r="AG88" s="18" t="e">
        <f>VLOOKUP($AB88,AG$2:$AI$52,8-AG$1/10,FALSE)</f>
        <v>#N/A</v>
      </c>
      <c r="AH88" s="18" t="e">
        <f>VLOOKUP($AB88,AH$2:$AI$52,8-AH$1/10,FALSE)</f>
        <v>#N/A</v>
      </c>
      <c r="AI88" s="18" t="str">
        <f t="shared" si="12"/>
        <v>Atlanta</v>
      </c>
      <c r="AJ88" s="18"/>
    </row>
    <row r="89" spans="1:36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28" t="str">
        <f t="shared" si="14"/>
        <v>Philadelphia</v>
      </c>
      <c r="L89" s="28">
        <f>L35/'Summary-1990'!L35*100</f>
        <v>-13.357319734360626</v>
      </c>
      <c r="M89" s="28">
        <f>Z35/'Summary-2010'!Y35*100</f>
        <v>-95.989621074542328</v>
      </c>
      <c r="N89" s="28">
        <f>N35/'Summary-1990'!M35*100</f>
        <v>-58.142776239030916</v>
      </c>
      <c r="O89" s="28">
        <f>O35/'Summary-1990'!N35*100</f>
        <v>-57.106040241335741</v>
      </c>
      <c r="P89" s="28">
        <f>P35/'Summary-1990'!O35*100</f>
        <v>-57.849082440568935</v>
      </c>
      <c r="Q89" s="28">
        <f>Q35/'Summary-1990'!P35*100</f>
        <v>-10.443221532704337</v>
      </c>
      <c r="R89" s="28" t="e">
        <f>R35/'Summary-1990'!Q35*100</f>
        <v>#DIV/0!</v>
      </c>
      <c r="S89" s="28" t="e">
        <f>S35/'Summary-1990'!R35*100</f>
        <v>#DIV/0!</v>
      </c>
      <c r="T89" s="28" t="e">
        <f>T35/'Summary-1990'!S35*100</f>
        <v>#DIV/0!</v>
      </c>
      <c r="U89" s="28" t="e">
        <f>U35/'Summary-1990'!T35*100</f>
        <v>#DIV/0!</v>
      </c>
      <c r="V89" s="28" t="e">
        <f>V35/'Summary-1990'!U35*100</f>
        <v>#DIV/0!</v>
      </c>
      <c r="W89" s="18"/>
      <c r="X89" s="18"/>
      <c r="Y89" s="18"/>
      <c r="Z89" s="18"/>
      <c r="AA89" s="18" t="str">
        <f>VLOOKUP($AB89,AA$2:$AB$52,2,FALSE)</f>
        <v>Cincinnati</v>
      </c>
      <c r="AB89" s="18">
        <f t="shared" si="13"/>
        <v>34</v>
      </c>
      <c r="AC89" s="18" t="str">
        <f>VLOOKUP($AB89,AC$2:$AI$52,8-AC$1/10,FALSE)</f>
        <v>New York</v>
      </c>
      <c r="AD89" s="18" t="str">
        <f>VLOOKUP($AB89,AD$2:$AI$52,8-AD$1/10,FALSE)</f>
        <v>New Orleans</v>
      </c>
      <c r="AE89" s="18" t="str">
        <f>VLOOKUP($AB89,AE$2:$AI$52,8-AE$1/10,FALSE)</f>
        <v>Kansas City</v>
      </c>
      <c r="AF89" s="18" t="e">
        <f>VLOOKUP($AB89,AF$2:$AI$52,8-AF$1/10,FALSE)</f>
        <v>#N/A</v>
      </c>
      <c r="AG89" s="18" t="e">
        <f>VLOOKUP($AB89,AG$2:$AI$52,8-AG$1/10,FALSE)</f>
        <v>#N/A</v>
      </c>
      <c r="AH89" s="18" t="e">
        <f>VLOOKUP($AB89,AH$2:$AI$52,8-AH$1/10,FALSE)</f>
        <v>#N/A</v>
      </c>
      <c r="AI89" s="18" t="str">
        <f t="shared" si="12"/>
        <v>Cincinnati</v>
      </c>
      <c r="AJ89" s="18"/>
    </row>
    <row r="90" spans="1:36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28" t="str">
        <f t="shared" si="14"/>
        <v>Phoenix</v>
      </c>
      <c r="L90" s="28">
        <f>L36/'Summary-1990'!L36*100</f>
        <v>45.847094064696769</v>
      </c>
      <c r="M90" s="28">
        <f>Z36/'Summary-2010'!Y36*100</f>
        <v>12.102122035428359</v>
      </c>
      <c r="N90" s="28">
        <f>N36/'Summary-1990'!M36*100</f>
        <v>4.1405234982697454</v>
      </c>
      <c r="O90" s="28">
        <f>O36/'Summary-1990'!N36*100</f>
        <v>-3.4009361564550832E-2</v>
      </c>
      <c r="P90" s="28">
        <f>P36/'Summary-1990'!O36*100</f>
        <v>5.1640332279943628</v>
      </c>
      <c r="Q90" s="28">
        <f>Q36/'Summary-1990'!P36*100</f>
        <v>720.36664992789724</v>
      </c>
      <c r="R90" s="28" t="e">
        <f>R36/'Summary-1990'!Q36*100</f>
        <v>#DIV/0!</v>
      </c>
      <c r="S90" s="28" t="e">
        <f>S36/'Summary-1990'!R36*100</f>
        <v>#DIV/0!</v>
      </c>
      <c r="T90" s="28" t="e">
        <f>T36/'Summary-1990'!S36*100</f>
        <v>#DIV/0!</v>
      </c>
      <c r="U90" s="28" t="e">
        <f>U36/'Summary-1990'!T36*100</f>
        <v>#DIV/0!</v>
      </c>
      <c r="V90" s="28" t="e">
        <f>V36/'Summary-1990'!U36*100</f>
        <v>#DIV/0!</v>
      </c>
      <c r="W90" s="18"/>
      <c r="X90" s="18"/>
      <c r="Y90" s="18"/>
      <c r="Z90" s="18"/>
      <c r="AA90" s="18" t="str">
        <f>VLOOKUP($AB90,AA$2:$AB$52,2,FALSE)</f>
        <v>Denver</v>
      </c>
      <c r="AB90" s="18">
        <f t="shared" si="13"/>
        <v>35</v>
      </c>
      <c r="AC90" s="18" t="str">
        <f>VLOOKUP($AB90,AC$2:$AI$52,8-AC$1/10,FALSE)</f>
        <v>St. Louis</v>
      </c>
      <c r="AD90" s="18" t="str">
        <f>VLOOKUP($AB90,AD$2:$AI$52,8-AD$1/10,FALSE)</f>
        <v>Atlanta</v>
      </c>
      <c r="AE90" s="18" t="str">
        <f>VLOOKUP($AB90,AE$2:$AI$52,8-AE$1/10,FALSE)</f>
        <v>Sacramento</v>
      </c>
      <c r="AF90" s="18" t="e">
        <f>VLOOKUP($AB90,AF$2:$AI$52,8-AF$1/10,FALSE)</f>
        <v>#N/A</v>
      </c>
      <c r="AG90" s="18" t="e">
        <f>VLOOKUP($AB90,AG$2:$AI$52,8-AG$1/10,FALSE)</f>
        <v>#N/A</v>
      </c>
      <c r="AH90" s="18" t="e">
        <f>VLOOKUP($AB90,AH$2:$AI$52,8-AH$1/10,FALSE)</f>
        <v>#N/A</v>
      </c>
      <c r="AI90" s="18" t="str">
        <f t="shared" si="12"/>
        <v>Denver</v>
      </c>
      <c r="AJ90" s="18"/>
    </row>
    <row r="91" spans="1:36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28" t="str">
        <f t="shared" si="14"/>
        <v>Pittsburgh</v>
      </c>
      <c r="L91" s="28">
        <f>L37/'Summary-1990'!L37*100</f>
        <v>7.8213342202197556</v>
      </c>
      <c r="M91" s="28">
        <f>Z37/'Summary-2010'!Y37*100</f>
        <v>-18.594776794605856</v>
      </c>
      <c r="N91" s="28">
        <f>N37/'Summary-1990'!M37*100</f>
        <v>-24.20643030079896</v>
      </c>
      <c r="O91" s="28">
        <f>O37/'Summary-1990'!N37*100</f>
        <v>-23.555411193279213</v>
      </c>
      <c r="P91" s="28">
        <f>P37/'Summary-1990'!O37*100</f>
        <v>-23.225812600030451</v>
      </c>
      <c r="Q91" s="28">
        <f>Q37/'Summary-1990'!P37*100</f>
        <v>3293.6210533228686</v>
      </c>
      <c r="R91" s="28" t="e">
        <f>R37/'Summary-1990'!Q37*100</f>
        <v>#DIV/0!</v>
      </c>
      <c r="S91" s="28" t="e">
        <f>S37/'Summary-1990'!R37*100</f>
        <v>#DIV/0!</v>
      </c>
      <c r="T91" s="28" t="e">
        <f>T37/'Summary-1990'!S37*100</f>
        <v>#DIV/0!</v>
      </c>
      <c r="U91" s="28" t="e">
        <f>U37/'Summary-1990'!T37*100</f>
        <v>#DIV/0!</v>
      </c>
      <c r="V91" s="28" t="e">
        <f>V37/'Summary-1990'!U37*100</f>
        <v>#DIV/0!</v>
      </c>
      <c r="W91" s="18"/>
      <c r="X91" s="18"/>
      <c r="Y91" s="18"/>
      <c r="Z91" s="18"/>
      <c r="AA91" s="18" t="str">
        <f>VLOOKUP($AB91,AA$2:$AB$52,2,FALSE)</f>
        <v>Raleigh</v>
      </c>
      <c r="AB91" s="18">
        <f t="shared" si="13"/>
        <v>36</v>
      </c>
      <c r="AC91" s="18" t="str">
        <f>VLOOKUP($AB91,AC$2:$AI$52,8-AC$1/10,FALSE)</f>
        <v>Detroit</v>
      </c>
      <c r="AD91" s="18" t="str">
        <f>VLOOKUP($AB91,AD$2:$AI$52,8-AD$1/10,FALSE)</f>
        <v>Columbus</v>
      </c>
      <c r="AE91" s="18" t="str">
        <f>VLOOKUP($AB91,AE$2:$AI$52,8-AE$1/10,FALSE)</f>
        <v>Milwaukee</v>
      </c>
      <c r="AF91" s="18" t="e">
        <f>VLOOKUP($AB91,AF$2:$AI$52,8-AF$1/10,FALSE)</f>
        <v>#N/A</v>
      </c>
      <c r="AG91" s="18" t="e">
        <f>VLOOKUP($AB91,AG$2:$AI$52,8-AG$1/10,FALSE)</f>
        <v>#N/A</v>
      </c>
      <c r="AH91" s="18" t="e">
        <f>VLOOKUP($AB91,AH$2:$AI$52,8-AH$1/10,FALSE)</f>
        <v>#N/A</v>
      </c>
      <c r="AI91" s="18" t="str">
        <f t="shared" si="12"/>
        <v>Raleigh</v>
      </c>
      <c r="AJ91" s="18"/>
    </row>
    <row r="92" spans="1:36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8" t="str">
        <f t="shared" si="14"/>
        <v>Portland</v>
      </c>
      <c r="L92" s="28">
        <f>L38/'Summary-1990'!L38*100</f>
        <v>20.18710008667664</v>
      </c>
      <c r="M92" s="28">
        <f>Z38/'Summary-2010'!Y38*100</f>
        <v>-12.993713312980489</v>
      </c>
      <c r="N92" s="28">
        <f>N38/'Summary-1990'!M38*100</f>
        <v>-30.256887106007795</v>
      </c>
      <c r="O92" s="28">
        <f>O38/'Summary-1990'!N38*100</f>
        <v>-32.313846658155107</v>
      </c>
      <c r="P92" s="28">
        <f>P38/'Summary-1990'!O38*100</f>
        <v>101.20995312483284</v>
      </c>
      <c r="Q92" s="28" t="e">
        <f>Q38/'Summary-1990'!P38*100</f>
        <v>#DIV/0!</v>
      </c>
      <c r="R92" s="28" t="e">
        <f>R38/'Summary-1990'!Q38*100</f>
        <v>#DIV/0!</v>
      </c>
      <c r="S92" s="28" t="e">
        <f>S38/'Summary-1990'!R38*100</f>
        <v>#DIV/0!</v>
      </c>
      <c r="T92" s="28" t="e">
        <f>T38/'Summary-1990'!S38*100</f>
        <v>#DIV/0!</v>
      </c>
      <c r="U92" s="28" t="e">
        <f>U38/'Summary-1990'!T38*100</f>
        <v>#DIV/0!</v>
      </c>
      <c r="V92" s="28" t="e">
        <f>V38/'Summary-1990'!U38*100</f>
        <v>#DIV/0!</v>
      </c>
      <c r="W92" s="18"/>
      <c r="X92" s="18"/>
      <c r="Y92" s="18"/>
      <c r="Z92" s="18"/>
      <c r="AA92" s="18" t="str">
        <f>VLOOKUP($AB92,AA$2:$AB$52,2,FALSE)</f>
        <v>Rochester</v>
      </c>
      <c r="AB92" s="18">
        <f t="shared" si="13"/>
        <v>37</v>
      </c>
      <c r="AC92" s="18" t="str">
        <f>VLOOKUP($AB92,AC$2:$AI$52,8-AC$1/10,FALSE)</f>
        <v>Cincinnati</v>
      </c>
      <c r="AD92" s="18" t="str">
        <f>VLOOKUP($AB92,AD$2:$AI$52,8-AD$1/10,FALSE)</f>
        <v>Providence</v>
      </c>
      <c r="AE92" s="18" t="str">
        <f>VLOOKUP($AB92,AE$2:$AI$52,8-AE$1/10,FALSE)</f>
        <v>Baltimore</v>
      </c>
      <c r="AF92" s="18" t="e">
        <f>VLOOKUP($AB92,AF$2:$AI$52,8-AF$1/10,FALSE)</f>
        <v>#N/A</v>
      </c>
      <c r="AG92" s="18" t="e">
        <f>VLOOKUP($AB92,AG$2:$AI$52,8-AG$1/10,FALSE)</f>
        <v>#N/A</v>
      </c>
      <c r="AH92" s="18" t="e">
        <f>VLOOKUP($AB92,AH$2:$AI$52,8-AH$1/10,FALSE)</f>
        <v>#N/A</v>
      </c>
      <c r="AI92" s="18" t="str">
        <f t="shared" si="12"/>
        <v>Rochester</v>
      </c>
      <c r="AJ92" s="18"/>
    </row>
    <row r="93" spans="1:36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28" t="str">
        <f t="shared" si="14"/>
        <v>Providence</v>
      </c>
      <c r="L93" s="28">
        <f>L39/'Summary-1990'!L39*100</f>
        <v>8.4148508816379888</v>
      </c>
      <c r="M93" s="28">
        <f>Z39/'Summary-2010'!Y39*100</f>
        <v>-39.656832204492339</v>
      </c>
      <c r="N93" s="28">
        <f>N39/'Summary-1990'!M39*100</f>
        <v>-56.419372526781586</v>
      </c>
      <c r="O93" s="28">
        <f>O39/'Summary-1990'!N39*100</f>
        <v>-29.831672549313186</v>
      </c>
      <c r="P93" s="28" t="e">
        <f>P39/'Summary-1990'!O39*100</f>
        <v>#DIV/0!</v>
      </c>
      <c r="Q93" s="28" t="e">
        <f>Q39/'Summary-1990'!P39*100</f>
        <v>#DIV/0!</v>
      </c>
      <c r="R93" s="28" t="e">
        <f>R39/'Summary-1990'!Q39*100</f>
        <v>#DIV/0!</v>
      </c>
      <c r="S93" s="28" t="e">
        <f>S39/'Summary-1990'!R39*100</f>
        <v>#DIV/0!</v>
      </c>
      <c r="T93" s="28" t="e">
        <f>T39/'Summary-1990'!S39*100</f>
        <v>#DIV/0!</v>
      </c>
      <c r="U93" s="28" t="e">
        <f>U39/'Summary-1990'!T39*100</f>
        <v>#DIV/0!</v>
      </c>
      <c r="V93" s="28" t="e">
        <f>V39/'Summary-1990'!U39*100</f>
        <v>#DIV/0!</v>
      </c>
      <c r="W93" s="18"/>
      <c r="X93" s="18"/>
      <c r="Y93" s="18"/>
      <c r="Z93" s="18"/>
      <c r="AA93" s="18" t="str">
        <f>VLOOKUP($AB93,AA$2:$AB$52,2,FALSE)</f>
        <v>Providence</v>
      </c>
      <c r="AB93" s="18">
        <f t="shared" si="13"/>
        <v>38</v>
      </c>
      <c r="AC93" s="18" t="str">
        <f>VLOOKUP($AB93,AC$2:$AI$52,8-AC$1/10,FALSE)</f>
        <v>Chicago</v>
      </c>
      <c r="AD93" s="18" t="str">
        <f>VLOOKUP($AB93,AD$2:$AI$52,8-AD$1/10,FALSE)</f>
        <v>Seattle</v>
      </c>
      <c r="AE93" s="18" t="str">
        <f>VLOOKUP($AB93,AE$2:$AI$52,8-AE$1/10,FALSE)</f>
        <v>Tampa Bay</v>
      </c>
      <c r="AF93" s="18" t="e">
        <f>VLOOKUP($AB93,AF$2:$AI$52,8-AF$1/10,FALSE)</f>
        <v>#N/A</v>
      </c>
      <c r="AG93" s="18" t="e">
        <f>VLOOKUP($AB93,AG$2:$AI$52,8-AG$1/10,FALSE)</f>
        <v>#N/A</v>
      </c>
      <c r="AH93" s="18" t="e">
        <f>VLOOKUP($AB93,AH$2:$AI$52,8-AH$1/10,FALSE)</f>
        <v>#N/A</v>
      </c>
      <c r="AI93" s="18" t="str">
        <f t="shared" si="12"/>
        <v>Providence</v>
      </c>
      <c r="AJ93" s="18"/>
    </row>
    <row r="94" spans="1:36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28" t="str">
        <f t="shared" si="14"/>
        <v>Raleigh</v>
      </c>
      <c r="L94" s="28">
        <f>L40/'Summary-1990'!L40*100</f>
        <v>2.7310414534864811</v>
      </c>
      <c r="M94" s="28">
        <f>Z40/'Summary-2010'!Y40*100</f>
        <v>-43.633510710932484</v>
      </c>
      <c r="N94" s="28">
        <f>N40/'Summary-1990'!M40*100</f>
        <v>-64.497333166587481</v>
      </c>
      <c r="O94" s="28">
        <f>O40/'Summary-1990'!N40*100</f>
        <v>29.467206665981283</v>
      </c>
      <c r="P94" s="28" t="e">
        <f>P40/'Summary-1990'!O40*100</f>
        <v>#DIV/0!</v>
      </c>
      <c r="Q94" s="28" t="e">
        <f>Q40/'Summary-1990'!P40*100</f>
        <v>#DIV/0!</v>
      </c>
      <c r="R94" s="28" t="e">
        <f>R40/'Summary-1990'!Q40*100</f>
        <v>#DIV/0!</v>
      </c>
      <c r="S94" s="28" t="e">
        <f>S40/'Summary-1990'!R40*100</f>
        <v>#DIV/0!</v>
      </c>
      <c r="T94" s="28" t="e">
        <f>T40/'Summary-1990'!S40*100</f>
        <v>#DIV/0!</v>
      </c>
      <c r="U94" s="28" t="e">
        <f>U40/'Summary-1990'!T40*100</f>
        <v>#DIV/0!</v>
      </c>
      <c r="V94" s="28" t="e">
        <f>V40/'Summary-1990'!U40*100</f>
        <v>#DIV/0!</v>
      </c>
      <c r="W94" s="18"/>
      <c r="X94" s="18"/>
      <c r="Y94" s="18"/>
      <c r="Z94" s="18"/>
      <c r="AA94" s="18" t="str">
        <f>VLOOKUP($AB94,AA$2:$AB$52,2,FALSE)</f>
        <v>Seattle</v>
      </c>
      <c r="AB94" s="18">
        <f t="shared" si="13"/>
        <v>39</v>
      </c>
      <c r="AC94" s="18" t="str">
        <f>VLOOKUP($AB94,AC$2:$AI$52,8-AC$1/10,FALSE)</f>
        <v>Denver</v>
      </c>
      <c r="AD94" s="18" t="str">
        <f>VLOOKUP($AB94,AD$2:$AI$52,8-AD$1/10,FALSE)</f>
        <v>Indianapolis</v>
      </c>
      <c r="AE94" s="18" t="str">
        <f>VLOOKUP($AB94,AE$2:$AI$52,8-AE$1/10,FALSE)</f>
        <v>Oklahoma City</v>
      </c>
      <c r="AF94" s="18" t="e">
        <f>VLOOKUP($AB94,AF$2:$AI$52,8-AF$1/10,FALSE)</f>
        <v>#N/A</v>
      </c>
      <c r="AG94" s="18" t="e">
        <f>VLOOKUP($AB94,AG$2:$AI$52,8-AG$1/10,FALSE)</f>
        <v>#N/A</v>
      </c>
      <c r="AH94" s="18" t="e">
        <f>VLOOKUP($AB94,AH$2:$AI$52,8-AH$1/10,FALSE)</f>
        <v>#N/A</v>
      </c>
      <c r="AI94" s="18" t="str">
        <f t="shared" si="12"/>
        <v>Seattle</v>
      </c>
      <c r="AJ94" s="18"/>
    </row>
    <row r="95" spans="1:36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28" t="str">
        <f t="shared" si="14"/>
        <v>Rochester</v>
      </c>
      <c r="L95" s="28">
        <f>L41/'Summary-1990'!L41*100</f>
        <v>-13.787445453167093</v>
      </c>
      <c r="M95" s="28">
        <f>Z41/'Summary-2010'!Y41*100</f>
        <v>-38.06385829670765</v>
      </c>
      <c r="N95" s="28">
        <f>N41/'Summary-1990'!M41*100</f>
        <v>-52.408209140466241</v>
      </c>
      <c r="O95" s="28">
        <f>O41/'Summary-1990'!N41*100</f>
        <v>18.165679658924891</v>
      </c>
      <c r="P95" s="28" t="e">
        <f>P41/'Summary-1990'!O41*100</f>
        <v>#DIV/0!</v>
      </c>
      <c r="Q95" s="28" t="e">
        <f>Q41/'Summary-1990'!P41*100</f>
        <v>#DIV/0!</v>
      </c>
      <c r="R95" s="28" t="e">
        <f>R41/'Summary-1990'!Q41*100</f>
        <v>#DIV/0!</v>
      </c>
      <c r="S95" s="28" t="e">
        <f>S41/'Summary-1990'!R41*100</f>
        <v>#DIV/0!</v>
      </c>
      <c r="T95" s="28" t="e">
        <f>T41/'Summary-1990'!S41*100</f>
        <v>#DIV/0!</v>
      </c>
      <c r="U95" s="28" t="e">
        <f>U41/'Summary-1990'!T41*100</f>
        <v>#DIV/0!</v>
      </c>
      <c r="V95" s="28" t="e">
        <f>V41/'Summary-1990'!U41*100</f>
        <v>#DIV/0!</v>
      </c>
      <c r="W95" s="18"/>
      <c r="X95" s="18"/>
      <c r="Y95" s="18"/>
      <c r="Z95" s="18"/>
      <c r="AA95" s="18" t="str">
        <f>VLOOKUP($AB95,AA$2:$AB$52,2,FALSE)</f>
        <v>Honolulu</v>
      </c>
      <c r="AB95" s="18">
        <f t="shared" si="13"/>
        <v>40</v>
      </c>
      <c r="AC95" s="18" t="str">
        <f>VLOOKUP($AB95,AC$2:$AI$52,8-AC$1/10,FALSE)</f>
        <v>Columbus</v>
      </c>
      <c r="AD95" s="18" t="str">
        <f>VLOOKUP($AB95,AD$2:$AI$52,8-AD$1/10,FALSE)</f>
        <v>Portland</v>
      </c>
      <c r="AE95" s="18" t="str">
        <f>VLOOKUP($AB95,AE$2:$AI$52,8-AE$1/10,FALSE)</f>
        <v>Washington</v>
      </c>
      <c r="AF95" s="18" t="e">
        <f>VLOOKUP($AB95,AF$2:$AI$52,8-AF$1/10,FALSE)</f>
        <v>#N/A</v>
      </c>
      <c r="AG95" s="18" t="e">
        <f>VLOOKUP($AB95,AG$2:$AI$52,8-AG$1/10,FALSE)</f>
        <v>#N/A</v>
      </c>
      <c r="AH95" s="18" t="e">
        <f>VLOOKUP($AB95,AH$2:$AI$52,8-AH$1/10,FALSE)</f>
        <v>#N/A</v>
      </c>
      <c r="AI95" s="18" t="str">
        <f t="shared" si="12"/>
        <v>Honolulu</v>
      </c>
      <c r="AJ95" s="18"/>
    </row>
    <row r="96" spans="1:3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28" t="str">
        <f t="shared" si="14"/>
        <v>Sacramento</v>
      </c>
      <c r="L96" s="28">
        <f>L42/'Summary-1990'!L42*100</f>
        <v>-9.4580469279606909</v>
      </c>
      <c r="M96" s="28">
        <f>Z42/'Summary-2010'!Y42*100</f>
        <v>-12.596139663293544</v>
      </c>
      <c r="N96" s="28">
        <f>N42/'Summary-1990'!M42*100</f>
        <v>-14.770947364995651</v>
      </c>
      <c r="O96" s="28">
        <f>O42/'Summary-1990'!N42*100</f>
        <v>-9.9480671427041187</v>
      </c>
      <c r="P96" s="28">
        <f>P42/'Summary-1990'!O42*100</f>
        <v>-5.0117206051559462</v>
      </c>
      <c r="Q96" s="28" t="e">
        <f>Q42/'Summary-1990'!P42*100</f>
        <v>#DIV/0!</v>
      </c>
      <c r="R96" s="28" t="e">
        <f>R42/'Summary-1990'!Q42*100</f>
        <v>#DIV/0!</v>
      </c>
      <c r="S96" s="28" t="e">
        <f>S42/'Summary-1990'!R42*100</f>
        <v>#DIV/0!</v>
      </c>
      <c r="T96" s="28" t="e">
        <f>T42/'Summary-1990'!S42*100</f>
        <v>#DIV/0!</v>
      </c>
      <c r="U96" s="28" t="e">
        <f>U42/'Summary-1990'!T42*100</f>
        <v>#DIV/0!</v>
      </c>
      <c r="V96" s="28" t="e">
        <f>V42/'Summary-1990'!U42*100</f>
        <v>#DIV/0!</v>
      </c>
      <c r="W96" s="18"/>
      <c r="X96" s="18"/>
      <c r="Y96" s="18"/>
      <c r="Z96" s="18"/>
      <c r="AA96" s="18" t="str">
        <f>VLOOKUP($AB96,AA$2:$AB$52,2,FALSE)</f>
        <v>Buffalo</v>
      </c>
      <c r="AB96" s="18">
        <f t="shared" si="13"/>
        <v>41</v>
      </c>
      <c r="AC96" s="18" t="str">
        <f>VLOOKUP($AB96,AC$2:$AI$52,8-AC$1/10,FALSE)</f>
        <v>Boston</v>
      </c>
      <c r="AD96" s="18" t="str">
        <f>VLOOKUP($AB96,AD$2:$AI$52,8-AD$1/10,FALSE)</f>
        <v>New York</v>
      </c>
      <c r="AE96" s="18" t="str">
        <f>VLOOKUP($AB96,AE$2:$AI$52,8-AE$1/10,FALSE)</f>
        <v>Pittsburgh</v>
      </c>
      <c r="AF96" s="18" t="e">
        <f>VLOOKUP($AB96,AF$2:$AI$52,8-AF$1/10,FALSE)</f>
        <v>#N/A</v>
      </c>
      <c r="AG96" s="18" t="e">
        <f>VLOOKUP($AB96,AG$2:$AI$52,8-AG$1/10,FALSE)</f>
        <v>#N/A</v>
      </c>
      <c r="AH96" s="18" t="e">
        <f>VLOOKUP($AB96,AH$2:$AI$52,8-AH$1/10,FALSE)</f>
        <v>#N/A</v>
      </c>
      <c r="AI96" s="18" t="str">
        <f t="shared" si="12"/>
        <v>Buffalo</v>
      </c>
      <c r="AJ96" s="18"/>
    </row>
    <row r="97" spans="1:36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28" t="str">
        <f t="shared" si="14"/>
        <v>Salt Lake City</v>
      </c>
      <c r="L97" s="28">
        <f>L43/'Summary-1990'!L43*100</f>
        <v>9.7674292461686871</v>
      </c>
      <c r="M97" s="28">
        <f>Z43/'Summary-2010'!Y43*100</f>
        <v>5.078750239689005</v>
      </c>
      <c r="N97" s="28">
        <f>N43/'Summary-1990'!M43*100</f>
        <v>-6.5189360020213156</v>
      </c>
      <c r="O97" s="28">
        <f>O43/'Summary-1990'!N43*100</f>
        <v>16.869037901878695</v>
      </c>
      <c r="P97" s="28" t="e">
        <f>P43/'Summary-1990'!O43*100</f>
        <v>#DIV/0!</v>
      </c>
      <c r="Q97" s="28" t="e">
        <f>Q43/'Summary-1990'!P43*100</f>
        <v>#DIV/0!</v>
      </c>
      <c r="R97" s="28" t="e">
        <f>R43/'Summary-1990'!Q43*100</f>
        <v>#DIV/0!</v>
      </c>
      <c r="S97" s="28" t="e">
        <f>S43/'Summary-1990'!R43*100</f>
        <v>#DIV/0!</v>
      </c>
      <c r="T97" s="28" t="e">
        <f>T43/'Summary-1990'!S43*100</f>
        <v>#DIV/0!</v>
      </c>
      <c r="U97" s="28" t="e">
        <f>U43/'Summary-1990'!T43*100</f>
        <v>#DIV/0!</v>
      </c>
      <c r="V97" s="28" t="e">
        <f>V43/'Summary-1990'!U43*100</f>
        <v>#DIV/0!</v>
      </c>
      <c r="W97" s="18"/>
      <c r="X97" s="18"/>
      <c r="Y97" s="18"/>
      <c r="Z97" s="18"/>
      <c r="AA97" s="18" t="str">
        <f>VLOOKUP($AB97,AA$2:$AB$52,2,FALSE)</f>
        <v>Charlotte</v>
      </c>
      <c r="AB97" s="18">
        <f t="shared" si="13"/>
        <v>42</v>
      </c>
      <c r="AC97" s="18" t="str">
        <f>VLOOKUP($AB97,AC$2:$AI$52,8-AC$1/10,FALSE)</f>
        <v>Providence</v>
      </c>
      <c r="AD97" s="18" t="str">
        <f>VLOOKUP($AB97,AD$2:$AI$52,8-AD$1/10,FALSE)</f>
        <v>Charlotte</v>
      </c>
      <c r="AE97" s="18" t="str">
        <f>VLOOKUP($AB97,AE$2:$AI$52,8-AE$1/10,FALSE)</f>
        <v>Virginia Beach</v>
      </c>
      <c r="AF97" s="18" t="e">
        <f>VLOOKUP($AB97,AF$2:$AI$52,8-AF$1/10,FALSE)</f>
        <v>#N/A</v>
      </c>
      <c r="AG97" s="18" t="e">
        <f>VLOOKUP($AB97,AG$2:$AI$52,8-AG$1/10,FALSE)</f>
        <v>#N/A</v>
      </c>
      <c r="AH97" s="18" t="e">
        <f>VLOOKUP($AB97,AH$2:$AI$52,8-AH$1/10,FALSE)</f>
        <v>#N/A</v>
      </c>
      <c r="AI97" s="18" t="str">
        <f t="shared" si="12"/>
        <v>Charlotte</v>
      </c>
      <c r="AJ97" s="18"/>
    </row>
    <row r="98" spans="1:36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28" t="str">
        <f t="shared" si="14"/>
        <v>San Antonio</v>
      </c>
      <c r="L98" s="28">
        <f>L44/'Summary-1990'!L44*100</f>
        <v>26.184004540111637</v>
      </c>
      <c r="M98" s="28">
        <f>Z44/'Summary-2010'!Y44*100</f>
        <v>11.57314858863205</v>
      </c>
      <c r="N98" s="28">
        <f>N44/'Summary-1990'!M44*100</f>
        <v>1.4385407056164727</v>
      </c>
      <c r="O98" s="28">
        <f>O44/'Summary-1990'!N44*100</f>
        <v>5.1868150492985539</v>
      </c>
      <c r="P98" s="28">
        <f>P44/'Summary-1990'!O44*100</f>
        <v>81.463816565342142</v>
      </c>
      <c r="Q98" s="28" t="e">
        <f>Q44/'Summary-1990'!P44*100</f>
        <v>#DIV/0!</v>
      </c>
      <c r="R98" s="28" t="e">
        <f>R44/'Summary-1990'!Q44*100</f>
        <v>#DIV/0!</v>
      </c>
      <c r="S98" s="28" t="e">
        <f>S44/'Summary-1990'!R44*100</f>
        <v>#DIV/0!</v>
      </c>
      <c r="T98" s="28" t="e">
        <f>T44/'Summary-1990'!S44*100</f>
        <v>#DIV/0!</v>
      </c>
      <c r="U98" s="28" t="e">
        <f>U44/'Summary-1990'!T44*100</f>
        <v>#DIV/0!</v>
      </c>
      <c r="V98" s="28" t="e">
        <f>V44/'Summary-1990'!U44*100</f>
        <v>#DIV/0!</v>
      </c>
      <c r="W98" s="18"/>
      <c r="X98" s="18"/>
      <c r="Y98" s="18"/>
      <c r="Z98" s="18"/>
      <c r="AA98" s="18" t="str">
        <f>VLOOKUP($AB98,AA$2:$AB$52,2,FALSE)</f>
        <v>St. Louis</v>
      </c>
      <c r="AB98" s="18">
        <f t="shared" si="13"/>
        <v>43</v>
      </c>
      <c r="AC98" s="18" t="str">
        <f>VLOOKUP($AB98,AC$2:$AI$52,8-AC$1/10,FALSE)</f>
        <v>Honolulu</v>
      </c>
      <c r="AD98" s="18" t="str">
        <f>VLOOKUP($AB98,AD$2:$AI$52,8-AD$1/10,FALSE)</f>
        <v>Detroit</v>
      </c>
      <c r="AE98" s="18" t="str">
        <f>VLOOKUP($AB98,AE$2:$AI$52,8-AE$1/10,FALSE)</f>
        <v>Atlanta</v>
      </c>
      <c r="AF98" s="18" t="str">
        <f>VLOOKUP($AB98,AF$2:$AI$52,8-AF$1/10,FALSE)</f>
        <v>Kansas City</v>
      </c>
      <c r="AG98" s="18" t="e">
        <f>VLOOKUP($AB98,AG$2:$AI$52,8-AG$1/10,FALSE)</f>
        <v>#N/A</v>
      </c>
      <c r="AH98" s="18" t="e">
        <f>VLOOKUP($AB98,AH$2:$AI$52,8-AH$1/10,FALSE)</f>
        <v>#N/A</v>
      </c>
      <c r="AI98" s="18" t="str">
        <f t="shared" si="12"/>
        <v>St. Louis</v>
      </c>
      <c r="AJ98" s="18"/>
    </row>
    <row r="99" spans="1:36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28" t="str">
        <f t="shared" si="14"/>
        <v>San Diego</v>
      </c>
      <c r="L99" s="28">
        <f>L45/'Summary-1990'!L45*100</f>
        <v>-10.493918465336959</v>
      </c>
      <c r="M99" s="28">
        <f>Z45/'Summary-2010'!Y45*100</f>
        <v>11.421753607974896</v>
      </c>
      <c r="N99" s="28">
        <f>N45/'Summary-1990'!M45*100</f>
        <v>26.203447324379521</v>
      </c>
      <c r="O99" s="28">
        <f>O45/'Summary-1990'!N45*100</f>
        <v>29.673988707091127</v>
      </c>
      <c r="P99" s="28">
        <f>P45/'Summary-1990'!O45*100</f>
        <v>2.6207177319439579</v>
      </c>
      <c r="Q99" s="28">
        <f>Q45/'Summary-1990'!P45*100</f>
        <v>-100</v>
      </c>
      <c r="R99" s="28" t="e">
        <f>R45/'Summary-1990'!Q45*100</f>
        <v>#DIV/0!</v>
      </c>
      <c r="S99" s="28" t="e">
        <f>S45/'Summary-1990'!R45*100</f>
        <v>#DIV/0!</v>
      </c>
      <c r="T99" s="28" t="e">
        <f>T45/'Summary-1990'!S45*100</f>
        <v>#DIV/0!</v>
      </c>
      <c r="U99" s="28" t="e">
        <f>U45/'Summary-1990'!T45*100</f>
        <v>#DIV/0!</v>
      </c>
      <c r="V99" s="28" t="e">
        <f>V45/'Summary-1990'!U45*100</f>
        <v>#DIV/0!</v>
      </c>
      <c r="W99" s="18"/>
      <c r="X99" s="18"/>
      <c r="Y99" s="18"/>
      <c r="Z99" s="18"/>
      <c r="AA99" s="18" t="str">
        <f>VLOOKUP($AB99,AA$2:$AB$52,2,FALSE)</f>
        <v>Hartford</v>
      </c>
      <c r="AB99" s="18">
        <f t="shared" si="13"/>
        <v>44</v>
      </c>
      <c r="AC99" s="18" t="str">
        <f>VLOOKUP($AB99,AC$2:$AI$52,8-AC$1/10,FALSE)</f>
        <v>Philadelphia</v>
      </c>
      <c r="AD99" s="18" t="str">
        <f>VLOOKUP($AB99,AD$2:$AI$52,8-AD$1/10,FALSE)</f>
        <v>Cincinnati</v>
      </c>
      <c r="AE99" s="18" t="str">
        <f>VLOOKUP($AB99,AE$2:$AI$52,8-AE$1/10,FALSE)</f>
        <v>New York</v>
      </c>
      <c r="AF99" s="18" t="str">
        <f>VLOOKUP($AB99,AF$2:$AI$52,8-AF$1/10,FALSE)</f>
        <v>Atlanta</v>
      </c>
      <c r="AG99" s="18" t="e">
        <f>VLOOKUP($AB99,AG$2:$AI$52,8-AG$1/10,FALSE)</f>
        <v>#N/A</v>
      </c>
      <c r="AH99" s="18" t="e">
        <f>VLOOKUP($AB99,AH$2:$AI$52,8-AH$1/10,FALSE)</f>
        <v>#N/A</v>
      </c>
      <c r="AI99" s="18" t="str">
        <f t="shared" si="12"/>
        <v>Hartford</v>
      </c>
      <c r="AJ99" s="18"/>
    </row>
    <row r="100" spans="1:36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28" t="str">
        <f t="shared" si="14"/>
        <v>San Francisco</v>
      </c>
      <c r="L100" s="28">
        <f>L46/'Summary-1990'!L46*100</f>
        <v>-10.281939537765931</v>
      </c>
      <c r="M100" s="28">
        <f>Z46/'Summary-2010'!Y46*100</f>
        <v>43.466636270624335</v>
      </c>
      <c r="N100" s="28">
        <f>N46/'Summary-1990'!M46*100</f>
        <v>155.97675558791693</v>
      </c>
      <c r="O100" s="28">
        <f>O46/'Summary-1990'!N46*100</f>
        <v>166.32853426448662</v>
      </c>
      <c r="P100" s="28">
        <f>P46/'Summary-1990'!O46*100</f>
        <v>6.3802636422173347</v>
      </c>
      <c r="Q100" s="28">
        <f>Q46/'Summary-1990'!P46*100</f>
        <v>-100</v>
      </c>
      <c r="R100" s="28">
        <f>R46/'Summary-1990'!Q46*100</f>
        <v>-100</v>
      </c>
      <c r="S100" s="28" t="e">
        <f>S46/'Summary-1990'!R46*100</f>
        <v>#DIV/0!</v>
      </c>
      <c r="T100" s="28" t="e">
        <f>T46/'Summary-1990'!S46*100</f>
        <v>#DIV/0!</v>
      </c>
      <c r="U100" s="28" t="e">
        <f>U46/'Summary-1990'!T46*100</f>
        <v>#DIV/0!</v>
      </c>
      <c r="V100" s="28" t="e">
        <f>V46/'Summary-1990'!U46*100</f>
        <v>#DIV/0!</v>
      </c>
      <c r="W100" s="18"/>
      <c r="X100" s="18"/>
      <c r="Y100" s="18"/>
      <c r="Z100" s="18"/>
      <c r="AA100" s="18" t="str">
        <f>VLOOKUP($AB100,AA$2:$AB$52,2,FALSE)</f>
        <v>Boston</v>
      </c>
      <c r="AB100" s="18">
        <f t="shared" si="13"/>
        <v>45</v>
      </c>
      <c r="AC100" s="18" t="str">
        <f>VLOOKUP($AB100,AC$2:$AI$52,8-AC$1/10,FALSE)</f>
        <v>Rochester</v>
      </c>
      <c r="AD100" s="18" t="str">
        <f>VLOOKUP($AB100,AD$2:$AI$52,8-AD$1/10,FALSE)</f>
        <v>St. Louis</v>
      </c>
      <c r="AE100" s="18" t="str">
        <f>VLOOKUP($AB100,AE$2:$AI$52,8-AE$1/10,FALSE)</f>
        <v>Seattle</v>
      </c>
      <c r="AF100" s="18" t="str">
        <f>VLOOKUP($AB100,AF$2:$AI$52,8-AF$1/10,FALSE)</f>
        <v>Philadelphia</v>
      </c>
      <c r="AG100" s="18" t="e">
        <f>VLOOKUP($AB100,AG$2:$AI$52,8-AG$1/10,FALSE)</f>
        <v>#N/A</v>
      </c>
      <c r="AH100" s="18" t="e">
        <f>VLOOKUP($AB100,AH$2:$AI$52,8-AH$1/10,FALSE)</f>
        <v>#N/A</v>
      </c>
      <c r="AI100" s="18" t="str">
        <f t="shared" si="12"/>
        <v>Boston</v>
      </c>
      <c r="AJ100" s="18"/>
    </row>
    <row r="101" spans="1:36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28" t="str">
        <f t="shared" si="14"/>
        <v>San Jose</v>
      </c>
      <c r="L101" s="28">
        <f>L47/'Summary-1990'!L47*100</f>
        <v>-9.4394011600199956</v>
      </c>
      <c r="M101" s="28">
        <f>Z47/'Summary-2010'!Y47*100</f>
        <v>16.051617156323697</v>
      </c>
      <c r="N101" s="28">
        <f>N47/'Summary-1990'!M47*100</f>
        <v>51.325094693984482</v>
      </c>
      <c r="O101" s="28">
        <f>O47/'Summary-1990'!N47*100</f>
        <v>31.250969074373248</v>
      </c>
      <c r="P101" s="28">
        <f>P47/'Summary-1990'!O47*100</f>
        <v>-100</v>
      </c>
      <c r="Q101" s="28" t="e">
        <f>Q47/'Summary-1990'!P47*100</f>
        <v>#DIV/0!</v>
      </c>
      <c r="R101" s="28" t="e">
        <f>R47/'Summary-1990'!Q47*100</f>
        <v>#DIV/0!</v>
      </c>
      <c r="S101" s="28" t="e">
        <f>S47/'Summary-1990'!R47*100</f>
        <v>#DIV/0!</v>
      </c>
      <c r="T101" s="28" t="e">
        <f>T47/'Summary-1990'!S47*100</f>
        <v>#DIV/0!</v>
      </c>
      <c r="U101" s="28" t="e">
        <f>U47/'Summary-1990'!T47*100</f>
        <v>#DIV/0!</v>
      </c>
      <c r="V101" s="28" t="e">
        <f>V47/'Summary-1990'!U47*100</f>
        <v>#DIV/0!</v>
      </c>
      <c r="W101" s="18"/>
      <c r="X101" s="18"/>
      <c r="Y101" s="18"/>
      <c r="Z101" s="18"/>
      <c r="AA101" s="18" t="str">
        <f>VLOOKUP($AB101,AA$2:$AB$52,2,FALSE)</f>
        <v>Detroit</v>
      </c>
      <c r="AB101" s="18">
        <f t="shared" si="13"/>
        <v>46</v>
      </c>
      <c r="AC101" s="18" t="str">
        <f>VLOOKUP($AB101,AC$2:$AI$52,8-AC$1/10,FALSE)</f>
        <v>Cleveland</v>
      </c>
      <c r="AD101" s="18" t="str">
        <f>VLOOKUP($AB101,AD$2:$AI$52,8-AD$1/10,FALSE)</f>
        <v>Chicago</v>
      </c>
      <c r="AE101" s="18" t="str">
        <f>VLOOKUP($AB101,AE$2:$AI$52,8-AE$1/10,FALSE)</f>
        <v>Detroit</v>
      </c>
      <c r="AF101" s="18" t="str">
        <f>VLOOKUP($AB101,AF$2:$AI$52,8-AF$1/10,FALSE)</f>
        <v>Detroit</v>
      </c>
      <c r="AG101" s="18" t="e">
        <f>VLOOKUP($AB101,AG$2:$AI$52,8-AG$1/10,FALSE)</f>
        <v>#N/A</v>
      </c>
      <c r="AH101" s="18" t="e">
        <f>VLOOKUP($AB101,AH$2:$AI$52,8-AH$1/10,FALSE)</f>
        <v>#N/A</v>
      </c>
      <c r="AI101" s="18" t="str">
        <f t="shared" si="12"/>
        <v>Detroit</v>
      </c>
      <c r="AJ101" s="18"/>
    </row>
    <row r="102" spans="1:36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28" t="str">
        <f t="shared" si="14"/>
        <v>Seattle</v>
      </c>
      <c r="L102" s="28">
        <f>L48/'Summary-1990'!L48*100</f>
        <v>9.7395321392484124</v>
      </c>
      <c r="M102" s="28">
        <f>Z48/'Summary-2010'!Y48*100</f>
        <v>-31.699563546894467</v>
      </c>
      <c r="N102" s="28">
        <f>N48/'Summary-1990'!M48*100</f>
        <v>-35.247699419508201</v>
      </c>
      <c r="O102" s="28">
        <f>O48/'Summary-1990'!N48*100</f>
        <v>-34.801690642136727</v>
      </c>
      <c r="P102" s="28">
        <f>P48/'Summary-1990'!O48*100</f>
        <v>-35.140373336628336</v>
      </c>
      <c r="Q102" s="28">
        <f>Q48/'Summary-1990'!P48*100</f>
        <v>185.37220168959635</v>
      </c>
      <c r="R102" s="28" t="e">
        <f>R48/'Summary-1990'!Q48*100</f>
        <v>#DIV/0!</v>
      </c>
      <c r="S102" s="28" t="e">
        <f>S48/'Summary-1990'!R48*100</f>
        <v>#DIV/0!</v>
      </c>
      <c r="T102" s="28" t="e">
        <f>T48/'Summary-1990'!S48*100</f>
        <v>#DIV/0!</v>
      </c>
      <c r="U102" s="28" t="e">
        <f>U48/'Summary-1990'!T48*100</f>
        <v>#DIV/0!</v>
      </c>
      <c r="V102" s="28" t="e">
        <f>V48/'Summary-1990'!U48*100</f>
        <v>#DIV/0!</v>
      </c>
      <c r="W102" s="18"/>
      <c r="X102" s="18"/>
      <c r="Y102" s="18"/>
      <c r="Z102" s="18"/>
      <c r="AA102" s="18" t="str">
        <f>VLOOKUP($AB102,AA$2:$AB$52,2,FALSE)</f>
        <v>New York</v>
      </c>
      <c r="AB102" s="18">
        <f t="shared" si="13"/>
        <v>47</v>
      </c>
      <c r="AC102" s="18" t="str">
        <f>VLOOKUP($AB102,AC$2:$AI$52,8-AC$1/10,FALSE)</f>
        <v>Buffalo</v>
      </c>
      <c r="AD102" s="18" t="str">
        <f>VLOOKUP($AB102,AD$2:$AI$52,8-AD$1/10,FALSE)</f>
        <v>Denver</v>
      </c>
      <c r="AE102" s="18" t="str">
        <f>VLOOKUP($AB102,AE$2:$AI$52,8-AE$1/10,FALSE)</f>
        <v>St. Louis</v>
      </c>
      <c r="AF102" s="18" t="str">
        <f>VLOOKUP($AB102,AF$2:$AI$52,8-AF$1/10,FALSE)</f>
        <v>San Diego</v>
      </c>
      <c r="AG102" s="18" t="e">
        <f>VLOOKUP($AB102,AG$2:$AI$52,8-AG$1/10,FALSE)</f>
        <v>#N/A</v>
      </c>
      <c r="AH102" s="18" t="e">
        <f>VLOOKUP($AB102,AH$2:$AI$52,8-AH$1/10,FALSE)</f>
        <v>#N/A</v>
      </c>
      <c r="AI102" s="18" t="str">
        <f t="shared" si="12"/>
        <v>New York</v>
      </c>
      <c r="AJ102" s="18"/>
    </row>
    <row r="103" spans="1:36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28" t="str">
        <f t="shared" si="14"/>
        <v>Miami</v>
      </c>
      <c r="L103" s="28">
        <f>L49/'Summary-1990'!L49*100</f>
        <v>23.360714322007201</v>
      </c>
      <c r="M103" s="28">
        <f>Z49/'Summary-2010'!Y49*100</f>
        <v>-67.689858445635593</v>
      </c>
      <c r="N103" s="28">
        <f>N49/'Summary-1990'!M49*100</f>
        <v>-63.144028745476469</v>
      </c>
      <c r="O103" s="28">
        <f>O49/'Summary-1990'!N49*100</f>
        <v>-62.39102958323484</v>
      </c>
      <c r="P103" s="28">
        <f>P49/'Summary-1990'!O49*100</f>
        <v>64.408642389314693</v>
      </c>
      <c r="Q103" s="28" t="e">
        <f>Q49/'Summary-1990'!P49*100</f>
        <v>#DIV/0!</v>
      </c>
      <c r="R103" s="28" t="e">
        <f>R49/'Summary-1990'!Q49*100</f>
        <v>#DIV/0!</v>
      </c>
      <c r="S103" s="28" t="e">
        <f>S49/'Summary-1990'!R49*100</f>
        <v>#DIV/0!</v>
      </c>
      <c r="T103" s="28" t="e">
        <f>T49/'Summary-1990'!S49*100</f>
        <v>#DIV/0!</v>
      </c>
      <c r="U103" s="28" t="e">
        <f>U49/'Summary-1990'!T49*100</f>
        <v>#DIV/0!</v>
      </c>
      <c r="V103" s="28" t="e">
        <f>V49/'Summary-1990'!U49*100</f>
        <v>#DIV/0!</v>
      </c>
      <c r="W103" s="18"/>
      <c r="X103" s="18"/>
      <c r="Y103" s="18"/>
      <c r="Z103" s="18"/>
      <c r="AA103" s="18" t="str">
        <f>VLOOKUP($AB103,AA$2:$AB$52,2,FALSE)</f>
        <v>Chicago</v>
      </c>
      <c r="AB103" s="18">
        <f t="shared" si="13"/>
        <v>48</v>
      </c>
      <c r="AC103" s="18" t="str">
        <f>VLOOKUP($AB103,AC$2:$AI$52,8-AC$1/10,FALSE)</f>
        <v>Charlotte</v>
      </c>
      <c r="AD103" s="18" t="str">
        <f>VLOOKUP($AB103,AD$2:$AI$52,8-AD$1/10,FALSE)</f>
        <v>Boston</v>
      </c>
      <c r="AE103" s="18" t="str">
        <f>VLOOKUP($AB103,AE$2:$AI$52,8-AE$1/10,FALSE)</f>
        <v>Chicago</v>
      </c>
      <c r="AF103" s="18" t="str">
        <f>VLOOKUP($AB103,AF$2:$AI$52,8-AF$1/10,FALSE)</f>
        <v>New York</v>
      </c>
      <c r="AG103" s="18" t="e">
        <f>VLOOKUP($AB103,AG$2:$AI$52,8-AG$1/10,FALSE)</f>
        <v>#N/A</v>
      </c>
      <c r="AH103" s="18" t="e">
        <f>VLOOKUP($AB103,AH$2:$AI$52,8-AH$1/10,FALSE)</f>
        <v>#N/A</v>
      </c>
      <c r="AI103" s="18" t="str">
        <f t="shared" si="12"/>
        <v>Chicago</v>
      </c>
      <c r="AJ103" s="18"/>
    </row>
    <row r="104" spans="1:36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28" t="str">
        <f t="shared" si="14"/>
        <v>St. Louis</v>
      </c>
      <c r="L104" s="28">
        <f>L50/'Summary-1990'!L50*100</f>
        <v>2.2113260440989357</v>
      </c>
      <c r="M104" s="28">
        <f>Z50/'Summary-2010'!Y50*100</f>
        <v>-45.435204231062684</v>
      </c>
      <c r="N104" s="28">
        <f>N50/'Summary-1990'!M50*100</f>
        <v>-41.196351775304827</v>
      </c>
      <c r="O104" s="28">
        <f>O50/'Summary-1990'!N50*100</f>
        <v>-43.389576067572335</v>
      </c>
      <c r="P104" s="28">
        <f>P50/'Summary-1990'!O50*100</f>
        <v>-43.487147483458976</v>
      </c>
      <c r="Q104" s="28">
        <f>Q50/'Summary-1990'!P50*100</f>
        <v>2507.4182856269754</v>
      </c>
      <c r="R104" s="28" t="e">
        <f>R50/'Summary-1990'!Q50*100</f>
        <v>#DIV/0!</v>
      </c>
      <c r="S104" s="28" t="e">
        <f>S50/'Summary-1990'!R50*100</f>
        <v>#DIV/0!</v>
      </c>
      <c r="T104" s="28" t="e">
        <f>T50/'Summary-1990'!S50*100</f>
        <v>#DIV/0!</v>
      </c>
      <c r="U104" s="28" t="e">
        <f>U50/'Summary-1990'!T50*100</f>
        <v>#DIV/0!</v>
      </c>
      <c r="V104" s="28" t="e">
        <f>V50/'Summary-1990'!U50*100</f>
        <v>#DIV/0!</v>
      </c>
      <c r="W104" s="18"/>
      <c r="X104" s="18"/>
      <c r="Y104" s="18"/>
      <c r="Z104" s="18"/>
      <c r="AA104" s="18" t="str">
        <f>VLOOKUP($AB104,AA$2:$AB$52,2,FALSE)</f>
        <v>Cleveland</v>
      </c>
      <c r="AB104" s="18">
        <f t="shared" si="13"/>
        <v>49</v>
      </c>
      <c r="AC104" s="18" t="str">
        <f>VLOOKUP($AB104,AC$2:$AI$52,8-AC$1/10,FALSE)</f>
        <v>Raleigh</v>
      </c>
      <c r="AD104" s="18" t="str">
        <f>VLOOKUP($AB104,AD$2:$AI$52,8-AD$1/10,FALSE)</f>
        <v>Philadelphia</v>
      </c>
      <c r="AE104" s="18" t="str">
        <f>VLOOKUP($AB104,AE$2:$AI$52,8-AE$1/10,FALSE)</f>
        <v>San Jose</v>
      </c>
      <c r="AF104" s="18" t="str">
        <f>VLOOKUP($AB104,AF$2:$AI$52,8-AF$1/10,FALSE)</f>
        <v>Minneapolis</v>
      </c>
      <c r="AG104" s="18" t="str">
        <f>VLOOKUP($AB104,AG$2:$AI$52,8-AG$1/10,FALSE)</f>
        <v>San Francisco</v>
      </c>
      <c r="AH104" s="18" t="e">
        <f>VLOOKUP($AB104,AH$2:$AI$52,8-AH$1/10,FALSE)</f>
        <v>#N/A</v>
      </c>
      <c r="AI104" s="18" t="str">
        <f t="shared" si="12"/>
        <v>Cleveland</v>
      </c>
      <c r="AJ104" s="18"/>
    </row>
    <row r="105" spans="1:36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28" t="str">
        <f t="shared" si="14"/>
        <v>Tampa Bay</v>
      </c>
      <c r="L105" s="28">
        <f>L51/'Summary-1990'!L51*100</f>
        <v>1.9153590587628271</v>
      </c>
      <c r="M105" s="28">
        <f>Z51/'Summary-2010'!Y51*100</f>
        <v>-9.0277344287515113</v>
      </c>
      <c r="N105" s="28">
        <f>N51/'Summary-1990'!M51*100</f>
        <v>-13.571221876878159</v>
      </c>
      <c r="O105" s="28">
        <f>O51/'Summary-1990'!N51*100</f>
        <v>-10.970098156157675</v>
      </c>
      <c r="P105" s="28">
        <f>P51/'Summary-1990'!O51*100</f>
        <v>-11.282542962786057</v>
      </c>
      <c r="Q105" s="28">
        <f>Q51/'Summary-1990'!P51*100</f>
        <v>173.91661019436711</v>
      </c>
      <c r="R105" s="28" t="e">
        <f>R51/'Summary-1990'!Q51*100</f>
        <v>#DIV/0!</v>
      </c>
      <c r="S105" s="28" t="e">
        <f>S51/'Summary-1990'!R51*100</f>
        <v>#DIV/0!</v>
      </c>
      <c r="T105" s="28" t="e">
        <f>T51/'Summary-1990'!S51*100</f>
        <v>#DIV/0!</v>
      </c>
      <c r="U105" s="28" t="e">
        <f>U51/'Summary-1990'!T51*100</f>
        <v>#DIV/0!</v>
      </c>
      <c r="V105" s="28" t="e">
        <f>V51/'Summary-1990'!U51*100</f>
        <v>#DIV/0!</v>
      </c>
      <c r="W105" s="18"/>
      <c r="X105" s="18"/>
      <c r="Y105" s="18"/>
      <c r="Z105" s="18"/>
      <c r="AA105" s="18" t="str">
        <f>VLOOKUP($AB105,AA$2:$AB$52,2,FALSE)</f>
        <v>Miami</v>
      </c>
      <c r="AB105" s="18">
        <f t="shared" si="13"/>
        <v>50</v>
      </c>
      <c r="AC105" s="18" t="str">
        <f>VLOOKUP($AB105,AC$2:$AI$52,8-AC$1/10,FALSE)</f>
        <v>Hartford</v>
      </c>
      <c r="AD105" s="18" t="str">
        <f>VLOOKUP($AB105,AD$2:$AI$52,8-AD$1/10,FALSE)</f>
        <v>Cleveland</v>
      </c>
      <c r="AE105" s="18" t="str">
        <f>VLOOKUP($AB105,AE$2:$AI$52,8-AE$1/10,FALSE)</f>
        <v>Boston</v>
      </c>
      <c r="AF105" s="18" t="str">
        <f>VLOOKUP($AB105,AF$2:$AI$52,8-AF$1/10,FALSE)</f>
        <v>Chicago</v>
      </c>
      <c r="AG105" s="18" t="str">
        <f>VLOOKUP($AB105,AG$2:$AI$52,8-AG$1/10,FALSE)</f>
        <v>New York</v>
      </c>
      <c r="AH105" s="18" t="str">
        <f>VLOOKUP($AB105,AH$2:$AI$52,8-AH$1/10,FALSE)</f>
        <v>New York</v>
      </c>
      <c r="AI105" s="18" t="str">
        <f t="shared" si="12"/>
        <v>Miami</v>
      </c>
      <c r="AJ105" s="18"/>
    </row>
    <row r="106" spans="1:36">
      <c r="K106" s="28" t="str">
        <f t="shared" si="14"/>
        <v>Washington</v>
      </c>
      <c r="L106" s="28">
        <f>L52/'Summary-1990'!L52*100</f>
        <v>7.0531307155598704</v>
      </c>
      <c r="M106" s="28">
        <f>Z52/'Summary-2010'!Y52*100</f>
        <v>-6.6262023017663232</v>
      </c>
      <c r="N106" s="28">
        <f>N52/'Summary-1990'!M52*100</f>
        <v>-12.983270974815017</v>
      </c>
      <c r="O106" s="28">
        <f>O52/'Summary-1990'!N52*100</f>
        <v>-9.3794181482889041</v>
      </c>
      <c r="P106" s="28">
        <f>P52/'Summary-1990'!O52*100</f>
        <v>-9.284326936497747</v>
      </c>
      <c r="Q106" s="28">
        <f>Q52/'Summary-1990'!P52*100</f>
        <v>4.9385551464368307</v>
      </c>
      <c r="R106" s="28" t="e">
        <f>R52/'Summary-1990'!Q52*100</f>
        <v>#DIV/0!</v>
      </c>
      <c r="S106" s="28" t="e">
        <f>S52/'Summary-1990'!R52*100</f>
        <v>#DIV/0!</v>
      </c>
      <c r="T106" s="28" t="e">
        <f>T52/'Summary-1990'!S52*100</f>
        <v>#DIV/0!</v>
      </c>
      <c r="U106" s="28" t="e">
        <f>U52/'Summary-1990'!T52*100</f>
        <v>#DIV/0!</v>
      </c>
      <c r="V106" s="28" t="e">
        <f>V52/'Summary-1990'!U52*100</f>
        <v>#DIV/0!</v>
      </c>
      <c r="AA106" s="18" t="str">
        <f>VLOOKUP($AB106,AA$2:$AB$52,2,FALSE)</f>
        <v>Philadelphia</v>
      </c>
      <c r="AB106" s="18">
        <f t="shared" si="13"/>
        <v>51</v>
      </c>
      <c r="AC106" s="18" t="str">
        <f>VLOOKUP($AB106,AC$2:$AI$52,8-AC$1/10,FALSE)</f>
        <v>Miami</v>
      </c>
      <c r="AD106" s="18" t="str">
        <f>VLOOKUP($AB106,AD$2:$AI$52,8-AD$1/10,FALSE)</f>
        <v>Miami</v>
      </c>
      <c r="AE106" s="18" t="str">
        <f>VLOOKUP($AB106,AE$2:$AI$52,8-AE$1/10,FALSE)</f>
        <v>Philadelphia</v>
      </c>
      <c r="AF106" s="18" t="str">
        <f>VLOOKUP($AB106,AF$2:$AI$52,8-AF$1/10,FALSE)</f>
        <v>San Francisco</v>
      </c>
      <c r="AG106" s="18" t="str">
        <f>VLOOKUP($AB106,AG$2:$AI$52,8-AG$1/10,FALSE)</f>
        <v>Los Angeles</v>
      </c>
      <c r="AH106" s="18" t="str">
        <f>VLOOKUP($AB106,AH$2:$AI$52,8-AH$1/10,FALSE)</f>
        <v>Los Angeles</v>
      </c>
      <c r="AI106" s="18" t="str">
        <f t="shared" ref="AI106" si="15">AA106</f>
        <v>Philadelphia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6"/>
  <sheetViews>
    <sheetView topLeftCell="F35" workbookViewId="0">
      <selection activeCell="K56" sqref="K56:P106"/>
    </sheetView>
  </sheetViews>
  <sheetFormatPr baseColWidth="10" defaultRowHeight="14" x14ac:dyDescent="0"/>
  <cols>
    <col min="1" max="16384" width="10.83203125" style="18"/>
  </cols>
  <sheetData>
    <row r="1" spans="1:35">
      <c r="A1" s="29" t="s">
        <v>16</v>
      </c>
      <c r="B1" s="29" t="s">
        <v>131</v>
      </c>
      <c r="C1" s="29" t="s">
        <v>132</v>
      </c>
      <c r="D1" s="29" t="s">
        <v>133</v>
      </c>
      <c r="E1" s="29" t="s">
        <v>134</v>
      </c>
      <c r="F1" s="29" t="s">
        <v>135</v>
      </c>
      <c r="G1" s="29" t="s">
        <v>136</v>
      </c>
      <c r="H1" s="29" t="s">
        <v>148</v>
      </c>
      <c r="I1" s="29" t="s">
        <v>149</v>
      </c>
      <c r="J1" s="29" t="s">
        <v>150</v>
      </c>
      <c r="K1" s="29" t="s">
        <v>16</v>
      </c>
      <c r="L1" s="29" t="s">
        <v>570</v>
      </c>
      <c r="M1" s="29"/>
      <c r="N1" s="29" t="s">
        <v>131</v>
      </c>
      <c r="O1" s="29" t="s">
        <v>137</v>
      </c>
      <c r="P1" s="29" t="s">
        <v>138</v>
      </c>
      <c r="Q1" s="29" t="s">
        <v>139</v>
      </c>
      <c r="R1" s="29" t="s">
        <v>140</v>
      </c>
      <c r="S1" s="29" t="s">
        <v>141</v>
      </c>
      <c r="T1" s="29" t="s">
        <v>151</v>
      </c>
      <c r="U1" s="29" t="s">
        <v>152</v>
      </c>
      <c r="V1" s="29" t="s">
        <v>153</v>
      </c>
      <c r="W1" s="29"/>
      <c r="X1" s="29" t="s">
        <v>142</v>
      </c>
      <c r="Y1" s="29"/>
      <c r="Z1" s="29" t="s">
        <v>144</v>
      </c>
      <c r="AA1" s="29" t="s">
        <v>128</v>
      </c>
      <c r="AB1" s="29" t="s">
        <v>16</v>
      </c>
      <c r="AC1" s="29">
        <v>10</v>
      </c>
      <c r="AD1" s="29">
        <v>20</v>
      </c>
      <c r="AE1" s="29">
        <v>30</v>
      </c>
      <c r="AF1" s="29">
        <v>40</v>
      </c>
      <c r="AG1" s="29">
        <v>50</v>
      </c>
      <c r="AH1" s="29">
        <v>60</v>
      </c>
      <c r="AI1" s="29" t="str">
        <f>AB1</f>
        <v>Area</v>
      </c>
    </row>
    <row r="2" spans="1:35">
      <c r="A2" s="18" t="s">
        <v>26</v>
      </c>
      <c r="B2" s="13">
        <f>'Summary-2010'!B2-'Summary-2000'!B2</f>
        <v>6896.0872152104494</v>
      </c>
      <c r="C2" s="13">
        <f>'Summary-2010'!C2-'Summary-2000'!C2</f>
        <v>33755.271366440225</v>
      </c>
      <c r="D2" s="13">
        <f>'Summary-2010'!D2-'Summary-2000'!D2</f>
        <v>83306.726304378361</v>
      </c>
      <c r="E2" s="13">
        <f>'Summary-2010'!E2-'Summary-2000'!E2</f>
        <v>157341.31351561774</v>
      </c>
      <c r="F2" s="13">
        <f>'Summary-2010'!F2-'Summary-2000'!F2</f>
        <v>260647.42087215348</v>
      </c>
      <c r="G2" s="13">
        <f>'Summary-2010'!G2-'Summary-2000'!G2</f>
        <v>-126141</v>
      </c>
      <c r="H2" s="13">
        <f>'Summary-2010'!H2-'Summary-2000'!H2</f>
        <v>-126141</v>
      </c>
      <c r="I2" s="13">
        <f>'Summary-2010'!I2-'Summary-2000'!I2</f>
        <v>-126141</v>
      </c>
      <c r="J2" s="13">
        <f>'Summary-2010'!J2-'Summary-2000'!J2</f>
        <v>-126141</v>
      </c>
      <c r="K2" s="18" t="str">
        <f>A2</f>
        <v>Atlanta</v>
      </c>
      <c r="L2" s="13">
        <f>SUM(N2:V2)</f>
        <v>-126142</v>
      </c>
      <c r="M2" s="13"/>
      <c r="N2" s="13">
        <f>'Summary-2010'!M2-'Summary-2000'!M2</f>
        <v>6896.0872152104494</v>
      </c>
      <c r="O2" s="13">
        <f>'Summary-2010'!N2-'Summary-2000'!N2</f>
        <v>26859.184151229769</v>
      </c>
      <c r="P2" s="13">
        <f>'Summary-2010'!O2-'Summary-2000'!O2</f>
        <v>49551.454937938135</v>
      </c>
      <c r="Q2" s="13">
        <f>'Summary-2010'!P2-'Summary-2000'!P2</f>
        <v>74034.587211239384</v>
      </c>
      <c r="R2" s="13">
        <f>'Summary-2010'!Q2-'Summary-2000'!Q2</f>
        <v>103305.10735653574</v>
      </c>
      <c r="S2" s="13">
        <f>'Summary-2010'!R2-'Summary-2000'!R2</f>
        <v>-386788.42087215348</v>
      </c>
      <c r="T2" s="13">
        <f>'Summary-2010'!S2-'Summary-2000'!S2</f>
        <v>0</v>
      </c>
      <c r="U2" s="13">
        <f>'Summary-2010'!T2-'Summary-2000'!T2</f>
        <v>0</v>
      </c>
      <c r="V2" s="13">
        <f>'Summary-2010'!U2-'Summary-2000'!U2</f>
        <v>0</v>
      </c>
      <c r="W2" s="13"/>
      <c r="X2" s="13">
        <f>V2+U2+T2+S2+R2+Q2+P2+O2+N2</f>
        <v>-126142</v>
      </c>
      <c r="Z2" s="13">
        <f t="shared" ref="Z2:Z52" si="0">N2*EXP(Beta*10)+O2*EXP(Beta*20)+P2*EXP(Beta*30)+Q2*EXP(Beta*40)+R2*EXP(Beta*50)+S2*EXP(Beta*60)+T2*EXP(Beta*70)+U2*EXP(Beta*80)+V2*EXP(Beta*90)</f>
        <v>14743.335177460536</v>
      </c>
      <c r="AA2" s="18">
        <f>RANK(Z2,$Z$2:$Z$52)</f>
        <v>18</v>
      </c>
      <c r="AB2" s="18" t="str">
        <f>A2</f>
        <v>Atlanta</v>
      </c>
      <c r="AC2" s="18">
        <f t="shared" ref="AC2:AH2" si="1">RANK(N2,N$2:N$52)</f>
        <v>25</v>
      </c>
      <c r="AD2" s="18">
        <f t="shared" si="1"/>
        <v>26</v>
      </c>
      <c r="AE2" s="18">
        <f t="shared" si="1"/>
        <v>16</v>
      </c>
      <c r="AF2" s="18">
        <f t="shared" si="1"/>
        <v>8</v>
      </c>
      <c r="AG2" s="18">
        <f t="shared" si="1"/>
        <v>5</v>
      </c>
      <c r="AH2" s="18">
        <f t="shared" si="1"/>
        <v>49</v>
      </c>
      <c r="AI2" s="18" t="str">
        <f t="shared" ref="AI2:AI52" si="2">AB2</f>
        <v>Atlanta</v>
      </c>
    </row>
    <row r="3" spans="1:35">
      <c r="A3" s="18" t="s">
        <v>27</v>
      </c>
      <c r="B3" s="13">
        <f>'Summary-2010'!B3-'Summary-2000'!B3</f>
        <v>419.20182256151747</v>
      </c>
      <c r="C3" s="13">
        <f>'Summary-2010'!C3-'Summary-2000'!C3</f>
        <v>31046.608138442447</v>
      </c>
      <c r="D3" s="13">
        <f>'Summary-2010'!D3-'Summary-2000'!D3</f>
        <v>60078</v>
      </c>
      <c r="E3" s="13">
        <f>'Summary-2010'!E3-'Summary-2000'!E3</f>
        <v>60078</v>
      </c>
      <c r="F3" s="13">
        <f>'Summary-2010'!F3-'Summary-2000'!F3</f>
        <v>60078</v>
      </c>
      <c r="G3" s="13">
        <f>'Summary-2010'!G3-'Summary-2000'!G3</f>
        <v>60078</v>
      </c>
      <c r="H3" s="13">
        <f>'Summary-2010'!H3-'Summary-2000'!H3</f>
        <v>60078</v>
      </c>
      <c r="I3" s="13">
        <f>'Summary-2010'!I3-'Summary-2000'!I3</f>
        <v>60078</v>
      </c>
      <c r="J3" s="13">
        <f>'Summary-2010'!J3-'Summary-2000'!J3</f>
        <v>60078</v>
      </c>
      <c r="K3" s="18" t="str">
        <f t="shared" ref="K3:K52" si="3">A3</f>
        <v>Austin</v>
      </c>
      <c r="L3" s="13">
        <f t="shared" ref="L3:L52" si="4">SUM(N3:V3)</f>
        <v>60078.000000000015</v>
      </c>
      <c r="M3" s="13"/>
      <c r="N3" s="13">
        <f>'Summary-2010'!M3-'Summary-2000'!M3</f>
        <v>419.20182256151747</v>
      </c>
      <c r="O3" s="13">
        <f>'Summary-2010'!N3-'Summary-2000'!N3</f>
        <v>30627.406315880944</v>
      </c>
      <c r="P3" s="13">
        <f>'Summary-2010'!O3-'Summary-2000'!O3</f>
        <v>29031.391861557553</v>
      </c>
      <c r="Q3" s="13">
        <f>'Summary-2010'!P3-'Summary-2000'!P3</f>
        <v>0</v>
      </c>
      <c r="R3" s="13">
        <f>'Summary-2010'!Q3-'Summary-2000'!Q3</f>
        <v>0</v>
      </c>
      <c r="S3" s="13">
        <f>'Summary-2010'!R3-'Summary-2000'!R3</f>
        <v>0</v>
      </c>
      <c r="T3" s="13">
        <f>'Summary-2010'!S3-'Summary-2000'!S3</f>
        <v>0</v>
      </c>
      <c r="U3" s="13">
        <f>'Summary-2010'!T3-'Summary-2000'!T3</f>
        <v>0</v>
      </c>
      <c r="V3" s="13">
        <f>'Summary-2010'!U3-'Summary-2000'!U3</f>
        <v>0</v>
      </c>
      <c r="W3" s="13"/>
      <c r="X3" s="13">
        <f t="shared" ref="X3:X52" si="5">V3+U3+T3+S3+R3+Q3+P3+O3+N3</f>
        <v>60078.000000000015</v>
      </c>
      <c r="Z3" s="13">
        <f t="shared" si="0"/>
        <v>9005.5946618949056</v>
      </c>
      <c r="AA3" s="18">
        <f t="shared" ref="AA3:AA52" si="6">RANK(Z3,$Z$2:$Z$52)</f>
        <v>24</v>
      </c>
      <c r="AB3" s="18" t="str">
        <f t="shared" ref="AB3:AB52" si="7">A3</f>
        <v>Austin</v>
      </c>
      <c r="AC3" s="18">
        <f t="shared" ref="AC3:AH52" si="8">RANK(N3,N$2:N$52)</f>
        <v>31</v>
      </c>
      <c r="AD3" s="18">
        <f t="shared" si="8"/>
        <v>25</v>
      </c>
      <c r="AE3" s="18">
        <f t="shared" si="8"/>
        <v>20</v>
      </c>
      <c r="AF3" s="18">
        <f t="shared" si="8"/>
        <v>13</v>
      </c>
      <c r="AG3" s="18">
        <f t="shared" si="8"/>
        <v>7</v>
      </c>
      <c r="AH3" s="18">
        <f t="shared" si="8"/>
        <v>2</v>
      </c>
      <c r="AI3" s="18" t="str">
        <f t="shared" si="2"/>
        <v>Austin</v>
      </c>
    </row>
    <row r="4" spans="1:35">
      <c r="A4" s="18" t="s">
        <v>28</v>
      </c>
      <c r="B4" s="13">
        <f>'Summary-2010'!B4-'Summary-2000'!B4</f>
        <v>13162.653824348585</v>
      </c>
      <c r="C4" s="13">
        <f>'Summary-2010'!C4-'Summary-2000'!C4</f>
        <v>65983.1843798763</v>
      </c>
      <c r="D4" s="13">
        <f>'Summary-2010'!D4-'Summary-2000'!D4</f>
        <v>78115</v>
      </c>
      <c r="E4" s="13">
        <f>'Summary-2010'!E4-'Summary-2000'!E4</f>
        <v>-4074</v>
      </c>
      <c r="F4" s="13">
        <f>'Summary-2010'!F4-'Summary-2000'!F4</f>
        <v>-4074</v>
      </c>
      <c r="G4" s="13">
        <f>'Summary-2010'!G4-'Summary-2000'!G4</f>
        <v>-4074</v>
      </c>
      <c r="H4" s="13">
        <f>'Summary-2010'!H4-'Summary-2000'!H4</f>
        <v>-4074</v>
      </c>
      <c r="I4" s="13">
        <f>'Summary-2010'!I4-'Summary-2000'!I4</f>
        <v>-4074</v>
      </c>
      <c r="J4" s="13">
        <f>'Summary-2010'!J4-'Summary-2000'!J4</f>
        <v>-4074</v>
      </c>
      <c r="K4" s="18" t="str">
        <f t="shared" si="3"/>
        <v>Baltimore</v>
      </c>
      <c r="L4" s="13">
        <f t="shared" si="4"/>
        <v>-4074.0000000000582</v>
      </c>
      <c r="M4" s="13"/>
      <c r="N4" s="13">
        <f>'Summary-2010'!M4-'Summary-2000'!M4</f>
        <v>13162.653824348585</v>
      </c>
      <c r="O4" s="13">
        <f>'Summary-2010'!N4-'Summary-2000'!N4</f>
        <v>52820.530555527715</v>
      </c>
      <c r="P4" s="13">
        <f>'Summary-2010'!O4-'Summary-2000'!O4</f>
        <v>12131.815620123642</v>
      </c>
      <c r="Q4" s="13">
        <f>'Summary-2010'!P4-'Summary-2000'!P4</f>
        <v>-82189</v>
      </c>
      <c r="R4" s="13">
        <f>'Summary-2010'!Q4-'Summary-2000'!Q4</f>
        <v>0</v>
      </c>
      <c r="S4" s="13">
        <f>'Summary-2010'!R4-'Summary-2000'!R4</f>
        <v>0</v>
      </c>
      <c r="T4" s="13">
        <f>'Summary-2010'!S4-'Summary-2000'!S4</f>
        <v>0</v>
      </c>
      <c r="U4" s="13">
        <f>'Summary-2010'!T4-'Summary-2000'!T4</f>
        <v>0</v>
      </c>
      <c r="V4" s="13">
        <f>'Summary-2010'!U4-'Summary-2000'!U4</f>
        <v>0</v>
      </c>
      <c r="W4" s="13"/>
      <c r="X4" s="13">
        <f t="shared" si="5"/>
        <v>-4074.0000000000582</v>
      </c>
      <c r="Z4" s="13">
        <f t="shared" si="0"/>
        <v>14329.011505683678</v>
      </c>
      <c r="AA4" s="18">
        <f t="shared" si="6"/>
        <v>20</v>
      </c>
      <c r="AB4" s="18" t="str">
        <f t="shared" si="7"/>
        <v>Baltimore</v>
      </c>
      <c r="AC4" s="18">
        <f t="shared" si="8"/>
        <v>21</v>
      </c>
      <c r="AD4" s="18">
        <f t="shared" si="8"/>
        <v>18</v>
      </c>
      <c r="AE4" s="18">
        <f t="shared" si="8"/>
        <v>28</v>
      </c>
      <c r="AF4" s="18">
        <f t="shared" si="8"/>
        <v>45</v>
      </c>
      <c r="AG4" s="18">
        <f t="shared" si="8"/>
        <v>7</v>
      </c>
      <c r="AH4" s="18">
        <f t="shared" si="8"/>
        <v>2</v>
      </c>
      <c r="AI4" s="18" t="str">
        <f t="shared" si="2"/>
        <v>Baltimore</v>
      </c>
    </row>
    <row r="5" spans="1:35">
      <c r="A5" s="18" t="s">
        <v>29</v>
      </c>
      <c r="B5" s="13">
        <f>'Summary-2010'!B5-'Summary-2000'!B5</f>
        <v>-19890.591107145752</v>
      </c>
      <c r="C5" s="13">
        <f>'Summary-2010'!C5-'Summary-2000'!C5</f>
        <v>-86659.584334758634</v>
      </c>
      <c r="D5" s="13">
        <f>'Summary-2010'!D5-'Summary-2000'!D5</f>
        <v>-209896.62714972231</v>
      </c>
      <c r="E5" s="13">
        <f>'Summary-2010'!E5-'Summary-2000'!E5</f>
        <v>-378479.43680439005</v>
      </c>
      <c r="F5" s="13">
        <f>'Summary-2010'!F5-'Summary-2000'!F5</f>
        <v>-172584</v>
      </c>
      <c r="G5" s="13">
        <f>'Summary-2010'!G5-'Summary-2000'!G5</f>
        <v>-172584</v>
      </c>
      <c r="H5" s="13">
        <f>'Summary-2010'!H5-'Summary-2000'!H5</f>
        <v>-172584</v>
      </c>
      <c r="I5" s="13">
        <f>'Summary-2010'!I5-'Summary-2000'!I5</f>
        <v>-172584</v>
      </c>
      <c r="J5" s="13">
        <f>'Summary-2010'!J5-'Summary-2000'!J5</f>
        <v>-172584</v>
      </c>
      <c r="K5" s="18" t="str">
        <f t="shared" si="3"/>
        <v>Boston</v>
      </c>
      <c r="L5" s="13">
        <f t="shared" si="4"/>
        <v>-172585.00000000006</v>
      </c>
      <c r="M5" s="13"/>
      <c r="N5" s="13">
        <f>'Summary-2010'!M5-'Summary-2000'!M5</f>
        <v>-19890.591107145752</v>
      </c>
      <c r="O5" s="13">
        <f>'Summary-2010'!N5-'Summary-2000'!N5</f>
        <v>-66768.993227612867</v>
      </c>
      <c r="P5" s="13">
        <f>'Summary-2010'!O5-'Summary-2000'!O5</f>
        <v>-123237.04281496373</v>
      </c>
      <c r="Q5" s="13">
        <f>'Summary-2010'!P5-'Summary-2000'!P5</f>
        <v>-168583.80965466774</v>
      </c>
      <c r="R5" s="13">
        <f>'Summary-2010'!Q5-'Summary-2000'!Q5</f>
        <v>205895.43680439005</v>
      </c>
      <c r="S5" s="13">
        <f>'Summary-2010'!R5-'Summary-2000'!R5</f>
        <v>0</v>
      </c>
      <c r="T5" s="13">
        <f>'Summary-2010'!S5-'Summary-2000'!S5</f>
        <v>0</v>
      </c>
      <c r="U5" s="13">
        <f>'Summary-2010'!T5-'Summary-2000'!T5</f>
        <v>0</v>
      </c>
      <c r="V5" s="13">
        <f>'Summary-2010'!U5-'Summary-2000'!U5</f>
        <v>0</v>
      </c>
      <c r="W5" s="13"/>
      <c r="X5" s="13">
        <f t="shared" si="5"/>
        <v>-172585.00000000006</v>
      </c>
      <c r="Z5" s="13">
        <f t="shared" si="0"/>
        <v>-36698.399401376228</v>
      </c>
      <c r="AA5" s="18">
        <f t="shared" si="6"/>
        <v>48</v>
      </c>
      <c r="AB5" s="18" t="str">
        <f t="shared" si="7"/>
        <v>Boston</v>
      </c>
      <c r="AC5" s="18">
        <f t="shared" si="8"/>
        <v>44</v>
      </c>
      <c r="AD5" s="18">
        <f t="shared" si="8"/>
        <v>45</v>
      </c>
      <c r="AE5" s="18">
        <f t="shared" si="8"/>
        <v>46</v>
      </c>
      <c r="AF5" s="18">
        <f t="shared" si="8"/>
        <v>48</v>
      </c>
      <c r="AG5" s="18">
        <f t="shared" si="8"/>
        <v>3</v>
      </c>
      <c r="AH5" s="18">
        <f t="shared" si="8"/>
        <v>2</v>
      </c>
      <c r="AI5" s="18" t="str">
        <f t="shared" si="2"/>
        <v>Boston</v>
      </c>
    </row>
    <row r="6" spans="1:35">
      <c r="A6" s="18" t="s">
        <v>30</v>
      </c>
      <c r="B6" s="13">
        <f>'Summary-2010'!B6-'Summary-2000'!B6</f>
        <v>-2091.5156346167932</v>
      </c>
      <c r="C6" s="13">
        <f>'Summary-2010'!C6-'Summary-2000'!C6</f>
        <v>-3470.2774268240319</v>
      </c>
      <c r="D6" s="13">
        <f>'Summary-2010'!D6-'Summary-2000'!D6</f>
        <v>-19923</v>
      </c>
      <c r="E6" s="13">
        <f>'Summary-2010'!E6-'Summary-2000'!E6</f>
        <v>-19923</v>
      </c>
      <c r="F6" s="13">
        <f>'Summary-2010'!F6-'Summary-2000'!F6</f>
        <v>-19923</v>
      </c>
      <c r="G6" s="13">
        <f>'Summary-2010'!G6-'Summary-2000'!G6</f>
        <v>-19923</v>
      </c>
      <c r="H6" s="13">
        <f>'Summary-2010'!H6-'Summary-2000'!H6</f>
        <v>-19923</v>
      </c>
      <c r="I6" s="13">
        <f>'Summary-2010'!I6-'Summary-2000'!I6</f>
        <v>-19923</v>
      </c>
      <c r="J6" s="13">
        <f>'Summary-2010'!J6-'Summary-2000'!J6</f>
        <v>-19923</v>
      </c>
      <c r="K6" s="18" t="str">
        <f t="shared" si="3"/>
        <v>Buffalo</v>
      </c>
      <c r="L6" s="13">
        <f t="shared" si="4"/>
        <v>-19924.000000000015</v>
      </c>
      <c r="M6" s="13"/>
      <c r="N6" s="13">
        <f>'Summary-2010'!M6-'Summary-2000'!M6</f>
        <v>-2091.5156346167932</v>
      </c>
      <c r="O6" s="13">
        <f>'Summary-2010'!N6-'Summary-2000'!N6</f>
        <v>-1379.7617922072532</v>
      </c>
      <c r="P6" s="13">
        <f>'Summary-2010'!O6-'Summary-2000'!O6</f>
        <v>-16452.722573175968</v>
      </c>
      <c r="Q6" s="13">
        <f>'Summary-2010'!P6-'Summary-2000'!P6</f>
        <v>0</v>
      </c>
      <c r="R6" s="13">
        <f>'Summary-2010'!Q6-'Summary-2000'!Q6</f>
        <v>0</v>
      </c>
      <c r="S6" s="13">
        <f>'Summary-2010'!R6-'Summary-2000'!R6</f>
        <v>0</v>
      </c>
      <c r="T6" s="13">
        <f>'Summary-2010'!S6-'Summary-2000'!S6</f>
        <v>0</v>
      </c>
      <c r="U6" s="13">
        <f>'Summary-2010'!T6-'Summary-2000'!T6</f>
        <v>0</v>
      </c>
      <c r="V6" s="13">
        <f>'Summary-2010'!U6-'Summary-2000'!U6</f>
        <v>0</v>
      </c>
      <c r="W6" s="13"/>
      <c r="X6" s="13">
        <f t="shared" si="5"/>
        <v>-19924.000000000015</v>
      </c>
      <c r="Z6" s="13">
        <f t="shared" si="0"/>
        <v>-2710.9049729230869</v>
      </c>
      <c r="AA6" s="18">
        <f t="shared" si="6"/>
        <v>35</v>
      </c>
      <c r="AB6" s="18" t="str">
        <f t="shared" si="7"/>
        <v>Buffalo</v>
      </c>
      <c r="AC6" s="18">
        <f t="shared" si="8"/>
        <v>34</v>
      </c>
      <c r="AD6" s="18">
        <f t="shared" si="8"/>
        <v>36</v>
      </c>
      <c r="AE6" s="18">
        <f t="shared" si="8"/>
        <v>36</v>
      </c>
      <c r="AF6" s="18">
        <f t="shared" si="8"/>
        <v>13</v>
      </c>
      <c r="AG6" s="18">
        <f t="shared" si="8"/>
        <v>7</v>
      </c>
      <c r="AH6" s="18">
        <f t="shared" si="8"/>
        <v>2</v>
      </c>
      <c r="AI6" s="18" t="str">
        <f t="shared" si="2"/>
        <v>Buffalo</v>
      </c>
    </row>
    <row r="7" spans="1:35">
      <c r="A7" s="18" t="s">
        <v>31</v>
      </c>
      <c r="B7" s="13">
        <f>'Summary-2010'!B7-'Summary-2000'!B7</f>
        <v>-24324.443222504036</v>
      </c>
      <c r="C7" s="13">
        <f>'Summary-2010'!C7-'Summary-2000'!C7</f>
        <v>-104189.79894999065</v>
      </c>
      <c r="D7" s="13">
        <f>'Summary-2010'!D7-'Summary-2000'!D7</f>
        <v>-84123</v>
      </c>
      <c r="E7" s="13">
        <f>'Summary-2010'!E7-'Summary-2000'!E7</f>
        <v>-84123</v>
      </c>
      <c r="F7" s="13">
        <f>'Summary-2010'!F7-'Summary-2000'!F7</f>
        <v>-84123</v>
      </c>
      <c r="G7" s="13">
        <f>'Summary-2010'!G7-'Summary-2000'!G7</f>
        <v>-84123</v>
      </c>
      <c r="H7" s="13">
        <f>'Summary-2010'!H7-'Summary-2000'!H7</f>
        <v>-84123</v>
      </c>
      <c r="I7" s="13">
        <f>'Summary-2010'!I7-'Summary-2000'!I7</f>
        <v>-84123</v>
      </c>
      <c r="J7" s="13">
        <f>'Summary-2010'!J7-'Summary-2000'!J7</f>
        <v>-84123</v>
      </c>
      <c r="K7" s="18" t="str">
        <f t="shared" si="3"/>
        <v>Charlotte</v>
      </c>
      <c r="L7" s="13">
        <f t="shared" si="4"/>
        <v>-84122.999999999985</v>
      </c>
      <c r="M7" s="13"/>
      <c r="N7" s="13">
        <f>'Summary-2010'!M7-'Summary-2000'!M7</f>
        <v>-24324.443222504036</v>
      </c>
      <c r="O7" s="13">
        <f>'Summary-2010'!N7-'Summary-2000'!N7</f>
        <v>-79865.355727486603</v>
      </c>
      <c r="P7" s="13">
        <f>'Summary-2010'!O7-'Summary-2000'!O7</f>
        <v>20066.798949990654</v>
      </c>
      <c r="Q7" s="13">
        <f>'Summary-2010'!P7-'Summary-2000'!P7</f>
        <v>0</v>
      </c>
      <c r="R7" s="13">
        <f>'Summary-2010'!Q7-'Summary-2000'!Q7</f>
        <v>0</v>
      </c>
      <c r="S7" s="13">
        <f>'Summary-2010'!R7-'Summary-2000'!R7</f>
        <v>0</v>
      </c>
      <c r="T7" s="13">
        <f>'Summary-2010'!S7-'Summary-2000'!S7</f>
        <v>0</v>
      </c>
      <c r="U7" s="13">
        <f>'Summary-2010'!T7-'Summary-2000'!T7</f>
        <v>0</v>
      </c>
      <c r="V7" s="13">
        <f>'Summary-2010'!U7-'Summary-2000'!U7</f>
        <v>0</v>
      </c>
      <c r="W7" s="13"/>
      <c r="X7" s="13">
        <f t="shared" si="5"/>
        <v>-84122.999999999985</v>
      </c>
      <c r="Z7" s="13">
        <f t="shared" si="0"/>
        <v>-25233.795175866679</v>
      </c>
      <c r="AA7" s="18">
        <f t="shared" si="6"/>
        <v>46</v>
      </c>
      <c r="AB7" s="18" t="str">
        <f t="shared" si="7"/>
        <v>Charlotte</v>
      </c>
      <c r="AC7" s="18">
        <f t="shared" si="8"/>
        <v>46</v>
      </c>
      <c r="AD7" s="18">
        <f t="shared" si="8"/>
        <v>46</v>
      </c>
      <c r="AE7" s="18">
        <f t="shared" si="8"/>
        <v>23</v>
      </c>
      <c r="AF7" s="18">
        <f t="shared" si="8"/>
        <v>13</v>
      </c>
      <c r="AG7" s="18">
        <f t="shared" si="8"/>
        <v>7</v>
      </c>
      <c r="AH7" s="18">
        <f t="shared" si="8"/>
        <v>2</v>
      </c>
      <c r="AI7" s="18" t="str">
        <f t="shared" si="2"/>
        <v>Charlotte</v>
      </c>
    </row>
    <row r="8" spans="1:35">
      <c r="A8" s="18" t="s">
        <v>32</v>
      </c>
      <c r="B8" s="13">
        <f>'Summary-2010'!B8-'Summary-2000'!B8</f>
        <v>30650.258420253827</v>
      </c>
      <c r="C8" s="13">
        <f>'Summary-2010'!C8-'Summary-2000'!C8</f>
        <v>140331.71802004281</v>
      </c>
      <c r="D8" s="13">
        <f>'Summary-2010'!D8-'Summary-2000'!D8</f>
        <v>321935.8406227571</v>
      </c>
      <c r="E8" s="13">
        <f>'Summary-2010'!E8-'Summary-2000'!E8</f>
        <v>597494.81690853322</v>
      </c>
      <c r="F8" s="13">
        <f>'Summary-2010'!F8-'Summary-2000'!F8</f>
        <v>952800.51500390191</v>
      </c>
      <c r="G8" s="13">
        <f>'Summary-2010'!G8-'Summary-2000'!G8</f>
        <v>44401</v>
      </c>
      <c r="H8" s="13">
        <f>'Summary-2010'!H8-'Summary-2000'!H8</f>
        <v>-392017</v>
      </c>
      <c r="I8" s="13">
        <f>'Summary-2010'!I8-'Summary-2000'!I8</f>
        <v>-392017</v>
      </c>
      <c r="J8" s="13">
        <f>'Summary-2010'!J8-'Summary-2000'!J8</f>
        <v>-392017</v>
      </c>
      <c r="K8" s="18" t="str">
        <f t="shared" si="3"/>
        <v>Chicago</v>
      </c>
      <c r="L8" s="13">
        <f t="shared" si="4"/>
        <v>-392017</v>
      </c>
      <c r="M8" s="13"/>
      <c r="N8" s="13">
        <f>'Summary-2010'!M8-'Summary-2000'!M8</f>
        <v>30650.258420253827</v>
      </c>
      <c r="O8" s="13">
        <f>'Summary-2010'!N8-'Summary-2000'!N8</f>
        <v>109681.459599789</v>
      </c>
      <c r="P8" s="13">
        <f>'Summary-2010'!O8-'Summary-2000'!O8</f>
        <v>181604.12260271423</v>
      </c>
      <c r="Q8" s="13">
        <f>'Summary-2010'!P8-'Summary-2000'!P8</f>
        <v>275558.97628577612</v>
      </c>
      <c r="R8" s="13">
        <f>'Summary-2010'!Q8-'Summary-2000'!Q8</f>
        <v>355305.69809536869</v>
      </c>
      <c r="S8" s="13">
        <f>'Summary-2010'!R8-'Summary-2000'!R8</f>
        <v>-908399.51500390191</v>
      </c>
      <c r="T8" s="13">
        <f>'Summary-2010'!S8-'Summary-2000'!S8</f>
        <v>-436418</v>
      </c>
      <c r="U8" s="13">
        <f>'Summary-2010'!T8-'Summary-2000'!T8</f>
        <v>0</v>
      </c>
      <c r="V8" s="13">
        <f>'Summary-2010'!U8-'Summary-2000'!U8</f>
        <v>0</v>
      </c>
      <c r="W8" s="13"/>
      <c r="X8" s="13">
        <f t="shared" si="5"/>
        <v>-392017.00000000006</v>
      </c>
      <c r="Z8" s="13">
        <f t="shared" si="0"/>
        <v>61041.437504604764</v>
      </c>
      <c r="AA8" s="18">
        <f t="shared" si="6"/>
        <v>5</v>
      </c>
      <c r="AB8" s="18" t="str">
        <f t="shared" si="7"/>
        <v>Chicago</v>
      </c>
      <c r="AC8" s="18">
        <f t="shared" si="8"/>
        <v>11</v>
      </c>
      <c r="AD8" s="18">
        <f t="shared" si="8"/>
        <v>9</v>
      </c>
      <c r="AE8" s="18">
        <f t="shared" si="8"/>
        <v>7</v>
      </c>
      <c r="AF8" s="18">
        <f t="shared" si="8"/>
        <v>2</v>
      </c>
      <c r="AG8" s="18">
        <f t="shared" si="8"/>
        <v>1</v>
      </c>
      <c r="AH8" s="18">
        <f t="shared" ref="AH8:AH52" si="9">RANK(S8,S$2:S$52)</f>
        <v>50</v>
      </c>
      <c r="AI8" s="18" t="str">
        <f t="shared" si="2"/>
        <v>Chicago</v>
      </c>
    </row>
    <row r="9" spans="1:35">
      <c r="A9" s="18" t="s">
        <v>33</v>
      </c>
      <c r="B9" s="13">
        <f>'Summary-2010'!B9-'Summary-2000'!B9</f>
        <v>-6067.8153142347437</v>
      </c>
      <c r="C9" s="13">
        <f>'Summary-2010'!C9-'Summary-2000'!C9</f>
        <v>-32415.972892784746</v>
      </c>
      <c r="D9" s="13">
        <f>'Summary-2010'!D9-'Summary-2000'!D9</f>
        <v>-68863.292455590912</v>
      </c>
      <c r="E9" s="13">
        <f>'Summary-2010'!E9-'Summary-2000'!E9</f>
        <v>-60406</v>
      </c>
      <c r="F9" s="13">
        <f>'Summary-2010'!F9-'Summary-2000'!F9</f>
        <v>-60406</v>
      </c>
      <c r="G9" s="13">
        <f>'Summary-2010'!G9-'Summary-2000'!G9</f>
        <v>-60406</v>
      </c>
      <c r="H9" s="13">
        <f>'Summary-2010'!H9-'Summary-2000'!H9</f>
        <v>-60406</v>
      </c>
      <c r="I9" s="13">
        <f>'Summary-2010'!I9-'Summary-2000'!I9</f>
        <v>-60406</v>
      </c>
      <c r="J9" s="13">
        <f>'Summary-2010'!J9-'Summary-2000'!J9</f>
        <v>-60406</v>
      </c>
      <c r="K9" s="18" t="str">
        <f t="shared" si="3"/>
        <v>Cincinnati</v>
      </c>
      <c r="L9" s="13">
        <f t="shared" si="4"/>
        <v>-60405.999999999985</v>
      </c>
      <c r="M9" s="13"/>
      <c r="N9" s="13">
        <f>'Summary-2010'!M9-'Summary-2000'!M9</f>
        <v>-6067.8153142347437</v>
      </c>
      <c r="O9" s="13">
        <f>'Summary-2010'!N9-'Summary-2000'!N9</f>
        <v>-26348.157578549988</v>
      </c>
      <c r="P9" s="13">
        <f>'Summary-2010'!O9-'Summary-2000'!O9</f>
        <v>-36447.319562806166</v>
      </c>
      <c r="Q9" s="13">
        <f>'Summary-2010'!P9-'Summary-2000'!P9</f>
        <v>8457.2924555909121</v>
      </c>
      <c r="R9" s="13">
        <f>'Summary-2010'!Q9-'Summary-2000'!Q9</f>
        <v>0</v>
      </c>
      <c r="S9" s="13">
        <f>'Summary-2010'!R9-'Summary-2000'!R9</f>
        <v>0</v>
      </c>
      <c r="T9" s="13">
        <f>'Summary-2010'!S9-'Summary-2000'!S9</f>
        <v>0</v>
      </c>
      <c r="U9" s="13">
        <f>'Summary-2010'!T9-'Summary-2000'!T9</f>
        <v>0</v>
      </c>
      <c r="V9" s="13">
        <f>'Summary-2010'!U9-'Summary-2000'!U9</f>
        <v>0</v>
      </c>
      <c r="W9" s="13"/>
      <c r="X9" s="13">
        <f t="shared" si="5"/>
        <v>-60405.999999999985</v>
      </c>
      <c r="Z9" s="13">
        <f t="shared" si="0"/>
        <v>-11007.73479372689</v>
      </c>
      <c r="AA9" s="18">
        <f t="shared" si="6"/>
        <v>39</v>
      </c>
      <c r="AB9" s="18" t="str">
        <f t="shared" si="7"/>
        <v>Cincinnati</v>
      </c>
      <c r="AC9" s="18">
        <f t="shared" si="8"/>
        <v>38</v>
      </c>
      <c r="AD9" s="18">
        <f t="shared" si="8"/>
        <v>40</v>
      </c>
      <c r="AE9" s="18">
        <f t="shared" si="8"/>
        <v>38</v>
      </c>
      <c r="AF9" s="18">
        <f t="shared" si="8"/>
        <v>12</v>
      </c>
      <c r="AG9" s="18">
        <f t="shared" si="8"/>
        <v>7</v>
      </c>
      <c r="AH9" s="18">
        <f t="shared" si="9"/>
        <v>2</v>
      </c>
      <c r="AI9" s="18" t="str">
        <f t="shared" si="2"/>
        <v>Cincinnati</v>
      </c>
    </row>
    <row r="10" spans="1:35">
      <c r="A10" s="18" t="s">
        <v>34</v>
      </c>
      <c r="B10" s="13">
        <f>'Summary-2010'!B10-'Summary-2000'!B10</f>
        <v>-48102.945162968288</v>
      </c>
      <c r="C10" s="13">
        <f>'Summary-2010'!C10-'Summary-2000'!C10</f>
        <v>-216261.26993489318</v>
      </c>
      <c r="D10" s="13">
        <f>'Summary-2010'!D10-'Summary-2000'!D10</f>
        <v>-207518</v>
      </c>
      <c r="E10" s="13">
        <f>'Summary-2010'!E10-'Summary-2000'!E10</f>
        <v>-207518</v>
      </c>
      <c r="F10" s="13">
        <f>'Summary-2010'!F10-'Summary-2000'!F10</f>
        <v>-207518</v>
      </c>
      <c r="G10" s="13">
        <f>'Summary-2010'!G10-'Summary-2000'!G10</f>
        <v>-207518</v>
      </c>
      <c r="H10" s="13">
        <f>'Summary-2010'!H10-'Summary-2000'!H10</f>
        <v>-207518</v>
      </c>
      <c r="I10" s="13">
        <f>'Summary-2010'!I10-'Summary-2000'!I10</f>
        <v>-207518</v>
      </c>
      <c r="J10" s="13">
        <f>'Summary-2010'!J10-'Summary-2000'!J10</f>
        <v>-207518</v>
      </c>
      <c r="K10" s="18" t="str">
        <f t="shared" si="3"/>
        <v>Cleveland</v>
      </c>
      <c r="L10" s="13">
        <f t="shared" si="4"/>
        <v>-207518</v>
      </c>
      <c r="M10" s="13"/>
      <c r="N10" s="13">
        <f>'Summary-2010'!M10-'Summary-2000'!M10</f>
        <v>-48102.945162968288</v>
      </c>
      <c r="O10" s="13">
        <f>'Summary-2010'!N10-'Summary-2000'!N10</f>
        <v>-168158.32477192488</v>
      </c>
      <c r="P10" s="13">
        <f>'Summary-2010'!O10-'Summary-2000'!O10</f>
        <v>8743.2699348931783</v>
      </c>
      <c r="Q10" s="13">
        <f>'Summary-2010'!P10-'Summary-2000'!P10</f>
        <v>0</v>
      </c>
      <c r="R10" s="13">
        <f>'Summary-2010'!Q10-'Summary-2000'!Q10</f>
        <v>0</v>
      </c>
      <c r="S10" s="13">
        <f>'Summary-2010'!R10-'Summary-2000'!R10</f>
        <v>0</v>
      </c>
      <c r="T10" s="13">
        <f>'Summary-2010'!S10-'Summary-2000'!S10</f>
        <v>0</v>
      </c>
      <c r="U10" s="13">
        <f>'Summary-2010'!T10-'Summary-2000'!T10</f>
        <v>0</v>
      </c>
      <c r="V10" s="13">
        <f>'Summary-2010'!U10-'Summary-2000'!U10</f>
        <v>0</v>
      </c>
      <c r="W10" s="13"/>
      <c r="X10" s="13">
        <f t="shared" si="5"/>
        <v>-207518</v>
      </c>
      <c r="Z10" s="13">
        <f t="shared" si="0"/>
        <v>-54771.455210779728</v>
      </c>
      <c r="AA10" s="18">
        <f t="shared" si="6"/>
        <v>50</v>
      </c>
      <c r="AB10" s="18" t="str">
        <f t="shared" si="7"/>
        <v>Cleveland</v>
      </c>
      <c r="AC10" s="18">
        <f t="shared" si="8"/>
        <v>50</v>
      </c>
      <c r="AD10" s="18">
        <f t="shared" si="8"/>
        <v>49</v>
      </c>
      <c r="AE10" s="18">
        <f t="shared" si="8"/>
        <v>29</v>
      </c>
      <c r="AF10" s="18">
        <f t="shared" si="8"/>
        <v>13</v>
      </c>
      <c r="AG10" s="18">
        <f t="shared" si="8"/>
        <v>7</v>
      </c>
      <c r="AH10" s="18">
        <f t="shared" si="9"/>
        <v>2</v>
      </c>
      <c r="AI10" s="18" t="str">
        <f t="shared" si="2"/>
        <v>Cleveland</v>
      </c>
    </row>
    <row r="11" spans="1:35">
      <c r="A11" s="18" t="s">
        <v>35</v>
      </c>
      <c r="B11" s="13">
        <f>'Summary-2010'!B11-'Summary-2000'!B11</f>
        <v>-23046.202187383387</v>
      </c>
      <c r="C11" s="13">
        <f>'Summary-2010'!C11-'Summary-2000'!C11</f>
        <v>-82699.985142950783</v>
      </c>
      <c r="D11" s="13">
        <f>'Summary-2010'!D11-'Summary-2000'!D11</f>
        <v>-23179</v>
      </c>
      <c r="E11" s="13">
        <f>'Summary-2010'!E11-'Summary-2000'!E11</f>
        <v>-23179</v>
      </c>
      <c r="F11" s="13">
        <f>'Summary-2010'!F11-'Summary-2000'!F11</f>
        <v>-23179</v>
      </c>
      <c r="G11" s="13">
        <f>'Summary-2010'!G11-'Summary-2000'!G11</f>
        <v>-23179</v>
      </c>
      <c r="H11" s="13">
        <f>'Summary-2010'!H11-'Summary-2000'!H11</f>
        <v>-23179</v>
      </c>
      <c r="I11" s="13">
        <f>'Summary-2010'!I11-'Summary-2000'!I11</f>
        <v>-23179</v>
      </c>
      <c r="J11" s="13">
        <f>'Summary-2010'!J11-'Summary-2000'!J11</f>
        <v>-23179</v>
      </c>
      <c r="K11" s="18" t="str">
        <f t="shared" si="3"/>
        <v>Columbus</v>
      </c>
      <c r="L11" s="13">
        <f t="shared" si="4"/>
        <v>-23179.000000000015</v>
      </c>
      <c r="M11" s="13"/>
      <c r="N11" s="13">
        <f>'Summary-2010'!M11-'Summary-2000'!M11</f>
        <v>-23046.202187383387</v>
      </c>
      <c r="O11" s="13">
        <f>'Summary-2010'!N11-'Summary-2000'!N11</f>
        <v>-59653.782955567411</v>
      </c>
      <c r="P11" s="13">
        <f>'Summary-2010'!O11-'Summary-2000'!O11</f>
        <v>59520.985142950783</v>
      </c>
      <c r="Q11" s="13">
        <f>'Summary-2010'!P11-'Summary-2000'!P11</f>
        <v>0</v>
      </c>
      <c r="R11" s="13">
        <f>'Summary-2010'!Q11-'Summary-2000'!Q11</f>
        <v>0</v>
      </c>
      <c r="S11" s="13">
        <f>'Summary-2010'!R11-'Summary-2000'!R11</f>
        <v>0</v>
      </c>
      <c r="T11" s="13">
        <f>'Summary-2010'!S11-'Summary-2000'!S11</f>
        <v>0</v>
      </c>
      <c r="U11" s="13">
        <f>'Summary-2010'!T11-'Summary-2000'!T11</f>
        <v>0</v>
      </c>
      <c r="V11" s="13">
        <f>'Summary-2010'!U11-'Summary-2000'!U11</f>
        <v>0</v>
      </c>
      <c r="W11" s="13"/>
      <c r="X11" s="13">
        <f t="shared" si="5"/>
        <v>-23179.000000000015</v>
      </c>
      <c r="Z11" s="13">
        <f t="shared" si="0"/>
        <v>-16999.595269692982</v>
      </c>
      <c r="AA11" s="18">
        <f t="shared" si="6"/>
        <v>42</v>
      </c>
      <c r="AB11" s="18" t="str">
        <f t="shared" si="7"/>
        <v>Columbus</v>
      </c>
      <c r="AC11" s="18">
        <f t="shared" si="8"/>
        <v>45</v>
      </c>
      <c r="AD11" s="18">
        <f t="shared" si="8"/>
        <v>44</v>
      </c>
      <c r="AE11" s="18">
        <f t="shared" si="8"/>
        <v>11</v>
      </c>
      <c r="AF11" s="18">
        <f t="shared" si="8"/>
        <v>13</v>
      </c>
      <c r="AG11" s="18">
        <f t="shared" si="8"/>
        <v>7</v>
      </c>
      <c r="AH11" s="18">
        <f t="shared" si="9"/>
        <v>2</v>
      </c>
      <c r="AI11" s="18" t="str">
        <f t="shared" si="2"/>
        <v>Columbus</v>
      </c>
    </row>
    <row r="12" spans="1:35">
      <c r="A12" s="18" t="s">
        <v>61</v>
      </c>
      <c r="B12" s="13">
        <f>'Summary-2010'!B12-'Summary-2000'!B12</f>
        <v>-2750.4910807826818</v>
      </c>
      <c r="C12" s="13">
        <f>'Summary-2010'!C12-'Summary-2000'!C12</f>
        <v>2966.2483771450934</v>
      </c>
      <c r="D12" s="13">
        <f>'Summary-2010'!D12-'Summary-2000'!D12</f>
        <v>16389.118193305563</v>
      </c>
      <c r="E12" s="13">
        <f>'Summary-2010'!E12-'Summary-2000'!E12</f>
        <v>34417.456304164138</v>
      </c>
      <c r="F12" s="13">
        <f>'Summary-2010'!F12-'Summary-2000'!F12</f>
        <v>-90803</v>
      </c>
      <c r="G12" s="13">
        <f>'Summary-2010'!G12-'Summary-2000'!G12</f>
        <v>-90803</v>
      </c>
      <c r="H12" s="13">
        <f>'Summary-2010'!H12-'Summary-2000'!H12</f>
        <v>-90803</v>
      </c>
      <c r="I12" s="13">
        <f>'Summary-2010'!I12-'Summary-2000'!I12</f>
        <v>-90803</v>
      </c>
      <c r="J12" s="13">
        <f>'Summary-2010'!J12-'Summary-2000'!J12</f>
        <v>-90803</v>
      </c>
      <c r="K12" s="18" t="str">
        <f t="shared" si="3"/>
        <v>Dallas-Fort Worth</v>
      </c>
      <c r="L12" s="13">
        <f t="shared" si="4"/>
        <v>-90803.999999999956</v>
      </c>
      <c r="M12" s="13"/>
      <c r="N12" s="13">
        <f>'Summary-2010'!M12-'Summary-2000'!M12</f>
        <v>-2750.4910807826818</v>
      </c>
      <c r="O12" s="13">
        <f>'Summary-2010'!N12-'Summary-2000'!N12</f>
        <v>5715.7394579277607</v>
      </c>
      <c r="P12" s="13">
        <f>'Summary-2010'!O12-'Summary-2000'!O12</f>
        <v>13422.869816160528</v>
      </c>
      <c r="Q12" s="13">
        <f>'Summary-2010'!P12-'Summary-2000'!P12</f>
        <v>18028.338110858575</v>
      </c>
      <c r="R12" s="13">
        <f>'Summary-2010'!Q12-'Summary-2000'!Q12</f>
        <v>-125220.45630416414</v>
      </c>
      <c r="S12" s="13">
        <f>'Summary-2010'!R12-'Summary-2000'!R12</f>
        <v>0</v>
      </c>
      <c r="T12" s="13">
        <f>'Summary-2010'!S12-'Summary-2000'!S12</f>
        <v>0</v>
      </c>
      <c r="U12" s="13">
        <f>'Summary-2010'!T12-'Summary-2000'!T12</f>
        <v>0</v>
      </c>
      <c r="V12" s="13">
        <f>'Summary-2010'!U12-'Summary-2000'!U12</f>
        <v>0</v>
      </c>
      <c r="W12" s="13"/>
      <c r="X12" s="13">
        <f t="shared" si="5"/>
        <v>-90803.999999999956</v>
      </c>
      <c r="Z12" s="13">
        <f t="shared" si="0"/>
        <v>-422.81000051296701</v>
      </c>
      <c r="AA12" s="18">
        <f t="shared" si="6"/>
        <v>32</v>
      </c>
      <c r="AB12" s="18" t="str">
        <f t="shared" si="7"/>
        <v>Dallas-Fort Worth</v>
      </c>
      <c r="AC12" s="18">
        <f t="shared" si="8"/>
        <v>35</v>
      </c>
      <c r="AD12" s="18">
        <f t="shared" si="8"/>
        <v>34</v>
      </c>
      <c r="AE12" s="18">
        <f t="shared" si="8"/>
        <v>26</v>
      </c>
      <c r="AF12" s="18">
        <f t="shared" si="8"/>
        <v>10</v>
      </c>
      <c r="AG12" s="18">
        <f t="shared" si="8"/>
        <v>47</v>
      </c>
      <c r="AH12" s="18">
        <f t="shared" si="9"/>
        <v>2</v>
      </c>
      <c r="AI12" s="18" t="str">
        <f t="shared" si="2"/>
        <v>Dallas-Fort Worth</v>
      </c>
    </row>
    <row r="13" spans="1:35">
      <c r="A13" s="18" t="s">
        <v>36</v>
      </c>
      <c r="B13" s="13">
        <f>'Summary-2010'!B13-'Summary-2000'!B13</f>
        <v>-3195.4968713702838</v>
      </c>
      <c r="C13" s="13">
        <f>'Summary-2010'!C13-'Summary-2000'!C13</f>
        <v>-1862.2772067525075</v>
      </c>
      <c r="D13" s="13">
        <f>'Summary-2010'!D13-'Summary-2000'!D13</f>
        <v>10447.553887621732</v>
      </c>
      <c r="E13" s="13">
        <f>'Summary-2010'!E13-'Summary-2000'!E13</f>
        <v>-42363</v>
      </c>
      <c r="F13" s="13">
        <f>'Summary-2010'!F13-'Summary-2000'!F13</f>
        <v>-42363</v>
      </c>
      <c r="G13" s="13">
        <f>'Summary-2010'!G13-'Summary-2000'!G13</f>
        <v>-42363</v>
      </c>
      <c r="H13" s="13">
        <f>'Summary-2010'!H13-'Summary-2000'!H13</f>
        <v>-42363</v>
      </c>
      <c r="I13" s="13">
        <f>'Summary-2010'!I13-'Summary-2000'!I13</f>
        <v>-42363</v>
      </c>
      <c r="J13" s="13">
        <f>'Summary-2010'!J13-'Summary-2000'!J13</f>
        <v>-42363</v>
      </c>
      <c r="K13" s="18" t="str">
        <f t="shared" si="3"/>
        <v>Denver</v>
      </c>
      <c r="L13" s="13">
        <f t="shared" si="4"/>
        <v>-42363.999999999985</v>
      </c>
      <c r="M13" s="13"/>
      <c r="N13" s="13">
        <f>'Summary-2010'!M13-'Summary-2000'!M13</f>
        <v>-3195.4968713702838</v>
      </c>
      <c r="O13" s="13">
        <f>'Summary-2010'!N13-'Summary-2000'!N13</f>
        <v>1332.2196646177908</v>
      </c>
      <c r="P13" s="13">
        <f>'Summary-2010'!O13-'Summary-2000'!O13</f>
        <v>12309.83109437424</v>
      </c>
      <c r="Q13" s="13">
        <f>'Summary-2010'!P13-'Summary-2000'!P13</f>
        <v>-52810.553887621732</v>
      </c>
      <c r="R13" s="13">
        <f>'Summary-2010'!Q13-'Summary-2000'!Q13</f>
        <v>0</v>
      </c>
      <c r="S13" s="13">
        <f>'Summary-2010'!R13-'Summary-2000'!R13</f>
        <v>0</v>
      </c>
      <c r="T13" s="13">
        <f>'Summary-2010'!S13-'Summary-2000'!S13</f>
        <v>0</v>
      </c>
      <c r="U13" s="13">
        <f>'Summary-2010'!T13-'Summary-2000'!T13</f>
        <v>0</v>
      </c>
      <c r="V13" s="13">
        <f>'Summary-2010'!U13-'Summary-2000'!U13</f>
        <v>0</v>
      </c>
      <c r="W13" s="13"/>
      <c r="X13" s="13">
        <f t="shared" si="5"/>
        <v>-42363.999999999985</v>
      </c>
      <c r="Z13" s="13">
        <f t="shared" si="0"/>
        <v>-2202.8106751200303</v>
      </c>
      <c r="AA13" s="18">
        <f t="shared" si="6"/>
        <v>33</v>
      </c>
      <c r="AB13" s="18" t="str">
        <f t="shared" si="7"/>
        <v>Denver</v>
      </c>
      <c r="AC13" s="18">
        <f t="shared" si="8"/>
        <v>36</v>
      </c>
      <c r="AD13" s="18">
        <f t="shared" si="8"/>
        <v>35</v>
      </c>
      <c r="AE13" s="18">
        <f t="shared" si="8"/>
        <v>27</v>
      </c>
      <c r="AF13" s="18">
        <f t="shared" si="8"/>
        <v>42</v>
      </c>
      <c r="AG13" s="18">
        <f t="shared" si="8"/>
        <v>7</v>
      </c>
      <c r="AH13" s="18">
        <f t="shared" si="9"/>
        <v>2</v>
      </c>
      <c r="AI13" s="18" t="str">
        <f t="shared" si="2"/>
        <v>Denver</v>
      </c>
    </row>
    <row r="14" spans="1:35">
      <c r="A14" s="18" t="s">
        <v>37</v>
      </c>
      <c r="B14" s="13">
        <f>'Summary-2010'!B14-'Summary-2000'!B14</f>
        <v>8239.7805830261495</v>
      </c>
      <c r="C14" s="13">
        <f>'Summary-2010'!C14-'Summary-2000'!C14</f>
        <v>44409.73609254614</v>
      </c>
      <c r="D14" s="13">
        <f>'Summary-2010'!D14-'Summary-2000'!D14</f>
        <v>102747.20450600912</v>
      </c>
      <c r="E14" s="13">
        <f>'Summary-2010'!E14-'Summary-2000'!E14</f>
        <v>77627</v>
      </c>
      <c r="F14" s="13">
        <f>'Summary-2010'!F14-'Summary-2000'!F14</f>
        <v>-452290</v>
      </c>
      <c r="G14" s="13">
        <f>'Summary-2010'!G14-'Summary-2000'!G14</f>
        <v>-452290</v>
      </c>
      <c r="H14" s="13">
        <f>'Summary-2010'!H14-'Summary-2000'!H14</f>
        <v>-452290</v>
      </c>
      <c r="I14" s="13">
        <f>'Summary-2010'!I14-'Summary-2000'!I14</f>
        <v>-452290</v>
      </c>
      <c r="J14" s="13">
        <f>'Summary-2010'!J14-'Summary-2000'!J14</f>
        <v>-452290</v>
      </c>
      <c r="K14" s="18" t="str">
        <f t="shared" si="3"/>
        <v>Detroit</v>
      </c>
      <c r="L14" s="13">
        <f t="shared" si="4"/>
        <v>-452290</v>
      </c>
      <c r="M14" s="13"/>
      <c r="N14" s="13">
        <f>'Summary-2010'!M14-'Summary-2000'!M14</f>
        <v>8239.7805830261495</v>
      </c>
      <c r="O14" s="13">
        <f>'Summary-2010'!N14-'Summary-2000'!N14</f>
        <v>36169.955509520019</v>
      </c>
      <c r="P14" s="13">
        <f>'Summary-2010'!O14-'Summary-2000'!O14</f>
        <v>58337.468413462979</v>
      </c>
      <c r="Q14" s="13">
        <f>'Summary-2010'!P14-'Summary-2000'!P14</f>
        <v>-25120.204506009119</v>
      </c>
      <c r="R14" s="13">
        <f>'Summary-2010'!Q14-'Summary-2000'!Q14</f>
        <v>-529917</v>
      </c>
      <c r="S14" s="13">
        <f>'Summary-2010'!R14-'Summary-2000'!R14</f>
        <v>0</v>
      </c>
      <c r="T14" s="13">
        <f>'Summary-2010'!S14-'Summary-2000'!S14</f>
        <v>0</v>
      </c>
      <c r="U14" s="13">
        <f>'Summary-2010'!T14-'Summary-2000'!T14</f>
        <v>0</v>
      </c>
      <c r="V14" s="13">
        <f>'Summary-2010'!U14-'Summary-2000'!U14</f>
        <v>0</v>
      </c>
      <c r="W14" s="13"/>
      <c r="X14" s="13">
        <f t="shared" si="5"/>
        <v>-452290</v>
      </c>
      <c r="Z14" s="13">
        <f t="shared" si="0"/>
        <v>5567.4925688195726</v>
      </c>
      <c r="AA14" s="18">
        <f t="shared" si="6"/>
        <v>28</v>
      </c>
      <c r="AB14" s="18" t="str">
        <f t="shared" si="7"/>
        <v>Detroit</v>
      </c>
      <c r="AC14" s="18">
        <f t="shared" si="8"/>
        <v>23</v>
      </c>
      <c r="AD14" s="18">
        <f t="shared" si="8"/>
        <v>23</v>
      </c>
      <c r="AE14" s="18">
        <f t="shared" si="8"/>
        <v>12</v>
      </c>
      <c r="AF14" s="18">
        <f t="shared" si="8"/>
        <v>41</v>
      </c>
      <c r="AG14" s="18">
        <f t="shared" si="8"/>
        <v>50</v>
      </c>
      <c r="AH14" s="18">
        <f t="shared" si="9"/>
        <v>2</v>
      </c>
      <c r="AI14" s="18" t="str">
        <f t="shared" si="2"/>
        <v>Detroit</v>
      </c>
    </row>
    <row r="15" spans="1:35">
      <c r="A15" s="18" t="s">
        <v>79</v>
      </c>
      <c r="B15" s="13">
        <f>'Summary-2010'!B15-'Summary-2000'!B15</f>
        <v>-25723.796828769628</v>
      </c>
      <c r="C15" s="13">
        <f>'Summary-2010'!C15-'Summary-2000'!C15</f>
        <v>-212598</v>
      </c>
      <c r="D15" s="13">
        <f>'Summary-2010'!D15-'Summary-2000'!D15</f>
        <v>-212598</v>
      </c>
      <c r="E15" s="13">
        <f>'Summary-2010'!E15-'Summary-2000'!E15</f>
        <v>-212598</v>
      </c>
      <c r="F15" s="13">
        <f>'Summary-2010'!F15-'Summary-2000'!F15</f>
        <v>-212598</v>
      </c>
      <c r="G15" s="13">
        <f>'Summary-2010'!G15-'Summary-2000'!G15</f>
        <v>-212598</v>
      </c>
      <c r="H15" s="13">
        <f>'Summary-2010'!H15-'Summary-2000'!H15</f>
        <v>-212598</v>
      </c>
      <c r="I15" s="13">
        <f>'Summary-2010'!I15-'Summary-2000'!I15</f>
        <v>-212598</v>
      </c>
      <c r="J15" s="13">
        <f>'Summary-2010'!J15-'Summary-2000'!J15</f>
        <v>-212598</v>
      </c>
      <c r="K15" s="18" t="str">
        <f t="shared" si="3"/>
        <v>Grand Rapids</v>
      </c>
      <c r="L15" s="13">
        <f t="shared" si="4"/>
        <v>-212598</v>
      </c>
      <c r="M15" s="13"/>
      <c r="N15" s="13">
        <f>'Summary-2010'!M15-'Summary-2000'!M15</f>
        <v>-25723.796828769628</v>
      </c>
      <c r="O15" s="13">
        <f>'Summary-2010'!N15-'Summary-2000'!N15</f>
        <v>-186874.20317123039</v>
      </c>
      <c r="P15" s="13">
        <f>'Summary-2010'!O15-'Summary-2000'!O15</f>
        <v>0</v>
      </c>
      <c r="Q15" s="13">
        <f>'Summary-2010'!P15-'Summary-2000'!P15</f>
        <v>0</v>
      </c>
      <c r="R15" s="13">
        <f>'Summary-2010'!Q15-'Summary-2000'!Q15</f>
        <v>0</v>
      </c>
      <c r="S15" s="13">
        <f>'Summary-2010'!R15-'Summary-2000'!R15</f>
        <v>0</v>
      </c>
      <c r="T15" s="13">
        <f>'Summary-2010'!S15-'Summary-2000'!S15</f>
        <v>0</v>
      </c>
      <c r="U15" s="13">
        <f>'Summary-2010'!T15-'Summary-2000'!T15</f>
        <v>0</v>
      </c>
      <c r="V15" s="13">
        <f>'Summary-2010'!U15-'Summary-2000'!U15</f>
        <v>0</v>
      </c>
      <c r="W15" s="13"/>
      <c r="X15" s="13">
        <f t="shared" si="5"/>
        <v>-212598</v>
      </c>
      <c r="Z15" s="13">
        <f t="shared" si="0"/>
        <v>-49287.697905530127</v>
      </c>
      <c r="AA15" s="18">
        <f t="shared" si="6"/>
        <v>49</v>
      </c>
      <c r="AB15" s="18" t="str">
        <f t="shared" si="7"/>
        <v>Grand Rapids</v>
      </c>
      <c r="AC15" s="18">
        <f t="shared" si="8"/>
        <v>48</v>
      </c>
      <c r="AD15" s="18">
        <f t="shared" si="8"/>
        <v>50</v>
      </c>
      <c r="AE15" s="18">
        <f t="shared" si="8"/>
        <v>31</v>
      </c>
      <c r="AF15" s="18">
        <f t="shared" si="8"/>
        <v>13</v>
      </c>
      <c r="AG15" s="18">
        <f t="shared" si="8"/>
        <v>7</v>
      </c>
      <c r="AH15" s="18">
        <f t="shared" si="9"/>
        <v>2</v>
      </c>
      <c r="AI15" s="18" t="str">
        <f t="shared" si="2"/>
        <v>Grand Rapids</v>
      </c>
    </row>
    <row r="16" spans="1:35">
      <c r="A16" s="18" t="s">
        <v>511</v>
      </c>
      <c r="B16" s="13">
        <f>'Summary-2010'!B16-'Summary-2000'!B16</f>
        <v>30511.219312742964</v>
      </c>
      <c r="C16" s="13">
        <f>'Summary-2010'!C16-'Summary-2000'!C16</f>
        <v>132620.80311497266</v>
      </c>
      <c r="D16" s="13">
        <f>'Summary-2010'!D16-'Summary-2000'!D16</f>
        <v>41391</v>
      </c>
      <c r="E16" s="13">
        <f>'Summary-2010'!E16-'Summary-2000'!E16</f>
        <v>20163</v>
      </c>
      <c r="F16" s="13">
        <f>'Summary-2010'!F16-'Summary-2000'!F16</f>
        <v>20163</v>
      </c>
      <c r="G16" s="13">
        <f>'Summary-2010'!G16-'Summary-2000'!G16</f>
        <v>20163</v>
      </c>
      <c r="H16" s="13">
        <f>'Summary-2010'!H16-'Summary-2000'!H16</f>
        <v>20163</v>
      </c>
      <c r="I16" s="13">
        <f>'Summary-2010'!I16-'Summary-2000'!I16</f>
        <v>20163</v>
      </c>
      <c r="J16" s="13">
        <f>'Summary-2010'!J16-'Summary-2000'!J16</f>
        <v>20163</v>
      </c>
      <c r="K16" s="18" t="str">
        <f t="shared" si="3"/>
        <v>Virginia Beach</v>
      </c>
      <c r="L16" s="13">
        <f t="shared" si="4"/>
        <v>20162.000000000029</v>
      </c>
      <c r="M16" s="13"/>
      <c r="N16" s="13">
        <f>'Summary-2010'!M16-'Summary-2000'!M16</f>
        <v>30511.219312742964</v>
      </c>
      <c r="O16" s="13">
        <f>'Summary-2010'!N16-'Summary-2000'!N16</f>
        <v>102108.58380222972</v>
      </c>
      <c r="P16" s="13">
        <f>'Summary-2010'!O16-'Summary-2000'!O16</f>
        <v>-91229.803114972659</v>
      </c>
      <c r="Q16" s="13">
        <f>'Summary-2010'!P16-'Summary-2000'!P16</f>
        <v>-21228</v>
      </c>
      <c r="R16" s="13">
        <f>'Summary-2010'!Q16-'Summary-2000'!Q16</f>
        <v>0</v>
      </c>
      <c r="S16" s="13">
        <f>'Summary-2010'!R16-'Summary-2000'!R16</f>
        <v>0</v>
      </c>
      <c r="T16" s="13">
        <f>'Summary-2010'!S16-'Summary-2000'!S16</f>
        <v>0</v>
      </c>
      <c r="U16" s="13">
        <f>'Summary-2010'!T16-'Summary-2000'!T16</f>
        <v>0</v>
      </c>
      <c r="V16" s="13">
        <f>'Summary-2010'!U16-'Summary-2000'!U16</f>
        <v>0</v>
      </c>
      <c r="W16" s="13"/>
      <c r="X16" s="13">
        <f t="shared" si="5"/>
        <v>20162.000000000029</v>
      </c>
      <c r="Z16" s="13">
        <f t="shared" si="0"/>
        <v>25183.46101114466</v>
      </c>
      <c r="AA16" s="18">
        <f t="shared" si="6"/>
        <v>12</v>
      </c>
      <c r="AB16" s="18" t="str">
        <f t="shared" si="7"/>
        <v>Virginia Beach</v>
      </c>
      <c r="AC16" s="18">
        <f t="shared" si="8"/>
        <v>13</v>
      </c>
      <c r="AD16" s="18">
        <f t="shared" si="8"/>
        <v>12</v>
      </c>
      <c r="AE16" s="18">
        <f t="shared" si="8"/>
        <v>44</v>
      </c>
      <c r="AF16" s="18">
        <f t="shared" si="8"/>
        <v>40</v>
      </c>
      <c r="AG16" s="18">
        <f t="shared" si="8"/>
        <v>7</v>
      </c>
      <c r="AH16" s="18">
        <f t="shared" si="9"/>
        <v>2</v>
      </c>
      <c r="AI16" s="18" t="str">
        <f t="shared" si="2"/>
        <v>Virginia Beach</v>
      </c>
    </row>
    <row r="17" spans="1:35">
      <c r="A17" s="18" t="s">
        <v>38</v>
      </c>
      <c r="B17" s="13">
        <f>'Summary-2010'!B17-'Summary-2000'!B17</f>
        <v>-30412.25327423148</v>
      </c>
      <c r="C17" s="13">
        <f>'Summary-2010'!C17-'Summary-2000'!C17</f>
        <v>-129674.88518613233</v>
      </c>
      <c r="D17" s="13">
        <f>'Summary-2010'!D17-'Summary-2000'!D17</f>
        <v>-38598</v>
      </c>
      <c r="E17" s="13">
        <f>'Summary-2010'!E17-'Summary-2000'!E17</f>
        <v>-38598</v>
      </c>
      <c r="F17" s="13">
        <f>'Summary-2010'!F17-'Summary-2000'!F17</f>
        <v>-38598</v>
      </c>
      <c r="G17" s="13">
        <f>'Summary-2010'!G17-'Summary-2000'!G17</f>
        <v>-38598</v>
      </c>
      <c r="H17" s="13">
        <f>'Summary-2010'!H17-'Summary-2000'!H17</f>
        <v>-38598</v>
      </c>
      <c r="I17" s="13">
        <f>'Summary-2010'!I17-'Summary-2000'!I17</f>
        <v>-38598</v>
      </c>
      <c r="J17" s="13">
        <f>'Summary-2010'!J17-'Summary-2000'!J17</f>
        <v>-38598</v>
      </c>
      <c r="K17" s="18" t="str">
        <f t="shared" si="3"/>
        <v>Hartford</v>
      </c>
      <c r="L17" s="13">
        <f t="shared" si="4"/>
        <v>-38597.999999999971</v>
      </c>
      <c r="M17" s="13"/>
      <c r="N17" s="13">
        <f>'Summary-2010'!M17-'Summary-2000'!M17</f>
        <v>-30412.25327423148</v>
      </c>
      <c r="O17" s="13">
        <f>'Summary-2010'!N17-'Summary-2000'!N17</f>
        <v>-99262.631911900826</v>
      </c>
      <c r="P17" s="13">
        <f>'Summary-2010'!O17-'Summary-2000'!O17</f>
        <v>91076.885186132335</v>
      </c>
      <c r="Q17" s="13">
        <f>'Summary-2010'!P17-'Summary-2000'!P17</f>
        <v>0</v>
      </c>
      <c r="R17" s="13">
        <f>'Summary-2010'!Q17-'Summary-2000'!Q17</f>
        <v>0</v>
      </c>
      <c r="S17" s="13">
        <f>'Summary-2010'!R17-'Summary-2000'!R17</f>
        <v>0</v>
      </c>
      <c r="T17" s="13">
        <f>'Summary-2010'!S17-'Summary-2000'!S17</f>
        <v>0</v>
      </c>
      <c r="U17" s="13">
        <f>'Summary-2010'!T17-'Summary-2000'!T17</f>
        <v>0</v>
      </c>
      <c r="V17" s="13">
        <f>'Summary-2010'!U17-'Summary-2000'!U17</f>
        <v>0</v>
      </c>
      <c r="W17" s="13"/>
      <c r="X17" s="13">
        <f t="shared" si="5"/>
        <v>-38597.999999999971</v>
      </c>
      <c r="Z17" s="13">
        <f t="shared" si="0"/>
        <v>-25443.577394118205</v>
      </c>
      <c r="AA17" s="18">
        <f t="shared" si="6"/>
        <v>47</v>
      </c>
      <c r="AB17" s="18" t="str">
        <f t="shared" si="7"/>
        <v>Hartford</v>
      </c>
      <c r="AC17" s="18">
        <f t="shared" si="8"/>
        <v>49</v>
      </c>
      <c r="AD17" s="18">
        <f t="shared" si="8"/>
        <v>48</v>
      </c>
      <c r="AE17" s="18">
        <f t="shared" si="8"/>
        <v>9</v>
      </c>
      <c r="AF17" s="18">
        <f t="shared" si="8"/>
        <v>13</v>
      </c>
      <c r="AG17" s="18">
        <f t="shared" si="8"/>
        <v>7</v>
      </c>
      <c r="AH17" s="18">
        <f t="shared" si="9"/>
        <v>2</v>
      </c>
      <c r="AI17" s="18" t="str">
        <f t="shared" si="2"/>
        <v>Hartford</v>
      </c>
    </row>
    <row r="18" spans="1:35">
      <c r="A18" s="18" t="s">
        <v>80</v>
      </c>
      <c r="B18" s="13">
        <f>'Summary-2010'!B18-'Summary-2000'!B18</f>
        <v>-24574.773798249313</v>
      </c>
      <c r="C18" s="13">
        <f>'Summary-2010'!C18-'Summary-2000'!C18</f>
        <v>15473</v>
      </c>
      <c r="D18" s="13">
        <f>'Summary-2010'!D18-'Summary-2000'!D18</f>
        <v>15473</v>
      </c>
      <c r="E18" s="13">
        <f>'Summary-2010'!E18-'Summary-2000'!E18</f>
        <v>15473</v>
      </c>
      <c r="F18" s="13">
        <f>'Summary-2010'!F18-'Summary-2000'!F18</f>
        <v>15473</v>
      </c>
      <c r="G18" s="13">
        <f>'Summary-2010'!G18-'Summary-2000'!G18</f>
        <v>15473</v>
      </c>
      <c r="H18" s="13">
        <f>'Summary-2010'!H18-'Summary-2000'!H18</f>
        <v>15473</v>
      </c>
      <c r="I18" s="13">
        <f>'Summary-2010'!I18-'Summary-2000'!I18</f>
        <v>15473</v>
      </c>
      <c r="J18" s="13">
        <f>'Summary-2010'!J18-'Summary-2000'!J18</f>
        <v>15473</v>
      </c>
      <c r="K18" s="18" t="str">
        <f t="shared" si="3"/>
        <v>Honolulu</v>
      </c>
      <c r="L18" s="13">
        <f t="shared" si="4"/>
        <v>15473</v>
      </c>
      <c r="M18" s="13"/>
      <c r="N18" s="13">
        <f>'Summary-2010'!M18-'Summary-2000'!M18</f>
        <v>-24574.773798249313</v>
      </c>
      <c r="O18" s="13">
        <f>'Summary-2010'!N18-'Summary-2000'!N18</f>
        <v>40047.773798249313</v>
      </c>
      <c r="P18" s="13">
        <f>'Summary-2010'!O18-'Summary-2000'!O18</f>
        <v>0</v>
      </c>
      <c r="Q18" s="13">
        <f>'Summary-2010'!P18-'Summary-2000'!P18</f>
        <v>0</v>
      </c>
      <c r="R18" s="13">
        <f>'Summary-2010'!Q18-'Summary-2000'!Q18</f>
        <v>0</v>
      </c>
      <c r="S18" s="13">
        <f>'Summary-2010'!R18-'Summary-2000'!R18</f>
        <v>0</v>
      </c>
      <c r="T18" s="13">
        <f>'Summary-2010'!S18-'Summary-2000'!S18</f>
        <v>0</v>
      </c>
      <c r="U18" s="13">
        <f>'Summary-2010'!T18-'Summary-2000'!T18</f>
        <v>0</v>
      </c>
      <c r="V18" s="13">
        <f>'Summary-2010'!U18-'Summary-2000'!U18</f>
        <v>0</v>
      </c>
      <c r="W18" s="13"/>
      <c r="X18" s="13">
        <f t="shared" si="5"/>
        <v>15473</v>
      </c>
      <c r="Z18" s="13">
        <f t="shared" si="0"/>
        <v>-2956.6515708782708</v>
      </c>
      <c r="AA18" s="18">
        <f t="shared" si="6"/>
        <v>36</v>
      </c>
      <c r="AB18" s="18" t="str">
        <f t="shared" si="7"/>
        <v>Honolulu</v>
      </c>
      <c r="AC18" s="18">
        <f t="shared" si="8"/>
        <v>47</v>
      </c>
      <c r="AD18" s="18">
        <f t="shared" si="8"/>
        <v>21</v>
      </c>
      <c r="AE18" s="18">
        <f t="shared" si="8"/>
        <v>31</v>
      </c>
      <c r="AF18" s="18">
        <f t="shared" si="8"/>
        <v>13</v>
      </c>
      <c r="AG18" s="18">
        <f t="shared" si="8"/>
        <v>7</v>
      </c>
      <c r="AH18" s="18">
        <f t="shared" si="9"/>
        <v>2</v>
      </c>
      <c r="AI18" s="18" t="str">
        <f t="shared" si="2"/>
        <v>Honolulu</v>
      </c>
    </row>
    <row r="19" spans="1:35">
      <c r="A19" s="18" t="s">
        <v>39</v>
      </c>
      <c r="B19" s="13">
        <f>'Summary-2010'!B19-'Summary-2000'!B19</f>
        <v>23736.448903097451</v>
      </c>
      <c r="C19" s="13">
        <f>'Summary-2010'!C19-'Summary-2000'!C19</f>
        <v>133214.21990138304</v>
      </c>
      <c r="D19" s="13">
        <f>'Summary-2010'!D19-'Summary-2000'!D19</f>
        <v>315105.67490759236</v>
      </c>
      <c r="E19" s="13">
        <f>'Summary-2010'!E19-'Summary-2000'!E19</f>
        <v>581243.58960266178</v>
      </c>
      <c r="F19" s="13">
        <f>'Summary-2010'!F19-'Summary-2000'!F19</f>
        <v>305787</v>
      </c>
      <c r="G19" s="13">
        <f>'Summary-2010'!G19-'Summary-2000'!G19</f>
        <v>305787</v>
      </c>
      <c r="H19" s="13">
        <f>'Summary-2010'!H19-'Summary-2000'!H19</f>
        <v>305787</v>
      </c>
      <c r="I19" s="13">
        <f>'Summary-2010'!I19-'Summary-2000'!I19</f>
        <v>305787</v>
      </c>
      <c r="J19" s="13">
        <f>'Summary-2010'!J19-'Summary-2000'!J19</f>
        <v>305787</v>
      </c>
      <c r="K19" s="18" t="str">
        <f t="shared" si="3"/>
        <v>Houston</v>
      </c>
      <c r="L19" s="13">
        <f t="shared" si="4"/>
        <v>305786</v>
      </c>
      <c r="M19" s="13"/>
      <c r="N19" s="13">
        <f>'Summary-2010'!M19-'Summary-2000'!M19</f>
        <v>23736.448903097451</v>
      </c>
      <c r="O19" s="13">
        <f>'Summary-2010'!N19-'Summary-2000'!N19</f>
        <v>109476.77099828562</v>
      </c>
      <c r="P19" s="13">
        <f>'Summary-2010'!O19-'Summary-2000'!O19</f>
        <v>181891.45500620932</v>
      </c>
      <c r="Q19" s="13">
        <f>'Summary-2010'!P19-'Summary-2000'!P19</f>
        <v>266137.91469506943</v>
      </c>
      <c r="R19" s="13">
        <f>'Summary-2010'!Q19-'Summary-2000'!Q19</f>
        <v>-275456.58960266178</v>
      </c>
      <c r="S19" s="13">
        <f>'Summary-2010'!R19-'Summary-2000'!R19</f>
        <v>0</v>
      </c>
      <c r="T19" s="13">
        <f>'Summary-2010'!S19-'Summary-2000'!S19</f>
        <v>0</v>
      </c>
      <c r="U19" s="13">
        <f>'Summary-2010'!T19-'Summary-2000'!T19</f>
        <v>0</v>
      </c>
      <c r="V19" s="13">
        <f>'Summary-2010'!U19-'Summary-2000'!U19</f>
        <v>0</v>
      </c>
      <c r="W19" s="13"/>
      <c r="X19" s="13">
        <f t="shared" si="5"/>
        <v>305786</v>
      </c>
      <c r="Z19" s="13">
        <f t="shared" si="0"/>
        <v>55072.477922791695</v>
      </c>
      <c r="AA19" s="18">
        <f t="shared" si="6"/>
        <v>6</v>
      </c>
      <c r="AB19" s="18" t="str">
        <f t="shared" si="7"/>
        <v>Houston</v>
      </c>
      <c r="AC19" s="18">
        <f t="shared" si="8"/>
        <v>14</v>
      </c>
      <c r="AD19" s="18">
        <f t="shared" si="8"/>
        <v>10</v>
      </c>
      <c r="AE19" s="18">
        <f t="shared" si="8"/>
        <v>6</v>
      </c>
      <c r="AF19" s="18">
        <f t="shared" si="8"/>
        <v>4</v>
      </c>
      <c r="AG19" s="18">
        <f t="shared" si="8"/>
        <v>48</v>
      </c>
      <c r="AH19" s="18">
        <f t="shared" si="9"/>
        <v>2</v>
      </c>
      <c r="AI19" s="18" t="str">
        <f t="shared" si="2"/>
        <v>Houston</v>
      </c>
    </row>
    <row r="20" spans="1:35">
      <c r="A20" s="18" t="s">
        <v>40</v>
      </c>
      <c r="B20" s="13">
        <f>'Summary-2010'!B20-'Summary-2000'!B20</f>
        <v>1140.0926665678271</v>
      </c>
      <c r="C20" s="13">
        <f>'Summary-2010'!C20-'Summary-2000'!C20</f>
        <v>6944.9546937023988</v>
      </c>
      <c r="D20" s="13">
        <f>'Summary-2010'!D20-'Summary-2000'!D20</f>
        <v>-59694</v>
      </c>
      <c r="E20" s="13">
        <f>'Summary-2010'!E20-'Summary-2000'!E20</f>
        <v>-70546</v>
      </c>
      <c r="F20" s="13">
        <f>'Summary-2010'!F20-'Summary-2000'!F20</f>
        <v>-70546</v>
      </c>
      <c r="G20" s="13">
        <f>'Summary-2010'!G20-'Summary-2000'!G20</f>
        <v>-70546</v>
      </c>
      <c r="H20" s="13">
        <f>'Summary-2010'!H20-'Summary-2000'!H20</f>
        <v>-70546</v>
      </c>
      <c r="I20" s="13">
        <f>'Summary-2010'!I20-'Summary-2000'!I20</f>
        <v>-70546</v>
      </c>
      <c r="J20" s="13">
        <f>'Summary-2010'!J20-'Summary-2000'!J20</f>
        <v>-70546</v>
      </c>
      <c r="K20" s="18" t="str">
        <f t="shared" si="3"/>
        <v>Indianapolis</v>
      </c>
      <c r="L20" s="13">
        <f t="shared" si="4"/>
        <v>-70546</v>
      </c>
      <c r="M20" s="13"/>
      <c r="N20" s="13">
        <f>'Summary-2010'!M20-'Summary-2000'!M20</f>
        <v>1140.0926665678271</v>
      </c>
      <c r="O20" s="13">
        <f>'Summary-2010'!N20-'Summary-2000'!N20</f>
        <v>5805.8620271345717</v>
      </c>
      <c r="P20" s="13">
        <f>'Summary-2010'!O20-'Summary-2000'!O20</f>
        <v>-66639.954693702399</v>
      </c>
      <c r="Q20" s="13">
        <f>'Summary-2010'!P20-'Summary-2000'!P20</f>
        <v>-10852</v>
      </c>
      <c r="R20" s="13">
        <f>'Summary-2010'!Q20-'Summary-2000'!Q20</f>
        <v>0</v>
      </c>
      <c r="S20" s="13">
        <f>'Summary-2010'!R20-'Summary-2000'!R20</f>
        <v>0</v>
      </c>
      <c r="T20" s="13">
        <f>'Summary-2010'!S20-'Summary-2000'!S20</f>
        <v>0</v>
      </c>
      <c r="U20" s="13">
        <f>'Summary-2010'!T20-'Summary-2000'!T20</f>
        <v>0</v>
      </c>
      <c r="V20" s="13">
        <f>'Summary-2010'!U20-'Summary-2000'!U20</f>
        <v>0</v>
      </c>
      <c r="W20" s="13"/>
      <c r="X20" s="13">
        <f t="shared" si="5"/>
        <v>-70546</v>
      </c>
      <c r="Z20" s="13">
        <f t="shared" si="0"/>
        <v>-4803.3317505826672</v>
      </c>
      <c r="AA20" s="18">
        <f t="shared" si="6"/>
        <v>38</v>
      </c>
      <c r="AB20" s="18" t="str">
        <f t="shared" si="7"/>
        <v>Indianapolis</v>
      </c>
      <c r="AC20" s="18">
        <f t="shared" si="8"/>
        <v>30</v>
      </c>
      <c r="AD20" s="18">
        <f t="shared" si="8"/>
        <v>33</v>
      </c>
      <c r="AE20" s="18">
        <f t="shared" si="8"/>
        <v>41</v>
      </c>
      <c r="AF20" s="18">
        <f t="shared" si="8"/>
        <v>39</v>
      </c>
      <c r="AG20" s="18">
        <f t="shared" si="8"/>
        <v>7</v>
      </c>
      <c r="AH20" s="18">
        <f t="shared" si="9"/>
        <v>2</v>
      </c>
      <c r="AI20" s="18" t="str">
        <f t="shared" si="2"/>
        <v>Indianapolis</v>
      </c>
    </row>
    <row r="21" spans="1:35">
      <c r="A21" s="18" t="s">
        <v>559</v>
      </c>
      <c r="B21" s="13">
        <f>'Summary-2010'!B21-'Summary-2000'!B21</f>
        <v>42801.042514464381</v>
      </c>
      <c r="C21" s="13">
        <f>'Summary-2010'!C21-'Summary-2000'!C21</f>
        <v>188609.92702967871</v>
      </c>
      <c r="D21" s="13">
        <f>'Summary-2010'!D21-'Summary-2000'!D21</f>
        <v>79831</v>
      </c>
      <c r="E21" s="13">
        <f>'Summary-2010'!E21-'Summary-2000'!E21</f>
        <v>79831</v>
      </c>
      <c r="F21" s="13">
        <f>'Summary-2010'!F21-'Summary-2000'!F21</f>
        <v>79831</v>
      </c>
      <c r="G21" s="13">
        <f>'Summary-2010'!G21-'Summary-2000'!G21</f>
        <v>79831</v>
      </c>
      <c r="H21" s="13">
        <f>'Summary-2010'!H21-'Summary-2000'!H21</f>
        <v>79831</v>
      </c>
      <c r="I21" s="13">
        <f>'Summary-2010'!I21-'Summary-2000'!I21</f>
        <v>79831</v>
      </c>
      <c r="J21" s="13">
        <f>'Summary-2010'!J21-'Summary-2000'!J21</f>
        <v>79831</v>
      </c>
      <c r="K21" s="18" t="str">
        <f t="shared" si="3"/>
        <v>Riverside</v>
      </c>
      <c r="L21" s="13">
        <f t="shared" si="4"/>
        <v>79830.000000000029</v>
      </c>
      <c r="M21" s="13"/>
      <c r="N21" s="13">
        <f>'Summary-2010'!M21-'Summary-2000'!M21</f>
        <v>42801.042514464381</v>
      </c>
      <c r="O21" s="13">
        <f>'Summary-2010'!N21-'Summary-2000'!N21</f>
        <v>145807.88451521436</v>
      </c>
      <c r="P21" s="13">
        <f>'Summary-2010'!O21-'Summary-2000'!O21</f>
        <v>-108778.92702967871</v>
      </c>
      <c r="Q21" s="13">
        <f>'Summary-2010'!P21-'Summary-2000'!P21</f>
        <v>0</v>
      </c>
      <c r="R21" s="13">
        <f>'Summary-2010'!Q21-'Summary-2000'!Q21</f>
        <v>0</v>
      </c>
      <c r="S21" s="13">
        <f>'Summary-2010'!R21-'Summary-2000'!R21</f>
        <v>0</v>
      </c>
      <c r="T21" s="13">
        <f>'Summary-2010'!S21-'Summary-2000'!S21</f>
        <v>0</v>
      </c>
      <c r="U21" s="13">
        <f>'Summary-2010'!T21-'Summary-2000'!T21</f>
        <v>0</v>
      </c>
      <c r="V21" s="13">
        <f>'Summary-2010'!U21-'Summary-2000'!U21</f>
        <v>0</v>
      </c>
      <c r="W21" s="13"/>
      <c r="X21" s="13">
        <f t="shared" si="5"/>
        <v>79830.000000000029</v>
      </c>
      <c r="Z21" s="13">
        <f t="shared" si="0"/>
        <v>38801.650654799247</v>
      </c>
      <c r="AA21" s="18">
        <f t="shared" si="6"/>
        <v>9</v>
      </c>
      <c r="AB21" s="18" t="str">
        <f t="shared" si="7"/>
        <v>Riverside</v>
      </c>
      <c r="AC21" s="18">
        <f t="shared" si="8"/>
        <v>7</v>
      </c>
      <c r="AD21" s="18">
        <f t="shared" si="8"/>
        <v>6</v>
      </c>
      <c r="AE21" s="18">
        <f t="shared" si="8"/>
        <v>45</v>
      </c>
      <c r="AF21" s="18">
        <f t="shared" si="8"/>
        <v>13</v>
      </c>
      <c r="AG21" s="18">
        <f t="shared" si="8"/>
        <v>7</v>
      </c>
      <c r="AH21" s="18">
        <f t="shared" si="9"/>
        <v>2</v>
      </c>
      <c r="AI21" s="18" t="str">
        <f t="shared" si="2"/>
        <v>Riverside</v>
      </c>
    </row>
    <row r="22" spans="1:35">
      <c r="A22" s="18" t="s">
        <v>41</v>
      </c>
      <c r="B22" s="13">
        <f>'Summary-2010'!B22-'Summary-2000'!B22</f>
        <v>74959.982017759117</v>
      </c>
      <c r="C22" s="13">
        <f>'Summary-2010'!C22-'Summary-2000'!C22</f>
        <v>313735.25028428482</v>
      </c>
      <c r="D22" s="13">
        <f>'Summary-2010'!D22-'Summary-2000'!D22</f>
        <v>363418</v>
      </c>
      <c r="E22" s="13">
        <f>'Summary-2010'!E22-'Summary-2000'!E22</f>
        <v>363418</v>
      </c>
      <c r="F22" s="13">
        <f>'Summary-2010'!F22-'Summary-2000'!F22</f>
        <v>363418</v>
      </c>
      <c r="G22" s="13">
        <f>'Summary-2010'!G22-'Summary-2000'!G22</f>
        <v>363418</v>
      </c>
      <c r="H22" s="13">
        <f>'Summary-2010'!H22-'Summary-2000'!H22</f>
        <v>363418</v>
      </c>
      <c r="I22" s="13">
        <f>'Summary-2010'!I22-'Summary-2000'!I22</f>
        <v>363418</v>
      </c>
      <c r="J22" s="13">
        <f>'Summary-2010'!J22-'Summary-2000'!J22</f>
        <v>363418</v>
      </c>
      <c r="K22" s="18" t="str">
        <f t="shared" si="3"/>
        <v>Jacksonville</v>
      </c>
      <c r="L22" s="13">
        <f t="shared" si="4"/>
        <v>363417</v>
      </c>
      <c r="M22" s="13"/>
      <c r="N22" s="13">
        <f>'Summary-2010'!M22-'Summary-2000'!M22</f>
        <v>74959.982017759117</v>
      </c>
      <c r="O22" s="13">
        <f>'Summary-2010'!N22-'Summary-2000'!N22</f>
        <v>238774.2682665257</v>
      </c>
      <c r="P22" s="13">
        <f>'Summary-2010'!O22-'Summary-2000'!O22</f>
        <v>49682.749715715181</v>
      </c>
      <c r="Q22" s="13">
        <f>'Summary-2010'!P22-'Summary-2000'!P22</f>
        <v>0</v>
      </c>
      <c r="R22" s="13">
        <f>'Summary-2010'!Q22-'Summary-2000'!Q22</f>
        <v>0</v>
      </c>
      <c r="S22" s="13">
        <f>'Summary-2010'!R22-'Summary-2000'!R22</f>
        <v>0</v>
      </c>
      <c r="T22" s="13">
        <f>'Summary-2010'!S22-'Summary-2000'!S22</f>
        <v>0</v>
      </c>
      <c r="U22" s="13">
        <f>'Summary-2010'!T22-'Summary-2000'!T22</f>
        <v>0</v>
      </c>
      <c r="V22" s="13">
        <f>'Summary-2010'!U22-'Summary-2000'!U22</f>
        <v>0</v>
      </c>
      <c r="W22" s="13"/>
      <c r="X22" s="13">
        <f t="shared" si="5"/>
        <v>363417</v>
      </c>
      <c r="Z22" s="13">
        <f t="shared" si="0"/>
        <v>86396.501788018359</v>
      </c>
      <c r="AA22" s="18">
        <f t="shared" si="6"/>
        <v>2</v>
      </c>
      <c r="AB22" s="18" t="str">
        <f t="shared" si="7"/>
        <v>Jacksonville</v>
      </c>
      <c r="AC22" s="18">
        <f t="shared" si="8"/>
        <v>2</v>
      </c>
      <c r="AD22" s="18">
        <f t="shared" si="8"/>
        <v>2</v>
      </c>
      <c r="AE22" s="18">
        <f t="shared" si="8"/>
        <v>15</v>
      </c>
      <c r="AF22" s="18">
        <f t="shared" si="8"/>
        <v>13</v>
      </c>
      <c r="AG22" s="18">
        <f t="shared" si="8"/>
        <v>7</v>
      </c>
      <c r="AH22" s="18">
        <f t="shared" si="9"/>
        <v>2</v>
      </c>
      <c r="AI22" s="18" t="str">
        <f t="shared" si="2"/>
        <v>Jacksonville</v>
      </c>
    </row>
    <row r="23" spans="1:35">
      <c r="A23" s="18" t="s">
        <v>74</v>
      </c>
      <c r="B23" s="13">
        <f>'Summary-2010'!B23-'Summary-2000'!B23</f>
        <v>3196.794475888848</v>
      </c>
      <c r="C23" s="13">
        <f>'Summary-2010'!C23-'Summary-2000'!C23</f>
        <v>22830.284912778414</v>
      </c>
      <c r="D23" s="13">
        <f>'Summary-2010'!D23-'Summary-2000'!D23</f>
        <v>37205</v>
      </c>
      <c r="E23" s="13">
        <f>'Summary-2010'!E23-'Summary-2000'!E23</f>
        <v>37205</v>
      </c>
      <c r="F23" s="13">
        <f>'Summary-2010'!F23-'Summary-2000'!F23</f>
        <v>37205</v>
      </c>
      <c r="G23" s="13">
        <f>'Summary-2010'!G23-'Summary-2000'!G23</f>
        <v>37205</v>
      </c>
      <c r="H23" s="13">
        <f>'Summary-2010'!H23-'Summary-2000'!H23</f>
        <v>37205</v>
      </c>
      <c r="I23" s="13">
        <f>'Summary-2010'!I23-'Summary-2000'!I23</f>
        <v>37205</v>
      </c>
      <c r="J23" s="13">
        <f>'Summary-2010'!J23-'Summary-2000'!J23</f>
        <v>37205</v>
      </c>
      <c r="K23" s="18" t="str">
        <f t="shared" si="3"/>
        <v>Kansas City</v>
      </c>
      <c r="L23" s="13">
        <f t="shared" si="4"/>
        <v>37205.000000000015</v>
      </c>
      <c r="M23" s="13"/>
      <c r="N23" s="13">
        <f>'Summary-2010'!M23-'Summary-2000'!M23</f>
        <v>3196.794475888848</v>
      </c>
      <c r="O23" s="13">
        <f>'Summary-2010'!N23-'Summary-2000'!N23</f>
        <v>19633.49043688958</v>
      </c>
      <c r="P23" s="13">
        <f>'Summary-2010'!O23-'Summary-2000'!O23</f>
        <v>14374.715087221586</v>
      </c>
      <c r="Q23" s="13">
        <f>'Summary-2010'!P23-'Summary-2000'!P23</f>
        <v>0</v>
      </c>
      <c r="R23" s="13">
        <f>'Summary-2010'!Q23-'Summary-2000'!Q23</f>
        <v>0</v>
      </c>
      <c r="S23" s="13">
        <f>'Summary-2010'!R23-'Summary-2000'!R23</f>
        <v>0</v>
      </c>
      <c r="T23" s="13">
        <f>'Summary-2010'!S23-'Summary-2000'!S23</f>
        <v>0</v>
      </c>
      <c r="U23" s="13">
        <f>'Summary-2010'!T23-'Summary-2000'!T23</f>
        <v>0</v>
      </c>
      <c r="V23" s="13">
        <f>'Summary-2010'!U23-'Summary-2000'!U23</f>
        <v>0</v>
      </c>
      <c r="W23" s="13"/>
      <c r="X23" s="13">
        <f t="shared" si="5"/>
        <v>37205.000000000015</v>
      </c>
      <c r="Z23" s="13">
        <f t="shared" si="0"/>
        <v>6704.3904374673457</v>
      </c>
      <c r="AA23" s="18">
        <f t="shared" si="6"/>
        <v>26</v>
      </c>
      <c r="AB23" s="18" t="str">
        <f t="shared" si="7"/>
        <v>Kansas City</v>
      </c>
      <c r="AC23" s="18">
        <f t="shared" si="8"/>
        <v>27</v>
      </c>
      <c r="AD23" s="18">
        <f t="shared" si="8"/>
        <v>30</v>
      </c>
      <c r="AE23" s="18">
        <f t="shared" si="8"/>
        <v>25</v>
      </c>
      <c r="AF23" s="18">
        <f t="shared" si="8"/>
        <v>13</v>
      </c>
      <c r="AG23" s="18">
        <f t="shared" si="8"/>
        <v>7</v>
      </c>
      <c r="AH23" s="18">
        <f t="shared" si="9"/>
        <v>2</v>
      </c>
      <c r="AI23" s="18" t="str">
        <f t="shared" si="2"/>
        <v>Kansas City</v>
      </c>
    </row>
    <row r="24" spans="1:35">
      <c r="A24" s="18" t="s">
        <v>62</v>
      </c>
      <c r="B24" s="13">
        <f>'Summary-2010'!B24-'Summary-2000'!B24</f>
        <v>13170.559130832989</v>
      </c>
      <c r="C24" s="13">
        <f>'Summary-2010'!C24-'Summary-2000'!C24</f>
        <v>57253.721026565996</v>
      </c>
      <c r="D24" s="13">
        <f>'Summary-2010'!D24-'Summary-2000'!D24</f>
        <v>40001</v>
      </c>
      <c r="E24" s="13">
        <f>'Summary-2010'!E24-'Summary-2000'!E24</f>
        <v>40001</v>
      </c>
      <c r="F24" s="13">
        <f>'Summary-2010'!F24-'Summary-2000'!F24</f>
        <v>40001</v>
      </c>
      <c r="G24" s="13">
        <f>'Summary-2010'!G24-'Summary-2000'!G24</f>
        <v>40001</v>
      </c>
      <c r="H24" s="13">
        <f>'Summary-2010'!H24-'Summary-2000'!H24</f>
        <v>40001</v>
      </c>
      <c r="I24" s="13">
        <f>'Summary-2010'!I24-'Summary-2000'!I24</f>
        <v>40001</v>
      </c>
      <c r="J24" s="13">
        <f>'Summary-2010'!J24-'Summary-2000'!J24</f>
        <v>40001</v>
      </c>
      <c r="K24" s="18" t="str">
        <f t="shared" si="3"/>
        <v>Las Vegas</v>
      </c>
      <c r="L24" s="13">
        <f t="shared" si="4"/>
        <v>40001.999999999971</v>
      </c>
      <c r="M24" s="13"/>
      <c r="N24" s="13">
        <f>'Summary-2010'!M24-'Summary-2000'!M24</f>
        <v>13170.559130832989</v>
      </c>
      <c r="O24" s="13">
        <f>'Summary-2010'!N24-'Summary-2000'!N24</f>
        <v>44084.161895732977</v>
      </c>
      <c r="P24" s="13">
        <f>'Summary-2010'!O24-'Summary-2000'!O24</f>
        <v>-17252.721026565996</v>
      </c>
      <c r="Q24" s="13">
        <f>'Summary-2010'!P24-'Summary-2000'!P24</f>
        <v>0</v>
      </c>
      <c r="R24" s="13">
        <f>'Summary-2010'!Q24-'Summary-2000'!Q24</f>
        <v>0</v>
      </c>
      <c r="S24" s="13">
        <f>'Summary-2010'!R24-'Summary-2000'!R24</f>
        <v>0</v>
      </c>
      <c r="T24" s="13">
        <f>'Summary-2010'!S24-'Summary-2000'!S24</f>
        <v>0</v>
      </c>
      <c r="U24" s="13">
        <f>'Summary-2010'!T24-'Summary-2000'!T24</f>
        <v>0</v>
      </c>
      <c r="V24" s="13">
        <f>'Summary-2010'!U24-'Summary-2000'!U24</f>
        <v>0</v>
      </c>
      <c r="W24" s="13"/>
      <c r="X24" s="13">
        <f t="shared" si="5"/>
        <v>40001.999999999971</v>
      </c>
      <c r="Z24" s="13">
        <f t="shared" si="0"/>
        <v>13253.220936359676</v>
      </c>
      <c r="AA24" s="18">
        <f t="shared" si="6"/>
        <v>21</v>
      </c>
      <c r="AB24" s="18" t="str">
        <f t="shared" si="7"/>
        <v>Las Vegas</v>
      </c>
      <c r="AC24" s="18">
        <f t="shared" si="8"/>
        <v>20</v>
      </c>
      <c r="AD24" s="18">
        <f t="shared" si="8"/>
        <v>19</v>
      </c>
      <c r="AE24" s="18">
        <f t="shared" si="8"/>
        <v>37</v>
      </c>
      <c r="AF24" s="18">
        <f t="shared" si="8"/>
        <v>13</v>
      </c>
      <c r="AG24" s="18">
        <f t="shared" si="8"/>
        <v>7</v>
      </c>
      <c r="AH24" s="18">
        <f t="shared" si="9"/>
        <v>2</v>
      </c>
      <c r="AI24" s="18" t="str">
        <f t="shared" si="2"/>
        <v>Las Vegas</v>
      </c>
    </row>
    <row r="25" spans="1:35">
      <c r="A25" s="18" t="s">
        <v>63</v>
      </c>
      <c r="B25" s="13">
        <f>'Summary-2010'!B25-'Summary-2000'!B25</f>
        <v>95960.003873084497</v>
      </c>
      <c r="C25" s="13">
        <f>'Summary-2010'!C25-'Summary-2000'!C25</f>
        <v>455449.31796017964</v>
      </c>
      <c r="D25" s="13">
        <f>'Summary-2010'!D25-'Summary-2000'!D25</f>
        <v>1053312.2110561877</v>
      </c>
      <c r="E25" s="13">
        <f>'Summary-2010'!E25-'Summary-2000'!E25</f>
        <v>1918750.2655740185</v>
      </c>
      <c r="F25" s="13">
        <f>'Summary-2010'!F25-'Summary-2000'!F25</f>
        <v>817450</v>
      </c>
      <c r="G25" s="13">
        <f>'Summary-2010'!G25-'Summary-2000'!G25</f>
        <v>-446483</v>
      </c>
      <c r="H25" s="13">
        <f>'Summary-2010'!H25-'Summary-2000'!H25</f>
        <v>-446483</v>
      </c>
      <c r="I25" s="13">
        <f>'Summary-2010'!I25-'Summary-2000'!I25</f>
        <v>-446483</v>
      </c>
      <c r="J25" s="13">
        <f>'Summary-2010'!J25-'Summary-2000'!J25</f>
        <v>-446483</v>
      </c>
      <c r="K25" s="18" t="str">
        <f t="shared" si="3"/>
        <v>Los Angeles</v>
      </c>
      <c r="L25" s="13">
        <f t="shared" si="4"/>
        <v>-446482</v>
      </c>
      <c r="M25" s="13"/>
      <c r="N25" s="13">
        <f>'Summary-2010'!M25-'Summary-2000'!M25</f>
        <v>95960.003873084497</v>
      </c>
      <c r="O25" s="13">
        <f>'Summary-2010'!N25-'Summary-2000'!N25</f>
        <v>359489.3140870952</v>
      </c>
      <c r="P25" s="13">
        <f>'Summary-2010'!O25-'Summary-2000'!O25</f>
        <v>597862.89309600811</v>
      </c>
      <c r="Q25" s="13">
        <f>'Summary-2010'!P25-'Summary-2000'!P25</f>
        <v>865439.05451783072</v>
      </c>
      <c r="R25" s="13">
        <f>'Summary-2010'!Q25-'Summary-2000'!Q25</f>
        <v>-1101300.2655740185</v>
      </c>
      <c r="S25" s="13">
        <f>'Summary-2010'!R25-'Summary-2000'!R25</f>
        <v>-1263933</v>
      </c>
      <c r="T25" s="13">
        <f>'Summary-2010'!S25-'Summary-2000'!S25</f>
        <v>0</v>
      </c>
      <c r="U25" s="13">
        <f>'Summary-2010'!T25-'Summary-2000'!T25</f>
        <v>0</v>
      </c>
      <c r="V25" s="13">
        <f>'Summary-2010'!U25-'Summary-2000'!U25</f>
        <v>0</v>
      </c>
      <c r="W25" s="13"/>
      <c r="X25" s="13">
        <f t="shared" si="5"/>
        <v>-446481.99999999994</v>
      </c>
      <c r="Z25" s="13">
        <f t="shared" si="0"/>
        <v>174638.48433867624</v>
      </c>
      <c r="AA25" s="18">
        <f t="shared" si="6"/>
        <v>1</v>
      </c>
      <c r="AB25" s="18" t="str">
        <f t="shared" si="7"/>
        <v>Los Angeles</v>
      </c>
      <c r="AC25" s="18">
        <f t="shared" si="8"/>
        <v>1</v>
      </c>
      <c r="AD25" s="18">
        <f t="shared" si="8"/>
        <v>1</v>
      </c>
      <c r="AE25" s="18">
        <f t="shared" si="8"/>
        <v>1</v>
      </c>
      <c r="AF25" s="18">
        <f t="shared" si="8"/>
        <v>1</v>
      </c>
      <c r="AG25" s="18">
        <f t="shared" si="8"/>
        <v>51</v>
      </c>
      <c r="AH25" s="18">
        <f t="shared" si="9"/>
        <v>51</v>
      </c>
      <c r="AI25" s="18" t="str">
        <f t="shared" si="2"/>
        <v>Los Angeles</v>
      </c>
    </row>
    <row r="26" spans="1:35">
      <c r="A26" s="18" t="s">
        <v>42</v>
      </c>
      <c r="B26" s="13">
        <f>'Summary-2010'!B26-'Summary-2000'!B26</f>
        <v>13406.237978409743</v>
      </c>
      <c r="C26" s="13">
        <f>'Summary-2010'!C26-'Summary-2000'!C26</f>
        <v>66476.608312477882</v>
      </c>
      <c r="D26" s="13">
        <f>'Summary-2010'!D26-'Summary-2000'!D26</f>
        <v>-1026</v>
      </c>
      <c r="E26" s="13">
        <f>'Summary-2010'!E26-'Summary-2000'!E26</f>
        <v>-1026</v>
      </c>
      <c r="F26" s="13">
        <f>'Summary-2010'!F26-'Summary-2000'!F26</f>
        <v>-1026</v>
      </c>
      <c r="G26" s="13">
        <f>'Summary-2010'!G26-'Summary-2000'!G26</f>
        <v>-1026</v>
      </c>
      <c r="H26" s="13">
        <f>'Summary-2010'!H26-'Summary-2000'!H26</f>
        <v>-1026</v>
      </c>
      <c r="I26" s="13">
        <f>'Summary-2010'!I26-'Summary-2000'!I26</f>
        <v>-1026</v>
      </c>
      <c r="J26" s="13">
        <f>'Summary-2010'!J26-'Summary-2000'!J26</f>
        <v>-1026</v>
      </c>
      <c r="K26" s="18" t="str">
        <f t="shared" si="3"/>
        <v>Louisville</v>
      </c>
      <c r="L26" s="13">
        <f t="shared" si="4"/>
        <v>-1025</v>
      </c>
      <c r="M26" s="13"/>
      <c r="N26" s="13">
        <f>'Summary-2010'!M26-'Summary-2000'!M26</f>
        <v>13406.237978409743</v>
      </c>
      <c r="O26" s="13">
        <f>'Summary-2010'!N26-'Summary-2000'!N26</f>
        <v>53071.370334068139</v>
      </c>
      <c r="P26" s="13">
        <f>'Summary-2010'!O26-'Summary-2000'!O26</f>
        <v>-67502.608312477882</v>
      </c>
      <c r="Q26" s="13">
        <f>'Summary-2010'!P26-'Summary-2000'!P26</f>
        <v>0</v>
      </c>
      <c r="R26" s="13">
        <f>'Summary-2010'!Q26-'Summary-2000'!Q26</f>
        <v>0</v>
      </c>
      <c r="S26" s="13">
        <f>'Summary-2010'!R26-'Summary-2000'!R26</f>
        <v>0</v>
      </c>
      <c r="T26" s="13">
        <f>'Summary-2010'!S26-'Summary-2000'!S26</f>
        <v>0</v>
      </c>
      <c r="U26" s="13">
        <f>'Summary-2010'!T26-'Summary-2000'!T26</f>
        <v>0</v>
      </c>
      <c r="V26" s="13">
        <f>'Summary-2010'!U26-'Summary-2000'!U26</f>
        <v>0</v>
      </c>
      <c r="W26" s="13"/>
      <c r="X26" s="13">
        <f t="shared" si="5"/>
        <v>-1025</v>
      </c>
      <c r="Z26" s="13">
        <f t="shared" si="0"/>
        <v>10615.037431396135</v>
      </c>
      <c r="AA26" s="18">
        <f t="shared" si="6"/>
        <v>23</v>
      </c>
      <c r="AB26" s="18" t="str">
        <f t="shared" si="7"/>
        <v>Louisville</v>
      </c>
      <c r="AC26" s="18">
        <f t="shared" si="8"/>
        <v>19</v>
      </c>
      <c r="AD26" s="18">
        <f t="shared" si="8"/>
        <v>17</v>
      </c>
      <c r="AE26" s="18">
        <f t="shared" si="8"/>
        <v>42</v>
      </c>
      <c r="AF26" s="18">
        <f t="shared" si="8"/>
        <v>13</v>
      </c>
      <c r="AG26" s="18">
        <f t="shared" si="8"/>
        <v>7</v>
      </c>
      <c r="AH26" s="18">
        <f t="shared" si="9"/>
        <v>2</v>
      </c>
      <c r="AI26" s="18" t="str">
        <f t="shared" si="2"/>
        <v>Louisville</v>
      </c>
    </row>
    <row r="27" spans="1:35">
      <c r="A27" s="18" t="s">
        <v>43</v>
      </c>
      <c r="B27" s="13">
        <f>'Summary-2010'!B27-'Summary-2000'!B27</f>
        <v>2115.4750435750029</v>
      </c>
      <c r="C27" s="13">
        <f>'Summary-2010'!C27-'Summary-2000'!C27</f>
        <v>17546.440547870996</v>
      </c>
      <c r="D27" s="13">
        <f>'Summary-2010'!D27-'Summary-2000'!D27</f>
        <v>-28300</v>
      </c>
      <c r="E27" s="13">
        <f>'Summary-2010'!E27-'Summary-2000'!E27</f>
        <v>-28300</v>
      </c>
      <c r="F27" s="13">
        <f>'Summary-2010'!F27-'Summary-2000'!F27</f>
        <v>-28300</v>
      </c>
      <c r="G27" s="13">
        <f>'Summary-2010'!G27-'Summary-2000'!G27</f>
        <v>-28300</v>
      </c>
      <c r="H27" s="13">
        <f>'Summary-2010'!H27-'Summary-2000'!H27</f>
        <v>-28300</v>
      </c>
      <c r="I27" s="13">
        <f>'Summary-2010'!I27-'Summary-2000'!I27</f>
        <v>-28300</v>
      </c>
      <c r="J27" s="13">
        <f>'Summary-2010'!J27-'Summary-2000'!J27</f>
        <v>-28300</v>
      </c>
      <c r="K27" s="18" t="str">
        <f t="shared" si="3"/>
        <v>Memphis</v>
      </c>
      <c r="L27" s="13">
        <f t="shared" si="4"/>
        <v>-28299.999999999985</v>
      </c>
      <c r="M27" s="13"/>
      <c r="N27" s="13">
        <f>'Summary-2010'!M27-'Summary-2000'!M27</f>
        <v>2115.4750435750029</v>
      </c>
      <c r="O27" s="13">
        <f>'Summary-2010'!N27-'Summary-2000'!N27</f>
        <v>15430.965504296008</v>
      </c>
      <c r="P27" s="13">
        <f>'Summary-2010'!O27-'Summary-2000'!O27</f>
        <v>-45846.440547870996</v>
      </c>
      <c r="Q27" s="13">
        <f>'Summary-2010'!P27-'Summary-2000'!P27</f>
        <v>0</v>
      </c>
      <c r="R27" s="13">
        <f>'Summary-2010'!Q27-'Summary-2000'!Q27</f>
        <v>0</v>
      </c>
      <c r="S27" s="13">
        <f>'Summary-2010'!R27-'Summary-2000'!R27</f>
        <v>0</v>
      </c>
      <c r="T27" s="13">
        <f>'Summary-2010'!S27-'Summary-2000'!S27</f>
        <v>0</v>
      </c>
      <c r="U27" s="13">
        <f>'Summary-2010'!T27-'Summary-2000'!T27</f>
        <v>0</v>
      </c>
      <c r="V27" s="13">
        <f>'Summary-2010'!U27-'Summary-2000'!U27</f>
        <v>0</v>
      </c>
      <c r="W27" s="13"/>
      <c r="X27" s="13">
        <f t="shared" si="5"/>
        <v>-28299.999999999985</v>
      </c>
      <c r="Z27" s="13">
        <f t="shared" si="0"/>
        <v>-93.092837549193064</v>
      </c>
      <c r="AA27" s="18">
        <f t="shared" si="6"/>
        <v>31</v>
      </c>
      <c r="AB27" s="18" t="str">
        <f t="shared" si="7"/>
        <v>Memphis</v>
      </c>
      <c r="AC27" s="18">
        <f t="shared" si="8"/>
        <v>29</v>
      </c>
      <c r="AD27" s="18">
        <f t="shared" si="8"/>
        <v>31</v>
      </c>
      <c r="AE27" s="18">
        <f t="shared" si="8"/>
        <v>39</v>
      </c>
      <c r="AF27" s="18">
        <f t="shared" si="8"/>
        <v>13</v>
      </c>
      <c r="AG27" s="18">
        <f t="shared" si="8"/>
        <v>7</v>
      </c>
      <c r="AH27" s="18">
        <f t="shared" si="9"/>
        <v>2</v>
      </c>
      <c r="AI27" s="18" t="str">
        <f t="shared" si="2"/>
        <v>Memphis</v>
      </c>
    </row>
    <row r="28" spans="1:35">
      <c r="A28" s="18" t="s">
        <v>44</v>
      </c>
      <c r="B28" s="13">
        <f>'Summary-2010'!B28-'Summary-2000'!B28</f>
        <v>20584.681819433084</v>
      </c>
      <c r="C28" s="13">
        <f>'Summary-2010'!C28-'Summary-2000'!C28</f>
        <v>88101.503842849983</v>
      </c>
      <c r="D28" s="13">
        <f>'Summary-2010'!D28-'Summary-2000'!D28</f>
        <v>-44385</v>
      </c>
      <c r="E28" s="13">
        <f>'Summary-2010'!E28-'Summary-2000'!E28</f>
        <v>-44385</v>
      </c>
      <c r="F28" s="13">
        <f>'Summary-2010'!F28-'Summary-2000'!F28</f>
        <v>-44385</v>
      </c>
      <c r="G28" s="13">
        <f>'Summary-2010'!G28-'Summary-2000'!G28</f>
        <v>-44385</v>
      </c>
      <c r="H28" s="13">
        <f>'Summary-2010'!H28-'Summary-2000'!H28</f>
        <v>-44385</v>
      </c>
      <c r="I28" s="13">
        <f>'Summary-2010'!I28-'Summary-2000'!I28</f>
        <v>-44385</v>
      </c>
      <c r="J28" s="13">
        <f>'Summary-2010'!J28-'Summary-2000'!J28</f>
        <v>-44385</v>
      </c>
      <c r="K28" s="18" t="str">
        <f t="shared" si="3"/>
        <v>Milwaukee</v>
      </c>
      <c r="L28" s="13">
        <f t="shared" si="4"/>
        <v>-44385.000000000029</v>
      </c>
      <c r="M28" s="13"/>
      <c r="N28" s="13">
        <f>'Summary-2010'!M28-'Summary-2000'!M28</f>
        <v>20584.681819433084</v>
      </c>
      <c r="O28" s="13">
        <f>'Summary-2010'!N28-'Summary-2000'!N28</f>
        <v>67516.822023416869</v>
      </c>
      <c r="P28" s="13">
        <f>'Summary-2010'!O28-'Summary-2000'!O28</f>
        <v>-132486.50384284998</v>
      </c>
      <c r="Q28" s="13">
        <f>'Summary-2010'!P28-'Summary-2000'!P28</f>
        <v>0</v>
      </c>
      <c r="R28" s="13">
        <f>'Summary-2010'!Q28-'Summary-2000'!Q28</f>
        <v>0</v>
      </c>
      <c r="S28" s="13">
        <f>'Summary-2010'!R28-'Summary-2000'!R28</f>
        <v>0</v>
      </c>
      <c r="T28" s="13">
        <f>'Summary-2010'!S28-'Summary-2000'!S28</f>
        <v>0</v>
      </c>
      <c r="U28" s="13">
        <f>'Summary-2010'!T28-'Summary-2000'!T28</f>
        <v>0</v>
      </c>
      <c r="V28" s="13">
        <f>'Summary-2010'!U28-'Summary-2000'!U28</f>
        <v>0</v>
      </c>
      <c r="W28" s="13"/>
      <c r="X28" s="13">
        <f t="shared" si="5"/>
        <v>-44385.000000000029</v>
      </c>
      <c r="Z28" s="13">
        <f t="shared" si="0"/>
        <v>10861.800564107964</v>
      </c>
      <c r="AA28" s="18">
        <f t="shared" si="6"/>
        <v>22</v>
      </c>
      <c r="AB28" s="18" t="str">
        <f t="shared" si="7"/>
        <v>Milwaukee</v>
      </c>
      <c r="AC28" s="18">
        <f t="shared" si="8"/>
        <v>16</v>
      </c>
      <c r="AD28" s="18">
        <f t="shared" si="8"/>
        <v>16</v>
      </c>
      <c r="AE28" s="18">
        <f t="shared" si="8"/>
        <v>49</v>
      </c>
      <c r="AF28" s="18">
        <f t="shared" si="8"/>
        <v>13</v>
      </c>
      <c r="AG28" s="18">
        <f t="shared" si="8"/>
        <v>7</v>
      </c>
      <c r="AH28" s="18">
        <f t="shared" si="9"/>
        <v>2</v>
      </c>
      <c r="AI28" s="18" t="str">
        <f t="shared" si="2"/>
        <v>Milwaukee</v>
      </c>
    </row>
    <row r="29" spans="1:35">
      <c r="A29" s="18" t="s">
        <v>568</v>
      </c>
      <c r="B29" s="13">
        <f>'Summary-2010'!B29-'Summary-2000'!B29</f>
        <v>43202.712804973649</v>
      </c>
      <c r="C29" s="13">
        <f>'Summary-2010'!C29-'Summary-2000'!C29</f>
        <v>190495.71132836933</v>
      </c>
      <c r="D29" s="13">
        <f>'Summary-2010'!D29-'Summary-2000'!D29</f>
        <v>452069.30472967704</v>
      </c>
      <c r="E29" s="13">
        <f>'Summary-2010'!E29-'Summary-2000'!E29</f>
        <v>-70017</v>
      </c>
      <c r="F29" s="13">
        <f>'Summary-2010'!F29-'Summary-2000'!F29</f>
        <v>-70017</v>
      </c>
      <c r="G29" s="13">
        <f>'Summary-2010'!G29-'Summary-2000'!G29</f>
        <v>-70017</v>
      </c>
      <c r="H29" s="13">
        <f>'Summary-2010'!H29-'Summary-2000'!H29</f>
        <v>-70017</v>
      </c>
      <c r="I29" s="13">
        <f>'Summary-2010'!I29-'Summary-2000'!I29</f>
        <v>-70017</v>
      </c>
      <c r="J29" s="13">
        <f>'Summary-2010'!J29-'Summary-2000'!J29</f>
        <v>-70017</v>
      </c>
      <c r="K29" s="18" t="str">
        <f t="shared" si="3"/>
        <v>Minneapolis</v>
      </c>
      <c r="L29" s="13">
        <f t="shared" si="4"/>
        <v>-70017</v>
      </c>
      <c r="M29" s="13"/>
      <c r="N29" s="13">
        <f>'Summary-2010'!M29-'Summary-2000'!M29</f>
        <v>43202.712804973649</v>
      </c>
      <c r="O29" s="13">
        <f>'Summary-2010'!N29-'Summary-2000'!N29</f>
        <v>147293.99852339568</v>
      </c>
      <c r="P29" s="13">
        <f>'Summary-2010'!O29-'Summary-2000'!O29</f>
        <v>261572.59340130771</v>
      </c>
      <c r="Q29" s="13">
        <f>'Summary-2010'!P29-'Summary-2000'!P29</f>
        <v>-522086.30472967704</v>
      </c>
      <c r="R29" s="13">
        <f>'Summary-2010'!Q29-'Summary-2000'!Q29</f>
        <v>0</v>
      </c>
      <c r="S29" s="13">
        <f>'Summary-2010'!R29-'Summary-2000'!R29</f>
        <v>0</v>
      </c>
      <c r="T29" s="13">
        <f>'Summary-2010'!S29-'Summary-2000'!S29</f>
        <v>0</v>
      </c>
      <c r="U29" s="13">
        <f>'Summary-2010'!T29-'Summary-2000'!T29</f>
        <v>0</v>
      </c>
      <c r="V29" s="13">
        <f>'Summary-2010'!U29-'Summary-2000'!U29</f>
        <v>0</v>
      </c>
      <c r="W29" s="13"/>
      <c r="X29" s="13">
        <f t="shared" si="5"/>
        <v>-70017</v>
      </c>
      <c r="Z29" s="13">
        <f t="shared" si="0"/>
        <v>51598.317477363904</v>
      </c>
      <c r="AA29" s="18">
        <f t="shared" si="6"/>
        <v>8</v>
      </c>
      <c r="AB29" s="18" t="str">
        <f t="shared" si="7"/>
        <v>Minneapolis</v>
      </c>
      <c r="AC29" s="18">
        <f t="shared" si="8"/>
        <v>6</v>
      </c>
      <c r="AD29" s="18">
        <f t="shared" si="8"/>
        <v>5</v>
      </c>
      <c r="AE29" s="18">
        <f t="shared" si="8"/>
        <v>2</v>
      </c>
      <c r="AF29" s="18">
        <f t="shared" si="8"/>
        <v>51</v>
      </c>
      <c r="AG29" s="18">
        <f t="shared" si="8"/>
        <v>7</v>
      </c>
      <c r="AH29" s="18">
        <f t="shared" si="9"/>
        <v>2</v>
      </c>
      <c r="AI29" s="18" t="str">
        <f t="shared" si="2"/>
        <v>Minneapolis</v>
      </c>
    </row>
    <row r="30" spans="1:35">
      <c r="A30" s="18" t="s">
        <v>46</v>
      </c>
      <c r="B30" s="13">
        <f>'Summary-2010'!B30-'Summary-2000'!B30</f>
        <v>-730.86104666550818</v>
      </c>
      <c r="C30" s="13">
        <f>'Summary-2010'!C30-'Summary-2000'!C30</f>
        <v>11036.809318359243</v>
      </c>
      <c r="D30" s="13">
        <f>'Summary-2010'!D30-'Summary-2000'!D30</f>
        <v>18163</v>
      </c>
      <c r="E30" s="13">
        <f>'Summary-2010'!E30-'Summary-2000'!E30</f>
        <v>18163</v>
      </c>
      <c r="F30" s="13">
        <f>'Summary-2010'!F30-'Summary-2000'!F30</f>
        <v>18163</v>
      </c>
      <c r="G30" s="13">
        <f>'Summary-2010'!G30-'Summary-2000'!G30</f>
        <v>18163</v>
      </c>
      <c r="H30" s="13">
        <f>'Summary-2010'!H30-'Summary-2000'!H30</f>
        <v>18163</v>
      </c>
      <c r="I30" s="13">
        <f>'Summary-2010'!I30-'Summary-2000'!I30</f>
        <v>18163</v>
      </c>
      <c r="J30" s="13">
        <f>'Summary-2010'!J30-'Summary-2000'!J30</f>
        <v>18163</v>
      </c>
      <c r="K30" s="18" t="str">
        <f t="shared" si="3"/>
        <v>Nashville</v>
      </c>
      <c r="L30" s="13">
        <f t="shared" si="4"/>
        <v>18163.000000000015</v>
      </c>
      <c r="M30" s="13"/>
      <c r="N30" s="13">
        <f>'Summary-2010'!M30-'Summary-2000'!M30</f>
        <v>-730.86104666550818</v>
      </c>
      <c r="O30" s="13">
        <f>'Summary-2010'!N30-'Summary-2000'!N30</f>
        <v>11767.670365024765</v>
      </c>
      <c r="P30" s="13">
        <f>'Summary-2010'!O30-'Summary-2000'!O30</f>
        <v>7126.1906816407572</v>
      </c>
      <c r="Q30" s="13">
        <f>'Summary-2010'!P30-'Summary-2000'!P30</f>
        <v>0</v>
      </c>
      <c r="R30" s="13">
        <f>'Summary-2010'!Q30-'Summary-2000'!Q30</f>
        <v>0</v>
      </c>
      <c r="S30" s="13">
        <f>'Summary-2010'!R30-'Summary-2000'!R30</f>
        <v>0</v>
      </c>
      <c r="T30" s="13">
        <f>'Summary-2010'!S30-'Summary-2000'!S30</f>
        <v>0</v>
      </c>
      <c r="U30" s="13">
        <f>'Summary-2010'!T30-'Summary-2000'!T30</f>
        <v>0</v>
      </c>
      <c r="V30" s="13">
        <f>'Summary-2010'!U30-'Summary-2000'!U30</f>
        <v>0</v>
      </c>
      <c r="W30" s="13"/>
      <c r="X30" s="13">
        <f t="shared" si="5"/>
        <v>18163.000000000015</v>
      </c>
      <c r="Z30" s="13">
        <f t="shared" si="0"/>
        <v>2693.9280679840872</v>
      </c>
      <c r="AA30" s="18">
        <f t="shared" si="6"/>
        <v>29</v>
      </c>
      <c r="AB30" s="18" t="str">
        <f t="shared" si="7"/>
        <v>Nashville</v>
      </c>
      <c r="AC30" s="18">
        <f t="shared" si="8"/>
        <v>33</v>
      </c>
      <c r="AD30" s="18">
        <f t="shared" si="8"/>
        <v>32</v>
      </c>
      <c r="AE30" s="18">
        <f t="shared" si="8"/>
        <v>30</v>
      </c>
      <c r="AF30" s="18">
        <f t="shared" si="8"/>
        <v>13</v>
      </c>
      <c r="AG30" s="18">
        <f t="shared" si="8"/>
        <v>7</v>
      </c>
      <c r="AH30" s="18">
        <f t="shared" si="9"/>
        <v>2</v>
      </c>
      <c r="AI30" s="18" t="str">
        <f t="shared" si="2"/>
        <v>Nashville</v>
      </c>
    </row>
    <row r="31" spans="1:35">
      <c r="A31" s="18" t="s">
        <v>47</v>
      </c>
      <c r="B31" s="13">
        <f>'Summary-2010'!B31-'Summary-2000'!B31</f>
        <v>-5833.9962340384955</v>
      </c>
      <c r="C31" s="13">
        <f>'Summary-2010'!C31-'Summary-2000'!C31</f>
        <v>-95225</v>
      </c>
      <c r="D31" s="13">
        <f>'Summary-2010'!D31-'Summary-2000'!D31</f>
        <v>-95225</v>
      </c>
      <c r="E31" s="13">
        <f>'Summary-2010'!E31-'Summary-2000'!E31</f>
        <v>-95225</v>
      </c>
      <c r="F31" s="13">
        <f>'Summary-2010'!F31-'Summary-2000'!F31</f>
        <v>-95225</v>
      </c>
      <c r="G31" s="13">
        <f>'Summary-2010'!G31-'Summary-2000'!G31</f>
        <v>-95225</v>
      </c>
      <c r="H31" s="13">
        <f>'Summary-2010'!H31-'Summary-2000'!H31</f>
        <v>-95225</v>
      </c>
      <c r="I31" s="13">
        <f>'Summary-2010'!I31-'Summary-2000'!I31</f>
        <v>-95225</v>
      </c>
      <c r="J31" s="13">
        <f>'Summary-2010'!J31-'Summary-2000'!J31</f>
        <v>-95225</v>
      </c>
      <c r="K31" s="18" t="str">
        <f t="shared" si="3"/>
        <v>New Orleans</v>
      </c>
      <c r="L31" s="13">
        <f t="shared" si="4"/>
        <v>-95225</v>
      </c>
      <c r="M31" s="13"/>
      <c r="N31" s="13">
        <f>'Summary-2010'!M31-'Summary-2000'!M31</f>
        <v>-5833.9962340384955</v>
      </c>
      <c r="O31" s="13">
        <f>'Summary-2010'!N31-'Summary-2000'!N31</f>
        <v>-89391.003765961505</v>
      </c>
      <c r="P31" s="13">
        <f>'Summary-2010'!O31-'Summary-2000'!O31</f>
        <v>0</v>
      </c>
      <c r="Q31" s="13">
        <f>'Summary-2010'!P31-'Summary-2000'!P31</f>
        <v>0</v>
      </c>
      <c r="R31" s="13">
        <f>'Summary-2010'!Q31-'Summary-2000'!Q31</f>
        <v>0</v>
      </c>
      <c r="S31" s="13">
        <f>'Summary-2010'!R31-'Summary-2000'!R31</f>
        <v>0</v>
      </c>
      <c r="T31" s="13">
        <f>'Summary-2010'!S31-'Summary-2000'!S31</f>
        <v>0</v>
      </c>
      <c r="U31" s="13">
        <f>'Summary-2010'!T31-'Summary-2000'!T31</f>
        <v>0</v>
      </c>
      <c r="V31" s="13">
        <f>'Summary-2010'!U31-'Summary-2000'!U31</f>
        <v>0</v>
      </c>
      <c r="W31" s="13"/>
      <c r="X31" s="13">
        <f t="shared" si="5"/>
        <v>-95225</v>
      </c>
      <c r="Z31" s="13">
        <f t="shared" si="0"/>
        <v>-20669.115884899042</v>
      </c>
      <c r="AA31" s="18">
        <f t="shared" si="6"/>
        <v>45</v>
      </c>
      <c r="AB31" s="18" t="str">
        <f t="shared" si="7"/>
        <v>New Orleans</v>
      </c>
      <c r="AC31" s="18">
        <f t="shared" si="8"/>
        <v>37</v>
      </c>
      <c r="AD31" s="18">
        <f t="shared" si="8"/>
        <v>47</v>
      </c>
      <c r="AE31" s="18">
        <f t="shared" si="8"/>
        <v>31</v>
      </c>
      <c r="AF31" s="18">
        <f t="shared" si="8"/>
        <v>13</v>
      </c>
      <c r="AG31" s="18">
        <f t="shared" si="8"/>
        <v>7</v>
      </c>
      <c r="AH31" s="18">
        <f t="shared" si="9"/>
        <v>2</v>
      </c>
      <c r="AI31" s="18" t="str">
        <f t="shared" si="2"/>
        <v>New Orleans</v>
      </c>
    </row>
    <row r="32" spans="1:35">
      <c r="A32" s="18" t="s">
        <v>64</v>
      </c>
      <c r="B32" s="13">
        <f>'Summary-2010'!B32-'Summary-2000'!B32</f>
        <v>34795.22922843814</v>
      </c>
      <c r="C32" s="13">
        <f>'Summary-2010'!C32-'Summary-2000'!C32</f>
        <v>149731.23539608601</v>
      </c>
      <c r="D32" s="13">
        <f>'Summary-2010'!D32-'Summary-2000'!D32</f>
        <v>340855.26941660675</v>
      </c>
      <c r="E32" s="13">
        <f>'Summary-2010'!E32-'Summary-2000'!E32</f>
        <v>612099.75876706652</v>
      </c>
      <c r="F32" s="13">
        <f>'Summary-2010'!F32-'Summary-2000'!F32</f>
        <v>948869.43941989075</v>
      </c>
      <c r="G32" s="13">
        <f>'Summary-2010'!G32-'Summary-2000'!G32</f>
        <v>1338439.1589408554</v>
      </c>
      <c r="H32" s="13">
        <f>'Summary-2010'!H32-'Summary-2000'!H32</f>
        <v>236342</v>
      </c>
      <c r="I32" s="13">
        <f>'Summary-2010'!I32-'Summary-2000'!I32</f>
        <v>-611255</v>
      </c>
      <c r="J32" s="13">
        <f>'Summary-2010'!J32-'Summary-2000'!J32</f>
        <v>-611255</v>
      </c>
      <c r="K32" s="18" t="str">
        <f t="shared" si="3"/>
        <v>New York</v>
      </c>
      <c r="L32" s="13">
        <f t="shared" si="4"/>
        <v>-611256</v>
      </c>
      <c r="M32" s="13"/>
      <c r="N32" s="13">
        <f>'Summary-2010'!M32-'Summary-2000'!M32</f>
        <v>34795.22922843814</v>
      </c>
      <c r="O32" s="13">
        <f>'Summary-2010'!N32-'Summary-2000'!N32</f>
        <v>114936.00616764789</v>
      </c>
      <c r="P32" s="13">
        <f>'Summary-2010'!O32-'Summary-2000'!O32</f>
        <v>191124.03402052075</v>
      </c>
      <c r="Q32" s="13">
        <f>'Summary-2010'!P32-'Summary-2000'!P32</f>
        <v>271244.48935045977</v>
      </c>
      <c r="R32" s="13">
        <f>'Summary-2010'!Q32-'Summary-2000'!Q32</f>
        <v>336768.68065282423</v>
      </c>
      <c r="S32" s="13">
        <f>'Summary-2010'!R32-'Summary-2000'!R32</f>
        <v>389569.71952096466</v>
      </c>
      <c r="T32" s="13">
        <f>'Summary-2010'!S32-'Summary-2000'!S32</f>
        <v>-1102097.1589408554</v>
      </c>
      <c r="U32" s="13">
        <f>'Summary-2010'!T32-'Summary-2000'!T32</f>
        <v>-847597</v>
      </c>
      <c r="V32" s="13">
        <f>'Summary-2010'!U32-'Summary-2000'!U32</f>
        <v>0</v>
      </c>
      <c r="W32" s="13"/>
      <c r="X32" s="13">
        <f t="shared" si="5"/>
        <v>-611256</v>
      </c>
      <c r="Z32" s="13">
        <f t="shared" si="0"/>
        <v>71125.045873895695</v>
      </c>
      <c r="AA32" s="18">
        <f t="shared" si="6"/>
        <v>4</v>
      </c>
      <c r="AB32" s="18" t="str">
        <f t="shared" si="7"/>
        <v>New York</v>
      </c>
      <c r="AC32" s="18">
        <f t="shared" si="8"/>
        <v>9</v>
      </c>
      <c r="AD32" s="18">
        <f t="shared" si="8"/>
        <v>8</v>
      </c>
      <c r="AE32" s="18">
        <f t="shared" si="8"/>
        <v>4</v>
      </c>
      <c r="AF32" s="18">
        <f t="shared" si="8"/>
        <v>3</v>
      </c>
      <c r="AG32" s="18">
        <f t="shared" si="8"/>
        <v>2</v>
      </c>
      <c r="AH32" s="18">
        <f t="shared" si="9"/>
        <v>1</v>
      </c>
      <c r="AI32" s="18" t="str">
        <f t="shared" si="2"/>
        <v>New York</v>
      </c>
    </row>
    <row r="33" spans="1:35">
      <c r="A33" s="18" t="s">
        <v>65</v>
      </c>
      <c r="B33" s="13">
        <f>'Summary-2010'!B33-'Summary-2000'!B33</f>
        <v>-6604.7355462493433</v>
      </c>
      <c r="C33" s="13">
        <f>'Summary-2010'!C33-'Summary-2000'!C33</f>
        <v>-31682.255670700746</v>
      </c>
      <c r="D33" s="13">
        <f>'Summary-2010'!D33-'Summary-2000'!D33</f>
        <v>11338</v>
      </c>
      <c r="E33" s="13">
        <f>'Summary-2010'!E33-'Summary-2000'!E33</f>
        <v>11338</v>
      </c>
      <c r="F33" s="13">
        <f>'Summary-2010'!F33-'Summary-2000'!F33</f>
        <v>11338</v>
      </c>
      <c r="G33" s="13">
        <f>'Summary-2010'!G33-'Summary-2000'!G33</f>
        <v>11338</v>
      </c>
      <c r="H33" s="13">
        <f>'Summary-2010'!H33-'Summary-2000'!H33</f>
        <v>11338</v>
      </c>
      <c r="I33" s="13">
        <f>'Summary-2010'!I33-'Summary-2000'!I33</f>
        <v>11338</v>
      </c>
      <c r="J33" s="13">
        <f>'Summary-2010'!J33-'Summary-2000'!J33</f>
        <v>11338</v>
      </c>
      <c r="K33" s="18" t="str">
        <f t="shared" si="3"/>
        <v>Oklahoma City</v>
      </c>
      <c r="L33" s="13">
        <f t="shared" si="4"/>
        <v>11338.000000000029</v>
      </c>
      <c r="M33" s="13"/>
      <c r="N33" s="13">
        <f>'Summary-2010'!M33-'Summary-2000'!M33</f>
        <v>-6604.7355462493433</v>
      </c>
      <c r="O33" s="13">
        <f>'Summary-2010'!N33-'Summary-2000'!N33</f>
        <v>-25077.520124451374</v>
      </c>
      <c r="P33" s="13">
        <f>'Summary-2010'!O33-'Summary-2000'!O33</f>
        <v>43020.255670700746</v>
      </c>
      <c r="Q33" s="13">
        <f>'Summary-2010'!P33-'Summary-2000'!P33</f>
        <v>0</v>
      </c>
      <c r="R33" s="13">
        <f>'Summary-2010'!Q33-'Summary-2000'!Q33</f>
        <v>0</v>
      </c>
      <c r="S33" s="13">
        <f>'Summary-2010'!R33-'Summary-2000'!R33</f>
        <v>0</v>
      </c>
      <c r="T33" s="13">
        <f>'Summary-2010'!S33-'Summary-2000'!S33</f>
        <v>0</v>
      </c>
      <c r="U33" s="13">
        <f>'Summary-2010'!T33-'Summary-2000'!T33</f>
        <v>0</v>
      </c>
      <c r="V33" s="13">
        <f>'Summary-2010'!U33-'Summary-2000'!U33</f>
        <v>0</v>
      </c>
      <c r="W33" s="13"/>
      <c r="X33" s="13">
        <f t="shared" si="5"/>
        <v>11338.000000000029</v>
      </c>
      <c r="Z33" s="13">
        <f t="shared" si="0"/>
        <v>-4128.0534298988241</v>
      </c>
      <c r="AA33" s="18">
        <f t="shared" si="6"/>
        <v>37</v>
      </c>
      <c r="AB33" s="18" t="str">
        <f t="shared" si="7"/>
        <v>Oklahoma City</v>
      </c>
      <c r="AC33" s="18">
        <f t="shared" si="8"/>
        <v>39</v>
      </c>
      <c r="AD33" s="18">
        <f t="shared" si="8"/>
        <v>39</v>
      </c>
      <c r="AE33" s="18">
        <f t="shared" si="8"/>
        <v>17</v>
      </c>
      <c r="AF33" s="18">
        <f t="shared" si="8"/>
        <v>13</v>
      </c>
      <c r="AG33" s="18">
        <f t="shared" si="8"/>
        <v>7</v>
      </c>
      <c r="AH33" s="18">
        <f t="shared" si="9"/>
        <v>2</v>
      </c>
      <c r="AI33" s="18" t="str">
        <f t="shared" si="2"/>
        <v>Oklahoma City</v>
      </c>
    </row>
    <row r="34" spans="1:35">
      <c r="A34" s="18" t="s">
        <v>48</v>
      </c>
      <c r="B34" s="13">
        <f>'Summary-2010'!B34-'Summary-2000'!B34</f>
        <v>31259.851712398857</v>
      </c>
      <c r="C34" s="13">
        <f>'Summary-2010'!C34-'Summary-2000'!C34</f>
        <v>133243.9880553757</v>
      </c>
      <c r="D34" s="13">
        <f>'Summary-2010'!D34-'Summary-2000'!D34</f>
        <v>190942</v>
      </c>
      <c r="E34" s="13">
        <f>'Summary-2010'!E34-'Summary-2000'!E34</f>
        <v>37738</v>
      </c>
      <c r="F34" s="13">
        <f>'Summary-2010'!F34-'Summary-2000'!F34</f>
        <v>37738</v>
      </c>
      <c r="G34" s="13">
        <f>'Summary-2010'!G34-'Summary-2000'!G34</f>
        <v>37738</v>
      </c>
      <c r="H34" s="13">
        <f>'Summary-2010'!H34-'Summary-2000'!H34</f>
        <v>37738</v>
      </c>
      <c r="I34" s="13">
        <f>'Summary-2010'!I34-'Summary-2000'!I34</f>
        <v>37738</v>
      </c>
      <c r="J34" s="13">
        <f>'Summary-2010'!J34-'Summary-2000'!J34</f>
        <v>37738</v>
      </c>
      <c r="K34" s="18" t="str">
        <f t="shared" si="3"/>
        <v>Orlando</v>
      </c>
      <c r="L34" s="13">
        <f t="shared" si="4"/>
        <v>37739</v>
      </c>
      <c r="M34" s="13"/>
      <c r="N34" s="13">
        <f>'Summary-2010'!M34-'Summary-2000'!M34</f>
        <v>31259.851712398857</v>
      </c>
      <c r="O34" s="13">
        <f>'Summary-2010'!N34-'Summary-2000'!N34</f>
        <v>101985.13634297682</v>
      </c>
      <c r="P34" s="13">
        <f>'Summary-2010'!O34-'Summary-2000'!O34</f>
        <v>57698.011944624304</v>
      </c>
      <c r="Q34" s="13">
        <f>'Summary-2010'!P34-'Summary-2000'!P34</f>
        <v>-153204</v>
      </c>
      <c r="R34" s="13">
        <f>'Summary-2010'!Q34-'Summary-2000'!Q34</f>
        <v>0</v>
      </c>
      <c r="S34" s="13">
        <f>'Summary-2010'!R34-'Summary-2000'!R34</f>
        <v>0</v>
      </c>
      <c r="T34" s="13">
        <f>'Summary-2010'!S34-'Summary-2000'!S34</f>
        <v>0</v>
      </c>
      <c r="U34" s="13">
        <f>'Summary-2010'!T34-'Summary-2000'!T34</f>
        <v>0</v>
      </c>
      <c r="V34" s="13">
        <f>'Summary-2010'!U34-'Summary-2000'!U34</f>
        <v>0</v>
      </c>
      <c r="W34" s="13"/>
      <c r="X34" s="13">
        <f t="shared" si="5"/>
        <v>37738.999999999985</v>
      </c>
      <c r="Z34" s="13">
        <f t="shared" si="0"/>
        <v>33625.713557430106</v>
      </c>
      <c r="AA34" s="18">
        <f t="shared" si="6"/>
        <v>10</v>
      </c>
      <c r="AB34" s="18" t="str">
        <f t="shared" si="7"/>
        <v>Orlando</v>
      </c>
      <c r="AC34" s="18">
        <f t="shared" si="8"/>
        <v>10</v>
      </c>
      <c r="AD34" s="18">
        <f t="shared" si="8"/>
        <v>13</v>
      </c>
      <c r="AE34" s="18">
        <f t="shared" si="8"/>
        <v>13</v>
      </c>
      <c r="AF34" s="18">
        <f t="shared" si="8"/>
        <v>47</v>
      </c>
      <c r="AG34" s="18">
        <f t="shared" si="8"/>
        <v>7</v>
      </c>
      <c r="AH34" s="18">
        <f t="shared" si="9"/>
        <v>2</v>
      </c>
      <c r="AI34" s="18" t="str">
        <f t="shared" si="2"/>
        <v>Orlando</v>
      </c>
    </row>
    <row r="35" spans="1:35">
      <c r="A35" s="18" t="s">
        <v>66</v>
      </c>
      <c r="B35" s="13">
        <f>'Summary-2010'!B35-'Summary-2000'!B35</f>
        <v>5001.0008547393663</v>
      </c>
      <c r="C35" s="13">
        <f>'Summary-2010'!C35-'Summary-2000'!C35</f>
        <v>25737.146584883565</v>
      </c>
      <c r="D35" s="13">
        <f>'Summary-2010'!D35-'Summary-2000'!D35</f>
        <v>43578.041482975823</v>
      </c>
      <c r="E35" s="13">
        <f>'Summary-2010'!E35-'Summary-2000'!E35</f>
        <v>75725.525163671467</v>
      </c>
      <c r="F35" s="13">
        <f>'Summary-2010'!F35-'Summary-2000'!F35</f>
        <v>67034</v>
      </c>
      <c r="G35" s="13">
        <f>'Summary-2010'!G35-'Summary-2000'!G35</f>
        <v>-129083</v>
      </c>
      <c r="H35" s="13">
        <f>'Summary-2010'!H35-'Summary-2000'!H35</f>
        <v>-129083</v>
      </c>
      <c r="I35" s="13">
        <f>'Summary-2010'!I35-'Summary-2000'!I35</f>
        <v>-129083</v>
      </c>
      <c r="J35" s="13">
        <f>'Summary-2010'!J35-'Summary-2000'!J35</f>
        <v>-129083</v>
      </c>
      <c r="K35" s="18" t="str">
        <f t="shared" si="3"/>
        <v>Philadelphia</v>
      </c>
      <c r="L35" s="13">
        <f t="shared" si="4"/>
        <v>-129083.99999999997</v>
      </c>
      <c r="M35" s="13"/>
      <c r="N35" s="13">
        <f>'Summary-2010'!M35-'Summary-2000'!M35</f>
        <v>5001.0008547393663</v>
      </c>
      <c r="O35" s="13">
        <f>'Summary-2010'!N35-'Summary-2000'!N35</f>
        <v>20735.145730144228</v>
      </c>
      <c r="P35" s="13">
        <f>'Summary-2010'!O35-'Summary-2000'!O35</f>
        <v>17841.894898092258</v>
      </c>
      <c r="Q35" s="13">
        <f>'Summary-2010'!P35-'Summary-2000'!P35</f>
        <v>32147.483680695645</v>
      </c>
      <c r="R35" s="13">
        <f>'Summary-2010'!Q35-'Summary-2000'!Q35</f>
        <v>-8692.5251636714675</v>
      </c>
      <c r="S35" s="13">
        <f>'Summary-2010'!R35-'Summary-2000'!R35</f>
        <v>-196117</v>
      </c>
      <c r="T35" s="13">
        <f>'Summary-2010'!S35-'Summary-2000'!S35</f>
        <v>0</v>
      </c>
      <c r="U35" s="13">
        <f>'Summary-2010'!T35-'Summary-2000'!T35</f>
        <v>0</v>
      </c>
      <c r="V35" s="13">
        <f>'Summary-2010'!U35-'Summary-2000'!U35</f>
        <v>0</v>
      </c>
      <c r="W35" s="13"/>
      <c r="X35" s="13">
        <f t="shared" si="5"/>
        <v>-129083.99999999997</v>
      </c>
      <c r="Z35" s="13">
        <f t="shared" si="0"/>
        <v>7589.2282778389999</v>
      </c>
      <c r="AA35" s="18">
        <f t="shared" si="6"/>
        <v>25</v>
      </c>
      <c r="AB35" s="18" t="str">
        <f t="shared" si="7"/>
        <v>Philadelphia</v>
      </c>
      <c r="AC35" s="18">
        <f t="shared" si="8"/>
        <v>26</v>
      </c>
      <c r="AD35" s="18">
        <f t="shared" si="8"/>
        <v>29</v>
      </c>
      <c r="AE35" s="18">
        <f t="shared" si="8"/>
        <v>24</v>
      </c>
      <c r="AF35" s="18">
        <f t="shared" si="8"/>
        <v>9</v>
      </c>
      <c r="AG35" s="18">
        <f t="shared" si="8"/>
        <v>45</v>
      </c>
      <c r="AH35" s="18">
        <f t="shared" si="9"/>
        <v>48</v>
      </c>
      <c r="AI35" s="18" t="str">
        <f t="shared" si="2"/>
        <v>Philadelphia</v>
      </c>
    </row>
    <row r="36" spans="1:35">
      <c r="A36" s="18" t="s">
        <v>49</v>
      </c>
      <c r="B36" s="13">
        <f>'Summary-2010'!B36-'Summary-2000'!B36</f>
        <v>14188.254344155939</v>
      </c>
      <c r="C36" s="13">
        <f>'Summary-2010'!C36-'Summary-2000'!C36</f>
        <v>57690.37485737307</v>
      </c>
      <c r="D36" s="13">
        <f>'Summary-2010'!D36-'Summary-2000'!D36</f>
        <v>147054.03039960819</v>
      </c>
      <c r="E36" s="13">
        <f>'Summary-2010'!E36-'Summary-2000'!E36</f>
        <v>50529</v>
      </c>
      <c r="F36" s="13">
        <f>'Summary-2010'!F36-'Summary-2000'!F36</f>
        <v>50529</v>
      </c>
      <c r="G36" s="13">
        <f>'Summary-2010'!G36-'Summary-2000'!G36</f>
        <v>50529</v>
      </c>
      <c r="H36" s="13">
        <f>'Summary-2010'!H36-'Summary-2000'!H36</f>
        <v>50529</v>
      </c>
      <c r="I36" s="13">
        <f>'Summary-2010'!I36-'Summary-2000'!I36</f>
        <v>50529</v>
      </c>
      <c r="J36" s="13">
        <f>'Summary-2010'!J36-'Summary-2000'!J36</f>
        <v>50529</v>
      </c>
      <c r="K36" s="18" t="str">
        <f t="shared" si="3"/>
        <v>Phoenix</v>
      </c>
      <c r="L36" s="13">
        <f t="shared" si="4"/>
        <v>50529</v>
      </c>
      <c r="M36" s="13"/>
      <c r="N36" s="13">
        <f>'Summary-2010'!M36-'Summary-2000'!M36</f>
        <v>14188.254344155939</v>
      </c>
      <c r="O36" s="13">
        <f>'Summary-2010'!N36-'Summary-2000'!N36</f>
        <v>43502.120513217116</v>
      </c>
      <c r="P36" s="13">
        <f>'Summary-2010'!O36-'Summary-2000'!O36</f>
        <v>89363.655542235123</v>
      </c>
      <c r="Q36" s="13">
        <f>'Summary-2010'!P36-'Summary-2000'!P36</f>
        <v>-96525.030399608193</v>
      </c>
      <c r="R36" s="13">
        <f>'Summary-2010'!Q36-'Summary-2000'!Q36</f>
        <v>0</v>
      </c>
      <c r="S36" s="13">
        <f>'Summary-2010'!R36-'Summary-2000'!R36</f>
        <v>0</v>
      </c>
      <c r="T36" s="13">
        <f>'Summary-2010'!S36-'Summary-2000'!S36</f>
        <v>0</v>
      </c>
      <c r="U36" s="13">
        <f>'Summary-2010'!T36-'Summary-2000'!T36</f>
        <v>0</v>
      </c>
      <c r="V36" s="13">
        <f>'Summary-2010'!U36-'Summary-2000'!U36</f>
        <v>0</v>
      </c>
      <c r="W36" s="13"/>
      <c r="X36" s="13">
        <f t="shared" si="5"/>
        <v>50528.999999999985</v>
      </c>
      <c r="Z36" s="13">
        <f t="shared" si="0"/>
        <v>19330.435235178469</v>
      </c>
      <c r="AA36" s="18">
        <f t="shared" si="6"/>
        <v>16</v>
      </c>
      <c r="AB36" s="18" t="str">
        <f t="shared" si="7"/>
        <v>Phoenix</v>
      </c>
      <c r="AC36" s="18">
        <f t="shared" si="8"/>
        <v>18</v>
      </c>
      <c r="AD36" s="18">
        <f t="shared" si="8"/>
        <v>20</v>
      </c>
      <c r="AE36" s="18">
        <f t="shared" si="8"/>
        <v>10</v>
      </c>
      <c r="AF36" s="18">
        <f t="shared" si="8"/>
        <v>46</v>
      </c>
      <c r="AG36" s="18">
        <f t="shared" si="8"/>
        <v>7</v>
      </c>
      <c r="AH36" s="18">
        <f t="shared" si="9"/>
        <v>2</v>
      </c>
      <c r="AI36" s="18" t="str">
        <f t="shared" si="2"/>
        <v>Phoenix</v>
      </c>
    </row>
    <row r="37" spans="1:35">
      <c r="A37" s="18" t="s">
        <v>50</v>
      </c>
      <c r="B37" s="13">
        <f>'Summary-2010'!B37-'Summary-2000'!B37</f>
        <v>-657.14691605854023</v>
      </c>
      <c r="C37" s="13">
        <f>'Summary-2010'!C37-'Summary-2000'!C37</f>
        <v>-7412.200536490418</v>
      </c>
      <c r="D37" s="13">
        <f>'Summary-2010'!D37-'Summary-2000'!D37</f>
        <v>-20583.849424315616</v>
      </c>
      <c r="E37" s="13">
        <f>'Summary-2010'!E37-'Summary-2000'!E37</f>
        <v>-7703</v>
      </c>
      <c r="F37" s="13">
        <f>'Summary-2010'!F37-'Summary-2000'!F37</f>
        <v>-7703</v>
      </c>
      <c r="G37" s="13">
        <f>'Summary-2010'!G37-'Summary-2000'!G37</f>
        <v>-7703</v>
      </c>
      <c r="H37" s="13">
        <f>'Summary-2010'!H37-'Summary-2000'!H37</f>
        <v>-7703</v>
      </c>
      <c r="I37" s="13">
        <f>'Summary-2010'!I37-'Summary-2000'!I37</f>
        <v>-7703</v>
      </c>
      <c r="J37" s="13">
        <f>'Summary-2010'!J37-'Summary-2000'!J37</f>
        <v>-7703</v>
      </c>
      <c r="K37" s="18" t="str">
        <f t="shared" si="3"/>
        <v>Pittsburgh</v>
      </c>
      <c r="L37" s="13">
        <f t="shared" si="4"/>
        <v>-7701.9999999999854</v>
      </c>
      <c r="M37" s="13"/>
      <c r="N37" s="13">
        <f>'Summary-2010'!M37-'Summary-2000'!M37</f>
        <v>-657.14691605854023</v>
      </c>
      <c r="O37" s="13">
        <f>'Summary-2010'!N37-'Summary-2000'!N37</f>
        <v>-6755.0536204318632</v>
      </c>
      <c r="P37" s="13">
        <f>'Summary-2010'!O37-'Summary-2000'!O37</f>
        <v>-13170.648887825198</v>
      </c>
      <c r="Q37" s="13">
        <f>'Summary-2010'!P37-'Summary-2000'!P37</f>
        <v>12880.849424315616</v>
      </c>
      <c r="R37" s="13">
        <f>'Summary-2010'!Q37-'Summary-2000'!Q37</f>
        <v>0</v>
      </c>
      <c r="S37" s="13">
        <f>'Summary-2010'!R37-'Summary-2000'!R37</f>
        <v>0</v>
      </c>
      <c r="T37" s="13">
        <f>'Summary-2010'!S37-'Summary-2000'!S37</f>
        <v>0</v>
      </c>
      <c r="U37" s="13">
        <f>'Summary-2010'!T37-'Summary-2000'!T37</f>
        <v>0</v>
      </c>
      <c r="V37" s="13">
        <f>'Summary-2010'!U37-'Summary-2000'!U37</f>
        <v>0</v>
      </c>
      <c r="W37" s="13"/>
      <c r="X37" s="13">
        <f t="shared" si="5"/>
        <v>-7701.9999999999854</v>
      </c>
      <c r="Z37" s="13">
        <f t="shared" si="0"/>
        <v>-2328.8594468461993</v>
      </c>
      <c r="AA37" s="18">
        <f t="shared" si="6"/>
        <v>34</v>
      </c>
      <c r="AB37" s="18" t="str">
        <f t="shared" si="7"/>
        <v>Pittsburgh</v>
      </c>
      <c r="AC37" s="18">
        <f t="shared" si="8"/>
        <v>32</v>
      </c>
      <c r="AD37" s="18">
        <f t="shared" si="8"/>
        <v>37</v>
      </c>
      <c r="AE37" s="18">
        <f t="shared" si="8"/>
        <v>35</v>
      </c>
      <c r="AF37" s="18">
        <f t="shared" si="8"/>
        <v>11</v>
      </c>
      <c r="AG37" s="18">
        <f t="shared" si="8"/>
        <v>7</v>
      </c>
      <c r="AH37" s="18">
        <f t="shared" si="9"/>
        <v>2</v>
      </c>
      <c r="AI37" s="18" t="str">
        <f t="shared" si="2"/>
        <v>Pittsburgh</v>
      </c>
    </row>
    <row r="38" spans="1:35">
      <c r="A38" s="18" t="s">
        <v>51</v>
      </c>
      <c r="B38" s="13">
        <f>'Summary-2010'!B38-'Summary-2000'!B38</f>
        <v>2895.0595102535881</v>
      </c>
      <c r="C38" s="13">
        <f>'Summary-2010'!C38-'Summary-2000'!C38</f>
        <v>28979.315342866175</v>
      </c>
      <c r="D38" s="13">
        <f>'Summary-2010'!D38-'Summary-2000'!D38</f>
        <v>51487.412264833692</v>
      </c>
      <c r="E38" s="13">
        <f>'Summary-2010'!E38-'Summary-2000'!E38</f>
        <v>-6565</v>
      </c>
      <c r="F38" s="13">
        <f>'Summary-2010'!F38-'Summary-2000'!F38</f>
        <v>-6565</v>
      </c>
      <c r="G38" s="13">
        <f>'Summary-2010'!G38-'Summary-2000'!G38</f>
        <v>-6565</v>
      </c>
      <c r="H38" s="13">
        <f>'Summary-2010'!H38-'Summary-2000'!H38</f>
        <v>-6565</v>
      </c>
      <c r="I38" s="13">
        <f>'Summary-2010'!I38-'Summary-2000'!I38</f>
        <v>-6565</v>
      </c>
      <c r="J38" s="13">
        <f>'Summary-2010'!J38-'Summary-2000'!J38</f>
        <v>-6565</v>
      </c>
      <c r="K38" s="18" t="str">
        <f t="shared" si="3"/>
        <v>Portland</v>
      </c>
      <c r="L38" s="13">
        <f t="shared" si="4"/>
        <v>-6565.0000000000146</v>
      </c>
      <c r="M38" s="13"/>
      <c r="N38" s="13">
        <f>'Summary-2010'!M38-'Summary-2000'!M38</f>
        <v>2895.0595102535881</v>
      </c>
      <c r="O38" s="13">
        <f>'Summary-2010'!N38-'Summary-2000'!N38</f>
        <v>26084.255832612573</v>
      </c>
      <c r="P38" s="13">
        <f>'Summary-2010'!O38-'Summary-2000'!O38</f>
        <v>22508.096921967517</v>
      </c>
      <c r="Q38" s="13">
        <f>'Summary-2010'!P38-'Summary-2000'!P38</f>
        <v>-58052.412264833692</v>
      </c>
      <c r="R38" s="13">
        <f>'Summary-2010'!Q38-'Summary-2000'!Q38</f>
        <v>0</v>
      </c>
      <c r="S38" s="13">
        <f>'Summary-2010'!R38-'Summary-2000'!R38</f>
        <v>0</v>
      </c>
      <c r="T38" s="13">
        <f>'Summary-2010'!S38-'Summary-2000'!S38</f>
        <v>0</v>
      </c>
      <c r="U38" s="13">
        <f>'Summary-2010'!T38-'Summary-2000'!T38</f>
        <v>0</v>
      </c>
      <c r="V38" s="13">
        <f>'Summary-2010'!U38-'Summary-2000'!U38</f>
        <v>0</v>
      </c>
      <c r="W38" s="13"/>
      <c r="X38" s="13">
        <f t="shared" si="5"/>
        <v>-6565.0000000000146</v>
      </c>
      <c r="Z38" s="13">
        <f t="shared" si="0"/>
        <v>6242.6987329114745</v>
      </c>
      <c r="AA38" s="18">
        <f t="shared" si="6"/>
        <v>27</v>
      </c>
      <c r="AB38" s="18" t="str">
        <f t="shared" si="7"/>
        <v>Portland</v>
      </c>
      <c r="AC38" s="18">
        <f t="shared" si="8"/>
        <v>28</v>
      </c>
      <c r="AD38" s="18">
        <f t="shared" si="8"/>
        <v>27</v>
      </c>
      <c r="AE38" s="18">
        <f t="shared" si="8"/>
        <v>22</v>
      </c>
      <c r="AF38" s="18">
        <f t="shared" si="8"/>
        <v>43</v>
      </c>
      <c r="AG38" s="18">
        <f t="shared" si="8"/>
        <v>7</v>
      </c>
      <c r="AH38" s="18">
        <f t="shared" si="9"/>
        <v>2</v>
      </c>
      <c r="AI38" s="18" t="str">
        <f t="shared" si="2"/>
        <v>Portland</v>
      </c>
    </row>
    <row r="39" spans="1:35">
      <c r="A39" s="18" t="s">
        <v>52</v>
      </c>
      <c r="B39" s="13">
        <f>'Summary-2010'!B39-'Summary-2000'!B39</f>
        <v>-17329.55075695191</v>
      </c>
      <c r="C39" s="13">
        <f>'Summary-2010'!C39-'Summary-2000'!C39</f>
        <v>-65660.987637115468</v>
      </c>
      <c r="D39" s="13">
        <f>'Summary-2010'!D39-'Summary-2000'!D39</f>
        <v>-38804</v>
      </c>
      <c r="E39" s="13">
        <f>'Summary-2010'!E39-'Summary-2000'!E39</f>
        <v>-38804</v>
      </c>
      <c r="F39" s="13">
        <f>'Summary-2010'!F39-'Summary-2000'!F39</f>
        <v>-38804</v>
      </c>
      <c r="G39" s="13">
        <f>'Summary-2010'!G39-'Summary-2000'!G39</f>
        <v>-38804</v>
      </c>
      <c r="H39" s="13">
        <f>'Summary-2010'!H39-'Summary-2000'!H39</f>
        <v>-38804</v>
      </c>
      <c r="I39" s="13">
        <f>'Summary-2010'!I39-'Summary-2000'!I39</f>
        <v>-38804</v>
      </c>
      <c r="J39" s="13">
        <f>'Summary-2010'!J39-'Summary-2000'!J39</f>
        <v>-38804</v>
      </c>
      <c r="K39" s="18" t="str">
        <f t="shared" si="3"/>
        <v>Providence</v>
      </c>
      <c r="L39" s="13">
        <f t="shared" si="4"/>
        <v>-38805</v>
      </c>
      <c r="M39" s="13"/>
      <c r="N39" s="13">
        <f>'Summary-2010'!M39-'Summary-2000'!M39</f>
        <v>-17329.55075695191</v>
      </c>
      <c r="O39" s="13">
        <f>'Summary-2010'!N39-'Summary-2000'!N39</f>
        <v>-48332.436880163557</v>
      </c>
      <c r="P39" s="13">
        <f>'Summary-2010'!O39-'Summary-2000'!O39</f>
        <v>26856.987637115468</v>
      </c>
      <c r="Q39" s="13">
        <f>'Summary-2010'!P39-'Summary-2000'!P39</f>
        <v>0</v>
      </c>
      <c r="R39" s="13">
        <f>'Summary-2010'!Q39-'Summary-2000'!Q39</f>
        <v>0</v>
      </c>
      <c r="S39" s="13">
        <f>'Summary-2010'!R39-'Summary-2000'!R39</f>
        <v>0</v>
      </c>
      <c r="T39" s="13">
        <f>'Summary-2010'!S39-'Summary-2000'!S39</f>
        <v>0</v>
      </c>
      <c r="U39" s="13">
        <f>'Summary-2010'!T39-'Summary-2000'!T39</f>
        <v>0</v>
      </c>
      <c r="V39" s="13">
        <f>'Summary-2010'!U39-'Summary-2000'!U39</f>
        <v>0</v>
      </c>
      <c r="W39" s="13"/>
      <c r="X39" s="13">
        <f t="shared" si="5"/>
        <v>-38805</v>
      </c>
      <c r="Z39" s="13">
        <f t="shared" si="0"/>
        <v>-15108.408852581333</v>
      </c>
      <c r="AA39" s="18">
        <f t="shared" si="6"/>
        <v>41</v>
      </c>
      <c r="AB39" s="18" t="str">
        <f t="shared" si="7"/>
        <v>Providence</v>
      </c>
      <c r="AC39" s="18">
        <f t="shared" si="8"/>
        <v>43</v>
      </c>
      <c r="AD39" s="18">
        <f t="shared" si="8"/>
        <v>43</v>
      </c>
      <c r="AE39" s="18">
        <f t="shared" si="8"/>
        <v>21</v>
      </c>
      <c r="AF39" s="18">
        <f t="shared" si="8"/>
        <v>13</v>
      </c>
      <c r="AG39" s="18">
        <f t="shared" si="8"/>
        <v>7</v>
      </c>
      <c r="AH39" s="18">
        <f t="shared" si="9"/>
        <v>2</v>
      </c>
      <c r="AI39" s="18" t="str">
        <f t="shared" si="2"/>
        <v>Providence</v>
      </c>
    </row>
    <row r="40" spans="1:35">
      <c r="A40" s="18" t="s">
        <v>53</v>
      </c>
      <c r="B40" s="13">
        <f>'Summary-2010'!B40-'Summary-2000'!B40</f>
        <v>-58148.041722767783</v>
      </c>
      <c r="C40" s="13">
        <f>'Summary-2010'!C40-'Summary-2000'!C40</f>
        <v>-254267.50187414343</v>
      </c>
      <c r="D40" s="13">
        <f>'Summary-2010'!D40-'Summary-2000'!D40</f>
        <v>-203978</v>
      </c>
      <c r="E40" s="13">
        <f>'Summary-2010'!E40-'Summary-2000'!E40</f>
        <v>-203978</v>
      </c>
      <c r="F40" s="13">
        <f>'Summary-2010'!F40-'Summary-2000'!F40</f>
        <v>-203978</v>
      </c>
      <c r="G40" s="13">
        <f>'Summary-2010'!G40-'Summary-2000'!G40</f>
        <v>-203978</v>
      </c>
      <c r="H40" s="13">
        <f>'Summary-2010'!H40-'Summary-2000'!H40</f>
        <v>-203978</v>
      </c>
      <c r="I40" s="13">
        <f>'Summary-2010'!I40-'Summary-2000'!I40</f>
        <v>-203978</v>
      </c>
      <c r="J40" s="13">
        <f>'Summary-2010'!J40-'Summary-2000'!J40</f>
        <v>-203978</v>
      </c>
      <c r="K40" s="18" t="str">
        <f t="shared" si="3"/>
        <v>Raleigh</v>
      </c>
      <c r="L40" s="13">
        <f t="shared" si="4"/>
        <v>-203979</v>
      </c>
      <c r="M40" s="13"/>
      <c r="N40" s="13">
        <f>'Summary-2010'!M40-'Summary-2000'!M40</f>
        <v>-58148.041722767783</v>
      </c>
      <c r="O40" s="13">
        <f>'Summary-2010'!N40-'Summary-2000'!N40</f>
        <v>-196120.46015137565</v>
      </c>
      <c r="P40" s="13">
        <f>'Summary-2010'!O40-'Summary-2000'!O40</f>
        <v>50289.501874143432</v>
      </c>
      <c r="Q40" s="13">
        <f>'Summary-2010'!P40-'Summary-2000'!P40</f>
        <v>0</v>
      </c>
      <c r="R40" s="13">
        <f>'Summary-2010'!Q40-'Summary-2000'!Q40</f>
        <v>0</v>
      </c>
      <c r="S40" s="13">
        <f>'Summary-2010'!R40-'Summary-2000'!R40</f>
        <v>0</v>
      </c>
      <c r="T40" s="13">
        <f>'Summary-2010'!S40-'Summary-2000'!S40</f>
        <v>0</v>
      </c>
      <c r="U40" s="13">
        <f>'Summary-2010'!T40-'Summary-2000'!T40</f>
        <v>0</v>
      </c>
      <c r="V40" s="13">
        <f>'Summary-2010'!U40-'Summary-2000'!U40</f>
        <v>0</v>
      </c>
      <c r="W40" s="13"/>
      <c r="X40" s="13">
        <f t="shared" si="5"/>
        <v>-203979</v>
      </c>
      <c r="Z40" s="13">
        <f t="shared" si="0"/>
        <v>-61161.476682842163</v>
      </c>
      <c r="AA40" s="18">
        <f t="shared" si="6"/>
        <v>51</v>
      </c>
      <c r="AB40" s="18" t="str">
        <f t="shared" si="7"/>
        <v>Raleigh</v>
      </c>
      <c r="AC40" s="18">
        <f t="shared" si="8"/>
        <v>51</v>
      </c>
      <c r="AD40" s="18">
        <f t="shared" si="8"/>
        <v>51</v>
      </c>
      <c r="AE40" s="18">
        <f t="shared" si="8"/>
        <v>14</v>
      </c>
      <c r="AF40" s="18">
        <f t="shared" si="8"/>
        <v>13</v>
      </c>
      <c r="AG40" s="18">
        <f t="shared" si="8"/>
        <v>7</v>
      </c>
      <c r="AH40" s="18">
        <f t="shared" si="9"/>
        <v>2</v>
      </c>
      <c r="AI40" s="18" t="str">
        <f t="shared" si="2"/>
        <v>Raleigh</v>
      </c>
    </row>
    <row r="41" spans="1:35">
      <c r="A41" s="18" t="s">
        <v>81</v>
      </c>
      <c r="B41" s="13">
        <f>'Summary-2010'!B41-'Summary-2000'!B41</f>
        <v>-17225.835367135922</v>
      </c>
      <c r="C41" s="13">
        <f>'Summary-2010'!C41-'Summary-2000'!C41</f>
        <v>-40099</v>
      </c>
      <c r="D41" s="13">
        <f>'Summary-2010'!D41-'Summary-2000'!D41</f>
        <v>-40099</v>
      </c>
      <c r="E41" s="13">
        <f>'Summary-2010'!E41-'Summary-2000'!E41</f>
        <v>-40099</v>
      </c>
      <c r="F41" s="13">
        <f>'Summary-2010'!F41-'Summary-2000'!F41</f>
        <v>-40099</v>
      </c>
      <c r="G41" s="13">
        <f>'Summary-2010'!G41-'Summary-2000'!G41</f>
        <v>-40099</v>
      </c>
      <c r="H41" s="13">
        <f>'Summary-2010'!H41-'Summary-2000'!H41</f>
        <v>-40099</v>
      </c>
      <c r="I41" s="13">
        <f>'Summary-2010'!I41-'Summary-2000'!I41</f>
        <v>-40099</v>
      </c>
      <c r="J41" s="13">
        <f>'Summary-2010'!J41-'Summary-2000'!J41</f>
        <v>-40099</v>
      </c>
      <c r="K41" s="18" t="str">
        <f t="shared" si="3"/>
        <v>Rochester</v>
      </c>
      <c r="L41" s="13">
        <f t="shared" si="4"/>
        <v>-40098.999999999985</v>
      </c>
      <c r="M41" s="13"/>
      <c r="N41" s="13">
        <f>'Summary-2010'!M41-'Summary-2000'!M41</f>
        <v>-17225.835367135922</v>
      </c>
      <c r="O41" s="13">
        <f>'Summary-2010'!N41-'Summary-2000'!N41</f>
        <v>-22873.164632864064</v>
      </c>
      <c r="P41" s="13">
        <f>'Summary-2010'!O41-'Summary-2000'!O41</f>
        <v>0</v>
      </c>
      <c r="Q41" s="13">
        <f>'Summary-2010'!P41-'Summary-2000'!P41</f>
        <v>0</v>
      </c>
      <c r="R41" s="13">
        <f>'Summary-2010'!Q41-'Summary-2000'!Q41</f>
        <v>0</v>
      </c>
      <c r="S41" s="13">
        <f>'Summary-2010'!R41-'Summary-2000'!R41</f>
        <v>0</v>
      </c>
      <c r="T41" s="13">
        <f>'Summary-2010'!S41-'Summary-2000'!S41</f>
        <v>0</v>
      </c>
      <c r="U41" s="13">
        <f>'Summary-2010'!T41-'Summary-2000'!T41</f>
        <v>0</v>
      </c>
      <c r="V41" s="13">
        <f>'Summary-2010'!U41-'Summary-2000'!U41</f>
        <v>0</v>
      </c>
      <c r="W41" s="13"/>
      <c r="X41" s="13">
        <f t="shared" si="5"/>
        <v>-40098.999999999985</v>
      </c>
      <c r="Z41" s="13">
        <f t="shared" si="0"/>
        <v>-12358.079056462737</v>
      </c>
      <c r="AA41" s="18">
        <f t="shared" si="6"/>
        <v>40</v>
      </c>
      <c r="AB41" s="18" t="str">
        <f t="shared" si="7"/>
        <v>Rochester</v>
      </c>
      <c r="AC41" s="18">
        <f t="shared" si="8"/>
        <v>42</v>
      </c>
      <c r="AD41" s="18">
        <f t="shared" si="8"/>
        <v>38</v>
      </c>
      <c r="AE41" s="18">
        <f t="shared" si="8"/>
        <v>31</v>
      </c>
      <c r="AF41" s="18">
        <f t="shared" si="8"/>
        <v>13</v>
      </c>
      <c r="AG41" s="18">
        <f t="shared" si="8"/>
        <v>7</v>
      </c>
      <c r="AH41" s="18">
        <f t="shared" si="9"/>
        <v>2</v>
      </c>
      <c r="AI41" s="18" t="str">
        <f t="shared" si="2"/>
        <v>Rochester</v>
      </c>
    </row>
    <row r="42" spans="1:35">
      <c r="A42" s="18" t="s">
        <v>54</v>
      </c>
      <c r="B42" s="13">
        <f>'Summary-2010'!B42-'Summary-2000'!B42</f>
        <v>36004.476421089043</v>
      </c>
      <c r="C42" s="13">
        <f>'Summary-2010'!C42-'Summary-2000'!C42</f>
        <v>161228.39415498247</v>
      </c>
      <c r="D42" s="13">
        <f>'Summary-2010'!D42-'Summary-2000'!D42</f>
        <v>35881</v>
      </c>
      <c r="E42" s="13">
        <f>'Summary-2010'!E42-'Summary-2000'!E42</f>
        <v>35881</v>
      </c>
      <c r="F42" s="13">
        <f>'Summary-2010'!F42-'Summary-2000'!F42</f>
        <v>35881</v>
      </c>
      <c r="G42" s="13">
        <f>'Summary-2010'!G42-'Summary-2000'!G42</f>
        <v>35881</v>
      </c>
      <c r="H42" s="13">
        <f>'Summary-2010'!H42-'Summary-2000'!H42</f>
        <v>35881</v>
      </c>
      <c r="I42" s="13">
        <f>'Summary-2010'!I42-'Summary-2000'!I42</f>
        <v>35881</v>
      </c>
      <c r="J42" s="13">
        <f>'Summary-2010'!J42-'Summary-2000'!J42</f>
        <v>35881</v>
      </c>
      <c r="K42" s="18" t="str">
        <f t="shared" si="3"/>
        <v>Sacramento</v>
      </c>
      <c r="L42" s="13">
        <f t="shared" si="4"/>
        <v>35881</v>
      </c>
      <c r="M42" s="13"/>
      <c r="N42" s="13">
        <f>'Summary-2010'!M42-'Summary-2000'!M42</f>
        <v>36004.476421089043</v>
      </c>
      <c r="O42" s="13">
        <f>'Summary-2010'!N42-'Summary-2000'!N42</f>
        <v>125223.91773389344</v>
      </c>
      <c r="P42" s="13">
        <f>'Summary-2010'!O42-'Summary-2000'!O42</f>
        <v>-125347.39415498247</v>
      </c>
      <c r="Q42" s="13">
        <f>'Summary-2010'!P42-'Summary-2000'!P42</f>
        <v>0</v>
      </c>
      <c r="R42" s="13">
        <f>'Summary-2010'!Q42-'Summary-2000'!Q42</f>
        <v>0</v>
      </c>
      <c r="S42" s="13">
        <f>'Summary-2010'!R42-'Summary-2000'!R42</f>
        <v>0</v>
      </c>
      <c r="T42" s="13">
        <f>'Summary-2010'!S42-'Summary-2000'!S42</f>
        <v>0</v>
      </c>
      <c r="U42" s="13">
        <f>'Summary-2010'!T42-'Summary-2000'!T42</f>
        <v>0</v>
      </c>
      <c r="V42" s="13">
        <f>'Summary-2010'!U42-'Summary-2000'!U42</f>
        <v>0</v>
      </c>
      <c r="W42" s="13"/>
      <c r="X42" s="13">
        <f t="shared" si="5"/>
        <v>35881.000000000015</v>
      </c>
      <c r="Z42" s="13">
        <f t="shared" si="0"/>
        <v>30088.868006091849</v>
      </c>
      <c r="AA42" s="18">
        <f t="shared" si="6"/>
        <v>11</v>
      </c>
      <c r="AB42" s="18" t="str">
        <f t="shared" si="7"/>
        <v>Sacramento</v>
      </c>
      <c r="AC42" s="18">
        <f t="shared" si="8"/>
        <v>8</v>
      </c>
      <c r="AD42" s="18">
        <f t="shared" si="8"/>
        <v>7</v>
      </c>
      <c r="AE42" s="18">
        <f t="shared" si="8"/>
        <v>47</v>
      </c>
      <c r="AF42" s="18">
        <f t="shared" si="8"/>
        <v>13</v>
      </c>
      <c r="AG42" s="18">
        <f t="shared" si="8"/>
        <v>7</v>
      </c>
      <c r="AH42" s="18">
        <f t="shared" si="9"/>
        <v>2</v>
      </c>
      <c r="AI42" s="18" t="str">
        <f t="shared" si="2"/>
        <v>Sacramento</v>
      </c>
    </row>
    <row r="43" spans="1:35">
      <c r="A43" s="18" t="s">
        <v>55</v>
      </c>
      <c r="B43" s="13">
        <f>'Summary-2010'!B43-'Summary-2000'!B43</f>
        <v>14780.741648244701</v>
      </c>
      <c r="C43" s="13">
        <f>'Summary-2010'!C43-'Summary-2000'!C43</f>
        <v>47357</v>
      </c>
      <c r="D43" s="13">
        <f>'Summary-2010'!D43-'Summary-2000'!D43</f>
        <v>-85128</v>
      </c>
      <c r="E43" s="13">
        <f>'Summary-2010'!E43-'Summary-2000'!E43</f>
        <v>-85128</v>
      </c>
      <c r="F43" s="13">
        <f>'Summary-2010'!F43-'Summary-2000'!F43</f>
        <v>-85128</v>
      </c>
      <c r="G43" s="13">
        <f>'Summary-2010'!G43-'Summary-2000'!G43</f>
        <v>-85128</v>
      </c>
      <c r="H43" s="13">
        <f>'Summary-2010'!H43-'Summary-2000'!H43</f>
        <v>-85128</v>
      </c>
      <c r="I43" s="13">
        <f>'Summary-2010'!I43-'Summary-2000'!I43</f>
        <v>-85128</v>
      </c>
      <c r="J43" s="13">
        <f>'Summary-2010'!J43-'Summary-2000'!J43</f>
        <v>-85128</v>
      </c>
      <c r="K43" s="18" t="str">
        <f t="shared" si="3"/>
        <v>Salt Lake City</v>
      </c>
      <c r="L43" s="13">
        <f t="shared" si="4"/>
        <v>-85127.999999999971</v>
      </c>
      <c r="M43" s="13"/>
      <c r="N43" s="13">
        <f>'Summary-2010'!M43-'Summary-2000'!M43</f>
        <v>14780.741648244701</v>
      </c>
      <c r="O43" s="13">
        <f>'Summary-2010'!N43-'Summary-2000'!N43</f>
        <v>32576.258351755328</v>
      </c>
      <c r="P43" s="13">
        <f>'Summary-2010'!O43-'Summary-2000'!O43</f>
        <v>-132485</v>
      </c>
      <c r="Q43" s="13">
        <f>'Summary-2010'!P43-'Summary-2000'!P43</f>
        <v>0</v>
      </c>
      <c r="R43" s="13">
        <f>'Summary-2010'!Q43-'Summary-2000'!Q43</f>
        <v>0</v>
      </c>
      <c r="S43" s="13">
        <f>'Summary-2010'!R43-'Summary-2000'!R43</f>
        <v>0</v>
      </c>
      <c r="T43" s="13">
        <f>'Summary-2010'!S43-'Summary-2000'!S43</f>
        <v>0</v>
      </c>
      <c r="U43" s="13">
        <f>'Summary-2010'!T43-'Summary-2000'!T43</f>
        <v>0</v>
      </c>
      <c r="V43" s="13">
        <f>'Summary-2010'!U43-'Summary-2000'!U43</f>
        <v>0</v>
      </c>
      <c r="W43" s="13"/>
      <c r="X43" s="13">
        <f t="shared" si="5"/>
        <v>-85127.999999999971</v>
      </c>
      <c r="Z43" s="13">
        <f t="shared" si="0"/>
        <v>1199.6804226559616</v>
      </c>
      <c r="AA43" s="18">
        <f t="shared" si="6"/>
        <v>30</v>
      </c>
      <c r="AB43" s="18" t="str">
        <f t="shared" si="7"/>
        <v>Salt Lake City</v>
      </c>
      <c r="AC43" s="18">
        <f t="shared" si="8"/>
        <v>17</v>
      </c>
      <c r="AD43" s="18">
        <f t="shared" si="8"/>
        <v>24</v>
      </c>
      <c r="AE43" s="18">
        <f t="shared" si="8"/>
        <v>48</v>
      </c>
      <c r="AF43" s="18">
        <f t="shared" si="8"/>
        <v>13</v>
      </c>
      <c r="AG43" s="18">
        <f t="shared" si="8"/>
        <v>7</v>
      </c>
      <c r="AH43" s="18">
        <f t="shared" si="9"/>
        <v>2</v>
      </c>
      <c r="AI43" s="18" t="str">
        <f t="shared" si="2"/>
        <v>Salt Lake City</v>
      </c>
    </row>
    <row r="44" spans="1:35">
      <c r="A44" s="18" t="s">
        <v>67</v>
      </c>
      <c r="B44" s="13">
        <f>'Summary-2010'!B44-'Summary-2000'!B44</f>
        <v>8276.0307611989847</v>
      </c>
      <c r="C44" s="13">
        <f>'Summary-2010'!C44-'Summary-2000'!C44</f>
        <v>45707.02940176829</v>
      </c>
      <c r="D44" s="13">
        <f>'Summary-2010'!D44-'Summary-2000'!D44</f>
        <v>82722</v>
      </c>
      <c r="E44" s="13">
        <f>'Summary-2010'!E44-'Summary-2000'!E44</f>
        <v>82722</v>
      </c>
      <c r="F44" s="13">
        <f>'Summary-2010'!F44-'Summary-2000'!F44</f>
        <v>82722</v>
      </c>
      <c r="G44" s="13">
        <f>'Summary-2010'!G44-'Summary-2000'!G44</f>
        <v>82722</v>
      </c>
      <c r="H44" s="13">
        <f>'Summary-2010'!H44-'Summary-2000'!H44</f>
        <v>82722</v>
      </c>
      <c r="I44" s="13">
        <f>'Summary-2010'!I44-'Summary-2000'!I44</f>
        <v>82722</v>
      </c>
      <c r="J44" s="13">
        <f>'Summary-2010'!J44-'Summary-2000'!J44</f>
        <v>82722</v>
      </c>
      <c r="K44" s="18" t="str">
        <f t="shared" si="3"/>
        <v>San Antonio</v>
      </c>
      <c r="L44" s="13">
        <f t="shared" si="4"/>
        <v>82721.999999999971</v>
      </c>
      <c r="M44" s="13"/>
      <c r="N44" s="13">
        <f>'Summary-2010'!M44-'Summary-2000'!M44</f>
        <v>8276.0307611989847</v>
      </c>
      <c r="O44" s="13">
        <f>'Summary-2010'!N44-'Summary-2000'!N44</f>
        <v>37430.998640569276</v>
      </c>
      <c r="P44" s="13">
        <f>'Summary-2010'!O44-'Summary-2000'!O44</f>
        <v>37014.97059823171</v>
      </c>
      <c r="Q44" s="13">
        <f>'Summary-2010'!P44-'Summary-2000'!P44</f>
        <v>0</v>
      </c>
      <c r="R44" s="13">
        <f>'Summary-2010'!Q44-'Summary-2000'!Q44</f>
        <v>0</v>
      </c>
      <c r="S44" s="13">
        <f>'Summary-2010'!R44-'Summary-2000'!R44</f>
        <v>0</v>
      </c>
      <c r="T44" s="13">
        <f>'Summary-2010'!S44-'Summary-2000'!S44</f>
        <v>0</v>
      </c>
      <c r="U44" s="13">
        <f>'Summary-2010'!T44-'Summary-2000'!T44</f>
        <v>0</v>
      </c>
      <c r="V44" s="13">
        <f>'Summary-2010'!U44-'Summary-2000'!U44</f>
        <v>0</v>
      </c>
      <c r="W44" s="13"/>
      <c r="X44" s="13">
        <f t="shared" si="5"/>
        <v>82721.999999999971</v>
      </c>
      <c r="Z44" s="13">
        <f t="shared" si="0"/>
        <v>14633.770993264779</v>
      </c>
      <c r="AA44" s="18">
        <f t="shared" si="6"/>
        <v>19</v>
      </c>
      <c r="AB44" s="18" t="str">
        <f t="shared" si="7"/>
        <v>San Antonio</v>
      </c>
      <c r="AC44" s="18">
        <f t="shared" si="8"/>
        <v>22</v>
      </c>
      <c r="AD44" s="18">
        <f t="shared" si="8"/>
        <v>22</v>
      </c>
      <c r="AE44" s="18">
        <f t="shared" si="8"/>
        <v>19</v>
      </c>
      <c r="AF44" s="18">
        <f t="shared" si="8"/>
        <v>13</v>
      </c>
      <c r="AG44" s="18">
        <f t="shared" si="8"/>
        <v>7</v>
      </c>
      <c r="AH44" s="18">
        <f t="shared" si="9"/>
        <v>2</v>
      </c>
      <c r="AI44" s="18" t="str">
        <f t="shared" si="2"/>
        <v>San Antonio</v>
      </c>
    </row>
    <row r="45" spans="1:35">
      <c r="A45" s="18" t="s">
        <v>68</v>
      </c>
      <c r="B45" s="13">
        <f>'Summary-2010'!B45-'Summary-2000'!B45</f>
        <v>66690.40758081837</v>
      </c>
      <c r="C45" s="13">
        <f>'Summary-2010'!C45-'Summary-2000'!C45</f>
        <v>286752.32709543628</v>
      </c>
      <c r="D45" s="13">
        <f>'Summary-2010'!D45-'Summary-2000'!D45</f>
        <v>488389</v>
      </c>
      <c r="E45" s="13">
        <f>'Summary-2010'!E45-'Summary-2000'!E45</f>
        <v>19562</v>
      </c>
      <c r="F45" s="13">
        <f>'Summary-2010'!F45-'Summary-2000'!F45</f>
        <v>19562</v>
      </c>
      <c r="G45" s="13">
        <f>'Summary-2010'!G45-'Summary-2000'!G45</f>
        <v>19562</v>
      </c>
      <c r="H45" s="13">
        <f>'Summary-2010'!H45-'Summary-2000'!H45</f>
        <v>19562</v>
      </c>
      <c r="I45" s="13">
        <f>'Summary-2010'!I45-'Summary-2000'!I45</f>
        <v>19562</v>
      </c>
      <c r="J45" s="13">
        <f>'Summary-2010'!J45-'Summary-2000'!J45</f>
        <v>19562</v>
      </c>
      <c r="K45" s="18" t="str">
        <f t="shared" si="3"/>
        <v>San Diego</v>
      </c>
      <c r="L45" s="13">
        <f t="shared" si="4"/>
        <v>19562</v>
      </c>
      <c r="M45" s="13"/>
      <c r="N45" s="13">
        <f>'Summary-2010'!M45-'Summary-2000'!M45</f>
        <v>66690.40758081837</v>
      </c>
      <c r="O45" s="13">
        <f>'Summary-2010'!N45-'Summary-2000'!N45</f>
        <v>220061.91951461788</v>
      </c>
      <c r="P45" s="13">
        <f>'Summary-2010'!O45-'Summary-2000'!O45</f>
        <v>201636.67290456372</v>
      </c>
      <c r="Q45" s="13">
        <f>'Summary-2010'!P45-'Summary-2000'!P45</f>
        <v>-468827</v>
      </c>
      <c r="R45" s="13">
        <f>'Summary-2010'!Q45-'Summary-2000'!Q45</f>
        <v>0</v>
      </c>
      <c r="S45" s="13">
        <f>'Summary-2010'!R45-'Summary-2000'!R45</f>
        <v>0</v>
      </c>
      <c r="T45" s="13">
        <f>'Summary-2010'!S45-'Summary-2000'!S45</f>
        <v>0</v>
      </c>
      <c r="U45" s="13">
        <f>'Summary-2010'!T45-'Summary-2000'!T45</f>
        <v>0</v>
      </c>
      <c r="V45" s="13">
        <f>'Summary-2010'!U45-'Summary-2000'!U45</f>
        <v>0</v>
      </c>
      <c r="W45" s="13"/>
      <c r="X45" s="13">
        <f t="shared" si="5"/>
        <v>19561.999999999971</v>
      </c>
      <c r="Z45" s="13">
        <f t="shared" si="0"/>
        <v>73577.311517489143</v>
      </c>
      <c r="AA45" s="18">
        <f t="shared" si="6"/>
        <v>3</v>
      </c>
      <c r="AB45" s="18" t="str">
        <f t="shared" si="7"/>
        <v>San Diego</v>
      </c>
      <c r="AC45" s="18">
        <f t="shared" si="8"/>
        <v>4</v>
      </c>
      <c r="AD45" s="18">
        <f t="shared" si="8"/>
        <v>3</v>
      </c>
      <c r="AE45" s="18">
        <f t="shared" si="8"/>
        <v>3</v>
      </c>
      <c r="AF45" s="18">
        <f t="shared" si="8"/>
        <v>50</v>
      </c>
      <c r="AG45" s="18">
        <f t="shared" si="8"/>
        <v>7</v>
      </c>
      <c r="AH45" s="18">
        <f t="shared" si="9"/>
        <v>2</v>
      </c>
      <c r="AI45" s="18" t="str">
        <f t="shared" si="2"/>
        <v>San Diego</v>
      </c>
    </row>
    <row r="46" spans="1:35">
      <c r="A46" s="18" t="s">
        <v>69</v>
      </c>
      <c r="B46" s="13">
        <f>'Summary-2010'!B46-'Summary-2000'!B46</f>
        <v>57928.016081707668</v>
      </c>
      <c r="C46" s="13">
        <f>'Summary-2010'!C46-'Summary-2000'!C46</f>
        <v>256931.0557365031</v>
      </c>
      <c r="D46" s="13">
        <f>'Summary-2010'!D46-'Summary-2000'!D46</f>
        <v>-280706</v>
      </c>
      <c r="E46" s="13">
        <f>'Summary-2010'!E46-'Summary-2000'!E46</f>
        <v>-280706</v>
      </c>
      <c r="F46" s="13">
        <f>'Summary-2010'!F46-'Summary-2000'!F46</f>
        <v>-280706</v>
      </c>
      <c r="G46" s="13">
        <f>'Summary-2010'!G46-'Summary-2000'!G46</f>
        <v>-280706</v>
      </c>
      <c r="H46" s="13">
        <f>'Summary-2010'!H46-'Summary-2000'!H46</f>
        <v>-280706</v>
      </c>
      <c r="I46" s="13">
        <f>'Summary-2010'!I46-'Summary-2000'!I46</f>
        <v>-280706</v>
      </c>
      <c r="J46" s="13">
        <f>'Summary-2010'!J46-'Summary-2000'!J46</f>
        <v>-280706</v>
      </c>
      <c r="K46" s="18" t="str">
        <f t="shared" si="3"/>
        <v>San Francisco</v>
      </c>
      <c r="L46" s="13">
        <f t="shared" si="4"/>
        <v>-280706</v>
      </c>
      <c r="M46" s="13"/>
      <c r="N46" s="13">
        <f>'Summary-2010'!M46-'Summary-2000'!M46</f>
        <v>57928.016081707668</v>
      </c>
      <c r="O46" s="13">
        <f>'Summary-2010'!N46-'Summary-2000'!N46</f>
        <v>199003.03965479543</v>
      </c>
      <c r="P46" s="13">
        <f>'Summary-2010'!O46-'Summary-2000'!O46</f>
        <v>-537637.0557365031</v>
      </c>
      <c r="Q46" s="13">
        <f>'Summary-2010'!P46-'Summary-2000'!P46</f>
        <v>0</v>
      </c>
      <c r="R46" s="13">
        <f>'Summary-2010'!Q46-'Summary-2000'!Q46</f>
        <v>0</v>
      </c>
      <c r="S46" s="13">
        <f>'Summary-2010'!R46-'Summary-2000'!R46</f>
        <v>0</v>
      </c>
      <c r="T46" s="13">
        <f>'Summary-2010'!S46-'Summary-2000'!S46</f>
        <v>0</v>
      </c>
      <c r="U46" s="13">
        <f>'Summary-2010'!T46-'Summary-2000'!T46</f>
        <v>0</v>
      </c>
      <c r="V46" s="13">
        <f>'Summary-2010'!U46-'Summary-2000'!U46</f>
        <v>0</v>
      </c>
      <c r="W46" s="13"/>
      <c r="X46" s="13">
        <f t="shared" si="5"/>
        <v>-280706</v>
      </c>
      <c r="Z46" s="13">
        <f t="shared" si="0"/>
        <v>17433.422927053616</v>
      </c>
      <c r="AA46" s="18">
        <f t="shared" si="6"/>
        <v>17</v>
      </c>
      <c r="AB46" s="18" t="str">
        <f t="shared" si="7"/>
        <v>San Francisco</v>
      </c>
      <c r="AC46" s="18">
        <f t="shared" si="8"/>
        <v>5</v>
      </c>
      <c r="AD46" s="18">
        <f t="shared" si="8"/>
        <v>4</v>
      </c>
      <c r="AE46" s="18">
        <f t="shared" si="8"/>
        <v>51</v>
      </c>
      <c r="AF46" s="18">
        <f t="shared" si="8"/>
        <v>13</v>
      </c>
      <c r="AG46" s="18">
        <f t="shared" si="8"/>
        <v>7</v>
      </c>
      <c r="AH46" s="18">
        <f t="shared" si="9"/>
        <v>2</v>
      </c>
      <c r="AI46" s="18" t="str">
        <f t="shared" si="2"/>
        <v>San Francisco</v>
      </c>
    </row>
    <row r="47" spans="1:35">
      <c r="A47" s="18" t="s">
        <v>85</v>
      </c>
      <c r="B47" s="13">
        <f>'Summary-2010'!B47-'Summary-2000'!B47</f>
        <v>72884.874047210847</v>
      </c>
      <c r="C47" s="13">
        <f>'Summary-2010'!C47-'Summary-2000'!C47</f>
        <v>171381</v>
      </c>
      <c r="D47" s="13">
        <f>'Summary-2010'!D47-'Summary-2000'!D47</f>
        <v>-185966</v>
      </c>
      <c r="E47" s="13">
        <f>'Summary-2010'!E47-'Summary-2000'!E47</f>
        <v>-185966</v>
      </c>
      <c r="F47" s="13">
        <f>'Summary-2010'!F47-'Summary-2000'!F47</f>
        <v>-185966</v>
      </c>
      <c r="G47" s="13">
        <f>'Summary-2010'!G47-'Summary-2000'!G47</f>
        <v>-185966</v>
      </c>
      <c r="H47" s="13">
        <f>'Summary-2010'!H47-'Summary-2000'!H47</f>
        <v>-185966</v>
      </c>
      <c r="I47" s="13">
        <f>'Summary-2010'!I47-'Summary-2000'!I47</f>
        <v>-185966</v>
      </c>
      <c r="J47" s="13">
        <f>'Summary-2010'!J47-'Summary-2000'!J47</f>
        <v>-185966</v>
      </c>
      <c r="K47" s="18" t="str">
        <f t="shared" si="3"/>
        <v>San Jose</v>
      </c>
      <c r="L47" s="13">
        <f t="shared" si="4"/>
        <v>-185965.00000000006</v>
      </c>
      <c r="M47" s="13"/>
      <c r="N47" s="13">
        <f>'Summary-2010'!M47-'Summary-2000'!M47</f>
        <v>72884.874047210847</v>
      </c>
      <c r="O47" s="13">
        <f>'Summary-2010'!N47-'Summary-2000'!N47</f>
        <v>98497.125952789094</v>
      </c>
      <c r="P47" s="13">
        <f>'Summary-2010'!O47-'Summary-2000'!O47</f>
        <v>-357347</v>
      </c>
      <c r="Q47" s="13">
        <f>'Summary-2010'!P47-'Summary-2000'!P47</f>
        <v>0</v>
      </c>
      <c r="R47" s="13">
        <f>'Summary-2010'!Q47-'Summary-2000'!Q47</f>
        <v>0</v>
      </c>
      <c r="S47" s="13">
        <f>'Summary-2010'!R47-'Summary-2000'!R47</f>
        <v>0</v>
      </c>
      <c r="T47" s="13">
        <f>'Summary-2010'!S47-'Summary-2000'!S47</f>
        <v>0</v>
      </c>
      <c r="U47" s="13">
        <f>'Summary-2010'!T47-'Summary-2000'!T47</f>
        <v>0</v>
      </c>
      <c r="V47" s="13">
        <f>'Summary-2010'!U47-'Summary-2000'!U47</f>
        <v>0</v>
      </c>
      <c r="W47" s="13"/>
      <c r="X47" s="13">
        <f t="shared" si="5"/>
        <v>-185965.00000000006</v>
      </c>
      <c r="Z47" s="13">
        <f t="shared" si="0"/>
        <v>20217.723263684842</v>
      </c>
      <c r="AA47" s="18">
        <f t="shared" si="6"/>
        <v>15</v>
      </c>
      <c r="AB47" s="18" t="str">
        <f t="shared" si="7"/>
        <v>San Jose</v>
      </c>
      <c r="AC47" s="18">
        <f t="shared" si="8"/>
        <v>3</v>
      </c>
      <c r="AD47" s="18">
        <f t="shared" si="8"/>
        <v>14</v>
      </c>
      <c r="AE47" s="18">
        <f t="shared" si="8"/>
        <v>50</v>
      </c>
      <c r="AF47" s="18">
        <f t="shared" si="8"/>
        <v>13</v>
      </c>
      <c r="AG47" s="18">
        <f t="shared" si="8"/>
        <v>7</v>
      </c>
      <c r="AH47" s="18">
        <f t="shared" si="9"/>
        <v>2</v>
      </c>
      <c r="AI47" s="18" t="str">
        <f t="shared" si="2"/>
        <v>San Jose</v>
      </c>
    </row>
    <row r="48" spans="1:35">
      <c r="A48" s="18" t="s">
        <v>56</v>
      </c>
      <c r="B48" s="13">
        <f>'Summary-2010'!B48-'Summary-2000'!B48</f>
        <v>-12895.185415815518</v>
      </c>
      <c r="C48" s="13">
        <f>'Summary-2010'!C48-'Summary-2000'!C48</f>
        <v>-54082.447330444818</v>
      </c>
      <c r="D48" s="13">
        <f>'Summary-2010'!D48-'Summary-2000'!D48</f>
        <v>-100192.23256489635</v>
      </c>
      <c r="E48" s="13">
        <f>'Summary-2010'!E48-'Summary-2000'!E48</f>
        <v>-160086.70939578465</v>
      </c>
      <c r="F48" s="13">
        <f>'Summary-2010'!F48-'Summary-2000'!F48</f>
        <v>-45951</v>
      </c>
      <c r="G48" s="13">
        <f>'Summary-2010'!G48-'Summary-2000'!G48</f>
        <v>-45951</v>
      </c>
      <c r="H48" s="13">
        <f>'Summary-2010'!H48-'Summary-2000'!H48</f>
        <v>-45951</v>
      </c>
      <c r="I48" s="13">
        <f>'Summary-2010'!I48-'Summary-2000'!I48</f>
        <v>-45951</v>
      </c>
      <c r="J48" s="13">
        <f>'Summary-2010'!J48-'Summary-2000'!J48</f>
        <v>-45951</v>
      </c>
      <c r="K48" s="18" t="str">
        <f t="shared" si="3"/>
        <v>Seattle</v>
      </c>
      <c r="L48" s="13">
        <f t="shared" si="4"/>
        <v>-45951</v>
      </c>
      <c r="M48" s="13"/>
      <c r="N48" s="13">
        <f>'Summary-2010'!M48-'Summary-2000'!M48</f>
        <v>-12895.185415815518</v>
      </c>
      <c r="O48" s="13">
        <f>'Summary-2010'!N48-'Summary-2000'!N48</f>
        <v>-41188.261914629315</v>
      </c>
      <c r="P48" s="13">
        <f>'Summary-2010'!O48-'Summary-2000'!O48</f>
        <v>-46108.785234451527</v>
      </c>
      <c r="Q48" s="13">
        <f>'Summary-2010'!P48-'Summary-2000'!P48</f>
        <v>-59894.476830888307</v>
      </c>
      <c r="R48" s="13">
        <f>'Summary-2010'!Q48-'Summary-2000'!Q48</f>
        <v>114135.70939578465</v>
      </c>
      <c r="S48" s="13">
        <f>'Summary-2010'!R48-'Summary-2000'!R48</f>
        <v>0</v>
      </c>
      <c r="T48" s="13">
        <f>'Summary-2010'!S48-'Summary-2000'!S48</f>
        <v>0</v>
      </c>
      <c r="U48" s="13">
        <f>'Summary-2010'!T48-'Summary-2000'!T48</f>
        <v>0</v>
      </c>
      <c r="V48" s="13">
        <f>'Summary-2010'!U48-'Summary-2000'!U48</f>
        <v>0</v>
      </c>
      <c r="W48" s="13"/>
      <c r="X48" s="13">
        <f t="shared" si="5"/>
        <v>-45951.000000000015</v>
      </c>
      <c r="Z48" s="13">
        <f t="shared" si="0"/>
        <v>-18643.804037089456</v>
      </c>
      <c r="AA48" s="18">
        <f t="shared" si="6"/>
        <v>44</v>
      </c>
      <c r="AB48" s="18" t="str">
        <f t="shared" si="7"/>
        <v>Seattle</v>
      </c>
      <c r="AC48" s="18">
        <f t="shared" si="8"/>
        <v>41</v>
      </c>
      <c r="AD48" s="18">
        <f t="shared" si="8"/>
        <v>41</v>
      </c>
      <c r="AE48" s="18">
        <f t="shared" si="8"/>
        <v>40</v>
      </c>
      <c r="AF48" s="18">
        <f t="shared" si="8"/>
        <v>44</v>
      </c>
      <c r="AG48" s="18">
        <f t="shared" si="8"/>
        <v>4</v>
      </c>
      <c r="AH48" s="18">
        <f t="shared" si="9"/>
        <v>2</v>
      </c>
      <c r="AI48" s="18" t="str">
        <f t="shared" si="2"/>
        <v>Seattle</v>
      </c>
    </row>
    <row r="49" spans="1:35">
      <c r="A49" s="18" t="s">
        <v>397</v>
      </c>
      <c r="B49" s="13">
        <f>'Summary-2010'!B49-'Summary-2000'!B49</f>
        <v>7646.7221740433888</v>
      </c>
      <c r="C49" s="13">
        <f>'Summary-2010'!C49-'Summary-2000'!C49</f>
        <v>29450.929959781351</v>
      </c>
      <c r="D49" s="13">
        <f>'Summary-2010'!D49-'Summary-2000'!D49</f>
        <v>68153.212199861649</v>
      </c>
      <c r="E49" s="13">
        <f>'Summary-2010'!E49-'Summary-2000'!E49</f>
        <v>305079.7473319578</v>
      </c>
      <c r="F49" s="13">
        <f>'Summary-2010'!F49-'Summary-2000'!F49</f>
        <v>334975</v>
      </c>
      <c r="G49" s="13">
        <f>'Summary-2010'!G49-'Summary-2000'!G49</f>
        <v>334975</v>
      </c>
      <c r="H49" s="13">
        <f>'Summary-2010'!H49-'Summary-2000'!H49</f>
        <v>334975</v>
      </c>
      <c r="I49" s="13">
        <f>'Summary-2010'!I49-'Summary-2000'!I49</f>
        <v>334975</v>
      </c>
      <c r="J49" s="13">
        <f>'Summary-2010'!J49-'Summary-2000'!J49</f>
        <v>334975</v>
      </c>
      <c r="K49" s="18" t="str">
        <f t="shared" si="3"/>
        <v>Miami</v>
      </c>
      <c r="L49" s="13">
        <f t="shared" si="4"/>
        <v>334975</v>
      </c>
      <c r="M49" s="13"/>
      <c r="N49" s="13">
        <f>'Summary-2010'!M49-'Summary-2000'!M49</f>
        <v>7646.7221740433888</v>
      </c>
      <c r="O49" s="13">
        <f>'Summary-2010'!N49-'Summary-2000'!N49</f>
        <v>21804.207785737934</v>
      </c>
      <c r="P49" s="13">
        <f>'Summary-2010'!O49-'Summary-2000'!O49</f>
        <v>38702.282240080298</v>
      </c>
      <c r="Q49" s="13">
        <f>'Summary-2010'!P49-'Summary-2000'!P49</f>
        <v>236926.53513209615</v>
      </c>
      <c r="R49" s="13">
        <f>'Summary-2010'!Q49-'Summary-2000'!Q49</f>
        <v>29895.252668042202</v>
      </c>
      <c r="S49" s="13">
        <f>'Summary-2010'!R49-'Summary-2000'!R49</f>
        <v>0</v>
      </c>
      <c r="T49" s="13">
        <f>'Summary-2010'!S49-'Summary-2000'!S49</f>
        <v>0</v>
      </c>
      <c r="U49" s="13">
        <f>'Summary-2010'!T49-'Summary-2000'!T49</f>
        <v>0</v>
      </c>
      <c r="V49" s="13">
        <f>'Summary-2010'!U49-'Summary-2000'!U49</f>
        <v>0</v>
      </c>
      <c r="W49" s="13"/>
      <c r="X49" s="13">
        <f t="shared" si="5"/>
        <v>334975</v>
      </c>
      <c r="Z49" s="13">
        <f t="shared" si="0"/>
        <v>21554.277620674191</v>
      </c>
      <c r="AA49" s="18">
        <f t="shared" si="6"/>
        <v>14</v>
      </c>
      <c r="AB49" s="18" t="str">
        <f t="shared" si="7"/>
        <v>Miami</v>
      </c>
      <c r="AC49" s="18">
        <f t="shared" si="8"/>
        <v>24</v>
      </c>
      <c r="AD49" s="18">
        <f t="shared" si="8"/>
        <v>28</v>
      </c>
      <c r="AE49" s="18">
        <f t="shared" si="8"/>
        <v>18</v>
      </c>
      <c r="AF49" s="18">
        <f t="shared" si="8"/>
        <v>6</v>
      </c>
      <c r="AG49" s="18">
        <f t="shared" si="8"/>
        <v>6</v>
      </c>
      <c r="AH49" s="18">
        <f t="shared" si="9"/>
        <v>2</v>
      </c>
      <c r="AI49" s="18" t="str">
        <f t="shared" si="2"/>
        <v>Miami</v>
      </c>
    </row>
    <row r="50" spans="1:35">
      <c r="A50" s="18" t="s">
        <v>57</v>
      </c>
      <c r="B50" s="13">
        <f>'Summary-2010'!B50-'Summary-2000'!B50</f>
        <v>-12097.448224070453</v>
      </c>
      <c r="C50" s="13">
        <f>'Summary-2010'!C50-'Summary-2000'!C50</f>
        <v>-55449.499171407719</v>
      </c>
      <c r="D50" s="13">
        <f>'Summary-2010'!D50-'Summary-2000'!D50</f>
        <v>-140561.72181978344</v>
      </c>
      <c r="E50" s="13">
        <f>'Summary-2010'!E50-'Summary-2000'!E50</f>
        <v>-50980</v>
      </c>
      <c r="F50" s="13">
        <f>'Summary-2010'!F50-'Summary-2000'!F50</f>
        <v>-50980</v>
      </c>
      <c r="G50" s="13">
        <f>'Summary-2010'!G50-'Summary-2000'!G50</f>
        <v>-50980</v>
      </c>
      <c r="H50" s="13">
        <f>'Summary-2010'!H50-'Summary-2000'!H50</f>
        <v>-50980</v>
      </c>
      <c r="I50" s="13">
        <f>'Summary-2010'!I50-'Summary-2000'!I50</f>
        <v>-50980</v>
      </c>
      <c r="J50" s="13">
        <f>'Summary-2010'!J50-'Summary-2000'!J50</f>
        <v>-50980</v>
      </c>
      <c r="K50" s="18" t="str">
        <f t="shared" si="3"/>
        <v>St. Louis</v>
      </c>
      <c r="L50" s="13">
        <f t="shared" si="4"/>
        <v>-50979</v>
      </c>
      <c r="M50" s="13"/>
      <c r="N50" s="13">
        <f>'Summary-2010'!M50-'Summary-2000'!M50</f>
        <v>-12097.448224070453</v>
      </c>
      <c r="O50" s="13">
        <f>'Summary-2010'!N50-'Summary-2000'!N50</f>
        <v>-43351.050947337266</v>
      </c>
      <c r="P50" s="13">
        <f>'Summary-2010'!O50-'Summary-2000'!O50</f>
        <v>-85112.222648375726</v>
      </c>
      <c r="Q50" s="13">
        <f>'Summary-2010'!P50-'Summary-2000'!P50</f>
        <v>89581.721819783445</v>
      </c>
      <c r="R50" s="13">
        <f>'Summary-2010'!Q50-'Summary-2000'!Q50</f>
        <v>0</v>
      </c>
      <c r="S50" s="13">
        <f>'Summary-2010'!R50-'Summary-2000'!R50</f>
        <v>0</v>
      </c>
      <c r="T50" s="13">
        <f>'Summary-2010'!S50-'Summary-2000'!S50</f>
        <v>0</v>
      </c>
      <c r="U50" s="13">
        <f>'Summary-2010'!T50-'Summary-2000'!T50</f>
        <v>0</v>
      </c>
      <c r="V50" s="13">
        <f>'Summary-2010'!U50-'Summary-2000'!U50</f>
        <v>0</v>
      </c>
      <c r="W50" s="13"/>
      <c r="X50" s="13">
        <f t="shared" si="5"/>
        <v>-50979</v>
      </c>
      <c r="Z50" s="13">
        <f t="shared" si="0"/>
        <v>-18257.818337681751</v>
      </c>
      <c r="AA50" s="18">
        <f t="shared" si="6"/>
        <v>43</v>
      </c>
      <c r="AB50" s="18" t="str">
        <f t="shared" si="7"/>
        <v>St. Louis</v>
      </c>
      <c r="AC50" s="18">
        <f t="shared" si="8"/>
        <v>40</v>
      </c>
      <c r="AD50" s="18">
        <f t="shared" si="8"/>
        <v>42</v>
      </c>
      <c r="AE50" s="18">
        <f t="shared" si="8"/>
        <v>43</v>
      </c>
      <c r="AF50" s="18">
        <f t="shared" si="8"/>
        <v>7</v>
      </c>
      <c r="AG50" s="18">
        <f t="shared" si="8"/>
        <v>7</v>
      </c>
      <c r="AH50" s="18">
        <f t="shared" si="9"/>
        <v>2</v>
      </c>
      <c r="AI50" s="18" t="str">
        <f t="shared" si="2"/>
        <v>St. Louis</v>
      </c>
    </row>
    <row r="51" spans="1:35">
      <c r="A51" s="18" t="s">
        <v>70</v>
      </c>
      <c r="B51" s="13">
        <f>'Summary-2010'!B51-'Summary-2000'!B51</f>
        <v>21669.654984007779</v>
      </c>
      <c r="C51" s="13">
        <f>'Summary-2010'!C51-'Summary-2000'!C51</f>
        <v>94460.960218048072</v>
      </c>
      <c r="D51" s="13">
        <f>'Summary-2010'!D51-'Summary-2000'!D51</f>
        <v>218012.45965765056</v>
      </c>
      <c r="E51" s="13">
        <f>'Summary-2010'!E51-'Summary-2000'!E51</f>
        <v>-40071</v>
      </c>
      <c r="F51" s="13">
        <f>'Summary-2010'!F51-'Summary-2000'!F51</f>
        <v>-110681</v>
      </c>
      <c r="G51" s="13">
        <f>'Summary-2010'!G51-'Summary-2000'!G51</f>
        <v>-110681</v>
      </c>
      <c r="H51" s="13">
        <f>'Summary-2010'!H51-'Summary-2000'!H51</f>
        <v>-110681</v>
      </c>
      <c r="I51" s="13">
        <f>'Summary-2010'!I51-'Summary-2000'!I51</f>
        <v>-110681</v>
      </c>
      <c r="J51" s="13">
        <f>'Summary-2010'!J51-'Summary-2000'!J51</f>
        <v>-110681</v>
      </c>
      <c r="K51" s="18" t="str">
        <f t="shared" si="3"/>
        <v>Tampa Bay</v>
      </c>
      <c r="L51" s="13">
        <f t="shared" si="4"/>
        <v>-110681</v>
      </c>
      <c r="M51" s="13"/>
      <c r="N51" s="13">
        <f>'Summary-2010'!M51-'Summary-2000'!M51</f>
        <v>21669.654984007779</v>
      </c>
      <c r="O51" s="13">
        <f>'Summary-2010'!N51-'Summary-2000'!N51</f>
        <v>72791.305234040308</v>
      </c>
      <c r="P51" s="13">
        <f>'Summary-2010'!O51-'Summary-2000'!O51</f>
        <v>123551.49943960248</v>
      </c>
      <c r="Q51" s="13">
        <f>'Summary-2010'!P51-'Summary-2000'!P51</f>
        <v>-258083.45965765056</v>
      </c>
      <c r="R51" s="13">
        <f>'Summary-2010'!Q51-'Summary-2000'!Q51</f>
        <v>-70610</v>
      </c>
      <c r="S51" s="13">
        <f>'Summary-2010'!R51-'Summary-2000'!R51</f>
        <v>0</v>
      </c>
      <c r="T51" s="13">
        <f>'Summary-2010'!S51-'Summary-2000'!S51</f>
        <v>0</v>
      </c>
      <c r="U51" s="13">
        <f>'Summary-2010'!T51-'Summary-2000'!T51</f>
        <v>0</v>
      </c>
      <c r="V51" s="13">
        <f>'Summary-2010'!U51-'Summary-2000'!U51</f>
        <v>0</v>
      </c>
      <c r="W51" s="13"/>
      <c r="X51" s="13">
        <f t="shared" si="5"/>
        <v>-110680.99999999999</v>
      </c>
      <c r="Z51" s="13">
        <f t="shared" si="0"/>
        <v>23828.135960838292</v>
      </c>
      <c r="AA51" s="18">
        <f t="shared" si="6"/>
        <v>13</v>
      </c>
      <c r="AB51" s="18" t="str">
        <f t="shared" si="7"/>
        <v>Tampa Bay</v>
      </c>
      <c r="AC51" s="18">
        <f t="shared" si="8"/>
        <v>15</v>
      </c>
      <c r="AD51" s="18">
        <f t="shared" si="8"/>
        <v>15</v>
      </c>
      <c r="AE51" s="18">
        <f t="shared" si="8"/>
        <v>8</v>
      </c>
      <c r="AF51" s="18">
        <f t="shared" si="8"/>
        <v>49</v>
      </c>
      <c r="AG51" s="18">
        <f t="shared" si="8"/>
        <v>46</v>
      </c>
      <c r="AH51" s="18">
        <f t="shared" si="9"/>
        <v>2</v>
      </c>
      <c r="AI51" s="18" t="str">
        <f t="shared" si="2"/>
        <v>Tampa Bay</v>
      </c>
    </row>
    <row r="52" spans="1:35">
      <c r="A52" s="18" t="s">
        <v>58</v>
      </c>
      <c r="B52" s="13">
        <f>'Summary-2010'!B52-'Summary-2000'!B52</f>
        <v>30537.254849508172</v>
      </c>
      <c r="C52" s="13">
        <f>'Summary-2010'!C52-'Summary-2000'!C52</f>
        <v>138932.11236252356</v>
      </c>
      <c r="D52" s="13">
        <f>'Summary-2010'!D52-'Summary-2000'!D52</f>
        <v>327775.21206795098</v>
      </c>
      <c r="E52" s="13">
        <f>'Summary-2010'!E52-'Summary-2000'!E52</f>
        <v>586581.47171559231</v>
      </c>
      <c r="F52" s="13">
        <f>'Summary-2010'!F52-'Summary-2000'!F52</f>
        <v>91895</v>
      </c>
      <c r="G52" s="13">
        <f>'Summary-2010'!G52-'Summary-2000'!G52</f>
        <v>91895</v>
      </c>
      <c r="H52" s="13">
        <f>'Summary-2010'!H52-'Summary-2000'!H52</f>
        <v>91895</v>
      </c>
      <c r="I52" s="13">
        <f>'Summary-2010'!I52-'Summary-2000'!I52</f>
        <v>91895</v>
      </c>
      <c r="J52" s="13">
        <f>'Summary-2010'!J52-'Summary-2000'!J52</f>
        <v>91895</v>
      </c>
      <c r="K52" s="18" t="str">
        <f t="shared" si="3"/>
        <v>Washington</v>
      </c>
      <c r="L52" s="13">
        <f t="shared" si="4"/>
        <v>91895</v>
      </c>
      <c r="M52" s="13"/>
      <c r="N52" s="13">
        <f>'Summary-2010'!M52-'Summary-2000'!M52</f>
        <v>30537.254849508172</v>
      </c>
      <c r="O52" s="13">
        <f>'Summary-2010'!N52-'Summary-2000'!N52</f>
        <v>108394.85751301539</v>
      </c>
      <c r="P52" s="13">
        <f>'Summary-2010'!O52-'Summary-2000'!O52</f>
        <v>188843.09970542742</v>
      </c>
      <c r="Q52" s="13">
        <f>'Summary-2010'!P52-'Summary-2000'!P52</f>
        <v>258806.25964764133</v>
      </c>
      <c r="R52" s="13">
        <f>'Summary-2010'!Q52-'Summary-2000'!Q52</f>
        <v>-494686.47171559231</v>
      </c>
      <c r="S52" s="13">
        <f>'Summary-2010'!R52-'Summary-2000'!R52</f>
        <v>0</v>
      </c>
      <c r="T52" s="13">
        <f>'Summary-2010'!S52-'Summary-2000'!S52</f>
        <v>0</v>
      </c>
      <c r="U52" s="13">
        <f>'Summary-2010'!T52-'Summary-2000'!T52</f>
        <v>0</v>
      </c>
      <c r="V52" s="13">
        <f>'Summary-2010'!U52-'Summary-2000'!U52</f>
        <v>0</v>
      </c>
      <c r="W52" s="13"/>
      <c r="X52" s="13">
        <f t="shared" si="5"/>
        <v>91895</v>
      </c>
      <c r="Z52" s="13">
        <f t="shared" si="0"/>
        <v>54226.291654572924</v>
      </c>
      <c r="AA52" s="18">
        <f t="shared" si="6"/>
        <v>7</v>
      </c>
      <c r="AB52" s="18" t="str">
        <f t="shared" si="7"/>
        <v>Washington</v>
      </c>
      <c r="AC52" s="18">
        <f t="shared" si="8"/>
        <v>12</v>
      </c>
      <c r="AD52" s="18">
        <f t="shared" si="8"/>
        <v>11</v>
      </c>
      <c r="AE52" s="18">
        <f t="shared" si="8"/>
        <v>5</v>
      </c>
      <c r="AF52" s="18">
        <f t="shared" si="8"/>
        <v>5</v>
      </c>
      <c r="AG52" s="18">
        <f t="shared" si="8"/>
        <v>49</v>
      </c>
      <c r="AH52" s="18">
        <f t="shared" si="9"/>
        <v>2</v>
      </c>
      <c r="AI52" s="18" t="str">
        <f t="shared" si="2"/>
        <v>Washington</v>
      </c>
    </row>
    <row r="54" spans="1:35">
      <c r="K54" s="18" t="s">
        <v>578</v>
      </c>
      <c r="N54" s="18">
        <v>1</v>
      </c>
      <c r="O54" s="18">
        <v>1</v>
      </c>
      <c r="P54" s="18">
        <v>1</v>
      </c>
      <c r="Q54" s="18">
        <v>1</v>
      </c>
      <c r="R54" s="18">
        <v>1</v>
      </c>
      <c r="S54" s="18">
        <v>1</v>
      </c>
      <c r="T54" s="18">
        <v>1</v>
      </c>
      <c r="U54" s="18">
        <v>1</v>
      </c>
      <c r="V54" s="18">
        <v>1</v>
      </c>
      <c r="Z54" s="28">
        <f>N54*EXP(Beta*10)+O54*EXP(Beta*20)+P54*EXP(Beta*30)+Q54*EXP(Beta*40)+R54*EXP(Beta*50)+S54*EXP(Beta*60)</f>
        <v>0.80925102531740989</v>
      </c>
      <c r="AC54" s="18" t="s">
        <v>146</v>
      </c>
    </row>
    <row r="55" spans="1:35">
      <c r="A55" s="18" t="s">
        <v>143</v>
      </c>
      <c r="B55" s="18">
        <v>-0.08</v>
      </c>
      <c r="K55" s="29" t="s">
        <v>16</v>
      </c>
      <c r="L55" s="29" t="s">
        <v>570</v>
      </c>
      <c r="M55" s="29" t="s">
        <v>147</v>
      </c>
      <c r="N55" s="29" t="s">
        <v>131</v>
      </c>
      <c r="O55" s="29" t="s">
        <v>137</v>
      </c>
      <c r="P55" s="29" t="s">
        <v>138</v>
      </c>
      <c r="Q55" s="29" t="s">
        <v>139</v>
      </c>
      <c r="R55" s="29" t="s">
        <v>140</v>
      </c>
      <c r="S55" s="29" t="s">
        <v>141</v>
      </c>
      <c r="T55" s="29" t="s">
        <v>151</v>
      </c>
      <c r="U55" s="29" t="s">
        <v>152</v>
      </c>
      <c r="V55" s="29" t="s">
        <v>153</v>
      </c>
      <c r="AA55" s="29" t="s">
        <v>147</v>
      </c>
      <c r="AB55" s="29" t="s">
        <v>128</v>
      </c>
      <c r="AC55" s="29">
        <f>AC1</f>
        <v>10</v>
      </c>
      <c r="AD55" s="29">
        <f t="shared" ref="AD55:AH55" si="10">AD1</f>
        <v>20</v>
      </c>
      <c r="AE55" s="29">
        <f t="shared" si="10"/>
        <v>30</v>
      </c>
      <c r="AF55" s="29">
        <f t="shared" si="10"/>
        <v>40</v>
      </c>
      <c r="AG55" s="29">
        <f t="shared" si="10"/>
        <v>50</v>
      </c>
      <c r="AH55" s="29">
        <f t="shared" si="10"/>
        <v>60</v>
      </c>
      <c r="AI55" s="18" t="s">
        <v>147</v>
      </c>
    </row>
    <row r="56" spans="1:35">
      <c r="K56" s="28" t="str">
        <f>A2</f>
        <v>Atlanta</v>
      </c>
      <c r="L56" s="28">
        <f>L2/'Summary-2000'!L2*100</f>
        <v>-5.9244153525121535</v>
      </c>
      <c r="M56" s="28">
        <f>Z2/'Summary-2010'!Y2*100</f>
        <v>10.682078025554793</v>
      </c>
      <c r="N56" s="28">
        <f>N2/'Summary-2000'!M2*100</f>
        <v>13.115169386680453</v>
      </c>
      <c r="O56" s="28">
        <f>O2/'Summary-2000'!N2*100</f>
        <v>15.038231723027092</v>
      </c>
      <c r="P56" s="28">
        <f>P2/'Summary-2000'!O2*100</f>
        <v>15.452909751400432</v>
      </c>
      <c r="Q56" s="28">
        <f>Q2/'Summary-2000'!P2*100</f>
        <v>15.784246411558772</v>
      </c>
      <c r="R56" s="28">
        <f>R2/'Summary-2000'!Q2*100</f>
        <v>16.64404724493183</v>
      </c>
      <c r="S56" s="28">
        <f>S2/'Summary-2000'!R2*100</f>
        <v>-79.320550517537683</v>
      </c>
      <c r="T56" s="28" t="e">
        <f>T2/'Summary-2000'!S2*100</f>
        <v>#DIV/0!</v>
      </c>
      <c r="U56" s="28" t="e">
        <f>U2/'Summary-2000'!T2*100</f>
        <v>#DIV/0!</v>
      </c>
      <c r="V56" s="28" t="e">
        <f>V2/'Summary-2000'!U2*100</f>
        <v>#DIV/0!</v>
      </c>
      <c r="AA56" s="18" t="str">
        <f>VLOOKUP($AB56,AA$2:$AB$52,2,FALSE)</f>
        <v>Los Angeles</v>
      </c>
      <c r="AB56" s="18">
        <v>1</v>
      </c>
      <c r="AC56" s="18" t="str">
        <f>VLOOKUP($AB56,AC$2:$AI$52,8-AC$1/10,FALSE)</f>
        <v>Los Angeles</v>
      </c>
      <c r="AD56" s="18" t="str">
        <f>VLOOKUP($AB56,AD$2:$AI$52,8-AD$1/10,FALSE)</f>
        <v>Los Angeles</v>
      </c>
      <c r="AE56" s="18" t="str">
        <f>VLOOKUP($AB56,AE$2:$AI$52,8-AE$1/10,FALSE)</f>
        <v>Los Angeles</v>
      </c>
      <c r="AF56" s="18" t="str">
        <f>VLOOKUP($AB56,AF$2:$AI$52,8-AF$1/10,FALSE)</f>
        <v>Los Angeles</v>
      </c>
      <c r="AG56" s="18" t="str">
        <f>VLOOKUP($AB56,AG$2:$AI$52,8-AG$1/10,FALSE)</f>
        <v>Chicago</v>
      </c>
      <c r="AH56" s="18" t="str">
        <f>VLOOKUP($AB56,AH$2:$AI$52,8-AH$1/10,FALSE)</f>
        <v>New York</v>
      </c>
      <c r="AI56" s="18" t="str">
        <f>AA56</f>
        <v>Los Angeles</v>
      </c>
    </row>
    <row r="57" spans="1:35">
      <c r="A57" s="18" t="s">
        <v>145</v>
      </c>
      <c r="K57" s="28" t="str">
        <f t="shared" ref="K57:K106" si="11">A3</f>
        <v>Austin</v>
      </c>
      <c r="L57" s="28">
        <f>L3/'Summary-2000'!L3*100</f>
        <v>10.349621437246443</v>
      </c>
      <c r="M57" s="28">
        <f>Z3/'Summary-2010'!Y3*100</f>
        <v>7.2507254643322971</v>
      </c>
      <c r="N57" s="28">
        <f>N3/'Summary-2000'!M3*100</f>
        <v>0.46990452030211577</v>
      </c>
      <c r="O57" s="28">
        <f>O3/'Summary-2000'!N3*100</f>
        <v>11.147859530127228</v>
      </c>
      <c r="P57" s="28">
        <f>P3/'Summary-2000'!O3*100</f>
        <v>13.407127586305137</v>
      </c>
      <c r="Q57" s="28" t="e">
        <f>Q3/'Summary-2000'!P3*100</f>
        <v>#DIV/0!</v>
      </c>
      <c r="R57" s="28" t="e">
        <f>R3/'Summary-2000'!Q3*100</f>
        <v>#DIV/0!</v>
      </c>
      <c r="S57" s="28" t="e">
        <f>S3/'Summary-2000'!R3*100</f>
        <v>#DIV/0!</v>
      </c>
      <c r="T57" s="28" t="e">
        <f>T3/'Summary-2000'!S3*100</f>
        <v>#DIV/0!</v>
      </c>
      <c r="U57" s="28" t="e">
        <f>U3/'Summary-2000'!T3*100</f>
        <v>#DIV/0!</v>
      </c>
      <c r="V57" s="28" t="e">
        <f>V3/'Summary-2000'!U3*100</f>
        <v>#DIV/0!</v>
      </c>
      <c r="AA57" s="18" t="str">
        <f>VLOOKUP($AB57,AA$2:$AB$52,2,FALSE)</f>
        <v>Jacksonville</v>
      </c>
      <c r="AB57" s="18">
        <v>2</v>
      </c>
      <c r="AC57" s="18" t="str">
        <f>VLOOKUP($AB57,AC$2:$AI$52,8-AC$1/10,FALSE)</f>
        <v>Jacksonville</v>
      </c>
      <c r="AD57" s="18" t="str">
        <f>VLOOKUP($AB57,AD$2:$AI$52,8-AD$1/10,FALSE)</f>
        <v>Jacksonville</v>
      </c>
      <c r="AE57" s="18" t="str">
        <f>VLOOKUP($AB57,AE$2:$AI$52,8-AE$1/10,FALSE)</f>
        <v>Minneapolis</v>
      </c>
      <c r="AF57" s="18" t="str">
        <f>VLOOKUP($AB57,AF$2:$AI$52,8-AF$1/10,FALSE)</f>
        <v>Chicago</v>
      </c>
      <c r="AG57" s="18" t="str">
        <f>VLOOKUP($AB57,AG$2:$AI$52,8-AG$1/10,FALSE)</f>
        <v>New York</v>
      </c>
      <c r="AH57" s="18" t="str">
        <f>VLOOKUP($AB57,AH$2:$AI$52,8-AH$1/10,FALSE)</f>
        <v>Austin</v>
      </c>
      <c r="AI57" s="18" t="str">
        <f t="shared" ref="AI57:AI105" si="12">AA57</f>
        <v>Jacksonville</v>
      </c>
    </row>
    <row r="58" spans="1:35">
      <c r="K58" s="28" t="str">
        <f t="shared" si="11"/>
        <v>Baltimore</v>
      </c>
      <c r="L58" s="28">
        <f>L4/'Summary-2000'!L4*100</f>
        <v>-0.38300848748313016</v>
      </c>
      <c r="M58" s="28">
        <f>Z4/'Summary-2010'!Y4*100</f>
        <v>8.1290369958743351</v>
      </c>
      <c r="N58" s="28">
        <f>N4/'Summary-2000'!M4*100</f>
        <v>13.901960060358448</v>
      </c>
      <c r="O58" s="28">
        <f>O4/'Summary-2000'!N4*100</f>
        <v>16.497187684241538</v>
      </c>
      <c r="P58" s="28">
        <f>P4/'Summary-2000'!O4*100</f>
        <v>2.1410320630466302</v>
      </c>
      <c r="Q58" s="28">
        <f>Q4/'Summary-2000'!P4*100</f>
        <v>-100</v>
      </c>
      <c r="R58" s="28" t="e">
        <f>R4/'Summary-2000'!Q4*100</f>
        <v>#DIV/0!</v>
      </c>
      <c r="S58" s="28" t="e">
        <f>S4/'Summary-2000'!R4*100</f>
        <v>#DIV/0!</v>
      </c>
      <c r="T58" s="28" t="e">
        <f>T4/'Summary-2000'!S4*100</f>
        <v>#DIV/0!</v>
      </c>
      <c r="U58" s="28" t="e">
        <f>U4/'Summary-2000'!T4*100</f>
        <v>#DIV/0!</v>
      </c>
      <c r="V58" s="28" t="e">
        <f>V4/'Summary-2000'!U4*100</f>
        <v>#DIV/0!</v>
      </c>
      <c r="AA58" s="18" t="str">
        <f>VLOOKUP($AB58,AA$2:$AB$52,2,FALSE)</f>
        <v>San Diego</v>
      </c>
      <c r="AB58" s="18">
        <v>3</v>
      </c>
      <c r="AC58" s="18" t="str">
        <f>VLOOKUP($AB58,AC$2:$AI$52,8-AC$1/10,FALSE)</f>
        <v>San Jose</v>
      </c>
      <c r="AD58" s="18" t="str">
        <f>VLOOKUP($AB58,AD$2:$AI$52,8-AD$1/10,FALSE)</f>
        <v>San Diego</v>
      </c>
      <c r="AE58" s="18" t="str">
        <f>VLOOKUP($AB58,AE$2:$AI$52,8-AE$1/10,FALSE)</f>
        <v>San Diego</v>
      </c>
      <c r="AF58" s="18" t="str">
        <f>VLOOKUP($AB58,AF$2:$AI$52,8-AF$1/10,FALSE)</f>
        <v>New York</v>
      </c>
      <c r="AG58" s="18" t="str">
        <f>VLOOKUP($AB58,AG$2:$AI$52,8-AG$1/10,FALSE)</f>
        <v>Boston</v>
      </c>
      <c r="AH58" s="18" t="e">
        <f>VLOOKUP($AB58,AH$2:$AI$52,8-AH$1/10,FALSE)</f>
        <v>#N/A</v>
      </c>
      <c r="AI58" s="18" t="str">
        <f t="shared" si="12"/>
        <v>San Diego</v>
      </c>
    </row>
    <row r="59" spans="1:35">
      <c r="K59" s="28" t="str">
        <f t="shared" si="11"/>
        <v>Boston</v>
      </c>
      <c r="L59" s="28">
        <f>L5/'Summary-2000'!L5*100</f>
        <v>-5.6119144209470733</v>
      </c>
      <c r="M59" s="28">
        <f>Z5/'Summary-2010'!Y5*100</f>
        <v>-15.985797790839392</v>
      </c>
      <c r="N59" s="28">
        <f>N5/'Summary-2000'!M5*100</f>
        <v>-16.022580055860473</v>
      </c>
      <c r="O59" s="28">
        <f>O5/'Summary-2000'!N5*100</f>
        <v>-15.777731542378126</v>
      </c>
      <c r="P59" s="28">
        <f>P5/'Summary-2000'!O5*100</f>
        <v>-16.343178219044653</v>
      </c>
      <c r="Q59" s="28">
        <f>Q5/'Summary-2000'!P5*100</f>
        <v>-15.669358689397884</v>
      </c>
      <c r="R59" s="28">
        <f>R5/'Summary-2000'!Q5*100</f>
        <v>29.495124645003489</v>
      </c>
      <c r="S59" s="28" t="e">
        <f>S5/'Summary-2000'!R5*100</f>
        <v>#DIV/0!</v>
      </c>
      <c r="T59" s="28" t="e">
        <f>T5/'Summary-2000'!S5*100</f>
        <v>#DIV/0!</v>
      </c>
      <c r="U59" s="28" t="e">
        <f>U5/'Summary-2000'!T5*100</f>
        <v>#DIV/0!</v>
      </c>
      <c r="V59" s="28" t="e">
        <f>V5/'Summary-2000'!U5*100</f>
        <v>#DIV/0!</v>
      </c>
      <c r="AA59" s="18" t="str">
        <f>VLOOKUP($AB59,AA$2:$AB$52,2,FALSE)</f>
        <v>New York</v>
      </c>
      <c r="AB59" s="18">
        <f>AB58+1</f>
        <v>4</v>
      </c>
      <c r="AC59" s="18" t="str">
        <f>VLOOKUP($AB59,AC$2:$AI$52,8-AC$1/10,FALSE)</f>
        <v>San Diego</v>
      </c>
      <c r="AD59" s="18" t="str">
        <f>VLOOKUP($AB59,AD$2:$AI$52,8-AD$1/10,FALSE)</f>
        <v>San Francisco</v>
      </c>
      <c r="AE59" s="18" t="str">
        <f>VLOOKUP($AB59,AE$2:$AI$52,8-AE$1/10,FALSE)</f>
        <v>New York</v>
      </c>
      <c r="AF59" s="18" t="str">
        <f>VLOOKUP($AB59,AF$2:$AI$52,8-AF$1/10,FALSE)</f>
        <v>Houston</v>
      </c>
      <c r="AG59" s="18" t="str">
        <f>VLOOKUP($AB59,AG$2:$AI$52,8-AG$1/10,FALSE)</f>
        <v>Seattle</v>
      </c>
      <c r="AH59" s="18" t="e">
        <f>VLOOKUP($AB59,AH$2:$AI$52,8-AH$1/10,FALSE)</f>
        <v>#N/A</v>
      </c>
      <c r="AI59" s="18" t="str">
        <f t="shared" si="12"/>
        <v>New York</v>
      </c>
    </row>
    <row r="60" spans="1:35">
      <c r="K60" s="28" t="str">
        <f t="shared" si="11"/>
        <v>Buffalo</v>
      </c>
      <c r="L60" s="28">
        <f>L6/'Summary-2000'!L6*100</f>
        <v>-4.1889880326641853</v>
      </c>
      <c r="M60" s="28">
        <f>Z6/'Summary-2010'!Y6*100</f>
        <v>-2.4620604874485168</v>
      </c>
      <c r="N60" s="28">
        <f>N6/'Summary-2000'!M6*100</f>
        <v>-2.166228868283905</v>
      </c>
      <c r="O60" s="28">
        <f>O6/'Summary-2000'!N6*100</f>
        <v>-0.43771252302583052</v>
      </c>
      <c r="P60" s="28">
        <f>P6/'Summary-2000'!O6*100</f>
        <v>-25.765351060473517</v>
      </c>
      <c r="Q60" s="28" t="e">
        <f>Q6/'Summary-2000'!P6*100</f>
        <v>#DIV/0!</v>
      </c>
      <c r="R60" s="28" t="e">
        <f>R6/'Summary-2000'!Q6*100</f>
        <v>#DIV/0!</v>
      </c>
      <c r="S60" s="28" t="e">
        <f>S6/'Summary-2000'!R6*100</f>
        <v>#DIV/0!</v>
      </c>
      <c r="T60" s="28" t="e">
        <f>T6/'Summary-2000'!S6*100</f>
        <v>#DIV/0!</v>
      </c>
      <c r="U60" s="28" t="e">
        <f>U6/'Summary-2000'!T6*100</f>
        <v>#DIV/0!</v>
      </c>
      <c r="V60" s="28" t="e">
        <f>V6/'Summary-2000'!U6*100</f>
        <v>#DIV/0!</v>
      </c>
      <c r="AA60" s="18" t="str">
        <f>VLOOKUP($AB60,AA$2:$AB$52,2,FALSE)</f>
        <v>Chicago</v>
      </c>
      <c r="AB60" s="18">
        <f t="shared" ref="AB60:AB106" si="13">AB59+1</f>
        <v>5</v>
      </c>
      <c r="AC60" s="18" t="str">
        <f>VLOOKUP($AB60,AC$2:$AI$52,8-AC$1/10,FALSE)</f>
        <v>San Francisco</v>
      </c>
      <c r="AD60" s="18" t="str">
        <f>VLOOKUP($AB60,AD$2:$AI$52,8-AD$1/10,FALSE)</f>
        <v>Minneapolis</v>
      </c>
      <c r="AE60" s="18" t="str">
        <f>VLOOKUP($AB60,AE$2:$AI$52,8-AE$1/10,FALSE)</f>
        <v>Washington</v>
      </c>
      <c r="AF60" s="18" t="str">
        <f>VLOOKUP($AB60,AF$2:$AI$52,8-AF$1/10,FALSE)</f>
        <v>Washington</v>
      </c>
      <c r="AG60" s="18" t="str">
        <f>VLOOKUP($AB60,AG$2:$AI$52,8-AG$1/10,FALSE)</f>
        <v>Atlanta</v>
      </c>
      <c r="AH60" s="18" t="e">
        <f>VLOOKUP($AB60,AH$2:$AI$52,8-AH$1/10,FALSE)</f>
        <v>#N/A</v>
      </c>
      <c r="AI60" s="18" t="str">
        <f t="shared" si="12"/>
        <v>Chicago</v>
      </c>
    </row>
    <row r="61" spans="1:35">
      <c r="K61" s="28" t="str">
        <f t="shared" si="11"/>
        <v>Charlotte</v>
      </c>
      <c r="L61" s="28">
        <f>L7/'Summary-2000'!L7*100</f>
        <v>-10.366269175743399</v>
      </c>
      <c r="M61" s="28">
        <f>Z7/'Summary-2010'!Y7*100</f>
        <v>-20.760160297767236</v>
      </c>
      <c r="N61" s="28">
        <f>N7/'Summary-2000'!M7*100</f>
        <v>-24.769804303887941</v>
      </c>
      <c r="O61" s="28">
        <f>O7/'Summary-2000'!N7*100</f>
        <v>-23.39841903608453</v>
      </c>
      <c r="P61" s="28">
        <f>P7/'Summary-2000'!O7*100</f>
        <v>5.3946343322277057</v>
      </c>
      <c r="Q61" s="28" t="e">
        <f>Q7/'Summary-2000'!P7*100</f>
        <v>#DIV/0!</v>
      </c>
      <c r="R61" s="28" t="e">
        <f>R7/'Summary-2000'!Q7*100</f>
        <v>#DIV/0!</v>
      </c>
      <c r="S61" s="28" t="e">
        <f>S7/'Summary-2000'!R7*100</f>
        <v>#DIV/0!</v>
      </c>
      <c r="T61" s="28" t="e">
        <f>T7/'Summary-2000'!S7*100</f>
        <v>#DIV/0!</v>
      </c>
      <c r="U61" s="28" t="e">
        <f>U7/'Summary-2000'!T7*100</f>
        <v>#DIV/0!</v>
      </c>
      <c r="V61" s="28" t="e">
        <f>V7/'Summary-2000'!U7*100</f>
        <v>#DIV/0!</v>
      </c>
      <c r="AA61" s="18" t="str">
        <f>VLOOKUP($AB61,AA$2:$AB$52,2,FALSE)</f>
        <v>Houston</v>
      </c>
      <c r="AB61" s="18">
        <f t="shared" si="13"/>
        <v>6</v>
      </c>
      <c r="AC61" s="18" t="str">
        <f>VLOOKUP($AB61,AC$2:$AI$52,8-AC$1/10,FALSE)</f>
        <v>Minneapolis</v>
      </c>
      <c r="AD61" s="18" t="str">
        <f>VLOOKUP($AB61,AD$2:$AI$52,8-AD$1/10,FALSE)</f>
        <v>Riverside</v>
      </c>
      <c r="AE61" s="18" t="str">
        <f>VLOOKUP($AB61,AE$2:$AI$52,8-AE$1/10,FALSE)</f>
        <v>Houston</v>
      </c>
      <c r="AF61" s="18" t="str">
        <f>VLOOKUP($AB61,AF$2:$AI$52,8-AF$1/10,FALSE)</f>
        <v>Miami</v>
      </c>
      <c r="AG61" s="18" t="str">
        <f>VLOOKUP($AB61,AG$2:$AI$52,8-AG$1/10,FALSE)</f>
        <v>Miami</v>
      </c>
      <c r="AH61" s="18" t="e">
        <f>VLOOKUP($AB61,AH$2:$AI$52,8-AH$1/10,FALSE)</f>
        <v>#N/A</v>
      </c>
      <c r="AI61" s="18" t="str">
        <f t="shared" si="12"/>
        <v>Houston</v>
      </c>
    </row>
    <row r="62" spans="1:35">
      <c r="K62" s="28" t="str">
        <f t="shared" si="11"/>
        <v>Chicago</v>
      </c>
      <c r="L62" s="28">
        <f>L8/'Summary-2000'!L8*100</f>
        <v>-9.3564854936608981</v>
      </c>
      <c r="M62" s="28">
        <f>Z8/'Summary-2010'!Y8*100</f>
        <v>23.385439800837755</v>
      </c>
      <c r="N62" s="28">
        <f>N8/'Summary-2000'!M8*100</f>
        <v>35.957600211466243</v>
      </c>
      <c r="O62" s="28">
        <f>O8/'Summary-2000'!N8*100</f>
        <v>38.595362706350841</v>
      </c>
      <c r="P62" s="28">
        <f>P8/'Summary-2000'!O8*100</f>
        <v>36.12021285832769</v>
      </c>
      <c r="Q62" s="28">
        <f>Q8/'Summary-2000'!P8*100</f>
        <v>37.87278516168783</v>
      </c>
      <c r="R62" s="28">
        <f>R8/'Summary-2000'!Q8*100</f>
        <v>36.947429849401722</v>
      </c>
      <c r="S62" s="28">
        <f>S8/'Summary-2000'!R8*100</f>
        <v>-76.212616450314272</v>
      </c>
      <c r="T62" s="28">
        <f>T8/'Summary-2000'!S8*100</f>
        <v>-100</v>
      </c>
      <c r="U62" s="28" t="e">
        <f>U8/'Summary-2000'!T8*100</f>
        <v>#DIV/0!</v>
      </c>
      <c r="V62" s="28" t="e">
        <f>V8/'Summary-2000'!U8*100</f>
        <v>#DIV/0!</v>
      </c>
      <c r="AA62" s="18" t="str">
        <f>VLOOKUP($AB62,AA$2:$AB$52,2,FALSE)</f>
        <v>Washington</v>
      </c>
      <c r="AB62" s="18">
        <f t="shared" si="13"/>
        <v>7</v>
      </c>
      <c r="AC62" s="18" t="str">
        <f>VLOOKUP($AB62,AC$2:$AI$52,8-AC$1/10,FALSE)</f>
        <v>Riverside</v>
      </c>
      <c r="AD62" s="18" t="str">
        <f>VLOOKUP($AB62,AD$2:$AI$52,8-AD$1/10,FALSE)</f>
        <v>Sacramento</v>
      </c>
      <c r="AE62" s="18" t="str">
        <f>VLOOKUP($AB62,AE$2:$AI$52,8-AE$1/10,FALSE)</f>
        <v>Chicago</v>
      </c>
      <c r="AF62" s="18" t="str">
        <f>VLOOKUP($AB62,AF$2:$AI$52,8-AF$1/10,FALSE)</f>
        <v>St. Louis</v>
      </c>
      <c r="AG62" s="18" t="str">
        <f>VLOOKUP($AB62,AG$2:$AI$52,8-AG$1/10,FALSE)</f>
        <v>Austin</v>
      </c>
      <c r="AH62" s="18" t="e">
        <f>VLOOKUP($AB62,AH$2:$AI$52,8-AH$1/10,FALSE)</f>
        <v>#N/A</v>
      </c>
      <c r="AI62" s="18" t="str">
        <f t="shared" si="12"/>
        <v>Washington</v>
      </c>
    </row>
    <row r="63" spans="1:35">
      <c r="K63" s="28" t="str">
        <f t="shared" si="11"/>
        <v>Cincinnati</v>
      </c>
      <c r="L63" s="28">
        <f>L9/'Summary-2000'!L9*100</f>
        <v>-6.4608595298373279</v>
      </c>
      <c r="M63" s="28">
        <f>Z9/'Summary-2010'!Y9*100</f>
        <v>-8.2687859984796859</v>
      </c>
      <c r="N63" s="28">
        <f>N9/'Summary-2000'!M9*100</f>
        <v>-7.3389154744009959</v>
      </c>
      <c r="O63" s="28">
        <f>O9/'Summary-2000'!N9*100</f>
        <v>-9.0290002222454433</v>
      </c>
      <c r="P63" s="28">
        <f>P9/'Summary-2000'!O9*100</f>
        <v>-7.2197929109703685</v>
      </c>
      <c r="Q63" s="28">
        <f>Q9/'Summary-2000'!P9*100</f>
        <v>15.202481450254195</v>
      </c>
      <c r="R63" s="28" t="e">
        <f>R9/'Summary-2000'!Q9*100</f>
        <v>#DIV/0!</v>
      </c>
      <c r="S63" s="28" t="e">
        <f>S9/'Summary-2000'!R9*100</f>
        <v>#DIV/0!</v>
      </c>
      <c r="T63" s="28" t="e">
        <f>T9/'Summary-2000'!S9*100</f>
        <v>#DIV/0!</v>
      </c>
      <c r="U63" s="28" t="e">
        <f>U9/'Summary-2000'!T9*100</f>
        <v>#DIV/0!</v>
      </c>
      <c r="V63" s="28" t="e">
        <f>V9/'Summary-2000'!U9*100</f>
        <v>#DIV/0!</v>
      </c>
      <c r="AA63" s="18" t="str">
        <f>VLOOKUP($AB63,AA$2:$AB$52,2,FALSE)</f>
        <v>Minneapolis</v>
      </c>
      <c r="AB63" s="18">
        <f t="shared" si="13"/>
        <v>8</v>
      </c>
      <c r="AC63" s="18" t="str">
        <f>VLOOKUP($AB63,AC$2:$AI$52,8-AC$1/10,FALSE)</f>
        <v>Sacramento</v>
      </c>
      <c r="AD63" s="18" t="str">
        <f>VLOOKUP($AB63,AD$2:$AI$52,8-AD$1/10,FALSE)</f>
        <v>New York</v>
      </c>
      <c r="AE63" s="18" t="str">
        <f>VLOOKUP($AB63,AE$2:$AI$52,8-AE$1/10,FALSE)</f>
        <v>Tampa Bay</v>
      </c>
      <c r="AF63" s="18" t="str">
        <f>VLOOKUP($AB63,AF$2:$AI$52,8-AF$1/10,FALSE)</f>
        <v>Atlanta</v>
      </c>
      <c r="AG63" s="18" t="e">
        <f>VLOOKUP($AB63,AG$2:$AI$52,8-AG$1/10,FALSE)</f>
        <v>#N/A</v>
      </c>
      <c r="AH63" s="18" t="e">
        <f>VLOOKUP($AB63,AH$2:$AI$52,8-AH$1/10,FALSE)</f>
        <v>#N/A</v>
      </c>
      <c r="AI63" s="18" t="str">
        <f t="shared" si="12"/>
        <v>Minneapolis</v>
      </c>
    </row>
    <row r="64" spans="1:35">
      <c r="K64" s="28" t="str">
        <f t="shared" si="11"/>
        <v>Cleveland</v>
      </c>
      <c r="L64" s="28">
        <f>L10/'Summary-2000'!L10*100</f>
        <v>-19.256065830546472</v>
      </c>
      <c r="M64" s="28">
        <f>Z10/'Summary-2010'!Y10*100</f>
        <v>-38.665936021929831</v>
      </c>
      <c r="N64" s="28">
        <f>N10/'Summary-2000'!M10*100</f>
        <v>-36.051882424822779</v>
      </c>
      <c r="O64" s="28">
        <f>O10/'Summary-2000'!N10*100</f>
        <v>-36.794039020083076</v>
      </c>
      <c r="P64" s="28">
        <f>P10/'Summary-2000'!O10*100</f>
        <v>1.7945109190028341</v>
      </c>
      <c r="Q64" s="28" t="e">
        <f>Q10/'Summary-2000'!P10*100</f>
        <v>#DIV/0!</v>
      </c>
      <c r="R64" s="28" t="e">
        <f>R10/'Summary-2000'!Q10*100</f>
        <v>#DIV/0!</v>
      </c>
      <c r="S64" s="28" t="e">
        <f>S10/'Summary-2000'!R10*100</f>
        <v>#DIV/0!</v>
      </c>
      <c r="T64" s="28" t="e">
        <f>T10/'Summary-2000'!S10*100</f>
        <v>#DIV/0!</v>
      </c>
      <c r="U64" s="28" t="e">
        <f>U10/'Summary-2000'!T10*100</f>
        <v>#DIV/0!</v>
      </c>
      <c r="V64" s="28" t="e">
        <f>V10/'Summary-2000'!U10*100</f>
        <v>#DIV/0!</v>
      </c>
      <c r="AA64" s="18" t="str">
        <f>VLOOKUP($AB64,AA$2:$AB$52,2,FALSE)</f>
        <v>Riverside</v>
      </c>
      <c r="AB64" s="18">
        <f t="shared" si="13"/>
        <v>9</v>
      </c>
      <c r="AC64" s="18" t="str">
        <f>VLOOKUP($AB64,AC$2:$AI$52,8-AC$1/10,FALSE)</f>
        <v>New York</v>
      </c>
      <c r="AD64" s="18" t="str">
        <f>VLOOKUP($AB64,AD$2:$AI$52,8-AD$1/10,FALSE)</f>
        <v>Chicago</v>
      </c>
      <c r="AE64" s="18" t="str">
        <f>VLOOKUP($AB64,AE$2:$AI$52,8-AE$1/10,FALSE)</f>
        <v>Hartford</v>
      </c>
      <c r="AF64" s="18" t="str">
        <f>VLOOKUP($AB64,AF$2:$AI$52,8-AF$1/10,FALSE)</f>
        <v>Philadelphia</v>
      </c>
      <c r="AG64" s="18" t="e">
        <f>VLOOKUP($AB64,AG$2:$AI$52,8-AG$1/10,FALSE)</f>
        <v>#N/A</v>
      </c>
      <c r="AH64" s="18" t="e">
        <f>VLOOKUP($AB64,AH$2:$AI$52,8-AH$1/10,FALSE)</f>
        <v>#N/A</v>
      </c>
      <c r="AI64" s="18" t="str">
        <f t="shared" si="12"/>
        <v>Riverside</v>
      </c>
    </row>
    <row r="65" spans="11:35">
      <c r="K65" s="28" t="str">
        <f t="shared" si="11"/>
        <v>Columbus</v>
      </c>
      <c r="L65" s="28">
        <f>L11/'Summary-2000'!L11*100</f>
        <v>-2.9966076627520355</v>
      </c>
      <c r="M65" s="28">
        <f>Z11/'Summary-2010'!Y11*100</f>
        <v>-10.987835848197333</v>
      </c>
      <c r="N65" s="28">
        <f>N11/'Summary-2000'!M11*100</f>
        <v>-16.607601256320496</v>
      </c>
      <c r="O65" s="28">
        <f>O11/'Summary-2000'!N11*100</f>
        <v>-12.80912986229017</v>
      </c>
      <c r="P65" s="28">
        <f>P11/'Summary-2000'!O11*100</f>
        <v>35.214100282175984</v>
      </c>
      <c r="Q65" s="28" t="e">
        <f>Q11/'Summary-2000'!P11*100</f>
        <v>#DIV/0!</v>
      </c>
      <c r="R65" s="28" t="e">
        <f>R11/'Summary-2000'!Q11*100</f>
        <v>#DIV/0!</v>
      </c>
      <c r="S65" s="28" t="e">
        <f>S11/'Summary-2000'!R11*100</f>
        <v>#DIV/0!</v>
      </c>
      <c r="T65" s="28" t="e">
        <f>T11/'Summary-2000'!S11*100</f>
        <v>#DIV/0!</v>
      </c>
      <c r="U65" s="28" t="e">
        <f>U11/'Summary-2000'!T11*100</f>
        <v>#DIV/0!</v>
      </c>
      <c r="V65" s="28" t="e">
        <f>V11/'Summary-2000'!U11*100</f>
        <v>#DIV/0!</v>
      </c>
      <c r="AA65" s="18" t="str">
        <f>VLOOKUP($AB65,AA$2:$AB$52,2,FALSE)</f>
        <v>Orlando</v>
      </c>
      <c r="AB65" s="18">
        <f t="shared" si="13"/>
        <v>10</v>
      </c>
      <c r="AC65" s="18" t="str">
        <f>VLOOKUP($AB65,AC$2:$AI$52,8-AC$1/10,FALSE)</f>
        <v>Orlando</v>
      </c>
      <c r="AD65" s="18" t="str">
        <f>VLOOKUP($AB65,AD$2:$AI$52,8-AD$1/10,FALSE)</f>
        <v>Houston</v>
      </c>
      <c r="AE65" s="18" t="str">
        <f>VLOOKUP($AB65,AE$2:$AI$52,8-AE$1/10,FALSE)</f>
        <v>Phoenix</v>
      </c>
      <c r="AF65" s="18" t="str">
        <f>VLOOKUP($AB65,AF$2:$AI$52,8-AF$1/10,FALSE)</f>
        <v>Dallas-Fort Worth</v>
      </c>
      <c r="AG65" s="18" t="e">
        <f>VLOOKUP($AB65,AG$2:$AI$52,8-AG$1/10,FALSE)</f>
        <v>#N/A</v>
      </c>
      <c r="AH65" s="18" t="e">
        <f>VLOOKUP($AB65,AH$2:$AI$52,8-AH$1/10,FALSE)</f>
        <v>#N/A</v>
      </c>
      <c r="AI65" s="18" t="str">
        <f t="shared" si="12"/>
        <v>Orlando</v>
      </c>
    </row>
    <row r="66" spans="11:35">
      <c r="K66" s="28" t="str">
        <f t="shared" si="11"/>
        <v>Dallas-Fort Worth</v>
      </c>
      <c r="L66" s="28">
        <f>L12/'Summary-2000'!L12*100</f>
        <v>-3.4910060574744972</v>
      </c>
      <c r="M66" s="28">
        <f>Z12/'Summary-2010'!Y12*100</f>
        <v>-0.18531768607585236</v>
      </c>
      <c r="N66" s="28">
        <f>N12/'Summary-2000'!M12*100</f>
        <v>-2.4762467528991059</v>
      </c>
      <c r="O66" s="28">
        <f>O12/'Summary-2000'!N12*100</f>
        <v>1.5953008093890801</v>
      </c>
      <c r="P66" s="28">
        <f>P12/'Summary-2000'!O12*100</f>
        <v>2.098595682407542</v>
      </c>
      <c r="Q66" s="28">
        <f>Q12/'Summary-2000'!P12*100</f>
        <v>1.9290599177434846</v>
      </c>
      <c r="R66" s="28">
        <f>R12/'Summary-2000'!Q12*100</f>
        <v>-22.459255540658447</v>
      </c>
      <c r="S66" s="28" t="e">
        <f>S12/'Summary-2000'!R12*100</f>
        <v>#DIV/0!</v>
      </c>
      <c r="T66" s="28" t="e">
        <f>T12/'Summary-2000'!S12*100</f>
        <v>#DIV/0!</v>
      </c>
      <c r="U66" s="28" t="e">
        <f>U12/'Summary-2000'!T12*100</f>
        <v>#DIV/0!</v>
      </c>
      <c r="V66" s="28" t="e">
        <f>V12/'Summary-2000'!U12*100</f>
        <v>#DIV/0!</v>
      </c>
      <c r="AA66" s="18" t="str">
        <f>VLOOKUP($AB66,AA$2:$AB$52,2,FALSE)</f>
        <v>Sacramento</v>
      </c>
      <c r="AB66" s="18">
        <f t="shared" si="13"/>
        <v>11</v>
      </c>
      <c r="AC66" s="18" t="str">
        <f>VLOOKUP($AB66,AC$2:$AI$52,8-AC$1/10,FALSE)</f>
        <v>Chicago</v>
      </c>
      <c r="AD66" s="18" t="str">
        <f>VLOOKUP($AB66,AD$2:$AI$52,8-AD$1/10,FALSE)</f>
        <v>Washington</v>
      </c>
      <c r="AE66" s="18" t="str">
        <f>VLOOKUP($AB66,AE$2:$AI$52,8-AE$1/10,FALSE)</f>
        <v>Columbus</v>
      </c>
      <c r="AF66" s="18" t="str">
        <f>VLOOKUP($AB66,AF$2:$AI$52,8-AF$1/10,FALSE)</f>
        <v>Pittsburgh</v>
      </c>
      <c r="AG66" s="18" t="e">
        <f>VLOOKUP($AB66,AG$2:$AI$52,8-AG$1/10,FALSE)</f>
        <v>#N/A</v>
      </c>
      <c r="AH66" s="18" t="e">
        <f>VLOOKUP($AB66,AH$2:$AI$52,8-AH$1/10,FALSE)</f>
        <v>#N/A</v>
      </c>
      <c r="AI66" s="18" t="str">
        <f t="shared" si="12"/>
        <v>Sacramento</v>
      </c>
    </row>
    <row r="67" spans="11:35">
      <c r="K67" s="28" t="str">
        <f t="shared" si="11"/>
        <v>Denver</v>
      </c>
      <c r="L67" s="28">
        <f>L13/'Summary-2000'!L13*100</f>
        <v>-3.920741131502715</v>
      </c>
      <c r="M67" s="28">
        <f>Z13/'Summary-2010'!Y13*100</f>
        <v>-1.3940487677521369</v>
      </c>
      <c r="N67" s="28">
        <f>N13/'Summary-2000'!M13*100</f>
        <v>-3.1247524753288389</v>
      </c>
      <c r="O67" s="28">
        <f>O13/'Summary-2000'!N13*100</f>
        <v>0.43888703968696269</v>
      </c>
      <c r="P67" s="28">
        <f>P13/'Summary-2000'!O13*100</f>
        <v>2.4133563943792611</v>
      </c>
      <c r="Q67" s="28">
        <f>Q13/'Summary-2000'!P13*100</f>
        <v>-32.078329519298869</v>
      </c>
      <c r="R67" s="28" t="e">
        <f>R13/'Summary-2000'!Q13*100</f>
        <v>#DIV/0!</v>
      </c>
      <c r="S67" s="28" t="e">
        <f>S13/'Summary-2000'!R13*100</f>
        <v>#DIV/0!</v>
      </c>
      <c r="T67" s="28" t="e">
        <f>T13/'Summary-2000'!S13*100</f>
        <v>#DIV/0!</v>
      </c>
      <c r="U67" s="28" t="e">
        <f>U13/'Summary-2000'!T13*100</f>
        <v>#DIV/0!</v>
      </c>
      <c r="V67" s="28" t="e">
        <f>V13/'Summary-2000'!U13*100</f>
        <v>#DIV/0!</v>
      </c>
      <c r="AA67" s="18" t="str">
        <f>VLOOKUP($AB67,AA$2:$AB$52,2,FALSE)</f>
        <v>Virginia Beach</v>
      </c>
      <c r="AB67" s="18">
        <f t="shared" si="13"/>
        <v>12</v>
      </c>
      <c r="AC67" s="18" t="str">
        <f>VLOOKUP($AB67,AC$2:$AI$52,8-AC$1/10,FALSE)</f>
        <v>Washington</v>
      </c>
      <c r="AD67" s="18" t="str">
        <f>VLOOKUP($AB67,AD$2:$AI$52,8-AD$1/10,FALSE)</f>
        <v>Virginia Beach</v>
      </c>
      <c r="AE67" s="18" t="str">
        <f>VLOOKUP($AB67,AE$2:$AI$52,8-AE$1/10,FALSE)</f>
        <v>Detroit</v>
      </c>
      <c r="AF67" s="18" t="str">
        <f>VLOOKUP($AB67,AF$2:$AI$52,8-AF$1/10,FALSE)</f>
        <v>Cincinnati</v>
      </c>
      <c r="AG67" s="18" t="e">
        <f>VLOOKUP($AB67,AG$2:$AI$52,8-AG$1/10,FALSE)</f>
        <v>#N/A</v>
      </c>
      <c r="AH67" s="18" t="e">
        <f>VLOOKUP($AB67,AH$2:$AI$52,8-AH$1/10,FALSE)</f>
        <v>#N/A</v>
      </c>
      <c r="AI67" s="18" t="str">
        <f t="shared" si="12"/>
        <v>Virginia Beach</v>
      </c>
    </row>
    <row r="68" spans="11:35">
      <c r="K68" s="28" t="str">
        <f t="shared" si="11"/>
        <v>Detroit</v>
      </c>
      <c r="L68" s="28">
        <f>L14/'Summary-2000'!L14*100</f>
        <v>-23.155552643057685</v>
      </c>
      <c r="M68" s="28">
        <f>Z14/'Summary-2010'!Y14*100</f>
        <v>3.307042872488303</v>
      </c>
      <c r="N68" s="28">
        <f>N14/'Summary-2000'!M14*100</f>
        <v>10.584039489571296</v>
      </c>
      <c r="O68" s="28">
        <f>O14/'Summary-2000'!N14*100</f>
        <v>14.237449422754764</v>
      </c>
      <c r="P68" s="28">
        <f>P14/'Summary-2000'!O14*100</f>
        <v>13.058483326647039</v>
      </c>
      <c r="Q68" s="28">
        <f>Q14/'Summary-2000'!P14*100</f>
        <v>-3.8963451131682239</v>
      </c>
      <c r="R68" s="28">
        <f>R14/'Summary-2000'!Q14*100</f>
        <v>-100</v>
      </c>
      <c r="S68" s="28" t="e">
        <f>S14/'Summary-2000'!R14*100</f>
        <v>#DIV/0!</v>
      </c>
      <c r="T68" s="28" t="e">
        <f>T14/'Summary-2000'!S14*100</f>
        <v>#DIV/0!</v>
      </c>
      <c r="U68" s="28" t="e">
        <f>U14/'Summary-2000'!T14*100</f>
        <v>#DIV/0!</v>
      </c>
      <c r="V68" s="28" t="e">
        <f>V14/'Summary-2000'!U14*100</f>
        <v>#DIV/0!</v>
      </c>
      <c r="AA68" s="18" t="str">
        <f>VLOOKUP($AB68,AA$2:$AB$52,2,FALSE)</f>
        <v>Tampa Bay</v>
      </c>
      <c r="AB68" s="18">
        <f t="shared" si="13"/>
        <v>13</v>
      </c>
      <c r="AC68" s="18" t="str">
        <f>VLOOKUP($AB68,AC$2:$AI$52,8-AC$1/10,FALSE)</f>
        <v>Virginia Beach</v>
      </c>
      <c r="AD68" s="18" t="str">
        <f>VLOOKUP($AB68,AD$2:$AI$52,8-AD$1/10,FALSE)</f>
        <v>Orlando</v>
      </c>
      <c r="AE68" s="18" t="str">
        <f>VLOOKUP($AB68,AE$2:$AI$52,8-AE$1/10,FALSE)</f>
        <v>Orlando</v>
      </c>
      <c r="AF68" s="18" t="str">
        <f>VLOOKUP($AB68,AF$2:$AI$52,8-AF$1/10,FALSE)</f>
        <v>Austin</v>
      </c>
      <c r="AG68" s="18" t="e">
        <f>VLOOKUP($AB68,AG$2:$AI$52,8-AG$1/10,FALSE)</f>
        <v>#N/A</v>
      </c>
      <c r="AH68" s="18" t="e">
        <f>VLOOKUP($AB68,AH$2:$AI$52,8-AH$1/10,FALSE)</f>
        <v>#N/A</v>
      </c>
      <c r="AI68" s="18" t="str">
        <f t="shared" si="12"/>
        <v>Tampa Bay</v>
      </c>
    </row>
    <row r="69" spans="11:35">
      <c r="K69" s="28" t="str">
        <f t="shared" si="11"/>
        <v>Grand Rapids</v>
      </c>
      <c r="L69" s="28">
        <f>L15/'Summary-2000'!L15*100</f>
        <v>-40.039927302176224</v>
      </c>
      <c r="M69" s="28">
        <f>Z15/'Summary-2010'!Y15*100</f>
        <v>-55.265463801796798</v>
      </c>
      <c r="N69" s="28">
        <f>N15/'Summary-2000'!M15*100</f>
        <v>-20.353842549052981</v>
      </c>
      <c r="O69" s="28">
        <f>O15/'Summary-2000'!N15*100</f>
        <v>-46.189450635774797</v>
      </c>
      <c r="P69" s="28" t="e">
        <f>P15/'Summary-2000'!O15*100</f>
        <v>#DIV/0!</v>
      </c>
      <c r="Q69" s="28" t="e">
        <f>Q15/'Summary-2000'!P15*100</f>
        <v>#DIV/0!</v>
      </c>
      <c r="R69" s="28" t="e">
        <f>R15/'Summary-2000'!Q15*100</f>
        <v>#DIV/0!</v>
      </c>
      <c r="S69" s="28" t="e">
        <f>S15/'Summary-2000'!R15*100</f>
        <v>#DIV/0!</v>
      </c>
      <c r="T69" s="28" t="e">
        <f>T15/'Summary-2000'!S15*100</f>
        <v>#DIV/0!</v>
      </c>
      <c r="U69" s="28" t="e">
        <f>U15/'Summary-2000'!T15*100</f>
        <v>#DIV/0!</v>
      </c>
      <c r="V69" s="28" t="e">
        <f>V15/'Summary-2000'!U15*100</f>
        <v>#DIV/0!</v>
      </c>
      <c r="AA69" s="18" t="str">
        <f>VLOOKUP($AB69,AA$2:$AB$52,2,FALSE)</f>
        <v>Miami</v>
      </c>
      <c r="AB69" s="18">
        <f t="shared" si="13"/>
        <v>14</v>
      </c>
      <c r="AC69" s="18" t="str">
        <f>VLOOKUP($AB69,AC$2:$AI$52,8-AC$1/10,FALSE)</f>
        <v>Houston</v>
      </c>
      <c r="AD69" s="18" t="str">
        <f>VLOOKUP($AB69,AD$2:$AI$52,8-AD$1/10,FALSE)</f>
        <v>San Jose</v>
      </c>
      <c r="AE69" s="18" t="str">
        <f>VLOOKUP($AB69,AE$2:$AI$52,8-AE$1/10,FALSE)</f>
        <v>Raleigh</v>
      </c>
      <c r="AF69" s="18" t="e">
        <f>VLOOKUP($AB69,AF$2:$AI$52,8-AF$1/10,FALSE)</f>
        <v>#N/A</v>
      </c>
      <c r="AG69" s="18" t="e">
        <f>VLOOKUP($AB69,AG$2:$AI$52,8-AG$1/10,FALSE)</f>
        <v>#N/A</v>
      </c>
      <c r="AH69" s="18" t="e">
        <f>VLOOKUP($AB69,AH$2:$AI$52,8-AH$1/10,FALSE)</f>
        <v>#N/A</v>
      </c>
      <c r="AI69" s="18" t="str">
        <f t="shared" si="12"/>
        <v>Miami</v>
      </c>
    </row>
    <row r="70" spans="11:35">
      <c r="K70" s="28" t="str">
        <f t="shared" si="11"/>
        <v>Virginia Beach</v>
      </c>
      <c r="L70" s="28">
        <f>L16/'Summary-2000'!L16*100</f>
        <v>3.5147785612802616</v>
      </c>
      <c r="M70" s="28">
        <f>Z16/'Summary-2010'!Y16*100</f>
        <v>21.979041509600776</v>
      </c>
      <c r="N70" s="28">
        <f>N16/'Summary-2000'!M16*100</f>
        <v>58.735286566583177</v>
      </c>
      <c r="O70" s="28">
        <f>O16/'Summary-2000'!N16*100</f>
        <v>57.36759582124261</v>
      </c>
      <c r="P70" s="28">
        <f>P16/'Summary-2000'!O16*100</f>
        <v>-28.290942759007866</v>
      </c>
      <c r="Q70" s="28">
        <f>Q16/'Summary-2000'!P16*100</f>
        <v>-100</v>
      </c>
      <c r="R70" s="28" t="e">
        <f>R16/'Summary-2000'!Q16*100</f>
        <v>#DIV/0!</v>
      </c>
      <c r="S70" s="28" t="e">
        <f>S16/'Summary-2000'!R16*100</f>
        <v>#DIV/0!</v>
      </c>
      <c r="T70" s="28" t="e">
        <f>T16/'Summary-2000'!S16*100</f>
        <v>#DIV/0!</v>
      </c>
      <c r="U70" s="28" t="e">
        <f>U16/'Summary-2000'!T16*100</f>
        <v>#DIV/0!</v>
      </c>
      <c r="V70" s="28" t="e">
        <f>V16/'Summary-2000'!U16*100</f>
        <v>#DIV/0!</v>
      </c>
      <c r="AA70" s="18" t="str">
        <f>VLOOKUP($AB70,AA$2:$AB$52,2,FALSE)</f>
        <v>San Jose</v>
      </c>
      <c r="AB70" s="18">
        <f t="shared" si="13"/>
        <v>15</v>
      </c>
      <c r="AC70" s="18" t="str">
        <f>VLOOKUP($AB70,AC$2:$AI$52,8-AC$1/10,FALSE)</f>
        <v>Tampa Bay</v>
      </c>
      <c r="AD70" s="18" t="str">
        <f>VLOOKUP($AB70,AD$2:$AI$52,8-AD$1/10,FALSE)</f>
        <v>Tampa Bay</v>
      </c>
      <c r="AE70" s="18" t="str">
        <f>VLOOKUP($AB70,AE$2:$AI$52,8-AE$1/10,FALSE)</f>
        <v>Jacksonville</v>
      </c>
      <c r="AF70" s="18" t="e">
        <f>VLOOKUP($AB70,AF$2:$AI$52,8-AF$1/10,FALSE)</f>
        <v>#N/A</v>
      </c>
      <c r="AG70" s="18" t="e">
        <f>VLOOKUP($AB70,AG$2:$AI$52,8-AG$1/10,FALSE)</f>
        <v>#N/A</v>
      </c>
      <c r="AH70" s="18" t="e">
        <f>VLOOKUP($AB70,AH$2:$AI$52,8-AH$1/10,FALSE)</f>
        <v>#N/A</v>
      </c>
      <c r="AI70" s="18" t="str">
        <f t="shared" si="12"/>
        <v>San Jose</v>
      </c>
    </row>
    <row r="71" spans="11:35">
      <c r="K71" s="28" t="str">
        <f t="shared" si="11"/>
        <v>Hartford</v>
      </c>
      <c r="L71" s="28">
        <f>L17/'Summary-2000'!L17*100</f>
        <v>-6.796367804677053</v>
      </c>
      <c r="M71" s="28">
        <f>Z17/'Summary-2010'!Y17*100</f>
        <v>-23.903654185642662</v>
      </c>
      <c r="N71" s="28">
        <f>N17/'Summary-2000'!M17*100</f>
        <v>-27.61737493119459</v>
      </c>
      <c r="O71" s="28">
        <f>O17/'Summary-2000'!N17*100</f>
        <v>-26.999146449187091</v>
      </c>
      <c r="P71" s="28">
        <f>P17/'Summary-2000'!O17*100</f>
        <v>101.02815883098428</v>
      </c>
      <c r="Q71" s="28" t="e">
        <f>Q17/'Summary-2000'!P17*100</f>
        <v>#DIV/0!</v>
      </c>
      <c r="R71" s="28" t="e">
        <f>R17/'Summary-2000'!Q17*100</f>
        <v>#DIV/0!</v>
      </c>
      <c r="S71" s="28" t="e">
        <f>S17/'Summary-2000'!R17*100</f>
        <v>#DIV/0!</v>
      </c>
      <c r="T71" s="28" t="e">
        <f>T17/'Summary-2000'!S17*100</f>
        <v>#DIV/0!</v>
      </c>
      <c r="U71" s="28" t="e">
        <f>U17/'Summary-2000'!T17*100</f>
        <v>#DIV/0!</v>
      </c>
      <c r="V71" s="28" t="e">
        <f>V17/'Summary-2000'!U17*100</f>
        <v>#DIV/0!</v>
      </c>
      <c r="AA71" s="18" t="str">
        <f>VLOOKUP($AB71,AA$2:$AB$52,2,FALSE)</f>
        <v>Phoenix</v>
      </c>
      <c r="AB71" s="18">
        <f t="shared" si="13"/>
        <v>16</v>
      </c>
      <c r="AC71" s="18" t="str">
        <f>VLOOKUP($AB71,AC$2:$AI$52,8-AC$1/10,FALSE)</f>
        <v>Milwaukee</v>
      </c>
      <c r="AD71" s="18" t="str">
        <f>VLOOKUP($AB71,AD$2:$AI$52,8-AD$1/10,FALSE)</f>
        <v>Milwaukee</v>
      </c>
      <c r="AE71" s="18" t="str">
        <f>VLOOKUP($AB71,AE$2:$AI$52,8-AE$1/10,FALSE)</f>
        <v>Atlanta</v>
      </c>
      <c r="AF71" s="18" t="e">
        <f>VLOOKUP($AB71,AF$2:$AI$52,8-AF$1/10,FALSE)</f>
        <v>#N/A</v>
      </c>
      <c r="AG71" s="18" t="e">
        <f>VLOOKUP($AB71,AG$2:$AI$52,8-AG$1/10,FALSE)</f>
        <v>#N/A</v>
      </c>
      <c r="AH71" s="18" t="e">
        <f>VLOOKUP($AB71,AH$2:$AI$52,8-AH$1/10,FALSE)</f>
        <v>#N/A</v>
      </c>
      <c r="AI71" s="18" t="str">
        <f t="shared" si="12"/>
        <v>Phoenix</v>
      </c>
    </row>
    <row r="72" spans="11:35">
      <c r="K72" s="28" t="str">
        <f t="shared" si="11"/>
        <v>Honolulu</v>
      </c>
      <c r="L72" s="28">
        <f>L18/'Summary-2000'!L18*100</f>
        <v>4.8283566487029628</v>
      </c>
      <c r="M72" s="28">
        <f>Z18/'Summary-2010'!Y18*100</f>
        <v>-3.2012815857380645</v>
      </c>
      <c r="N72" s="28">
        <f>N18/'Summary-2000'!M18*100</f>
        <v>-19.861452504424363</v>
      </c>
      <c r="O72" s="28">
        <f>O18/'Summary-2000'!N18*100</f>
        <v>20.356719259009463</v>
      </c>
      <c r="P72" s="28" t="e">
        <f>P18/'Summary-2000'!O18*100</f>
        <v>#DIV/0!</v>
      </c>
      <c r="Q72" s="28" t="e">
        <f>Q18/'Summary-2000'!P18*100</f>
        <v>#DIV/0!</v>
      </c>
      <c r="R72" s="28" t="e">
        <f>R18/'Summary-2000'!Q18*100</f>
        <v>#DIV/0!</v>
      </c>
      <c r="S72" s="28" t="e">
        <f>S18/'Summary-2000'!R18*100</f>
        <v>#DIV/0!</v>
      </c>
      <c r="T72" s="28" t="e">
        <f>T18/'Summary-2000'!S18*100</f>
        <v>#DIV/0!</v>
      </c>
      <c r="U72" s="28" t="e">
        <f>U18/'Summary-2000'!T18*100</f>
        <v>#DIV/0!</v>
      </c>
      <c r="V72" s="28" t="e">
        <f>V18/'Summary-2000'!U18*100</f>
        <v>#DIV/0!</v>
      </c>
      <c r="AA72" s="18" t="str">
        <f>VLOOKUP($AB72,AA$2:$AB$52,2,FALSE)</f>
        <v>San Francisco</v>
      </c>
      <c r="AB72" s="18">
        <f t="shared" si="13"/>
        <v>17</v>
      </c>
      <c r="AC72" s="18" t="str">
        <f>VLOOKUP($AB72,AC$2:$AI$52,8-AC$1/10,FALSE)</f>
        <v>Salt Lake City</v>
      </c>
      <c r="AD72" s="18" t="str">
        <f>VLOOKUP($AB72,AD$2:$AI$52,8-AD$1/10,FALSE)</f>
        <v>Louisville</v>
      </c>
      <c r="AE72" s="18" t="str">
        <f>VLOOKUP($AB72,AE$2:$AI$52,8-AE$1/10,FALSE)</f>
        <v>Oklahoma City</v>
      </c>
      <c r="AF72" s="18" t="e">
        <f>VLOOKUP($AB72,AF$2:$AI$52,8-AF$1/10,FALSE)</f>
        <v>#N/A</v>
      </c>
      <c r="AG72" s="18" t="e">
        <f>VLOOKUP($AB72,AG$2:$AI$52,8-AG$1/10,FALSE)</f>
        <v>#N/A</v>
      </c>
      <c r="AH72" s="18" t="e">
        <f>VLOOKUP($AB72,AH$2:$AI$52,8-AH$1/10,FALSE)</f>
        <v>#N/A</v>
      </c>
      <c r="AI72" s="18" t="str">
        <f t="shared" si="12"/>
        <v>San Francisco</v>
      </c>
    </row>
    <row r="73" spans="11:35">
      <c r="K73" s="28" t="str">
        <f t="shared" si="11"/>
        <v>Houston</v>
      </c>
      <c r="L73" s="28">
        <f>L19/'Summary-2000'!L19*100</f>
        <v>16.345365919367367</v>
      </c>
      <c r="M73" s="28">
        <f>Z19/'Summary-2010'!Y19*100</f>
        <v>26.536671558210244</v>
      </c>
      <c r="N73" s="28">
        <f>N19/'Summary-2000'!M19*100</f>
        <v>31.679855995378709</v>
      </c>
      <c r="O73" s="28">
        <f>O19/'Summary-2000'!N19*100</f>
        <v>47.659517382343353</v>
      </c>
      <c r="P73" s="28">
        <f>P19/'Summary-2000'!O19*100</f>
        <v>43.740520439544184</v>
      </c>
      <c r="Q73" s="28">
        <f>Q19/'Summary-2000'!P19*100</f>
        <v>43.845663290718996</v>
      </c>
      <c r="R73" s="28">
        <f>R19/'Summary-2000'!Q19*100</f>
        <v>-50.698869283544624</v>
      </c>
      <c r="S73" s="28" t="e">
        <f>S19/'Summary-2000'!R19*100</f>
        <v>#DIV/0!</v>
      </c>
      <c r="T73" s="28" t="e">
        <f>T19/'Summary-2000'!S19*100</f>
        <v>#DIV/0!</v>
      </c>
      <c r="U73" s="28" t="e">
        <f>U19/'Summary-2000'!T19*100</f>
        <v>#DIV/0!</v>
      </c>
      <c r="V73" s="28" t="e">
        <f>V19/'Summary-2000'!U19*100</f>
        <v>#DIV/0!</v>
      </c>
      <c r="AA73" s="18" t="str">
        <f>VLOOKUP($AB73,AA$2:$AB$52,2,FALSE)</f>
        <v>Atlanta</v>
      </c>
      <c r="AB73" s="18">
        <f t="shared" si="13"/>
        <v>18</v>
      </c>
      <c r="AC73" s="18" t="str">
        <f>VLOOKUP($AB73,AC$2:$AI$52,8-AC$1/10,FALSE)</f>
        <v>Phoenix</v>
      </c>
      <c r="AD73" s="18" t="str">
        <f>VLOOKUP($AB73,AD$2:$AI$52,8-AD$1/10,FALSE)</f>
        <v>Baltimore</v>
      </c>
      <c r="AE73" s="18" t="str">
        <f>VLOOKUP($AB73,AE$2:$AI$52,8-AE$1/10,FALSE)</f>
        <v>Miami</v>
      </c>
      <c r="AF73" s="18" t="e">
        <f>VLOOKUP($AB73,AF$2:$AI$52,8-AF$1/10,FALSE)</f>
        <v>#N/A</v>
      </c>
      <c r="AG73" s="18" t="e">
        <f>VLOOKUP($AB73,AG$2:$AI$52,8-AG$1/10,FALSE)</f>
        <v>#N/A</v>
      </c>
      <c r="AH73" s="18" t="e">
        <f>VLOOKUP($AB73,AH$2:$AI$52,8-AH$1/10,FALSE)</f>
        <v>#N/A</v>
      </c>
      <c r="AI73" s="18" t="str">
        <f t="shared" si="12"/>
        <v>Atlanta</v>
      </c>
    </row>
    <row r="74" spans="11:35">
      <c r="K74" s="28" t="str">
        <f t="shared" si="11"/>
        <v>Indianapolis</v>
      </c>
      <c r="L74" s="28">
        <f>L20/'Summary-2000'!L20*100</f>
        <v>-8.672284609663599</v>
      </c>
      <c r="M74" s="28">
        <f>Z20/'Summary-2010'!Y20*100</f>
        <v>-3.8381756294356353</v>
      </c>
      <c r="N74" s="28">
        <f>N20/'Summary-2000'!M20*100</f>
        <v>1.47099240896436</v>
      </c>
      <c r="O74" s="28">
        <f>O20/'Summary-2000'!N20*100</f>
        <v>2.233393225469817</v>
      </c>
      <c r="P74" s="28">
        <f>P20/'Summary-2000'!O20*100</f>
        <v>-14.326520784369462</v>
      </c>
      <c r="Q74" s="28">
        <f>Q20/'Summary-2000'!P20*100</f>
        <v>-100</v>
      </c>
      <c r="R74" s="28" t="e">
        <f>R20/'Summary-2000'!Q20*100</f>
        <v>#DIV/0!</v>
      </c>
      <c r="S74" s="28" t="e">
        <f>S20/'Summary-2000'!R20*100</f>
        <v>#DIV/0!</v>
      </c>
      <c r="T74" s="28" t="e">
        <f>T20/'Summary-2000'!S20*100</f>
        <v>#DIV/0!</v>
      </c>
      <c r="U74" s="28" t="e">
        <f>U20/'Summary-2000'!T20*100</f>
        <v>#DIV/0!</v>
      </c>
      <c r="V74" s="28" t="e">
        <f>V20/'Summary-2000'!U20*100</f>
        <v>#DIV/0!</v>
      </c>
      <c r="AA74" s="18" t="str">
        <f>VLOOKUP($AB74,AA$2:$AB$52,2,FALSE)</f>
        <v>San Antonio</v>
      </c>
      <c r="AB74" s="18">
        <f t="shared" si="13"/>
        <v>19</v>
      </c>
      <c r="AC74" s="18" t="str">
        <f>VLOOKUP($AB74,AC$2:$AI$52,8-AC$1/10,FALSE)</f>
        <v>Louisville</v>
      </c>
      <c r="AD74" s="18" t="str">
        <f>VLOOKUP($AB74,AD$2:$AI$52,8-AD$1/10,FALSE)</f>
        <v>Las Vegas</v>
      </c>
      <c r="AE74" s="18" t="str">
        <f>VLOOKUP($AB74,AE$2:$AI$52,8-AE$1/10,FALSE)</f>
        <v>San Antonio</v>
      </c>
      <c r="AF74" s="18" t="e">
        <f>VLOOKUP($AB74,AF$2:$AI$52,8-AF$1/10,FALSE)</f>
        <v>#N/A</v>
      </c>
      <c r="AG74" s="18" t="e">
        <f>VLOOKUP($AB74,AG$2:$AI$52,8-AG$1/10,FALSE)</f>
        <v>#N/A</v>
      </c>
      <c r="AH74" s="18" t="e">
        <f>VLOOKUP($AB74,AH$2:$AI$52,8-AH$1/10,FALSE)</f>
        <v>#N/A</v>
      </c>
      <c r="AI74" s="18" t="str">
        <f t="shared" si="12"/>
        <v>San Antonio</v>
      </c>
    </row>
    <row r="75" spans="11:35">
      <c r="K75" s="28" t="str">
        <f t="shared" si="11"/>
        <v>Riverside</v>
      </c>
      <c r="L75" s="28">
        <f>L21/'Summary-2000'!L21*100</f>
        <v>9.0974773674182021</v>
      </c>
      <c r="M75" s="28">
        <f>Z21/'Summary-2010'!Y21*100</f>
        <v>19.348216386175945</v>
      </c>
      <c r="N75" s="28">
        <f>N21/'Summary-2000'!M21*100</f>
        <v>35.564694188026607</v>
      </c>
      <c r="O75" s="28">
        <f>O21/'Summary-2000'!N21*100</f>
        <v>41.587508596629931</v>
      </c>
      <c r="P75" s="28">
        <f>P21/'Summary-2000'!O21*100</f>
        <v>-26.75698744285458</v>
      </c>
      <c r="Q75" s="28" t="e">
        <f>Q21/'Summary-2000'!P21*100</f>
        <v>#DIV/0!</v>
      </c>
      <c r="R75" s="28" t="e">
        <f>R21/'Summary-2000'!Q21*100</f>
        <v>#DIV/0!</v>
      </c>
      <c r="S75" s="28" t="e">
        <f>S21/'Summary-2000'!R21*100</f>
        <v>#DIV/0!</v>
      </c>
      <c r="T75" s="28" t="e">
        <f>T21/'Summary-2000'!S21*100</f>
        <v>#DIV/0!</v>
      </c>
      <c r="U75" s="28" t="e">
        <f>U21/'Summary-2000'!T21*100</f>
        <v>#DIV/0!</v>
      </c>
      <c r="V75" s="28" t="e">
        <f>V21/'Summary-2000'!U21*100</f>
        <v>#DIV/0!</v>
      </c>
      <c r="AA75" s="18" t="str">
        <f>VLOOKUP($AB75,AA$2:$AB$52,2,FALSE)</f>
        <v>Baltimore</v>
      </c>
      <c r="AB75" s="18">
        <f t="shared" si="13"/>
        <v>20</v>
      </c>
      <c r="AC75" s="18" t="str">
        <f>VLOOKUP($AB75,AC$2:$AI$52,8-AC$1/10,FALSE)</f>
        <v>Las Vegas</v>
      </c>
      <c r="AD75" s="18" t="str">
        <f>VLOOKUP($AB75,AD$2:$AI$52,8-AD$1/10,FALSE)</f>
        <v>Phoenix</v>
      </c>
      <c r="AE75" s="18" t="str">
        <f>VLOOKUP($AB75,AE$2:$AI$52,8-AE$1/10,FALSE)</f>
        <v>Austin</v>
      </c>
      <c r="AF75" s="18" t="e">
        <f>VLOOKUP($AB75,AF$2:$AI$52,8-AF$1/10,FALSE)</f>
        <v>#N/A</v>
      </c>
      <c r="AG75" s="18" t="e">
        <f>VLOOKUP($AB75,AG$2:$AI$52,8-AG$1/10,FALSE)</f>
        <v>#N/A</v>
      </c>
      <c r="AH75" s="18" t="e">
        <f>VLOOKUP($AB75,AH$2:$AI$52,8-AH$1/10,FALSE)</f>
        <v>#N/A</v>
      </c>
      <c r="AI75" s="18" t="str">
        <f t="shared" si="12"/>
        <v>Baltimore</v>
      </c>
    </row>
    <row r="76" spans="11:35">
      <c r="K76" s="28" t="str">
        <f t="shared" si="11"/>
        <v>Jacksonville</v>
      </c>
      <c r="L76" s="28">
        <f>L22/'Summary-2000'!L22*100</f>
        <v>73.089338184275462</v>
      </c>
      <c r="M76" s="28">
        <f>Z22/'Summary-2010'!Y22*100</f>
        <v>49.709381084902269</v>
      </c>
      <c r="N76" s="28">
        <f>N22/'Summary-2000'!M22*100</f>
        <v>125.31761070241929</v>
      </c>
      <c r="O76" s="28">
        <f>O22/'Summary-2000'!N22*100</f>
        <v>127.32794118528304</v>
      </c>
      <c r="P76" s="28">
        <f>P22/'Summary-2000'!O22*100</f>
        <v>19.882643555192566</v>
      </c>
      <c r="Q76" s="28" t="e">
        <f>Q22/'Summary-2000'!P22*100</f>
        <v>#DIV/0!</v>
      </c>
      <c r="R76" s="28" t="e">
        <f>R22/'Summary-2000'!Q22*100</f>
        <v>#DIV/0!</v>
      </c>
      <c r="S76" s="28" t="e">
        <f>S22/'Summary-2000'!R22*100</f>
        <v>#DIV/0!</v>
      </c>
      <c r="T76" s="28" t="e">
        <f>T22/'Summary-2000'!S22*100</f>
        <v>#DIV/0!</v>
      </c>
      <c r="U76" s="28" t="e">
        <f>U22/'Summary-2000'!T22*100</f>
        <v>#DIV/0!</v>
      </c>
      <c r="V76" s="28" t="e">
        <f>V22/'Summary-2000'!U22*100</f>
        <v>#DIV/0!</v>
      </c>
      <c r="AA76" s="18" t="str">
        <f>VLOOKUP($AB76,AA$2:$AB$52,2,FALSE)</f>
        <v>Las Vegas</v>
      </c>
      <c r="AB76" s="18">
        <f t="shared" si="13"/>
        <v>21</v>
      </c>
      <c r="AC76" s="18" t="str">
        <f>VLOOKUP($AB76,AC$2:$AI$52,8-AC$1/10,FALSE)</f>
        <v>Baltimore</v>
      </c>
      <c r="AD76" s="18" t="str">
        <f>VLOOKUP($AB76,AD$2:$AI$52,8-AD$1/10,FALSE)</f>
        <v>Honolulu</v>
      </c>
      <c r="AE76" s="18" t="str">
        <f>VLOOKUP($AB76,AE$2:$AI$52,8-AE$1/10,FALSE)</f>
        <v>Providence</v>
      </c>
      <c r="AF76" s="18" t="e">
        <f>VLOOKUP($AB76,AF$2:$AI$52,8-AF$1/10,FALSE)</f>
        <v>#N/A</v>
      </c>
      <c r="AG76" s="18" t="e">
        <f>VLOOKUP($AB76,AG$2:$AI$52,8-AG$1/10,FALSE)</f>
        <v>#N/A</v>
      </c>
      <c r="AH76" s="18" t="e">
        <f>VLOOKUP($AB76,AH$2:$AI$52,8-AH$1/10,FALSE)</f>
        <v>#N/A</v>
      </c>
      <c r="AI76" s="18" t="str">
        <f t="shared" si="12"/>
        <v>Las Vegas</v>
      </c>
    </row>
    <row r="77" spans="11:35">
      <c r="K77" s="28" t="str">
        <f t="shared" si="11"/>
        <v>Kansas City</v>
      </c>
      <c r="L77" s="28">
        <f>L23/'Summary-2000'!L23*100</f>
        <v>4.1737154088120887</v>
      </c>
      <c r="M77" s="28">
        <f>Z23/'Summary-2010'!Y23*100</f>
        <v>3.9641065203313</v>
      </c>
      <c r="N77" s="28">
        <f>N23/'Summary-2000'!M23*100</f>
        <v>2.8122477223365481</v>
      </c>
      <c r="O77" s="28">
        <f>O23/'Summary-2000'!N23*100</f>
        <v>5.3512121725628328</v>
      </c>
      <c r="P77" s="28">
        <f>P23/'Summary-2000'!O23*100</f>
        <v>3.4988596746231102</v>
      </c>
      <c r="Q77" s="28" t="e">
        <f>Q23/'Summary-2000'!P23*100</f>
        <v>#DIV/0!</v>
      </c>
      <c r="R77" s="28" t="e">
        <f>R23/'Summary-2000'!Q23*100</f>
        <v>#DIV/0!</v>
      </c>
      <c r="S77" s="28" t="e">
        <f>S23/'Summary-2000'!R23*100</f>
        <v>#DIV/0!</v>
      </c>
      <c r="T77" s="28" t="e">
        <f>T23/'Summary-2000'!S23*100</f>
        <v>#DIV/0!</v>
      </c>
      <c r="U77" s="28" t="e">
        <f>U23/'Summary-2000'!T23*100</f>
        <v>#DIV/0!</v>
      </c>
      <c r="V77" s="28" t="e">
        <f>V23/'Summary-2000'!U23*100</f>
        <v>#DIV/0!</v>
      </c>
      <c r="AA77" s="18" t="str">
        <f>VLOOKUP($AB77,AA$2:$AB$52,2,FALSE)</f>
        <v>Milwaukee</v>
      </c>
      <c r="AB77" s="18">
        <f t="shared" si="13"/>
        <v>22</v>
      </c>
      <c r="AC77" s="18" t="str">
        <f>VLOOKUP($AB77,AC$2:$AI$52,8-AC$1/10,FALSE)</f>
        <v>San Antonio</v>
      </c>
      <c r="AD77" s="18" t="str">
        <f>VLOOKUP($AB77,AD$2:$AI$52,8-AD$1/10,FALSE)</f>
        <v>San Antonio</v>
      </c>
      <c r="AE77" s="18" t="str">
        <f>VLOOKUP($AB77,AE$2:$AI$52,8-AE$1/10,FALSE)</f>
        <v>Portland</v>
      </c>
      <c r="AF77" s="18" t="e">
        <f>VLOOKUP($AB77,AF$2:$AI$52,8-AF$1/10,FALSE)</f>
        <v>#N/A</v>
      </c>
      <c r="AG77" s="18" t="e">
        <f>VLOOKUP($AB77,AG$2:$AI$52,8-AG$1/10,FALSE)</f>
        <v>#N/A</v>
      </c>
      <c r="AH77" s="18" t="e">
        <f>VLOOKUP($AB77,AH$2:$AI$52,8-AH$1/10,FALSE)</f>
        <v>#N/A</v>
      </c>
      <c r="AI77" s="18" t="str">
        <f t="shared" si="12"/>
        <v>Milwaukee</v>
      </c>
    </row>
    <row r="78" spans="11:35">
      <c r="K78" s="28" t="str">
        <f t="shared" si="11"/>
        <v>Las Vegas</v>
      </c>
      <c r="L78" s="28">
        <f>L24/'Summary-2000'!L24*100</f>
        <v>5.7816885733529473</v>
      </c>
      <c r="M78" s="28">
        <f>Z24/'Summary-2010'!Y24*100</f>
        <v>8.4187297984339864</v>
      </c>
      <c r="N78" s="28">
        <f>N24/'Summary-2000'!M24*100</f>
        <v>11.20488598285988</v>
      </c>
      <c r="O78" s="28">
        <f>O24/'Summary-2000'!N24*100</f>
        <v>12.485707620641668</v>
      </c>
      <c r="P78" s="28">
        <f>P24/'Summary-2000'!O24*100</f>
        <v>-7.7976990366574146</v>
      </c>
      <c r="Q78" s="28" t="e">
        <f>Q24/'Summary-2000'!P24*100</f>
        <v>#DIV/0!</v>
      </c>
      <c r="R78" s="28" t="e">
        <f>R24/'Summary-2000'!Q24*100</f>
        <v>#DIV/0!</v>
      </c>
      <c r="S78" s="28" t="e">
        <f>S24/'Summary-2000'!R24*100</f>
        <v>#DIV/0!</v>
      </c>
      <c r="T78" s="28" t="e">
        <f>T24/'Summary-2000'!S24*100</f>
        <v>#DIV/0!</v>
      </c>
      <c r="U78" s="28" t="e">
        <f>U24/'Summary-2000'!T24*100</f>
        <v>#DIV/0!</v>
      </c>
      <c r="V78" s="28" t="e">
        <f>V24/'Summary-2000'!U24*100</f>
        <v>#DIV/0!</v>
      </c>
      <c r="AA78" s="18" t="str">
        <f>VLOOKUP($AB78,AA$2:$AB$52,2,FALSE)</f>
        <v>Louisville</v>
      </c>
      <c r="AB78" s="18">
        <f t="shared" si="13"/>
        <v>23</v>
      </c>
      <c r="AC78" s="18" t="str">
        <f>VLOOKUP($AB78,AC$2:$AI$52,8-AC$1/10,FALSE)</f>
        <v>Detroit</v>
      </c>
      <c r="AD78" s="18" t="str">
        <f>VLOOKUP($AB78,AD$2:$AI$52,8-AD$1/10,FALSE)</f>
        <v>Detroit</v>
      </c>
      <c r="AE78" s="18" t="str">
        <f>VLOOKUP($AB78,AE$2:$AI$52,8-AE$1/10,FALSE)</f>
        <v>Charlotte</v>
      </c>
      <c r="AF78" s="18" t="e">
        <f>VLOOKUP($AB78,AF$2:$AI$52,8-AF$1/10,FALSE)</f>
        <v>#N/A</v>
      </c>
      <c r="AG78" s="18" t="e">
        <f>VLOOKUP($AB78,AG$2:$AI$52,8-AG$1/10,FALSE)</f>
        <v>#N/A</v>
      </c>
      <c r="AH78" s="18" t="e">
        <f>VLOOKUP($AB78,AH$2:$AI$52,8-AH$1/10,FALSE)</f>
        <v>#N/A</v>
      </c>
      <c r="AI78" s="18" t="str">
        <f t="shared" si="12"/>
        <v>Louisville</v>
      </c>
    </row>
    <row r="79" spans="11:35">
      <c r="K79" s="28" t="str">
        <f t="shared" si="11"/>
        <v>Los Angeles</v>
      </c>
      <c r="L79" s="28">
        <f>L25/'Summary-2000'!L25*100</f>
        <v>-8.4260392282380518</v>
      </c>
      <c r="M79" s="28">
        <f>Z25/'Summary-2010'!Y25*100</f>
        <v>35.810727688158735</v>
      </c>
      <c r="N79" s="28">
        <f>N25/'Summary-2000'!M25*100</f>
        <v>67.939652848696568</v>
      </c>
      <c r="O79" s="28">
        <f>O25/'Summary-2000'!N25*100</f>
        <v>78.831226884351523</v>
      </c>
      <c r="P79" s="28">
        <f>P25/'Summary-2000'!O25*100</f>
        <v>74.035814444010654</v>
      </c>
      <c r="Q79" s="28">
        <f>Q25/'Summary-2000'!P25*100</f>
        <v>75.686390053104958</v>
      </c>
      <c r="R79" s="28">
        <f>R25/'Summary-2000'!Q25*100</f>
        <v>-74.079323685737634</v>
      </c>
      <c r="S79" s="28">
        <f>S25/'Summary-2000'!R25*100</f>
        <v>-100</v>
      </c>
      <c r="T79" s="28" t="e">
        <f>T25/'Summary-2000'!S25*100</f>
        <v>#DIV/0!</v>
      </c>
      <c r="U79" s="28" t="e">
        <f>U25/'Summary-2000'!T25*100</f>
        <v>#DIV/0!</v>
      </c>
      <c r="V79" s="28" t="e">
        <f>V25/'Summary-2000'!U25*100</f>
        <v>#DIV/0!</v>
      </c>
      <c r="AA79" s="18" t="str">
        <f>VLOOKUP($AB79,AA$2:$AB$52,2,FALSE)</f>
        <v>Austin</v>
      </c>
      <c r="AB79" s="18">
        <f t="shared" si="13"/>
        <v>24</v>
      </c>
      <c r="AC79" s="18" t="str">
        <f>VLOOKUP($AB79,AC$2:$AI$52,8-AC$1/10,FALSE)</f>
        <v>Miami</v>
      </c>
      <c r="AD79" s="18" t="str">
        <f>VLOOKUP($AB79,AD$2:$AI$52,8-AD$1/10,FALSE)</f>
        <v>Salt Lake City</v>
      </c>
      <c r="AE79" s="18" t="str">
        <f>VLOOKUP($AB79,AE$2:$AI$52,8-AE$1/10,FALSE)</f>
        <v>Philadelphia</v>
      </c>
      <c r="AF79" s="18" t="e">
        <f>VLOOKUP($AB79,AF$2:$AI$52,8-AF$1/10,FALSE)</f>
        <v>#N/A</v>
      </c>
      <c r="AG79" s="18" t="e">
        <f>VLOOKUP($AB79,AG$2:$AI$52,8-AG$1/10,FALSE)</f>
        <v>#N/A</v>
      </c>
      <c r="AH79" s="18" t="e">
        <f>VLOOKUP($AB79,AH$2:$AI$52,8-AH$1/10,FALSE)</f>
        <v>#N/A</v>
      </c>
      <c r="AI79" s="18" t="str">
        <f t="shared" si="12"/>
        <v>Austin</v>
      </c>
    </row>
    <row r="80" spans="11:35">
      <c r="K80" s="28" t="str">
        <f t="shared" si="11"/>
        <v>Louisville</v>
      </c>
      <c r="L80" s="28">
        <f>L26/'Summary-2000'!L26*100</f>
        <v>-0.19863378712271693</v>
      </c>
      <c r="M80" s="28">
        <f>Z26/'Summary-2010'!Y26*100</f>
        <v>9.5042276918868769</v>
      </c>
      <c r="N80" s="28">
        <f>N26/'Summary-2000'!M26*100</f>
        <v>17.865455728157972</v>
      </c>
      <c r="O80" s="28">
        <f>O26/'Summary-2000'!N26*100</f>
        <v>21.573990875526182</v>
      </c>
      <c r="P80" s="28">
        <f>P26/'Summary-2000'!O26*100</f>
        <v>-34.618852602456499</v>
      </c>
      <c r="Q80" s="28" t="e">
        <f>Q26/'Summary-2000'!P26*100</f>
        <v>#DIV/0!</v>
      </c>
      <c r="R80" s="28" t="e">
        <f>R26/'Summary-2000'!Q26*100</f>
        <v>#DIV/0!</v>
      </c>
      <c r="S80" s="28" t="e">
        <f>S26/'Summary-2000'!R26*100</f>
        <v>#DIV/0!</v>
      </c>
      <c r="T80" s="28" t="e">
        <f>T26/'Summary-2000'!S26*100</f>
        <v>#DIV/0!</v>
      </c>
      <c r="U80" s="28" t="e">
        <f>U26/'Summary-2000'!T26*100</f>
        <v>#DIV/0!</v>
      </c>
      <c r="V80" s="28" t="e">
        <f>V26/'Summary-2000'!U26*100</f>
        <v>#DIV/0!</v>
      </c>
      <c r="AA80" s="18" t="str">
        <f>VLOOKUP($AB80,AA$2:$AB$52,2,FALSE)</f>
        <v>Philadelphia</v>
      </c>
      <c r="AB80" s="18">
        <f t="shared" si="13"/>
        <v>25</v>
      </c>
      <c r="AC80" s="18" t="str">
        <f>VLOOKUP($AB80,AC$2:$AI$52,8-AC$1/10,FALSE)</f>
        <v>Atlanta</v>
      </c>
      <c r="AD80" s="18" t="str">
        <f>VLOOKUP($AB80,AD$2:$AI$52,8-AD$1/10,FALSE)</f>
        <v>Austin</v>
      </c>
      <c r="AE80" s="18" t="str">
        <f>VLOOKUP($AB80,AE$2:$AI$52,8-AE$1/10,FALSE)</f>
        <v>Kansas City</v>
      </c>
      <c r="AF80" s="18" t="e">
        <f>VLOOKUP($AB80,AF$2:$AI$52,8-AF$1/10,FALSE)</f>
        <v>#N/A</v>
      </c>
      <c r="AG80" s="18" t="e">
        <f>VLOOKUP($AB80,AG$2:$AI$52,8-AG$1/10,FALSE)</f>
        <v>#N/A</v>
      </c>
      <c r="AH80" s="18" t="e">
        <f>VLOOKUP($AB80,AH$2:$AI$52,8-AH$1/10,FALSE)</f>
        <v>#N/A</v>
      </c>
      <c r="AI80" s="18" t="str">
        <f t="shared" si="12"/>
        <v>Philadelphia</v>
      </c>
    </row>
    <row r="81" spans="11:35">
      <c r="K81" s="28" t="str">
        <f t="shared" si="11"/>
        <v>Memphis</v>
      </c>
      <c r="L81" s="28">
        <f>L27/'Summary-2000'!L27*100</f>
        <v>-5.2654493493541894</v>
      </c>
      <c r="M81" s="28">
        <f>Z27/'Summary-2010'!Y27*100</f>
        <v>-8.9763737881045524E-2</v>
      </c>
      <c r="N81" s="28">
        <f>N27/'Summary-2000'!M27*100</f>
        <v>2.7689101498344302</v>
      </c>
      <c r="O81" s="28">
        <f>O27/'Summary-2000'!N27*100</f>
        <v>6.2056235212984774</v>
      </c>
      <c r="P81" s="28">
        <f>P27/'Summary-2000'!O27*100</f>
        <v>-21.584546688325549</v>
      </c>
      <c r="Q81" s="28" t="e">
        <f>Q27/'Summary-2000'!P27*100</f>
        <v>#DIV/0!</v>
      </c>
      <c r="R81" s="28" t="e">
        <f>R27/'Summary-2000'!Q27*100</f>
        <v>#DIV/0!</v>
      </c>
      <c r="S81" s="28" t="e">
        <f>S27/'Summary-2000'!R27*100</f>
        <v>#DIV/0!</v>
      </c>
      <c r="T81" s="28" t="e">
        <f>T27/'Summary-2000'!S27*100</f>
        <v>#DIV/0!</v>
      </c>
      <c r="U81" s="28" t="e">
        <f>U27/'Summary-2000'!T27*100</f>
        <v>#DIV/0!</v>
      </c>
      <c r="V81" s="28" t="e">
        <f>V27/'Summary-2000'!U27*100</f>
        <v>#DIV/0!</v>
      </c>
      <c r="AA81" s="18" t="str">
        <f>VLOOKUP($AB81,AA$2:$AB$52,2,FALSE)</f>
        <v>Kansas City</v>
      </c>
      <c r="AB81" s="18">
        <f t="shared" si="13"/>
        <v>26</v>
      </c>
      <c r="AC81" s="18" t="str">
        <f>VLOOKUP($AB81,AC$2:$AI$52,8-AC$1/10,FALSE)</f>
        <v>Philadelphia</v>
      </c>
      <c r="AD81" s="18" t="str">
        <f>VLOOKUP($AB81,AD$2:$AI$52,8-AD$1/10,FALSE)</f>
        <v>Atlanta</v>
      </c>
      <c r="AE81" s="18" t="str">
        <f>VLOOKUP($AB81,AE$2:$AI$52,8-AE$1/10,FALSE)</f>
        <v>Dallas-Fort Worth</v>
      </c>
      <c r="AF81" s="18" t="e">
        <f>VLOOKUP($AB81,AF$2:$AI$52,8-AF$1/10,FALSE)</f>
        <v>#N/A</v>
      </c>
      <c r="AG81" s="18" t="e">
        <f>VLOOKUP($AB81,AG$2:$AI$52,8-AG$1/10,FALSE)</f>
        <v>#N/A</v>
      </c>
      <c r="AH81" s="18" t="e">
        <f>VLOOKUP($AB81,AH$2:$AI$52,8-AH$1/10,FALSE)</f>
        <v>#N/A</v>
      </c>
      <c r="AI81" s="18" t="str">
        <f t="shared" si="12"/>
        <v>Kansas City</v>
      </c>
    </row>
    <row r="82" spans="11:35">
      <c r="K82" s="28" t="str">
        <f t="shared" si="11"/>
        <v>Milwaukee</v>
      </c>
      <c r="L82" s="28">
        <f>L28/'Summary-2000'!L28*100</f>
        <v>-5.6782709706472385</v>
      </c>
      <c r="M82" s="28">
        <f>Z28/'Summary-2010'!Y28*100</f>
        <v>6.7988240700130751</v>
      </c>
      <c r="N82" s="28">
        <f>N28/'Summary-2000'!M28*100</f>
        <v>19.297717068157652</v>
      </c>
      <c r="O82" s="28">
        <f>O28/'Summary-2000'!N28*100</f>
        <v>18.891425715993236</v>
      </c>
      <c r="P82" s="28">
        <f>P28/'Summary-2000'!O28*100</f>
        <v>-41.714762813357005</v>
      </c>
      <c r="Q82" s="28" t="e">
        <f>Q28/'Summary-2000'!P28*100</f>
        <v>#DIV/0!</v>
      </c>
      <c r="R82" s="28" t="e">
        <f>R28/'Summary-2000'!Q28*100</f>
        <v>#DIV/0!</v>
      </c>
      <c r="S82" s="28" t="e">
        <f>S28/'Summary-2000'!R28*100</f>
        <v>#DIV/0!</v>
      </c>
      <c r="T82" s="28" t="e">
        <f>T28/'Summary-2000'!S28*100</f>
        <v>#DIV/0!</v>
      </c>
      <c r="U82" s="28" t="e">
        <f>U28/'Summary-2000'!T28*100</f>
        <v>#DIV/0!</v>
      </c>
      <c r="V82" s="28" t="e">
        <f>V28/'Summary-2000'!U28*100</f>
        <v>#DIV/0!</v>
      </c>
      <c r="AA82" s="18" t="str">
        <f>VLOOKUP($AB82,AA$2:$AB$52,2,FALSE)</f>
        <v>Portland</v>
      </c>
      <c r="AB82" s="18">
        <f t="shared" si="13"/>
        <v>27</v>
      </c>
      <c r="AC82" s="18" t="str">
        <f>VLOOKUP($AB82,AC$2:$AI$52,8-AC$1/10,FALSE)</f>
        <v>Kansas City</v>
      </c>
      <c r="AD82" s="18" t="str">
        <f>VLOOKUP($AB82,AD$2:$AI$52,8-AD$1/10,FALSE)</f>
        <v>Portland</v>
      </c>
      <c r="AE82" s="18" t="str">
        <f>VLOOKUP($AB82,AE$2:$AI$52,8-AE$1/10,FALSE)</f>
        <v>Denver</v>
      </c>
      <c r="AF82" s="18" t="e">
        <f>VLOOKUP($AB82,AF$2:$AI$52,8-AF$1/10,FALSE)</f>
        <v>#N/A</v>
      </c>
      <c r="AG82" s="18" t="e">
        <f>VLOOKUP($AB82,AG$2:$AI$52,8-AG$1/10,FALSE)</f>
        <v>#N/A</v>
      </c>
      <c r="AH82" s="18" t="e">
        <f>VLOOKUP($AB82,AH$2:$AI$52,8-AH$1/10,FALSE)</f>
        <v>#N/A</v>
      </c>
      <c r="AI82" s="18" t="str">
        <f t="shared" si="12"/>
        <v>Portland</v>
      </c>
    </row>
    <row r="83" spans="11:35">
      <c r="K83" s="28" t="str">
        <f t="shared" si="11"/>
        <v>Minneapolis</v>
      </c>
      <c r="L83" s="28">
        <f>L29/'Summary-2000'!L29*100</f>
        <v>-4.2630957904235149</v>
      </c>
      <c r="M83" s="28">
        <f>Z29/'Summary-2010'!Y29*100</f>
        <v>20.914418430231528</v>
      </c>
      <c r="N83" s="28">
        <f>N29/'Summary-2000'!M29*100</f>
        <v>42.418396650898536</v>
      </c>
      <c r="O83" s="28">
        <f>O29/'Summary-2000'!N29*100</f>
        <v>42.451753050251227</v>
      </c>
      <c r="P83" s="28">
        <f>P29/'Summary-2000'!O29*100</f>
        <v>42.640011704623035</v>
      </c>
      <c r="Q83" s="28">
        <f>Q29/'Summary-2000'!P29*100</f>
        <v>-89.993623011405418</v>
      </c>
      <c r="R83" s="28" t="e">
        <f>R29/'Summary-2000'!Q29*100</f>
        <v>#DIV/0!</v>
      </c>
      <c r="S83" s="28" t="e">
        <f>S29/'Summary-2000'!R29*100</f>
        <v>#DIV/0!</v>
      </c>
      <c r="T83" s="28" t="e">
        <f>T29/'Summary-2000'!S29*100</f>
        <v>#DIV/0!</v>
      </c>
      <c r="U83" s="28" t="e">
        <f>U29/'Summary-2000'!T29*100</f>
        <v>#DIV/0!</v>
      </c>
      <c r="V83" s="28" t="e">
        <f>V29/'Summary-2000'!U29*100</f>
        <v>#DIV/0!</v>
      </c>
      <c r="AA83" s="18" t="str">
        <f>VLOOKUP($AB83,AA$2:$AB$52,2,FALSE)</f>
        <v>Detroit</v>
      </c>
      <c r="AB83" s="18">
        <f t="shared" si="13"/>
        <v>28</v>
      </c>
      <c r="AC83" s="18" t="str">
        <f>VLOOKUP($AB83,AC$2:$AI$52,8-AC$1/10,FALSE)</f>
        <v>Portland</v>
      </c>
      <c r="AD83" s="18" t="str">
        <f>VLOOKUP($AB83,AD$2:$AI$52,8-AD$1/10,FALSE)</f>
        <v>Miami</v>
      </c>
      <c r="AE83" s="18" t="str">
        <f>VLOOKUP($AB83,AE$2:$AI$52,8-AE$1/10,FALSE)</f>
        <v>Baltimore</v>
      </c>
      <c r="AF83" s="18" t="e">
        <f>VLOOKUP($AB83,AF$2:$AI$52,8-AF$1/10,FALSE)</f>
        <v>#N/A</v>
      </c>
      <c r="AG83" s="18" t="e">
        <f>VLOOKUP($AB83,AG$2:$AI$52,8-AG$1/10,FALSE)</f>
        <v>#N/A</v>
      </c>
      <c r="AH83" s="18" t="e">
        <f>VLOOKUP($AB83,AH$2:$AI$52,8-AH$1/10,FALSE)</f>
        <v>#N/A</v>
      </c>
      <c r="AI83" s="18" t="str">
        <f t="shared" si="12"/>
        <v>Detroit</v>
      </c>
    </row>
    <row r="84" spans="11:35">
      <c r="K84" s="28" t="str">
        <f t="shared" si="11"/>
        <v>Nashville</v>
      </c>
      <c r="L84" s="28">
        <f>L30/'Summary-2000'!L30*100</f>
        <v>2.861342340241853</v>
      </c>
      <c r="M84" s="28">
        <f>Z30/'Summary-2010'!Y30*100</f>
        <v>2.2140971131124934</v>
      </c>
      <c r="N84" s="28">
        <f>N30/'Summary-2000'!M30*100</f>
        <v>-0.85763693898649129</v>
      </c>
      <c r="O84" s="28">
        <f>O30/'Summary-2000'!N30*100</f>
        <v>4.2433084760458977</v>
      </c>
      <c r="P84" s="28">
        <f>P30/'Summary-2000'!O30*100</f>
        <v>2.6176999245643433</v>
      </c>
      <c r="Q84" s="28" t="e">
        <f>Q30/'Summary-2000'!P30*100</f>
        <v>#DIV/0!</v>
      </c>
      <c r="R84" s="28" t="e">
        <f>R30/'Summary-2000'!Q30*100</f>
        <v>#DIV/0!</v>
      </c>
      <c r="S84" s="28" t="e">
        <f>S30/'Summary-2000'!R30*100</f>
        <v>#DIV/0!</v>
      </c>
      <c r="T84" s="28" t="e">
        <f>T30/'Summary-2000'!S30*100</f>
        <v>#DIV/0!</v>
      </c>
      <c r="U84" s="28" t="e">
        <f>U30/'Summary-2000'!T30*100</f>
        <v>#DIV/0!</v>
      </c>
      <c r="V84" s="28" t="e">
        <f>V30/'Summary-2000'!U30*100</f>
        <v>#DIV/0!</v>
      </c>
      <c r="AA84" s="18" t="str">
        <f>VLOOKUP($AB84,AA$2:$AB$52,2,FALSE)</f>
        <v>Nashville</v>
      </c>
      <c r="AB84" s="18">
        <f t="shared" si="13"/>
        <v>29</v>
      </c>
      <c r="AC84" s="18" t="str">
        <f>VLOOKUP($AB84,AC$2:$AI$52,8-AC$1/10,FALSE)</f>
        <v>Memphis</v>
      </c>
      <c r="AD84" s="18" t="str">
        <f>VLOOKUP($AB84,AD$2:$AI$52,8-AD$1/10,FALSE)</f>
        <v>Philadelphia</v>
      </c>
      <c r="AE84" s="18" t="str">
        <f>VLOOKUP($AB84,AE$2:$AI$52,8-AE$1/10,FALSE)</f>
        <v>Cleveland</v>
      </c>
      <c r="AF84" s="18" t="e">
        <f>VLOOKUP($AB84,AF$2:$AI$52,8-AF$1/10,FALSE)</f>
        <v>#N/A</v>
      </c>
      <c r="AG84" s="18" t="e">
        <f>VLOOKUP($AB84,AG$2:$AI$52,8-AG$1/10,FALSE)</f>
        <v>#N/A</v>
      </c>
      <c r="AH84" s="18" t="e">
        <f>VLOOKUP($AB84,AH$2:$AI$52,8-AH$1/10,FALSE)</f>
        <v>#N/A</v>
      </c>
      <c r="AI84" s="18" t="str">
        <f t="shared" si="12"/>
        <v>Nashville</v>
      </c>
    </row>
    <row r="85" spans="11:35">
      <c r="K85" s="28" t="str">
        <f t="shared" si="11"/>
        <v>New Orleans</v>
      </c>
      <c r="L85" s="28">
        <f>L31/'Summary-2000'!L31*100</f>
        <v>-17.591518384960985</v>
      </c>
      <c r="M85" s="28">
        <f>Z31/'Summary-2010'!Y31*100</f>
        <v>-16.362833367109094</v>
      </c>
      <c r="N85" s="28">
        <f>N31/'Summary-2000'!M31*100</f>
        <v>-3.8292121912890913</v>
      </c>
      <c r="O85" s="28">
        <f>O31/'Summary-2000'!N31*100</f>
        <v>-22.982232937307081</v>
      </c>
      <c r="P85" s="28" t="e">
        <f>P31/'Summary-2000'!O31*100</f>
        <v>#DIV/0!</v>
      </c>
      <c r="Q85" s="28" t="e">
        <f>Q31/'Summary-2000'!P31*100</f>
        <v>#DIV/0!</v>
      </c>
      <c r="R85" s="28" t="e">
        <f>R31/'Summary-2000'!Q31*100</f>
        <v>#DIV/0!</v>
      </c>
      <c r="S85" s="28" t="e">
        <f>S31/'Summary-2000'!R31*100</f>
        <v>#DIV/0!</v>
      </c>
      <c r="T85" s="28" t="e">
        <f>T31/'Summary-2000'!S31*100</f>
        <v>#DIV/0!</v>
      </c>
      <c r="U85" s="28" t="e">
        <f>U31/'Summary-2000'!T31*100</f>
        <v>#DIV/0!</v>
      </c>
      <c r="V85" s="28" t="e">
        <f>V31/'Summary-2000'!U31*100</f>
        <v>#DIV/0!</v>
      </c>
      <c r="AA85" s="18" t="str">
        <f>VLOOKUP($AB85,AA$2:$AB$52,2,FALSE)</f>
        <v>Salt Lake City</v>
      </c>
      <c r="AB85" s="18">
        <f t="shared" si="13"/>
        <v>30</v>
      </c>
      <c r="AC85" s="18" t="str">
        <f>VLOOKUP($AB85,AC$2:$AI$52,8-AC$1/10,FALSE)</f>
        <v>Indianapolis</v>
      </c>
      <c r="AD85" s="18" t="str">
        <f>VLOOKUP($AB85,AD$2:$AI$52,8-AD$1/10,FALSE)</f>
        <v>Kansas City</v>
      </c>
      <c r="AE85" s="18" t="str">
        <f>VLOOKUP($AB85,AE$2:$AI$52,8-AE$1/10,FALSE)</f>
        <v>Nashville</v>
      </c>
      <c r="AF85" s="18" t="e">
        <f>VLOOKUP($AB85,AF$2:$AI$52,8-AF$1/10,FALSE)</f>
        <v>#N/A</v>
      </c>
      <c r="AG85" s="18" t="e">
        <f>VLOOKUP($AB85,AG$2:$AI$52,8-AG$1/10,FALSE)</f>
        <v>#N/A</v>
      </c>
      <c r="AH85" s="18" t="e">
        <f>VLOOKUP($AB85,AH$2:$AI$52,8-AH$1/10,FALSE)</f>
        <v>#N/A</v>
      </c>
      <c r="AI85" s="18" t="str">
        <f t="shared" si="12"/>
        <v>Salt Lake City</v>
      </c>
    </row>
    <row r="86" spans="11:35">
      <c r="K86" s="28" t="str">
        <f t="shared" si="11"/>
        <v>New York</v>
      </c>
      <c r="L86" s="28">
        <f>L32/'Summary-2000'!L32*100</f>
        <v>-7.7525784283721419</v>
      </c>
      <c r="M86" s="28">
        <f>Z32/'Summary-2010'!Y32*100</f>
        <v>20.293965590720774</v>
      </c>
      <c r="N86" s="28">
        <f>N32/'Summary-2000'!M32*100</f>
        <v>29.981930160475418</v>
      </c>
      <c r="O86" s="28">
        <f>O32/'Summary-2000'!N32*100</f>
        <v>29.535369967556708</v>
      </c>
      <c r="P86" s="28">
        <f>P32/'Summary-2000'!O32*100</f>
        <v>27.642968059178415</v>
      </c>
      <c r="Q86" s="28">
        <f>Q32/'Summary-2000'!P32*100</f>
        <v>27.483047741983373</v>
      </c>
      <c r="R86" s="28">
        <f>R32/'Summary-2000'!Q32*100</f>
        <v>25.909647906287613</v>
      </c>
      <c r="S86" s="28">
        <f>S32/'Summary-2000'!R32*100</f>
        <v>24.096867505233845</v>
      </c>
      <c r="T86" s="28">
        <f>T32/'Summary-2000'!S32*100</f>
        <v>-56.898997124368357</v>
      </c>
      <c r="U86" s="28">
        <f>U32/'Summary-2000'!T32*100</f>
        <v>-100</v>
      </c>
      <c r="V86" s="28" t="e">
        <f>V32/'Summary-2000'!U32*100</f>
        <v>#DIV/0!</v>
      </c>
      <c r="AA86" s="18" t="str">
        <f>VLOOKUP($AB86,AA$2:$AB$52,2,FALSE)</f>
        <v>Memphis</v>
      </c>
      <c r="AB86" s="18">
        <f t="shared" si="13"/>
        <v>31</v>
      </c>
      <c r="AC86" s="18" t="str">
        <f>VLOOKUP($AB86,AC$2:$AI$52,8-AC$1/10,FALSE)</f>
        <v>Austin</v>
      </c>
      <c r="AD86" s="18" t="str">
        <f>VLOOKUP($AB86,AD$2:$AI$52,8-AD$1/10,FALSE)</f>
        <v>Memphis</v>
      </c>
      <c r="AE86" s="18" t="str">
        <f>VLOOKUP($AB86,AE$2:$AI$52,8-AE$1/10,FALSE)</f>
        <v>Grand Rapids</v>
      </c>
      <c r="AF86" s="18" t="e">
        <f>VLOOKUP($AB86,AF$2:$AI$52,8-AF$1/10,FALSE)</f>
        <v>#N/A</v>
      </c>
      <c r="AG86" s="18" t="e">
        <f>VLOOKUP($AB86,AG$2:$AI$52,8-AG$1/10,FALSE)</f>
        <v>#N/A</v>
      </c>
      <c r="AH86" s="18" t="e">
        <f>VLOOKUP($AB86,AH$2:$AI$52,8-AH$1/10,FALSE)</f>
        <v>#N/A</v>
      </c>
      <c r="AI86" s="18" t="str">
        <f t="shared" si="12"/>
        <v>Memphis</v>
      </c>
    </row>
    <row r="87" spans="11:35">
      <c r="K87" s="28" t="str">
        <f t="shared" si="11"/>
        <v>Oklahoma City</v>
      </c>
      <c r="L87" s="28">
        <f>L33/'Summary-2000'!L33*100</f>
        <v>2.5685521141055214</v>
      </c>
      <c r="M87" s="28">
        <f>Z33/'Summary-2010'!Y33*100</f>
        <v>-4.1372873810640671</v>
      </c>
      <c r="N87" s="28">
        <f>N33/'Summary-2000'!M33*100</f>
        <v>-7.4278113184463885</v>
      </c>
      <c r="O87" s="28">
        <f>O33/'Summary-2000'!N33*100</f>
        <v>-8.7200679190954205</v>
      </c>
      <c r="P87" s="28">
        <f>P33/'Summary-2000'!O33*100</f>
        <v>66.273713540740303</v>
      </c>
      <c r="Q87" s="28" t="e">
        <f>Q33/'Summary-2000'!P33*100</f>
        <v>#DIV/0!</v>
      </c>
      <c r="R87" s="28" t="e">
        <f>R33/'Summary-2000'!Q33*100</f>
        <v>#DIV/0!</v>
      </c>
      <c r="S87" s="28" t="e">
        <f>S33/'Summary-2000'!R33*100</f>
        <v>#DIV/0!</v>
      </c>
      <c r="T87" s="28" t="e">
        <f>T33/'Summary-2000'!S33*100</f>
        <v>#DIV/0!</v>
      </c>
      <c r="U87" s="28" t="e">
        <f>U33/'Summary-2000'!T33*100</f>
        <v>#DIV/0!</v>
      </c>
      <c r="V87" s="28" t="e">
        <f>V33/'Summary-2000'!U33*100</f>
        <v>#DIV/0!</v>
      </c>
      <c r="AA87" s="18" t="str">
        <f>VLOOKUP($AB87,AA$2:$AB$52,2,FALSE)</f>
        <v>Dallas-Fort Worth</v>
      </c>
      <c r="AB87" s="18">
        <f t="shared" si="13"/>
        <v>32</v>
      </c>
      <c r="AC87" s="18" t="str">
        <f>VLOOKUP($AB87,AC$2:$AI$52,8-AC$1/10,FALSE)</f>
        <v>Pittsburgh</v>
      </c>
      <c r="AD87" s="18" t="str">
        <f>VLOOKUP($AB87,AD$2:$AI$52,8-AD$1/10,FALSE)</f>
        <v>Nashville</v>
      </c>
      <c r="AE87" s="18" t="e">
        <f>VLOOKUP($AB87,AE$2:$AI$52,8-AE$1/10,FALSE)</f>
        <v>#N/A</v>
      </c>
      <c r="AF87" s="18" t="e">
        <f>VLOOKUP($AB87,AF$2:$AI$52,8-AF$1/10,FALSE)</f>
        <v>#N/A</v>
      </c>
      <c r="AG87" s="18" t="e">
        <f>VLOOKUP($AB87,AG$2:$AI$52,8-AG$1/10,FALSE)</f>
        <v>#N/A</v>
      </c>
      <c r="AH87" s="18" t="e">
        <f>VLOOKUP($AB87,AH$2:$AI$52,8-AH$1/10,FALSE)</f>
        <v>#N/A</v>
      </c>
      <c r="AI87" s="18" t="str">
        <f t="shared" si="12"/>
        <v>Dallas-Fort Worth</v>
      </c>
    </row>
    <row r="88" spans="11:35">
      <c r="K88" s="28" t="str">
        <f t="shared" si="11"/>
        <v>Orlando</v>
      </c>
      <c r="L88" s="28">
        <f>L34/'Summary-2000'!L34*100</f>
        <v>4.6128647822765467</v>
      </c>
      <c r="M88" s="28">
        <f>Z34/'Summary-2010'!Y34*100</f>
        <v>22.633102405060924</v>
      </c>
      <c r="N88" s="28">
        <f>N34/'Summary-2000'!M34*100</f>
        <v>46.301288195631805</v>
      </c>
      <c r="O88" s="28">
        <f>O34/'Summary-2000'!N34*100</f>
        <v>46.918408195805625</v>
      </c>
      <c r="P88" s="28">
        <f>P34/'Summary-2000'!O34*100</f>
        <v>15.182089239191743</v>
      </c>
      <c r="Q88" s="28">
        <f>Q34/'Summary-2000'!P34*100</f>
        <v>-100</v>
      </c>
      <c r="R88" s="28" t="e">
        <f>R34/'Summary-2000'!Q34*100</f>
        <v>#DIV/0!</v>
      </c>
      <c r="S88" s="28" t="e">
        <f>S34/'Summary-2000'!R34*100</f>
        <v>#DIV/0!</v>
      </c>
      <c r="T88" s="28" t="e">
        <f>T34/'Summary-2000'!S34*100</f>
        <v>#DIV/0!</v>
      </c>
      <c r="U88" s="28" t="e">
        <f>U34/'Summary-2000'!T34*100</f>
        <v>#DIV/0!</v>
      </c>
      <c r="V88" s="28" t="e">
        <f>V34/'Summary-2000'!U34*100</f>
        <v>#DIV/0!</v>
      </c>
      <c r="AA88" s="18" t="str">
        <f>VLOOKUP($AB88,AA$2:$AB$52,2,FALSE)</f>
        <v>Denver</v>
      </c>
      <c r="AB88" s="18">
        <f t="shared" si="13"/>
        <v>33</v>
      </c>
      <c r="AC88" s="18" t="str">
        <f>VLOOKUP($AB88,AC$2:$AI$52,8-AC$1/10,FALSE)</f>
        <v>Nashville</v>
      </c>
      <c r="AD88" s="18" t="str">
        <f>VLOOKUP($AB88,AD$2:$AI$52,8-AD$1/10,FALSE)</f>
        <v>Indianapolis</v>
      </c>
      <c r="AE88" s="18" t="e">
        <f>VLOOKUP($AB88,AE$2:$AI$52,8-AE$1/10,FALSE)</f>
        <v>#N/A</v>
      </c>
      <c r="AF88" s="18" t="e">
        <f>VLOOKUP($AB88,AF$2:$AI$52,8-AF$1/10,FALSE)</f>
        <v>#N/A</v>
      </c>
      <c r="AG88" s="18" t="e">
        <f>VLOOKUP($AB88,AG$2:$AI$52,8-AG$1/10,FALSE)</f>
        <v>#N/A</v>
      </c>
      <c r="AH88" s="18" t="e">
        <f>VLOOKUP($AB88,AH$2:$AI$52,8-AH$1/10,FALSE)</f>
        <v>#N/A</v>
      </c>
      <c r="AI88" s="18" t="str">
        <f t="shared" si="12"/>
        <v>Denver</v>
      </c>
    </row>
    <row r="89" spans="11:35">
      <c r="K89" s="28" t="str">
        <f t="shared" si="11"/>
        <v>Philadelphia</v>
      </c>
      <c r="L89" s="28">
        <f>L35/'Summary-2000'!L35*100</f>
        <v>-5.0607780293451716</v>
      </c>
      <c r="M89" s="28">
        <f>Z35/'Summary-2010'!Y35*100</f>
        <v>4.1521462040098793</v>
      </c>
      <c r="N89" s="28">
        <f>N35/'Summary-2000'!M35*100</f>
        <v>6.4990264519030099</v>
      </c>
      <c r="O89" s="28">
        <f>O35/'Summary-2000'!N35*100</f>
        <v>7.8692748363893923</v>
      </c>
      <c r="P89" s="28">
        <f>P35/'Summary-2000'!O35*100</f>
        <v>3.8155095320065135</v>
      </c>
      <c r="Q89" s="28">
        <f>Q35/'Summary-2000'!P35*100</f>
        <v>4.7932670842571188</v>
      </c>
      <c r="R89" s="28">
        <f>R35/'Summary-2000'!Q35*100</f>
        <v>-0.99250359819865164</v>
      </c>
      <c r="S89" s="28">
        <f>S35/'Summary-2000'!R35*100</f>
        <v>-100</v>
      </c>
      <c r="T89" s="28" t="e">
        <f>T35/'Summary-2000'!S35*100</f>
        <v>#DIV/0!</v>
      </c>
      <c r="U89" s="28" t="e">
        <f>U35/'Summary-2000'!T35*100</f>
        <v>#DIV/0!</v>
      </c>
      <c r="V89" s="28" t="e">
        <f>V35/'Summary-2000'!U35*100</f>
        <v>#DIV/0!</v>
      </c>
      <c r="AA89" s="18" t="str">
        <f>VLOOKUP($AB89,AA$2:$AB$52,2,FALSE)</f>
        <v>Pittsburgh</v>
      </c>
      <c r="AB89" s="18">
        <f t="shared" si="13"/>
        <v>34</v>
      </c>
      <c r="AC89" s="18" t="str">
        <f>VLOOKUP($AB89,AC$2:$AI$52,8-AC$1/10,FALSE)</f>
        <v>Buffalo</v>
      </c>
      <c r="AD89" s="18" t="str">
        <f>VLOOKUP($AB89,AD$2:$AI$52,8-AD$1/10,FALSE)</f>
        <v>Dallas-Fort Worth</v>
      </c>
      <c r="AE89" s="18" t="e">
        <f>VLOOKUP($AB89,AE$2:$AI$52,8-AE$1/10,FALSE)</f>
        <v>#N/A</v>
      </c>
      <c r="AF89" s="18" t="e">
        <f>VLOOKUP($AB89,AF$2:$AI$52,8-AF$1/10,FALSE)</f>
        <v>#N/A</v>
      </c>
      <c r="AG89" s="18" t="e">
        <f>VLOOKUP($AB89,AG$2:$AI$52,8-AG$1/10,FALSE)</f>
        <v>#N/A</v>
      </c>
      <c r="AH89" s="18" t="e">
        <f>VLOOKUP($AB89,AH$2:$AI$52,8-AH$1/10,FALSE)</f>
        <v>#N/A</v>
      </c>
      <c r="AI89" s="18" t="str">
        <f t="shared" si="12"/>
        <v>Pittsburgh</v>
      </c>
    </row>
    <row r="90" spans="11:35">
      <c r="K90" s="28" t="str">
        <f t="shared" si="11"/>
        <v>Phoenix</v>
      </c>
      <c r="L90" s="28">
        <f>L36/'Summary-2000'!L36*100</f>
        <v>3.6019332349607582</v>
      </c>
      <c r="M90" s="28">
        <f>Z36/'Summary-2010'!Y36*100</f>
        <v>10.821911234847144</v>
      </c>
      <c r="N90" s="28">
        <f>N36/'Summary-2000'!M36*100</f>
        <v>16.260118664369962</v>
      </c>
      <c r="O90" s="28">
        <f>O36/'Summary-2000'!N36*100</f>
        <v>16.242922729729862</v>
      </c>
      <c r="P90" s="28">
        <f>P36/'Summary-2000'!O36*100</f>
        <v>19.156319449478801</v>
      </c>
      <c r="Q90" s="28">
        <f>Q36/'Summary-2000'!P36*100</f>
        <v>-16.606371132640724</v>
      </c>
      <c r="R90" s="28" t="e">
        <f>R36/'Summary-2000'!Q36*100</f>
        <v>#DIV/0!</v>
      </c>
      <c r="S90" s="28" t="e">
        <f>S36/'Summary-2000'!R36*100</f>
        <v>#DIV/0!</v>
      </c>
      <c r="T90" s="28" t="e">
        <f>T36/'Summary-2000'!S36*100</f>
        <v>#DIV/0!</v>
      </c>
      <c r="U90" s="28" t="e">
        <f>U36/'Summary-2000'!T36*100</f>
        <v>#DIV/0!</v>
      </c>
      <c r="V90" s="28" t="e">
        <f>V36/'Summary-2000'!U36*100</f>
        <v>#DIV/0!</v>
      </c>
      <c r="AA90" s="18" t="str">
        <f>VLOOKUP($AB90,AA$2:$AB$52,2,FALSE)</f>
        <v>Buffalo</v>
      </c>
      <c r="AB90" s="18">
        <f t="shared" si="13"/>
        <v>35</v>
      </c>
      <c r="AC90" s="18" t="str">
        <f>VLOOKUP($AB90,AC$2:$AI$52,8-AC$1/10,FALSE)</f>
        <v>Dallas-Fort Worth</v>
      </c>
      <c r="AD90" s="18" t="str">
        <f>VLOOKUP($AB90,AD$2:$AI$52,8-AD$1/10,FALSE)</f>
        <v>Denver</v>
      </c>
      <c r="AE90" s="18" t="str">
        <f>VLOOKUP($AB90,AE$2:$AI$52,8-AE$1/10,FALSE)</f>
        <v>Pittsburgh</v>
      </c>
      <c r="AF90" s="18" t="e">
        <f>VLOOKUP($AB90,AF$2:$AI$52,8-AF$1/10,FALSE)</f>
        <v>#N/A</v>
      </c>
      <c r="AG90" s="18" t="e">
        <f>VLOOKUP($AB90,AG$2:$AI$52,8-AG$1/10,FALSE)</f>
        <v>#N/A</v>
      </c>
      <c r="AH90" s="18" t="e">
        <f>VLOOKUP($AB90,AH$2:$AI$52,8-AH$1/10,FALSE)</f>
        <v>#N/A</v>
      </c>
      <c r="AI90" s="18" t="str">
        <f t="shared" si="12"/>
        <v>Buffalo</v>
      </c>
    </row>
    <row r="91" spans="11:35">
      <c r="K91" s="28" t="str">
        <f t="shared" si="11"/>
        <v>Pittsburgh</v>
      </c>
      <c r="L91" s="28">
        <f>L37/'Summary-2000'!L37*100</f>
        <v>-0.74154663791111308</v>
      </c>
      <c r="M91" s="28">
        <f>Z37/'Summary-2010'!Y37*100</f>
        <v>-1.8011691911732446</v>
      </c>
      <c r="N91" s="28">
        <f>N37/'Summary-2000'!M37*100</f>
        <v>-0.94488255026534229</v>
      </c>
      <c r="O91" s="28">
        <f>O37/'Summary-2000'!N37*100</f>
        <v>-2.7723731902484912</v>
      </c>
      <c r="P91" s="28">
        <f>P37/'Summary-2000'!O37*100</f>
        <v>-3.0443216808416427</v>
      </c>
      <c r="Q91" s="28">
        <f>Q37/'Summary-2000'!P37*100</f>
        <v>4.3991070621215469</v>
      </c>
      <c r="R91" s="28" t="e">
        <f>R37/'Summary-2000'!Q37*100</f>
        <v>#DIV/0!</v>
      </c>
      <c r="S91" s="28" t="e">
        <f>S37/'Summary-2000'!R37*100</f>
        <v>#DIV/0!</v>
      </c>
      <c r="T91" s="28" t="e">
        <f>T37/'Summary-2000'!S37*100</f>
        <v>#DIV/0!</v>
      </c>
      <c r="U91" s="28" t="e">
        <f>U37/'Summary-2000'!T37*100</f>
        <v>#DIV/0!</v>
      </c>
      <c r="V91" s="28" t="e">
        <f>V37/'Summary-2000'!U37*100</f>
        <v>#DIV/0!</v>
      </c>
      <c r="AA91" s="18" t="str">
        <f>VLOOKUP($AB91,AA$2:$AB$52,2,FALSE)</f>
        <v>Honolulu</v>
      </c>
      <c r="AB91" s="18">
        <f t="shared" si="13"/>
        <v>36</v>
      </c>
      <c r="AC91" s="18" t="str">
        <f>VLOOKUP($AB91,AC$2:$AI$52,8-AC$1/10,FALSE)</f>
        <v>Denver</v>
      </c>
      <c r="AD91" s="18" t="str">
        <f>VLOOKUP($AB91,AD$2:$AI$52,8-AD$1/10,FALSE)</f>
        <v>Buffalo</v>
      </c>
      <c r="AE91" s="18" t="str">
        <f>VLOOKUP($AB91,AE$2:$AI$52,8-AE$1/10,FALSE)</f>
        <v>Buffalo</v>
      </c>
      <c r="AF91" s="18" t="e">
        <f>VLOOKUP($AB91,AF$2:$AI$52,8-AF$1/10,FALSE)</f>
        <v>#N/A</v>
      </c>
      <c r="AG91" s="18" t="e">
        <f>VLOOKUP($AB91,AG$2:$AI$52,8-AG$1/10,FALSE)</f>
        <v>#N/A</v>
      </c>
      <c r="AH91" s="18" t="e">
        <f>VLOOKUP($AB91,AH$2:$AI$52,8-AH$1/10,FALSE)</f>
        <v>#N/A</v>
      </c>
      <c r="AI91" s="18" t="str">
        <f t="shared" si="12"/>
        <v>Honolulu</v>
      </c>
    </row>
    <row r="92" spans="11:35">
      <c r="K92" s="28" t="str">
        <f t="shared" si="11"/>
        <v>Portland</v>
      </c>
      <c r="L92" s="28">
        <f>L38/'Summary-2000'!L38*100</f>
        <v>-0.74826838272588692</v>
      </c>
      <c r="M92" s="28">
        <f>Z38/'Summary-2010'!Y38*100</f>
        <v>4.6894258763268466</v>
      </c>
      <c r="N92" s="28">
        <f>N38/'Summary-2000'!M38*100</f>
        <v>3.6918303326450408</v>
      </c>
      <c r="O92" s="28">
        <f>O38/'Summary-2000'!N38*100</f>
        <v>11.100391868677818</v>
      </c>
      <c r="P92" s="28">
        <f>P38/'Summary-2000'!O38*100</f>
        <v>5.3003254222763223</v>
      </c>
      <c r="Q92" s="28">
        <f>Q38/'Summary-2000'!P38*100</f>
        <v>-41.674081496065135</v>
      </c>
      <c r="R92" s="28" t="e">
        <f>R38/'Summary-2000'!Q38*100</f>
        <v>#DIV/0!</v>
      </c>
      <c r="S92" s="28" t="e">
        <f>S38/'Summary-2000'!R38*100</f>
        <v>#DIV/0!</v>
      </c>
      <c r="T92" s="28" t="e">
        <f>T38/'Summary-2000'!S38*100</f>
        <v>#DIV/0!</v>
      </c>
      <c r="U92" s="28" t="e">
        <f>U38/'Summary-2000'!T38*100</f>
        <v>#DIV/0!</v>
      </c>
      <c r="V92" s="28" t="e">
        <f>V38/'Summary-2000'!U38*100</f>
        <v>#DIV/0!</v>
      </c>
      <c r="AA92" s="18" t="str">
        <f>VLOOKUP($AB92,AA$2:$AB$52,2,FALSE)</f>
        <v>Oklahoma City</v>
      </c>
      <c r="AB92" s="18">
        <f t="shared" si="13"/>
        <v>37</v>
      </c>
      <c r="AC92" s="18" t="str">
        <f>VLOOKUP($AB92,AC$2:$AI$52,8-AC$1/10,FALSE)</f>
        <v>New Orleans</v>
      </c>
      <c r="AD92" s="18" t="str">
        <f>VLOOKUP($AB92,AD$2:$AI$52,8-AD$1/10,FALSE)</f>
        <v>Pittsburgh</v>
      </c>
      <c r="AE92" s="18" t="str">
        <f>VLOOKUP($AB92,AE$2:$AI$52,8-AE$1/10,FALSE)</f>
        <v>Las Vegas</v>
      </c>
      <c r="AF92" s="18" t="e">
        <f>VLOOKUP($AB92,AF$2:$AI$52,8-AF$1/10,FALSE)</f>
        <v>#N/A</v>
      </c>
      <c r="AG92" s="18" t="e">
        <f>VLOOKUP($AB92,AG$2:$AI$52,8-AG$1/10,FALSE)</f>
        <v>#N/A</v>
      </c>
      <c r="AH92" s="18" t="e">
        <f>VLOOKUP($AB92,AH$2:$AI$52,8-AH$1/10,FALSE)</f>
        <v>#N/A</v>
      </c>
      <c r="AI92" s="18" t="str">
        <f t="shared" si="12"/>
        <v>Oklahoma City</v>
      </c>
    </row>
    <row r="93" spans="11:35">
      <c r="K93" s="28" t="str">
        <f t="shared" si="11"/>
        <v>Providence</v>
      </c>
      <c r="L93" s="28">
        <f>L39/'Summary-2000'!L39*100</f>
        <v>-6.1663165455279305</v>
      </c>
      <c r="M93" s="28">
        <f>Z39/'Summary-2010'!Y39*100</f>
        <v>-13.764084649159924</v>
      </c>
      <c r="N93" s="28">
        <f>N39/'Summary-2000'!M39*100</f>
        <v>-18.504987567221843</v>
      </c>
      <c r="O93" s="28">
        <f>O39/'Summary-2000'!N39*100</f>
        <v>-15.710814944890931</v>
      </c>
      <c r="P93" s="28">
        <f>P39/'Summary-2000'!O39*100</f>
        <v>11.778347354230096</v>
      </c>
      <c r="Q93" s="28" t="e">
        <f>Q39/'Summary-2000'!P39*100</f>
        <v>#DIV/0!</v>
      </c>
      <c r="R93" s="28" t="e">
        <f>R39/'Summary-2000'!Q39*100</f>
        <v>#DIV/0!</v>
      </c>
      <c r="S93" s="28" t="e">
        <f>S39/'Summary-2000'!R39*100</f>
        <v>#DIV/0!</v>
      </c>
      <c r="T93" s="28" t="e">
        <f>T39/'Summary-2000'!S39*100</f>
        <v>#DIV/0!</v>
      </c>
      <c r="U93" s="28" t="e">
        <f>U39/'Summary-2000'!T39*100</f>
        <v>#DIV/0!</v>
      </c>
      <c r="V93" s="28" t="e">
        <f>V39/'Summary-2000'!U39*100</f>
        <v>#DIV/0!</v>
      </c>
      <c r="AA93" s="18" t="str">
        <f>VLOOKUP($AB93,AA$2:$AB$52,2,FALSE)</f>
        <v>Indianapolis</v>
      </c>
      <c r="AB93" s="18">
        <f t="shared" si="13"/>
        <v>38</v>
      </c>
      <c r="AC93" s="18" t="str">
        <f>VLOOKUP($AB93,AC$2:$AI$52,8-AC$1/10,FALSE)</f>
        <v>Cincinnati</v>
      </c>
      <c r="AD93" s="18" t="str">
        <f>VLOOKUP($AB93,AD$2:$AI$52,8-AD$1/10,FALSE)</f>
        <v>Rochester</v>
      </c>
      <c r="AE93" s="18" t="str">
        <f>VLOOKUP($AB93,AE$2:$AI$52,8-AE$1/10,FALSE)</f>
        <v>Cincinnati</v>
      </c>
      <c r="AF93" s="18" t="e">
        <f>VLOOKUP($AB93,AF$2:$AI$52,8-AF$1/10,FALSE)</f>
        <v>#N/A</v>
      </c>
      <c r="AG93" s="18" t="e">
        <f>VLOOKUP($AB93,AG$2:$AI$52,8-AG$1/10,FALSE)</f>
        <v>#N/A</v>
      </c>
      <c r="AH93" s="18" t="e">
        <f>VLOOKUP($AB93,AH$2:$AI$52,8-AH$1/10,FALSE)</f>
        <v>#N/A</v>
      </c>
      <c r="AI93" s="18" t="str">
        <f t="shared" si="12"/>
        <v>Indianapolis</v>
      </c>
    </row>
    <row r="94" spans="11:35">
      <c r="K94" s="28" t="str">
        <f t="shared" si="11"/>
        <v>Raleigh</v>
      </c>
      <c r="L94" s="28">
        <f>L40/'Summary-2000'!L40*100</f>
        <v>-33.189119356455301</v>
      </c>
      <c r="M94" s="28">
        <f>Z40/'Summary-2010'!Y40*100</f>
        <v>-66.92636430237981</v>
      </c>
      <c r="N94" s="28">
        <f>N40/'Summary-2000'!M40*100</f>
        <v>-44.490383726428703</v>
      </c>
      <c r="O94" s="28">
        <f>O40/'Summary-2000'!N40*100</f>
        <v>-43.675985201905341</v>
      </c>
      <c r="P94" s="28">
        <f>P40/'Summary-2000'!O40*100</f>
        <v>144.24892256588197</v>
      </c>
      <c r="Q94" s="28" t="e">
        <f>Q40/'Summary-2000'!P40*100</f>
        <v>#DIV/0!</v>
      </c>
      <c r="R94" s="28" t="e">
        <f>R40/'Summary-2000'!Q40*100</f>
        <v>#DIV/0!</v>
      </c>
      <c r="S94" s="28" t="e">
        <f>S40/'Summary-2000'!R40*100</f>
        <v>#DIV/0!</v>
      </c>
      <c r="T94" s="28" t="e">
        <f>T40/'Summary-2000'!S40*100</f>
        <v>#DIV/0!</v>
      </c>
      <c r="U94" s="28" t="e">
        <f>U40/'Summary-2000'!T40*100</f>
        <v>#DIV/0!</v>
      </c>
      <c r="V94" s="28" t="e">
        <f>V40/'Summary-2000'!U40*100</f>
        <v>#DIV/0!</v>
      </c>
      <c r="AA94" s="18" t="str">
        <f>VLOOKUP($AB94,AA$2:$AB$52,2,FALSE)</f>
        <v>Cincinnati</v>
      </c>
      <c r="AB94" s="18">
        <f t="shared" si="13"/>
        <v>39</v>
      </c>
      <c r="AC94" s="18" t="str">
        <f>VLOOKUP($AB94,AC$2:$AI$52,8-AC$1/10,FALSE)</f>
        <v>Oklahoma City</v>
      </c>
      <c r="AD94" s="18" t="str">
        <f>VLOOKUP($AB94,AD$2:$AI$52,8-AD$1/10,FALSE)</f>
        <v>Oklahoma City</v>
      </c>
      <c r="AE94" s="18" t="str">
        <f>VLOOKUP($AB94,AE$2:$AI$52,8-AE$1/10,FALSE)</f>
        <v>Memphis</v>
      </c>
      <c r="AF94" s="18" t="str">
        <f>VLOOKUP($AB94,AF$2:$AI$52,8-AF$1/10,FALSE)</f>
        <v>Indianapolis</v>
      </c>
      <c r="AG94" s="18" t="e">
        <f>VLOOKUP($AB94,AG$2:$AI$52,8-AG$1/10,FALSE)</f>
        <v>#N/A</v>
      </c>
      <c r="AH94" s="18" t="e">
        <f>VLOOKUP($AB94,AH$2:$AI$52,8-AH$1/10,FALSE)</f>
        <v>#N/A</v>
      </c>
      <c r="AI94" s="18" t="str">
        <f t="shared" si="12"/>
        <v>Cincinnati</v>
      </c>
    </row>
    <row r="95" spans="11:35">
      <c r="K95" s="28" t="str">
        <f t="shared" si="11"/>
        <v>Rochester</v>
      </c>
      <c r="L95" s="28">
        <f>L41/'Summary-2000'!L41*100</f>
        <v>-8.8094045484902779</v>
      </c>
      <c r="M95" s="28">
        <f>Z41/'Summary-2010'!Y41*100</f>
        <v>-11.28858331710536</v>
      </c>
      <c r="N95" s="28">
        <f>N41/'Summary-2000'!M41*100</f>
        <v>-14.23964038251806</v>
      </c>
      <c r="O95" s="28">
        <f>O41/'Summary-2000'!N41*100</f>
        <v>-6.8438883684548673</v>
      </c>
      <c r="P95" s="28" t="e">
        <f>P41/'Summary-2000'!O41*100</f>
        <v>#DIV/0!</v>
      </c>
      <c r="Q95" s="28" t="e">
        <f>Q41/'Summary-2000'!P41*100</f>
        <v>#DIV/0!</v>
      </c>
      <c r="R95" s="28" t="e">
        <f>R41/'Summary-2000'!Q41*100</f>
        <v>#DIV/0!</v>
      </c>
      <c r="S95" s="28" t="e">
        <f>S41/'Summary-2000'!R41*100</f>
        <v>#DIV/0!</v>
      </c>
      <c r="T95" s="28" t="e">
        <f>T41/'Summary-2000'!S41*100</f>
        <v>#DIV/0!</v>
      </c>
      <c r="U95" s="28" t="e">
        <f>U41/'Summary-2000'!T41*100</f>
        <v>#DIV/0!</v>
      </c>
      <c r="V95" s="28" t="e">
        <f>V41/'Summary-2000'!U41*100</f>
        <v>#DIV/0!</v>
      </c>
      <c r="AA95" s="18" t="str">
        <f>VLOOKUP($AB95,AA$2:$AB$52,2,FALSE)</f>
        <v>Rochester</v>
      </c>
      <c r="AB95" s="18">
        <f t="shared" si="13"/>
        <v>40</v>
      </c>
      <c r="AC95" s="18" t="str">
        <f>VLOOKUP($AB95,AC$2:$AI$52,8-AC$1/10,FALSE)</f>
        <v>St. Louis</v>
      </c>
      <c r="AD95" s="18" t="str">
        <f>VLOOKUP($AB95,AD$2:$AI$52,8-AD$1/10,FALSE)</f>
        <v>Cincinnati</v>
      </c>
      <c r="AE95" s="18" t="str">
        <f>VLOOKUP($AB95,AE$2:$AI$52,8-AE$1/10,FALSE)</f>
        <v>Seattle</v>
      </c>
      <c r="AF95" s="18" t="str">
        <f>VLOOKUP($AB95,AF$2:$AI$52,8-AF$1/10,FALSE)</f>
        <v>Virginia Beach</v>
      </c>
      <c r="AG95" s="18" t="e">
        <f>VLOOKUP($AB95,AG$2:$AI$52,8-AG$1/10,FALSE)</f>
        <v>#N/A</v>
      </c>
      <c r="AH95" s="18" t="e">
        <f>VLOOKUP($AB95,AH$2:$AI$52,8-AH$1/10,FALSE)</f>
        <v>#N/A</v>
      </c>
      <c r="AI95" s="18" t="str">
        <f t="shared" si="12"/>
        <v>Rochester</v>
      </c>
    </row>
    <row r="96" spans="11:35">
      <c r="K96" s="28" t="str">
        <f t="shared" si="11"/>
        <v>Sacramento</v>
      </c>
      <c r="L96" s="28">
        <f>L42/'Summary-2000'!L42*100</f>
        <v>6.1315442755905378</v>
      </c>
      <c r="M96" s="28">
        <f>Z42/'Summary-2010'!Y42*100</f>
        <v>22.876872676370375</v>
      </c>
      <c r="N96" s="28">
        <f>N42/'Summary-2000'!M42*100</f>
        <v>51.852004581259337</v>
      </c>
      <c r="O96" s="28">
        <f>O42/'Summary-2000'!N42*100</f>
        <v>59.373434862378296</v>
      </c>
      <c r="P96" s="28">
        <f>P42/'Summary-2000'!O42*100</f>
        <v>-41.118942056672978</v>
      </c>
      <c r="Q96" s="28" t="e">
        <f>Q42/'Summary-2000'!P42*100</f>
        <v>#DIV/0!</v>
      </c>
      <c r="R96" s="28" t="e">
        <f>R42/'Summary-2000'!Q42*100</f>
        <v>#DIV/0!</v>
      </c>
      <c r="S96" s="28" t="e">
        <f>S42/'Summary-2000'!R42*100</f>
        <v>#DIV/0!</v>
      </c>
      <c r="T96" s="28" t="e">
        <f>T42/'Summary-2000'!S42*100</f>
        <v>#DIV/0!</v>
      </c>
      <c r="U96" s="28" t="e">
        <f>U42/'Summary-2000'!T42*100</f>
        <v>#DIV/0!</v>
      </c>
      <c r="V96" s="28" t="e">
        <f>V42/'Summary-2000'!U42*100</f>
        <v>#DIV/0!</v>
      </c>
      <c r="AA96" s="18" t="str">
        <f>VLOOKUP($AB96,AA$2:$AB$52,2,FALSE)</f>
        <v>Providence</v>
      </c>
      <c r="AB96" s="18">
        <f t="shared" si="13"/>
        <v>41</v>
      </c>
      <c r="AC96" s="18" t="str">
        <f>VLOOKUP($AB96,AC$2:$AI$52,8-AC$1/10,FALSE)</f>
        <v>Seattle</v>
      </c>
      <c r="AD96" s="18" t="str">
        <f>VLOOKUP($AB96,AD$2:$AI$52,8-AD$1/10,FALSE)</f>
        <v>Seattle</v>
      </c>
      <c r="AE96" s="18" t="str">
        <f>VLOOKUP($AB96,AE$2:$AI$52,8-AE$1/10,FALSE)</f>
        <v>Indianapolis</v>
      </c>
      <c r="AF96" s="18" t="str">
        <f>VLOOKUP($AB96,AF$2:$AI$52,8-AF$1/10,FALSE)</f>
        <v>Detroit</v>
      </c>
      <c r="AG96" s="18" t="e">
        <f>VLOOKUP($AB96,AG$2:$AI$52,8-AG$1/10,FALSE)</f>
        <v>#N/A</v>
      </c>
      <c r="AH96" s="18" t="e">
        <f>VLOOKUP($AB96,AH$2:$AI$52,8-AH$1/10,FALSE)</f>
        <v>#N/A</v>
      </c>
      <c r="AI96" s="18" t="str">
        <f t="shared" si="12"/>
        <v>Providence</v>
      </c>
    </row>
    <row r="97" spans="11:35">
      <c r="K97" s="28" t="str">
        <f t="shared" si="11"/>
        <v>Salt Lake City</v>
      </c>
      <c r="L97" s="28">
        <f>L43/'Summary-2000'!L43*100</f>
        <v>-13.926073762647533</v>
      </c>
      <c r="M97" s="28">
        <f>Z43/'Summary-2010'!Y43*100</f>
        <v>0.85755860853179733</v>
      </c>
      <c r="N97" s="28">
        <f>N43/'Summary-2000'!M43*100</f>
        <v>12.187387468765987</v>
      </c>
      <c r="O97" s="28">
        <f>O43/'Summary-2000'!N43*100</f>
        <v>9.1117048653800268</v>
      </c>
      <c r="P97" s="28">
        <f>P43/'Summary-2000'!O43*100</f>
        <v>-100</v>
      </c>
      <c r="Q97" s="28" t="e">
        <f>Q43/'Summary-2000'!P43*100</f>
        <v>#DIV/0!</v>
      </c>
      <c r="R97" s="28" t="e">
        <f>R43/'Summary-2000'!Q43*100</f>
        <v>#DIV/0!</v>
      </c>
      <c r="S97" s="28" t="e">
        <f>S43/'Summary-2000'!R43*100</f>
        <v>#DIV/0!</v>
      </c>
      <c r="T97" s="28" t="e">
        <f>T43/'Summary-2000'!S43*100</f>
        <v>#DIV/0!</v>
      </c>
      <c r="U97" s="28" t="e">
        <f>U43/'Summary-2000'!T43*100</f>
        <v>#DIV/0!</v>
      </c>
      <c r="V97" s="28" t="e">
        <f>V43/'Summary-2000'!U43*100</f>
        <v>#DIV/0!</v>
      </c>
      <c r="AA97" s="18" t="str">
        <f>VLOOKUP($AB97,AA$2:$AB$52,2,FALSE)</f>
        <v>Columbus</v>
      </c>
      <c r="AB97" s="18">
        <f t="shared" si="13"/>
        <v>42</v>
      </c>
      <c r="AC97" s="18" t="str">
        <f>VLOOKUP($AB97,AC$2:$AI$52,8-AC$1/10,FALSE)</f>
        <v>Rochester</v>
      </c>
      <c r="AD97" s="18" t="str">
        <f>VLOOKUP($AB97,AD$2:$AI$52,8-AD$1/10,FALSE)</f>
        <v>St. Louis</v>
      </c>
      <c r="AE97" s="18" t="str">
        <f>VLOOKUP($AB97,AE$2:$AI$52,8-AE$1/10,FALSE)</f>
        <v>Louisville</v>
      </c>
      <c r="AF97" s="18" t="str">
        <f>VLOOKUP($AB97,AF$2:$AI$52,8-AF$1/10,FALSE)</f>
        <v>Denver</v>
      </c>
      <c r="AG97" s="18" t="e">
        <f>VLOOKUP($AB97,AG$2:$AI$52,8-AG$1/10,FALSE)</f>
        <v>#N/A</v>
      </c>
      <c r="AH97" s="18" t="e">
        <f>VLOOKUP($AB97,AH$2:$AI$52,8-AH$1/10,FALSE)</f>
        <v>#N/A</v>
      </c>
      <c r="AI97" s="18" t="str">
        <f t="shared" si="12"/>
        <v>Columbus</v>
      </c>
    </row>
    <row r="98" spans="11:35">
      <c r="K98" s="28" t="str">
        <f t="shared" si="11"/>
        <v>San Antonio</v>
      </c>
      <c r="L98" s="28">
        <f>L44/'Summary-2000'!L44*100</f>
        <v>13.017799900228653</v>
      </c>
      <c r="M98" s="28">
        <f>Z44/'Summary-2010'!Y44*100</f>
        <v>10.710762843047434</v>
      </c>
      <c r="N98" s="28">
        <f>N44/'Summary-2000'!M44*100</f>
        <v>9.2465484907925735</v>
      </c>
      <c r="O98" s="28">
        <f>O44/'Summary-2000'!N44*100</f>
        <v>12.904393044489931</v>
      </c>
      <c r="P98" s="28">
        <f>P44/'Summary-2000'!O44*100</f>
        <v>14.465471050757845</v>
      </c>
      <c r="Q98" s="28" t="e">
        <f>Q44/'Summary-2000'!P44*100</f>
        <v>#DIV/0!</v>
      </c>
      <c r="R98" s="28" t="e">
        <f>R44/'Summary-2000'!Q44*100</f>
        <v>#DIV/0!</v>
      </c>
      <c r="S98" s="28" t="e">
        <f>S44/'Summary-2000'!R44*100</f>
        <v>#DIV/0!</v>
      </c>
      <c r="T98" s="28" t="e">
        <f>T44/'Summary-2000'!S44*100</f>
        <v>#DIV/0!</v>
      </c>
      <c r="U98" s="28" t="e">
        <f>U44/'Summary-2000'!T44*100</f>
        <v>#DIV/0!</v>
      </c>
      <c r="V98" s="28" t="e">
        <f>V44/'Summary-2000'!U44*100</f>
        <v>#DIV/0!</v>
      </c>
      <c r="AA98" s="18" t="str">
        <f>VLOOKUP($AB98,AA$2:$AB$52,2,FALSE)</f>
        <v>St. Louis</v>
      </c>
      <c r="AB98" s="18">
        <f t="shared" si="13"/>
        <v>43</v>
      </c>
      <c r="AC98" s="18" t="str">
        <f>VLOOKUP($AB98,AC$2:$AI$52,8-AC$1/10,FALSE)</f>
        <v>Providence</v>
      </c>
      <c r="AD98" s="18" t="str">
        <f>VLOOKUP($AB98,AD$2:$AI$52,8-AD$1/10,FALSE)</f>
        <v>Providence</v>
      </c>
      <c r="AE98" s="18" t="str">
        <f>VLOOKUP($AB98,AE$2:$AI$52,8-AE$1/10,FALSE)</f>
        <v>St. Louis</v>
      </c>
      <c r="AF98" s="18" t="str">
        <f>VLOOKUP($AB98,AF$2:$AI$52,8-AF$1/10,FALSE)</f>
        <v>Portland</v>
      </c>
      <c r="AG98" s="18" t="e">
        <f>VLOOKUP($AB98,AG$2:$AI$52,8-AG$1/10,FALSE)</f>
        <v>#N/A</v>
      </c>
      <c r="AH98" s="18" t="e">
        <f>VLOOKUP($AB98,AH$2:$AI$52,8-AH$1/10,FALSE)</f>
        <v>#N/A</v>
      </c>
      <c r="AI98" s="18" t="str">
        <f t="shared" si="12"/>
        <v>St. Louis</v>
      </c>
    </row>
    <row r="99" spans="11:35">
      <c r="K99" s="28" t="str">
        <f t="shared" si="11"/>
        <v>San Diego</v>
      </c>
      <c r="L99" s="28">
        <f>L45/'Summary-2000'!L45*100</f>
        <v>1.808346013263546</v>
      </c>
      <c r="M99" s="28">
        <f>Z45/'Summary-2010'!Y45*100</f>
        <v>37.899394664948694</v>
      </c>
      <c r="N99" s="28">
        <f>N45/'Summary-2000'!M45*100</f>
        <v>101.57240181062225</v>
      </c>
      <c r="O99" s="28">
        <f>O45/'Summary-2000'!N45*100</f>
        <v>109.70951089040007</v>
      </c>
      <c r="P99" s="28">
        <f>P45/'Summary-2000'!O45*100</f>
        <v>58.160342467662474</v>
      </c>
      <c r="Q99" s="28">
        <f>Q45/'Summary-2000'!P45*100</f>
        <v>-100</v>
      </c>
      <c r="R99" s="28" t="e">
        <f>R45/'Summary-2000'!Q45*100</f>
        <v>#DIV/0!</v>
      </c>
      <c r="S99" s="28" t="e">
        <f>S45/'Summary-2000'!R45*100</f>
        <v>#DIV/0!</v>
      </c>
      <c r="T99" s="28" t="e">
        <f>T45/'Summary-2000'!S45*100</f>
        <v>#DIV/0!</v>
      </c>
      <c r="U99" s="28" t="e">
        <f>U45/'Summary-2000'!T45*100</f>
        <v>#DIV/0!</v>
      </c>
      <c r="V99" s="28" t="e">
        <f>V45/'Summary-2000'!U45*100</f>
        <v>#DIV/0!</v>
      </c>
      <c r="AA99" s="18" t="str">
        <f>VLOOKUP($AB99,AA$2:$AB$52,2,FALSE)</f>
        <v>Seattle</v>
      </c>
      <c r="AB99" s="18">
        <f t="shared" si="13"/>
        <v>44</v>
      </c>
      <c r="AC99" s="18" t="str">
        <f>VLOOKUP($AB99,AC$2:$AI$52,8-AC$1/10,FALSE)</f>
        <v>Boston</v>
      </c>
      <c r="AD99" s="18" t="str">
        <f>VLOOKUP($AB99,AD$2:$AI$52,8-AD$1/10,FALSE)</f>
        <v>Columbus</v>
      </c>
      <c r="AE99" s="18" t="str">
        <f>VLOOKUP($AB99,AE$2:$AI$52,8-AE$1/10,FALSE)</f>
        <v>Virginia Beach</v>
      </c>
      <c r="AF99" s="18" t="str">
        <f>VLOOKUP($AB99,AF$2:$AI$52,8-AF$1/10,FALSE)</f>
        <v>Seattle</v>
      </c>
      <c r="AG99" s="18" t="e">
        <f>VLOOKUP($AB99,AG$2:$AI$52,8-AG$1/10,FALSE)</f>
        <v>#N/A</v>
      </c>
      <c r="AH99" s="18" t="e">
        <f>VLOOKUP($AB99,AH$2:$AI$52,8-AH$1/10,FALSE)</f>
        <v>#N/A</v>
      </c>
      <c r="AI99" s="18" t="str">
        <f t="shared" si="12"/>
        <v>Seattle</v>
      </c>
    </row>
    <row r="100" spans="11:35">
      <c r="K100" s="28" t="str">
        <f t="shared" si="11"/>
        <v>San Francisco</v>
      </c>
      <c r="L100" s="28">
        <f>L46/'Summary-2000'!L46*100</f>
        <v>-13.703008886018495</v>
      </c>
      <c r="M100" s="28">
        <f>Z46/'Summary-2010'!Y46*100</f>
        <v>4.8470586389173516</v>
      </c>
      <c r="N100" s="28">
        <f>N46/'Summary-2000'!M46*100</f>
        <v>25.67492214009674</v>
      </c>
      <c r="O100" s="28">
        <f>O46/'Summary-2000'!N46*100</f>
        <v>29.307994282052803</v>
      </c>
      <c r="P100" s="28">
        <f>P46/'Summary-2000'!O46*100</f>
        <v>-47.001505040468082</v>
      </c>
      <c r="Q100" s="28" t="e">
        <f>Q46/'Summary-2000'!P46*100</f>
        <v>#DIV/0!</v>
      </c>
      <c r="R100" s="28" t="e">
        <f>R46/'Summary-2000'!Q46*100</f>
        <v>#DIV/0!</v>
      </c>
      <c r="S100" s="28" t="e">
        <f>S46/'Summary-2000'!R46*100</f>
        <v>#DIV/0!</v>
      </c>
      <c r="T100" s="28" t="e">
        <f>T46/'Summary-2000'!S46*100</f>
        <v>#DIV/0!</v>
      </c>
      <c r="U100" s="28" t="e">
        <f>U46/'Summary-2000'!T46*100</f>
        <v>#DIV/0!</v>
      </c>
      <c r="V100" s="28" t="e">
        <f>V46/'Summary-2000'!U46*100</f>
        <v>#DIV/0!</v>
      </c>
      <c r="AA100" s="18" t="str">
        <f>VLOOKUP($AB100,AA$2:$AB$52,2,FALSE)</f>
        <v>New Orleans</v>
      </c>
      <c r="AB100" s="18">
        <f t="shared" si="13"/>
        <v>45</v>
      </c>
      <c r="AC100" s="18" t="str">
        <f>VLOOKUP($AB100,AC$2:$AI$52,8-AC$1/10,FALSE)</f>
        <v>Columbus</v>
      </c>
      <c r="AD100" s="18" t="str">
        <f>VLOOKUP($AB100,AD$2:$AI$52,8-AD$1/10,FALSE)</f>
        <v>Boston</v>
      </c>
      <c r="AE100" s="18" t="str">
        <f>VLOOKUP($AB100,AE$2:$AI$52,8-AE$1/10,FALSE)</f>
        <v>Riverside</v>
      </c>
      <c r="AF100" s="18" t="str">
        <f>VLOOKUP($AB100,AF$2:$AI$52,8-AF$1/10,FALSE)</f>
        <v>Baltimore</v>
      </c>
      <c r="AG100" s="18" t="str">
        <f>VLOOKUP($AB100,AG$2:$AI$52,8-AG$1/10,FALSE)</f>
        <v>Philadelphia</v>
      </c>
      <c r="AH100" s="18" t="e">
        <f>VLOOKUP($AB100,AH$2:$AI$52,8-AH$1/10,FALSE)</f>
        <v>#N/A</v>
      </c>
      <c r="AI100" s="18" t="str">
        <f t="shared" si="12"/>
        <v>New Orleans</v>
      </c>
    </row>
    <row r="101" spans="11:35">
      <c r="K101" s="28" t="str">
        <f t="shared" si="11"/>
        <v>San Jose</v>
      </c>
      <c r="L101" s="28">
        <f>L47/'Summary-2000'!L47*100</f>
        <v>-17.829869117552597</v>
      </c>
      <c r="M101" s="28">
        <f>Z47/'Summary-2010'!Y47*100</f>
        <v>8.7181772347045143</v>
      </c>
      <c r="N101" s="28">
        <f>N47/'Summary-2000'!M47*100</f>
        <v>44.160874704449029</v>
      </c>
      <c r="O101" s="28">
        <f>O47/'Summary-2000'!N47*100</f>
        <v>18.919706256322264</v>
      </c>
      <c r="P101" s="28">
        <f>P47/'Summary-2000'!O47*100</f>
        <v>-100</v>
      </c>
      <c r="Q101" s="28" t="e">
        <f>Q47/'Summary-2000'!P47*100</f>
        <v>#DIV/0!</v>
      </c>
      <c r="R101" s="28" t="e">
        <f>R47/'Summary-2000'!Q47*100</f>
        <v>#DIV/0!</v>
      </c>
      <c r="S101" s="28" t="e">
        <f>S47/'Summary-2000'!R47*100</f>
        <v>#DIV/0!</v>
      </c>
      <c r="T101" s="28" t="e">
        <f>T47/'Summary-2000'!S47*100</f>
        <v>#DIV/0!</v>
      </c>
      <c r="U101" s="28" t="e">
        <f>U47/'Summary-2000'!T47*100</f>
        <v>#DIV/0!</v>
      </c>
      <c r="V101" s="28" t="e">
        <f>V47/'Summary-2000'!U47*100</f>
        <v>#DIV/0!</v>
      </c>
      <c r="AA101" s="18" t="str">
        <f>VLOOKUP($AB101,AA$2:$AB$52,2,FALSE)</f>
        <v>Charlotte</v>
      </c>
      <c r="AB101" s="18">
        <f t="shared" si="13"/>
        <v>46</v>
      </c>
      <c r="AC101" s="18" t="str">
        <f>VLOOKUP($AB101,AC$2:$AI$52,8-AC$1/10,FALSE)</f>
        <v>Charlotte</v>
      </c>
      <c r="AD101" s="18" t="str">
        <f>VLOOKUP($AB101,AD$2:$AI$52,8-AD$1/10,FALSE)</f>
        <v>Charlotte</v>
      </c>
      <c r="AE101" s="18" t="str">
        <f>VLOOKUP($AB101,AE$2:$AI$52,8-AE$1/10,FALSE)</f>
        <v>Boston</v>
      </c>
      <c r="AF101" s="18" t="str">
        <f>VLOOKUP($AB101,AF$2:$AI$52,8-AF$1/10,FALSE)</f>
        <v>Phoenix</v>
      </c>
      <c r="AG101" s="18" t="str">
        <f>VLOOKUP($AB101,AG$2:$AI$52,8-AG$1/10,FALSE)</f>
        <v>Tampa Bay</v>
      </c>
      <c r="AH101" s="18" t="e">
        <f>VLOOKUP($AB101,AH$2:$AI$52,8-AH$1/10,FALSE)</f>
        <v>#N/A</v>
      </c>
      <c r="AI101" s="18" t="str">
        <f t="shared" si="12"/>
        <v>Charlotte</v>
      </c>
    </row>
    <row r="102" spans="11:35">
      <c r="K102" s="28" t="str">
        <f t="shared" si="11"/>
        <v>Seattle</v>
      </c>
      <c r="L102" s="28">
        <f>L48/'Summary-2000'!L48*100</f>
        <v>-3.1012036727710792</v>
      </c>
      <c r="M102" s="28">
        <f>Z48/'Summary-2010'!Y48*100</f>
        <v>-12.887979504717148</v>
      </c>
      <c r="N102" s="28">
        <f>N48/'Summary-2000'!M48*100</f>
        <v>-14.268057951952375</v>
      </c>
      <c r="O102" s="28">
        <f>O48/'Summary-2000'!N48*100</f>
        <v>-15.200247227426297</v>
      </c>
      <c r="P102" s="28">
        <f>P48/'Summary-2000'!O48*100</f>
        <v>-10.129702545443497</v>
      </c>
      <c r="Q102" s="28">
        <f>Q48/'Summary-2000'!P48*100</f>
        <v>-9.2654664534260345</v>
      </c>
      <c r="R102" s="28">
        <f>R48/'Summary-2000'!Q48*100</f>
        <v>608.56150037741759</v>
      </c>
      <c r="S102" s="28" t="e">
        <f>S48/'Summary-2000'!R48*100</f>
        <v>#DIV/0!</v>
      </c>
      <c r="T102" s="28" t="e">
        <f>T48/'Summary-2000'!S48*100</f>
        <v>#DIV/0!</v>
      </c>
      <c r="U102" s="28" t="e">
        <f>U48/'Summary-2000'!T48*100</f>
        <v>#DIV/0!</v>
      </c>
      <c r="V102" s="28" t="e">
        <f>V48/'Summary-2000'!U48*100</f>
        <v>#DIV/0!</v>
      </c>
      <c r="AA102" s="18" t="str">
        <f>VLOOKUP($AB102,AA$2:$AB$52,2,FALSE)</f>
        <v>Hartford</v>
      </c>
      <c r="AB102" s="18">
        <f t="shared" si="13"/>
        <v>47</v>
      </c>
      <c r="AC102" s="18" t="str">
        <f>VLOOKUP($AB102,AC$2:$AI$52,8-AC$1/10,FALSE)</f>
        <v>Honolulu</v>
      </c>
      <c r="AD102" s="18" t="str">
        <f>VLOOKUP($AB102,AD$2:$AI$52,8-AD$1/10,FALSE)</f>
        <v>New Orleans</v>
      </c>
      <c r="AE102" s="18" t="str">
        <f>VLOOKUP($AB102,AE$2:$AI$52,8-AE$1/10,FALSE)</f>
        <v>Sacramento</v>
      </c>
      <c r="AF102" s="18" t="str">
        <f>VLOOKUP($AB102,AF$2:$AI$52,8-AF$1/10,FALSE)</f>
        <v>Orlando</v>
      </c>
      <c r="AG102" s="18" t="str">
        <f>VLOOKUP($AB102,AG$2:$AI$52,8-AG$1/10,FALSE)</f>
        <v>Dallas-Fort Worth</v>
      </c>
      <c r="AH102" s="18" t="e">
        <f>VLOOKUP($AB102,AH$2:$AI$52,8-AH$1/10,FALSE)</f>
        <v>#N/A</v>
      </c>
      <c r="AI102" s="18" t="str">
        <f t="shared" si="12"/>
        <v>Hartford</v>
      </c>
    </row>
    <row r="103" spans="11:35">
      <c r="K103" s="28" t="str">
        <f t="shared" si="11"/>
        <v>Miami</v>
      </c>
      <c r="L103" s="28">
        <f>L49/'Summary-2000'!L49*100</f>
        <v>22.543060458943668</v>
      </c>
      <c r="M103" s="28">
        <f>Z49/'Summary-2010'!Y49*100</f>
        <v>11.097414745735016</v>
      </c>
      <c r="N103" s="28">
        <f>N49/'Summary-2000'!M49*100</f>
        <v>8.4840090246900495</v>
      </c>
      <c r="O103" s="28">
        <f>O49/'Summary-2000'!N49*100</f>
        <v>7.1452893728557401</v>
      </c>
      <c r="P103" s="28">
        <f>P49/'Summary-2000'!O49*100</f>
        <v>7.4053353998320599</v>
      </c>
      <c r="Q103" s="28">
        <f>Q49/'Summary-2000'!P49*100</f>
        <v>41.710876029600342</v>
      </c>
      <c r="R103" s="28" t="e">
        <f>R49/'Summary-2000'!Q49*100</f>
        <v>#DIV/0!</v>
      </c>
      <c r="S103" s="28" t="e">
        <f>S49/'Summary-2000'!R49*100</f>
        <v>#DIV/0!</v>
      </c>
      <c r="T103" s="28" t="e">
        <f>T49/'Summary-2000'!S49*100</f>
        <v>#DIV/0!</v>
      </c>
      <c r="U103" s="28" t="e">
        <f>U49/'Summary-2000'!T49*100</f>
        <v>#DIV/0!</v>
      </c>
      <c r="V103" s="28" t="e">
        <f>V49/'Summary-2000'!U49*100</f>
        <v>#DIV/0!</v>
      </c>
      <c r="AA103" s="18" t="str">
        <f>VLOOKUP($AB103,AA$2:$AB$52,2,FALSE)</f>
        <v>Boston</v>
      </c>
      <c r="AB103" s="18">
        <f t="shared" si="13"/>
        <v>48</v>
      </c>
      <c r="AC103" s="18" t="str">
        <f>VLOOKUP($AB103,AC$2:$AI$52,8-AC$1/10,FALSE)</f>
        <v>Grand Rapids</v>
      </c>
      <c r="AD103" s="18" t="str">
        <f>VLOOKUP($AB103,AD$2:$AI$52,8-AD$1/10,FALSE)</f>
        <v>Hartford</v>
      </c>
      <c r="AE103" s="18" t="str">
        <f>VLOOKUP($AB103,AE$2:$AI$52,8-AE$1/10,FALSE)</f>
        <v>Salt Lake City</v>
      </c>
      <c r="AF103" s="18" t="str">
        <f>VLOOKUP($AB103,AF$2:$AI$52,8-AF$1/10,FALSE)</f>
        <v>Boston</v>
      </c>
      <c r="AG103" s="18" t="str">
        <f>VLOOKUP($AB103,AG$2:$AI$52,8-AG$1/10,FALSE)</f>
        <v>Houston</v>
      </c>
      <c r="AH103" s="18" t="str">
        <f>VLOOKUP($AB103,AH$2:$AI$52,8-AH$1/10,FALSE)</f>
        <v>Philadelphia</v>
      </c>
      <c r="AI103" s="18" t="str">
        <f t="shared" si="12"/>
        <v>Boston</v>
      </c>
    </row>
    <row r="104" spans="11:35">
      <c r="K104" s="28" t="str">
        <f t="shared" si="11"/>
        <v>St. Louis</v>
      </c>
      <c r="L104" s="28">
        <f>L50/'Summary-2000'!L50*100</f>
        <v>-4.1764840818600391</v>
      </c>
      <c r="M104" s="28">
        <f>Z50/'Summary-2010'!Y50*100</f>
        <v>-14.520580954345563</v>
      </c>
      <c r="N104" s="28">
        <f>N50/'Summary-2000'!M50*100</f>
        <v>-15.878833675570908</v>
      </c>
      <c r="O104" s="28">
        <f>O50/'Summary-2000'!N50*100</f>
        <v>-17.19856660160487</v>
      </c>
      <c r="P104" s="28">
        <f>P50/'Summary-2000'!O50*100</f>
        <v>-18.899379729357051</v>
      </c>
      <c r="Q104" s="28">
        <f>Q50/'Summary-2000'!P50*100</f>
        <v>20.266074054083326</v>
      </c>
      <c r="R104" s="28" t="e">
        <f>R50/'Summary-2000'!Q50*100</f>
        <v>#DIV/0!</v>
      </c>
      <c r="S104" s="28" t="e">
        <f>S50/'Summary-2000'!R50*100</f>
        <v>#DIV/0!</v>
      </c>
      <c r="T104" s="28" t="e">
        <f>T50/'Summary-2000'!S50*100</f>
        <v>#DIV/0!</v>
      </c>
      <c r="U104" s="28" t="e">
        <f>U50/'Summary-2000'!T50*100</f>
        <v>#DIV/0!</v>
      </c>
      <c r="V104" s="28" t="e">
        <f>V50/'Summary-2000'!U50*100</f>
        <v>#DIV/0!</v>
      </c>
      <c r="AA104" s="18" t="str">
        <f>VLOOKUP($AB104,AA$2:$AB$52,2,FALSE)</f>
        <v>Grand Rapids</v>
      </c>
      <c r="AB104" s="18">
        <f t="shared" si="13"/>
        <v>49</v>
      </c>
      <c r="AC104" s="18" t="str">
        <f>VLOOKUP($AB104,AC$2:$AI$52,8-AC$1/10,FALSE)</f>
        <v>Hartford</v>
      </c>
      <c r="AD104" s="18" t="str">
        <f>VLOOKUP($AB104,AD$2:$AI$52,8-AD$1/10,FALSE)</f>
        <v>Cleveland</v>
      </c>
      <c r="AE104" s="18" t="str">
        <f>VLOOKUP($AB104,AE$2:$AI$52,8-AE$1/10,FALSE)</f>
        <v>Milwaukee</v>
      </c>
      <c r="AF104" s="18" t="str">
        <f>VLOOKUP($AB104,AF$2:$AI$52,8-AF$1/10,FALSE)</f>
        <v>Tampa Bay</v>
      </c>
      <c r="AG104" s="18" t="str">
        <f>VLOOKUP($AB104,AG$2:$AI$52,8-AG$1/10,FALSE)</f>
        <v>Washington</v>
      </c>
      <c r="AH104" s="18" t="str">
        <f>VLOOKUP($AB104,AH$2:$AI$52,8-AH$1/10,FALSE)</f>
        <v>Atlanta</v>
      </c>
      <c r="AI104" s="18" t="str">
        <f t="shared" si="12"/>
        <v>Grand Rapids</v>
      </c>
    </row>
    <row r="105" spans="11:35">
      <c r="K105" s="28" t="str">
        <f t="shared" si="11"/>
        <v>Tampa Bay</v>
      </c>
      <c r="L105" s="28">
        <f>L51/'Summary-2000'!L51*100</f>
        <v>-10.612688318861036</v>
      </c>
      <c r="M105" s="28">
        <f>Z51/'Summary-2010'!Y51*100</f>
        <v>18.338540418711773</v>
      </c>
      <c r="N105" s="28">
        <f>N51/'Summary-2000'!M51*100</f>
        <v>40.876886335184068</v>
      </c>
      <c r="O105" s="28">
        <f>O51/'Summary-2000'!N51*100</f>
        <v>41.519347722745572</v>
      </c>
      <c r="P105" s="28">
        <f>P51/'Summary-2000'!O51*100</f>
        <v>40.416327095000106</v>
      </c>
      <c r="Q105" s="28">
        <f>Q51/'Summary-2000'!P51*100</f>
        <v>-58.886326740269915</v>
      </c>
      <c r="R105" s="28">
        <f>R51/'Summary-2000'!Q51*100</f>
        <v>-100</v>
      </c>
      <c r="S105" s="28" t="e">
        <f>S51/'Summary-2000'!R51*100</f>
        <v>#DIV/0!</v>
      </c>
      <c r="T105" s="28" t="e">
        <f>T51/'Summary-2000'!S51*100</f>
        <v>#DIV/0!</v>
      </c>
      <c r="U105" s="28" t="e">
        <f>U51/'Summary-2000'!T51*100</f>
        <v>#DIV/0!</v>
      </c>
      <c r="V105" s="28" t="e">
        <f>V51/'Summary-2000'!U51*100</f>
        <v>#DIV/0!</v>
      </c>
      <c r="AA105" s="18" t="str">
        <f>VLOOKUP($AB105,AA$2:$AB$52,2,FALSE)</f>
        <v>Cleveland</v>
      </c>
      <c r="AB105" s="18">
        <f t="shared" si="13"/>
        <v>50</v>
      </c>
      <c r="AC105" s="18" t="str">
        <f>VLOOKUP($AB105,AC$2:$AI$52,8-AC$1/10,FALSE)</f>
        <v>Cleveland</v>
      </c>
      <c r="AD105" s="18" t="str">
        <f>VLOOKUP($AB105,AD$2:$AI$52,8-AD$1/10,FALSE)</f>
        <v>Grand Rapids</v>
      </c>
      <c r="AE105" s="18" t="str">
        <f>VLOOKUP($AB105,AE$2:$AI$52,8-AE$1/10,FALSE)</f>
        <v>San Jose</v>
      </c>
      <c r="AF105" s="18" t="str">
        <f>VLOOKUP($AB105,AF$2:$AI$52,8-AF$1/10,FALSE)</f>
        <v>San Diego</v>
      </c>
      <c r="AG105" s="18" t="str">
        <f>VLOOKUP($AB105,AG$2:$AI$52,8-AG$1/10,FALSE)</f>
        <v>Detroit</v>
      </c>
      <c r="AH105" s="18" t="str">
        <f>VLOOKUP($AB105,AH$2:$AI$52,8-AH$1/10,FALSE)</f>
        <v>Chicago</v>
      </c>
      <c r="AI105" s="18" t="str">
        <f t="shared" si="12"/>
        <v>Cleveland</v>
      </c>
    </row>
    <row r="106" spans="11:35">
      <c r="K106" s="28" t="str">
        <f t="shared" si="11"/>
        <v>Washington</v>
      </c>
      <c r="L106" s="28">
        <f>L52/'Summary-2000'!L52*100</f>
        <v>4.0328951179565315</v>
      </c>
      <c r="M106" s="28">
        <f>Z52/'Summary-2010'!Y52*100</f>
        <v>23.59047826031442</v>
      </c>
      <c r="N106" s="28">
        <f>N52/'Summary-2000'!M52*100</f>
        <v>38.925258887086429</v>
      </c>
      <c r="O106" s="28">
        <f>O52/'Summary-2000'!N52*100</f>
        <v>41.013294958990585</v>
      </c>
      <c r="P106" s="28">
        <f>P52/'Summary-2000'!O52*100</f>
        <v>38.524077092876794</v>
      </c>
      <c r="Q106" s="28">
        <f>Q52/'Summary-2000'!P52*100</f>
        <v>36.126296550586247</v>
      </c>
      <c r="R106" s="28">
        <f>R52/'Summary-2000'!Q52*100</f>
        <v>-67.829847829864363</v>
      </c>
      <c r="S106" s="28" t="e">
        <f>S52/'Summary-2000'!R52*100</f>
        <v>#DIV/0!</v>
      </c>
      <c r="T106" s="28" t="e">
        <f>T52/'Summary-2000'!S52*100</f>
        <v>#DIV/0!</v>
      </c>
      <c r="U106" s="28" t="e">
        <f>U52/'Summary-2000'!T52*100</f>
        <v>#DIV/0!</v>
      </c>
      <c r="V106" s="28" t="e">
        <f>V52/'Summary-2000'!U52*100</f>
        <v>#DIV/0!</v>
      </c>
      <c r="AA106" s="18" t="str">
        <f>VLOOKUP($AB106,AA$2:$AB$52,2,FALSE)</f>
        <v>Raleigh</v>
      </c>
      <c r="AB106" s="18">
        <f t="shared" si="13"/>
        <v>51</v>
      </c>
      <c r="AC106" s="18" t="str">
        <f>VLOOKUP($AB106,AC$2:$AI$52,8-AC$1/10,FALSE)</f>
        <v>Raleigh</v>
      </c>
      <c r="AD106" s="18" t="str">
        <f>VLOOKUP($AB106,AD$2:$AI$52,8-AD$1/10,FALSE)</f>
        <v>Raleigh</v>
      </c>
      <c r="AE106" s="18" t="str">
        <f>VLOOKUP($AB106,AE$2:$AI$52,8-AE$1/10,FALSE)</f>
        <v>San Francisco</v>
      </c>
      <c r="AF106" s="18" t="str">
        <f>VLOOKUP($AB106,AF$2:$AI$52,8-AF$1/10,FALSE)</f>
        <v>Minneapolis</v>
      </c>
      <c r="AG106" s="18" t="str">
        <f>VLOOKUP($AB106,AG$2:$AI$52,8-AG$1/10,FALSE)</f>
        <v>Los Angeles</v>
      </c>
      <c r="AH106" s="18" t="str">
        <f>VLOOKUP($AB106,AH$2:$AI$52,8-AH$1/10,FALSE)</f>
        <v>Los Angeles</v>
      </c>
      <c r="AI106" s="18" t="str">
        <f t="shared" ref="AI106" si="14">AA106</f>
        <v>Raleigh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6"/>
  <sheetViews>
    <sheetView topLeftCell="A3" workbookViewId="0">
      <selection activeCell="AB2" sqref="AB2"/>
    </sheetView>
  </sheetViews>
  <sheetFormatPr baseColWidth="10" defaultRowHeight="14" x14ac:dyDescent="0"/>
  <cols>
    <col min="1" max="16384" width="10.83203125" style="18"/>
  </cols>
  <sheetData>
    <row r="1" spans="1:34">
      <c r="A1" s="29" t="s">
        <v>16</v>
      </c>
      <c r="B1" s="29" t="s">
        <v>131</v>
      </c>
      <c r="C1" s="29" t="s">
        <v>132</v>
      </c>
      <c r="D1" s="29" t="s">
        <v>133</v>
      </c>
      <c r="E1" s="29" t="s">
        <v>134</v>
      </c>
      <c r="F1" s="29" t="s">
        <v>135</v>
      </c>
      <c r="G1" s="29" t="s">
        <v>136</v>
      </c>
      <c r="H1" s="29" t="s">
        <v>148</v>
      </c>
      <c r="I1" s="29" t="s">
        <v>149</v>
      </c>
      <c r="J1" s="29" t="s">
        <v>150</v>
      </c>
      <c r="K1" s="29" t="s">
        <v>16</v>
      </c>
      <c r="L1" s="29" t="s">
        <v>570</v>
      </c>
      <c r="M1" s="29" t="s">
        <v>131</v>
      </c>
      <c r="N1" s="29" t="s">
        <v>137</v>
      </c>
      <c r="O1" s="29" t="s">
        <v>138</v>
      </c>
      <c r="P1" s="29" t="s">
        <v>139</v>
      </c>
      <c r="Q1" s="29" t="s">
        <v>140</v>
      </c>
      <c r="R1" s="29" t="s">
        <v>141</v>
      </c>
      <c r="S1" s="29" t="s">
        <v>151</v>
      </c>
      <c r="T1" s="29" t="s">
        <v>152</v>
      </c>
      <c r="U1" s="29" t="s">
        <v>153</v>
      </c>
      <c r="V1" s="29"/>
      <c r="W1" s="29" t="s">
        <v>142</v>
      </c>
      <c r="X1" s="29"/>
      <c r="Y1" s="29" t="s">
        <v>144</v>
      </c>
      <c r="Z1" s="29" t="s">
        <v>128</v>
      </c>
      <c r="AA1" s="29" t="s">
        <v>16</v>
      </c>
      <c r="AB1" s="29">
        <v>10</v>
      </c>
      <c r="AC1" s="29">
        <v>20</v>
      </c>
      <c r="AD1" s="29">
        <v>30</v>
      </c>
      <c r="AE1" s="29">
        <v>40</v>
      </c>
      <c r="AF1" s="29">
        <v>50</v>
      </c>
      <c r="AG1" s="29">
        <v>60</v>
      </c>
      <c r="AH1" s="29" t="str">
        <f>AA1</f>
        <v>Area</v>
      </c>
    </row>
    <row r="2" spans="1:34">
      <c r="A2" s="18" t="s">
        <v>26</v>
      </c>
      <c r="B2" s="13">
        <f>'Summary-2000'!B2-'Summary-1990'!B2</f>
        <v>-34978.644388326706</v>
      </c>
      <c r="C2" s="13">
        <f>'Summary-2000'!C2-'Summary-1990'!C2</f>
        <v>-152737.99077233503</v>
      </c>
      <c r="D2" s="13">
        <f>'Summary-2000'!D2-'Summary-1990'!D2</f>
        <v>-356158.43315926066</v>
      </c>
      <c r="E2" s="13">
        <f>'Summary-2000'!E2-'Summary-1990'!E2</f>
        <v>-460892</v>
      </c>
      <c r="F2" s="13">
        <f>'Summary-2000'!F2-'Summary-1990'!F2</f>
        <v>159780</v>
      </c>
      <c r="G2" s="13">
        <f>'Summary-2000'!G2-'Summary-1990'!G2</f>
        <v>647407</v>
      </c>
      <c r="H2" s="13">
        <f>'Summary-2000'!H2-'Summary-1990'!H2</f>
        <v>647407</v>
      </c>
      <c r="I2" s="13">
        <f>'Summary-2000'!I2-'Summary-1990'!I2</f>
        <v>647407</v>
      </c>
      <c r="J2" s="13">
        <f>'Summary-2000'!J2-'Summary-1990'!J2</f>
        <v>647407</v>
      </c>
      <c r="K2" s="18" t="str">
        <f>A2</f>
        <v>Atlanta</v>
      </c>
      <c r="L2" s="13">
        <f>SUM(M2:U2)</f>
        <v>647408</v>
      </c>
      <c r="M2" s="13">
        <f>'Summary-2000'!M2-'Summary-1990'!M2</f>
        <v>-34978.644388326706</v>
      </c>
      <c r="N2" s="13">
        <f>'Summary-2000'!N2-'Summary-1990'!N2</f>
        <v>-117759.3463840083</v>
      </c>
      <c r="O2" s="13">
        <f>'Summary-2000'!O2-'Summary-1990'!O2</f>
        <v>-203420.44238692563</v>
      </c>
      <c r="P2" s="13">
        <f>'Summary-2000'!P2-'Summary-1990'!P2</f>
        <v>-104733.56684073934</v>
      </c>
      <c r="Q2" s="13">
        <f>'Summary-2000'!Q2-'Summary-1990'!Q2</f>
        <v>620673</v>
      </c>
      <c r="R2" s="13">
        <f>'Summary-2000'!R2-'Summary-1990'!R2</f>
        <v>487627</v>
      </c>
      <c r="S2" s="13">
        <f>'Summary-2000'!S2-'Summary-1990'!S2</f>
        <v>0</v>
      </c>
      <c r="T2" s="13">
        <f>'Summary-2000'!T2-'Summary-1990'!T2</f>
        <v>0</v>
      </c>
      <c r="U2" s="13">
        <f>'Summary-2000'!U2-'Summary-1990'!U2</f>
        <v>0</v>
      </c>
      <c r="V2" s="13"/>
      <c r="W2" s="13">
        <f>U2+T2+S2+R2+Q2+P2+O2+N2+M2</f>
        <v>647408.00000000012</v>
      </c>
      <c r="Y2" s="13">
        <f t="shared" ref="Y2:Y52" si="0">M2*EXP(Beta*10)+N2*EXP(Beta*20)+O2*EXP(Beta*30)+P2*EXP(Beta*40)+Q2*EXP(Beta*50)+R2*EXP(Beta*60)+S2*EXP(Beta*70)+T2*EXP(Beta*80)+U2*EXP(Beta*90)</f>
        <v>-46834.107850742308</v>
      </c>
      <c r="Z2" s="18">
        <f>RANK(Y2,$Y$2:$Y$52)</f>
        <v>42</v>
      </c>
      <c r="AA2" s="18" t="str">
        <f>A2</f>
        <v>Atlanta</v>
      </c>
      <c r="AB2" s="18">
        <f t="shared" ref="AB2:AG2" si="1">RANK(M2,M$2:M$52)</f>
        <v>28</v>
      </c>
      <c r="AC2" s="18">
        <f t="shared" si="1"/>
        <v>36</v>
      </c>
      <c r="AD2" s="18">
        <f t="shared" si="1"/>
        <v>45</v>
      </c>
      <c r="AE2" s="18">
        <f t="shared" si="1"/>
        <v>45</v>
      </c>
      <c r="AF2" s="18">
        <f t="shared" si="1"/>
        <v>4</v>
      </c>
      <c r="AG2" s="18">
        <f t="shared" si="1"/>
        <v>2</v>
      </c>
      <c r="AH2" s="18" t="str">
        <f t="shared" ref="AH2:AH52" si="2">AA2</f>
        <v>Atlanta</v>
      </c>
    </row>
    <row r="3" spans="1:34">
      <c r="A3" s="18" t="s">
        <v>27</v>
      </c>
      <c r="B3" s="13">
        <f>'Summary-2000'!B3-'Summary-1990'!B3</f>
        <v>-9518.9644306516275</v>
      </c>
      <c r="C3" s="13">
        <f>'Summary-2000'!C3-'Summary-1990'!C3</f>
        <v>-40068</v>
      </c>
      <c r="D3" s="13">
        <f>'Summary-2000'!D3-'Summary-1990'!D3</f>
        <v>176469</v>
      </c>
      <c r="E3" s="13">
        <f>'Summary-2000'!E3-'Summary-1990'!E3</f>
        <v>176469</v>
      </c>
      <c r="F3" s="13">
        <f>'Summary-2000'!F3-'Summary-1990'!F3</f>
        <v>176469</v>
      </c>
      <c r="G3" s="13">
        <f>'Summary-2000'!G3-'Summary-1990'!G3</f>
        <v>176469</v>
      </c>
      <c r="H3" s="13">
        <f>'Summary-2000'!H3-'Summary-1990'!H3</f>
        <v>176469</v>
      </c>
      <c r="I3" s="13">
        <f>'Summary-2000'!I3-'Summary-1990'!I3</f>
        <v>176469</v>
      </c>
      <c r="J3" s="13">
        <f>'Summary-2000'!J3-'Summary-1990'!J3</f>
        <v>176469</v>
      </c>
      <c r="K3" s="18" t="str">
        <f t="shared" ref="K3:K52" si="3">A3</f>
        <v>Austin</v>
      </c>
      <c r="L3" s="13">
        <f t="shared" ref="L3:L52" si="4">SUM(M3:U3)</f>
        <v>176469</v>
      </c>
      <c r="M3" s="13">
        <f>'Summary-2000'!M3-'Summary-1990'!M3</f>
        <v>-9518.9644306516275</v>
      </c>
      <c r="N3" s="13">
        <f>'Summary-2000'!N3-'Summary-1990'!N3</f>
        <v>-30549.035569348373</v>
      </c>
      <c r="O3" s="13">
        <f>'Summary-2000'!O3-'Summary-1990'!O3</f>
        <v>216537</v>
      </c>
      <c r="P3" s="13">
        <f>'Summary-2000'!P3-'Summary-1990'!P3</f>
        <v>0</v>
      </c>
      <c r="Q3" s="13">
        <f>'Summary-2000'!Q3-'Summary-1990'!Q3</f>
        <v>0</v>
      </c>
      <c r="R3" s="13">
        <f>'Summary-2000'!R3-'Summary-1990'!R3</f>
        <v>0</v>
      </c>
      <c r="S3" s="13">
        <f>'Summary-2000'!S3-'Summary-1990'!S3</f>
        <v>0</v>
      </c>
      <c r="T3" s="13">
        <f>'Summary-2000'!T3-'Summary-1990'!T3</f>
        <v>0</v>
      </c>
      <c r="U3" s="13">
        <f>'Summary-2000'!U3-'Summary-1990'!U3</f>
        <v>0</v>
      </c>
      <c r="V3" s="13"/>
      <c r="W3" s="13">
        <f t="shared" ref="W3:W52" si="5">U3+T3+S3+R3+Q3+P3+O3+N3+M3</f>
        <v>176469</v>
      </c>
      <c r="Y3" s="13">
        <f t="shared" si="0"/>
        <v>9198.9031147898313</v>
      </c>
      <c r="Z3" s="18">
        <f t="shared" ref="Z3:Z52" si="6">RANK(Y3,$Y$2:$Y$52)</f>
        <v>13</v>
      </c>
      <c r="AA3" s="18" t="str">
        <f t="shared" ref="AA3:AA52" si="7">A3</f>
        <v>Austin</v>
      </c>
      <c r="AB3" s="18">
        <f t="shared" ref="AB3:AG52" si="8">RANK(M3,M$2:M$52)</f>
        <v>14</v>
      </c>
      <c r="AC3" s="18">
        <f t="shared" si="8"/>
        <v>19</v>
      </c>
      <c r="AD3" s="18">
        <f t="shared" si="8"/>
        <v>7</v>
      </c>
      <c r="AE3" s="18">
        <f t="shared" si="8"/>
        <v>19</v>
      </c>
      <c r="AF3" s="18">
        <f t="shared" si="8"/>
        <v>12</v>
      </c>
      <c r="AG3" s="18">
        <f t="shared" si="8"/>
        <v>4</v>
      </c>
      <c r="AH3" s="18" t="str">
        <f t="shared" si="2"/>
        <v>Austin</v>
      </c>
    </row>
    <row r="4" spans="1:34">
      <c r="A4" s="18" t="s">
        <v>28</v>
      </c>
      <c r="B4" s="13">
        <f>'Summary-2000'!B4-'Summary-1990'!B4</f>
        <v>-42607.955078351544</v>
      </c>
      <c r="C4" s="13">
        <f>'Summary-2000'!C4-'Summary-1990'!C4</f>
        <v>-175131.59403251775</v>
      </c>
      <c r="D4" s="13">
        <f>'Summary-2000'!D4-'Summary-1990'!D4</f>
        <v>-210318</v>
      </c>
      <c r="E4" s="13">
        <f>'Summary-2000'!E4-'Summary-1990'!E4</f>
        <v>-128129</v>
      </c>
      <c r="F4" s="13">
        <f>'Summary-2000'!F4-'Summary-1990'!F4</f>
        <v>-128129</v>
      </c>
      <c r="G4" s="13">
        <f>'Summary-2000'!G4-'Summary-1990'!G4</f>
        <v>-128129</v>
      </c>
      <c r="H4" s="13">
        <f>'Summary-2000'!H4-'Summary-1990'!H4</f>
        <v>-128129</v>
      </c>
      <c r="I4" s="13">
        <f>'Summary-2000'!I4-'Summary-1990'!I4</f>
        <v>-128129</v>
      </c>
      <c r="J4" s="13">
        <f>'Summary-2000'!J4-'Summary-1990'!J4</f>
        <v>-128129</v>
      </c>
      <c r="K4" s="18" t="str">
        <f t="shared" si="3"/>
        <v>Baltimore</v>
      </c>
      <c r="L4" s="13">
        <f t="shared" si="4"/>
        <v>-128129</v>
      </c>
      <c r="M4" s="13">
        <f>'Summary-2000'!M4-'Summary-1990'!M4</f>
        <v>-42607.955078351544</v>
      </c>
      <c r="N4" s="13">
        <f>'Summary-2000'!N4-'Summary-1990'!N4</f>
        <v>-132523.63895416621</v>
      </c>
      <c r="O4" s="13">
        <f>'Summary-2000'!O4-'Summary-1990'!O4</f>
        <v>-35186.405967482249</v>
      </c>
      <c r="P4" s="13">
        <f>'Summary-2000'!P4-'Summary-1990'!P4</f>
        <v>82189</v>
      </c>
      <c r="Q4" s="13">
        <f>'Summary-2000'!Q4-'Summary-1990'!Q4</f>
        <v>0</v>
      </c>
      <c r="R4" s="13">
        <f>'Summary-2000'!R4-'Summary-1990'!R4</f>
        <v>0</v>
      </c>
      <c r="S4" s="13">
        <f>'Summary-2000'!S4-'Summary-1990'!S4</f>
        <v>0</v>
      </c>
      <c r="T4" s="13">
        <f>'Summary-2000'!T4-'Summary-1990'!T4</f>
        <v>0</v>
      </c>
      <c r="U4" s="13">
        <f>'Summary-2000'!U4-'Summary-1990'!U4</f>
        <v>0</v>
      </c>
      <c r="V4" s="13"/>
      <c r="W4" s="13">
        <f t="shared" si="5"/>
        <v>-128129</v>
      </c>
      <c r="Y4" s="13">
        <f t="shared" si="0"/>
        <v>-45742.883525538266</v>
      </c>
      <c r="Z4" s="18">
        <f t="shared" si="6"/>
        <v>40</v>
      </c>
      <c r="AA4" s="18" t="str">
        <f t="shared" si="7"/>
        <v>Baltimore</v>
      </c>
      <c r="AB4" s="18">
        <f t="shared" si="8"/>
        <v>33</v>
      </c>
      <c r="AC4" s="18">
        <f t="shared" si="8"/>
        <v>40</v>
      </c>
      <c r="AD4" s="18">
        <f t="shared" si="8"/>
        <v>35</v>
      </c>
      <c r="AE4" s="18">
        <f t="shared" si="8"/>
        <v>13</v>
      </c>
      <c r="AF4" s="18">
        <f t="shared" si="8"/>
        <v>12</v>
      </c>
      <c r="AG4" s="18">
        <f t="shared" si="8"/>
        <v>4</v>
      </c>
      <c r="AH4" s="18" t="str">
        <f t="shared" si="2"/>
        <v>Baltimore</v>
      </c>
    </row>
    <row r="5" spans="1:34">
      <c r="A5" s="18" t="s">
        <v>29</v>
      </c>
      <c r="B5" s="13">
        <f>'Summary-2000'!B5-'Summary-1990'!B5</f>
        <v>-50368.006448924047</v>
      </c>
      <c r="C5" s="13">
        <f>'Summary-2000'!C5-'Summary-1990'!C5</f>
        <v>-230329.31532734609</v>
      </c>
      <c r="D5" s="13">
        <f>'Summary-2000'!D5-'Summary-1990'!D5</f>
        <v>-536580.6055296876</v>
      </c>
      <c r="E5" s="13">
        <f>'Summary-2000'!E5-'Summary-1990'!E5</f>
        <v>235548</v>
      </c>
      <c r="F5" s="13">
        <f>'Summary-2000'!F5-'Summary-1990'!F5</f>
        <v>933614</v>
      </c>
      <c r="G5" s="13">
        <f>'Summary-2000'!G5-'Summary-1990'!G5</f>
        <v>933614</v>
      </c>
      <c r="H5" s="13">
        <f>'Summary-2000'!H5-'Summary-1990'!H5</f>
        <v>933614</v>
      </c>
      <c r="I5" s="13">
        <f>'Summary-2000'!I5-'Summary-1990'!I5</f>
        <v>933614</v>
      </c>
      <c r="J5" s="13">
        <f>'Summary-2000'!J5-'Summary-1990'!J5</f>
        <v>933614</v>
      </c>
      <c r="K5" s="18" t="str">
        <f t="shared" si="3"/>
        <v>Boston</v>
      </c>
      <c r="L5" s="13">
        <f t="shared" si="4"/>
        <v>933615</v>
      </c>
      <c r="M5" s="13">
        <f>'Summary-2000'!M5-'Summary-1990'!M5</f>
        <v>-50368.006448924047</v>
      </c>
      <c r="N5" s="13">
        <f>'Summary-2000'!N5-'Summary-1990'!N5</f>
        <v>-179961.30887842202</v>
      </c>
      <c r="O5" s="13">
        <f>'Summary-2000'!O5-'Summary-1990'!O5</f>
        <v>-306251.29020234151</v>
      </c>
      <c r="P5" s="13">
        <f>'Summary-2000'!P5-'Summary-1990'!P5</f>
        <v>772129.6055296876</v>
      </c>
      <c r="Q5" s="13">
        <f>'Summary-2000'!Q5-'Summary-1990'!Q5</f>
        <v>698066</v>
      </c>
      <c r="R5" s="13">
        <f>'Summary-2000'!R5-'Summary-1990'!R5</f>
        <v>0</v>
      </c>
      <c r="S5" s="13">
        <f>'Summary-2000'!S5-'Summary-1990'!S5</f>
        <v>0</v>
      </c>
      <c r="T5" s="13">
        <f>'Summary-2000'!T5-'Summary-1990'!T5</f>
        <v>0</v>
      </c>
      <c r="U5" s="13">
        <f>'Summary-2000'!U5-'Summary-1990'!U5</f>
        <v>0</v>
      </c>
      <c r="V5" s="13"/>
      <c r="W5" s="13">
        <f t="shared" si="5"/>
        <v>933615</v>
      </c>
      <c r="Y5" s="13">
        <f t="shared" si="0"/>
        <v>-42488.626783217303</v>
      </c>
      <c r="Z5" s="18">
        <f t="shared" si="6"/>
        <v>37</v>
      </c>
      <c r="AA5" s="18" t="str">
        <f t="shared" si="7"/>
        <v>Boston</v>
      </c>
      <c r="AB5" s="18">
        <f t="shared" si="8"/>
        <v>36</v>
      </c>
      <c r="AC5" s="18">
        <f t="shared" si="8"/>
        <v>45</v>
      </c>
      <c r="AD5" s="18">
        <f t="shared" si="8"/>
        <v>47</v>
      </c>
      <c r="AE5" s="18">
        <f t="shared" si="8"/>
        <v>1</v>
      </c>
      <c r="AF5" s="18">
        <f t="shared" si="8"/>
        <v>3</v>
      </c>
      <c r="AG5" s="18">
        <f t="shared" si="8"/>
        <v>4</v>
      </c>
      <c r="AH5" s="18" t="str">
        <f t="shared" si="2"/>
        <v>Boston</v>
      </c>
    </row>
    <row r="6" spans="1:34">
      <c r="A6" s="18" t="s">
        <v>30</v>
      </c>
      <c r="B6" s="13">
        <f>'Summary-2000'!B6-'Summary-1990'!B6</f>
        <v>-119601.3949883226</v>
      </c>
      <c r="C6" s="13">
        <f>'Summary-2000'!C6-'Summary-1990'!C6</f>
        <v>-119351</v>
      </c>
      <c r="D6" s="13">
        <f>'Summary-2000'!D6-'Summary-1990'!D6</f>
        <v>-55495</v>
      </c>
      <c r="E6" s="13">
        <f>'Summary-2000'!E6-'Summary-1990'!E6</f>
        <v>-55495</v>
      </c>
      <c r="F6" s="13">
        <f>'Summary-2000'!F6-'Summary-1990'!F6</f>
        <v>-55495</v>
      </c>
      <c r="G6" s="13">
        <f>'Summary-2000'!G6-'Summary-1990'!G6</f>
        <v>-55495</v>
      </c>
      <c r="H6" s="13">
        <f>'Summary-2000'!H6-'Summary-1990'!H6</f>
        <v>-55495</v>
      </c>
      <c r="I6" s="13">
        <f>'Summary-2000'!I6-'Summary-1990'!I6</f>
        <v>-55495</v>
      </c>
      <c r="J6" s="13">
        <f>'Summary-2000'!J6-'Summary-1990'!J6</f>
        <v>-55495</v>
      </c>
      <c r="K6" s="18" t="str">
        <f t="shared" si="3"/>
        <v>Buffalo</v>
      </c>
      <c r="L6" s="13">
        <f t="shared" si="4"/>
        <v>-55493.999999999971</v>
      </c>
      <c r="M6" s="13">
        <f>'Summary-2000'!M6-'Summary-1990'!M6</f>
        <v>-119601.3949883226</v>
      </c>
      <c r="N6" s="13">
        <f>'Summary-2000'!N6-'Summary-1990'!N6</f>
        <v>251.39498832263052</v>
      </c>
      <c r="O6" s="13">
        <f>'Summary-2000'!O6-'Summary-1990'!O6</f>
        <v>63856</v>
      </c>
      <c r="P6" s="13">
        <f>'Summary-2000'!P6-'Summary-1990'!P6</f>
        <v>0</v>
      </c>
      <c r="Q6" s="13">
        <f>'Summary-2000'!Q6-'Summary-1990'!Q6</f>
        <v>0</v>
      </c>
      <c r="R6" s="13">
        <f>'Summary-2000'!R6-'Summary-1990'!R6</f>
        <v>0</v>
      </c>
      <c r="S6" s="13">
        <f>'Summary-2000'!S6-'Summary-1990'!S6</f>
        <v>0</v>
      </c>
      <c r="T6" s="13">
        <f>'Summary-2000'!T6-'Summary-1990'!T6</f>
        <v>0</v>
      </c>
      <c r="U6" s="13">
        <f>'Summary-2000'!U6-'Summary-1990'!U6</f>
        <v>0</v>
      </c>
      <c r="V6" s="13"/>
      <c r="W6" s="13">
        <f t="shared" si="5"/>
        <v>-55493.999999999971</v>
      </c>
      <c r="Y6" s="13">
        <f t="shared" si="0"/>
        <v>-47896.729519045279</v>
      </c>
      <c r="Z6" s="18">
        <f t="shared" si="6"/>
        <v>43</v>
      </c>
      <c r="AA6" s="18" t="str">
        <f t="shared" si="7"/>
        <v>Buffalo</v>
      </c>
      <c r="AB6" s="18">
        <f t="shared" si="8"/>
        <v>49</v>
      </c>
      <c r="AC6" s="18">
        <f t="shared" si="8"/>
        <v>17</v>
      </c>
      <c r="AD6" s="18">
        <f t="shared" si="8"/>
        <v>24</v>
      </c>
      <c r="AE6" s="18">
        <f t="shared" si="8"/>
        <v>19</v>
      </c>
      <c r="AF6" s="18">
        <f t="shared" si="8"/>
        <v>12</v>
      </c>
      <c r="AG6" s="18">
        <f t="shared" si="8"/>
        <v>4</v>
      </c>
      <c r="AH6" s="18" t="str">
        <f t="shared" si="2"/>
        <v>Buffalo</v>
      </c>
    </row>
    <row r="7" spans="1:34">
      <c r="A7" s="18" t="s">
        <v>31</v>
      </c>
      <c r="B7" s="13">
        <f>'Summary-2000'!B7-'Summary-1990'!B7</f>
        <v>-104463.57713351652</v>
      </c>
      <c r="C7" s="13">
        <f>'Summary-2000'!C7-'Summary-1990'!C7</f>
        <v>-165326</v>
      </c>
      <c r="D7" s="13">
        <f>'Summary-2000'!D7-'Summary-1990'!D7</f>
        <v>206651</v>
      </c>
      <c r="E7" s="13">
        <f>'Summary-2000'!E7-'Summary-1990'!E7</f>
        <v>206651</v>
      </c>
      <c r="F7" s="13">
        <f>'Summary-2000'!F7-'Summary-1990'!F7</f>
        <v>206651</v>
      </c>
      <c r="G7" s="13">
        <f>'Summary-2000'!G7-'Summary-1990'!G7</f>
        <v>206651</v>
      </c>
      <c r="H7" s="13">
        <f>'Summary-2000'!H7-'Summary-1990'!H7</f>
        <v>206651</v>
      </c>
      <c r="I7" s="13">
        <f>'Summary-2000'!I7-'Summary-1990'!I7</f>
        <v>206651</v>
      </c>
      <c r="J7" s="13">
        <f>'Summary-2000'!J7-'Summary-1990'!J7</f>
        <v>206651</v>
      </c>
      <c r="K7" s="18" t="str">
        <f t="shared" si="3"/>
        <v>Charlotte</v>
      </c>
      <c r="L7" s="13">
        <f t="shared" si="4"/>
        <v>206651.00000000003</v>
      </c>
      <c r="M7" s="13">
        <f>'Summary-2000'!M7-'Summary-1990'!M7</f>
        <v>-104463.57713351652</v>
      </c>
      <c r="N7" s="13">
        <f>'Summary-2000'!N7-'Summary-1990'!N7</f>
        <v>-60862.422866483452</v>
      </c>
      <c r="O7" s="13">
        <f>'Summary-2000'!O7-'Summary-1990'!O7</f>
        <v>371977</v>
      </c>
      <c r="P7" s="13">
        <f>'Summary-2000'!P7-'Summary-1990'!P7</f>
        <v>0</v>
      </c>
      <c r="Q7" s="13">
        <f>'Summary-2000'!Q7-'Summary-1990'!Q7</f>
        <v>0</v>
      </c>
      <c r="R7" s="13">
        <f>'Summary-2000'!R7-'Summary-1990'!R7</f>
        <v>0</v>
      </c>
      <c r="S7" s="13">
        <f>'Summary-2000'!S7-'Summary-1990'!S7</f>
        <v>0</v>
      </c>
      <c r="T7" s="13">
        <f>'Summary-2000'!T7-'Summary-1990'!T7</f>
        <v>0</v>
      </c>
      <c r="U7" s="13">
        <f>'Summary-2000'!U7-'Summary-1990'!U7</f>
        <v>0</v>
      </c>
      <c r="V7" s="13"/>
      <c r="W7" s="13">
        <f t="shared" si="5"/>
        <v>206651.00000000003</v>
      </c>
      <c r="Y7" s="13">
        <f t="shared" si="0"/>
        <v>-25481.430044107954</v>
      </c>
      <c r="Z7" s="18">
        <f t="shared" si="6"/>
        <v>28</v>
      </c>
      <c r="AA7" s="18" t="str">
        <f t="shared" si="7"/>
        <v>Charlotte</v>
      </c>
      <c r="AB7" s="18">
        <f t="shared" si="8"/>
        <v>47</v>
      </c>
      <c r="AC7" s="18">
        <f t="shared" si="8"/>
        <v>25</v>
      </c>
      <c r="AD7" s="18">
        <f t="shared" si="8"/>
        <v>2</v>
      </c>
      <c r="AE7" s="18">
        <f t="shared" si="8"/>
        <v>19</v>
      </c>
      <c r="AF7" s="18">
        <f t="shared" si="8"/>
        <v>12</v>
      </c>
      <c r="AG7" s="18">
        <f t="shared" si="8"/>
        <v>4</v>
      </c>
      <c r="AH7" s="18" t="str">
        <f t="shared" si="2"/>
        <v>Charlotte</v>
      </c>
    </row>
    <row r="8" spans="1:34">
      <c r="A8" s="18" t="s">
        <v>32</v>
      </c>
      <c r="B8" s="13">
        <f>'Summary-2000'!B8-'Summary-1990'!B8</f>
        <v>-83573.122776566335</v>
      </c>
      <c r="C8" s="13">
        <f>'Summary-2000'!C8-'Summary-1990'!C8</f>
        <v>-367421.9408679459</v>
      </c>
      <c r="D8" s="13">
        <f>'Summary-2000'!D8-'Summary-1990'!D8</f>
        <v>-862011.96674504993</v>
      </c>
      <c r="E8" s="13">
        <f>'Summary-2000'!E8-'Summary-1990'!E8</f>
        <v>-1593757.1380783948</v>
      </c>
      <c r="F8" s="13">
        <f>'Summary-2000'!F8-'Summary-1990'!F8</f>
        <v>-1279894</v>
      </c>
      <c r="G8" s="13">
        <f>'Summary-2000'!G8-'Summary-1990'!G8</f>
        <v>-87966</v>
      </c>
      <c r="H8" s="13">
        <f>'Summary-2000'!H8-'Summary-1990'!H8</f>
        <v>348452</v>
      </c>
      <c r="I8" s="13">
        <f>'Summary-2000'!I8-'Summary-1990'!I8</f>
        <v>348452</v>
      </c>
      <c r="J8" s="13">
        <f>'Summary-2000'!J8-'Summary-1990'!J8</f>
        <v>348452</v>
      </c>
      <c r="K8" s="18" t="str">
        <f t="shared" si="3"/>
        <v>Chicago</v>
      </c>
      <c r="L8" s="13">
        <f t="shared" si="4"/>
        <v>348452</v>
      </c>
      <c r="M8" s="13">
        <f>'Summary-2000'!M8-'Summary-1990'!M8</f>
        <v>-83573.122776566335</v>
      </c>
      <c r="N8" s="13">
        <f>'Summary-2000'!N8-'Summary-1990'!N8</f>
        <v>-283848.81809137959</v>
      </c>
      <c r="O8" s="13">
        <f>'Summary-2000'!O8-'Summary-1990'!O8</f>
        <v>-494590.02587710402</v>
      </c>
      <c r="P8" s="13">
        <f>'Summary-2000'!P8-'Summary-1990'!P8</f>
        <v>-731745.17133334489</v>
      </c>
      <c r="Q8" s="13">
        <f>'Summary-2000'!Q8-'Summary-1990'!Q8</f>
        <v>313863.13807839481</v>
      </c>
      <c r="R8" s="13">
        <f>'Summary-2000'!R8-'Summary-1990'!R8</f>
        <v>1191928</v>
      </c>
      <c r="S8" s="13">
        <f>'Summary-2000'!S8-'Summary-1990'!S8</f>
        <v>436418</v>
      </c>
      <c r="T8" s="13">
        <f>'Summary-2000'!T8-'Summary-1990'!T8</f>
        <v>0</v>
      </c>
      <c r="U8" s="13">
        <f>'Summary-2000'!U8-'Summary-1990'!U8</f>
        <v>0</v>
      </c>
      <c r="V8" s="13"/>
      <c r="W8" s="13">
        <f t="shared" si="5"/>
        <v>348452</v>
      </c>
      <c r="Y8" s="13">
        <f t="shared" si="0"/>
        <v>-152383.96936819341</v>
      </c>
      <c r="Z8" s="18">
        <f t="shared" si="6"/>
        <v>48</v>
      </c>
      <c r="AA8" s="18" t="str">
        <f t="shared" si="7"/>
        <v>Chicago</v>
      </c>
      <c r="AB8" s="18">
        <f t="shared" si="8"/>
        <v>44</v>
      </c>
      <c r="AC8" s="18">
        <f t="shared" si="8"/>
        <v>49</v>
      </c>
      <c r="AD8" s="18">
        <f t="shared" si="8"/>
        <v>50</v>
      </c>
      <c r="AE8" s="18">
        <f t="shared" si="8"/>
        <v>50</v>
      </c>
      <c r="AF8" s="18">
        <f t="shared" si="8"/>
        <v>8</v>
      </c>
      <c r="AG8" s="18">
        <f t="shared" ref="AG8:AG52" si="9">RANK(R8,R$2:R$52)</f>
        <v>1</v>
      </c>
      <c r="AH8" s="18" t="str">
        <f t="shared" si="2"/>
        <v>Chicago</v>
      </c>
    </row>
    <row r="9" spans="1:34">
      <c r="A9" s="18" t="s">
        <v>33</v>
      </c>
      <c r="B9" s="13">
        <f>'Summary-2000'!B9-'Summary-1990'!B9</f>
        <v>-43721.713311292697</v>
      </c>
      <c r="C9" s="13">
        <f>'Summary-2000'!C9-'Summary-1990'!C9</f>
        <v>-174470.41532961128</v>
      </c>
      <c r="D9" s="13">
        <f>'Summary-2000'!D9-'Summary-1990'!D9</f>
        <v>66556</v>
      </c>
      <c r="E9" s="13">
        <f>'Summary-2000'!E9-'Summary-1990'!E9</f>
        <v>122187</v>
      </c>
      <c r="F9" s="13">
        <f>'Summary-2000'!F9-'Summary-1990'!F9</f>
        <v>122187</v>
      </c>
      <c r="G9" s="13">
        <f>'Summary-2000'!G9-'Summary-1990'!G9</f>
        <v>122187</v>
      </c>
      <c r="H9" s="13">
        <f>'Summary-2000'!H9-'Summary-1990'!H9</f>
        <v>122187</v>
      </c>
      <c r="I9" s="13">
        <f>'Summary-2000'!I9-'Summary-1990'!I9</f>
        <v>122187</v>
      </c>
      <c r="J9" s="13">
        <f>'Summary-2000'!J9-'Summary-1990'!J9</f>
        <v>122187</v>
      </c>
      <c r="K9" s="18" t="str">
        <f t="shared" si="3"/>
        <v>Cincinnati</v>
      </c>
      <c r="L9" s="13">
        <f t="shared" si="4"/>
        <v>122187</v>
      </c>
      <c r="M9" s="13">
        <f>'Summary-2000'!M9-'Summary-1990'!M9</f>
        <v>-43721.713311292697</v>
      </c>
      <c r="N9" s="13">
        <f>'Summary-2000'!N9-'Summary-1990'!N9</f>
        <v>-130748.70201831858</v>
      </c>
      <c r="O9" s="13">
        <f>'Summary-2000'!O9-'Summary-1990'!O9</f>
        <v>241026.41532961128</v>
      </c>
      <c r="P9" s="13">
        <f>'Summary-2000'!P9-'Summary-1990'!P9</f>
        <v>55631</v>
      </c>
      <c r="Q9" s="13">
        <f>'Summary-2000'!Q9-'Summary-1990'!Q9</f>
        <v>0</v>
      </c>
      <c r="R9" s="13">
        <f>'Summary-2000'!R9-'Summary-1990'!R9</f>
        <v>0</v>
      </c>
      <c r="S9" s="13">
        <f>'Summary-2000'!S9-'Summary-1990'!S9</f>
        <v>0</v>
      </c>
      <c r="T9" s="13">
        <f>'Summary-2000'!T9-'Summary-1990'!T9</f>
        <v>0</v>
      </c>
      <c r="U9" s="13">
        <f>'Summary-2000'!U9-'Summary-1990'!U9</f>
        <v>0</v>
      </c>
      <c r="V9" s="13"/>
      <c r="W9" s="13">
        <f t="shared" si="5"/>
        <v>122187</v>
      </c>
      <c r="Y9" s="13">
        <f t="shared" si="0"/>
        <v>-21910.074564505874</v>
      </c>
      <c r="Z9" s="18">
        <f t="shared" si="6"/>
        <v>26</v>
      </c>
      <c r="AA9" s="18" t="str">
        <f t="shared" si="7"/>
        <v>Cincinnati</v>
      </c>
      <c r="AB9" s="18">
        <f t="shared" si="8"/>
        <v>34</v>
      </c>
      <c r="AC9" s="18">
        <f t="shared" si="8"/>
        <v>39</v>
      </c>
      <c r="AD9" s="18">
        <f t="shared" si="8"/>
        <v>4</v>
      </c>
      <c r="AE9" s="18">
        <f t="shared" si="8"/>
        <v>15</v>
      </c>
      <c r="AF9" s="18">
        <f t="shared" si="8"/>
        <v>12</v>
      </c>
      <c r="AG9" s="18">
        <f t="shared" si="9"/>
        <v>4</v>
      </c>
      <c r="AH9" s="18" t="str">
        <f t="shared" si="2"/>
        <v>Cincinnati</v>
      </c>
    </row>
    <row r="10" spans="1:34">
      <c r="A10" s="18" t="s">
        <v>34</v>
      </c>
      <c r="B10" s="13">
        <f>'Summary-2000'!B10-'Summary-1990'!B10</f>
        <v>-67567.239397388825</v>
      </c>
      <c r="C10" s="13">
        <f>'Summary-2000'!C10-'Summary-1990'!C10</f>
        <v>-288804.21050737659</v>
      </c>
      <c r="D10" s="13">
        <f>'Summary-2000'!D10-'Summary-1990'!D10</f>
        <v>-164423</v>
      </c>
      <c r="E10" s="13">
        <f>'Summary-2000'!E10-'Summary-1990'!E10</f>
        <v>-164423</v>
      </c>
      <c r="F10" s="13">
        <f>'Summary-2000'!F10-'Summary-1990'!F10</f>
        <v>-164423</v>
      </c>
      <c r="G10" s="13">
        <f>'Summary-2000'!G10-'Summary-1990'!G10</f>
        <v>-164423</v>
      </c>
      <c r="H10" s="13">
        <f>'Summary-2000'!H10-'Summary-1990'!H10</f>
        <v>-164423</v>
      </c>
      <c r="I10" s="13">
        <f>'Summary-2000'!I10-'Summary-1990'!I10</f>
        <v>-164423</v>
      </c>
      <c r="J10" s="13">
        <f>'Summary-2000'!J10-'Summary-1990'!J10</f>
        <v>-164423</v>
      </c>
      <c r="K10" s="18" t="str">
        <f t="shared" si="3"/>
        <v>Cleveland</v>
      </c>
      <c r="L10" s="13">
        <f t="shared" si="4"/>
        <v>-164422.99999999994</v>
      </c>
      <c r="M10" s="13">
        <f>'Summary-2000'!M10-'Summary-1990'!M10</f>
        <v>-67567.239397388825</v>
      </c>
      <c r="N10" s="13">
        <f>'Summary-2000'!N10-'Summary-1990'!N10</f>
        <v>-221236.9711099877</v>
      </c>
      <c r="O10" s="13">
        <f>'Summary-2000'!O10-'Summary-1990'!O10</f>
        <v>124381.21050737659</v>
      </c>
      <c r="P10" s="13">
        <f>'Summary-2000'!P10-'Summary-1990'!P10</f>
        <v>0</v>
      </c>
      <c r="Q10" s="13">
        <f>'Summary-2000'!Q10-'Summary-1990'!Q10</f>
        <v>0</v>
      </c>
      <c r="R10" s="13">
        <f>'Summary-2000'!R10-'Summary-1990'!R10</f>
        <v>0</v>
      </c>
      <c r="S10" s="13">
        <f>'Summary-2000'!S10-'Summary-1990'!S10</f>
        <v>0</v>
      </c>
      <c r="T10" s="13">
        <f>'Summary-2000'!T10-'Summary-1990'!T10</f>
        <v>0</v>
      </c>
      <c r="U10" s="13">
        <f>'Summary-2000'!U10-'Summary-1990'!U10</f>
        <v>0</v>
      </c>
      <c r="V10" s="13"/>
      <c r="W10" s="13">
        <f t="shared" si="5"/>
        <v>-164422.99999999994</v>
      </c>
      <c r="Y10" s="13">
        <f t="shared" si="0"/>
        <v>-63743.28296059095</v>
      </c>
      <c r="Z10" s="18">
        <f t="shared" si="6"/>
        <v>45</v>
      </c>
      <c r="AA10" s="18" t="str">
        <f t="shared" si="7"/>
        <v>Cleveland</v>
      </c>
      <c r="AB10" s="18">
        <f t="shared" si="8"/>
        <v>40</v>
      </c>
      <c r="AC10" s="18">
        <f t="shared" si="8"/>
        <v>47</v>
      </c>
      <c r="AD10" s="18">
        <f t="shared" si="8"/>
        <v>17</v>
      </c>
      <c r="AE10" s="18">
        <f t="shared" si="8"/>
        <v>19</v>
      </c>
      <c r="AF10" s="18">
        <f t="shared" si="8"/>
        <v>12</v>
      </c>
      <c r="AG10" s="18">
        <f t="shared" si="9"/>
        <v>4</v>
      </c>
      <c r="AH10" s="18" t="str">
        <f t="shared" si="2"/>
        <v>Cleveland</v>
      </c>
    </row>
    <row r="11" spans="1:34">
      <c r="A11" s="18" t="s">
        <v>35</v>
      </c>
      <c r="B11" s="13">
        <f>'Summary-2000'!B11-'Summary-1990'!B11</f>
        <v>-36772.691001887812</v>
      </c>
      <c r="C11" s="13">
        <f>'Summary-2000'!C11-'Summary-1990'!C11</f>
        <v>-73377</v>
      </c>
      <c r="D11" s="13">
        <f>'Summary-2000'!D11-'Summary-1990'!D11</f>
        <v>95649</v>
      </c>
      <c r="E11" s="13">
        <f>'Summary-2000'!E11-'Summary-1990'!E11</f>
        <v>95649</v>
      </c>
      <c r="F11" s="13">
        <f>'Summary-2000'!F11-'Summary-1990'!F11</f>
        <v>95649</v>
      </c>
      <c r="G11" s="13">
        <f>'Summary-2000'!G11-'Summary-1990'!G11</f>
        <v>95649</v>
      </c>
      <c r="H11" s="13">
        <f>'Summary-2000'!H11-'Summary-1990'!H11</f>
        <v>95649</v>
      </c>
      <c r="I11" s="13">
        <f>'Summary-2000'!I11-'Summary-1990'!I11</f>
        <v>95649</v>
      </c>
      <c r="J11" s="13">
        <f>'Summary-2000'!J11-'Summary-1990'!J11</f>
        <v>95649</v>
      </c>
      <c r="K11" s="18" t="str">
        <f t="shared" si="3"/>
        <v>Columbus</v>
      </c>
      <c r="L11" s="13">
        <f t="shared" si="4"/>
        <v>95648.999999999971</v>
      </c>
      <c r="M11" s="13">
        <f>'Summary-2000'!M11-'Summary-1990'!M11</f>
        <v>-36772.691001887812</v>
      </c>
      <c r="N11" s="13">
        <f>'Summary-2000'!N11-'Summary-1990'!N11</f>
        <v>-36604.308998112218</v>
      </c>
      <c r="O11" s="13">
        <f>'Summary-2000'!O11-'Summary-1990'!O11</f>
        <v>169026</v>
      </c>
      <c r="P11" s="13">
        <f>'Summary-2000'!P11-'Summary-1990'!P11</f>
        <v>0</v>
      </c>
      <c r="Q11" s="13">
        <f>'Summary-2000'!Q11-'Summary-1990'!Q11</f>
        <v>0</v>
      </c>
      <c r="R11" s="13">
        <f>'Summary-2000'!R11-'Summary-1990'!R11</f>
        <v>0</v>
      </c>
      <c r="S11" s="13">
        <f>'Summary-2000'!S11-'Summary-1990'!S11</f>
        <v>0</v>
      </c>
      <c r="T11" s="13">
        <f>'Summary-2000'!T11-'Summary-1990'!T11</f>
        <v>0</v>
      </c>
      <c r="U11" s="13">
        <f>'Summary-2000'!U11-'Summary-1990'!U11</f>
        <v>0</v>
      </c>
      <c r="V11" s="13"/>
      <c r="W11" s="13">
        <f t="shared" si="5"/>
        <v>95648.999999999971</v>
      </c>
      <c r="Y11" s="13">
        <f t="shared" si="0"/>
        <v>-8579.6249133039746</v>
      </c>
      <c r="Z11" s="18">
        <f t="shared" si="6"/>
        <v>20</v>
      </c>
      <c r="AA11" s="18" t="str">
        <f t="shared" si="7"/>
        <v>Columbus</v>
      </c>
      <c r="AB11" s="18">
        <f t="shared" si="8"/>
        <v>30</v>
      </c>
      <c r="AC11" s="18">
        <f t="shared" si="8"/>
        <v>21</v>
      </c>
      <c r="AD11" s="18">
        <f t="shared" si="8"/>
        <v>14</v>
      </c>
      <c r="AE11" s="18">
        <f t="shared" si="8"/>
        <v>19</v>
      </c>
      <c r="AF11" s="18">
        <f t="shared" si="8"/>
        <v>12</v>
      </c>
      <c r="AG11" s="18">
        <f t="shared" si="9"/>
        <v>4</v>
      </c>
      <c r="AH11" s="18" t="str">
        <f t="shared" si="2"/>
        <v>Columbus</v>
      </c>
    </row>
    <row r="12" spans="1:34">
      <c r="A12" s="18" t="s">
        <v>61</v>
      </c>
      <c r="B12" s="13">
        <f>'Summary-2000'!B12-'Summary-1990'!B12</f>
        <v>4008.6471887294319</v>
      </c>
      <c r="C12" s="13">
        <f>'Summary-2000'!C12-'Summary-1990'!C12</f>
        <v>5115.3120692662778</v>
      </c>
      <c r="D12" s="13">
        <f>'Summary-2000'!D12-'Summary-1990'!D12</f>
        <v>2739.5008811256848</v>
      </c>
      <c r="E12" s="13">
        <f>'Summary-2000'!E12-'Summary-1990'!E12</f>
        <v>66932</v>
      </c>
      <c r="F12" s="13">
        <f>'Summary-2000'!F12-'Summary-1990'!F12</f>
        <v>624477</v>
      </c>
      <c r="G12" s="13">
        <f>'Summary-2000'!G12-'Summary-1990'!G12</f>
        <v>624477</v>
      </c>
      <c r="H12" s="13">
        <f>'Summary-2000'!H12-'Summary-1990'!H12</f>
        <v>624477</v>
      </c>
      <c r="I12" s="13">
        <f>'Summary-2000'!I12-'Summary-1990'!I12</f>
        <v>624477</v>
      </c>
      <c r="J12" s="13">
        <f>'Summary-2000'!J12-'Summary-1990'!J12</f>
        <v>624477</v>
      </c>
      <c r="K12" s="18" t="str">
        <f t="shared" si="3"/>
        <v>Dallas-Fort Worth</v>
      </c>
      <c r="L12" s="13">
        <f t="shared" si="4"/>
        <v>624478</v>
      </c>
      <c r="M12" s="13">
        <f>'Summary-2000'!M12-'Summary-1990'!M12</f>
        <v>4008.6471887294319</v>
      </c>
      <c r="N12" s="13">
        <f>'Summary-2000'!N12-'Summary-1990'!N12</f>
        <v>1107.6648805368459</v>
      </c>
      <c r="O12" s="13">
        <f>'Summary-2000'!O12-'Summary-1990'!O12</f>
        <v>-2375.8111881406512</v>
      </c>
      <c r="P12" s="13">
        <f>'Summary-2000'!P12-'Summary-1990'!P12</f>
        <v>64192.499118874315</v>
      </c>
      <c r="Q12" s="13">
        <f>'Summary-2000'!Q12-'Summary-1990'!Q12</f>
        <v>557545</v>
      </c>
      <c r="R12" s="13">
        <f>'Summary-2000'!R12-'Summary-1990'!R12</f>
        <v>0</v>
      </c>
      <c r="S12" s="13">
        <f>'Summary-2000'!S12-'Summary-1990'!S12</f>
        <v>0</v>
      </c>
      <c r="T12" s="13">
        <f>'Summary-2000'!T12-'Summary-1990'!T12</f>
        <v>0</v>
      </c>
      <c r="U12" s="13">
        <f>'Summary-2000'!U12-'Summary-1990'!U12</f>
        <v>0</v>
      </c>
      <c r="V12" s="13"/>
      <c r="W12" s="13">
        <f t="shared" si="5"/>
        <v>624478</v>
      </c>
      <c r="Y12" s="13">
        <f t="shared" si="0"/>
        <v>14637.726870102302</v>
      </c>
      <c r="Z12" s="18">
        <f t="shared" si="6"/>
        <v>10</v>
      </c>
      <c r="AA12" s="18" t="str">
        <f t="shared" si="7"/>
        <v>Dallas-Fort Worth</v>
      </c>
      <c r="AB12" s="18">
        <f t="shared" si="8"/>
        <v>10</v>
      </c>
      <c r="AC12" s="18">
        <f t="shared" si="8"/>
        <v>16</v>
      </c>
      <c r="AD12" s="18">
        <f t="shared" si="8"/>
        <v>33</v>
      </c>
      <c r="AE12" s="18">
        <f t="shared" si="8"/>
        <v>14</v>
      </c>
      <c r="AF12" s="18">
        <f t="shared" si="8"/>
        <v>5</v>
      </c>
      <c r="AG12" s="18">
        <f t="shared" si="9"/>
        <v>4</v>
      </c>
      <c r="AH12" s="18" t="str">
        <f t="shared" si="2"/>
        <v>Dallas-Fort Worth</v>
      </c>
    </row>
    <row r="13" spans="1:34">
      <c r="A13" s="18" t="s">
        <v>36</v>
      </c>
      <c r="B13" s="13">
        <f>'Summary-2000'!B13-'Summary-1990'!B13</f>
        <v>-54058.646129550238</v>
      </c>
      <c r="C13" s="13">
        <f>'Summary-2000'!C13-'Summary-1990'!C13</f>
        <v>-232624.63000827772</v>
      </c>
      <c r="D13" s="13">
        <f>'Summary-2000'!D13-'Summary-1990'!D13</f>
        <v>-49033</v>
      </c>
      <c r="E13" s="13">
        <f>'Summary-2000'!E13-'Summary-1990'!E13</f>
        <v>115597</v>
      </c>
      <c r="F13" s="13">
        <f>'Summary-2000'!F13-'Summary-1990'!F13</f>
        <v>115597</v>
      </c>
      <c r="G13" s="13">
        <f>'Summary-2000'!G13-'Summary-1990'!G13</f>
        <v>115597</v>
      </c>
      <c r="H13" s="13">
        <f>'Summary-2000'!H13-'Summary-1990'!H13</f>
        <v>115597</v>
      </c>
      <c r="I13" s="13">
        <f>'Summary-2000'!I13-'Summary-1990'!I13</f>
        <v>115597</v>
      </c>
      <c r="J13" s="13">
        <f>'Summary-2000'!J13-'Summary-1990'!J13</f>
        <v>115597</v>
      </c>
      <c r="K13" s="18" t="str">
        <f t="shared" si="3"/>
        <v>Denver</v>
      </c>
      <c r="L13" s="13">
        <f t="shared" si="4"/>
        <v>115598</v>
      </c>
      <c r="M13" s="13">
        <f>'Summary-2000'!M13-'Summary-1990'!M13</f>
        <v>-54058.646129550238</v>
      </c>
      <c r="N13" s="13">
        <f>'Summary-2000'!N13-'Summary-1990'!N13</f>
        <v>-178564.98387872748</v>
      </c>
      <c r="O13" s="13">
        <f>'Summary-2000'!O13-'Summary-1990'!O13</f>
        <v>183591.63000827772</v>
      </c>
      <c r="P13" s="13">
        <f>'Summary-2000'!P13-'Summary-1990'!P13</f>
        <v>164630</v>
      </c>
      <c r="Q13" s="13">
        <f>'Summary-2000'!Q13-'Summary-1990'!Q13</f>
        <v>0</v>
      </c>
      <c r="R13" s="13">
        <f>'Summary-2000'!R13-'Summary-1990'!R13</f>
        <v>0</v>
      </c>
      <c r="S13" s="13">
        <f>'Summary-2000'!S13-'Summary-1990'!S13</f>
        <v>0</v>
      </c>
      <c r="T13" s="13">
        <f>'Summary-2000'!T13-'Summary-1990'!T13</f>
        <v>0</v>
      </c>
      <c r="U13" s="13">
        <f>'Summary-2000'!U13-'Summary-1990'!U13</f>
        <v>0</v>
      </c>
      <c r="V13" s="13"/>
      <c r="W13" s="13">
        <f t="shared" si="5"/>
        <v>115598</v>
      </c>
      <c r="Y13" s="13">
        <f t="shared" si="0"/>
        <v>-36976.025391480638</v>
      </c>
      <c r="Z13" s="18">
        <f t="shared" si="6"/>
        <v>34</v>
      </c>
      <c r="AA13" s="18" t="str">
        <f t="shared" si="7"/>
        <v>Denver</v>
      </c>
      <c r="AB13" s="18">
        <f t="shared" si="8"/>
        <v>37</v>
      </c>
      <c r="AC13" s="18">
        <f t="shared" si="8"/>
        <v>44</v>
      </c>
      <c r="AD13" s="18">
        <f t="shared" si="8"/>
        <v>11</v>
      </c>
      <c r="AE13" s="18">
        <f t="shared" si="8"/>
        <v>10</v>
      </c>
      <c r="AF13" s="18">
        <f t="shared" si="8"/>
        <v>12</v>
      </c>
      <c r="AG13" s="18">
        <f t="shared" si="9"/>
        <v>4</v>
      </c>
      <c r="AH13" s="18" t="str">
        <f t="shared" si="2"/>
        <v>Denver</v>
      </c>
    </row>
    <row r="14" spans="1:34">
      <c r="A14" s="18" t="s">
        <v>37</v>
      </c>
      <c r="B14" s="13">
        <f>'Summary-2000'!B14-'Summary-1990'!B14</f>
        <v>-55124.970108679845</v>
      </c>
      <c r="C14" s="13">
        <f>'Summary-2000'!C14-'Summary-1990'!C14</f>
        <v>-245463.16043188062</v>
      </c>
      <c r="D14" s="13">
        <f>'Summary-2000'!D14-'Summary-1990'!D14</f>
        <v>-569929.92726998986</v>
      </c>
      <c r="E14" s="13">
        <f>'Summary-2000'!E14-'Summary-1990'!E14</f>
        <v>-656529</v>
      </c>
      <c r="F14" s="13">
        <f>'Summary-2000'!F14-'Summary-1990'!F14</f>
        <v>-126612</v>
      </c>
      <c r="G14" s="13">
        <f>'Summary-2000'!G14-'Summary-1990'!G14</f>
        <v>-126612</v>
      </c>
      <c r="H14" s="13">
        <f>'Summary-2000'!H14-'Summary-1990'!H14</f>
        <v>-126612</v>
      </c>
      <c r="I14" s="13">
        <f>'Summary-2000'!I14-'Summary-1990'!I14</f>
        <v>-126612</v>
      </c>
      <c r="J14" s="13">
        <f>'Summary-2000'!J14-'Summary-1990'!J14</f>
        <v>-126612</v>
      </c>
      <c r="K14" s="18" t="str">
        <f t="shared" si="3"/>
        <v>Detroit</v>
      </c>
      <c r="L14" s="13">
        <f t="shared" si="4"/>
        <v>-126612</v>
      </c>
      <c r="M14" s="13">
        <f>'Summary-2000'!M14-'Summary-1990'!M14</f>
        <v>-55124.970108679845</v>
      </c>
      <c r="N14" s="13">
        <f>'Summary-2000'!N14-'Summary-1990'!N14</f>
        <v>-190338.19032320078</v>
      </c>
      <c r="O14" s="13">
        <f>'Summary-2000'!O14-'Summary-1990'!O14</f>
        <v>-324466.76683810924</v>
      </c>
      <c r="P14" s="13">
        <f>'Summary-2000'!P14-'Summary-1990'!P14</f>
        <v>-86599.072730010143</v>
      </c>
      <c r="Q14" s="13">
        <f>'Summary-2000'!Q14-'Summary-1990'!Q14</f>
        <v>529917</v>
      </c>
      <c r="R14" s="13">
        <f>'Summary-2000'!R14-'Summary-1990'!R14</f>
        <v>0</v>
      </c>
      <c r="S14" s="13">
        <f>'Summary-2000'!S14-'Summary-1990'!S14</f>
        <v>0</v>
      </c>
      <c r="T14" s="13">
        <f>'Summary-2000'!T14-'Summary-1990'!T14</f>
        <v>0</v>
      </c>
      <c r="U14" s="13">
        <f>'Summary-2000'!U14-'Summary-1990'!U14</f>
        <v>0</v>
      </c>
      <c r="V14" s="13"/>
      <c r="W14" s="13">
        <f t="shared" si="5"/>
        <v>-126612</v>
      </c>
      <c r="Y14" s="13">
        <f t="shared" si="0"/>
        <v>-86457.025235527151</v>
      </c>
      <c r="Z14" s="18">
        <f t="shared" si="6"/>
        <v>47</v>
      </c>
      <c r="AA14" s="18" t="str">
        <f t="shared" si="7"/>
        <v>Detroit</v>
      </c>
      <c r="AB14" s="18">
        <f t="shared" si="8"/>
        <v>39</v>
      </c>
      <c r="AC14" s="18">
        <f t="shared" si="8"/>
        <v>46</v>
      </c>
      <c r="AD14" s="18">
        <f t="shared" si="8"/>
        <v>48</v>
      </c>
      <c r="AE14" s="18">
        <f t="shared" si="8"/>
        <v>44</v>
      </c>
      <c r="AF14" s="18">
        <f t="shared" si="8"/>
        <v>7</v>
      </c>
      <c r="AG14" s="18">
        <f t="shared" si="9"/>
        <v>4</v>
      </c>
      <c r="AH14" s="18" t="str">
        <f t="shared" si="2"/>
        <v>Detroit</v>
      </c>
    </row>
    <row r="15" spans="1:34">
      <c r="A15" s="18" t="s">
        <v>79</v>
      </c>
      <c r="B15" s="13">
        <f>'Summary-2000'!B15-'Summary-1990'!B15</f>
        <v>-17405.438397761842</v>
      </c>
      <c r="C15" s="13">
        <f>'Summary-2000'!C15-'Summary-1990'!C15</f>
        <v>193630</v>
      </c>
      <c r="D15" s="13">
        <f>'Summary-2000'!D15-'Summary-1990'!D15</f>
        <v>193630</v>
      </c>
      <c r="E15" s="13">
        <f>'Summary-2000'!E15-'Summary-1990'!E15</f>
        <v>193630</v>
      </c>
      <c r="F15" s="13">
        <f>'Summary-2000'!F15-'Summary-1990'!F15</f>
        <v>193630</v>
      </c>
      <c r="G15" s="13">
        <f>'Summary-2000'!G15-'Summary-1990'!G15</f>
        <v>193630</v>
      </c>
      <c r="H15" s="13">
        <f>'Summary-2000'!H15-'Summary-1990'!H15</f>
        <v>193630</v>
      </c>
      <c r="I15" s="13">
        <f>'Summary-2000'!I15-'Summary-1990'!I15</f>
        <v>193630</v>
      </c>
      <c r="J15" s="13">
        <f>'Summary-2000'!J15-'Summary-1990'!J15</f>
        <v>193630</v>
      </c>
      <c r="K15" s="18" t="str">
        <f t="shared" si="3"/>
        <v>Grand Rapids</v>
      </c>
      <c r="L15" s="13">
        <f t="shared" si="4"/>
        <v>193630</v>
      </c>
      <c r="M15" s="13">
        <f>'Summary-2000'!M15-'Summary-1990'!M15</f>
        <v>-17405.438397761842</v>
      </c>
      <c r="N15" s="13">
        <f>'Summary-2000'!N15-'Summary-1990'!N15</f>
        <v>211035.43839776184</v>
      </c>
      <c r="O15" s="13">
        <f>'Summary-2000'!O15-'Summary-1990'!O15</f>
        <v>0</v>
      </c>
      <c r="P15" s="13">
        <f>'Summary-2000'!P15-'Summary-1990'!P15</f>
        <v>0</v>
      </c>
      <c r="Q15" s="13">
        <f>'Summary-2000'!Q15-'Summary-1990'!Q15</f>
        <v>0</v>
      </c>
      <c r="R15" s="13">
        <f>'Summary-2000'!R15-'Summary-1990'!R15</f>
        <v>0</v>
      </c>
      <c r="S15" s="13">
        <f>'Summary-2000'!S15-'Summary-1990'!S15</f>
        <v>0</v>
      </c>
      <c r="T15" s="13">
        <f>'Summary-2000'!T15-'Summary-1990'!T15</f>
        <v>0</v>
      </c>
      <c r="U15" s="13">
        <f>'Summary-2000'!U15-'Summary-1990'!U15</f>
        <v>0</v>
      </c>
      <c r="V15" s="13"/>
      <c r="W15" s="13">
        <f t="shared" si="5"/>
        <v>193630</v>
      </c>
      <c r="Y15" s="13">
        <f t="shared" si="0"/>
        <v>34786.552580711272</v>
      </c>
      <c r="Z15" s="18">
        <f t="shared" si="6"/>
        <v>4</v>
      </c>
      <c r="AA15" s="18" t="str">
        <f t="shared" si="7"/>
        <v>Grand Rapids</v>
      </c>
      <c r="AB15" s="18">
        <f t="shared" si="8"/>
        <v>16</v>
      </c>
      <c r="AC15" s="18">
        <f t="shared" si="8"/>
        <v>3</v>
      </c>
      <c r="AD15" s="18">
        <f t="shared" si="8"/>
        <v>29</v>
      </c>
      <c r="AE15" s="18">
        <f t="shared" si="8"/>
        <v>19</v>
      </c>
      <c r="AF15" s="18">
        <f t="shared" si="8"/>
        <v>12</v>
      </c>
      <c r="AG15" s="18">
        <f t="shared" si="9"/>
        <v>4</v>
      </c>
      <c r="AH15" s="18" t="str">
        <f t="shared" si="2"/>
        <v>Grand Rapids</v>
      </c>
    </row>
    <row r="16" spans="1:34">
      <c r="A16" s="18" t="s">
        <v>511</v>
      </c>
      <c r="B16" s="13">
        <f>'Summary-2000'!B16-'Summary-1990'!B16</f>
        <v>-26875.471271547169</v>
      </c>
      <c r="C16" s="13">
        <f>'Summary-2000'!C16-'Summary-1990'!C16</f>
        <v>-109081.02397313435</v>
      </c>
      <c r="D16" s="13">
        <f>'Summary-2000'!D16-'Summary-1990'!D16</f>
        <v>-146593</v>
      </c>
      <c r="E16" s="13">
        <f>'Summary-2000'!E16-'Summary-1990'!E16</f>
        <v>-125365</v>
      </c>
      <c r="F16" s="13">
        <f>'Summary-2000'!F16-'Summary-1990'!F16</f>
        <v>-125365</v>
      </c>
      <c r="G16" s="13">
        <f>'Summary-2000'!G16-'Summary-1990'!G16</f>
        <v>-125365</v>
      </c>
      <c r="H16" s="13">
        <f>'Summary-2000'!H16-'Summary-1990'!H16</f>
        <v>-125365</v>
      </c>
      <c r="I16" s="13">
        <f>'Summary-2000'!I16-'Summary-1990'!I16</f>
        <v>-125365</v>
      </c>
      <c r="J16" s="13">
        <f>'Summary-2000'!J16-'Summary-1990'!J16</f>
        <v>-125365</v>
      </c>
      <c r="K16" s="18" t="str">
        <f t="shared" si="3"/>
        <v>Virginia Beach</v>
      </c>
      <c r="L16" s="13">
        <f t="shared" si="4"/>
        <v>-125364</v>
      </c>
      <c r="M16" s="13">
        <f>'Summary-2000'!M16-'Summary-1990'!M16</f>
        <v>-26875.471271547169</v>
      </c>
      <c r="N16" s="13">
        <f>'Summary-2000'!N16-'Summary-1990'!N16</f>
        <v>-82204.552701587178</v>
      </c>
      <c r="O16" s="13">
        <f>'Summary-2000'!O16-'Summary-1990'!O16</f>
        <v>-37511.976026865654</v>
      </c>
      <c r="P16" s="13">
        <f>'Summary-2000'!P16-'Summary-1990'!P16</f>
        <v>21228</v>
      </c>
      <c r="Q16" s="13">
        <f>'Summary-2000'!Q16-'Summary-1990'!Q16</f>
        <v>0</v>
      </c>
      <c r="R16" s="13">
        <f>'Summary-2000'!R16-'Summary-1990'!R16</f>
        <v>0</v>
      </c>
      <c r="S16" s="13">
        <f>'Summary-2000'!S16-'Summary-1990'!S16</f>
        <v>0</v>
      </c>
      <c r="T16" s="13">
        <f>'Summary-2000'!T16-'Summary-1990'!T16</f>
        <v>0</v>
      </c>
      <c r="U16" s="13">
        <f>'Summary-2000'!U16-'Summary-1990'!U16</f>
        <v>0</v>
      </c>
      <c r="V16" s="13"/>
      <c r="W16" s="13">
        <f t="shared" si="5"/>
        <v>-125364</v>
      </c>
      <c r="Y16" s="13">
        <f t="shared" si="0"/>
        <v>-31210.450243311032</v>
      </c>
      <c r="Z16" s="18">
        <f t="shared" si="6"/>
        <v>32</v>
      </c>
      <c r="AA16" s="18" t="str">
        <f t="shared" si="7"/>
        <v>Virginia Beach</v>
      </c>
      <c r="AB16" s="18">
        <f t="shared" si="8"/>
        <v>24</v>
      </c>
      <c r="AC16" s="18">
        <f t="shared" si="8"/>
        <v>31</v>
      </c>
      <c r="AD16" s="18">
        <f t="shared" si="8"/>
        <v>36</v>
      </c>
      <c r="AE16" s="18">
        <f t="shared" si="8"/>
        <v>17</v>
      </c>
      <c r="AF16" s="18">
        <f t="shared" si="8"/>
        <v>12</v>
      </c>
      <c r="AG16" s="18">
        <f t="shared" si="9"/>
        <v>4</v>
      </c>
      <c r="AH16" s="18" t="str">
        <f t="shared" si="2"/>
        <v>Virginia Beach</v>
      </c>
    </row>
    <row r="17" spans="1:34">
      <c r="A17" s="18" t="s">
        <v>38</v>
      </c>
      <c r="B17" s="13">
        <f>'Summary-2000'!B17-'Summary-1990'!B17</f>
        <v>-120906.1610082562</v>
      </c>
      <c r="C17" s="13">
        <f>'Summary-2000'!C17-'Summary-1990'!C17</f>
        <v>-84198</v>
      </c>
      <c r="D17" s="13">
        <f>'Summary-2000'!D17-'Summary-1990'!D17</f>
        <v>5952</v>
      </c>
      <c r="E17" s="13">
        <f>'Summary-2000'!E17-'Summary-1990'!E17</f>
        <v>5952</v>
      </c>
      <c r="F17" s="13">
        <f>'Summary-2000'!F17-'Summary-1990'!F17</f>
        <v>5952</v>
      </c>
      <c r="G17" s="13">
        <f>'Summary-2000'!G17-'Summary-1990'!G17</f>
        <v>5952</v>
      </c>
      <c r="H17" s="13">
        <f>'Summary-2000'!H17-'Summary-1990'!H17</f>
        <v>5952</v>
      </c>
      <c r="I17" s="13">
        <f>'Summary-2000'!I17-'Summary-1990'!I17</f>
        <v>5952</v>
      </c>
      <c r="J17" s="13">
        <f>'Summary-2000'!J17-'Summary-1990'!J17</f>
        <v>5952</v>
      </c>
      <c r="K17" s="18" t="str">
        <f t="shared" si="3"/>
        <v>Hartford</v>
      </c>
      <c r="L17" s="13">
        <f t="shared" si="4"/>
        <v>5952</v>
      </c>
      <c r="M17" s="13">
        <f>'Summary-2000'!M17-'Summary-1990'!M17</f>
        <v>-120906.1610082562</v>
      </c>
      <c r="N17" s="13">
        <f>'Summary-2000'!N17-'Summary-1990'!N17</f>
        <v>36708.161008256197</v>
      </c>
      <c r="O17" s="13">
        <f>'Summary-2000'!O17-'Summary-1990'!O17</f>
        <v>90150</v>
      </c>
      <c r="P17" s="13">
        <f>'Summary-2000'!P17-'Summary-1990'!P17</f>
        <v>0</v>
      </c>
      <c r="Q17" s="13">
        <f>'Summary-2000'!Q17-'Summary-1990'!Q17</f>
        <v>0</v>
      </c>
      <c r="R17" s="13">
        <f>'Summary-2000'!R17-'Summary-1990'!R17</f>
        <v>0</v>
      </c>
      <c r="S17" s="13">
        <f>'Summary-2000'!S17-'Summary-1990'!S17</f>
        <v>0</v>
      </c>
      <c r="T17" s="13">
        <f>'Summary-2000'!T17-'Summary-1990'!T17</f>
        <v>0</v>
      </c>
      <c r="U17" s="13">
        <f>'Summary-2000'!U17-'Summary-1990'!U17</f>
        <v>0</v>
      </c>
      <c r="V17" s="13"/>
      <c r="W17" s="13">
        <f t="shared" si="5"/>
        <v>5952</v>
      </c>
      <c r="Y17" s="13">
        <f t="shared" si="0"/>
        <v>-38737.166702635113</v>
      </c>
      <c r="Z17" s="18">
        <f t="shared" si="6"/>
        <v>35</v>
      </c>
      <c r="AA17" s="18" t="str">
        <f t="shared" si="7"/>
        <v>Hartford</v>
      </c>
      <c r="AB17" s="18">
        <f t="shared" si="8"/>
        <v>50</v>
      </c>
      <c r="AC17" s="18">
        <f t="shared" si="8"/>
        <v>12</v>
      </c>
      <c r="AD17" s="18">
        <f t="shared" si="8"/>
        <v>21</v>
      </c>
      <c r="AE17" s="18">
        <f t="shared" si="8"/>
        <v>19</v>
      </c>
      <c r="AF17" s="18">
        <f t="shared" si="8"/>
        <v>12</v>
      </c>
      <c r="AG17" s="18">
        <f t="shared" si="9"/>
        <v>4</v>
      </c>
      <c r="AH17" s="18" t="str">
        <f t="shared" si="2"/>
        <v>Hartford</v>
      </c>
    </row>
    <row r="18" spans="1:34">
      <c r="A18" s="18" t="s">
        <v>80</v>
      </c>
      <c r="B18" s="13">
        <f>'Summary-2000'!B18-'Summary-1990'!B18</f>
        <v>-84124.661011034943</v>
      </c>
      <c r="C18" s="13">
        <f>'Summary-2000'!C18-'Summary-1990'!C18</f>
        <v>-117057</v>
      </c>
      <c r="D18" s="13">
        <f>'Summary-2000'!D18-'Summary-1990'!D18</f>
        <v>-117057</v>
      </c>
      <c r="E18" s="13">
        <f>'Summary-2000'!E18-'Summary-1990'!E18</f>
        <v>-117057</v>
      </c>
      <c r="F18" s="13">
        <f>'Summary-2000'!F18-'Summary-1990'!F18</f>
        <v>-117057</v>
      </c>
      <c r="G18" s="13">
        <f>'Summary-2000'!G18-'Summary-1990'!G18</f>
        <v>-117057</v>
      </c>
      <c r="H18" s="13">
        <f>'Summary-2000'!H18-'Summary-1990'!H18</f>
        <v>-117057</v>
      </c>
      <c r="I18" s="13">
        <f>'Summary-2000'!I18-'Summary-1990'!I18</f>
        <v>-117057</v>
      </c>
      <c r="J18" s="13">
        <f>'Summary-2000'!J18-'Summary-1990'!J18</f>
        <v>-117057</v>
      </c>
      <c r="K18" s="18" t="str">
        <f t="shared" si="3"/>
        <v>Honolulu</v>
      </c>
      <c r="L18" s="13">
        <f t="shared" si="4"/>
        <v>-117057</v>
      </c>
      <c r="M18" s="13">
        <f>'Summary-2000'!M18-'Summary-1990'!M18</f>
        <v>-84124.661011034943</v>
      </c>
      <c r="N18" s="13">
        <f>'Summary-2000'!N18-'Summary-1990'!N18</f>
        <v>-32932.338988965057</v>
      </c>
      <c r="O18" s="13">
        <f>'Summary-2000'!O18-'Summary-1990'!O18</f>
        <v>0</v>
      </c>
      <c r="P18" s="13">
        <f>'Summary-2000'!P18-'Summary-1990'!P18</f>
        <v>0</v>
      </c>
      <c r="Q18" s="13">
        <f>'Summary-2000'!Q18-'Summary-1990'!Q18</f>
        <v>0</v>
      </c>
      <c r="R18" s="13">
        <f>'Summary-2000'!R18-'Summary-1990'!R18</f>
        <v>0</v>
      </c>
      <c r="S18" s="13">
        <f>'Summary-2000'!S18-'Summary-1990'!S18</f>
        <v>0</v>
      </c>
      <c r="T18" s="13">
        <f>'Summary-2000'!T18-'Summary-1990'!T18</f>
        <v>0</v>
      </c>
      <c r="U18" s="13">
        <f>'Summary-2000'!U18-'Summary-1990'!U18</f>
        <v>0</v>
      </c>
      <c r="V18" s="13"/>
      <c r="W18" s="13">
        <f t="shared" si="5"/>
        <v>-117057</v>
      </c>
      <c r="Y18" s="13">
        <f t="shared" si="0"/>
        <v>-44448.571360092421</v>
      </c>
      <c r="Z18" s="18">
        <f t="shared" si="6"/>
        <v>39</v>
      </c>
      <c r="AA18" s="18" t="str">
        <f t="shared" si="7"/>
        <v>Honolulu</v>
      </c>
      <c r="AB18" s="18">
        <f t="shared" si="8"/>
        <v>45</v>
      </c>
      <c r="AC18" s="18">
        <f t="shared" si="8"/>
        <v>20</v>
      </c>
      <c r="AD18" s="18">
        <f t="shared" si="8"/>
        <v>29</v>
      </c>
      <c r="AE18" s="18">
        <f t="shared" si="8"/>
        <v>19</v>
      </c>
      <c r="AF18" s="18">
        <f t="shared" si="8"/>
        <v>12</v>
      </c>
      <c r="AG18" s="18">
        <f t="shared" si="9"/>
        <v>4</v>
      </c>
      <c r="AH18" s="18" t="str">
        <f t="shared" si="2"/>
        <v>Honolulu</v>
      </c>
    </row>
    <row r="19" spans="1:34">
      <c r="A19" s="18" t="s">
        <v>39</v>
      </c>
      <c r="B19" s="13">
        <f>'Summary-2000'!B19-'Summary-1990'!B19</f>
        <v>-24876.206290804956</v>
      </c>
      <c r="C19" s="13">
        <f>'Summary-2000'!C19-'Summary-1990'!C19</f>
        <v>-125572.29673756764</v>
      </c>
      <c r="D19" s="13">
        <f>'Summary-2000'!D19-'Summary-1990'!D19</f>
        <v>-295187.11795512703</v>
      </c>
      <c r="E19" s="13">
        <f>'Summary-2000'!E19-'Summary-1990'!E19</f>
        <v>-432335</v>
      </c>
      <c r="F19" s="13">
        <f>'Summary-2000'!F19-'Summary-1990'!F19</f>
        <v>110984</v>
      </c>
      <c r="G19" s="13">
        <f>'Summary-2000'!G19-'Summary-1990'!G19</f>
        <v>110984</v>
      </c>
      <c r="H19" s="13">
        <f>'Summary-2000'!H19-'Summary-1990'!H19</f>
        <v>110984</v>
      </c>
      <c r="I19" s="13">
        <f>'Summary-2000'!I19-'Summary-1990'!I19</f>
        <v>110984</v>
      </c>
      <c r="J19" s="13">
        <f>'Summary-2000'!J19-'Summary-1990'!J19</f>
        <v>110984</v>
      </c>
      <c r="K19" s="18" t="str">
        <f t="shared" si="3"/>
        <v>Houston</v>
      </c>
      <c r="L19" s="13">
        <f t="shared" si="4"/>
        <v>110985</v>
      </c>
      <c r="M19" s="13">
        <f>'Summary-2000'!M19-'Summary-1990'!M19</f>
        <v>-24876.206290804956</v>
      </c>
      <c r="N19" s="13">
        <f>'Summary-2000'!N19-'Summary-1990'!N19</f>
        <v>-100695.09044676268</v>
      </c>
      <c r="O19" s="13">
        <f>'Summary-2000'!O19-'Summary-1990'!O19</f>
        <v>-169614.82121755939</v>
      </c>
      <c r="P19" s="13">
        <f>'Summary-2000'!P19-'Summary-1990'!P19</f>
        <v>-137147.88204487297</v>
      </c>
      <c r="Q19" s="13">
        <f>'Summary-2000'!Q19-'Summary-1990'!Q19</f>
        <v>543319</v>
      </c>
      <c r="R19" s="13">
        <f>'Summary-2000'!R19-'Summary-1990'!R19</f>
        <v>0</v>
      </c>
      <c r="S19" s="13">
        <f>'Summary-2000'!S19-'Summary-1990'!S19</f>
        <v>0</v>
      </c>
      <c r="T19" s="13">
        <f>'Summary-2000'!T19-'Summary-1990'!T19</f>
        <v>0</v>
      </c>
      <c r="U19" s="13">
        <f>'Summary-2000'!U19-'Summary-1990'!U19</f>
        <v>0</v>
      </c>
      <c r="V19" s="13"/>
      <c r="W19" s="13">
        <f t="shared" si="5"/>
        <v>110985</v>
      </c>
      <c r="Y19" s="13">
        <f t="shared" si="0"/>
        <v>-42533.91291030444</v>
      </c>
      <c r="Z19" s="18">
        <f t="shared" si="6"/>
        <v>38</v>
      </c>
      <c r="AA19" s="18" t="str">
        <f t="shared" si="7"/>
        <v>Houston</v>
      </c>
      <c r="AB19" s="18">
        <f t="shared" si="8"/>
        <v>22</v>
      </c>
      <c r="AC19" s="18">
        <f t="shared" si="8"/>
        <v>33</v>
      </c>
      <c r="AD19" s="18">
        <f t="shared" si="8"/>
        <v>40</v>
      </c>
      <c r="AE19" s="18">
        <f t="shared" si="8"/>
        <v>47</v>
      </c>
      <c r="AF19" s="18">
        <f t="shared" si="8"/>
        <v>6</v>
      </c>
      <c r="AG19" s="18">
        <f t="shared" si="9"/>
        <v>4</v>
      </c>
      <c r="AH19" s="18" t="str">
        <f t="shared" si="2"/>
        <v>Houston</v>
      </c>
    </row>
    <row r="20" spans="1:34">
      <c r="A20" s="18" t="s">
        <v>40</v>
      </c>
      <c r="B20" s="13">
        <f>'Summary-2000'!B20-'Summary-1990'!B20</f>
        <v>-36550.551816463441</v>
      </c>
      <c r="C20" s="13">
        <f>'Summary-2000'!C20-'Summary-1990'!C20</f>
        <v>-165813.22652186808</v>
      </c>
      <c r="D20" s="13">
        <f>'Summary-2000'!D20-'Summary-1990'!D20</f>
        <v>177642</v>
      </c>
      <c r="E20" s="13">
        <f>'Summary-2000'!E20-'Summary-1990'!E20</f>
        <v>188494</v>
      </c>
      <c r="F20" s="13">
        <f>'Summary-2000'!F20-'Summary-1990'!F20</f>
        <v>188494</v>
      </c>
      <c r="G20" s="13">
        <f>'Summary-2000'!G20-'Summary-1990'!G20</f>
        <v>188494</v>
      </c>
      <c r="H20" s="13">
        <f>'Summary-2000'!H20-'Summary-1990'!H20</f>
        <v>188494</v>
      </c>
      <c r="I20" s="13">
        <f>'Summary-2000'!I20-'Summary-1990'!I20</f>
        <v>188494</v>
      </c>
      <c r="J20" s="13">
        <f>'Summary-2000'!J20-'Summary-1990'!J20</f>
        <v>188494</v>
      </c>
      <c r="K20" s="18" t="str">
        <f t="shared" si="3"/>
        <v>Indianapolis</v>
      </c>
      <c r="L20" s="13">
        <f t="shared" si="4"/>
        <v>188493.99999999997</v>
      </c>
      <c r="M20" s="13">
        <f>'Summary-2000'!M20-'Summary-1990'!M20</f>
        <v>-36550.551816463441</v>
      </c>
      <c r="N20" s="13">
        <f>'Summary-2000'!N20-'Summary-1990'!N20</f>
        <v>-129263.67470540467</v>
      </c>
      <c r="O20" s="13">
        <f>'Summary-2000'!O20-'Summary-1990'!O20</f>
        <v>343456.22652186808</v>
      </c>
      <c r="P20" s="13">
        <f>'Summary-2000'!P20-'Summary-1990'!P20</f>
        <v>10852</v>
      </c>
      <c r="Q20" s="13">
        <f>'Summary-2000'!Q20-'Summary-1990'!Q20</f>
        <v>0</v>
      </c>
      <c r="R20" s="13">
        <f>'Summary-2000'!R20-'Summary-1990'!R20</f>
        <v>0</v>
      </c>
      <c r="S20" s="13">
        <f>'Summary-2000'!S20-'Summary-1990'!S20</f>
        <v>0</v>
      </c>
      <c r="T20" s="13">
        <f>'Summary-2000'!T20-'Summary-1990'!T20</f>
        <v>0</v>
      </c>
      <c r="U20" s="13">
        <f>'Summary-2000'!U20-'Summary-1990'!U20</f>
        <v>0</v>
      </c>
      <c r="V20" s="13"/>
      <c r="W20" s="13">
        <f t="shared" si="5"/>
        <v>188493.99999999997</v>
      </c>
      <c r="Y20" s="13">
        <f t="shared" si="0"/>
        <v>-10921.110059677423</v>
      </c>
      <c r="Z20" s="18">
        <f t="shared" si="6"/>
        <v>22</v>
      </c>
      <c r="AA20" s="18" t="str">
        <f t="shared" si="7"/>
        <v>Indianapolis</v>
      </c>
      <c r="AB20" s="18">
        <f t="shared" si="8"/>
        <v>29</v>
      </c>
      <c r="AC20" s="18">
        <f t="shared" si="8"/>
        <v>38</v>
      </c>
      <c r="AD20" s="18">
        <f t="shared" si="8"/>
        <v>3</v>
      </c>
      <c r="AE20" s="18">
        <f t="shared" si="8"/>
        <v>18</v>
      </c>
      <c r="AF20" s="18">
        <f t="shared" si="8"/>
        <v>12</v>
      </c>
      <c r="AG20" s="18">
        <f t="shared" si="9"/>
        <v>4</v>
      </c>
      <c r="AH20" s="18" t="str">
        <f t="shared" si="2"/>
        <v>Indianapolis</v>
      </c>
    </row>
    <row r="21" spans="1:34">
      <c r="A21" s="18" t="s">
        <v>559</v>
      </c>
      <c r="B21" s="13">
        <f>'Summary-2000'!B21-'Summary-1990'!B21</f>
        <v>-3903.1927685893024</v>
      </c>
      <c r="C21" s="13">
        <f>'Summary-2000'!C21-'Summary-1990'!C21</f>
        <v>-50197.281459697348</v>
      </c>
      <c r="D21" s="13">
        <f>'Summary-2000'!D21-'Summary-1990'!D21</f>
        <v>110542</v>
      </c>
      <c r="E21" s="13">
        <f>'Summary-2000'!E21-'Summary-1990'!E21</f>
        <v>110542</v>
      </c>
      <c r="F21" s="13">
        <f>'Summary-2000'!F21-'Summary-1990'!F21</f>
        <v>110542</v>
      </c>
      <c r="G21" s="13">
        <f>'Summary-2000'!G21-'Summary-1990'!G21</f>
        <v>110542</v>
      </c>
      <c r="H21" s="13">
        <f>'Summary-2000'!H21-'Summary-1990'!H21</f>
        <v>110542</v>
      </c>
      <c r="I21" s="13">
        <f>'Summary-2000'!I21-'Summary-1990'!I21</f>
        <v>110542</v>
      </c>
      <c r="J21" s="13">
        <f>'Summary-2000'!J21-'Summary-1990'!J21</f>
        <v>110542</v>
      </c>
      <c r="K21" s="18" t="str">
        <f t="shared" si="3"/>
        <v>Riverside</v>
      </c>
      <c r="L21" s="13">
        <f t="shared" si="4"/>
        <v>110543</v>
      </c>
      <c r="M21" s="13">
        <f>'Summary-2000'!M21-'Summary-1990'!M21</f>
        <v>-3903.1927685893024</v>
      </c>
      <c r="N21" s="13">
        <f>'Summary-2000'!N21-'Summary-1990'!N21</f>
        <v>-46293.088691108045</v>
      </c>
      <c r="O21" s="13">
        <f>'Summary-2000'!O21-'Summary-1990'!O21</f>
        <v>160739.28145969735</v>
      </c>
      <c r="P21" s="13">
        <f>'Summary-2000'!P21-'Summary-1990'!P21</f>
        <v>0</v>
      </c>
      <c r="Q21" s="13">
        <f>'Summary-2000'!Q21-'Summary-1990'!Q21</f>
        <v>0</v>
      </c>
      <c r="R21" s="13">
        <f>'Summary-2000'!R21-'Summary-1990'!R21</f>
        <v>0</v>
      </c>
      <c r="S21" s="13">
        <f>'Summary-2000'!S21-'Summary-1990'!S21</f>
        <v>0</v>
      </c>
      <c r="T21" s="13">
        <f>'Summary-2000'!T21-'Summary-1990'!T21</f>
        <v>0</v>
      </c>
      <c r="U21" s="13">
        <f>'Summary-2000'!U21-'Summary-1990'!U21</f>
        <v>0</v>
      </c>
      <c r="V21" s="13"/>
      <c r="W21" s="13">
        <f t="shared" si="5"/>
        <v>110543</v>
      </c>
      <c r="Y21" s="13">
        <f t="shared" si="0"/>
        <v>3481.7076498220213</v>
      </c>
      <c r="Z21" s="18">
        <f t="shared" si="6"/>
        <v>15</v>
      </c>
      <c r="AA21" s="18" t="str">
        <f t="shared" si="7"/>
        <v>Riverside</v>
      </c>
      <c r="AB21" s="18">
        <f t="shared" si="8"/>
        <v>12</v>
      </c>
      <c r="AC21" s="18">
        <f t="shared" si="8"/>
        <v>23</v>
      </c>
      <c r="AD21" s="18">
        <f t="shared" si="8"/>
        <v>15</v>
      </c>
      <c r="AE21" s="18">
        <f t="shared" si="8"/>
        <v>19</v>
      </c>
      <c r="AF21" s="18">
        <f t="shared" si="8"/>
        <v>12</v>
      </c>
      <c r="AG21" s="18">
        <f t="shared" si="9"/>
        <v>4</v>
      </c>
      <c r="AH21" s="18" t="str">
        <f t="shared" si="2"/>
        <v>Riverside</v>
      </c>
    </row>
    <row r="22" spans="1:34">
      <c r="A22" s="18" t="s">
        <v>41</v>
      </c>
      <c r="B22" s="13">
        <f>'Summary-2000'!B22-'Summary-1990'!B22</f>
        <v>12206.22533680631</v>
      </c>
      <c r="C22" s="13">
        <f>'Summary-2000'!C22-'Summary-1990'!C22</f>
        <v>51201.253231643961</v>
      </c>
      <c r="D22" s="13">
        <f>'Summary-2000'!D22-'Summary-1990'!D22</f>
        <v>53340</v>
      </c>
      <c r="E22" s="13">
        <f>'Summary-2000'!E22-'Summary-1990'!E22</f>
        <v>53340</v>
      </c>
      <c r="F22" s="13">
        <f>'Summary-2000'!F22-'Summary-1990'!F22</f>
        <v>53340</v>
      </c>
      <c r="G22" s="13">
        <f>'Summary-2000'!G22-'Summary-1990'!G22</f>
        <v>53340</v>
      </c>
      <c r="H22" s="13">
        <f>'Summary-2000'!H22-'Summary-1990'!H22</f>
        <v>53340</v>
      </c>
      <c r="I22" s="13">
        <f>'Summary-2000'!I22-'Summary-1990'!I22</f>
        <v>53340</v>
      </c>
      <c r="J22" s="13">
        <f>'Summary-2000'!J22-'Summary-1990'!J22</f>
        <v>53340</v>
      </c>
      <c r="K22" s="18" t="str">
        <f t="shared" si="3"/>
        <v>Jacksonville</v>
      </c>
      <c r="L22" s="13">
        <f t="shared" si="4"/>
        <v>53341.000000000015</v>
      </c>
      <c r="M22" s="13">
        <f>'Summary-2000'!M22-'Summary-1990'!M22</f>
        <v>12206.22533680631</v>
      </c>
      <c r="N22" s="13">
        <f>'Summary-2000'!N22-'Summary-1990'!N22</f>
        <v>38996.027894837665</v>
      </c>
      <c r="O22" s="13">
        <f>'Summary-2000'!O22-'Summary-1990'!O22</f>
        <v>2138.746768356039</v>
      </c>
      <c r="P22" s="13">
        <f>'Summary-2000'!P22-'Summary-1990'!P22</f>
        <v>0</v>
      </c>
      <c r="Q22" s="13">
        <f>'Summary-2000'!Q22-'Summary-1990'!Q22</f>
        <v>0</v>
      </c>
      <c r="R22" s="13">
        <f>'Summary-2000'!R22-'Summary-1990'!R22</f>
        <v>0</v>
      </c>
      <c r="S22" s="13">
        <f>'Summary-2000'!S22-'Summary-1990'!S22</f>
        <v>0</v>
      </c>
      <c r="T22" s="13">
        <f>'Summary-2000'!T22-'Summary-1990'!T22</f>
        <v>0</v>
      </c>
      <c r="U22" s="13">
        <f>'Summary-2000'!U22-'Summary-1990'!U22</f>
        <v>0</v>
      </c>
      <c r="V22" s="13"/>
      <c r="W22" s="13">
        <f t="shared" si="5"/>
        <v>53341.000000000015</v>
      </c>
      <c r="Y22" s="13">
        <f t="shared" si="0"/>
        <v>13551.795563388345</v>
      </c>
      <c r="Z22" s="18">
        <f t="shared" si="6"/>
        <v>11</v>
      </c>
      <c r="AA22" s="18" t="str">
        <f t="shared" si="7"/>
        <v>Jacksonville</v>
      </c>
      <c r="AB22" s="18">
        <f t="shared" si="8"/>
        <v>6</v>
      </c>
      <c r="AC22" s="18">
        <f t="shared" si="8"/>
        <v>11</v>
      </c>
      <c r="AD22" s="18">
        <f t="shared" si="8"/>
        <v>28</v>
      </c>
      <c r="AE22" s="18">
        <f t="shared" si="8"/>
        <v>19</v>
      </c>
      <c r="AF22" s="18">
        <f t="shared" si="8"/>
        <v>12</v>
      </c>
      <c r="AG22" s="18">
        <f t="shared" si="9"/>
        <v>4</v>
      </c>
      <c r="AH22" s="18" t="str">
        <f t="shared" si="2"/>
        <v>Jacksonville</v>
      </c>
    </row>
    <row r="23" spans="1:34">
      <c r="A23" s="18" t="s">
        <v>74</v>
      </c>
      <c r="B23" s="13">
        <f>'Summary-2000'!B23-'Summary-1990'!B23</f>
        <v>38833.509182874113</v>
      </c>
      <c r="C23" s="13">
        <f>'Summary-2000'!C23-'Summary-1990'!C23</f>
        <v>153396.37811610429</v>
      </c>
      <c r="D23" s="13">
        <f>'Summary-2000'!D23-'Summary-1990'!D23</f>
        <v>138177.51153109001</v>
      </c>
      <c r="E23" s="13">
        <f>'Summary-2000'!E23-'Summary-1990'!E23</f>
        <v>120103</v>
      </c>
      <c r="F23" s="13">
        <f>'Summary-2000'!F23-'Summary-1990'!F23</f>
        <v>120103</v>
      </c>
      <c r="G23" s="13">
        <f>'Summary-2000'!G23-'Summary-1990'!G23</f>
        <v>120103</v>
      </c>
      <c r="H23" s="13">
        <f>'Summary-2000'!H23-'Summary-1990'!H23</f>
        <v>120103</v>
      </c>
      <c r="I23" s="13">
        <f>'Summary-2000'!I23-'Summary-1990'!I23</f>
        <v>120103</v>
      </c>
      <c r="J23" s="13">
        <f>'Summary-2000'!J23-'Summary-1990'!J23</f>
        <v>120103</v>
      </c>
      <c r="K23" s="18" t="str">
        <f t="shared" si="3"/>
        <v>Kansas City</v>
      </c>
      <c r="L23" s="13">
        <f t="shared" si="4"/>
        <v>120103</v>
      </c>
      <c r="M23" s="13">
        <f>'Summary-2000'!M23-'Summary-1990'!M23</f>
        <v>38833.509182874113</v>
      </c>
      <c r="N23" s="13">
        <f>'Summary-2000'!N23-'Summary-1990'!N23</f>
        <v>114562.86893323017</v>
      </c>
      <c r="O23" s="13">
        <f>'Summary-2000'!O23-'Summary-1990'!O23</f>
        <v>-15218.866585014272</v>
      </c>
      <c r="P23" s="13">
        <f>'Summary-2000'!P23-'Summary-1990'!P23</f>
        <v>-18074.511531090015</v>
      </c>
      <c r="Q23" s="13">
        <f>'Summary-2000'!Q23-'Summary-1990'!Q23</f>
        <v>0</v>
      </c>
      <c r="R23" s="13">
        <f>'Summary-2000'!R23-'Summary-1990'!R23</f>
        <v>0</v>
      </c>
      <c r="S23" s="13">
        <f>'Summary-2000'!S23-'Summary-1990'!S23</f>
        <v>0</v>
      </c>
      <c r="T23" s="13">
        <f>'Summary-2000'!T23-'Summary-1990'!T23</f>
        <v>0</v>
      </c>
      <c r="U23" s="13">
        <f>'Summary-2000'!U23-'Summary-1990'!U23</f>
        <v>0</v>
      </c>
      <c r="V23" s="13"/>
      <c r="W23" s="13">
        <f t="shared" si="5"/>
        <v>120103</v>
      </c>
      <c r="Y23" s="13">
        <f t="shared" si="0"/>
        <v>38461.483429457934</v>
      </c>
      <c r="Z23" s="18">
        <f t="shared" si="6"/>
        <v>3</v>
      </c>
      <c r="AA23" s="18" t="str">
        <f t="shared" si="7"/>
        <v>Kansas City</v>
      </c>
      <c r="AB23" s="18">
        <f t="shared" si="8"/>
        <v>2</v>
      </c>
      <c r="AC23" s="18">
        <f t="shared" si="8"/>
        <v>4</v>
      </c>
      <c r="AD23" s="18">
        <f t="shared" si="8"/>
        <v>34</v>
      </c>
      <c r="AE23" s="18">
        <f t="shared" si="8"/>
        <v>43</v>
      </c>
      <c r="AF23" s="18">
        <f t="shared" si="8"/>
        <v>12</v>
      </c>
      <c r="AG23" s="18">
        <f t="shared" si="9"/>
        <v>4</v>
      </c>
      <c r="AH23" s="18" t="str">
        <f t="shared" si="2"/>
        <v>Kansas City</v>
      </c>
    </row>
    <row r="24" spans="1:34">
      <c r="A24" s="18" t="s">
        <v>62</v>
      </c>
      <c r="B24" s="13">
        <f>'Summary-2000'!B24-'Summary-1990'!B24</f>
        <v>10869.000325070112</v>
      </c>
      <c r="C24" s="13">
        <f>'Summary-2000'!C24-'Summary-1990'!C24</f>
        <v>99493</v>
      </c>
      <c r="D24" s="13">
        <f>'Summary-2000'!D24-'Summary-1990'!D24</f>
        <v>320747</v>
      </c>
      <c r="E24" s="13">
        <f>'Summary-2000'!E24-'Summary-1990'!E24</f>
        <v>320747</v>
      </c>
      <c r="F24" s="13">
        <f>'Summary-2000'!F24-'Summary-1990'!F24</f>
        <v>320747</v>
      </c>
      <c r="G24" s="13">
        <f>'Summary-2000'!G24-'Summary-1990'!G24</f>
        <v>320747</v>
      </c>
      <c r="H24" s="13">
        <f>'Summary-2000'!H24-'Summary-1990'!H24</f>
        <v>320747</v>
      </c>
      <c r="I24" s="13">
        <f>'Summary-2000'!I24-'Summary-1990'!I24</f>
        <v>320747</v>
      </c>
      <c r="J24" s="13">
        <f>'Summary-2000'!J24-'Summary-1990'!J24</f>
        <v>320747</v>
      </c>
      <c r="K24" s="18" t="str">
        <f t="shared" si="3"/>
        <v>Las Vegas</v>
      </c>
      <c r="L24" s="13">
        <f t="shared" si="4"/>
        <v>320746</v>
      </c>
      <c r="M24" s="13">
        <f>'Summary-2000'!M24-'Summary-1990'!M24</f>
        <v>10869.000325070112</v>
      </c>
      <c r="N24" s="13">
        <f>'Summary-2000'!N24-'Summary-1990'!N24</f>
        <v>88622.999674929888</v>
      </c>
      <c r="O24" s="13">
        <f>'Summary-2000'!O24-'Summary-1990'!O24</f>
        <v>221254</v>
      </c>
      <c r="P24" s="13">
        <f>'Summary-2000'!P24-'Summary-1990'!P24</f>
        <v>0</v>
      </c>
      <c r="Q24" s="13">
        <f>'Summary-2000'!Q24-'Summary-1990'!Q24</f>
        <v>0</v>
      </c>
      <c r="R24" s="13">
        <f>'Summary-2000'!R24-'Summary-1990'!R24</f>
        <v>0</v>
      </c>
      <c r="S24" s="13">
        <f>'Summary-2000'!S24-'Summary-1990'!S24</f>
        <v>0</v>
      </c>
      <c r="T24" s="13">
        <f>'Summary-2000'!T24-'Summary-1990'!T24</f>
        <v>0</v>
      </c>
      <c r="U24" s="13">
        <f>'Summary-2000'!U24-'Summary-1990'!U24</f>
        <v>0</v>
      </c>
      <c r="V24" s="13"/>
      <c r="W24" s="13">
        <f t="shared" si="5"/>
        <v>320746</v>
      </c>
      <c r="Y24" s="13">
        <f t="shared" si="0"/>
        <v>42848.141742758991</v>
      </c>
      <c r="Z24" s="18">
        <f t="shared" si="6"/>
        <v>2</v>
      </c>
      <c r="AA24" s="18" t="str">
        <f t="shared" si="7"/>
        <v>Las Vegas</v>
      </c>
      <c r="AB24" s="18">
        <f t="shared" si="8"/>
        <v>7</v>
      </c>
      <c r="AC24" s="18">
        <f t="shared" si="8"/>
        <v>5</v>
      </c>
      <c r="AD24" s="18">
        <f t="shared" si="8"/>
        <v>6</v>
      </c>
      <c r="AE24" s="18">
        <f t="shared" si="8"/>
        <v>19</v>
      </c>
      <c r="AF24" s="18">
        <f t="shared" si="8"/>
        <v>12</v>
      </c>
      <c r="AG24" s="18">
        <f t="shared" si="9"/>
        <v>4</v>
      </c>
      <c r="AH24" s="18" t="str">
        <f t="shared" si="2"/>
        <v>Las Vegas</v>
      </c>
    </row>
    <row r="25" spans="1:34">
      <c r="A25" s="18" t="s">
        <v>63</v>
      </c>
      <c r="B25" s="13">
        <f>'Summary-2000'!B25-'Summary-1990'!B25</f>
        <v>-1349.216382023762</v>
      </c>
      <c r="C25" s="13">
        <f>'Summary-2000'!C25-'Summary-1990'!C25</f>
        <v>13259.424241310568</v>
      </c>
      <c r="D25" s="13">
        <f>'Summary-2000'!D25-'Summary-1990'!D25</f>
        <v>40128.134030972142</v>
      </c>
      <c r="E25" s="13">
        <f>'Summary-2000'!E25-'Summary-1990'!E25</f>
        <v>66725.936402423307</v>
      </c>
      <c r="F25" s="13">
        <f>'Summary-2000'!F25-'Summary-1990'!F25</f>
        <v>111829.83163060341</v>
      </c>
      <c r="G25" s="13">
        <f>'Summary-2000'!G25-'Summary-1990'!G25</f>
        <v>-335809.9301491892</v>
      </c>
      <c r="H25" s="13">
        <f>'Summary-2000'!H25-'Summary-1990'!H25</f>
        <v>-743253</v>
      </c>
      <c r="I25" s="13">
        <f>'Summary-2000'!I25-'Summary-1990'!I25</f>
        <v>-743253</v>
      </c>
      <c r="J25" s="13">
        <f>'Summary-2000'!J25-'Summary-1990'!J25</f>
        <v>-743253</v>
      </c>
      <c r="K25" s="18" t="str">
        <f t="shared" si="3"/>
        <v>Los Angeles</v>
      </c>
      <c r="L25" s="13">
        <f t="shared" si="4"/>
        <v>-743254</v>
      </c>
      <c r="M25" s="13">
        <f>'Summary-2000'!M25-'Summary-1990'!M25</f>
        <v>-1349.216382023762</v>
      </c>
      <c r="N25" s="13">
        <f>'Summary-2000'!N25-'Summary-1990'!N25</f>
        <v>14608.64062333433</v>
      </c>
      <c r="O25" s="13">
        <f>'Summary-2000'!O25-'Summary-1990'!O25</f>
        <v>26868.709789661574</v>
      </c>
      <c r="P25" s="13">
        <f>'Summary-2000'!P25-'Summary-1990'!P25</f>
        <v>26596.802371451166</v>
      </c>
      <c r="Q25" s="13">
        <f>'Summary-2000'!Q25-'Summary-1990'!Q25</f>
        <v>45103.895228180103</v>
      </c>
      <c r="R25" s="13">
        <f>'Summary-2000'!R25-'Summary-1990'!R25</f>
        <v>-447639.76177979261</v>
      </c>
      <c r="S25" s="13">
        <f>'Summary-2000'!S25-'Summary-1990'!S25</f>
        <v>-407443.0698508108</v>
      </c>
      <c r="T25" s="13">
        <f>'Summary-2000'!T25-'Summary-1990'!T25</f>
        <v>0</v>
      </c>
      <c r="U25" s="13">
        <f>'Summary-2000'!U25-'Summary-1990'!U25</f>
        <v>0</v>
      </c>
      <c r="V25" s="13"/>
      <c r="W25" s="13">
        <f t="shared" si="5"/>
        <v>-743254</v>
      </c>
      <c r="Y25" s="13">
        <f t="shared" si="0"/>
        <v>1500.286022674074</v>
      </c>
      <c r="Z25" s="18">
        <f t="shared" si="6"/>
        <v>18</v>
      </c>
      <c r="AA25" s="18" t="str">
        <f t="shared" si="7"/>
        <v>Los Angeles</v>
      </c>
      <c r="AB25" s="18">
        <f t="shared" si="8"/>
        <v>11</v>
      </c>
      <c r="AC25" s="18">
        <f t="shared" si="8"/>
        <v>14</v>
      </c>
      <c r="AD25" s="18">
        <f t="shared" si="8"/>
        <v>27</v>
      </c>
      <c r="AE25" s="18">
        <f t="shared" si="8"/>
        <v>16</v>
      </c>
      <c r="AF25" s="18">
        <f t="shared" si="8"/>
        <v>10</v>
      </c>
      <c r="AG25" s="18">
        <f t="shared" si="9"/>
        <v>50</v>
      </c>
      <c r="AH25" s="18" t="str">
        <f t="shared" si="2"/>
        <v>Los Angeles</v>
      </c>
    </row>
    <row r="26" spans="1:34">
      <c r="A26" s="18" t="s">
        <v>42</v>
      </c>
      <c r="B26" s="13">
        <f>'Summary-2000'!B26-'Summary-1990'!B26</f>
        <v>-24452.539570919776</v>
      </c>
      <c r="C26" s="13">
        <f>'Summary-2000'!C26-'Summary-1990'!C26</f>
        <v>-117582.30367429147</v>
      </c>
      <c r="D26" s="13">
        <f>'Summary-2000'!D26-'Summary-1990'!D26</f>
        <v>69150</v>
      </c>
      <c r="E26" s="13">
        <f>'Summary-2000'!E26-'Summary-1990'!E26</f>
        <v>69150</v>
      </c>
      <c r="F26" s="13">
        <f>'Summary-2000'!F26-'Summary-1990'!F26</f>
        <v>69150</v>
      </c>
      <c r="G26" s="13">
        <f>'Summary-2000'!G26-'Summary-1990'!G26</f>
        <v>69150</v>
      </c>
      <c r="H26" s="13">
        <f>'Summary-2000'!H26-'Summary-1990'!H26</f>
        <v>69150</v>
      </c>
      <c r="I26" s="13">
        <f>'Summary-2000'!I26-'Summary-1990'!I26</f>
        <v>69150</v>
      </c>
      <c r="J26" s="13">
        <f>'Summary-2000'!J26-'Summary-1990'!J26</f>
        <v>69150</v>
      </c>
      <c r="K26" s="18" t="str">
        <f t="shared" si="3"/>
        <v>Louisville</v>
      </c>
      <c r="L26" s="13">
        <f t="shared" si="4"/>
        <v>69148.999999999985</v>
      </c>
      <c r="M26" s="13">
        <f>'Summary-2000'!M26-'Summary-1990'!M26</f>
        <v>-24452.539570919776</v>
      </c>
      <c r="N26" s="13">
        <f>'Summary-2000'!N26-'Summary-1990'!N26</f>
        <v>-93130.764103371708</v>
      </c>
      <c r="O26" s="13">
        <f>'Summary-2000'!O26-'Summary-1990'!O26</f>
        <v>186732.30367429147</v>
      </c>
      <c r="P26" s="13">
        <f>'Summary-2000'!P26-'Summary-1990'!P26</f>
        <v>0</v>
      </c>
      <c r="Q26" s="13">
        <f>'Summary-2000'!Q26-'Summary-1990'!Q26</f>
        <v>0</v>
      </c>
      <c r="R26" s="13">
        <f>'Summary-2000'!R26-'Summary-1990'!R26</f>
        <v>0</v>
      </c>
      <c r="S26" s="13">
        <f>'Summary-2000'!S26-'Summary-1990'!S26</f>
        <v>0</v>
      </c>
      <c r="T26" s="13">
        <f>'Summary-2000'!T26-'Summary-1990'!T26</f>
        <v>0</v>
      </c>
      <c r="U26" s="13">
        <f>'Summary-2000'!U26-'Summary-1990'!U26</f>
        <v>0</v>
      </c>
      <c r="V26" s="13"/>
      <c r="W26" s="13">
        <f t="shared" si="5"/>
        <v>69148.999999999985</v>
      </c>
      <c r="Y26" s="13">
        <f t="shared" si="0"/>
        <v>-12850.038863740378</v>
      </c>
      <c r="Z26" s="18">
        <f t="shared" si="6"/>
        <v>23</v>
      </c>
      <c r="AA26" s="18" t="str">
        <f t="shared" si="7"/>
        <v>Louisville</v>
      </c>
      <c r="AB26" s="18">
        <f t="shared" si="8"/>
        <v>20</v>
      </c>
      <c r="AC26" s="18">
        <f t="shared" si="8"/>
        <v>32</v>
      </c>
      <c r="AD26" s="18">
        <f t="shared" si="8"/>
        <v>10</v>
      </c>
      <c r="AE26" s="18">
        <f t="shared" si="8"/>
        <v>19</v>
      </c>
      <c r="AF26" s="18">
        <f t="shared" si="8"/>
        <v>12</v>
      </c>
      <c r="AG26" s="18">
        <f t="shared" si="9"/>
        <v>4</v>
      </c>
      <c r="AH26" s="18" t="str">
        <f t="shared" si="2"/>
        <v>Louisville</v>
      </c>
    </row>
    <row r="27" spans="1:34">
      <c r="A27" s="18" t="s">
        <v>43</v>
      </c>
      <c r="B27" s="13">
        <f>'Summary-2000'!B27-'Summary-1990'!B27</f>
        <v>-24623.215803885498</v>
      </c>
      <c r="C27" s="13">
        <f>'Summary-2000'!C27-'Summary-1990'!C27</f>
        <v>-105970.16790527344</v>
      </c>
      <c r="D27" s="13">
        <f>'Summary-2000'!D27-'Summary-1990'!D27</f>
        <v>89229</v>
      </c>
      <c r="E27" s="13">
        <f>'Summary-2000'!E27-'Summary-1990'!E27</f>
        <v>89229</v>
      </c>
      <c r="F27" s="13">
        <f>'Summary-2000'!F27-'Summary-1990'!F27</f>
        <v>89229</v>
      </c>
      <c r="G27" s="13">
        <f>'Summary-2000'!G27-'Summary-1990'!G27</f>
        <v>89229</v>
      </c>
      <c r="H27" s="13">
        <f>'Summary-2000'!H27-'Summary-1990'!H27</f>
        <v>89229</v>
      </c>
      <c r="I27" s="13">
        <f>'Summary-2000'!I27-'Summary-1990'!I27</f>
        <v>89229</v>
      </c>
      <c r="J27" s="13">
        <f>'Summary-2000'!J27-'Summary-1990'!J27</f>
        <v>89229</v>
      </c>
      <c r="K27" s="18" t="str">
        <f t="shared" si="3"/>
        <v>Memphis</v>
      </c>
      <c r="L27" s="13">
        <f t="shared" si="4"/>
        <v>89228.999999999985</v>
      </c>
      <c r="M27" s="13">
        <f>'Summary-2000'!M27-'Summary-1990'!M27</f>
        <v>-24623.215803885498</v>
      </c>
      <c r="N27" s="13">
        <f>'Summary-2000'!N27-'Summary-1990'!N27</f>
        <v>-81346.952101387957</v>
      </c>
      <c r="O27" s="13">
        <f>'Summary-2000'!O27-'Summary-1990'!O27</f>
        <v>195199.16790527344</v>
      </c>
      <c r="P27" s="13">
        <f>'Summary-2000'!P27-'Summary-1990'!P27</f>
        <v>0</v>
      </c>
      <c r="Q27" s="13">
        <f>'Summary-2000'!Q27-'Summary-1990'!Q27</f>
        <v>0</v>
      </c>
      <c r="R27" s="13">
        <f>'Summary-2000'!R27-'Summary-1990'!R27</f>
        <v>0</v>
      </c>
      <c r="S27" s="13">
        <f>'Summary-2000'!S27-'Summary-1990'!S27</f>
        <v>0</v>
      </c>
      <c r="T27" s="13">
        <f>'Summary-2000'!T27-'Summary-1990'!T27</f>
        <v>0</v>
      </c>
      <c r="U27" s="13">
        <f>'Summary-2000'!U27-'Summary-1990'!U27</f>
        <v>0</v>
      </c>
      <c r="V27" s="13"/>
      <c r="W27" s="13">
        <f t="shared" si="5"/>
        <v>89228.999999999985</v>
      </c>
      <c r="Y27" s="13">
        <f t="shared" si="0"/>
        <v>-9779.5214329801238</v>
      </c>
      <c r="Z27" s="18">
        <f t="shared" si="6"/>
        <v>21</v>
      </c>
      <c r="AA27" s="18" t="str">
        <f t="shared" si="7"/>
        <v>Memphis</v>
      </c>
      <c r="AB27" s="18">
        <f t="shared" si="8"/>
        <v>21</v>
      </c>
      <c r="AC27" s="18">
        <f t="shared" si="8"/>
        <v>29</v>
      </c>
      <c r="AD27" s="18">
        <f t="shared" si="8"/>
        <v>9</v>
      </c>
      <c r="AE27" s="18">
        <f t="shared" si="8"/>
        <v>19</v>
      </c>
      <c r="AF27" s="18">
        <f t="shared" si="8"/>
        <v>12</v>
      </c>
      <c r="AG27" s="18">
        <f t="shared" si="9"/>
        <v>4</v>
      </c>
      <c r="AH27" s="18" t="str">
        <f t="shared" si="2"/>
        <v>Memphis</v>
      </c>
    </row>
    <row r="28" spans="1:34">
      <c r="A28" s="18" t="s">
        <v>44</v>
      </c>
      <c r="B28" s="13">
        <f>'Summary-2000'!B28-'Summary-1990'!B28</f>
        <v>-25646.0481906356</v>
      </c>
      <c r="C28" s="13">
        <f>'Summary-2000'!C28-'Summary-1990'!C28</f>
        <v>-105552.87246055983</v>
      </c>
      <c r="D28" s="13">
        <f>'Summary-2000'!D28-'Summary-1990'!D28</f>
        <v>8912</v>
      </c>
      <c r="E28" s="13">
        <f>'Summary-2000'!E28-'Summary-1990'!E28</f>
        <v>8912</v>
      </c>
      <c r="F28" s="13">
        <f>'Summary-2000'!F28-'Summary-1990'!F28</f>
        <v>8912</v>
      </c>
      <c r="G28" s="13">
        <f>'Summary-2000'!G28-'Summary-1990'!G28</f>
        <v>8912</v>
      </c>
      <c r="H28" s="13">
        <f>'Summary-2000'!H28-'Summary-1990'!H28</f>
        <v>8912</v>
      </c>
      <c r="I28" s="13">
        <f>'Summary-2000'!I28-'Summary-1990'!I28</f>
        <v>8912</v>
      </c>
      <c r="J28" s="13">
        <f>'Summary-2000'!J28-'Summary-1990'!J28</f>
        <v>8912</v>
      </c>
      <c r="K28" s="18" t="str">
        <f t="shared" si="3"/>
        <v>Milwaukee</v>
      </c>
      <c r="L28" s="13">
        <f t="shared" si="4"/>
        <v>8912.0000000000291</v>
      </c>
      <c r="M28" s="13">
        <f>'Summary-2000'!M28-'Summary-1990'!M28</f>
        <v>-25646.0481906356</v>
      </c>
      <c r="N28" s="13">
        <f>'Summary-2000'!N28-'Summary-1990'!N28</f>
        <v>-79906.824269924196</v>
      </c>
      <c r="O28" s="13">
        <f>'Summary-2000'!O28-'Summary-1990'!O28</f>
        <v>114464.87246055983</v>
      </c>
      <c r="P28" s="13">
        <f>'Summary-2000'!P28-'Summary-1990'!P28</f>
        <v>0</v>
      </c>
      <c r="Q28" s="13">
        <f>'Summary-2000'!Q28-'Summary-1990'!Q28</f>
        <v>0</v>
      </c>
      <c r="R28" s="13">
        <f>'Summary-2000'!R28-'Summary-1990'!R28</f>
        <v>0</v>
      </c>
      <c r="S28" s="13">
        <f>'Summary-2000'!S28-'Summary-1990'!S28</f>
        <v>0</v>
      </c>
      <c r="T28" s="13">
        <f>'Summary-2000'!T28-'Summary-1990'!T28</f>
        <v>0</v>
      </c>
      <c r="U28" s="13">
        <f>'Summary-2000'!U28-'Summary-1990'!U28</f>
        <v>0</v>
      </c>
      <c r="V28" s="13"/>
      <c r="W28" s="13">
        <f t="shared" si="5"/>
        <v>8912.0000000000291</v>
      </c>
      <c r="Y28" s="13">
        <f t="shared" si="0"/>
        <v>-17272.402898151529</v>
      </c>
      <c r="Z28" s="18">
        <f t="shared" si="6"/>
        <v>24</v>
      </c>
      <c r="AA28" s="18" t="str">
        <f t="shared" si="7"/>
        <v>Milwaukee</v>
      </c>
      <c r="AB28" s="18">
        <f t="shared" si="8"/>
        <v>23</v>
      </c>
      <c r="AC28" s="18">
        <f t="shared" si="8"/>
        <v>28</v>
      </c>
      <c r="AD28" s="18">
        <f t="shared" si="8"/>
        <v>19</v>
      </c>
      <c r="AE28" s="18">
        <f t="shared" si="8"/>
        <v>19</v>
      </c>
      <c r="AF28" s="18">
        <f t="shared" si="8"/>
        <v>12</v>
      </c>
      <c r="AG28" s="18">
        <f t="shared" si="9"/>
        <v>4</v>
      </c>
      <c r="AH28" s="18" t="str">
        <f t="shared" si="2"/>
        <v>Milwaukee</v>
      </c>
    </row>
    <row r="29" spans="1:34">
      <c r="A29" s="18" t="s">
        <v>568</v>
      </c>
      <c r="B29" s="13">
        <f>'Summary-2000'!B29-'Summary-1990'!B29</f>
        <v>9031.4554078681103</v>
      </c>
      <c r="C29" s="13">
        <f>'Summary-2000'!C29-'Summary-1990'!C29</f>
        <v>49239.517106167332</v>
      </c>
      <c r="D29" s="13">
        <f>'Summary-2000'!D29-'Summary-1990'!D29</f>
        <v>119114.35338508501</v>
      </c>
      <c r="E29" s="13">
        <f>'Summary-2000'!E29-'Summary-1990'!E29</f>
        <v>334774</v>
      </c>
      <c r="F29" s="13">
        <f>'Summary-2000'!F29-'Summary-1990'!F29</f>
        <v>334774</v>
      </c>
      <c r="G29" s="13">
        <f>'Summary-2000'!G29-'Summary-1990'!G29</f>
        <v>334774</v>
      </c>
      <c r="H29" s="13">
        <f>'Summary-2000'!H29-'Summary-1990'!H29</f>
        <v>334774</v>
      </c>
      <c r="I29" s="13">
        <f>'Summary-2000'!I29-'Summary-1990'!I29</f>
        <v>334774</v>
      </c>
      <c r="J29" s="13">
        <f>'Summary-2000'!J29-'Summary-1990'!J29</f>
        <v>334774</v>
      </c>
      <c r="K29" s="18" t="str">
        <f t="shared" si="3"/>
        <v>Minneapolis</v>
      </c>
      <c r="L29" s="13">
        <f t="shared" si="4"/>
        <v>334774.00000000012</v>
      </c>
      <c r="M29" s="13">
        <f>'Summary-2000'!M29-'Summary-1990'!M29</f>
        <v>9031.4554078681103</v>
      </c>
      <c r="N29" s="13">
        <f>'Summary-2000'!N29-'Summary-1990'!N29</f>
        <v>40207.061698299251</v>
      </c>
      <c r="O29" s="13">
        <f>'Summary-2000'!O29-'Summary-1990'!O29</f>
        <v>69875.836278917734</v>
      </c>
      <c r="P29" s="13">
        <f>'Summary-2000'!P29-'Summary-1990'!P29</f>
        <v>215659.64661491499</v>
      </c>
      <c r="Q29" s="13">
        <f>'Summary-2000'!Q29-'Summary-1990'!Q29</f>
        <v>0</v>
      </c>
      <c r="R29" s="13">
        <f>'Summary-2000'!R29-'Summary-1990'!R29</f>
        <v>0</v>
      </c>
      <c r="S29" s="13">
        <f>'Summary-2000'!S29-'Summary-1990'!S29</f>
        <v>0</v>
      </c>
      <c r="T29" s="13">
        <f>'Summary-2000'!T29-'Summary-1990'!T29</f>
        <v>0</v>
      </c>
      <c r="U29" s="13">
        <f>'Summary-2000'!U29-'Summary-1990'!U29</f>
        <v>0</v>
      </c>
      <c r="V29" s="13"/>
      <c r="W29" s="13">
        <f t="shared" si="5"/>
        <v>334774.00000000012</v>
      </c>
      <c r="Y29" s="13">
        <f t="shared" si="0"/>
        <v>27305.515615400185</v>
      </c>
      <c r="Z29" s="18">
        <f t="shared" si="6"/>
        <v>5</v>
      </c>
      <c r="AA29" s="18" t="str">
        <f t="shared" si="7"/>
        <v>Minneapolis</v>
      </c>
      <c r="AB29" s="18">
        <f t="shared" si="8"/>
        <v>8</v>
      </c>
      <c r="AC29" s="18">
        <f t="shared" si="8"/>
        <v>10</v>
      </c>
      <c r="AD29" s="18">
        <f t="shared" si="8"/>
        <v>23</v>
      </c>
      <c r="AE29" s="18">
        <f t="shared" si="8"/>
        <v>8</v>
      </c>
      <c r="AF29" s="18">
        <f t="shared" si="8"/>
        <v>12</v>
      </c>
      <c r="AG29" s="18">
        <f t="shared" si="9"/>
        <v>4</v>
      </c>
      <c r="AH29" s="18" t="str">
        <f t="shared" si="2"/>
        <v>Minneapolis</v>
      </c>
    </row>
    <row r="30" spans="1:34">
      <c r="A30" s="18" t="s">
        <v>46</v>
      </c>
      <c r="B30" s="13">
        <f>'Summary-2000'!B30-'Summary-1990'!B30</f>
        <v>13239.989007952056</v>
      </c>
      <c r="C30" s="13">
        <f>'Summary-2000'!C30-'Summary-1990'!C30</f>
        <v>57103.44297513034</v>
      </c>
      <c r="D30" s="13">
        <f>'Summary-2000'!D30-'Summary-1990'!D30</f>
        <v>139055</v>
      </c>
      <c r="E30" s="13">
        <f>'Summary-2000'!E30-'Summary-1990'!E30</f>
        <v>139055</v>
      </c>
      <c r="F30" s="13">
        <f>'Summary-2000'!F30-'Summary-1990'!F30</f>
        <v>139055</v>
      </c>
      <c r="G30" s="13">
        <f>'Summary-2000'!G30-'Summary-1990'!G30</f>
        <v>139055</v>
      </c>
      <c r="H30" s="13">
        <f>'Summary-2000'!H30-'Summary-1990'!H30</f>
        <v>139055</v>
      </c>
      <c r="I30" s="13">
        <f>'Summary-2000'!I30-'Summary-1990'!I30</f>
        <v>139055</v>
      </c>
      <c r="J30" s="13">
        <f>'Summary-2000'!J30-'Summary-1990'!J30</f>
        <v>139055</v>
      </c>
      <c r="K30" s="18" t="str">
        <f t="shared" si="3"/>
        <v>Nashville</v>
      </c>
      <c r="L30" s="13">
        <f t="shared" si="4"/>
        <v>139055</v>
      </c>
      <c r="M30" s="13">
        <f>'Summary-2000'!M30-'Summary-1990'!M30</f>
        <v>13239.989007952056</v>
      </c>
      <c r="N30" s="13">
        <f>'Summary-2000'!N30-'Summary-1990'!N30</f>
        <v>43863.453967178299</v>
      </c>
      <c r="O30" s="13">
        <f>'Summary-2000'!O30-'Summary-1990'!O30</f>
        <v>81951.55702486966</v>
      </c>
      <c r="P30" s="13">
        <f>'Summary-2000'!P30-'Summary-1990'!P30</f>
        <v>0</v>
      </c>
      <c r="Q30" s="13">
        <f>'Summary-2000'!Q30-'Summary-1990'!Q30</f>
        <v>0</v>
      </c>
      <c r="R30" s="13">
        <f>'Summary-2000'!R30-'Summary-1990'!R30</f>
        <v>0</v>
      </c>
      <c r="S30" s="13">
        <f>'Summary-2000'!S30-'Summary-1990'!S30</f>
        <v>0</v>
      </c>
      <c r="T30" s="13">
        <f>'Summary-2000'!T30-'Summary-1990'!T30</f>
        <v>0</v>
      </c>
      <c r="U30" s="13">
        <f>'Summary-2000'!U30-'Summary-1990'!U30</f>
        <v>0</v>
      </c>
      <c r="V30" s="13"/>
      <c r="W30" s="13">
        <f t="shared" si="5"/>
        <v>139055</v>
      </c>
      <c r="Y30" s="13">
        <f t="shared" si="0"/>
        <v>22239.466691235401</v>
      </c>
      <c r="Z30" s="18">
        <f t="shared" si="6"/>
        <v>6</v>
      </c>
      <c r="AA30" s="18" t="str">
        <f t="shared" si="7"/>
        <v>Nashville</v>
      </c>
      <c r="AB30" s="18">
        <f t="shared" si="8"/>
        <v>5</v>
      </c>
      <c r="AC30" s="18">
        <f t="shared" si="8"/>
        <v>9</v>
      </c>
      <c r="AD30" s="18">
        <f t="shared" si="8"/>
        <v>22</v>
      </c>
      <c r="AE30" s="18">
        <f t="shared" si="8"/>
        <v>19</v>
      </c>
      <c r="AF30" s="18">
        <f t="shared" si="8"/>
        <v>12</v>
      </c>
      <c r="AG30" s="18">
        <f t="shared" si="9"/>
        <v>4</v>
      </c>
      <c r="AH30" s="18" t="str">
        <f t="shared" si="2"/>
        <v>Nashville</v>
      </c>
    </row>
    <row r="31" spans="1:34">
      <c r="A31" s="18" t="s">
        <v>47</v>
      </c>
      <c r="B31" s="13">
        <f>'Summary-2000'!B31-'Summary-1990'!B31</f>
        <v>21368.179437959305</v>
      </c>
      <c r="C31" s="13">
        <f>'Summary-2000'!C31-'Summary-1990'!C31</f>
        <v>26586</v>
      </c>
      <c r="D31" s="13">
        <f>'Summary-2000'!D31-'Summary-1990'!D31</f>
        <v>26586</v>
      </c>
      <c r="E31" s="13">
        <f>'Summary-2000'!E31-'Summary-1990'!E31</f>
        <v>26586</v>
      </c>
      <c r="F31" s="13">
        <f>'Summary-2000'!F31-'Summary-1990'!F31</f>
        <v>26586</v>
      </c>
      <c r="G31" s="13">
        <f>'Summary-2000'!G31-'Summary-1990'!G31</f>
        <v>26586</v>
      </c>
      <c r="H31" s="13">
        <f>'Summary-2000'!H31-'Summary-1990'!H31</f>
        <v>26586</v>
      </c>
      <c r="I31" s="13">
        <f>'Summary-2000'!I31-'Summary-1990'!I31</f>
        <v>26586</v>
      </c>
      <c r="J31" s="13">
        <f>'Summary-2000'!J31-'Summary-1990'!J31</f>
        <v>26586</v>
      </c>
      <c r="K31" s="18" t="str">
        <f t="shared" si="3"/>
        <v>New Orleans</v>
      </c>
      <c r="L31" s="13">
        <f t="shared" si="4"/>
        <v>26585.999999999971</v>
      </c>
      <c r="M31" s="13">
        <f>'Summary-2000'!M31-'Summary-1990'!M31</f>
        <v>21368.179437959305</v>
      </c>
      <c r="N31" s="13">
        <f>'Summary-2000'!N31-'Summary-1990'!N31</f>
        <v>5217.8205620406661</v>
      </c>
      <c r="O31" s="13">
        <f>'Summary-2000'!O31-'Summary-1990'!O31</f>
        <v>0</v>
      </c>
      <c r="P31" s="13">
        <f>'Summary-2000'!P31-'Summary-1990'!P31</f>
        <v>0</v>
      </c>
      <c r="Q31" s="13">
        <f>'Summary-2000'!Q31-'Summary-1990'!Q31</f>
        <v>0</v>
      </c>
      <c r="R31" s="13">
        <f>'Summary-2000'!R31-'Summary-1990'!R31</f>
        <v>0</v>
      </c>
      <c r="S31" s="13">
        <f>'Summary-2000'!S31-'Summary-1990'!S31</f>
        <v>0</v>
      </c>
      <c r="T31" s="13">
        <f>'Summary-2000'!T31-'Summary-1990'!T31</f>
        <v>0</v>
      </c>
      <c r="U31" s="13">
        <f>'Summary-2000'!U31-'Summary-1990'!U31</f>
        <v>0</v>
      </c>
      <c r="V31" s="13"/>
      <c r="W31" s="13">
        <f t="shared" si="5"/>
        <v>26585.999999999971</v>
      </c>
      <c r="Y31" s="13">
        <f t="shared" si="0"/>
        <v>10654.801734926094</v>
      </c>
      <c r="Z31" s="18">
        <f t="shared" si="6"/>
        <v>12</v>
      </c>
      <c r="AA31" s="18" t="str">
        <f t="shared" si="7"/>
        <v>New Orleans</v>
      </c>
      <c r="AB31" s="18">
        <f t="shared" si="8"/>
        <v>4</v>
      </c>
      <c r="AC31" s="18">
        <f t="shared" si="8"/>
        <v>15</v>
      </c>
      <c r="AD31" s="18">
        <f t="shared" si="8"/>
        <v>29</v>
      </c>
      <c r="AE31" s="18">
        <f t="shared" si="8"/>
        <v>19</v>
      </c>
      <c r="AF31" s="18">
        <f t="shared" si="8"/>
        <v>12</v>
      </c>
      <c r="AG31" s="18">
        <f t="shared" si="9"/>
        <v>4</v>
      </c>
      <c r="AH31" s="18" t="str">
        <f t="shared" si="2"/>
        <v>New Orleans</v>
      </c>
    </row>
    <row r="32" spans="1:34">
      <c r="A32" s="18" t="s">
        <v>64</v>
      </c>
      <c r="B32" s="13">
        <f>'Summary-2000'!B32-'Summary-1990'!B32</f>
        <v>-78282.221244623099</v>
      </c>
      <c r="C32" s="13">
        <f>'Summary-2000'!C32-'Summary-1990'!C32</f>
        <v>-326695.52310865908</v>
      </c>
      <c r="D32" s="13">
        <f>'Summary-2000'!D32-'Summary-1990'!D32</f>
        <v>-737739.68099456746</v>
      </c>
      <c r="E32" s="13">
        <f>'Summary-2000'!E32-'Summary-1990'!E32</f>
        <v>-1311765.3365995153</v>
      </c>
      <c r="F32" s="13">
        <f>'Summary-2000'!F32-'Summary-1990'!F32</f>
        <v>-2083907.7241644524</v>
      </c>
      <c r="G32" s="13">
        <f>'Summary-2000'!G32-'Summary-1990'!G32</f>
        <v>-3017600.0973970825</v>
      </c>
      <c r="H32" s="13">
        <f>'Summary-2000'!H32-'Summary-1990'!H32</f>
        <v>-1513520</v>
      </c>
      <c r="I32" s="13">
        <f>'Summary-2000'!I32-'Summary-1990'!I32</f>
        <v>-665923</v>
      </c>
      <c r="J32" s="13">
        <f>'Summary-2000'!J32-'Summary-1990'!J32</f>
        <v>-665923</v>
      </c>
      <c r="K32" s="18" t="str">
        <f t="shared" si="3"/>
        <v>New York</v>
      </c>
      <c r="L32" s="13">
        <f t="shared" si="4"/>
        <v>-665922</v>
      </c>
      <c r="M32" s="13">
        <f>'Summary-2000'!M32-'Summary-1990'!M32</f>
        <v>-78282.221244623099</v>
      </c>
      <c r="N32" s="13">
        <f>'Summary-2000'!N32-'Summary-1990'!N32</f>
        <v>-248413.30186403601</v>
      </c>
      <c r="O32" s="13">
        <f>'Summary-2000'!O32-'Summary-1990'!O32</f>
        <v>-411044.15788590838</v>
      </c>
      <c r="P32" s="13">
        <f>'Summary-2000'!P32-'Summary-1990'!P32</f>
        <v>-574025.65560494782</v>
      </c>
      <c r="Q32" s="13">
        <f>'Summary-2000'!Q32-'Summary-1990'!Q32</f>
        <v>-772141.38756493712</v>
      </c>
      <c r="R32" s="13">
        <f>'Summary-2000'!R32-'Summary-1990'!R32</f>
        <v>-933692.37323263008</v>
      </c>
      <c r="S32" s="13">
        <f>'Summary-2000'!S32-'Summary-1990'!S32</f>
        <v>1504080.0973970825</v>
      </c>
      <c r="T32" s="13">
        <f>'Summary-2000'!T32-'Summary-1990'!T32</f>
        <v>847597</v>
      </c>
      <c r="U32" s="13">
        <f>'Summary-2000'!U32-'Summary-1990'!U32</f>
        <v>0</v>
      </c>
      <c r="V32" s="13"/>
      <c r="W32" s="13">
        <f t="shared" si="5"/>
        <v>-665922</v>
      </c>
      <c r="Y32" s="13">
        <f t="shared" si="0"/>
        <v>-160871.98632817989</v>
      </c>
      <c r="Z32" s="18">
        <f t="shared" si="6"/>
        <v>50</v>
      </c>
      <c r="AA32" s="18" t="str">
        <f t="shared" si="7"/>
        <v>New York</v>
      </c>
      <c r="AB32" s="18">
        <f t="shared" si="8"/>
        <v>42</v>
      </c>
      <c r="AC32" s="18">
        <f t="shared" si="8"/>
        <v>48</v>
      </c>
      <c r="AD32" s="18">
        <f t="shared" si="8"/>
        <v>49</v>
      </c>
      <c r="AE32" s="18">
        <f t="shared" si="8"/>
        <v>49</v>
      </c>
      <c r="AF32" s="18">
        <f t="shared" si="8"/>
        <v>51</v>
      </c>
      <c r="AG32" s="18">
        <f t="shared" si="9"/>
        <v>51</v>
      </c>
      <c r="AH32" s="18" t="str">
        <f t="shared" si="2"/>
        <v>New York</v>
      </c>
    </row>
    <row r="33" spans="1:34">
      <c r="A33" s="18" t="s">
        <v>65</v>
      </c>
      <c r="B33" s="13">
        <f>'Summary-2000'!B33-'Summary-1990'!B33</f>
        <v>22627.124122632929</v>
      </c>
      <c r="C33" s="13">
        <f>'Summary-2000'!C33-'Summary-1990'!C33</f>
        <v>102502.35451166582</v>
      </c>
      <c r="D33" s="13">
        <f>'Summary-2000'!D33-'Summary-1990'!D33</f>
        <v>-8706</v>
      </c>
      <c r="E33" s="13">
        <f>'Summary-2000'!E33-'Summary-1990'!E33</f>
        <v>-8706</v>
      </c>
      <c r="F33" s="13">
        <f>'Summary-2000'!F33-'Summary-1990'!F33</f>
        <v>-8706</v>
      </c>
      <c r="G33" s="13">
        <f>'Summary-2000'!G33-'Summary-1990'!G33</f>
        <v>-8706</v>
      </c>
      <c r="H33" s="13">
        <f>'Summary-2000'!H33-'Summary-1990'!H33</f>
        <v>-8706</v>
      </c>
      <c r="I33" s="13">
        <f>'Summary-2000'!I33-'Summary-1990'!I33</f>
        <v>-8706</v>
      </c>
      <c r="J33" s="13">
        <f>'Summary-2000'!J33-'Summary-1990'!J33</f>
        <v>-8706</v>
      </c>
      <c r="K33" s="18" t="str">
        <f t="shared" si="3"/>
        <v>Oklahoma City</v>
      </c>
      <c r="L33" s="13">
        <f t="shared" si="4"/>
        <v>-8706</v>
      </c>
      <c r="M33" s="13">
        <f>'Summary-2000'!M33-'Summary-1990'!M33</f>
        <v>22627.124122632929</v>
      </c>
      <c r="N33" s="13">
        <f>'Summary-2000'!N33-'Summary-1990'!N33</f>
        <v>79875.230389032891</v>
      </c>
      <c r="O33" s="13">
        <f>'Summary-2000'!O33-'Summary-1990'!O33</f>
        <v>-111208.35451166582</v>
      </c>
      <c r="P33" s="13">
        <f>'Summary-2000'!P33-'Summary-1990'!P33</f>
        <v>0</v>
      </c>
      <c r="Q33" s="13">
        <f>'Summary-2000'!Q33-'Summary-1990'!Q33</f>
        <v>0</v>
      </c>
      <c r="R33" s="13">
        <f>'Summary-2000'!R33-'Summary-1990'!R33</f>
        <v>0</v>
      </c>
      <c r="S33" s="13">
        <f>'Summary-2000'!S33-'Summary-1990'!S33</f>
        <v>0</v>
      </c>
      <c r="T33" s="13">
        <f>'Summary-2000'!T33-'Summary-1990'!T33</f>
        <v>0</v>
      </c>
      <c r="U33" s="13">
        <f>'Summary-2000'!U33-'Summary-1990'!U33</f>
        <v>0</v>
      </c>
      <c r="V33" s="13"/>
      <c r="W33" s="13">
        <f t="shared" si="5"/>
        <v>-8706</v>
      </c>
      <c r="Y33" s="13">
        <f t="shared" si="0"/>
        <v>16204.958822559347</v>
      </c>
      <c r="Z33" s="18">
        <f t="shared" si="6"/>
        <v>9</v>
      </c>
      <c r="AA33" s="18" t="str">
        <f t="shared" si="7"/>
        <v>Oklahoma City</v>
      </c>
      <c r="AB33" s="18">
        <f t="shared" si="8"/>
        <v>3</v>
      </c>
      <c r="AC33" s="18">
        <f t="shared" si="8"/>
        <v>6</v>
      </c>
      <c r="AD33" s="18">
        <f t="shared" si="8"/>
        <v>38</v>
      </c>
      <c r="AE33" s="18">
        <f t="shared" si="8"/>
        <v>19</v>
      </c>
      <c r="AF33" s="18">
        <f t="shared" si="8"/>
        <v>12</v>
      </c>
      <c r="AG33" s="18">
        <f t="shared" si="9"/>
        <v>4</v>
      </c>
      <c r="AH33" s="18" t="str">
        <f t="shared" si="2"/>
        <v>Oklahoma City</v>
      </c>
    </row>
    <row r="34" spans="1:34">
      <c r="A34" s="18" t="s">
        <v>48</v>
      </c>
      <c r="B34" s="13">
        <f>'Summary-2000'!B34-'Summary-1990'!B34</f>
        <v>-18238.718784814031</v>
      </c>
      <c r="C34" s="13">
        <f>'Summary-2000'!C34-'Summary-1990'!C34</f>
        <v>-73891.808512745774</v>
      </c>
      <c r="D34" s="13">
        <f>'Summary-2000'!D34-'Summary-1990'!D34</f>
        <v>107474</v>
      </c>
      <c r="E34" s="13">
        <f>'Summary-2000'!E34-'Summary-1990'!E34</f>
        <v>260678</v>
      </c>
      <c r="F34" s="13">
        <f>'Summary-2000'!F34-'Summary-1990'!F34</f>
        <v>260678</v>
      </c>
      <c r="G34" s="13">
        <f>'Summary-2000'!G34-'Summary-1990'!G34</f>
        <v>260678</v>
      </c>
      <c r="H34" s="13">
        <f>'Summary-2000'!H34-'Summary-1990'!H34</f>
        <v>260678</v>
      </c>
      <c r="I34" s="13">
        <f>'Summary-2000'!I34-'Summary-1990'!I34</f>
        <v>260678</v>
      </c>
      <c r="J34" s="13">
        <f>'Summary-2000'!J34-'Summary-1990'!J34</f>
        <v>260678</v>
      </c>
      <c r="K34" s="18" t="str">
        <f t="shared" si="3"/>
        <v>Orlando</v>
      </c>
      <c r="L34" s="13">
        <f t="shared" si="4"/>
        <v>260676.99999999997</v>
      </c>
      <c r="M34" s="13">
        <f>'Summary-2000'!M34-'Summary-1990'!M34</f>
        <v>-18238.718784814031</v>
      </c>
      <c r="N34" s="13">
        <f>'Summary-2000'!N34-'Summary-1990'!N34</f>
        <v>-55654.089727931772</v>
      </c>
      <c r="O34" s="13">
        <f>'Summary-2000'!O34-'Summary-1990'!O34</f>
        <v>181365.80851274577</v>
      </c>
      <c r="P34" s="13">
        <f>'Summary-2000'!P34-'Summary-1990'!P34</f>
        <v>153204</v>
      </c>
      <c r="Q34" s="13">
        <f>'Summary-2000'!Q34-'Summary-1990'!Q34</f>
        <v>0</v>
      </c>
      <c r="R34" s="13">
        <f>'Summary-2000'!R34-'Summary-1990'!R34</f>
        <v>0</v>
      </c>
      <c r="S34" s="13">
        <f>'Summary-2000'!S34-'Summary-1990'!S34</f>
        <v>0</v>
      </c>
      <c r="T34" s="13">
        <f>'Summary-2000'!T34-'Summary-1990'!T34</f>
        <v>0</v>
      </c>
      <c r="U34" s="13">
        <f>'Summary-2000'!U34-'Summary-1990'!U34</f>
        <v>0</v>
      </c>
      <c r="V34" s="13"/>
      <c r="W34" s="13">
        <f t="shared" si="5"/>
        <v>260676.99999999997</v>
      </c>
      <c r="Y34" s="13">
        <f t="shared" si="0"/>
        <v>3266.516096620081</v>
      </c>
      <c r="Z34" s="18">
        <f t="shared" si="6"/>
        <v>16</v>
      </c>
      <c r="AA34" s="18" t="str">
        <f t="shared" si="7"/>
        <v>Orlando</v>
      </c>
      <c r="AB34" s="18">
        <f t="shared" si="8"/>
        <v>17</v>
      </c>
      <c r="AC34" s="18">
        <f t="shared" si="8"/>
        <v>24</v>
      </c>
      <c r="AD34" s="18">
        <f t="shared" si="8"/>
        <v>12</v>
      </c>
      <c r="AE34" s="18">
        <f t="shared" si="8"/>
        <v>11</v>
      </c>
      <c r="AF34" s="18">
        <f t="shared" si="8"/>
        <v>12</v>
      </c>
      <c r="AG34" s="18">
        <f t="shared" si="9"/>
        <v>4</v>
      </c>
      <c r="AH34" s="18" t="str">
        <f t="shared" si="2"/>
        <v>Orlando</v>
      </c>
    </row>
    <row r="35" spans="1:34">
      <c r="A35" s="18" t="s">
        <v>66</v>
      </c>
      <c r="B35" s="13">
        <f>'Summary-2000'!B35-'Summary-1990'!B35</f>
        <v>-118836.99562763842</v>
      </c>
      <c r="C35" s="13">
        <f>'Summary-2000'!C35-'Summary-1990'!C35</f>
        <v>-517977.42557842389</v>
      </c>
      <c r="D35" s="13">
        <f>'Summary-2000'!D35-'Summary-1990'!D35</f>
        <v>-1202072.7595336526</v>
      </c>
      <c r="E35" s="13">
        <f>'Summary-2000'!E35-'Summary-1990'!E35</f>
        <v>-1316177</v>
      </c>
      <c r="F35" s="13">
        <f>'Summary-2000'!F35-'Summary-1990'!F35</f>
        <v>-440360</v>
      </c>
      <c r="G35" s="13">
        <f>'Summary-2000'!G35-'Summary-1990'!G35</f>
        <v>-244243</v>
      </c>
      <c r="H35" s="13">
        <f>'Summary-2000'!H35-'Summary-1990'!H35</f>
        <v>-244243</v>
      </c>
      <c r="I35" s="13">
        <f>'Summary-2000'!I35-'Summary-1990'!I35</f>
        <v>-244243</v>
      </c>
      <c r="J35" s="13">
        <f>'Summary-2000'!J35-'Summary-1990'!J35</f>
        <v>-244243</v>
      </c>
      <c r="K35" s="18" t="str">
        <f t="shared" si="3"/>
        <v>Philadelphia</v>
      </c>
      <c r="L35" s="13">
        <f t="shared" si="4"/>
        <v>-244242</v>
      </c>
      <c r="M35" s="13">
        <f>'Summary-2000'!M35-'Summary-1990'!M35</f>
        <v>-118836.99562763842</v>
      </c>
      <c r="N35" s="13">
        <f>'Summary-2000'!N35-'Summary-1990'!N35</f>
        <v>-399139.42995078547</v>
      </c>
      <c r="O35" s="13">
        <f>'Summary-2000'!O35-'Summary-1990'!O35</f>
        <v>-684096.33395522879</v>
      </c>
      <c r="P35" s="13">
        <f>'Summary-2000'!P35-'Summary-1990'!P35</f>
        <v>-114104.24046634743</v>
      </c>
      <c r="Q35" s="13">
        <f>'Summary-2000'!Q35-'Summary-1990'!Q35</f>
        <v>875818</v>
      </c>
      <c r="R35" s="13">
        <f>'Summary-2000'!R35-'Summary-1990'!R35</f>
        <v>196117</v>
      </c>
      <c r="S35" s="13">
        <f>'Summary-2000'!S35-'Summary-1990'!S35</f>
        <v>0</v>
      </c>
      <c r="T35" s="13">
        <f>'Summary-2000'!T35-'Summary-1990'!T35</f>
        <v>0</v>
      </c>
      <c r="U35" s="13">
        <f>'Summary-2000'!U35-'Summary-1990'!U35</f>
        <v>0</v>
      </c>
      <c r="V35" s="13"/>
      <c r="W35" s="13">
        <f t="shared" si="5"/>
        <v>-244242.00000000012</v>
      </c>
      <c r="Y35" s="13">
        <f t="shared" si="0"/>
        <v>-183037.56531723336</v>
      </c>
      <c r="Z35" s="18">
        <f t="shared" si="6"/>
        <v>51</v>
      </c>
      <c r="AA35" s="18" t="str">
        <f t="shared" si="7"/>
        <v>Philadelphia</v>
      </c>
      <c r="AB35" s="18">
        <f t="shared" si="8"/>
        <v>48</v>
      </c>
      <c r="AC35" s="18">
        <f t="shared" si="8"/>
        <v>50</v>
      </c>
      <c r="AD35" s="18">
        <f t="shared" si="8"/>
        <v>51</v>
      </c>
      <c r="AE35" s="18">
        <f t="shared" si="8"/>
        <v>46</v>
      </c>
      <c r="AF35" s="18">
        <f t="shared" si="8"/>
        <v>1</v>
      </c>
      <c r="AG35" s="18">
        <f t="shared" si="9"/>
        <v>3</v>
      </c>
      <c r="AH35" s="18" t="str">
        <f t="shared" si="2"/>
        <v>Philadelphia</v>
      </c>
    </row>
    <row r="36" spans="1:34">
      <c r="A36" s="18" t="s">
        <v>49</v>
      </c>
      <c r="B36" s="13">
        <f>'Summary-2000'!B36-'Summary-1990'!B36</f>
        <v>-10154.8523041671</v>
      </c>
      <c r="C36" s="13">
        <f>'Summary-2000'!C36-'Summary-1990'!C36</f>
        <v>-53762.888184307318</v>
      </c>
      <c r="D36" s="13">
        <f>'Summary-2000'!D36-'Summary-1990'!D36</f>
        <v>-115831.25267269276</v>
      </c>
      <c r="E36" s="13">
        <f>'Summary-2000'!E36-'Summary-1990'!E36</f>
        <v>406335</v>
      </c>
      <c r="F36" s="13">
        <f>'Summary-2000'!F36-'Summary-1990'!F36</f>
        <v>406335</v>
      </c>
      <c r="G36" s="13">
        <f>'Summary-2000'!G36-'Summary-1990'!G36</f>
        <v>406335</v>
      </c>
      <c r="H36" s="13">
        <f>'Summary-2000'!H36-'Summary-1990'!H36</f>
        <v>406335</v>
      </c>
      <c r="I36" s="13">
        <f>'Summary-2000'!I36-'Summary-1990'!I36</f>
        <v>406335</v>
      </c>
      <c r="J36" s="13">
        <f>'Summary-2000'!J36-'Summary-1990'!J36</f>
        <v>406335</v>
      </c>
      <c r="K36" s="18" t="str">
        <f t="shared" si="3"/>
        <v>Phoenix</v>
      </c>
      <c r="L36" s="13">
        <f t="shared" si="4"/>
        <v>406335.00000000006</v>
      </c>
      <c r="M36" s="13">
        <f>'Summary-2000'!M36-'Summary-1990'!M36</f>
        <v>-10154.8523041671</v>
      </c>
      <c r="N36" s="13">
        <f>'Summary-2000'!N36-'Summary-1990'!N36</f>
        <v>-43608.035880140204</v>
      </c>
      <c r="O36" s="13">
        <f>'Summary-2000'!O36-'Summary-1990'!O36</f>
        <v>-62068.364488385385</v>
      </c>
      <c r="P36" s="13">
        <f>'Summary-2000'!P36-'Summary-1990'!P36</f>
        <v>522166.25267269276</v>
      </c>
      <c r="Q36" s="13">
        <f>'Summary-2000'!Q36-'Summary-1990'!Q36</f>
        <v>0</v>
      </c>
      <c r="R36" s="13">
        <f>'Summary-2000'!R36-'Summary-1990'!R36</f>
        <v>0</v>
      </c>
      <c r="S36" s="13">
        <f>'Summary-2000'!S36-'Summary-1990'!S36</f>
        <v>0</v>
      </c>
      <c r="T36" s="13">
        <f>'Summary-2000'!T36-'Summary-1990'!T36</f>
        <v>0</v>
      </c>
      <c r="U36" s="13">
        <f>'Summary-2000'!U36-'Summary-1990'!U36</f>
        <v>0</v>
      </c>
      <c r="V36" s="13"/>
      <c r="W36" s="13">
        <f t="shared" si="5"/>
        <v>406335.00000000006</v>
      </c>
      <c r="Y36" s="13">
        <f t="shared" si="0"/>
        <v>2286.7524442747526</v>
      </c>
      <c r="Z36" s="18">
        <f t="shared" si="6"/>
        <v>17</v>
      </c>
      <c r="AA36" s="18" t="str">
        <f t="shared" si="7"/>
        <v>Phoenix</v>
      </c>
      <c r="AB36" s="18">
        <f t="shared" si="8"/>
        <v>15</v>
      </c>
      <c r="AC36" s="18">
        <f t="shared" si="8"/>
        <v>22</v>
      </c>
      <c r="AD36" s="18">
        <f t="shared" si="8"/>
        <v>37</v>
      </c>
      <c r="AE36" s="18">
        <f t="shared" si="8"/>
        <v>3</v>
      </c>
      <c r="AF36" s="18">
        <f t="shared" si="8"/>
        <v>12</v>
      </c>
      <c r="AG36" s="18">
        <f t="shared" si="9"/>
        <v>4</v>
      </c>
      <c r="AH36" s="18" t="str">
        <f t="shared" si="2"/>
        <v>Phoenix</v>
      </c>
    </row>
    <row r="37" spans="1:34">
      <c r="A37" s="18" t="s">
        <v>50</v>
      </c>
      <c r="B37" s="13">
        <f>'Summary-2000'!B37-'Summary-1990'!B37</f>
        <v>-21344.741108969902</v>
      </c>
      <c r="C37" s="13">
        <f>'Summary-2000'!C37-'Summary-1990'!C37</f>
        <v>-87587.649687755387</v>
      </c>
      <c r="D37" s="13">
        <f>'Summary-2000'!D37-'Summary-1990'!D37</f>
        <v>-201311.31043710664</v>
      </c>
      <c r="E37" s="13">
        <f>'Summary-2000'!E37-'Summary-1990'!E37</f>
        <v>82487</v>
      </c>
      <c r="F37" s="13">
        <f>'Summary-2000'!F37-'Summary-1990'!F37</f>
        <v>82487</v>
      </c>
      <c r="G37" s="13">
        <f>'Summary-2000'!G37-'Summary-1990'!G37</f>
        <v>82487</v>
      </c>
      <c r="H37" s="13">
        <f>'Summary-2000'!H37-'Summary-1990'!H37</f>
        <v>82487</v>
      </c>
      <c r="I37" s="13">
        <f>'Summary-2000'!I37-'Summary-1990'!I37</f>
        <v>82487</v>
      </c>
      <c r="J37" s="13">
        <f>'Summary-2000'!J37-'Summary-1990'!J37</f>
        <v>82487</v>
      </c>
      <c r="K37" s="18" t="str">
        <f t="shared" si="3"/>
        <v>Pittsburgh</v>
      </c>
      <c r="L37" s="13">
        <f t="shared" si="4"/>
        <v>82486</v>
      </c>
      <c r="M37" s="13">
        <f>'Summary-2000'!M37-'Summary-1990'!M37</f>
        <v>-21344.741108969902</v>
      </c>
      <c r="N37" s="13">
        <f>'Summary-2000'!N37-'Summary-1990'!N37</f>
        <v>-66242.908578785486</v>
      </c>
      <c r="O37" s="13">
        <f>'Summary-2000'!O37-'Summary-1990'!O37</f>
        <v>-113724.66074935126</v>
      </c>
      <c r="P37" s="13">
        <f>'Summary-2000'!P37-'Summary-1990'!P37</f>
        <v>283798.31043710664</v>
      </c>
      <c r="Q37" s="13">
        <f>'Summary-2000'!Q37-'Summary-1990'!Q37</f>
        <v>0</v>
      </c>
      <c r="R37" s="13">
        <f>'Summary-2000'!R37-'Summary-1990'!R37</f>
        <v>0</v>
      </c>
      <c r="S37" s="13">
        <f>'Summary-2000'!S37-'Summary-1990'!S37</f>
        <v>0</v>
      </c>
      <c r="T37" s="13">
        <f>'Summary-2000'!T37-'Summary-1990'!T37</f>
        <v>0</v>
      </c>
      <c r="U37" s="13">
        <f>'Summary-2000'!U37-'Summary-1990'!U37</f>
        <v>0</v>
      </c>
      <c r="V37" s="13"/>
      <c r="W37" s="13">
        <f t="shared" si="5"/>
        <v>82486</v>
      </c>
      <c r="Y37" s="13">
        <f t="shared" si="0"/>
        <v>-21713.646838699693</v>
      </c>
      <c r="Z37" s="18">
        <f t="shared" si="6"/>
        <v>25</v>
      </c>
      <c r="AA37" s="18" t="str">
        <f t="shared" si="7"/>
        <v>Pittsburgh</v>
      </c>
      <c r="AB37" s="18">
        <f t="shared" si="8"/>
        <v>18</v>
      </c>
      <c r="AC37" s="18">
        <f t="shared" si="8"/>
        <v>27</v>
      </c>
      <c r="AD37" s="18">
        <f t="shared" si="8"/>
        <v>39</v>
      </c>
      <c r="AE37" s="18">
        <f t="shared" si="8"/>
        <v>7</v>
      </c>
      <c r="AF37" s="18">
        <f t="shared" si="8"/>
        <v>12</v>
      </c>
      <c r="AG37" s="18">
        <f t="shared" si="9"/>
        <v>4</v>
      </c>
      <c r="AH37" s="18" t="str">
        <f t="shared" si="2"/>
        <v>Pittsburgh</v>
      </c>
    </row>
    <row r="38" spans="1:34">
      <c r="A38" s="18" t="s">
        <v>51</v>
      </c>
      <c r="B38" s="13">
        <f>'Summary-2000'!B38-'Summary-1990'!B38</f>
        <v>-38171.375117006057</v>
      </c>
      <c r="C38" s="13">
        <f>'Summary-2000'!C38-'Summary-1990'!C38</f>
        <v>-188891.93370311422</v>
      </c>
      <c r="D38" s="13">
        <f>'Summary-2000'!D38-'Summary-1990'!D38</f>
        <v>13526</v>
      </c>
      <c r="E38" s="13">
        <f>'Summary-2000'!E38-'Summary-1990'!E38</f>
        <v>152827</v>
      </c>
      <c r="F38" s="13">
        <f>'Summary-2000'!F38-'Summary-1990'!F38</f>
        <v>152827</v>
      </c>
      <c r="G38" s="13">
        <f>'Summary-2000'!G38-'Summary-1990'!G38</f>
        <v>152827</v>
      </c>
      <c r="H38" s="13">
        <f>'Summary-2000'!H38-'Summary-1990'!H38</f>
        <v>152827</v>
      </c>
      <c r="I38" s="13">
        <f>'Summary-2000'!I38-'Summary-1990'!I38</f>
        <v>152827</v>
      </c>
      <c r="J38" s="13">
        <f>'Summary-2000'!J38-'Summary-1990'!J38</f>
        <v>152827</v>
      </c>
      <c r="K38" s="18" t="str">
        <f t="shared" si="3"/>
        <v>Portland</v>
      </c>
      <c r="L38" s="13">
        <f t="shared" si="4"/>
        <v>152827</v>
      </c>
      <c r="M38" s="13">
        <f>'Summary-2000'!M38-'Summary-1990'!M38</f>
        <v>-38171.375117006057</v>
      </c>
      <c r="N38" s="13">
        <f>'Summary-2000'!N38-'Summary-1990'!N38</f>
        <v>-150720.55858610815</v>
      </c>
      <c r="O38" s="13">
        <f>'Summary-2000'!O38-'Summary-1990'!O38</f>
        <v>202417.93370311422</v>
      </c>
      <c r="P38" s="13">
        <f>'Summary-2000'!P38-'Summary-1990'!P38</f>
        <v>139301</v>
      </c>
      <c r="Q38" s="13">
        <f>'Summary-2000'!Q38-'Summary-1990'!Q38</f>
        <v>0</v>
      </c>
      <c r="R38" s="13">
        <f>'Summary-2000'!R38-'Summary-1990'!R38</f>
        <v>0</v>
      </c>
      <c r="S38" s="13">
        <f>'Summary-2000'!S38-'Summary-1990'!S38</f>
        <v>0</v>
      </c>
      <c r="T38" s="13">
        <f>'Summary-2000'!T38-'Summary-1990'!T38</f>
        <v>0</v>
      </c>
      <c r="U38" s="13">
        <f>'Summary-2000'!U38-'Summary-1990'!U38</f>
        <v>0</v>
      </c>
      <c r="V38" s="13"/>
      <c r="W38" s="13">
        <f t="shared" si="5"/>
        <v>152827</v>
      </c>
      <c r="Y38" s="13">
        <f t="shared" si="0"/>
        <v>-23540.30397799001</v>
      </c>
      <c r="Z38" s="18">
        <f t="shared" si="6"/>
        <v>27</v>
      </c>
      <c r="AA38" s="18" t="str">
        <f t="shared" si="7"/>
        <v>Portland</v>
      </c>
      <c r="AB38" s="18">
        <f t="shared" si="8"/>
        <v>31</v>
      </c>
      <c r="AC38" s="18">
        <f t="shared" si="8"/>
        <v>42</v>
      </c>
      <c r="AD38" s="18">
        <f t="shared" si="8"/>
        <v>8</v>
      </c>
      <c r="AE38" s="18">
        <f t="shared" si="8"/>
        <v>12</v>
      </c>
      <c r="AF38" s="18">
        <f t="shared" si="8"/>
        <v>12</v>
      </c>
      <c r="AG38" s="18">
        <f t="shared" si="9"/>
        <v>4</v>
      </c>
      <c r="AH38" s="18" t="str">
        <f t="shared" si="2"/>
        <v>Portland</v>
      </c>
    </row>
    <row r="39" spans="1:34">
      <c r="A39" s="18" t="s">
        <v>52</v>
      </c>
      <c r="B39" s="13">
        <f>'Summary-2000'!B39-'Summary-1990'!B39</f>
        <v>-81472.124853521294</v>
      </c>
      <c r="C39" s="13">
        <f>'Summary-2000'!C39-'Summary-1990'!C39</f>
        <v>-143383</v>
      </c>
      <c r="D39" s="13">
        <f>'Summary-2000'!D39-'Summary-1990'!D39</f>
        <v>84637</v>
      </c>
      <c r="E39" s="13">
        <f>'Summary-2000'!E39-'Summary-1990'!E39</f>
        <v>84637</v>
      </c>
      <c r="F39" s="13">
        <f>'Summary-2000'!F39-'Summary-1990'!F39</f>
        <v>84637</v>
      </c>
      <c r="G39" s="13">
        <f>'Summary-2000'!G39-'Summary-1990'!G39</f>
        <v>84637</v>
      </c>
      <c r="H39" s="13">
        <f>'Summary-2000'!H39-'Summary-1990'!H39</f>
        <v>84637</v>
      </c>
      <c r="I39" s="13">
        <f>'Summary-2000'!I39-'Summary-1990'!I39</f>
        <v>84637</v>
      </c>
      <c r="J39" s="13">
        <f>'Summary-2000'!J39-'Summary-1990'!J39</f>
        <v>84637</v>
      </c>
      <c r="K39" s="18" t="str">
        <f t="shared" si="3"/>
        <v>Providence</v>
      </c>
      <c r="L39" s="13">
        <f t="shared" si="4"/>
        <v>84638</v>
      </c>
      <c r="M39" s="13">
        <f>'Summary-2000'!M39-'Summary-1990'!M39</f>
        <v>-81472.124853521294</v>
      </c>
      <c r="N39" s="13">
        <f>'Summary-2000'!N39-'Summary-1990'!N39</f>
        <v>-61909.875146478706</v>
      </c>
      <c r="O39" s="13">
        <f>'Summary-2000'!O39-'Summary-1990'!O39</f>
        <v>228020</v>
      </c>
      <c r="P39" s="13">
        <f>'Summary-2000'!P39-'Summary-1990'!P39</f>
        <v>0</v>
      </c>
      <c r="Q39" s="13">
        <f>'Summary-2000'!Q39-'Summary-1990'!Q39</f>
        <v>0</v>
      </c>
      <c r="R39" s="13">
        <f>'Summary-2000'!R39-'Summary-1990'!R39</f>
        <v>0</v>
      </c>
      <c r="S39" s="13">
        <f>'Summary-2000'!S39-'Summary-1990'!S39</f>
        <v>0</v>
      </c>
      <c r="T39" s="13">
        <f>'Summary-2000'!T39-'Summary-1990'!T39</f>
        <v>0</v>
      </c>
      <c r="U39" s="13">
        <f>'Summary-2000'!U39-'Summary-1990'!U39</f>
        <v>0</v>
      </c>
      <c r="V39" s="13"/>
      <c r="W39" s="13">
        <f t="shared" si="5"/>
        <v>84638</v>
      </c>
      <c r="Y39" s="13">
        <f t="shared" si="0"/>
        <v>-28421.665977367727</v>
      </c>
      <c r="Z39" s="18">
        <f t="shared" si="6"/>
        <v>30</v>
      </c>
      <c r="AA39" s="18" t="str">
        <f t="shared" si="7"/>
        <v>Providence</v>
      </c>
      <c r="AB39" s="18">
        <f t="shared" si="8"/>
        <v>43</v>
      </c>
      <c r="AC39" s="18">
        <f t="shared" si="8"/>
        <v>26</v>
      </c>
      <c r="AD39" s="18">
        <f t="shared" si="8"/>
        <v>5</v>
      </c>
      <c r="AE39" s="18">
        <f t="shared" si="8"/>
        <v>19</v>
      </c>
      <c r="AF39" s="18">
        <f t="shared" si="8"/>
        <v>12</v>
      </c>
      <c r="AG39" s="18">
        <f t="shared" si="9"/>
        <v>4</v>
      </c>
      <c r="AH39" s="18" t="str">
        <f t="shared" si="2"/>
        <v>Providence</v>
      </c>
    </row>
    <row r="40" spans="1:34">
      <c r="A40" s="18" t="s">
        <v>53</v>
      </c>
      <c r="B40" s="13">
        <f>'Summary-2000'!B40-'Summary-1990'!B40</f>
        <v>-73652.728404868714</v>
      </c>
      <c r="C40" s="13">
        <f>'Summary-2000'!C40-'Summary-1990'!C40</f>
        <v>180031</v>
      </c>
      <c r="D40" s="13">
        <f>'Summary-2000'!D40-'Summary-1990'!D40</f>
        <v>214894</v>
      </c>
      <c r="E40" s="13">
        <f>'Summary-2000'!E40-'Summary-1990'!E40</f>
        <v>214894</v>
      </c>
      <c r="F40" s="13">
        <f>'Summary-2000'!F40-'Summary-1990'!F40</f>
        <v>214894</v>
      </c>
      <c r="G40" s="13">
        <f>'Summary-2000'!G40-'Summary-1990'!G40</f>
        <v>214894</v>
      </c>
      <c r="H40" s="13">
        <f>'Summary-2000'!H40-'Summary-1990'!H40</f>
        <v>214894</v>
      </c>
      <c r="I40" s="13">
        <f>'Summary-2000'!I40-'Summary-1990'!I40</f>
        <v>214894</v>
      </c>
      <c r="J40" s="13">
        <f>'Summary-2000'!J40-'Summary-1990'!J40</f>
        <v>214894</v>
      </c>
      <c r="K40" s="18" t="str">
        <f t="shared" si="3"/>
        <v>Raleigh</v>
      </c>
      <c r="L40" s="13">
        <f t="shared" si="4"/>
        <v>214895</v>
      </c>
      <c r="M40" s="13">
        <f>'Summary-2000'!M40-'Summary-1990'!M40</f>
        <v>-73652.728404868714</v>
      </c>
      <c r="N40" s="13">
        <f>'Summary-2000'!N40-'Summary-1990'!N40</f>
        <v>253684.72840486871</v>
      </c>
      <c r="O40" s="13">
        <f>'Summary-2000'!O40-'Summary-1990'!O40</f>
        <v>34863</v>
      </c>
      <c r="P40" s="13">
        <f>'Summary-2000'!P40-'Summary-1990'!P40</f>
        <v>0</v>
      </c>
      <c r="Q40" s="13">
        <f>'Summary-2000'!Q40-'Summary-1990'!Q40</f>
        <v>0</v>
      </c>
      <c r="R40" s="13">
        <f>'Summary-2000'!R40-'Summary-1990'!R40</f>
        <v>0</v>
      </c>
      <c r="S40" s="13">
        <f>'Summary-2000'!S40-'Summary-1990'!S40</f>
        <v>0</v>
      </c>
      <c r="T40" s="13">
        <f>'Summary-2000'!T40-'Summary-1990'!T40</f>
        <v>0</v>
      </c>
      <c r="U40" s="13">
        <f>'Summary-2000'!U40-'Summary-1990'!U40</f>
        <v>0</v>
      </c>
      <c r="V40" s="13"/>
      <c r="W40" s="13">
        <f t="shared" si="5"/>
        <v>214895.00000000003</v>
      </c>
      <c r="Y40" s="13">
        <f t="shared" si="0"/>
        <v>21286.45918032491</v>
      </c>
      <c r="Z40" s="18">
        <f t="shared" si="6"/>
        <v>7</v>
      </c>
      <c r="AA40" s="18" t="str">
        <f t="shared" si="7"/>
        <v>Raleigh</v>
      </c>
      <c r="AB40" s="18">
        <f t="shared" si="8"/>
        <v>41</v>
      </c>
      <c r="AC40" s="18">
        <f t="shared" si="8"/>
        <v>2</v>
      </c>
      <c r="AD40" s="18">
        <f t="shared" si="8"/>
        <v>26</v>
      </c>
      <c r="AE40" s="18">
        <f t="shared" si="8"/>
        <v>19</v>
      </c>
      <c r="AF40" s="18">
        <f t="shared" si="8"/>
        <v>12</v>
      </c>
      <c r="AG40" s="18">
        <f t="shared" si="9"/>
        <v>4</v>
      </c>
      <c r="AH40" s="18" t="str">
        <f t="shared" si="2"/>
        <v>Raleigh</v>
      </c>
    </row>
    <row r="41" spans="1:34">
      <c r="A41" s="18" t="s">
        <v>81</v>
      </c>
      <c r="B41" s="13">
        <f>'Summary-2000'!B41-'Summary-1990'!B41</f>
        <v>-97018.621233346552</v>
      </c>
      <c r="C41" s="13">
        <f>'Summary-2000'!C41-'Summary-1990'!C41</f>
        <v>-26283</v>
      </c>
      <c r="D41" s="13">
        <f>'Summary-2000'!D41-'Summary-1990'!D41</f>
        <v>-26283</v>
      </c>
      <c r="E41" s="13">
        <f>'Summary-2000'!E41-'Summary-1990'!E41</f>
        <v>-26283</v>
      </c>
      <c r="F41" s="13">
        <f>'Summary-2000'!F41-'Summary-1990'!F41</f>
        <v>-26283</v>
      </c>
      <c r="G41" s="13">
        <f>'Summary-2000'!G41-'Summary-1990'!G41</f>
        <v>-26283</v>
      </c>
      <c r="H41" s="13">
        <f>'Summary-2000'!H41-'Summary-1990'!H41</f>
        <v>-26283</v>
      </c>
      <c r="I41" s="13">
        <f>'Summary-2000'!I41-'Summary-1990'!I41</f>
        <v>-26283</v>
      </c>
      <c r="J41" s="13">
        <f>'Summary-2000'!J41-'Summary-1990'!J41</f>
        <v>-26283</v>
      </c>
      <c r="K41" s="18" t="str">
        <f t="shared" si="3"/>
        <v>Rochester</v>
      </c>
      <c r="L41" s="13">
        <f t="shared" si="4"/>
        <v>-26283.000000000029</v>
      </c>
      <c r="M41" s="13">
        <f>'Summary-2000'!M41-'Summary-1990'!M41</f>
        <v>-97018.621233346552</v>
      </c>
      <c r="N41" s="13">
        <f>'Summary-2000'!N41-'Summary-1990'!N41</f>
        <v>70735.621233346523</v>
      </c>
      <c r="O41" s="13">
        <f>'Summary-2000'!O41-'Summary-1990'!O41</f>
        <v>0</v>
      </c>
      <c r="P41" s="13">
        <f>'Summary-2000'!P41-'Summary-1990'!P41</f>
        <v>0</v>
      </c>
      <c r="Q41" s="13">
        <f>'Summary-2000'!Q41-'Summary-1990'!Q41</f>
        <v>0</v>
      </c>
      <c r="R41" s="13">
        <f>'Summary-2000'!R41-'Summary-1990'!R41</f>
        <v>0</v>
      </c>
      <c r="S41" s="13">
        <f>'Summary-2000'!S41-'Summary-1990'!S41</f>
        <v>0</v>
      </c>
      <c r="T41" s="13">
        <f>'Summary-2000'!T41-'Summary-1990'!T41</f>
        <v>0</v>
      </c>
      <c r="U41" s="13">
        <f>'Summary-2000'!U41-'Summary-1990'!U41</f>
        <v>0</v>
      </c>
      <c r="V41" s="13"/>
      <c r="W41" s="13">
        <f t="shared" si="5"/>
        <v>-26283.000000000029</v>
      </c>
      <c r="Y41" s="13">
        <f t="shared" si="0"/>
        <v>-29312.000953659212</v>
      </c>
      <c r="Z41" s="18">
        <f t="shared" si="6"/>
        <v>31</v>
      </c>
      <c r="AA41" s="18" t="str">
        <f t="shared" si="7"/>
        <v>Rochester</v>
      </c>
      <c r="AB41" s="18">
        <f t="shared" si="8"/>
        <v>46</v>
      </c>
      <c r="AC41" s="18">
        <f t="shared" si="8"/>
        <v>7</v>
      </c>
      <c r="AD41" s="18">
        <f t="shared" si="8"/>
        <v>29</v>
      </c>
      <c r="AE41" s="18">
        <f t="shared" si="8"/>
        <v>19</v>
      </c>
      <c r="AF41" s="18">
        <f t="shared" si="8"/>
        <v>12</v>
      </c>
      <c r="AG41" s="18">
        <f t="shared" si="9"/>
        <v>4</v>
      </c>
      <c r="AH41" s="18" t="str">
        <f t="shared" si="2"/>
        <v>Rochester</v>
      </c>
    </row>
    <row r="42" spans="1:34">
      <c r="A42" s="18" t="s">
        <v>54</v>
      </c>
      <c r="B42" s="13">
        <f>'Summary-2000'!B42-'Summary-1990'!B42</f>
        <v>-54278.415296993771</v>
      </c>
      <c r="C42" s="13">
        <f>'Summary-2000'!C42-'Summary-1990'!C42</f>
        <v>-216635.04888040491</v>
      </c>
      <c r="D42" s="13">
        <f>'Summary-2000'!D42-'Summary-1990'!D42</f>
        <v>-100758</v>
      </c>
      <c r="E42" s="13">
        <f>'Summary-2000'!E42-'Summary-1990'!E42</f>
        <v>-100758</v>
      </c>
      <c r="F42" s="13">
        <f>'Summary-2000'!F42-'Summary-1990'!F42</f>
        <v>-100758</v>
      </c>
      <c r="G42" s="13">
        <f>'Summary-2000'!G42-'Summary-1990'!G42</f>
        <v>-100758</v>
      </c>
      <c r="H42" s="13">
        <f>'Summary-2000'!H42-'Summary-1990'!H42</f>
        <v>-100758</v>
      </c>
      <c r="I42" s="13">
        <f>'Summary-2000'!I42-'Summary-1990'!I42</f>
        <v>-100758</v>
      </c>
      <c r="J42" s="13">
        <f>'Summary-2000'!J42-'Summary-1990'!J42</f>
        <v>-100758</v>
      </c>
      <c r="K42" s="18" t="str">
        <f t="shared" si="3"/>
        <v>Sacramento</v>
      </c>
      <c r="L42" s="13">
        <f t="shared" si="4"/>
        <v>-100757.99999999997</v>
      </c>
      <c r="M42" s="13">
        <f>'Summary-2000'!M42-'Summary-1990'!M42</f>
        <v>-54278.415296993771</v>
      </c>
      <c r="N42" s="13">
        <f>'Summary-2000'!N42-'Summary-1990'!N42</f>
        <v>-162356.63358341111</v>
      </c>
      <c r="O42" s="13">
        <f>'Summary-2000'!O42-'Summary-1990'!O42</f>
        <v>115877.04888040491</v>
      </c>
      <c r="P42" s="13">
        <f>'Summary-2000'!P42-'Summary-1990'!P42</f>
        <v>0</v>
      </c>
      <c r="Q42" s="13">
        <f>'Summary-2000'!Q42-'Summary-1990'!Q42</f>
        <v>0</v>
      </c>
      <c r="R42" s="13">
        <f>'Summary-2000'!R42-'Summary-1990'!R42</f>
        <v>0</v>
      </c>
      <c r="S42" s="13">
        <f>'Summary-2000'!S42-'Summary-1990'!S42</f>
        <v>0</v>
      </c>
      <c r="T42" s="13">
        <f>'Summary-2000'!T42-'Summary-1990'!T42</f>
        <v>0</v>
      </c>
      <c r="U42" s="13">
        <f>'Summary-2000'!U42-'Summary-1990'!U42</f>
        <v>0</v>
      </c>
      <c r="V42" s="13"/>
      <c r="W42" s="13">
        <f t="shared" si="5"/>
        <v>-100757.99999999997</v>
      </c>
      <c r="Y42" s="13">
        <f t="shared" si="0"/>
        <v>-46655.974405499852</v>
      </c>
      <c r="Z42" s="18">
        <f t="shared" si="6"/>
        <v>41</v>
      </c>
      <c r="AA42" s="18" t="str">
        <f t="shared" si="7"/>
        <v>Sacramento</v>
      </c>
      <c r="AB42" s="18">
        <f t="shared" si="8"/>
        <v>38</v>
      </c>
      <c r="AC42" s="18">
        <f t="shared" si="8"/>
        <v>43</v>
      </c>
      <c r="AD42" s="18">
        <f t="shared" si="8"/>
        <v>18</v>
      </c>
      <c r="AE42" s="18">
        <f t="shared" si="8"/>
        <v>19</v>
      </c>
      <c r="AF42" s="18">
        <f t="shared" si="8"/>
        <v>12</v>
      </c>
      <c r="AG42" s="18">
        <f t="shared" si="9"/>
        <v>4</v>
      </c>
      <c r="AH42" s="18" t="str">
        <f t="shared" si="2"/>
        <v>Sacramento</v>
      </c>
    </row>
    <row r="43" spans="1:34">
      <c r="A43" s="18" t="s">
        <v>55</v>
      </c>
      <c r="B43" s="13">
        <f>'Summary-2000'!B43-'Summary-1990'!B43</f>
        <v>-24268.917224376783</v>
      </c>
      <c r="C43" s="13">
        <f>'Summary-2000'!C43-'Summary-1990'!C43</f>
        <v>-538</v>
      </c>
      <c r="D43" s="13">
        <f>'Summary-2000'!D43-'Summary-1990'!D43</f>
        <v>131947</v>
      </c>
      <c r="E43" s="13">
        <f>'Summary-2000'!E43-'Summary-1990'!E43</f>
        <v>131947</v>
      </c>
      <c r="F43" s="13">
        <f>'Summary-2000'!F43-'Summary-1990'!F43</f>
        <v>131947</v>
      </c>
      <c r="G43" s="13">
        <f>'Summary-2000'!G43-'Summary-1990'!G43</f>
        <v>131947</v>
      </c>
      <c r="H43" s="13">
        <f>'Summary-2000'!H43-'Summary-1990'!H43</f>
        <v>131947</v>
      </c>
      <c r="I43" s="13">
        <f>'Summary-2000'!I43-'Summary-1990'!I43</f>
        <v>131947</v>
      </c>
      <c r="J43" s="13">
        <f>'Summary-2000'!J43-'Summary-1990'!J43</f>
        <v>131947</v>
      </c>
      <c r="K43" s="18" t="str">
        <f t="shared" si="3"/>
        <v>Salt Lake City</v>
      </c>
      <c r="L43" s="13">
        <f t="shared" si="4"/>
        <v>131947.00000000003</v>
      </c>
      <c r="M43" s="13">
        <f>'Summary-2000'!M43-'Summary-1990'!M43</f>
        <v>-24268.917224376783</v>
      </c>
      <c r="N43" s="13">
        <f>'Summary-2000'!N43-'Summary-1990'!N43</f>
        <v>23730.917224376812</v>
      </c>
      <c r="O43" s="13">
        <f>'Summary-2000'!O43-'Summary-1990'!O43</f>
        <v>132485</v>
      </c>
      <c r="P43" s="13">
        <f>'Summary-2000'!P43-'Summary-1990'!P43</f>
        <v>0</v>
      </c>
      <c r="Q43" s="13">
        <f>'Summary-2000'!Q43-'Summary-1990'!Q43</f>
        <v>0</v>
      </c>
      <c r="R43" s="13">
        <f>'Summary-2000'!R43-'Summary-1990'!R43</f>
        <v>0</v>
      </c>
      <c r="S43" s="13">
        <f>'Summary-2000'!S43-'Summary-1990'!S43</f>
        <v>0</v>
      </c>
      <c r="T43" s="13">
        <f>'Summary-2000'!T43-'Summary-1990'!T43</f>
        <v>0</v>
      </c>
      <c r="U43" s="13">
        <f>'Summary-2000'!U43-'Summary-1990'!U43</f>
        <v>0</v>
      </c>
      <c r="V43" s="13"/>
      <c r="W43" s="13">
        <f t="shared" si="5"/>
        <v>131947.00000000003</v>
      </c>
      <c r="Y43" s="13">
        <f t="shared" si="0"/>
        <v>5905.2301612930714</v>
      </c>
      <c r="Z43" s="18">
        <f t="shared" si="6"/>
        <v>14</v>
      </c>
      <c r="AA43" s="18" t="str">
        <f t="shared" si="7"/>
        <v>Salt Lake City</v>
      </c>
      <c r="AB43" s="18">
        <f t="shared" si="8"/>
        <v>19</v>
      </c>
      <c r="AC43" s="18">
        <f t="shared" si="8"/>
        <v>13</v>
      </c>
      <c r="AD43" s="18">
        <f t="shared" si="8"/>
        <v>16</v>
      </c>
      <c r="AE43" s="18">
        <f t="shared" si="8"/>
        <v>19</v>
      </c>
      <c r="AF43" s="18">
        <f t="shared" si="8"/>
        <v>12</v>
      </c>
      <c r="AG43" s="18">
        <f t="shared" si="9"/>
        <v>4</v>
      </c>
      <c r="AH43" s="18" t="str">
        <f t="shared" si="2"/>
        <v>Salt Lake City</v>
      </c>
    </row>
    <row r="44" spans="1:34">
      <c r="A44" s="18" t="s">
        <v>67</v>
      </c>
      <c r="B44" s="13">
        <f>'Summary-2000'!B44-'Summary-1990'!B44</f>
        <v>-6889.3728551608365</v>
      </c>
      <c r="C44" s="13">
        <f>'Summary-2000'!C44-'Summary-1990'!C44</f>
        <v>-28171.427479098435</v>
      </c>
      <c r="D44" s="13">
        <f>'Summary-2000'!D44-'Summary-1990'!D44</f>
        <v>66304</v>
      </c>
      <c r="E44" s="13">
        <f>'Summary-2000'!E44-'Summary-1990'!E44</f>
        <v>66304</v>
      </c>
      <c r="F44" s="13">
        <f>'Summary-2000'!F44-'Summary-1990'!F44</f>
        <v>66304</v>
      </c>
      <c r="G44" s="13">
        <f>'Summary-2000'!G44-'Summary-1990'!G44</f>
        <v>66304</v>
      </c>
      <c r="H44" s="13">
        <f>'Summary-2000'!H44-'Summary-1990'!H44</f>
        <v>66304</v>
      </c>
      <c r="I44" s="13">
        <f>'Summary-2000'!I44-'Summary-1990'!I44</f>
        <v>66304</v>
      </c>
      <c r="J44" s="13">
        <f>'Summary-2000'!J44-'Summary-1990'!J44</f>
        <v>66304</v>
      </c>
      <c r="K44" s="18" t="str">
        <f t="shared" si="3"/>
        <v>San Antonio</v>
      </c>
      <c r="L44" s="13">
        <f t="shared" si="4"/>
        <v>66304.000000000015</v>
      </c>
      <c r="M44" s="13">
        <f>'Summary-2000'!M44-'Summary-1990'!M44</f>
        <v>-6889.3728551608365</v>
      </c>
      <c r="N44" s="13">
        <f>'Summary-2000'!N44-'Summary-1990'!N44</f>
        <v>-21282.054623937584</v>
      </c>
      <c r="O44" s="13">
        <f>'Summary-2000'!O44-'Summary-1990'!O44</f>
        <v>94475.427479098435</v>
      </c>
      <c r="P44" s="13">
        <f>'Summary-2000'!P44-'Summary-1990'!P44</f>
        <v>0</v>
      </c>
      <c r="Q44" s="13">
        <f>'Summary-2000'!Q44-'Summary-1990'!Q44</f>
        <v>0</v>
      </c>
      <c r="R44" s="13">
        <f>'Summary-2000'!R44-'Summary-1990'!R44</f>
        <v>0</v>
      </c>
      <c r="S44" s="13">
        <f>'Summary-2000'!S44-'Summary-1990'!S44</f>
        <v>0</v>
      </c>
      <c r="T44" s="13">
        <f>'Summary-2000'!T44-'Summary-1990'!T44</f>
        <v>0</v>
      </c>
      <c r="U44" s="13">
        <f>'Summary-2000'!U44-'Summary-1990'!U44</f>
        <v>0</v>
      </c>
      <c r="V44" s="13"/>
      <c r="W44" s="13">
        <f t="shared" si="5"/>
        <v>66304.000000000015</v>
      </c>
      <c r="Y44" s="13">
        <f t="shared" si="0"/>
        <v>1178.2499242743534</v>
      </c>
      <c r="Z44" s="18">
        <f t="shared" si="6"/>
        <v>19</v>
      </c>
      <c r="AA44" s="18" t="str">
        <f t="shared" si="7"/>
        <v>San Antonio</v>
      </c>
      <c r="AB44" s="18">
        <f t="shared" si="8"/>
        <v>13</v>
      </c>
      <c r="AC44" s="18">
        <f t="shared" si="8"/>
        <v>18</v>
      </c>
      <c r="AD44" s="18">
        <f t="shared" si="8"/>
        <v>20</v>
      </c>
      <c r="AE44" s="18">
        <f t="shared" si="8"/>
        <v>19</v>
      </c>
      <c r="AF44" s="18">
        <f t="shared" si="8"/>
        <v>12</v>
      </c>
      <c r="AG44" s="18">
        <f t="shared" si="9"/>
        <v>4</v>
      </c>
      <c r="AH44" s="18" t="str">
        <f t="shared" si="2"/>
        <v>San Antonio</v>
      </c>
    </row>
    <row r="45" spans="1:34">
      <c r="A45" s="18" t="s">
        <v>68</v>
      </c>
      <c r="B45" s="13">
        <f>'Summary-2000'!B45-'Summary-1990'!B45</f>
        <v>-39211.090652210565</v>
      </c>
      <c r="C45" s="13">
        <f>'Summary-2000'!C45-'Summary-1990'!C45</f>
        <v>-163013.90887911152</v>
      </c>
      <c r="D45" s="13">
        <f>'Summary-2000'!D45-'Summary-1990'!D45</f>
        <v>-350647.44394702336</v>
      </c>
      <c r="E45" s="13">
        <f>'Summary-2000'!E45-'Summary-1990'!E45</f>
        <v>-148684</v>
      </c>
      <c r="F45" s="13">
        <f>'Summary-2000'!F45-'Summary-1990'!F45</f>
        <v>-148684</v>
      </c>
      <c r="G45" s="13">
        <f>'Summary-2000'!G45-'Summary-1990'!G45</f>
        <v>-148684</v>
      </c>
      <c r="H45" s="13">
        <f>'Summary-2000'!H45-'Summary-1990'!H45</f>
        <v>-148684</v>
      </c>
      <c r="I45" s="13">
        <f>'Summary-2000'!I45-'Summary-1990'!I45</f>
        <v>-148684</v>
      </c>
      <c r="J45" s="13">
        <f>'Summary-2000'!J45-'Summary-1990'!J45</f>
        <v>-148684</v>
      </c>
      <c r="K45" s="18" t="str">
        <f t="shared" si="3"/>
        <v>San Diego</v>
      </c>
      <c r="L45" s="13">
        <f t="shared" si="4"/>
        <v>-148684</v>
      </c>
      <c r="M45" s="13">
        <f>'Summary-2000'!M45-'Summary-1990'!M45</f>
        <v>-39211.090652210565</v>
      </c>
      <c r="N45" s="13">
        <f>'Summary-2000'!N45-'Summary-1990'!N45</f>
        <v>-123802.81822690094</v>
      </c>
      <c r="O45" s="13">
        <f>'Summary-2000'!O45-'Summary-1990'!O45</f>
        <v>-187633.53506791184</v>
      </c>
      <c r="P45" s="13">
        <f>'Summary-2000'!P45-'Summary-1990'!P45</f>
        <v>201963.44394702336</v>
      </c>
      <c r="Q45" s="13">
        <f>'Summary-2000'!Q45-'Summary-1990'!Q45</f>
        <v>0</v>
      </c>
      <c r="R45" s="13">
        <f>'Summary-2000'!R45-'Summary-1990'!R45</f>
        <v>0</v>
      </c>
      <c r="S45" s="13">
        <f>'Summary-2000'!S45-'Summary-1990'!S45</f>
        <v>0</v>
      </c>
      <c r="T45" s="13">
        <f>'Summary-2000'!T45-'Summary-1990'!T45</f>
        <v>0</v>
      </c>
      <c r="U45" s="13">
        <f>'Summary-2000'!U45-'Summary-1990'!U45</f>
        <v>0</v>
      </c>
      <c r="V45" s="13"/>
      <c r="W45" s="13">
        <f t="shared" si="5"/>
        <v>-148684</v>
      </c>
      <c r="Y45" s="13">
        <f t="shared" si="0"/>
        <v>-51403.29183407707</v>
      </c>
      <c r="Z45" s="18">
        <f t="shared" si="6"/>
        <v>44</v>
      </c>
      <c r="AA45" s="18" t="str">
        <f t="shared" si="7"/>
        <v>San Diego</v>
      </c>
      <c r="AB45" s="18">
        <f t="shared" si="8"/>
        <v>32</v>
      </c>
      <c r="AC45" s="18">
        <f t="shared" si="8"/>
        <v>37</v>
      </c>
      <c r="AD45" s="18">
        <f t="shared" si="8"/>
        <v>43</v>
      </c>
      <c r="AE45" s="18">
        <f t="shared" si="8"/>
        <v>9</v>
      </c>
      <c r="AF45" s="18">
        <f t="shared" si="8"/>
        <v>12</v>
      </c>
      <c r="AG45" s="18">
        <f t="shared" si="9"/>
        <v>4</v>
      </c>
      <c r="AH45" s="18" t="str">
        <f t="shared" si="2"/>
        <v>San Diego</v>
      </c>
    </row>
    <row r="46" spans="1:34">
      <c r="A46" s="18" t="s">
        <v>69</v>
      </c>
      <c r="B46" s="13">
        <f>'Summary-2000'!B46-'Summary-1990'!B46</f>
        <v>114849.60771851572</v>
      </c>
      <c r="C46" s="13">
        <f>'Summary-2000'!C46-'Summary-1990'!C46</f>
        <v>464184.19564861764</v>
      </c>
      <c r="D46" s="13">
        <f>'Summary-2000'!D46-'Summary-1990'!D46</f>
        <v>1038180.8038161511</v>
      </c>
      <c r="E46" s="13">
        <f>'Summary-2000'!E46-'Summary-1990'!E46</f>
        <v>248789.44345927075</v>
      </c>
      <c r="F46" s="13">
        <f>'Summary-2000'!F46-'Summary-1990'!F46</f>
        <v>78112</v>
      </c>
      <c r="G46" s="13">
        <f>'Summary-2000'!G46-'Summary-1990'!G46</f>
        <v>78112</v>
      </c>
      <c r="H46" s="13">
        <f>'Summary-2000'!H46-'Summary-1990'!H46</f>
        <v>78112</v>
      </c>
      <c r="I46" s="13">
        <f>'Summary-2000'!I46-'Summary-1990'!I46</f>
        <v>78112</v>
      </c>
      <c r="J46" s="13">
        <f>'Summary-2000'!J46-'Summary-1990'!J46</f>
        <v>78112</v>
      </c>
      <c r="K46" s="18" t="str">
        <f t="shared" si="3"/>
        <v>San Francisco</v>
      </c>
      <c r="L46" s="13">
        <f t="shared" si="4"/>
        <v>78112</v>
      </c>
      <c r="M46" s="13">
        <f>'Summary-2000'!M46-'Summary-1990'!M46</f>
        <v>114849.60771851572</v>
      </c>
      <c r="N46" s="13">
        <f>'Summary-2000'!N46-'Summary-1990'!N46</f>
        <v>349334.5879301019</v>
      </c>
      <c r="O46" s="13">
        <f>'Summary-2000'!O46-'Summary-1990'!O46</f>
        <v>573996.60816753353</v>
      </c>
      <c r="P46" s="13">
        <f>'Summary-2000'!P46-'Summary-1990'!P46</f>
        <v>-789391.36035688035</v>
      </c>
      <c r="Q46" s="13">
        <f>'Summary-2000'!Q46-'Summary-1990'!Q46</f>
        <v>-170677.44345927075</v>
      </c>
      <c r="R46" s="13">
        <f>'Summary-2000'!R46-'Summary-1990'!R46</f>
        <v>0</v>
      </c>
      <c r="S46" s="13">
        <f>'Summary-2000'!S46-'Summary-1990'!S46</f>
        <v>0</v>
      </c>
      <c r="T46" s="13">
        <f>'Summary-2000'!T46-'Summary-1990'!T46</f>
        <v>0</v>
      </c>
      <c r="U46" s="13">
        <f>'Summary-2000'!U46-'Summary-1990'!U46</f>
        <v>0</v>
      </c>
      <c r="V46" s="13"/>
      <c r="W46" s="13">
        <f t="shared" si="5"/>
        <v>78112.000000000044</v>
      </c>
      <c r="Y46" s="13">
        <f t="shared" si="0"/>
        <v>138903.09160115928</v>
      </c>
      <c r="Z46" s="18">
        <f t="shared" si="6"/>
        <v>1</v>
      </c>
      <c r="AA46" s="18" t="str">
        <f t="shared" si="7"/>
        <v>San Francisco</v>
      </c>
      <c r="AB46" s="18">
        <f t="shared" si="8"/>
        <v>1</v>
      </c>
      <c r="AC46" s="18">
        <f t="shared" si="8"/>
        <v>1</v>
      </c>
      <c r="AD46" s="18">
        <f t="shared" si="8"/>
        <v>1</v>
      </c>
      <c r="AE46" s="18">
        <f t="shared" si="8"/>
        <v>51</v>
      </c>
      <c r="AF46" s="18">
        <f t="shared" si="8"/>
        <v>50</v>
      </c>
      <c r="AG46" s="18">
        <f t="shared" si="9"/>
        <v>4</v>
      </c>
      <c r="AH46" s="18" t="str">
        <f t="shared" si="2"/>
        <v>San Francisco</v>
      </c>
    </row>
    <row r="47" spans="1:34">
      <c r="A47" s="18" t="s">
        <v>85</v>
      </c>
      <c r="B47" s="13">
        <f>'Summary-2000'!B47-'Summary-1990'!B47</f>
        <v>7813.7173899940972</v>
      </c>
      <c r="C47" s="13">
        <f>'Summary-2000'!C47-'Summary-1990'!C47</f>
        <v>56726.580334156519</v>
      </c>
      <c r="D47" s="13">
        <f>'Summary-2000'!D47-'Summary-1990'!D47</f>
        <v>96635</v>
      </c>
      <c r="E47" s="13">
        <f>'Summary-2000'!E47-'Summary-1990'!E47</f>
        <v>96635</v>
      </c>
      <c r="F47" s="13">
        <f>'Summary-2000'!F47-'Summary-1990'!F47</f>
        <v>96635</v>
      </c>
      <c r="G47" s="13">
        <f>'Summary-2000'!G47-'Summary-1990'!G47</f>
        <v>96635</v>
      </c>
      <c r="H47" s="13">
        <f>'Summary-2000'!H47-'Summary-1990'!H47</f>
        <v>96635</v>
      </c>
      <c r="I47" s="13">
        <f>'Summary-2000'!I47-'Summary-1990'!I47</f>
        <v>96635</v>
      </c>
      <c r="J47" s="13">
        <f>'Summary-2000'!J47-'Summary-1990'!J47</f>
        <v>96635</v>
      </c>
      <c r="K47" s="18" t="str">
        <f t="shared" si="3"/>
        <v>San Jose</v>
      </c>
      <c r="L47" s="13">
        <f t="shared" si="4"/>
        <v>96634.000000000029</v>
      </c>
      <c r="M47" s="13">
        <f>'Summary-2000'!M47-'Summary-1990'!M47</f>
        <v>7813.7173899940972</v>
      </c>
      <c r="N47" s="13">
        <f>'Summary-2000'!N47-'Summary-1990'!N47</f>
        <v>48911.862944162451</v>
      </c>
      <c r="O47" s="13">
        <f>'Summary-2000'!O47-'Summary-1990'!O47</f>
        <v>39908.419665843481</v>
      </c>
      <c r="P47" s="13">
        <f>'Summary-2000'!P47-'Summary-1990'!P47</f>
        <v>0</v>
      </c>
      <c r="Q47" s="13">
        <f>'Summary-2000'!Q47-'Summary-1990'!Q47</f>
        <v>0</v>
      </c>
      <c r="R47" s="13">
        <f>'Summary-2000'!R47-'Summary-1990'!R47</f>
        <v>0</v>
      </c>
      <c r="S47" s="13">
        <f>'Summary-2000'!S47-'Summary-1990'!S47</f>
        <v>0</v>
      </c>
      <c r="T47" s="13">
        <f>'Summary-2000'!T47-'Summary-1990'!T47</f>
        <v>0</v>
      </c>
      <c r="U47" s="13">
        <f>'Summary-2000'!U47-'Summary-1990'!U47</f>
        <v>0</v>
      </c>
      <c r="V47" s="13"/>
      <c r="W47" s="13">
        <f t="shared" si="5"/>
        <v>96634.000000000029</v>
      </c>
      <c r="Y47" s="13">
        <f t="shared" si="0"/>
        <v>17006.474508909239</v>
      </c>
      <c r="Z47" s="18">
        <f t="shared" si="6"/>
        <v>8</v>
      </c>
      <c r="AA47" s="18" t="str">
        <f t="shared" si="7"/>
        <v>San Jose</v>
      </c>
      <c r="AB47" s="18">
        <f t="shared" si="8"/>
        <v>9</v>
      </c>
      <c r="AC47" s="18">
        <f t="shared" si="8"/>
        <v>8</v>
      </c>
      <c r="AD47" s="18">
        <f t="shared" si="8"/>
        <v>25</v>
      </c>
      <c r="AE47" s="18">
        <f t="shared" si="8"/>
        <v>19</v>
      </c>
      <c r="AF47" s="18">
        <f t="shared" si="8"/>
        <v>12</v>
      </c>
      <c r="AG47" s="18">
        <f t="shared" si="9"/>
        <v>4</v>
      </c>
      <c r="AH47" s="18" t="str">
        <f t="shared" si="2"/>
        <v>San Jose</v>
      </c>
    </row>
    <row r="48" spans="1:34">
      <c r="A48" s="18" t="s">
        <v>56</v>
      </c>
      <c r="B48" s="13">
        <f>'Summary-2000'!B48-'Summary-1990'!B48</f>
        <v>-29282.326952967065</v>
      </c>
      <c r="C48" s="13">
        <f>'Summary-2000'!C48-'Summary-1990'!C48</f>
        <v>-110748.97806937766</v>
      </c>
      <c r="D48" s="13">
        <f>'Summary-2000'!D48-'Summary-1990'!D48</f>
        <v>-286272.53408480482</v>
      </c>
      <c r="E48" s="13">
        <f>'Summary-2000'!E48-'Summary-1990'!E48</f>
        <v>154622</v>
      </c>
      <c r="F48" s="13">
        <f>'Summary-2000'!F48-'Summary-1990'!F48</f>
        <v>173377</v>
      </c>
      <c r="G48" s="13">
        <f>'Summary-2000'!G48-'Summary-1990'!G48</f>
        <v>173377</v>
      </c>
      <c r="H48" s="13">
        <f>'Summary-2000'!H48-'Summary-1990'!H48</f>
        <v>173377</v>
      </c>
      <c r="I48" s="13">
        <f>'Summary-2000'!I48-'Summary-1990'!I48</f>
        <v>173377</v>
      </c>
      <c r="J48" s="13">
        <f>'Summary-2000'!J48-'Summary-1990'!J48</f>
        <v>173377</v>
      </c>
      <c r="K48" s="18" t="str">
        <f t="shared" si="3"/>
        <v>Seattle</v>
      </c>
      <c r="L48" s="13">
        <f t="shared" si="4"/>
        <v>173376.99999999988</v>
      </c>
      <c r="M48" s="13">
        <f>'Summary-2000'!M48-'Summary-1990'!M48</f>
        <v>-29282.326952967065</v>
      </c>
      <c r="N48" s="13">
        <f>'Summary-2000'!N48-'Summary-1990'!N48</f>
        <v>-81465.65111641062</v>
      </c>
      <c r="O48" s="13">
        <f>'Summary-2000'!O48-'Summary-1990'!O48</f>
        <v>-175524.55601542722</v>
      </c>
      <c r="P48" s="13">
        <f>'Summary-2000'!P48-'Summary-1990'!P48</f>
        <v>440894.53408480482</v>
      </c>
      <c r="Q48" s="13">
        <f>'Summary-2000'!Q48-'Summary-1990'!Q48</f>
        <v>18755</v>
      </c>
      <c r="R48" s="13">
        <f>'Summary-2000'!R48-'Summary-1990'!R48</f>
        <v>0</v>
      </c>
      <c r="S48" s="13">
        <f>'Summary-2000'!S48-'Summary-1990'!S48</f>
        <v>0</v>
      </c>
      <c r="T48" s="13">
        <f>'Summary-2000'!T48-'Summary-1990'!T48</f>
        <v>0</v>
      </c>
      <c r="U48" s="13">
        <f>'Summary-2000'!U48-'Summary-1990'!U48</f>
        <v>0</v>
      </c>
      <c r="V48" s="13"/>
      <c r="W48" s="13">
        <f t="shared" si="5"/>
        <v>173376.99999999991</v>
      </c>
      <c r="Y48" s="13">
        <f t="shared" si="0"/>
        <v>-27212.914668371843</v>
      </c>
      <c r="Z48" s="18">
        <f t="shared" si="6"/>
        <v>29</v>
      </c>
      <c r="AA48" s="18" t="str">
        <f t="shared" si="7"/>
        <v>Seattle</v>
      </c>
      <c r="AB48" s="18">
        <f t="shared" si="8"/>
        <v>25</v>
      </c>
      <c r="AC48" s="18">
        <f t="shared" si="8"/>
        <v>30</v>
      </c>
      <c r="AD48" s="18">
        <f t="shared" si="8"/>
        <v>41</v>
      </c>
      <c r="AE48" s="18">
        <f t="shared" si="8"/>
        <v>4</v>
      </c>
      <c r="AF48" s="18">
        <f t="shared" si="8"/>
        <v>11</v>
      </c>
      <c r="AG48" s="18">
        <f t="shared" si="9"/>
        <v>4</v>
      </c>
      <c r="AH48" s="18" t="str">
        <f t="shared" si="2"/>
        <v>Seattle</v>
      </c>
    </row>
    <row r="49" spans="1:34">
      <c r="A49" s="18" t="s">
        <v>397</v>
      </c>
      <c r="B49" s="13">
        <f>'Summary-2000'!B49-'Summary-1990'!B49</f>
        <v>-175165.82666290499</v>
      </c>
      <c r="C49" s="13">
        <f>'Summary-2000'!C49-'Summary-1990'!C49</f>
        <v>-739375.77912644669</v>
      </c>
      <c r="D49" s="13">
        <f>'Summary-2000'!D49-'Summary-1990'!D49</f>
        <v>-558172</v>
      </c>
      <c r="E49" s="13">
        <f>'Summary-2000'!E49-'Summary-1990'!E49</f>
        <v>9849</v>
      </c>
      <c r="F49" s="13">
        <f>'Summary-2000'!F49-'Summary-1990'!F49</f>
        <v>9849</v>
      </c>
      <c r="G49" s="13">
        <f>'Summary-2000'!G49-'Summary-1990'!G49</f>
        <v>9849</v>
      </c>
      <c r="H49" s="13">
        <f>'Summary-2000'!H49-'Summary-1990'!H49</f>
        <v>9849</v>
      </c>
      <c r="I49" s="13">
        <f>'Summary-2000'!I49-'Summary-1990'!I49</f>
        <v>9849</v>
      </c>
      <c r="J49" s="13">
        <f>'Summary-2000'!J49-'Summary-1990'!J49</f>
        <v>9849</v>
      </c>
      <c r="K49" s="18" t="str">
        <f t="shared" si="3"/>
        <v>Miami</v>
      </c>
      <c r="L49" s="13">
        <f t="shared" si="4"/>
        <v>9849</v>
      </c>
      <c r="M49" s="13">
        <f>'Summary-2000'!M49-'Summary-1990'!M49</f>
        <v>-175165.82666290499</v>
      </c>
      <c r="N49" s="13">
        <f>'Summary-2000'!N49-'Summary-1990'!N49</f>
        <v>-564209.95246354165</v>
      </c>
      <c r="O49" s="13">
        <f>'Summary-2000'!O49-'Summary-1990'!O49</f>
        <v>181203.77912644669</v>
      </c>
      <c r="P49" s="13">
        <f>'Summary-2000'!P49-'Summary-1990'!P49</f>
        <v>568021</v>
      </c>
      <c r="Q49" s="13">
        <f>'Summary-2000'!Q49-'Summary-1990'!Q49</f>
        <v>0</v>
      </c>
      <c r="R49" s="13">
        <f>'Summary-2000'!R49-'Summary-1990'!R49</f>
        <v>0</v>
      </c>
      <c r="S49" s="13">
        <f>'Summary-2000'!S49-'Summary-1990'!S49</f>
        <v>0</v>
      </c>
      <c r="T49" s="13">
        <f>'Summary-2000'!T49-'Summary-1990'!T49</f>
        <v>0</v>
      </c>
      <c r="U49" s="13">
        <f>'Summary-2000'!U49-'Summary-1990'!U49</f>
        <v>0</v>
      </c>
      <c r="V49" s="13"/>
      <c r="W49" s="13">
        <f t="shared" si="5"/>
        <v>9849.0000000000582</v>
      </c>
      <c r="Y49" s="13">
        <f t="shared" si="0"/>
        <v>-153026.8804268454</v>
      </c>
      <c r="Z49" s="18">
        <f t="shared" si="6"/>
        <v>49</v>
      </c>
      <c r="AA49" s="18" t="str">
        <f t="shared" si="7"/>
        <v>Miami</v>
      </c>
      <c r="AB49" s="18">
        <f t="shared" si="8"/>
        <v>51</v>
      </c>
      <c r="AC49" s="18">
        <f t="shared" si="8"/>
        <v>51</v>
      </c>
      <c r="AD49" s="18">
        <f t="shared" si="8"/>
        <v>13</v>
      </c>
      <c r="AE49" s="18">
        <f t="shared" si="8"/>
        <v>2</v>
      </c>
      <c r="AF49" s="18">
        <f t="shared" si="8"/>
        <v>12</v>
      </c>
      <c r="AG49" s="18">
        <f t="shared" si="9"/>
        <v>4</v>
      </c>
      <c r="AH49" s="18" t="str">
        <f t="shared" si="2"/>
        <v>Miami</v>
      </c>
    </row>
    <row r="50" spans="1:34">
      <c r="A50" s="18" t="s">
        <v>57</v>
      </c>
      <c r="B50" s="13">
        <f>'Summary-2000'!B50-'Summary-1990'!B50</f>
        <v>-32801.373591244163</v>
      </c>
      <c r="C50" s="13">
        <f>'Summary-2000'!C50-'Summary-1990'!C50</f>
        <v>-149417.73430719285</v>
      </c>
      <c r="D50" s="13">
        <f>'Summary-2000'!D50-'Summary-1990'!D50</f>
        <v>-345354.64402542519</v>
      </c>
      <c r="E50" s="13">
        <f>'Summary-2000'!E50-'Summary-1990'!E50</f>
        <v>76285</v>
      </c>
      <c r="F50" s="13">
        <f>'Summary-2000'!F50-'Summary-1990'!F50</f>
        <v>76285</v>
      </c>
      <c r="G50" s="13">
        <f>'Summary-2000'!G50-'Summary-1990'!G50</f>
        <v>76285</v>
      </c>
      <c r="H50" s="13">
        <f>'Summary-2000'!H50-'Summary-1990'!H50</f>
        <v>76285</v>
      </c>
      <c r="I50" s="13">
        <f>'Summary-2000'!I50-'Summary-1990'!I50</f>
        <v>76285</v>
      </c>
      <c r="J50" s="13">
        <f>'Summary-2000'!J50-'Summary-1990'!J50</f>
        <v>76285</v>
      </c>
      <c r="K50" s="18" t="str">
        <f t="shared" si="3"/>
        <v>St. Louis</v>
      </c>
      <c r="L50" s="13">
        <f t="shared" si="4"/>
        <v>76284</v>
      </c>
      <c r="M50" s="13">
        <f>'Summary-2000'!M50-'Summary-1990'!M50</f>
        <v>-32801.373591244163</v>
      </c>
      <c r="N50" s="13">
        <f>'Summary-2000'!N50-'Summary-1990'!N50</f>
        <v>-116617.36071594869</v>
      </c>
      <c r="O50" s="13">
        <f>'Summary-2000'!O50-'Summary-1990'!O50</f>
        <v>-195936.90971823235</v>
      </c>
      <c r="P50" s="13">
        <f>'Summary-2000'!P50-'Summary-1990'!P50</f>
        <v>421639.64402542519</v>
      </c>
      <c r="Q50" s="13">
        <f>'Summary-2000'!Q50-'Summary-1990'!Q50</f>
        <v>0</v>
      </c>
      <c r="R50" s="13">
        <f>'Summary-2000'!R50-'Summary-1990'!R50</f>
        <v>0</v>
      </c>
      <c r="S50" s="13">
        <f>'Summary-2000'!S50-'Summary-1990'!S50</f>
        <v>0</v>
      </c>
      <c r="T50" s="13">
        <f>'Summary-2000'!T50-'Summary-1990'!T50</f>
        <v>0</v>
      </c>
      <c r="U50" s="13">
        <f>'Summary-2000'!U50-'Summary-1990'!U50</f>
        <v>0</v>
      </c>
      <c r="V50" s="13"/>
      <c r="W50" s="13">
        <f t="shared" si="5"/>
        <v>76284</v>
      </c>
      <c r="Y50" s="13">
        <f t="shared" si="0"/>
        <v>-38871.280532012825</v>
      </c>
      <c r="Z50" s="18">
        <f t="shared" si="6"/>
        <v>36</v>
      </c>
      <c r="AA50" s="18" t="str">
        <f t="shared" si="7"/>
        <v>St. Louis</v>
      </c>
      <c r="AB50" s="18">
        <f t="shared" si="8"/>
        <v>26</v>
      </c>
      <c r="AC50" s="18">
        <f t="shared" si="8"/>
        <v>35</v>
      </c>
      <c r="AD50" s="18">
        <f t="shared" si="8"/>
        <v>44</v>
      </c>
      <c r="AE50" s="18">
        <f t="shared" si="8"/>
        <v>5</v>
      </c>
      <c r="AF50" s="18">
        <f t="shared" si="8"/>
        <v>12</v>
      </c>
      <c r="AG50" s="18">
        <f t="shared" si="9"/>
        <v>4</v>
      </c>
      <c r="AH50" s="18" t="str">
        <f t="shared" si="2"/>
        <v>St. Louis</v>
      </c>
    </row>
    <row r="51" spans="1:34">
      <c r="A51" s="18" t="s">
        <v>70</v>
      </c>
      <c r="B51" s="13">
        <f>'Summary-2000'!B51-'Summary-1990'!B51</f>
        <v>-33396.319781659142</v>
      </c>
      <c r="C51" s="13">
        <f>'Summary-2000'!C51-'Summary-1990'!C51</f>
        <v>-136759.31324181554</v>
      </c>
      <c r="D51" s="13">
        <f>'Summary-2000'!D51-'Summary-1990'!D51</f>
        <v>-314900.0085215026</v>
      </c>
      <c r="E51" s="13">
        <f>'Summary-2000'!E51-'Summary-1990'!E51</f>
        <v>57591</v>
      </c>
      <c r="F51" s="13">
        <f>'Summary-2000'!F51-'Summary-1990'!F51</f>
        <v>128201</v>
      </c>
      <c r="G51" s="13">
        <f>'Summary-2000'!G51-'Summary-1990'!G51</f>
        <v>128201</v>
      </c>
      <c r="H51" s="13">
        <f>'Summary-2000'!H51-'Summary-1990'!H51</f>
        <v>128201</v>
      </c>
      <c r="I51" s="13">
        <f>'Summary-2000'!I51-'Summary-1990'!I51</f>
        <v>128201</v>
      </c>
      <c r="J51" s="13">
        <f>'Summary-2000'!J51-'Summary-1990'!J51</f>
        <v>128201</v>
      </c>
      <c r="K51" s="18" t="str">
        <f t="shared" si="3"/>
        <v>Tampa Bay</v>
      </c>
      <c r="L51" s="13">
        <f t="shared" si="4"/>
        <v>128201</v>
      </c>
      <c r="M51" s="13">
        <f>'Summary-2000'!M51-'Summary-1990'!M51</f>
        <v>-33396.319781659142</v>
      </c>
      <c r="N51" s="13">
        <f>'Summary-2000'!N51-'Summary-1990'!N51</f>
        <v>-103362.99346015637</v>
      </c>
      <c r="O51" s="13">
        <f>'Summary-2000'!O51-'Summary-1990'!O51</f>
        <v>-178140.69527968706</v>
      </c>
      <c r="P51" s="13">
        <f>'Summary-2000'!P51-'Summary-1990'!P51</f>
        <v>372491.0085215026</v>
      </c>
      <c r="Q51" s="13">
        <f>'Summary-2000'!Q51-'Summary-1990'!Q51</f>
        <v>70610</v>
      </c>
      <c r="R51" s="13">
        <f>'Summary-2000'!R51-'Summary-1990'!R51</f>
        <v>0</v>
      </c>
      <c r="S51" s="13">
        <f>'Summary-2000'!S51-'Summary-1990'!S51</f>
        <v>0</v>
      </c>
      <c r="T51" s="13">
        <f>'Summary-2000'!T51-'Summary-1990'!T51</f>
        <v>0</v>
      </c>
      <c r="U51" s="13">
        <f>'Summary-2000'!U51-'Summary-1990'!U51</f>
        <v>0</v>
      </c>
      <c r="V51" s="13"/>
      <c r="W51" s="13">
        <f t="shared" si="5"/>
        <v>128201.00000000003</v>
      </c>
      <c r="Y51" s="13">
        <f t="shared" si="0"/>
        <v>-35558.299783862036</v>
      </c>
      <c r="Z51" s="18">
        <f t="shared" si="6"/>
        <v>33</v>
      </c>
      <c r="AA51" s="18" t="str">
        <f t="shared" si="7"/>
        <v>Tampa Bay</v>
      </c>
      <c r="AB51" s="18">
        <f t="shared" si="8"/>
        <v>27</v>
      </c>
      <c r="AC51" s="18">
        <f t="shared" si="8"/>
        <v>34</v>
      </c>
      <c r="AD51" s="18">
        <f t="shared" si="8"/>
        <v>42</v>
      </c>
      <c r="AE51" s="18">
        <f t="shared" si="8"/>
        <v>6</v>
      </c>
      <c r="AF51" s="18">
        <f t="shared" si="8"/>
        <v>9</v>
      </c>
      <c r="AG51" s="18">
        <f t="shared" si="9"/>
        <v>4</v>
      </c>
      <c r="AH51" s="18" t="str">
        <f t="shared" si="2"/>
        <v>Tampa Bay</v>
      </c>
    </row>
    <row r="52" spans="1:34">
      <c r="A52" s="18" t="s">
        <v>58</v>
      </c>
      <c r="B52" s="13">
        <f>'Summary-2000'!B52-'Summary-1990'!B52</f>
        <v>-46798.772165032817</v>
      </c>
      <c r="C52" s="13">
        <f>'Summary-2000'!C52-'Summary-1990'!C52</f>
        <v>-193767.49229908513</v>
      </c>
      <c r="D52" s="13">
        <f>'Summary-2000'!D52-'Summary-1990'!D52</f>
        <v>-452106.9811851359</v>
      </c>
      <c r="E52" s="13">
        <f>'Summary-2000'!E52-'Summary-1990'!E52</f>
        <v>-665019</v>
      </c>
      <c r="F52" s="13">
        <f>'Summary-2000'!F52-'Summary-1990'!F52</f>
        <v>64286</v>
      </c>
      <c r="G52" s="13">
        <f>'Summary-2000'!G52-'Summary-1990'!G52</f>
        <v>64286</v>
      </c>
      <c r="H52" s="13">
        <f>'Summary-2000'!H52-'Summary-1990'!H52</f>
        <v>64286</v>
      </c>
      <c r="I52" s="13">
        <f>'Summary-2000'!I52-'Summary-1990'!I52</f>
        <v>64286</v>
      </c>
      <c r="J52" s="13">
        <f>'Summary-2000'!J52-'Summary-1990'!J52</f>
        <v>64286</v>
      </c>
      <c r="K52" s="18" t="str">
        <f t="shared" si="3"/>
        <v>Washington</v>
      </c>
      <c r="L52" s="13">
        <f t="shared" si="4"/>
        <v>64286</v>
      </c>
      <c r="M52" s="13">
        <f>'Summary-2000'!M52-'Summary-1990'!M52</f>
        <v>-46798.772165032817</v>
      </c>
      <c r="N52" s="13">
        <f>'Summary-2000'!N52-'Summary-1990'!N52</f>
        <v>-146968.72013405233</v>
      </c>
      <c r="O52" s="13">
        <f>'Summary-2000'!O52-'Summary-1990'!O52</f>
        <v>-258339.48888605076</v>
      </c>
      <c r="P52" s="13">
        <f>'Summary-2000'!P52-'Summary-1990'!P52</f>
        <v>-212912.0188148641</v>
      </c>
      <c r="Q52" s="13">
        <f>'Summary-2000'!Q52-'Summary-1990'!Q52</f>
        <v>729305</v>
      </c>
      <c r="R52" s="13">
        <f>'Summary-2000'!R52-'Summary-1990'!R52</f>
        <v>0</v>
      </c>
      <c r="S52" s="13">
        <f>'Summary-2000'!S52-'Summary-1990'!S52</f>
        <v>0</v>
      </c>
      <c r="T52" s="13">
        <f>'Summary-2000'!T52-'Summary-1990'!T52</f>
        <v>0</v>
      </c>
      <c r="U52" s="13">
        <f>'Summary-2000'!U52-'Summary-1990'!U52</f>
        <v>0</v>
      </c>
      <c r="V52" s="13"/>
      <c r="W52" s="13">
        <f t="shared" si="5"/>
        <v>64285.999999999985</v>
      </c>
      <c r="Y52" s="13">
        <f t="shared" si="0"/>
        <v>-69457.622474272648</v>
      </c>
      <c r="Z52" s="18">
        <f t="shared" si="6"/>
        <v>46</v>
      </c>
      <c r="AA52" s="18" t="str">
        <f t="shared" si="7"/>
        <v>Washington</v>
      </c>
      <c r="AB52" s="18">
        <f t="shared" si="8"/>
        <v>35</v>
      </c>
      <c r="AC52" s="18">
        <f t="shared" si="8"/>
        <v>41</v>
      </c>
      <c r="AD52" s="18">
        <f t="shared" si="8"/>
        <v>46</v>
      </c>
      <c r="AE52" s="18">
        <f t="shared" si="8"/>
        <v>48</v>
      </c>
      <c r="AF52" s="18">
        <f t="shared" si="8"/>
        <v>2</v>
      </c>
      <c r="AG52" s="18">
        <f t="shared" si="9"/>
        <v>4</v>
      </c>
      <c r="AH52" s="18" t="str">
        <f t="shared" si="2"/>
        <v>Washington</v>
      </c>
    </row>
    <row r="54" spans="1:34">
      <c r="M54" s="18">
        <v>1</v>
      </c>
      <c r="N54" s="18">
        <v>1</v>
      </c>
      <c r="O54" s="18">
        <v>1</v>
      </c>
      <c r="P54" s="18">
        <v>1</v>
      </c>
      <c r="Q54" s="18">
        <v>1</v>
      </c>
      <c r="R54" s="18">
        <v>1</v>
      </c>
      <c r="S54" s="18">
        <v>1</v>
      </c>
      <c r="T54" s="18">
        <v>1</v>
      </c>
      <c r="U54" s="18">
        <v>1</v>
      </c>
      <c r="Y54" s="28">
        <f>M54*EXP(Beta*10)+N54*EXP(Beta*20)+O54*EXP(Beta*30)+P54*EXP(Beta*40)+Q54*EXP(Beta*50)+R54*EXP(Beta*60)</f>
        <v>0.80925102531740989</v>
      </c>
      <c r="AB54" s="18" t="s">
        <v>146</v>
      </c>
    </row>
    <row r="55" spans="1:34">
      <c r="A55" s="18" t="s">
        <v>143</v>
      </c>
      <c r="B55" s="18">
        <v>-0.08</v>
      </c>
      <c r="Z55" s="29" t="s">
        <v>147</v>
      </c>
      <c r="AA55" s="29" t="s">
        <v>128</v>
      </c>
      <c r="AB55" s="29">
        <f>AB1</f>
        <v>10</v>
      </c>
      <c r="AC55" s="29">
        <f t="shared" ref="AC55:AG55" si="10">AC1</f>
        <v>20</v>
      </c>
      <c r="AD55" s="29">
        <f t="shared" si="10"/>
        <v>30</v>
      </c>
      <c r="AE55" s="29">
        <f t="shared" si="10"/>
        <v>40</v>
      </c>
      <c r="AF55" s="29">
        <f t="shared" si="10"/>
        <v>50</v>
      </c>
      <c r="AG55" s="29">
        <f t="shared" si="10"/>
        <v>60</v>
      </c>
      <c r="AH55" s="18" t="s">
        <v>147</v>
      </c>
    </row>
    <row r="56" spans="1:34">
      <c r="Z56" s="18" t="str">
        <f>VLOOKUP($AA56,Z$2:$AA$52,2,FALSE)</f>
        <v>San Francisco</v>
      </c>
      <c r="AA56" s="18">
        <v>1</v>
      </c>
      <c r="AB56" s="18" t="str">
        <f>VLOOKUP($AA56,AB$2:$AH$52,8-AB$1/10,FALSE)</f>
        <v>San Francisco</v>
      </c>
      <c r="AC56" s="18" t="str">
        <f>VLOOKUP($AA56,AC$2:$AH$52,8-AC$1/10,FALSE)</f>
        <v>San Francisco</v>
      </c>
      <c r="AD56" s="18" t="str">
        <f>VLOOKUP($AA56,AD$2:$AH$52,8-AD$1/10,FALSE)</f>
        <v>San Francisco</v>
      </c>
      <c r="AE56" s="18" t="str">
        <f>VLOOKUP($AA56,AE$2:$AH$52,8-AE$1/10,FALSE)</f>
        <v>Boston</v>
      </c>
      <c r="AF56" s="18" t="str">
        <f>VLOOKUP($AA56,AF$2:$AH$52,8-AF$1/10,FALSE)</f>
        <v>Philadelphia</v>
      </c>
      <c r="AG56" s="18" t="str">
        <f>VLOOKUP($AA56,AG$2:$AH$52,8-AG$1/10,FALSE)</f>
        <v>Chicago</v>
      </c>
      <c r="AH56" s="18" t="str">
        <f>Z56</f>
        <v>San Francisco</v>
      </c>
    </row>
    <row r="57" spans="1:34">
      <c r="A57" s="18" t="s">
        <v>145</v>
      </c>
      <c r="Z57" s="18" t="str">
        <f>VLOOKUP($AA57,Z$2:$AA$52,2,FALSE)</f>
        <v>Las Vegas</v>
      </c>
      <c r="AA57" s="18">
        <v>2</v>
      </c>
      <c r="AB57" s="18" t="str">
        <f>VLOOKUP($AA57,AB$2:$AH$52,8-AB$1/10,FALSE)</f>
        <v>Kansas City</v>
      </c>
      <c r="AC57" s="18" t="str">
        <f>VLOOKUP($AA57,AC$2:$AH$52,8-AC$1/10,FALSE)</f>
        <v>Raleigh</v>
      </c>
      <c r="AD57" s="18" t="str">
        <f>VLOOKUP($AA57,AD$2:$AH$52,8-AD$1/10,FALSE)</f>
        <v>Charlotte</v>
      </c>
      <c r="AE57" s="18" t="str">
        <f>VLOOKUP($AA57,AE$2:$AH$52,8-AE$1/10,FALSE)</f>
        <v>Miami</v>
      </c>
      <c r="AF57" s="18" t="str">
        <f>VLOOKUP($AA57,AF$2:$AH$52,8-AF$1/10,FALSE)</f>
        <v>Washington</v>
      </c>
      <c r="AG57" s="18" t="str">
        <f>VLOOKUP($AA57,AG$2:$AH$52,8-AG$1/10,FALSE)</f>
        <v>Atlanta</v>
      </c>
      <c r="AH57" s="18" t="str">
        <f t="shared" ref="AH57:AH105" si="11">Z57</f>
        <v>Las Vegas</v>
      </c>
    </row>
    <row r="58" spans="1:34">
      <c r="Z58" s="18" t="str">
        <f>VLOOKUP($AA58,Z$2:$AA$52,2,FALSE)</f>
        <v>Kansas City</v>
      </c>
      <c r="AA58" s="18">
        <v>3</v>
      </c>
      <c r="AB58" s="18" t="str">
        <f>VLOOKUP($AA58,AB$2:$AH$52,8-AB$1/10,FALSE)</f>
        <v>Oklahoma City</v>
      </c>
      <c r="AC58" s="18" t="str">
        <f>VLOOKUP($AA58,AC$2:$AH$52,8-AC$1/10,FALSE)</f>
        <v>Grand Rapids</v>
      </c>
      <c r="AD58" s="18" t="str">
        <f>VLOOKUP($AA58,AD$2:$AH$52,8-AD$1/10,FALSE)</f>
        <v>Indianapolis</v>
      </c>
      <c r="AE58" s="18" t="str">
        <f>VLOOKUP($AA58,AE$2:$AH$52,8-AE$1/10,FALSE)</f>
        <v>Phoenix</v>
      </c>
      <c r="AF58" s="18" t="str">
        <f>VLOOKUP($AA58,AF$2:$AH$52,8-AF$1/10,FALSE)</f>
        <v>Boston</v>
      </c>
      <c r="AG58" s="18" t="str">
        <f>VLOOKUP($AA58,AG$2:$AH$52,8-AG$1/10,FALSE)</f>
        <v>Philadelphia</v>
      </c>
      <c r="AH58" s="18" t="str">
        <f t="shared" si="11"/>
        <v>Kansas City</v>
      </c>
    </row>
    <row r="59" spans="1:34">
      <c r="Z59" s="18" t="str">
        <f>VLOOKUP($AA59,Z$2:$AA$52,2,FALSE)</f>
        <v>Grand Rapids</v>
      </c>
      <c r="AA59" s="18">
        <f>AA58+1</f>
        <v>4</v>
      </c>
      <c r="AB59" s="18" t="str">
        <f>VLOOKUP($AA59,AB$2:$AH$52,8-AB$1/10,FALSE)</f>
        <v>New Orleans</v>
      </c>
      <c r="AC59" s="18" t="str">
        <f>VLOOKUP($AA59,AC$2:$AH$52,8-AC$1/10,FALSE)</f>
        <v>Kansas City</v>
      </c>
      <c r="AD59" s="18" t="str">
        <f>VLOOKUP($AA59,AD$2:$AH$52,8-AD$1/10,FALSE)</f>
        <v>Cincinnati</v>
      </c>
      <c r="AE59" s="18" t="str">
        <f>VLOOKUP($AA59,AE$2:$AH$52,8-AE$1/10,FALSE)</f>
        <v>Seattle</v>
      </c>
      <c r="AF59" s="18" t="str">
        <f>VLOOKUP($AA59,AF$2:$AH$52,8-AF$1/10,FALSE)</f>
        <v>Atlanta</v>
      </c>
      <c r="AG59" s="18" t="str">
        <f>VLOOKUP($AA59,AG$2:$AH$52,8-AG$1/10,FALSE)</f>
        <v>Austin</v>
      </c>
      <c r="AH59" s="18" t="str">
        <f t="shared" si="11"/>
        <v>Grand Rapids</v>
      </c>
    </row>
    <row r="60" spans="1:34">
      <c r="Z60" s="18" t="str">
        <f>VLOOKUP($AA60,Z$2:$AA$52,2,FALSE)</f>
        <v>Minneapolis</v>
      </c>
      <c r="AA60" s="18">
        <f t="shared" ref="AA60:AA106" si="12">AA59+1</f>
        <v>5</v>
      </c>
      <c r="AB60" s="18" t="str">
        <f>VLOOKUP($AA60,AB$2:$AH$52,8-AB$1/10,FALSE)</f>
        <v>Nashville</v>
      </c>
      <c r="AC60" s="18" t="str">
        <f>VLOOKUP($AA60,AC$2:$AH$52,8-AC$1/10,FALSE)</f>
        <v>Las Vegas</v>
      </c>
      <c r="AD60" s="18" t="str">
        <f>VLOOKUP($AA60,AD$2:$AH$52,8-AD$1/10,FALSE)</f>
        <v>Providence</v>
      </c>
      <c r="AE60" s="18" t="str">
        <f>VLOOKUP($AA60,AE$2:$AH$52,8-AE$1/10,FALSE)</f>
        <v>St. Louis</v>
      </c>
      <c r="AF60" s="18" t="str">
        <f>VLOOKUP($AA60,AF$2:$AH$52,8-AF$1/10,FALSE)</f>
        <v>Dallas-Fort Worth</v>
      </c>
      <c r="AG60" s="18" t="e">
        <f>VLOOKUP($AA60,AG$2:$AH$52,8-AG$1/10,FALSE)</f>
        <v>#N/A</v>
      </c>
      <c r="AH60" s="18" t="str">
        <f t="shared" si="11"/>
        <v>Minneapolis</v>
      </c>
    </row>
    <row r="61" spans="1:34">
      <c r="Z61" s="18" t="str">
        <f>VLOOKUP($AA61,Z$2:$AA$52,2,FALSE)</f>
        <v>Nashville</v>
      </c>
      <c r="AA61" s="18">
        <f t="shared" si="12"/>
        <v>6</v>
      </c>
      <c r="AB61" s="18" t="str">
        <f>VLOOKUP($AA61,AB$2:$AH$52,8-AB$1/10,FALSE)</f>
        <v>Jacksonville</v>
      </c>
      <c r="AC61" s="18" t="str">
        <f>VLOOKUP($AA61,AC$2:$AH$52,8-AC$1/10,FALSE)</f>
        <v>Oklahoma City</v>
      </c>
      <c r="AD61" s="18" t="str">
        <f>VLOOKUP($AA61,AD$2:$AH$52,8-AD$1/10,FALSE)</f>
        <v>Las Vegas</v>
      </c>
      <c r="AE61" s="18" t="str">
        <f>VLOOKUP($AA61,AE$2:$AH$52,8-AE$1/10,FALSE)</f>
        <v>Tampa Bay</v>
      </c>
      <c r="AF61" s="18" t="str">
        <f>VLOOKUP($AA61,AF$2:$AH$52,8-AF$1/10,FALSE)</f>
        <v>Houston</v>
      </c>
      <c r="AG61" s="18" t="e">
        <f>VLOOKUP($AA61,AG$2:$AH$52,8-AG$1/10,FALSE)</f>
        <v>#N/A</v>
      </c>
      <c r="AH61" s="18" t="str">
        <f t="shared" si="11"/>
        <v>Nashville</v>
      </c>
    </row>
    <row r="62" spans="1:34">
      <c r="M62"/>
      <c r="Z62" s="18" t="str">
        <f>VLOOKUP($AA62,Z$2:$AA$52,2,FALSE)</f>
        <v>Raleigh</v>
      </c>
      <c r="AA62" s="18">
        <f t="shared" si="12"/>
        <v>7</v>
      </c>
      <c r="AB62" s="18" t="str">
        <f>VLOOKUP($AA62,AB$2:$AH$52,8-AB$1/10,FALSE)</f>
        <v>Las Vegas</v>
      </c>
      <c r="AC62" s="18" t="str">
        <f>VLOOKUP($AA62,AC$2:$AH$52,8-AC$1/10,FALSE)</f>
        <v>Rochester</v>
      </c>
      <c r="AD62" s="18" t="str">
        <f>VLOOKUP($AA62,AD$2:$AH$52,8-AD$1/10,FALSE)</f>
        <v>Austin</v>
      </c>
      <c r="AE62" s="18" t="str">
        <f>VLOOKUP($AA62,AE$2:$AH$52,8-AE$1/10,FALSE)</f>
        <v>Pittsburgh</v>
      </c>
      <c r="AF62" s="18" t="str">
        <f>VLOOKUP($AA62,AF$2:$AH$52,8-AF$1/10,FALSE)</f>
        <v>Detroit</v>
      </c>
      <c r="AG62" s="18" t="e">
        <f>VLOOKUP($AA62,AG$2:$AH$52,8-AG$1/10,FALSE)</f>
        <v>#N/A</v>
      </c>
      <c r="AH62" s="18" t="str">
        <f t="shared" si="11"/>
        <v>Raleigh</v>
      </c>
    </row>
    <row r="63" spans="1:34">
      <c r="M63"/>
      <c r="Z63" s="18" t="str">
        <f>VLOOKUP($AA63,Z$2:$AA$52,2,FALSE)</f>
        <v>San Jose</v>
      </c>
      <c r="AA63" s="18">
        <f t="shared" si="12"/>
        <v>8</v>
      </c>
      <c r="AB63" s="18" t="str">
        <f>VLOOKUP($AA63,AB$2:$AH$52,8-AB$1/10,FALSE)</f>
        <v>Minneapolis</v>
      </c>
      <c r="AC63" s="18" t="str">
        <f>VLOOKUP($AA63,AC$2:$AH$52,8-AC$1/10,FALSE)</f>
        <v>San Jose</v>
      </c>
      <c r="AD63" s="18" t="str">
        <f>VLOOKUP($AA63,AD$2:$AH$52,8-AD$1/10,FALSE)</f>
        <v>Portland</v>
      </c>
      <c r="AE63" s="18" t="str">
        <f>VLOOKUP($AA63,AE$2:$AH$52,8-AE$1/10,FALSE)</f>
        <v>Minneapolis</v>
      </c>
      <c r="AF63" s="18" t="str">
        <f>VLOOKUP($AA63,AF$2:$AH$52,8-AF$1/10,FALSE)</f>
        <v>Chicago</v>
      </c>
      <c r="AG63" s="18" t="e">
        <f>VLOOKUP($AA63,AG$2:$AH$52,8-AG$1/10,FALSE)</f>
        <v>#N/A</v>
      </c>
      <c r="AH63" s="18" t="str">
        <f t="shared" si="11"/>
        <v>San Jose</v>
      </c>
    </row>
    <row r="64" spans="1:34">
      <c r="M64"/>
      <c r="Z64" s="18" t="str">
        <f>VLOOKUP($AA64,Z$2:$AA$52,2,FALSE)</f>
        <v>Oklahoma City</v>
      </c>
      <c r="AA64" s="18">
        <f t="shared" si="12"/>
        <v>9</v>
      </c>
      <c r="AB64" s="18" t="str">
        <f>VLOOKUP($AA64,AB$2:$AH$52,8-AB$1/10,FALSE)</f>
        <v>San Jose</v>
      </c>
      <c r="AC64" s="18" t="str">
        <f>VLOOKUP($AA64,AC$2:$AH$52,8-AC$1/10,FALSE)</f>
        <v>Nashville</v>
      </c>
      <c r="AD64" s="18" t="str">
        <f>VLOOKUP($AA64,AD$2:$AH$52,8-AD$1/10,FALSE)</f>
        <v>Memphis</v>
      </c>
      <c r="AE64" s="18" t="str">
        <f>VLOOKUP($AA64,AE$2:$AH$52,8-AE$1/10,FALSE)</f>
        <v>San Diego</v>
      </c>
      <c r="AF64" s="18" t="str">
        <f>VLOOKUP($AA64,AF$2:$AH$52,8-AF$1/10,FALSE)</f>
        <v>Tampa Bay</v>
      </c>
      <c r="AG64" s="18" t="e">
        <f>VLOOKUP($AA64,AG$2:$AH$52,8-AG$1/10,FALSE)</f>
        <v>#N/A</v>
      </c>
      <c r="AH64" s="18" t="str">
        <f t="shared" si="11"/>
        <v>Oklahoma City</v>
      </c>
    </row>
    <row r="65" spans="13:34">
      <c r="M65"/>
      <c r="Z65" s="18" t="str">
        <f>VLOOKUP($AA65,Z$2:$AA$52,2,FALSE)</f>
        <v>Dallas-Fort Worth</v>
      </c>
      <c r="AA65" s="18">
        <f t="shared" si="12"/>
        <v>10</v>
      </c>
      <c r="AB65" s="18" t="str">
        <f>VLOOKUP($AA65,AB$2:$AH$52,8-AB$1/10,FALSE)</f>
        <v>Dallas-Fort Worth</v>
      </c>
      <c r="AC65" s="18" t="str">
        <f>VLOOKUP($AA65,AC$2:$AH$52,8-AC$1/10,FALSE)</f>
        <v>Minneapolis</v>
      </c>
      <c r="AD65" s="18" t="str">
        <f>VLOOKUP($AA65,AD$2:$AH$52,8-AD$1/10,FALSE)</f>
        <v>Louisville</v>
      </c>
      <c r="AE65" s="18" t="str">
        <f>VLOOKUP($AA65,AE$2:$AH$52,8-AE$1/10,FALSE)</f>
        <v>Denver</v>
      </c>
      <c r="AF65" s="18" t="str">
        <f>VLOOKUP($AA65,AF$2:$AH$52,8-AF$1/10,FALSE)</f>
        <v>Los Angeles</v>
      </c>
      <c r="AG65" s="18" t="e">
        <f>VLOOKUP($AA65,AG$2:$AH$52,8-AG$1/10,FALSE)</f>
        <v>#N/A</v>
      </c>
      <c r="AH65" s="18" t="str">
        <f t="shared" si="11"/>
        <v>Dallas-Fort Worth</v>
      </c>
    </row>
    <row r="66" spans="13:34">
      <c r="M66"/>
      <c r="Z66" s="18" t="str">
        <f>VLOOKUP($AA66,Z$2:$AA$52,2,FALSE)</f>
        <v>Jacksonville</v>
      </c>
      <c r="AA66" s="18">
        <f t="shared" si="12"/>
        <v>11</v>
      </c>
      <c r="AB66" s="18" t="str">
        <f>VLOOKUP($AA66,AB$2:$AH$52,8-AB$1/10,FALSE)</f>
        <v>Los Angeles</v>
      </c>
      <c r="AC66" s="18" t="str">
        <f>VLOOKUP($AA66,AC$2:$AH$52,8-AC$1/10,FALSE)</f>
        <v>Jacksonville</v>
      </c>
      <c r="AD66" s="18" t="str">
        <f>VLOOKUP($AA66,AD$2:$AH$52,8-AD$1/10,FALSE)</f>
        <v>Denver</v>
      </c>
      <c r="AE66" s="18" t="str">
        <f>VLOOKUP($AA66,AE$2:$AH$52,8-AE$1/10,FALSE)</f>
        <v>Orlando</v>
      </c>
      <c r="AF66" s="18" t="str">
        <f>VLOOKUP($AA66,AF$2:$AH$52,8-AF$1/10,FALSE)</f>
        <v>Seattle</v>
      </c>
      <c r="AG66" s="18" t="e">
        <f>VLOOKUP($AA66,AG$2:$AH$52,8-AG$1/10,FALSE)</f>
        <v>#N/A</v>
      </c>
      <c r="AH66" s="18" t="str">
        <f t="shared" si="11"/>
        <v>Jacksonville</v>
      </c>
    </row>
    <row r="67" spans="13:34">
      <c r="M67"/>
      <c r="Z67" s="18" t="str">
        <f>VLOOKUP($AA67,Z$2:$AA$52,2,FALSE)</f>
        <v>New Orleans</v>
      </c>
      <c r="AA67" s="18">
        <f t="shared" si="12"/>
        <v>12</v>
      </c>
      <c r="AB67" s="18" t="str">
        <f>VLOOKUP($AA67,AB$2:$AH$52,8-AB$1/10,FALSE)</f>
        <v>Riverside</v>
      </c>
      <c r="AC67" s="18" t="str">
        <f>VLOOKUP($AA67,AC$2:$AH$52,8-AC$1/10,FALSE)</f>
        <v>Hartford</v>
      </c>
      <c r="AD67" s="18" t="str">
        <f>VLOOKUP($AA67,AD$2:$AH$52,8-AD$1/10,FALSE)</f>
        <v>Orlando</v>
      </c>
      <c r="AE67" s="18" t="str">
        <f>VLOOKUP($AA67,AE$2:$AH$52,8-AE$1/10,FALSE)</f>
        <v>Portland</v>
      </c>
      <c r="AF67" s="18" t="str">
        <f>VLOOKUP($AA67,AF$2:$AH$52,8-AF$1/10,FALSE)</f>
        <v>Austin</v>
      </c>
      <c r="AG67" s="18" t="e">
        <f>VLOOKUP($AA67,AG$2:$AH$52,8-AG$1/10,FALSE)</f>
        <v>#N/A</v>
      </c>
      <c r="AH67" s="18" t="str">
        <f t="shared" si="11"/>
        <v>New Orleans</v>
      </c>
    </row>
    <row r="68" spans="13:34">
      <c r="M68"/>
      <c r="Z68" s="18" t="str">
        <f>VLOOKUP($AA68,Z$2:$AA$52,2,FALSE)</f>
        <v>Austin</v>
      </c>
      <c r="AA68" s="18">
        <f t="shared" si="12"/>
        <v>13</v>
      </c>
      <c r="AB68" s="18" t="str">
        <f>VLOOKUP($AA68,AB$2:$AH$52,8-AB$1/10,FALSE)</f>
        <v>San Antonio</v>
      </c>
      <c r="AC68" s="18" t="str">
        <f>VLOOKUP($AA68,AC$2:$AH$52,8-AC$1/10,FALSE)</f>
        <v>Salt Lake City</v>
      </c>
      <c r="AD68" s="18" t="str">
        <f>VLOOKUP($AA68,AD$2:$AH$52,8-AD$1/10,FALSE)</f>
        <v>Miami</v>
      </c>
      <c r="AE68" s="18" t="str">
        <f>VLOOKUP($AA68,AE$2:$AH$52,8-AE$1/10,FALSE)</f>
        <v>Baltimore</v>
      </c>
      <c r="AF68" s="18" t="e">
        <f>VLOOKUP($AA68,AF$2:$AH$52,8-AF$1/10,FALSE)</f>
        <v>#N/A</v>
      </c>
      <c r="AG68" s="18" t="e">
        <f>VLOOKUP($AA68,AG$2:$AH$52,8-AG$1/10,FALSE)</f>
        <v>#N/A</v>
      </c>
      <c r="AH68" s="18" t="str">
        <f t="shared" si="11"/>
        <v>Austin</v>
      </c>
    </row>
    <row r="69" spans="13:34">
      <c r="M69"/>
      <c r="Z69" s="18" t="str">
        <f>VLOOKUP($AA69,Z$2:$AA$52,2,FALSE)</f>
        <v>Salt Lake City</v>
      </c>
      <c r="AA69" s="18">
        <f t="shared" si="12"/>
        <v>14</v>
      </c>
      <c r="AB69" s="18" t="str">
        <f>VLOOKUP($AA69,AB$2:$AH$52,8-AB$1/10,FALSE)</f>
        <v>Austin</v>
      </c>
      <c r="AC69" s="18" t="str">
        <f>VLOOKUP($AA69,AC$2:$AH$52,8-AC$1/10,FALSE)</f>
        <v>Los Angeles</v>
      </c>
      <c r="AD69" s="18" t="str">
        <f>VLOOKUP($AA69,AD$2:$AH$52,8-AD$1/10,FALSE)</f>
        <v>Columbus</v>
      </c>
      <c r="AE69" s="18" t="str">
        <f>VLOOKUP($AA69,AE$2:$AH$52,8-AE$1/10,FALSE)</f>
        <v>Dallas-Fort Worth</v>
      </c>
      <c r="AF69" s="18" t="e">
        <f>VLOOKUP($AA69,AF$2:$AH$52,8-AF$1/10,FALSE)</f>
        <v>#N/A</v>
      </c>
      <c r="AG69" s="18" t="e">
        <f>VLOOKUP($AA69,AG$2:$AH$52,8-AG$1/10,FALSE)</f>
        <v>#N/A</v>
      </c>
      <c r="AH69" s="18" t="str">
        <f t="shared" si="11"/>
        <v>Salt Lake City</v>
      </c>
    </row>
    <row r="70" spans="13:34">
      <c r="M70"/>
      <c r="Z70" s="18" t="str">
        <f>VLOOKUP($AA70,Z$2:$AA$52,2,FALSE)</f>
        <v>Riverside</v>
      </c>
      <c r="AA70" s="18">
        <f t="shared" si="12"/>
        <v>15</v>
      </c>
      <c r="AB70" s="18" t="str">
        <f>VLOOKUP($AA70,AB$2:$AH$52,8-AB$1/10,FALSE)</f>
        <v>Phoenix</v>
      </c>
      <c r="AC70" s="18" t="str">
        <f>VLOOKUP($AA70,AC$2:$AH$52,8-AC$1/10,FALSE)</f>
        <v>New Orleans</v>
      </c>
      <c r="AD70" s="18" t="str">
        <f>VLOOKUP($AA70,AD$2:$AH$52,8-AD$1/10,FALSE)</f>
        <v>Riverside</v>
      </c>
      <c r="AE70" s="18" t="str">
        <f>VLOOKUP($AA70,AE$2:$AH$52,8-AE$1/10,FALSE)</f>
        <v>Cincinnati</v>
      </c>
      <c r="AF70" s="18" t="e">
        <f>VLOOKUP($AA70,AF$2:$AH$52,8-AF$1/10,FALSE)</f>
        <v>#N/A</v>
      </c>
      <c r="AG70" s="18" t="e">
        <f>VLOOKUP($AA70,AG$2:$AH$52,8-AG$1/10,FALSE)</f>
        <v>#N/A</v>
      </c>
      <c r="AH70" s="18" t="str">
        <f t="shared" si="11"/>
        <v>Riverside</v>
      </c>
    </row>
    <row r="71" spans="13:34">
      <c r="M71"/>
      <c r="Z71" s="18" t="str">
        <f>VLOOKUP($AA71,Z$2:$AA$52,2,FALSE)</f>
        <v>Orlando</v>
      </c>
      <c r="AA71" s="18">
        <f t="shared" si="12"/>
        <v>16</v>
      </c>
      <c r="AB71" s="18" t="str">
        <f>VLOOKUP($AA71,AB$2:$AH$52,8-AB$1/10,FALSE)</f>
        <v>Grand Rapids</v>
      </c>
      <c r="AC71" s="18" t="str">
        <f>VLOOKUP($AA71,AC$2:$AH$52,8-AC$1/10,FALSE)</f>
        <v>Dallas-Fort Worth</v>
      </c>
      <c r="AD71" s="18" t="str">
        <f>VLOOKUP($AA71,AD$2:$AH$52,8-AD$1/10,FALSE)</f>
        <v>Salt Lake City</v>
      </c>
      <c r="AE71" s="18" t="str">
        <f>VLOOKUP($AA71,AE$2:$AH$52,8-AE$1/10,FALSE)</f>
        <v>Los Angeles</v>
      </c>
      <c r="AF71" s="18" t="e">
        <f>VLOOKUP($AA71,AF$2:$AH$52,8-AF$1/10,FALSE)</f>
        <v>#N/A</v>
      </c>
      <c r="AG71" s="18" t="e">
        <f>VLOOKUP($AA71,AG$2:$AH$52,8-AG$1/10,FALSE)</f>
        <v>#N/A</v>
      </c>
      <c r="AH71" s="18" t="str">
        <f t="shared" si="11"/>
        <v>Orlando</v>
      </c>
    </row>
    <row r="72" spans="13:34">
      <c r="M72"/>
      <c r="Z72" s="18" t="str">
        <f>VLOOKUP($AA72,Z$2:$AA$52,2,FALSE)</f>
        <v>Phoenix</v>
      </c>
      <c r="AA72" s="18">
        <f t="shared" si="12"/>
        <v>17</v>
      </c>
      <c r="AB72" s="18" t="str">
        <f>VLOOKUP($AA72,AB$2:$AH$52,8-AB$1/10,FALSE)</f>
        <v>Orlando</v>
      </c>
      <c r="AC72" s="18" t="str">
        <f>VLOOKUP($AA72,AC$2:$AH$52,8-AC$1/10,FALSE)</f>
        <v>Buffalo</v>
      </c>
      <c r="AD72" s="18" t="str">
        <f>VLOOKUP($AA72,AD$2:$AH$52,8-AD$1/10,FALSE)</f>
        <v>Cleveland</v>
      </c>
      <c r="AE72" s="18" t="str">
        <f>VLOOKUP($AA72,AE$2:$AH$52,8-AE$1/10,FALSE)</f>
        <v>Virginia Beach</v>
      </c>
      <c r="AF72" s="18" t="e">
        <f>VLOOKUP($AA72,AF$2:$AH$52,8-AF$1/10,FALSE)</f>
        <v>#N/A</v>
      </c>
      <c r="AG72" s="18" t="e">
        <f>VLOOKUP($AA72,AG$2:$AH$52,8-AG$1/10,FALSE)</f>
        <v>#N/A</v>
      </c>
      <c r="AH72" s="18" t="str">
        <f t="shared" si="11"/>
        <v>Phoenix</v>
      </c>
    </row>
    <row r="73" spans="13:34">
      <c r="Z73" s="18" t="str">
        <f>VLOOKUP($AA73,Z$2:$AA$52,2,FALSE)</f>
        <v>Los Angeles</v>
      </c>
      <c r="AA73" s="18">
        <f t="shared" si="12"/>
        <v>18</v>
      </c>
      <c r="AB73" s="18" t="str">
        <f>VLOOKUP($AA73,AB$2:$AH$52,8-AB$1/10,FALSE)</f>
        <v>Pittsburgh</v>
      </c>
      <c r="AC73" s="18" t="str">
        <f>VLOOKUP($AA73,AC$2:$AH$52,8-AC$1/10,FALSE)</f>
        <v>San Antonio</v>
      </c>
      <c r="AD73" s="18" t="str">
        <f>VLOOKUP($AA73,AD$2:$AH$52,8-AD$1/10,FALSE)</f>
        <v>Sacramento</v>
      </c>
      <c r="AE73" s="18" t="str">
        <f>VLOOKUP($AA73,AE$2:$AH$52,8-AE$1/10,FALSE)</f>
        <v>Indianapolis</v>
      </c>
      <c r="AF73" s="18" t="e">
        <f>VLOOKUP($AA73,AF$2:$AH$52,8-AF$1/10,FALSE)</f>
        <v>#N/A</v>
      </c>
      <c r="AG73" s="18" t="e">
        <f>VLOOKUP($AA73,AG$2:$AH$52,8-AG$1/10,FALSE)</f>
        <v>#N/A</v>
      </c>
      <c r="AH73" s="18" t="str">
        <f t="shared" si="11"/>
        <v>Los Angeles</v>
      </c>
    </row>
    <row r="74" spans="13:34">
      <c r="Z74" s="18" t="str">
        <f>VLOOKUP($AA74,Z$2:$AA$52,2,FALSE)</f>
        <v>San Antonio</v>
      </c>
      <c r="AA74" s="18">
        <f t="shared" si="12"/>
        <v>19</v>
      </c>
      <c r="AB74" s="18" t="str">
        <f>VLOOKUP($AA74,AB$2:$AH$52,8-AB$1/10,FALSE)</f>
        <v>Salt Lake City</v>
      </c>
      <c r="AC74" s="18" t="str">
        <f>VLOOKUP($AA74,AC$2:$AH$52,8-AC$1/10,FALSE)</f>
        <v>Austin</v>
      </c>
      <c r="AD74" s="18" t="str">
        <f>VLOOKUP($AA74,AD$2:$AH$52,8-AD$1/10,FALSE)</f>
        <v>Milwaukee</v>
      </c>
      <c r="AE74" s="18" t="str">
        <f>VLOOKUP($AA74,AE$2:$AH$52,8-AE$1/10,FALSE)</f>
        <v>Austin</v>
      </c>
      <c r="AF74" s="18" t="e">
        <f>VLOOKUP($AA74,AF$2:$AH$52,8-AF$1/10,FALSE)</f>
        <v>#N/A</v>
      </c>
      <c r="AG74" s="18" t="e">
        <f>VLOOKUP($AA74,AG$2:$AH$52,8-AG$1/10,FALSE)</f>
        <v>#N/A</v>
      </c>
      <c r="AH74" s="18" t="str">
        <f t="shared" si="11"/>
        <v>San Antonio</v>
      </c>
    </row>
    <row r="75" spans="13:34">
      <c r="Z75" s="18" t="str">
        <f>VLOOKUP($AA75,Z$2:$AA$52,2,FALSE)</f>
        <v>Columbus</v>
      </c>
      <c r="AA75" s="18">
        <f t="shared" si="12"/>
        <v>20</v>
      </c>
      <c r="AB75" s="18" t="str">
        <f>VLOOKUP($AA75,AB$2:$AH$52,8-AB$1/10,FALSE)</f>
        <v>Louisville</v>
      </c>
      <c r="AC75" s="18" t="str">
        <f>VLOOKUP($AA75,AC$2:$AH$52,8-AC$1/10,FALSE)</f>
        <v>Honolulu</v>
      </c>
      <c r="AD75" s="18" t="str">
        <f>VLOOKUP($AA75,AD$2:$AH$52,8-AD$1/10,FALSE)</f>
        <v>San Antonio</v>
      </c>
      <c r="AE75" s="18" t="e">
        <f>VLOOKUP($AA75,AE$2:$AH$52,8-AE$1/10,FALSE)</f>
        <v>#N/A</v>
      </c>
      <c r="AF75" s="18" t="e">
        <f>VLOOKUP($AA75,AF$2:$AH$52,8-AF$1/10,FALSE)</f>
        <v>#N/A</v>
      </c>
      <c r="AG75" s="18" t="e">
        <f>VLOOKUP($AA75,AG$2:$AH$52,8-AG$1/10,FALSE)</f>
        <v>#N/A</v>
      </c>
      <c r="AH75" s="18" t="str">
        <f t="shared" si="11"/>
        <v>Columbus</v>
      </c>
    </row>
    <row r="76" spans="13:34">
      <c r="Z76" s="18" t="str">
        <f>VLOOKUP($AA76,Z$2:$AA$52,2,FALSE)</f>
        <v>Memphis</v>
      </c>
      <c r="AA76" s="18">
        <f t="shared" si="12"/>
        <v>21</v>
      </c>
      <c r="AB76" s="18" t="str">
        <f>VLOOKUP($AA76,AB$2:$AH$52,8-AB$1/10,FALSE)</f>
        <v>Memphis</v>
      </c>
      <c r="AC76" s="18" t="str">
        <f>VLOOKUP($AA76,AC$2:$AH$52,8-AC$1/10,FALSE)</f>
        <v>Columbus</v>
      </c>
      <c r="AD76" s="18" t="str">
        <f>VLOOKUP($AA76,AD$2:$AH$52,8-AD$1/10,FALSE)</f>
        <v>Hartford</v>
      </c>
      <c r="AE76" s="18" t="e">
        <f>VLOOKUP($AA76,AE$2:$AH$52,8-AE$1/10,FALSE)</f>
        <v>#N/A</v>
      </c>
      <c r="AF76" s="18" t="e">
        <f>VLOOKUP($AA76,AF$2:$AH$52,8-AF$1/10,FALSE)</f>
        <v>#N/A</v>
      </c>
      <c r="AG76" s="18" t="e">
        <f>VLOOKUP($AA76,AG$2:$AH$52,8-AG$1/10,FALSE)</f>
        <v>#N/A</v>
      </c>
      <c r="AH76" s="18" t="str">
        <f t="shared" si="11"/>
        <v>Memphis</v>
      </c>
    </row>
    <row r="77" spans="13:34">
      <c r="Z77" s="18" t="str">
        <f>VLOOKUP($AA77,Z$2:$AA$52,2,FALSE)</f>
        <v>Indianapolis</v>
      </c>
      <c r="AA77" s="18">
        <f t="shared" si="12"/>
        <v>22</v>
      </c>
      <c r="AB77" s="18" t="str">
        <f>VLOOKUP($AA77,AB$2:$AH$52,8-AB$1/10,FALSE)</f>
        <v>Houston</v>
      </c>
      <c r="AC77" s="18" t="str">
        <f>VLOOKUP($AA77,AC$2:$AH$52,8-AC$1/10,FALSE)</f>
        <v>Phoenix</v>
      </c>
      <c r="AD77" s="18" t="str">
        <f>VLOOKUP($AA77,AD$2:$AH$52,8-AD$1/10,FALSE)</f>
        <v>Nashville</v>
      </c>
      <c r="AE77" s="18" t="e">
        <f>VLOOKUP($AA77,AE$2:$AH$52,8-AE$1/10,FALSE)</f>
        <v>#N/A</v>
      </c>
      <c r="AF77" s="18" t="e">
        <f>VLOOKUP($AA77,AF$2:$AH$52,8-AF$1/10,FALSE)</f>
        <v>#N/A</v>
      </c>
      <c r="AG77" s="18" t="e">
        <f>VLOOKUP($AA77,AG$2:$AH$52,8-AG$1/10,FALSE)</f>
        <v>#N/A</v>
      </c>
      <c r="AH77" s="18" t="str">
        <f t="shared" si="11"/>
        <v>Indianapolis</v>
      </c>
    </row>
    <row r="78" spans="13:34">
      <c r="Z78" s="18" t="str">
        <f>VLOOKUP($AA78,Z$2:$AA$52,2,FALSE)</f>
        <v>Louisville</v>
      </c>
      <c r="AA78" s="18">
        <f t="shared" si="12"/>
        <v>23</v>
      </c>
      <c r="AB78" s="18" t="str">
        <f>VLOOKUP($AA78,AB$2:$AH$52,8-AB$1/10,FALSE)</f>
        <v>Milwaukee</v>
      </c>
      <c r="AC78" s="18" t="str">
        <f>VLOOKUP($AA78,AC$2:$AH$52,8-AC$1/10,FALSE)</f>
        <v>Riverside</v>
      </c>
      <c r="AD78" s="18" t="str">
        <f>VLOOKUP($AA78,AD$2:$AH$52,8-AD$1/10,FALSE)</f>
        <v>Minneapolis</v>
      </c>
      <c r="AE78" s="18" t="e">
        <f>VLOOKUP($AA78,AE$2:$AH$52,8-AE$1/10,FALSE)</f>
        <v>#N/A</v>
      </c>
      <c r="AF78" s="18" t="e">
        <f>VLOOKUP($AA78,AF$2:$AH$52,8-AF$1/10,FALSE)</f>
        <v>#N/A</v>
      </c>
      <c r="AG78" s="18" t="e">
        <f>VLOOKUP($AA78,AG$2:$AH$52,8-AG$1/10,FALSE)</f>
        <v>#N/A</v>
      </c>
      <c r="AH78" s="18" t="str">
        <f t="shared" si="11"/>
        <v>Louisville</v>
      </c>
    </row>
    <row r="79" spans="13:34">
      <c r="Z79" s="18" t="str">
        <f>VLOOKUP($AA79,Z$2:$AA$52,2,FALSE)</f>
        <v>Milwaukee</v>
      </c>
      <c r="AA79" s="18">
        <f t="shared" si="12"/>
        <v>24</v>
      </c>
      <c r="AB79" s="18" t="str">
        <f>VLOOKUP($AA79,AB$2:$AH$52,8-AB$1/10,FALSE)</f>
        <v>Virginia Beach</v>
      </c>
      <c r="AC79" s="18" t="str">
        <f>VLOOKUP($AA79,AC$2:$AH$52,8-AC$1/10,FALSE)</f>
        <v>Orlando</v>
      </c>
      <c r="AD79" s="18" t="str">
        <f>VLOOKUP($AA79,AD$2:$AH$52,8-AD$1/10,FALSE)</f>
        <v>Buffalo</v>
      </c>
      <c r="AE79" s="18" t="e">
        <f>VLOOKUP($AA79,AE$2:$AH$52,8-AE$1/10,FALSE)</f>
        <v>#N/A</v>
      </c>
      <c r="AF79" s="18" t="e">
        <f>VLOOKUP($AA79,AF$2:$AH$52,8-AF$1/10,FALSE)</f>
        <v>#N/A</v>
      </c>
      <c r="AG79" s="18" t="e">
        <f>VLOOKUP($AA79,AG$2:$AH$52,8-AG$1/10,FALSE)</f>
        <v>#N/A</v>
      </c>
      <c r="AH79" s="18" t="str">
        <f t="shared" si="11"/>
        <v>Milwaukee</v>
      </c>
    </row>
    <row r="80" spans="13:34">
      <c r="Z80" s="18" t="str">
        <f>VLOOKUP($AA80,Z$2:$AA$52,2,FALSE)</f>
        <v>Pittsburgh</v>
      </c>
      <c r="AA80" s="18">
        <f t="shared" si="12"/>
        <v>25</v>
      </c>
      <c r="AB80" s="18" t="str">
        <f>VLOOKUP($AA80,AB$2:$AH$52,8-AB$1/10,FALSE)</f>
        <v>Seattle</v>
      </c>
      <c r="AC80" s="18" t="str">
        <f>VLOOKUP($AA80,AC$2:$AH$52,8-AC$1/10,FALSE)</f>
        <v>Charlotte</v>
      </c>
      <c r="AD80" s="18" t="str">
        <f>VLOOKUP($AA80,AD$2:$AH$52,8-AD$1/10,FALSE)</f>
        <v>San Jose</v>
      </c>
      <c r="AE80" s="18" t="e">
        <f>VLOOKUP($AA80,AE$2:$AH$52,8-AE$1/10,FALSE)</f>
        <v>#N/A</v>
      </c>
      <c r="AF80" s="18" t="e">
        <f>VLOOKUP($AA80,AF$2:$AH$52,8-AF$1/10,FALSE)</f>
        <v>#N/A</v>
      </c>
      <c r="AG80" s="18" t="e">
        <f>VLOOKUP($AA80,AG$2:$AH$52,8-AG$1/10,FALSE)</f>
        <v>#N/A</v>
      </c>
      <c r="AH80" s="18" t="str">
        <f t="shared" si="11"/>
        <v>Pittsburgh</v>
      </c>
    </row>
    <row r="81" spans="26:34">
      <c r="Z81" s="18" t="str">
        <f>VLOOKUP($AA81,Z$2:$AA$52,2,FALSE)</f>
        <v>Cincinnati</v>
      </c>
      <c r="AA81" s="18">
        <f t="shared" si="12"/>
        <v>26</v>
      </c>
      <c r="AB81" s="18" t="str">
        <f>VLOOKUP($AA81,AB$2:$AH$52,8-AB$1/10,FALSE)</f>
        <v>St. Louis</v>
      </c>
      <c r="AC81" s="18" t="str">
        <f>VLOOKUP($AA81,AC$2:$AH$52,8-AC$1/10,FALSE)</f>
        <v>Providence</v>
      </c>
      <c r="AD81" s="18" t="str">
        <f>VLOOKUP($AA81,AD$2:$AH$52,8-AD$1/10,FALSE)</f>
        <v>Raleigh</v>
      </c>
      <c r="AE81" s="18" t="e">
        <f>VLOOKUP($AA81,AE$2:$AH$52,8-AE$1/10,FALSE)</f>
        <v>#N/A</v>
      </c>
      <c r="AF81" s="18" t="e">
        <f>VLOOKUP($AA81,AF$2:$AH$52,8-AF$1/10,FALSE)</f>
        <v>#N/A</v>
      </c>
      <c r="AG81" s="18" t="e">
        <f>VLOOKUP($AA81,AG$2:$AH$52,8-AG$1/10,FALSE)</f>
        <v>#N/A</v>
      </c>
      <c r="AH81" s="18" t="str">
        <f t="shared" si="11"/>
        <v>Cincinnati</v>
      </c>
    </row>
    <row r="82" spans="26:34">
      <c r="Z82" s="18" t="str">
        <f>VLOOKUP($AA82,Z$2:$AA$52,2,FALSE)</f>
        <v>Portland</v>
      </c>
      <c r="AA82" s="18">
        <f t="shared" si="12"/>
        <v>27</v>
      </c>
      <c r="AB82" s="18" t="str">
        <f>VLOOKUP($AA82,AB$2:$AH$52,8-AB$1/10,FALSE)</f>
        <v>Tampa Bay</v>
      </c>
      <c r="AC82" s="18" t="str">
        <f>VLOOKUP($AA82,AC$2:$AH$52,8-AC$1/10,FALSE)</f>
        <v>Pittsburgh</v>
      </c>
      <c r="AD82" s="18" t="str">
        <f>VLOOKUP($AA82,AD$2:$AH$52,8-AD$1/10,FALSE)</f>
        <v>Los Angeles</v>
      </c>
      <c r="AE82" s="18" t="e">
        <f>VLOOKUP($AA82,AE$2:$AH$52,8-AE$1/10,FALSE)</f>
        <v>#N/A</v>
      </c>
      <c r="AF82" s="18" t="e">
        <f>VLOOKUP($AA82,AF$2:$AH$52,8-AF$1/10,FALSE)</f>
        <v>#N/A</v>
      </c>
      <c r="AG82" s="18" t="e">
        <f>VLOOKUP($AA82,AG$2:$AH$52,8-AG$1/10,FALSE)</f>
        <v>#N/A</v>
      </c>
      <c r="AH82" s="18" t="str">
        <f t="shared" si="11"/>
        <v>Portland</v>
      </c>
    </row>
    <row r="83" spans="26:34">
      <c r="Z83" s="18" t="str">
        <f>VLOOKUP($AA83,Z$2:$AA$52,2,FALSE)</f>
        <v>Charlotte</v>
      </c>
      <c r="AA83" s="18">
        <f t="shared" si="12"/>
        <v>28</v>
      </c>
      <c r="AB83" s="18" t="str">
        <f>VLOOKUP($AA83,AB$2:$AH$52,8-AB$1/10,FALSE)</f>
        <v>Atlanta</v>
      </c>
      <c r="AC83" s="18" t="str">
        <f>VLOOKUP($AA83,AC$2:$AH$52,8-AC$1/10,FALSE)</f>
        <v>Milwaukee</v>
      </c>
      <c r="AD83" s="18" t="str">
        <f>VLOOKUP($AA83,AD$2:$AH$52,8-AD$1/10,FALSE)</f>
        <v>Jacksonville</v>
      </c>
      <c r="AE83" s="18" t="e">
        <f>VLOOKUP($AA83,AE$2:$AH$52,8-AE$1/10,FALSE)</f>
        <v>#N/A</v>
      </c>
      <c r="AF83" s="18" t="e">
        <f>VLOOKUP($AA83,AF$2:$AH$52,8-AF$1/10,FALSE)</f>
        <v>#N/A</v>
      </c>
      <c r="AG83" s="18" t="e">
        <f>VLOOKUP($AA83,AG$2:$AH$52,8-AG$1/10,FALSE)</f>
        <v>#N/A</v>
      </c>
      <c r="AH83" s="18" t="str">
        <f t="shared" si="11"/>
        <v>Charlotte</v>
      </c>
    </row>
    <row r="84" spans="26:34">
      <c r="Z84" s="18" t="str">
        <f>VLOOKUP($AA84,Z$2:$AA$52,2,FALSE)</f>
        <v>Seattle</v>
      </c>
      <c r="AA84" s="18">
        <f t="shared" si="12"/>
        <v>29</v>
      </c>
      <c r="AB84" s="18" t="str">
        <f>VLOOKUP($AA84,AB$2:$AH$52,8-AB$1/10,FALSE)</f>
        <v>Indianapolis</v>
      </c>
      <c r="AC84" s="18" t="str">
        <f>VLOOKUP($AA84,AC$2:$AH$52,8-AC$1/10,FALSE)</f>
        <v>Memphis</v>
      </c>
      <c r="AD84" s="18" t="str">
        <f>VLOOKUP($AA84,AD$2:$AH$52,8-AD$1/10,FALSE)</f>
        <v>Grand Rapids</v>
      </c>
      <c r="AE84" s="18" t="e">
        <f>VLOOKUP($AA84,AE$2:$AH$52,8-AE$1/10,FALSE)</f>
        <v>#N/A</v>
      </c>
      <c r="AF84" s="18" t="e">
        <f>VLOOKUP($AA84,AF$2:$AH$52,8-AF$1/10,FALSE)</f>
        <v>#N/A</v>
      </c>
      <c r="AG84" s="18" t="e">
        <f>VLOOKUP($AA84,AG$2:$AH$52,8-AG$1/10,FALSE)</f>
        <v>#N/A</v>
      </c>
      <c r="AH84" s="18" t="str">
        <f t="shared" si="11"/>
        <v>Seattle</v>
      </c>
    </row>
    <row r="85" spans="26:34">
      <c r="Z85" s="18" t="str">
        <f>VLOOKUP($AA85,Z$2:$AA$52,2,FALSE)</f>
        <v>Providence</v>
      </c>
      <c r="AA85" s="18">
        <f t="shared" si="12"/>
        <v>30</v>
      </c>
      <c r="AB85" s="18" t="str">
        <f>VLOOKUP($AA85,AB$2:$AH$52,8-AB$1/10,FALSE)</f>
        <v>Columbus</v>
      </c>
      <c r="AC85" s="18" t="str">
        <f>VLOOKUP($AA85,AC$2:$AH$52,8-AC$1/10,FALSE)</f>
        <v>Seattle</v>
      </c>
      <c r="AD85" s="18" t="e">
        <f>VLOOKUP($AA85,AD$2:$AH$52,8-AD$1/10,FALSE)</f>
        <v>#N/A</v>
      </c>
      <c r="AE85" s="18" t="e">
        <f>VLOOKUP($AA85,AE$2:$AH$52,8-AE$1/10,FALSE)</f>
        <v>#N/A</v>
      </c>
      <c r="AF85" s="18" t="e">
        <f>VLOOKUP($AA85,AF$2:$AH$52,8-AF$1/10,FALSE)</f>
        <v>#N/A</v>
      </c>
      <c r="AG85" s="18" t="e">
        <f>VLOOKUP($AA85,AG$2:$AH$52,8-AG$1/10,FALSE)</f>
        <v>#N/A</v>
      </c>
      <c r="AH85" s="18" t="str">
        <f t="shared" si="11"/>
        <v>Providence</v>
      </c>
    </row>
    <row r="86" spans="26:34">
      <c r="Z86" s="18" t="str">
        <f>VLOOKUP($AA86,Z$2:$AA$52,2,FALSE)</f>
        <v>Rochester</v>
      </c>
      <c r="AA86" s="18">
        <f t="shared" si="12"/>
        <v>31</v>
      </c>
      <c r="AB86" s="18" t="str">
        <f>VLOOKUP($AA86,AB$2:$AH$52,8-AB$1/10,FALSE)</f>
        <v>Portland</v>
      </c>
      <c r="AC86" s="18" t="str">
        <f>VLOOKUP($AA86,AC$2:$AH$52,8-AC$1/10,FALSE)</f>
        <v>Virginia Beach</v>
      </c>
      <c r="AD86" s="18" t="e">
        <f>VLOOKUP($AA86,AD$2:$AH$52,8-AD$1/10,FALSE)</f>
        <v>#N/A</v>
      </c>
      <c r="AE86" s="18" t="e">
        <f>VLOOKUP($AA86,AE$2:$AH$52,8-AE$1/10,FALSE)</f>
        <v>#N/A</v>
      </c>
      <c r="AF86" s="18" t="e">
        <f>VLOOKUP($AA86,AF$2:$AH$52,8-AF$1/10,FALSE)</f>
        <v>#N/A</v>
      </c>
      <c r="AG86" s="18" t="e">
        <f>VLOOKUP($AA86,AG$2:$AH$52,8-AG$1/10,FALSE)</f>
        <v>#N/A</v>
      </c>
      <c r="AH86" s="18" t="str">
        <f t="shared" si="11"/>
        <v>Rochester</v>
      </c>
    </row>
    <row r="87" spans="26:34">
      <c r="Z87" s="18" t="str">
        <f>VLOOKUP($AA87,Z$2:$AA$52,2,FALSE)</f>
        <v>Virginia Beach</v>
      </c>
      <c r="AA87" s="18">
        <f t="shared" si="12"/>
        <v>32</v>
      </c>
      <c r="AB87" s="18" t="str">
        <f>VLOOKUP($AA87,AB$2:$AH$52,8-AB$1/10,FALSE)</f>
        <v>San Diego</v>
      </c>
      <c r="AC87" s="18" t="str">
        <f>VLOOKUP($AA87,AC$2:$AH$52,8-AC$1/10,FALSE)</f>
        <v>Louisville</v>
      </c>
      <c r="AD87" s="18" t="e">
        <f>VLOOKUP($AA87,AD$2:$AH$52,8-AD$1/10,FALSE)</f>
        <v>#N/A</v>
      </c>
      <c r="AE87" s="18" t="e">
        <f>VLOOKUP($AA87,AE$2:$AH$52,8-AE$1/10,FALSE)</f>
        <v>#N/A</v>
      </c>
      <c r="AF87" s="18" t="e">
        <f>VLOOKUP($AA87,AF$2:$AH$52,8-AF$1/10,FALSE)</f>
        <v>#N/A</v>
      </c>
      <c r="AG87" s="18" t="e">
        <f>VLOOKUP($AA87,AG$2:$AH$52,8-AG$1/10,FALSE)</f>
        <v>#N/A</v>
      </c>
      <c r="AH87" s="18" t="str">
        <f t="shared" si="11"/>
        <v>Virginia Beach</v>
      </c>
    </row>
    <row r="88" spans="26:34">
      <c r="Z88" s="18" t="str">
        <f>VLOOKUP($AA88,Z$2:$AA$52,2,FALSE)</f>
        <v>Tampa Bay</v>
      </c>
      <c r="AA88" s="18">
        <f t="shared" si="12"/>
        <v>33</v>
      </c>
      <c r="AB88" s="18" t="str">
        <f>VLOOKUP($AA88,AB$2:$AH$52,8-AB$1/10,FALSE)</f>
        <v>Baltimore</v>
      </c>
      <c r="AC88" s="18" t="str">
        <f>VLOOKUP($AA88,AC$2:$AH$52,8-AC$1/10,FALSE)</f>
        <v>Houston</v>
      </c>
      <c r="AD88" s="18" t="str">
        <f>VLOOKUP($AA88,AD$2:$AH$52,8-AD$1/10,FALSE)</f>
        <v>Dallas-Fort Worth</v>
      </c>
      <c r="AE88" s="18" t="e">
        <f>VLOOKUP($AA88,AE$2:$AH$52,8-AE$1/10,FALSE)</f>
        <v>#N/A</v>
      </c>
      <c r="AF88" s="18" t="e">
        <f>VLOOKUP($AA88,AF$2:$AH$52,8-AF$1/10,FALSE)</f>
        <v>#N/A</v>
      </c>
      <c r="AG88" s="18" t="e">
        <f>VLOOKUP($AA88,AG$2:$AH$52,8-AG$1/10,FALSE)</f>
        <v>#N/A</v>
      </c>
      <c r="AH88" s="18" t="str">
        <f t="shared" si="11"/>
        <v>Tampa Bay</v>
      </c>
    </row>
    <row r="89" spans="26:34">
      <c r="Z89" s="18" t="str">
        <f>VLOOKUP($AA89,Z$2:$AA$52,2,FALSE)</f>
        <v>Denver</v>
      </c>
      <c r="AA89" s="18">
        <f t="shared" si="12"/>
        <v>34</v>
      </c>
      <c r="AB89" s="18" t="str">
        <f>VLOOKUP($AA89,AB$2:$AH$52,8-AB$1/10,FALSE)</f>
        <v>Cincinnati</v>
      </c>
      <c r="AC89" s="18" t="str">
        <f>VLOOKUP($AA89,AC$2:$AH$52,8-AC$1/10,FALSE)</f>
        <v>Tampa Bay</v>
      </c>
      <c r="AD89" s="18" t="str">
        <f>VLOOKUP($AA89,AD$2:$AH$52,8-AD$1/10,FALSE)</f>
        <v>Kansas City</v>
      </c>
      <c r="AE89" s="18" t="e">
        <f>VLOOKUP($AA89,AE$2:$AH$52,8-AE$1/10,FALSE)</f>
        <v>#N/A</v>
      </c>
      <c r="AF89" s="18" t="e">
        <f>VLOOKUP($AA89,AF$2:$AH$52,8-AF$1/10,FALSE)</f>
        <v>#N/A</v>
      </c>
      <c r="AG89" s="18" t="e">
        <f>VLOOKUP($AA89,AG$2:$AH$52,8-AG$1/10,FALSE)</f>
        <v>#N/A</v>
      </c>
      <c r="AH89" s="18" t="str">
        <f t="shared" si="11"/>
        <v>Denver</v>
      </c>
    </row>
    <row r="90" spans="26:34">
      <c r="Z90" s="18" t="str">
        <f>VLOOKUP($AA90,Z$2:$AA$52,2,FALSE)</f>
        <v>Hartford</v>
      </c>
      <c r="AA90" s="18">
        <f t="shared" si="12"/>
        <v>35</v>
      </c>
      <c r="AB90" s="18" t="str">
        <f>VLOOKUP($AA90,AB$2:$AH$52,8-AB$1/10,FALSE)</f>
        <v>Washington</v>
      </c>
      <c r="AC90" s="18" t="str">
        <f>VLOOKUP($AA90,AC$2:$AH$52,8-AC$1/10,FALSE)</f>
        <v>St. Louis</v>
      </c>
      <c r="AD90" s="18" t="str">
        <f>VLOOKUP($AA90,AD$2:$AH$52,8-AD$1/10,FALSE)</f>
        <v>Baltimore</v>
      </c>
      <c r="AE90" s="18" t="e">
        <f>VLOOKUP($AA90,AE$2:$AH$52,8-AE$1/10,FALSE)</f>
        <v>#N/A</v>
      </c>
      <c r="AF90" s="18" t="e">
        <f>VLOOKUP($AA90,AF$2:$AH$52,8-AF$1/10,FALSE)</f>
        <v>#N/A</v>
      </c>
      <c r="AG90" s="18" t="e">
        <f>VLOOKUP($AA90,AG$2:$AH$52,8-AG$1/10,FALSE)</f>
        <v>#N/A</v>
      </c>
      <c r="AH90" s="18" t="str">
        <f t="shared" si="11"/>
        <v>Hartford</v>
      </c>
    </row>
    <row r="91" spans="26:34">
      <c r="Z91" s="18" t="str">
        <f>VLOOKUP($AA91,Z$2:$AA$52,2,FALSE)</f>
        <v>St. Louis</v>
      </c>
      <c r="AA91" s="18">
        <f t="shared" si="12"/>
        <v>36</v>
      </c>
      <c r="AB91" s="18" t="str">
        <f>VLOOKUP($AA91,AB$2:$AH$52,8-AB$1/10,FALSE)</f>
        <v>Boston</v>
      </c>
      <c r="AC91" s="18" t="str">
        <f>VLOOKUP($AA91,AC$2:$AH$52,8-AC$1/10,FALSE)</f>
        <v>Atlanta</v>
      </c>
      <c r="AD91" s="18" t="str">
        <f>VLOOKUP($AA91,AD$2:$AH$52,8-AD$1/10,FALSE)</f>
        <v>Virginia Beach</v>
      </c>
      <c r="AE91" s="18" t="e">
        <f>VLOOKUP($AA91,AE$2:$AH$52,8-AE$1/10,FALSE)</f>
        <v>#N/A</v>
      </c>
      <c r="AF91" s="18" t="e">
        <f>VLOOKUP($AA91,AF$2:$AH$52,8-AF$1/10,FALSE)</f>
        <v>#N/A</v>
      </c>
      <c r="AG91" s="18" t="e">
        <f>VLOOKUP($AA91,AG$2:$AH$52,8-AG$1/10,FALSE)</f>
        <v>#N/A</v>
      </c>
      <c r="AH91" s="18" t="str">
        <f t="shared" si="11"/>
        <v>St. Louis</v>
      </c>
    </row>
    <row r="92" spans="26:34">
      <c r="Z92" s="18" t="str">
        <f>VLOOKUP($AA92,Z$2:$AA$52,2,FALSE)</f>
        <v>Boston</v>
      </c>
      <c r="AA92" s="18">
        <f t="shared" si="12"/>
        <v>37</v>
      </c>
      <c r="AB92" s="18" t="str">
        <f>VLOOKUP($AA92,AB$2:$AH$52,8-AB$1/10,FALSE)</f>
        <v>Denver</v>
      </c>
      <c r="AC92" s="18" t="str">
        <f>VLOOKUP($AA92,AC$2:$AH$52,8-AC$1/10,FALSE)</f>
        <v>San Diego</v>
      </c>
      <c r="AD92" s="18" t="str">
        <f>VLOOKUP($AA92,AD$2:$AH$52,8-AD$1/10,FALSE)</f>
        <v>Phoenix</v>
      </c>
      <c r="AE92" s="18" t="e">
        <f>VLOOKUP($AA92,AE$2:$AH$52,8-AE$1/10,FALSE)</f>
        <v>#N/A</v>
      </c>
      <c r="AF92" s="18" t="e">
        <f>VLOOKUP($AA92,AF$2:$AH$52,8-AF$1/10,FALSE)</f>
        <v>#N/A</v>
      </c>
      <c r="AG92" s="18" t="e">
        <f>VLOOKUP($AA92,AG$2:$AH$52,8-AG$1/10,FALSE)</f>
        <v>#N/A</v>
      </c>
      <c r="AH92" s="18" t="str">
        <f t="shared" si="11"/>
        <v>Boston</v>
      </c>
    </row>
    <row r="93" spans="26:34">
      <c r="Z93" s="18" t="str">
        <f>VLOOKUP($AA93,Z$2:$AA$52,2,FALSE)</f>
        <v>Houston</v>
      </c>
      <c r="AA93" s="18">
        <f t="shared" si="12"/>
        <v>38</v>
      </c>
      <c r="AB93" s="18" t="str">
        <f>VLOOKUP($AA93,AB$2:$AH$52,8-AB$1/10,FALSE)</f>
        <v>Sacramento</v>
      </c>
      <c r="AC93" s="18" t="str">
        <f>VLOOKUP($AA93,AC$2:$AH$52,8-AC$1/10,FALSE)</f>
        <v>Indianapolis</v>
      </c>
      <c r="AD93" s="18" t="str">
        <f>VLOOKUP($AA93,AD$2:$AH$52,8-AD$1/10,FALSE)</f>
        <v>Oklahoma City</v>
      </c>
      <c r="AE93" s="18" t="e">
        <f>VLOOKUP($AA93,AE$2:$AH$52,8-AE$1/10,FALSE)</f>
        <v>#N/A</v>
      </c>
      <c r="AF93" s="18" t="e">
        <f>VLOOKUP($AA93,AF$2:$AH$52,8-AF$1/10,FALSE)</f>
        <v>#N/A</v>
      </c>
      <c r="AG93" s="18" t="e">
        <f>VLOOKUP($AA93,AG$2:$AH$52,8-AG$1/10,FALSE)</f>
        <v>#N/A</v>
      </c>
      <c r="AH93" s="18" t="str">
        <f t="shared" si="11"/>
        <v>Houston</v>
      </c>
    </row>
    <row r="94" spans="26:34">
      <c r="Z94" s="18" t="str">
        <f>VLOOKUP($AA94,Z$2:$AA$52,2,FALSE)</f>
        <v>Honolulu</v>
      </c>
      <c r="AA94" s="18">
        <f t="shared" si="12"/>
        <v>39</v>
      </c>
      <c r="AB94" s="18" t="str">
        <f>VLOOKUP($AA94,AB$2:$AH$52,8-AB$1/10,FALSE)</f>
        <v>Detroit</v>
      </c>
      <c r="AC94" s="18" t="str">
        <f>VLOOKUP($AA94,AC$2:$AH$52,8-AC$1/10,FALSE)</f>
        <v>Cincinnati</v>
      </c>
      <c r="AD94" s="18" t="str">
        <f>VLOOKUP($AA94,AD$2:$AH$52,8-AD$1/10,FALSE)</f>
        <v>Pittsburgh</v>
      </c>
      <c r="AE94" s="18" t="e">
        <f>VLOOKUP($AA94,AE$2:$AH$52,8-AE$1/10,FALSE)</f>
        <v>#N/A</v>
      </c>
      <c r="AF94" s="18" t="e">
        <f>VLOOKUP($AA94,AF$2:$AH$52,8-AF$1/10,FALSE)</f>
        <v>#N/A</v>
      </c>
      <c r="AG94" s="18" t="e">
        <f>VLOOKUP($AA94,AG$2:$AH$52,8-AG$1/10,FALSE)</f>
        <v>#N/A</v>
      </c>
      <c r="AH94" s="18" t="str">
        <f t="shared" si="11"/>
        <v>Honolulu</v>
      </c>
    </row>
    <row r="95" spans="26:34">
      <c r="Z95" s="18" t="str">
        <f>VLOOKUP($AA95,Z$2:$AA$52,2,FALSE)</f>
        <v>Baltimore</v>
      </c>
      <c r="AA95" s="18">
        <f t="shared" si="12"/>
        <v>40</v>
      </c>
      <c r="AB95" s="18" t="str">
        <f>VLOOKUP($AA95,AB$2:$AH$52,8-AB$1/10,FALSE)</f>
        <v>Cleveland</v>
      </c>
      <c r="AC95" s="18" t="str">
        <f>VLOOKUP($AA95,AC$2:$AH$52,8-AC$1/10,FALSE)</f>
        <v>Baltimore</v>
      </c>
      <c r="AD95" s="18" t="str">
        <f>VLOOKUP($AA95,AD$2:$AH$52,8-AD$1/10,FALSE)</f>
        <v>Houston</v>
      </c>
      <c r="AE95" s="18" t="e">
        <f>VLOOKUP($AA95,AE$2:$AH$52,8-AE$1/10,FALSE)</f>
        <v>#N/A</v>
      </c>
      <c r="AF95" s="18" t="e">
        <f>VLOOKUP($AA95,AF$2:$AH$52,8-AF$1/10,FALSE)</f>
        <v>#N/A</v>
      </c>
      <c r="AG95" s="18" t="e">
        <f>VLOOKUP($AA95,AG$2:$AH$52,8-AG$1/10,FALSE)</f>
        <v>#N/A</v>
      </c>
      <c r="AH95" s="18" t="str">
        <f t="shared" si="11"/>
        <v>Baltimore</v>
      </c>
    </row>
    <row r="96" spans="26:34">
      <c r="Z96" s="18" t="str">
        <f>VLOOKUP($AA96,Z$2:$AA$52,2,FALSE)</f>
        <v>Sacramento</v>
      </c>
      <c r="AA96" s="18">
        <f t="shared" si="12"/>
        <v>41</v>
      </c>
      <c r="AB96" s="18" t="str">
        <f>VLOOKUP($AA96,AB$2:$AH$52,8-AB$1/10,FALSE)</f>
        <v>Raleigh</v>
      </c>
      <c r="AC96" s="18" t="str">
        <f>VLOOKUP($AA96,AC$2:$AH$52,8-AC$1/10,FALSE)</f>
        <v>Washington</v>
      </c>
      <c r="AD96" s="18" t="str">
        <f>VLOOKUP($AA96,AD$2:$AH$52,8-AD$1/10,FALSE)</f>
        <v>Seattle</v>
      </c>
      <c r="AE96" s="18" t="e">
        <f>VLOOKUP($AA96,AE$2:$AH$52,8-AE$1/10,FALSE)</f>
        <v>#N/A</v>
      </c>
      <c r="AF96" s="18" t="e">
        <f>VLOOKUP($AA96,AF$2:$AH$52,8-AF$1/10,FALSE)</f>
        <v>#N/A</v>
      </c>
      <c r="AG96" s="18" t="e">
        <f>VLOOKUP($AA96,AG$2:$AH$52,8-AG$1/10,FALSE)</f>
        <v>#N/A</v>
      </c>
      <c r="AH96" s="18" t="str">
        <f t="shared" si="11"/>
        <v>Sacramento</v>
      </c>
    </row>
    <row r="97" spans="26:34">
      <c r="Z97" s="18" t="str">
        <f>VLOOKUP($AA97,Z$2:$AA$52,2,FALSE)</f>
        <v>Atlanta</v>
      </c>
      <c r="AA97" s="18">
        <f t="shared" si="12"/>
        <v>42</v>
      </c>
      <c r="AB97" s="18" t="str">
        <f>VLOOKUP($AA97,AB$2:$AH$52,8-AB$1/10,FALSE)</f>
        <v>New York</v>
      </c>
      <c r="AC97" s="18" t="str">
        <f>VLOOKUP($AA97,AC$2:$AH$52,8-AC$1/10,FALSE)</f>
        <v>Portland</v>
      </c>
      <c r="AD97" s="18" t="str">
        <f>VLOOKUP($AA97,AD$2:$AH$52,8-AD$1/10,FALSE)</f>
        <v>Tampa Bay</v>
      </c>
      <c r="AE97" s="18" t="e">
        <f>VLOOKUP($AA97,AE$2:$AH$52,8-AE$1/10,FALSE)</f>
        <v>#N/A</v>
      </c>
      <c r="AF97" s="18" t="e">
        <f>VLOOKUP($AA97,AF$2:$AH$52,8-AF$1/10,FALSE)</f>
        <v>#N/A</v>
      </c>
      <c r="AG97" s="18" t="e">
        <f>VLOOKUP($AA97,AG$2:$AH$52,8-AG$1/10,FALSE)</f>
        <v>#N/A</v>
      </c>
      <c r="AH97" s="18" t="str">
        <f t="shared" si="11"/>
        <v>Atlanta</v>
      </c>
    </row>
    <row r="98" spans="26:34">
      <c r="Z98" s="18" t="str">
        <f>VLOOKUP($AA98,Z$2:$AA$52,2,FALSE)</f>
        <v>Buffalo</v>
      </c>
      <c r="AA98" s="18">
        <f t="shared" si="12"/>
        <v>43</v>
      </c>
      <c r="AB98" s="18" t="str">
        <f>VLOOKUP($AA98,AB$2:$AH$52,8-AB$1/10,FALSE)</f>
        <v>Providence</v>
      </c>
      <c r="AC98" s="18" t="str">
        <f>VLOOKUP($AA98,AC$2:$AH$52,8-AC$1/10,FALSE)</f>
        <v>Sacramento</v>
      </c>
      <c r="AD98" s="18" t="str">
        <f>VLOOKUP($AA98,AD$2:$AH$52,8-AD$1/10,FALSE)</f>
        <v>San Diego</v>
      </c>
      <c r="AE98" s="18" t="str">
        <f>VLOOKUP($AA98,AE$2:$AH$52,8-AE$1/10,FALSE)</f>
        <v>Kansas City</v>
      </c>
      <c r="AF98" s="18" t="e">
        <f>VLOOKUP($AA98,AF$2:$AH$52,8-AF$1/10,FALSE)</f>
        <v>#N/A</v>
      </c>
      <c r="AG98" s="18" t="e">
        <f>VLOOKUP($AA98,AG$2:$AH$52,8-AG$1/10,FALSE)</f>
        <v>#N/A</v>
      </c>
      <c r="AH98" s="18" t="str">
        <f t="shared" si="11"/>
        <v>Buffalo</v>
      </c>
    </row>
    <row r="99" spans="26:34">
      <c r="Z99" s="18" t="str">
        <f>VLOOKUP($AA99,Z$2:$AA$52,2,FALSE)</f>
        <v>San Diego</v>
      </c>
      <c r="AA99" s="18">
        <f t="shared" si="12"/>
        <v>44</v>
      </c>
      <c r="AB99" s="18" t="str">
        <f>VLOOKUP($AA99,AB$2:$AH$52,8-AB$1/10,FALSE)</f>
        <v>Chicago</v>
      </c>
      <c r="AC99" s="18" t="str">
        <f>VLOOKUP($AA99,AC$2:$AH$52,8-AC$1/10,FALSE)</f>
        <v>Denver</v>
      </c>
      <c r="AD99" s="18" t="str">
        <f>VLOOKUP($AA99,AD$2:$AH$52,8-AD$1/10,FALSE)</f>
        <v>St. Louis</v>
      </c>
      <c r="AE99" s="18" t="str">
        <f>VLOOKUP($AA99,AE$2:$AH$52,8-AE$1/10,FALSE)</f>
        <v>Detroit</v>
      </c>
      <c r="AF99" s="18" t="e">
        <f>VLOOKUP($AA99,AF$2:$AH$52,8-AF$1/10,FALSE)</f>
        <v>#N/A</v>
      </c>
      <c r="AG99" s="18" t="e">
        <f>VLOOKUP($AA99,AG$2:$AH$52,8-AG$1/10,FALSE)</f>
        <v>#N/A</v>
      </c>
      <c r="AH99" s="18" t="str">
        <f t="shared" si="11"/>
        <v>San Diego</v>
      </c>
    </row>
    <row r="100" spans="26:34">
      <c r="Z100" s="18" t="str">
        <f>VLOOKUP($AA100,Z$2:$AA$52,2,FALSE)</f>
        <v>Cleveland</v>
      </c>
      <c r="AA100" s="18">
        <f t="shared" si="12"/>
        <v>45</v>
      </c>
      <c r="AB100" s="18" t="str">
        <f>VLOOKUP($AA100,AB$2:$AH$52,8-AB$1/10,FALSE)</f>
        <v>Honolulu</v>
      </c>
      <c r="AC100" s="18" t="str">
        <f>VLOOKUP($AA100,AC$2:$AH$52,8-AC$1/10,FALSE)</f>
        <v>Boston</v>
      </c>
      <c r="AD100" s="18" t="str">
        <f>VLOOKUP($AA100,AD$2:$AH$52,8-AD$1/10,FALSE)</f>
        <v>Atlanta</v>
      </c>
      <c r="AE100" s="18" t="str">
        <f>VLOOKUP($AA100,AE$2:$AH$52,8-AE$1/10,FALSE)</f>
        <v>Atlanta</v>
      </c>
      <c r="AF100" s="18" t="e">
        <f>VLOOKUP($AA100,AF$2:$AH$52,8-AF$1/10,FALSE)</f>
        <v>#N/A</v>
      </c>
      <c r="AG100" s="18" t="e">
        <f>VLOOKUP($AA100,AG$2:$AH$52,8-AG$1/10,FALSE)</f>
        <v>#N/A</v>
      </c>
      <c r="AH100" s="18" t="str">
        <f t="shared" si="11"/>
        <v>Cleveland</v>
      </c>
    </row>
    <row r="101" spans="26:34">
      <c r="Z101" s="18" t="str">
        <f>VLOOKUP($AA101,Z$2:$AA$52,2,FALSE)</f>
        <v>Washington</v>
      </c>
      <c r="AA101" s="18">
        <f t="shared" si="12"/>
        <v>46</v>
      </c>
      <c r="AB101" s="18" t="str">
        <f>VLOOKUP($AA101,AB$2:$AH$52,8-AB$1/10,FALSE)</f>
        <v>Rochester</v>
      </c>
      <c r="AC101" s="18" t="str">
        <f>VLOOKUP($AA101,AC$2:$AH$52,8-AC$1/10,FALSE)</f>
        <v>Detroit</v>
      </c>
      <c r="AD101" s="18" t="str">
        <f>VLOOKUP($AA101,AD$2:$AH$52,8-AD$1/10,FALSE)</f>
        <v>Washington</v>
      </c>
      <c r="AE101" s="18" t="str">
        <f>VLOOKUP($AA101,AE$2:$AH$52,8-AE$1/10,FALSE)</f>
        <v>Philadelphia</v>
      </c>
      <c r="AF101" s="18" t="e">
        <f>VLOOKUP($AA101,AF$2:$AH$52,8-AF$1/10,FALSE)</f>
        <v>#N/A</v>
      </c>
      <c r="AG101" s="18" t="e">
        <f>VLOOKUP($AA101,AG$2:$AH$52,8-AG$1/10,FALSE)</f>
        <v>#N/A</v>
      </c>
      <c r="AH101" s="18" t="str">
        <f t="shared" si="11"/>
        <v>Washington</v>
      </c>
    </row>
    <row r="102" spans="26:34">
      <c r="Z102" s="18" t="str">
        <f>VLOOKUP($AA102,Z$2:$AA$52,2,FALSE)</f>
        <v>Detroit</v>
      </c>
      <c r="AA102" s="18">
        <f t="shared" si="12"/>
        <v>47</v>
      </c>
      <c r="AB102" s="18" t="str">
        <f>VLOOKUP($AA102,AB$2:$AH$52,8-AB$1/10,FALSE)</f>
        <v>Charlotte</v>
      </c>
      <c r="AC102" s="18" t="str">
        <f>VLOOKUP($AA102,AC$2:$AH$52,8-AC$1/10,FALSE)</f>
        <v>Cleveland</v>
      </c>
      <c r="AD102" s="18" t="str">
        <f>VLOOKUP($AA102,AD$2:$AH$52,8-AD$1/10,FALSE)</f>
        <v>Boston</v>
      </c>
      <c r="AE102" s="18" t="str">
        <f>VLOOKUP($AA102,AE$2:$AH$52,8-AE$1/10,FALSE)</f>
        <v>Houston</v>
      </c>
      <c r="AF102" s="18" t="e">
        <f>VLOOKUP($AA102,AF$2:$AH$52,8-AF$1/10,FALSE)</f>
        <v>#N/A</v>
      </c>
      <c r="AG102" s="18" t="e">
        <f>VLOOKUP($AA102,AG$2:$AH$52,8-AG$1/10,FALSE)</f>
        <v>#N/A</v>
      </c>
      <c r="AH102" s="18" t="str">
        <f t="shared" si="11"/>
        <v>Detroit</v>
      </c>
    </row>
    <row r="103" spans="26:34">
      <c r="Z103" s="18" t="str">
        <f>VLOOKUP($AA103,Z$2:$AA$52,2,FALSE)</f>
        <v>Chicago</v>
      </c>
      <c r="AA103" s="18">
        <f t="shared" si="12"/>
        <v>48</v>
      </c>
      <c r="AB103" s="18" t="str">
        <f>VLOOKUP($AA103,AB$2:$AH$52,8-AB$1/10,FALSE)</f>
        <v>Philadelphia</v>
      </c>
      <c r="AC103" s="18" t="str">
        <f>VLOOKUP($AA103,AC$2:$AH$52,8-AC$1/10,FALSE)</f>
        <v>New York</v>
      </c>
      <c r="AD103" s="18" t="str">
        <f>VLOOKUP($AA103,AD$2:$AH$52,8-AD$1/10,FALSE)</f>
        <v>Detroit</v>
      </c>
      <c r="AE103" s="18" t="str">
        <f>VLOOKUP($AA103,AE$2:$AH$52,8-AE$1/10,FALSE)</f>
        <v>Washington</v>
      </c>
      <c r="AF103" s="18" t="e">
        <f>VLOOKUP($AA103,AF$2:$AH$52,8-AF$1/10,FALSE)</f>
        <v>#N/A</v>
      </c>
      <c r="AG103" s="18" t="e">
        <f>VLOOKUP($AA103,AG$2:$AH$52,8-AG$1/10,FALSE)</f>
        <v>#N/A</v>
      </c>
      <c r="AH103" s="18" t="str">
        <f t="shared" si="11"/>
        <v>Chicago</v>
      </c>
    </row>
    <row r="104" spans="26:34">
      <c r="Z104" s="18" t="str">
        <f>VLOOKUP($AA104,Z$2:$AA$52,2,FALSE)</f>
        <v>Miami</v>
      </c>
      <c r="AA104" s="18">
        <f t="shared" si="12"/>
        <v>49</v>
      </c>
      <c r="AB104" s="18" t="str">
        <f>VLOOKUP($AA104,AB$2:$AH$52,8-AB$1/10,FALSE)</f>
        <v>Buffalo</v>
      </c>
      <c r="AC104" s="18" t="str">
        <f>VLOOKUP($AA104,AC$2:$AH$52,8-AC$1/10,FALSE)</f>
        <v>Chicago</v>
      </c>
      <c r="AD104" s="18" t="str">
        <f>VLOOKUP($AA104,AD$2:$AH$52,8-AD$1/10,FALSE)</f>
        <v>New York</v>
      </c>
      <c r="AE104" s="18" t="str">
        <f>VLOOKUP($AA104,AE$2:$AH$52,8-AE$1/10,FALSE)</f>
        <v>New York</v>
      </c>
      <c r="AF104" s="18" t="e">
        <f>VLOOKUP($AA104,AF$2:$AH$52,8-AF$1/10,FALSE)</f>
        <v>#N/A</v>
      </c>
      <c r="AG104" s="18" t="e">
        <f>VLOOKUP($AA104,AG$2:$AH$52,8-AG$1/10,FALSE)</f>
        <v>#N/A</v>
      </c>
      <c r="AH104" s="18" t="str">
        <f t="shared" si="11"/>
        <v>Miami</v>
      </c>
    </row>
    <row r="105" spans="26:34">
      <c r="Z105" s="18" t="str">
        <f>VLOOKUP($AA105,Z$2:$AA$52,2,FALSE)</f>
        <v>New York</v>
      </c>
      <c r="AA105" s="18">
        <f t="shared" si="12"/>
        <v>50</v>
      </c>
      <c r="AB105" s="18" t="str">
        <f>VLOOKUP($AA105,AB$2:$AH$52,8-AB$1/10,FALSE)</f>
        <v>Hartford</v>
      </c>
      <c r="AC105" s="18" t="str">
        <f>VLOOKUP($AA105,AC$2:$AH$52,8-AC$1/10,FALSE)</f>
        <v>Philadelphia</v>
      </c>
      <c r="AD105" s="18" t="str">
        <f>VLOOKUP($AA105,AD$2:$AH$52,8-AD$1/10,FALSE)</f>
        <v>Chicago</v>
      </c>
      <c r="AE105" s="18" t="str">
        <f>VLOOKUP($AA105,AE$2:$AH$52,8-AE$1/10,FALSE)</f>
        <v>Chicago</v>
      </c>
      <c r="AF105" s="18" t="str">
        <f>VLOOKUP($AA105,AF$2:$AH$52,8-AF$1/10,FALSE)</f>
        <v>San Francisco</v>
      </c>
      <c r="AG105" s="18" t="str">
        <f>VLOOKUP($AA105,AG$2:$AH$52,8-AG$1/10,FALSE)</f>
        <v>Los Angeles</v>
      </c>
      <c r="AH105" s="18" t="str">
        <f t="shared" si="11"/>
        <v>New York</v>
      </c>
    </row>
    <row r="106" spans="26:34">
      <c r="Z106" s="18" t="str">
        <f>VLOOKUP($AA106,Z$2:$AA$52,2,FALSE)</f>
        <v>Philadelphia</v>
      </c>
      <c r="AA106" s="18">
        <f t="shared" si="12"/>
        <v>51</v>
      </c>
      <c r="AB106" s="18" t="str">
        <f>VLOOKUP($AA106,AB$2:$AH$52,8-AB$1/10,FALSE)</f>
        <v>Miami</v>
      </c>
      <c r="AC106" s="18" t="str">
        <f>VLOOKUP($AA106,AC$2:$AH$52,8-AC$1/10,FALSE)</f>
        <v>Miami</v>
      </c>
      <c r="AD106" s="18" t="str">
        <f>VLOOKUP($AA106,AD$2:$AH$52,8-AD$1/10,FALSE)</f>
        <v>Philadelphia</v>
      </c>
      <c r="AE106" s="18" t="str">
        <f>VLOOKUP($AA106,AE$2:$AH$52,8-AE$1/10,FALSE)</f>
        <v>San Francisco</v>
      </c>
      <c r="AF106" s="18" t="str">
        <f>VLOOKUP($AA106,AF$2:$AH$52,8-AF$1/10,FALSE)</f>
        <v>New York</v>
      </c>
      <c r="AG106" s="18" t="str">
        <f>VLOOKUP($AA106,AG$2:$AH$52,8-AG$1/10,FALSE)</f>
        <v>New York</v>
      </c>
      <c r="AH106" s="18" t="str">
        <f t="shared" ref="AH106" si="13">Z106</f>
        <v>Philadelphia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4"/>
  <sheetViews>
    <sheetView workbookViewId="0">
      <selection activeCell="A3" sqref="A3"/>
    </sheetView>
  </sheetViews>
  <sheetFormatPr baseColWidth="10" defaultRowHeight="14" x14ac:dyDescent="0"/>
  <sheetData>
    <row r="1" spans="1:31" s="18" customFormat="1">
      <c r="B1" s="18" t="s">
        <v>400</v>
      </c>
      <c r="J1" s="18" t="s">
        <v>401</v>
      </c>
      <c r="R1" s="18" t="s">
        <v>402</v>
      </c>
      <c r="Z1" s="29" t="s">
        <v>403</v>
      </c>
      <c r="AA1" s="29"/>
      <c r="AB1" s="29"/>
      <c r="AC1" s="29"/>
      <c r="AD1" s="29"/>
      <c r="AE1" s="29"/>
    </row>
    <row r="2" spans="1:31">
      <c r="A2" t="str">
        <f>'Trends2000-1990'!AA1</f>
        <v>Area</v>
      </c>
      <c r="B2">
        <f>'Summary-2010'!AB1</f>
        <v>10</v>
      </c>
      <c r="C2" s="18">
        <f>'Summary-2010'!AC1</f>
        <v>20</v>
      </c>
      <c r="D2" s="18">
        <f>'Summary-2010'!AD1</f>
        <v>30</v>
      </c>
      <c r="E2" s="18">
        <f>'Summary-2010'!AE1</f>
        <v>40</v>
      </c>
      <c r="F2" s="18">
        <f>'Summary-2010'!AF1</f>
        <v>50</v>
      </c>
      <c r="G2" s="18">
        <f>'Summary-2010'!AG1</f>
        <v>60</v>
      </c>
      <c r="J2" s="18">
        <f>'Summary-1990'!AB1</f>
        <v>10</v>
      </c>
      <c r="K2" s="18">
        <f>'Summary-1990'!AC1</f>
        <v>20</v>
      </c>
      <c r="L2" s="18">
        <f>'Summary-1990'!AD1</f>
        <v>30</v>
      </c>
      <c r="M2" s="18">
        <f>'Summary-1990'!AE1</f>
        <v>40</v>
      </c>
      <c r="N2" s="18">
        <f>'Summary-1990'!AF1</f>
        <v>50</v>
      </c>
      <c r="O2" s="18">
        <f>'Summary-1990'!AG1</f>
        <v>60</v>
      </c>
      <c r="R2" s="18">
        <f>B2</f>
        <v>10</v>
      </c>
      <c r="S2" s="18">
        <f t="shared" ref="S2:W2" si="0">C2</f>
        <v>20</v>
      </c>
      <c r="T2" s="18">
        <f t="shared" si="0"/>
        <v>30</v>
      </c>
      <c r="U2" s="18">
        <f t="shared" si="0"/>
        <v>40</v>
      </c>
      <c r="V2" s="18">
        <f t="shared" si="0"/>
        <v>50</v>
      </c>
      <c r="W2" s="18">
        <f t="shared" si="0"/>
        <v>60</v>
      </c>
      <c r="Z2" s="29">
        <f>B2</f>
        <v>10</v>
      </c>
      <c r="AA2" s="29">
        <f t="shared" ref="AA2:AE2" si="1">C2</f>
        <v>20</v>
      </c>
      <c r="AB2" s="29">
        <f t="shared" si="1"/>
        <v>30</v>
      </c>
      <c r="AC2" s="29">
        <f t="shared" si="1"/>
        <v>40</v>
      </c>
      <c r="AD2" s="29">
        <f t="shared" si="1"/>
        <v>50</v>
      </c>
      <c r="AE2" s="29">
        <f t="shared" si="1"/>
        <v>60</v>
      </c>
    </row>
    <row r="3" spans="1:31">
      <c r="A3" s="18" t="str">
        <f>'Trends2000-1990'!AA2</f>
        <v>Atlanta</v>
      </c>
      <c r="B3" s="18">
        <f>'Summary-2010'!AB2</f>
        <v>51</v>
      </c>
      <c r="C3" s="18">
        <f>'Summary-2010'!AC2</f>
        <v>51</v>
      </c>
      <c r="D3" s="18">
        <f>'Summary-2010'!AD2</f>
        <v>37</v>
      </c>
      <c r="E3" s="18">
        <f>'Summary-2010'!AE2</f>
        <v>15</v>
      </c>
      <c r="F3" s="18">
        <f>'Summary-2010'!AF2</f>
        <v>9</v>
      </c>
      <c r="G3" s="18">
        <f>'Summary-2010'!AG2</f>
        <v>9</v>
      </c>
      <c r="I3" t="str">
        <f>A3</f>
        <v>Atlanta</v>
      </c>
      <c r="J3" s="18">
        <f>'Summary-1990'!AB2</f>
        <v>44</v>
      </c>
      <c r="K3" s="18">
        <f>'Summary-1990'!AC2</f>
        <v>42</v>
      </c>
      <c r="L3" s="18">
        <f>'Summary-1990'!AD2</f>
        <v>22</v>
      </c>
      <c r="M3" s="18">
        <f>'Summary-1990'!AE2</f>
        <v>11</v>
      </c>
      <c r="N3" s="18">
        <f>'Summary-1990'!AF2</f>
        <v>11</v>
      </c>
      <c r="O3" s="18">
        <f>'Summary-1990'!AG2</f>
        <v>11</v>
      </c>
      <c r="Q3" s="18" t="str">
        <f>A3</f>
        <v>Atlanta</v>
      </c>
      <c r="R3">
        <f>B3-J3</f>
        <v>7</v>
      </c>
      <c r="S3" s="18">
        <f t="shared" ref="S3:S53" si="2">C3-K3</f>
        <v>9</v>
      </c>
      <c r="T3" s="18">
        <f t="shared" ref="T3:T53" si="3">D3-L3</f>
        <v>15</v>
      </c>
      <c r="U3" s="18">
        <f t="shared" ref="U3:U53" si="4">E3-M3</f>
        <v>4</v>
      </c>
      <c r="V3" s="18">
        <f t="shared" ref="V3:V53" si="5">F3-N3</f>
        <v>-2</v>
      </c>
      <c r="W3" s="18">
        <f t="shared" ref="W3:W53" si="6">G3-O3</f>
        <v>-2</v>
      </c>
      <c r="Y3" s="29" t="str">
        <f>A3</f>
        <v>Atlanta</v>
      </c>
      <c r="Z3">
        <f>RANK(R3,R$3:R$53)</f>
        <v>18</v>
      </c>
      <c r="AA3" s="18">
        <f t="shared" ref="AA3:AE18" si="7">RANK(S3,S$3:S$53)</f>
        <v>17</v>
      </c>
      <c r="AB3" s="18">
        <f t="shared" si="7"/>
        <v>4</v>
      </c>
      <c r="AC3" s="18">
        <f t="shared" si="7"/>
        <v>12</v>
      </c>
      <c r="AD3" s="18">
        <f t="shared" si="7"/>
        <v>35</v>
      </c>
      <c r="AE3" s="18">
        <f t="shared" si="7"/>
        <v>35</v>
      </c>
    </row>
    <row r="4" spans="1:31">
      <c r="A4" s="18" t="str">
        <f>'Trends2000-1990'!AA3</f>
        <v>Austin</v>
      </c>
      <c r="B4" s="18">
        <f>'Summary-2010'!AB3</f>
        <v>31</v>
      </c>
      <c r="C4" s="18">
        <f>'Summary-2010'!AC3</f>
        <v>29</v>
      </c>
      <c r="D4" s="18">
        <f>'Summary-2010'!AD3</f>
        <v>35</v>
      </c>
      <c r="E4" s="18">
        <f>'Summary-2010'!AE3</f>
        <v>37</v>
      </c>
      <c r="F4" s="18">
        <f>'Summary-2010'!AF3</f>
        <v>37</v>
      </c>
      <c r="G4" s="18">
        <f>'Summary-2010'!AG3</f>
        <v>37</v>
      </c>
      <c r="I4" s="18" t="str">
        <f t="shared" ref="I4:I53" si="8">A4</f>
        <v>Austin</v>
      </c>
      <c r="J4" s="18">
        <f>'Summary-1990'!AB3</f>
        <v>39</v>
      </c>
      <c r="K4" s="18">
        <f>'Summary-1990'!AC3</f>
        <v>38</v>
      </c>
      <c r="L4" s="18">
        <f>'Summary-1990'!AD3</f>
        <v>48</v>
      </c>
      <c r="M4" s="18">
        <f>'Summary-1990'!AE3</f>
        <v>48</v>
      </c>
      <c r="N4" s="18">
        <f>'Summary-1990'!AF3</f>
        <v>48</v>
      </c>
      <c r="O4" s="18">
        <f>'Summary-1990'!AG3</f>
        <v>48</v>
      </c>
      <c r="Q4" s="18" t="str">
        <f t="shared" ref="Q4:Q53" si="9">A4</f>
        <v>Austin</v>
      </c>
      <c r="R4" s="18">
        <f t="shared" ref="R4:R53" si="10">B4-J4</f>
        <v>-8</v>
      </c>
      <c r="S4" s="18">
        <f t="shared" si="2"/>
        <v>-9</v>
      </c>
      <c r="T4" s="18">
        <f t="shared" si="3"/>
        <v>-13</v>
      </c>
      <c r="U4" s="18">
        <f t="shared" si="4"/>
        <v>-11</v>
      </c>
      <c r="V4" s="18">
        <f t="shared" si="5"/>
        <v>-11</v>
      </c>
      <c r="W4" s="18">
        <f t="shared" si="6"/>
        <v>-11</v>
      </c>
      <c r="Y4" s="29" t="str">
        <f t="shared" ref="Y4:Y53" si="11">A4</f>
        <v>Austin</v>
      </c>
      <c r="Z4" s="18">
        <f t="shared" ref="Z4:Z53" si="12">RANK(R4,R$3:R$53)</f>
        <v>29</v>
      </c>
      <c r="AA4" s="18">
        <f t="shared" si="7"/>
        <v>34</v>
      </c>
      <c r="AB4" s="18">
        <f t="shared" si="7"/>
        <v>46</v>
      </c>
      <c r="AC4" s="18">
        <f t="shared" si="7"/>
        <v>49</v>
      </c>
      <c r="AD4" s="18">
        <f t="shared" si="7"/>
        <v>49</v>
      </c>
      <c r="AE4" s="18">
        <f t="shared" si="7"/>
        <v>49</v>
      </c>
    </row>
    <row r="5" spans="1:31">
      <c r="A5" s="18" t="str">
        <f>'Trends2000-1990'!AA4</f>
        <v>Baltimore</v>
      </c>
      <c r="B5" s="18">
        <f>'Summary-2010'!AB4</f>
        <v>18</v>
      </c>
      <c r="C5" s="18">
        <f>'Summary-2010'!AC4</f>
        <v>16</v>
      </c>
      <c r="D5" s="18">
        <f>'Summary-2010'!AD4</f>
        <v>10</v>
      </c>
      <c r="E5" s="18">
        <f>'Summary-2010'!AE4</f>
        <v>18</v>
      </c>
      <c r="F5" s="18">
        <f>'Summary-2010'!AF4</f>
        <v>18</v>
      </c>
      <c r="G5" s="18">
        <f>'Summary-2010'!AG4</f>
        <v>18</v>
      </c>
      <c r="I5" s="18" t="str">
        <f t="shared" si="8"/>
        <v>Baltimore</v>
      </c>
      <c r="J5" s="18">
        <f>'Summary-1990'!AB4</f>
        <v>20</v>
      </c>
      <c r="K5" s="18">
        <f>'Summary-1990'!AC4</f>
        <v>11</v>
      </c>
      <c r="L5" s="18">
        <f>'Summary-1990'!AD4</f>
        <v>10</v>
      </c>
      <c r="M5" s="18">
        <f>'Summary-1990'!AE4</f>
        <v>17</v>
      </c>
      <c r="N5" s="18">
        <f>'Summary-1990'!AF4</f>
        <v>17</v>
      </c>
      <c r="O5" s="18">
        <f>'Summary-1990'!AG4</f>
        <v>17</v>
      </c>
      <c r="Q5" s="18" t="str">
        <f t="shared" si="9"/>
        <v>Baltimore</v>
      </c>
      <c r="R5" s="18">
        <f t="shared" si="10"/>
        <v>-2</v>
      </c>
      <c r="S5" s="18">
        <f t="shared" si="2"/>
        <v>5</v>
      </c>
      <c r="T5" s="18">
        <f t="shared" si="3"/>
        <v>0</v>
      </c>
      <c r="U5" s="18">
        <f t="shared" si="4"/>
        <v>1</v>
      </c>
      <c r="V5" s="18">
        <f t="shared" si="5"/>
        <v>1</v>
      </c>
      <c r="W5" s="18">
        <f t="shared" si="6"/>
        <v>1</v>
      </c>
      <c r="Y5" s="29" t="str">
        <f t="shared" si="11"/>
        <v>Baltimore</v>
      </c>
      <c r="Z5" s="18">
        <f t="shared" si="12"/>
        <v>26</v>
      </c>
      <c r="AA5" s="18">
        <f t="shared" si="7"/>
        <v>21</v>
      </c>
      <c r="AB5" s="18">
        <f t="shared" si="7"/>
        <v>24</v>
      </c>
      <c r="AC5" s="18">
        <f t="shared" si="7"/>
        <v>16</v>
      </c>
      <c r="AD5" s="18">
        <f t="shared" si="7"/>
        <v>18</v>
      </c>
      <c r="AE5" s="18">
        <f t="shared" si="7"/>
        <v>18</v>
      </c>
    </row>
    <row r="6" spans="1:31">
      <c r="A6" s="18" t="str">
        <f>'Trends2000-1990'!AA5</f>
        <v>Boston</v>
      </c>
      <c r="B6" s="18">
        <f>'Summary-2010'!AB5</f>
        <v>20</v>
      </c>
      <c r="C6" s="18">
        <f>'Summary-2010'!AC5</f>
        <v>18</v>
      </c>
      <c r="D6" s="18">
        <f>'Summary-2010'!AD5</f>
        <v>9</v>
      </c>
      <c r="E6" s="18">
        <f>'Summary-2010'!AE5</f>
        <v>6</v>
      </c>
      <c r="F6" s="18">
        <f>'Summary-2010'!AF5</f>
        <v>4</v>
      </c>
      <c r="G6" s="18">
        <f>'Summary-2010'!AG5</f>
        <v>4</v>
      </c>
      <c r="I6" s="18" t="str">
        <f t="shared" si="8"/>
        <v>Boston</v>
      </c>
      <c r="J6" s="18">
        <f>'Summary-1990'!AB5</f>
        <v>13</v>
      </c>
      <c r="K6" s="18">
        <f>'Summary-1990'!AC5</f>
        <v>5</v>
      </c>
      <c r="L6" s="18">
        <f>'Summary-1990'!AD5</f>
        <v>3</v>
      </c>
      <c r="M6" s="18">
        <f>'Summary-1990'!AE5</f>
        <v>6</v>
      </c>
      <c r="N6" s="18">
        <f>'Summary-1990'!AF5</f>
        <v>6</v>
      </c>
      <c r="O6" s="18">
        <f>'Summary-1990'!AG5</f>
        <v>6</v>
      </c>
      <c r="Q6" s="18" t="str">
        <f t="shared" si="9"/>
        <v>Boston</v>
      </c>
      <c r="R6" s="18">
        <f t="shared" si="10"/>
        <v>7</v>
      </c>
      <c r="S6" s="18">
        <f t="shared" si="2"/>
        <v>13</v>
      </c>
      <c r="T6" s="18">
        <f t="shared" si="3"/>
        <v>6</v>
      </c>
      <c r="U6" s="18">
        <f t="shared" si="4"/>
        <v>0</v>
      </c>
      <c r="V6" s="18">
        <f t="shared" si="5"/>
        <v>-2</v>
      </c>
      <c r="W6" s="18">
        <f t="shared" si="6"/>
        <v>-2</v>
      </c>
      <c r="Y6" s="29" t="str">
        <f t="shared" si="11"/>
        <v>Boston</v>
      </c>
      <c r="Z6" s="18">
        <f t="shared" si="12"/>
        <v>18</v>
      </c>
      <c r="AA6" s="18">
        <f t="shared" si="7"/>
        <v>14</v>
      </c>
      <c r="AB6" s="18">
        <f t="shared" si="7"/>
        <v>14</v>
      </c>
      <c r="AC6" s="18">
        <f t="shared" si="7"/>
        <v>23</v>
      </c>
      <c r="AD6" s="18">
        <f t="shared" si="7"/>
        <v>35</v>
      </c>
      <c r="AE6" s="18">
        <f t="shared" si="7"/>
        <v>35</v>
      </c>
    </row>
    <row r="7" spans="1:31">
      <c r="A7" s="18" t="str">
        <f>'Trends2000-1990'!AA6</f>
        <v>Buffalo</v>
      </c>
      <c r="B7" s="18">
        <f>'Summary-2010'!AB6</f>
        <v>30</v>
      </c>
      <c r="C7" s="18">
        <f>'Summary-2010'!AC6</f>
        <v>27</v>
      </c>
      <c r="D7" s="18">
        <f>'Summary-2010'!AD6</f>
        <v>45</v>
      </c>
      <c r="E7" s="18">
        <f>'Summary-2010'!AE6</f>
        <v>45</v>
      </c>
      <c r="F7" s="18">
        <f>'Summary-2010'!AF6</f>
        <v>45</v>
      </c>
      <c r="G7" s="18">
        <f>'Summary-2010'!AG6</f>
        <v>45</v>
      </c>
      <c r="I7" s="18" t="str">
        <f t="shared" si="8"/>
        <v>Buffalo</v>
      </c>
      <c r="J7" s="18">
        <f>'Summary-1990'!AB6</f>
        <v>4</v>
      </c>
      <c r="K7" s="18">
        <f>'Summary-1990'!AC6</f>
        <v>19</v>
      </c>
      <c r="L7" s="18">
        <f>'Summary-1990'!AD6</f>
        <v>38</v>
      </c>
      <c r="M7" s="18">
        <f>'Summary-1990'!AE6</f>
        <v>38</v>
      </c>
      <c r="N7" s="18">
        <f>'Summary-1990'!AF6</f>
        <v>38</v>
      </c>
      <c r="O7" s="18">
        <f>'Summary-1990'!AG6</f>
        <v>38</v>
      </c>
      <c r="Q7" s="18" t="str">
        <f t="shared" si="9"/>
        <v>Buffalo</v>
      </c>
      <c r="R7" s="18">
        <f t="shared" si="10"/>
        <v>26</v>
      </c>
      <c r="S7" s="18">
        <f t="shared" si="2"/>
        <v>8</v>
      </c>
      <c r="T7" s="18">
        <f t="shared" si="3"/>
        <v>7</v>
      </c>
      <c r="U7" s="18">
        <f t="shared" si="4"/>
        <v>7</v>
      </c>
      <c r="V7" s="18">
        <f t="shared" si="5"/>
        <v>7</v>
      </c>
      <c r="W7" s="18">
        <f t="shared" si="6"/>
        <v>7</v>
      </c>
      <c r="Y7" s="29" t="str">
        <f t="shared" si="11"/>
        <v>Buffalo</v>
      </c>
      <c r="Z7" s="18">
        <f t="shared" si="12"/>
        <v>7</v>
      </c>
      <c r="AA7" s="18">
        <f t="shared" si="7"/>
        <v>18</v>
      </c>
      <c r="AB7" s="18">
        <f t="shared" si="7"/>
        <v>11</v>
      </c>
      <c r="AC7" s="18">
        <f t="shared" si="7"/>
        <v>6</v>
      </c>
      <c r="AD7" s="18">
        <f t="shared" si="7"/>
        <v>5</v>
      </c>
      <c r="AE7" s="18">
        <f t="shared" si="7"/>
        <v>5</v>
      </c>
    </row>
    <row r="8" spans="1:31">
      <c r="A8" s="18" t="str">
        <f>'Trends2000-1990'!AA7</f>
        <v>Charlotte</v>
      </c>
      <c r="B8" s="18">
        <f>'Summary-2010'!AB7</f>
        <v>47</v>
      </c>
      <c r="C8" s="18">
        <f>'Summary-2010'!AC7</f>
        <v>44</v>
      </c>
      <c r="D8" s="18">
        <f>'Summary-2010'!AD7</f>
        <v>30</v>
      </c>
      <c r="E8" s="18">
        <f>'Summary-2010'!AE7</f>
        <v>34</v>
      </c>
      <c r="F8" s="18">
        <f>'Summary-2010'!AF7</f>
        <v>34</v>
      </c>
      <c r="G8" s="18">
        <f>'Summary-2010'!AG7</f>
        <v>34</v>
      </c>
      <c r="I8" s="18" t="str">
        <f t="shared" si="8"/>
        <v>Charlotte</v>
      </c>
      <c r="J8" s="18">
        <f>'Summary-1990'!AB7</f>
        <v>7</v>
      </c>
      <c r="K8" s="18">
        <f>'Summary-1990'!AC7</f>
        <v>10</v>
      </c>
      <c r="L8" s="18">
        <f>'Summary-1990'!AD7</f>
        <v>33</v>
      </c>
      <c r="M8" s="18">
        <f>'Summary-1990'!AE7</f>
        <v>33</v>
      </c>
      <c r="N8" s="18">
        <f>'Summary-1990'!AF7</f>
        <v>33</v>
      </c>
      <c r="O8" s="18">
        <f>'Summary-1990'!AG7</f>
        <v>33</v>
      </c>
      <c r="Q8" s="18" t="str">
        <f t="shared" si="9"/>
        <v>Charlotte</v>
      </c>
      <c r="R8" s="18">
        <f t="shared" si="10"/>
        <v>40</v>
      </c>
      <c r="S8" s="18">
        <f t="shared" si="2"/>
        <v>34</v>
      </c>
      <c r="T8" s="18">
        <f t="shared" si="3"/>
        <v>-3</v>
      </c>
      <c r="U8" s="18">
        <f t="shared" si="4"/>
        <v>1</v>
      </c>
      <c r="V8" s="18">
        <f t="shared" si="5"/>
        <v>1</v>
      </c>
      <c r="W8" s="18">
        <f t="shared" si="6"/>
        <v>1</v>
      </c>
      <c r="Y8" s="29" t="str">
        <f t="shared" si="11"/>
        <v>Charlotte</v>
      </c>
      <c r="Z8" s="18">
        <f t="shared" si="12"/>
        <v>2</v>
      </c>
      <c r="AA8" s="18">
        <f t="shared" si="7"/>
        <v>1</v>
      </c>
      <c r="AB8" s="18">
        <f t="shared" si="7"/>
        <v>34</v>
      </c>
      <c r="AC8" s="18">
        <f t="shared" si="7"/>
        <v>16</v>
      </c>
      <c r="AD8" s="18">
        <f t="shared" si="7"/>
        <v>18</v>
      </c>
      <c r="AE8" s="18">
        <f t="shared" si="7"/>
        <v>18</v>
      </c>
    </row>
    <row r="9" spans="1:31">
      <c r="A9" s="18" t="str">
        <f>'Trends2000-1990'!AA8</f>
        <v>Chicago</v>
      </c>
      <c r="B9" s="18">
        <f>'Summary-2010'!AB8</f>
        <v>14</v>
      </c>
      <c r="C9" s="18">
        <f>'Summary-2010'!AC8</f>
        <v>13</v>
      </c>
      <c r="D9" s="18">
        <f>'Summary-2010'!AD8</f>
        <v>5</v>
      </c>
      <c r="E9" s="18">
        <f>'Summary-2010'!AE8</f>
        <v>3</v>
      </c>
      <c r="F9" s="18">
        <f>'Summary-2010'!AF8</f>
        <v>3</v>
      </c>
      <c r="G9" s="18">
        <f>'Summary-2010'!AG8</f>
        <v>3</v>
      </c>
      <c r="I9" s="18" t="str">
        <f t="shared" si="8"/>
        <v>Chicago</v>
      </c>
      <c r="J9" s="18">
        <f>'Summary-1990'!AB8</f>
        <v>14</v>
      </c>
      <c r="K9" s="18">
        <f>'Summary-1990'!AC8</f>
        <v>6</v>
      </c>
      <c r="L9" s="18">
        <f>'Summary-1990'!AD8</f>
        <v>4</v>
      </c>
      <c r="M9" s="18">
        <f>'Summary-1990'!AE8</f>
        <v>2</v>
      </c>
      <c r="N9" s="18">
        <f>'Summary-1990'!AF8</f>
        <v>3</v>
      </c>
      <c r="O9" s="18">
        <f>'Summary-1990'!AG8</f>
        <v>3</v>
      </c>
      <c r="Q9" s="18" t="str">
        <f t="shared" si="9"/>
        <v>Chicago</v>
      </c>
      <c r="R9" s="18">
        <f t="shared" si="10"/>
        <v>0</v>
      </c>
      <c r="S9" s="18">
        <f t="shared" si="2"/>
        <v>7</v>
      </c>
      <c r="T9" s="18">
        <f t="shared" si="3"/>
        <v>1</v>
      </c>
      <c r="U9" s="18">
        <f t="shared" si="4"/>
        <v>1</v>
      </c>
      <c r="V9" s="18">
        <f t="shared" si="5"/>
        <v>0</v>
      </c>
      <c r="W9" s="18">
        <f t="shared" si="6"/>
        <v>0</v>
      </c>
      <c r="Y9" s="29" t="str">
        <f t="shared" si="11"/>
        <v>Chicago</v>
      </c>
      <c r="Z9" s="18">
        <f t="shared" si="12"/>
        <v>25</v>
      </c>
      <c r="AA9" s="18">
        <f t="shared" si="7"/>
        <v>19</v>
      </c>
      <c r="AB9" s="18">
        <f t="shared" si="7"/>
        <v>21</v>
      </c>
      <c r="AC9" s="18">
        <f t="shared" si="7"/>
        <v>16</v>
      </c>
      <c r="AD9" s="18">
        <f t="shared" si="7"/>
        <v>23</v>
      </c>
      <c r="AE9" s="18">
        <f t="shared" si="7"/>
        <v>22</v>
      </c>
    </row>
    <row r="10" spans="1:31">
      <c r="A10" s="18" t="str">
        <f>'Trends2000-1990'!AA9</f>
        <v>Cincinnati</v>
      </c>
      <c r="B10" s="18">
        <f>'Summary-2010'!AB9</f>
        <v>44</v>
      </c>
      <c r="C10" s="18">
        <f>'Summary-2010'!AC9</f>
        <v>41</v>
      </c>
      <c r="D10" s="18">
        <f>'Summary-2010'!AD9</f>
        <v>23</v>
      </c>
      <c r="E10" s="18">
        <f>'Summary-2010'!AE9</f>
        <v>24</v>
      </c>
      <c r="F10" s="18">
        <f>'Summary-2010'!AF9</f>
        <v>24</v>
      </c>
      <c r="G10" s="18">
        <f>'Summary-2010'!AG9</f>
        <v>24</v>
      </c>
      <c r="I10" s="18" t="str">
        <f t="shared" si="8"/>
        <v>Cincinnati</v>
      </c>
      <c r="J10" s="18">
        <f>'Summary-1990'!AB9</f>
        <v>24</v>
      </c>
      <c r="K10" s="18">
        <f>'Summary-1990'!AC9</f>
        <v>16</v>
      </c>
      <c r="L10" s="18">
        <f>'Summary-1990'!AD9</f>
        <v>24</v>
      </c>
      <c r="M10" s="18">
        <f>'Summary-1990'!AE9</f>
        <v>24</v>
      </c>
      <c r="N10" s="18">
        <f>'Summary-1990'!AF9</f>
        <v>24</v>
      </c>
      <c r="O10" s="18">
        <f>'Summary-1990'!AG9</f>
        <v>24</v>
      </c>
      <c r="Q10" s="18" t="str">
        <f t="shared" si="9"/>
        <v>Cincinnati</v>
      </c>
      <c r="R10" s="18">
        <f t="shared" si="10"/>
        <v>20</v>
      </c>
      <c r="S10" s="18">
        <f t="shared" si="2"/>
        <v>25</v>
      </c>
      <c r="T10" s="18">
        <f t="shared" si="3"/>
        <v>-1</v>
      </c>
      <c r="U10" s="18">
        <f t="shared" si="4"/>
        <v>0</v>
      </c>
      <c r="V10" s="18">
        <f t="shared" si="5"/>
        <v>0</v>
      </c>
      <c r="W10" s="18">
        <f t="shared" si="6"/>
        <v>0</v>
      </c>
      <c r="Y10" s="29" t="str">
        <f t="shared" si="11"/>
        <v>Cincinnati</v>
      </c>
      <c r="Z10" s="18">
        <f t="shared" si="12"/>
        <v>9</v>
      </c>
      <c r="AA10" s="18">
        <f t="shared" si="7"/>
        <v>5</v>
      </c>
      <c r="AB10" s="18">
        <f t="shared" si="7"/>
        <v>30</v>
      </c>
      <c r="AC10" s="18">
        <f t="shared" si="7"/>
        <v>23</v>
      </c>
      <c r="AD10" s="18">
        <f t="shared" si="7"/>
        <v>23</v>
      </c>
      <c r="AE10" s="18">
        <f t="shared" si="7"/>
        <v>22</v>
      </c>
    </row>
    <row r="11" spans="1:31">
      <c r="A11" s="18" t="str">
        <f>'Trends2000-1990'!AA10</f>
        <v>Cleveland</v>
      </c>
      <c r="B11" s="18">
        <f>'Summary-2010'!AB10</f>
        <v>34</v>
      </c>
      <c r="C11" s="18">
        <f>'Summary-2010'!AC10</f>
        <v>32</v>
      </c>
      <c r="D11" s="18">
        <f>'Summary-2010'!AD10</f>
        <v>18</v>
      </c>
      <c r="E11" s="18">
        <f>'Summary-2010'!AE10</f>
        <v>26</v>
      </c>
      <c r="F11" s="18">
        <f>'Summary-2010'!AF10</f>
        <v>26</v>
      </c>
      <c r="G11" s="18">
        <f>'Summary-2010'!AG10</f>
        <v>26</v>
      </c>
      <c r="I11" s="18" t="str">
        <f t="shared" si="8"/>
        <v>Cleveland</v>
      </c>
      <c r="J11" s="18">
        <f>'Summary-1990'!AB10</f>
        <v>8</v>
      </c>
      <c r="K11" s="18">
        <f>'Summary-1990'!AC10</f>
        <v>2</v>
      </c>
      <c r="L11" s="18">
        <f>'Summary-1990'!AD10</f>
        <v>9</v>
      </c>
      <c r="M11" s="18">
        <f>'Summary-1990'!AE10</f>
        <v>15</v>
      </c>
      <c r="N11" s="18">
        <f>'Summary-1990'!AF10</f>
        <v>15</v>
      </c>
      <c r="O11" s="18">
        <f>'Summary-1990'!AG10</f>
        <v>15</v>
      </c>
      <c r="Q11" s="18" t="str">
        <f t="shared" si="9"/>
        <v>Cleveland</v>
      </c>
      <c r="R11" s="18">
        <f t="shared" si="10"/>
        <v>26</v>
      </c>
      <c r="S11" s="18">
        <f t="shared" si="2"/>
        <v>30</v>
      </c>
      <c r="T11" s="18">
        <f t="shared" si="3"/>
        <v>9</v>
      </c>
      <c r="U11" s="18">
        <f t="shared" si="4"/>
        <v>11</v>
      </c>
      <c r="V11" s="18">
        <f t="shared" si="5"/>
        <v>11</v>
      </c>
      <c r="W11" s="18">
        <f t="shared" si="6"/>
        <v>11</v>
      </c>
      <c r="Y11" s="29" t="str">
        <f t="shared" si="11"/>
        <v>Cleveland</v>
      </c>
      <c r="Z11" s="18">
        <f t="shared" si="12"/>
        <v>7</v>
      </c>
      <c r="AA11" s="18">
        <f t="shared" si="7"/>
        <v>3</v>
      </c>
      <c r="AB11" s="18">
        <f t="shared" si="7"/>
        <v>8</v>
      </c>
      <c r="AC11" s="18">
        <f t="shared" si="7"/>
        <v>1</v>
      </c>
      <c r="AD11" s="18">
        <f t="shared" si="7"/>
        <v>1</v>
      </c>
      <c r="AE11" s="18">
        <f t="shared" si="7"/>
        <v>1</v>
      </c>
    </row>
    <row r="12" spans="1:31">
      <c r="A12" s="18" t="str">
        <f>'Trends2000-1990'!AA11</f>
        <v>Columbus</v>
      </c>
      <c r="B12" s="18">
        <f>'Summary-2010'!AB11</f>
        <v>15</v>
      </c>
      <c r="C12" s="18">
        <f>'Summary-2010'!AC11</f>
        <v>12</v>
      </c>
      <c r="D12" s="18">
        <f>'Summary-2010'!AD11</f>
        <v>26</v>
      </c>
      <c r="E12" s="18">
        <f>'Summary-2010'!AE11</f>
        <v>30</v>
      </c>
      <c r="F12" s="18">
        <f>'Summary-2010'!AF11</f>
        <v>30</v>
      </c>
      <c r="G12" s="18">
        <f>'Summary-2010'!AG11</f>
        <v>30</v>
      </c>
      <c r="I12" s="18" t="str">
        <f t="shared" si="8"/>
        <v>Columbus</v>
      </c>
      <c r="J12" s="18">
        <f>'Summary-1990'!AB11</f>
        <v>11</v>
      </c>
      <c r="K12" s="18">
        <f>'Summary-1990'!AC11</f>
        <v>7</v>
      </c>
      <c r="L12" s="18">
        <f>'Summary-1990'!AD11</f>
        <v>31</v>
      </c>
      <c r="M12" s="18">
        <f>'Summary-1990'!AE11</f>
        <v>31</v>
      </c>
      <c r="N12" s="18">
        <f>'Summary-1990'!AF11</f>
        <v>31</v>
      </c>
      <c r="O12" s="18">
        <f>'Summary-1990'!AG11</f>
        <v>31</v>
      </c>
      <c r="Q12" s="18" t="str">
        <f t="shared" si="9"/>
        <v>Columbus</v>
      </c>
      <c r="R12" s="18">
        <f t="shared" si="10"/>
        <v>4</v>
      </c>
      <c r="S12" s="18">
        <f t="shared" si="2"/>
        <v>5</v>
      </c>
      <c r="T12" s="18">
        <f t="shared" si="3"/>
        <v>-5</v>
      </c>
      <c r="U12" s="18">
        <f t="shared" si="4"/>
        <v>-1</v>
      </c>
      <c r="V12" s="18">
        <f t="shared" si="5"/>
        <v>-1</v>
      </c>
      <c r="W12" s="18">
        <f t="shared" si="6"/>
        <v>-1</v>
      </c>
      <c r="Y12" s="29" t="str">
        <f t="shared" si="11"/>
        <v>Columbus</v>
      </c>
      <c r="Z12" s="18">
        <f t="shared" si="12"/>
        <v>23</v>
      </c>
      <c r="AA12" s="18">
        <f t="shared" si="7"/>
        <v>21</v>
      </c>
      <c r="AB12" s="18">
        <f t="shared" si="7"/>
        <v>37</v>
      </c>
      <c r="AC12" s="18">
        <f t="shared" si="7"/>
        <v>30</v>
      </c>
      <c r="AD12" s="18">
        <f t="shared" si="7"/>
        <v>29</v>
      </c>
      <c r="AE12" s="18">
        <f t="shared" si="7"/>
        <v>30</v>
      </c>
    </row>
    <row r="13" spans="1:31">
      <c r="A13" s="18" t="str">
        <f>'Trends2000-1990'!AA12</f>
        <v>Dallas-Fort Worth</v>
      </c>
      <c r="B13" s="18">
        <f>'Summary-2010'!AB12</f>
        <v>17</v>
      </c>
      <c r="C13" s="18">
        <f>'Summary-2010'!AC12</f>
        <v>17</v>
      </c>
      <c r="D13" s="18">
        <f>'Summary-2010'!AD12</f>
        <v>7</v>
      </c>
      <c r="E13" s="18">
        <f>'Summary-2010'!AE12</f>
        <v>5</v>
      </c>
      <c r="F13" s="18">
        <f>'Summary-2010'!AF12</f>
        <v>5</v>
      </c>
      <c r="G13" s="18">
        <f>'Summary-2010'!AG12</f>
        <v>5</v>
      </c>
      <c r="I13" s="18" t="str">
        <f t="shared" si="8"/>
        <v>Dallas-Fort Worth</v>
      </c>
      <c r="J13" s="18">
        <f>'Summary-1990'!AB12</f>
        <v>33</v>
      </c>
      <c r="K13" s="18">
        <f>'Summary-1990'!AC12</f>
        <v>29</v>
      </c>
      <c r="L13" s="18">
        <f>'Summary-1990'!AD12</f>
        <v>12</v>
      </c>
      <c r="M13" s="18">
        <f>'Summary-1990'!AE12</f>
        <v>8</v>
      </c>
      <c r="N13" s="18">
        <f>'Summary-1990'!AF12</f>
        <v>8</v>
      </c>
      <c r="O13" s="18">
        <f>'Summary-1990'!AG12</f>
        <v>8</v>
      </c>
      <c r="Q13" s="18" t="str">
        <f t="shared" si="9"/>
        <v>Dallas-Fort Worth</v>
      </c>
      <c r="R13" s="18">
        <f t="shared" si="10"/>
        <v>-16</v>
      </c>
      <c r="S13" s="18">
        <f t="shared" si="2"/>
        <v>-12</v>
      </c>
      <c r="T13" s="18">
        <f t="shared" si="3"/>
        <v>-5</v>
      </c>
      <c r="U13" s="18">
        <f t="shared" si="4"/>
        <v>-3</v>
      </c>
      <c r="V13" s="18">
        <f t="shared" si="5"/>
        <v>-3</v>
      </c>
      <c r="W13" s="18">
        <f t="shared" si="6"/>
        <v>-3</v>
      </c>
      <c r="Y13" s="29" t="str">
        <f t="shared" si="11"/>
        <v>Dallas-Fort Worth</v>
      </c>
      <c r="Z13" s="18">
        <f t="shared" si="12"/>
        <v>40</v>
      </c>
      <c r="AA13" s="18">
        <f t="shared" si="7"/>
        <v>38</v>
      </c>
      <c r="AB13" s="18">
        <f t="shared" si="7"/>
        <v>37</v>
      </c>
      <c r="AC13" s="18">
        <f t="shared" si="7"/>
        <v>38</v>
      </c>
      <c r="AD13" s="18">
        <f t="shared" si="7"/>
        <v>42</v>
      </c>
      <c r="AE13" s="18">
        <f t="shared" si="7"/>
        <v>42</v>
      </c>
    </row>
    <row r="14" spans="1:31">
      <c r="A14" s="18" t="str">
        <f>'Trends2000-1990'!AA13</f>
        <v>Denver</v>
      </c>
      <c r="B14" s="18">
        <f>'Summary-2010'!AB13</f>
        <v>25</v>
      </c>
      <c r="C14" s="18">
        <f>'Summary-2010'!AC13</f>
        <v>28</v>
      </c>
      <c r="D14" s="18">
        <f>'Summary-2010'!AD13</f>
        <v>16</v>
      </c>
      <c r="E14" s="18">
        <f>'Summary-2010'!AE13</f>
        <v>19</v>
      </c>
      <c r="F14" s="18">
        <f>'Summary-2010'!AF13</f>
        <v>19</v>
      </c>
      <c r="G14" s="18">
        <f>'Summary-2010'!AG13</f>
        <v>19</v>
      </c>
      <c r="I14" s="18" t="str">
        <f t="shared" si="8"/>
        <v>Denver</v>
      </c>
      <c r="J14" s="18">
        <f>'Summary-1990'!AB13</f>
        <v>16</v>
      </c>
      <c r="K14" s="18">
        <f>'Summary-1990'!AC13</f>
        <v>8</v>
      </c>
      <c r="L14" s="18">
        <f>'Summary-1990'!AD13</f>
        <v>16</v>
      </c>
      <c r="M14" s="18">
        <f>'Summary-1990'!AE13</f>
        <v>20</v>
      </c>
      <c r="N14" s="18">
        <f>'Summary-1990'!AF13</f>
        <v>20</v>
      </c>
      <c r="O14" s="18">
        <f>'Summary-1990'!AG13</f>
        <v>20</v>
      </c>
      <c r="Q14" s="18" t="str">
        <f t="shared" si="9"/>
        <v>Denver</v>
      </c>
      <c r="R14" s="18">
        <f t="shared" si="10"/>
        <v>9</v>
      </c>
      <c r="S14" s="18">
        <f t="shared" si="2"/>
        <v>20</v>
      </c>
      <c r="T14" s="18">
        <f t="shared" si="3"/>
        <v>0</v>
      </c>
      <c r="U14" s="18">
        <f t="shared" si="4"/>
        <v>-1</v>
      </c>
      <c r="V14" s="18">
        <f t="shared" si="5"/>
        <v>-1</v>
      </c>
      <c r="W14" s="18">
        <f t="shared" si="6"/>
        <v>-1</v>
      </c>
      <c r="Y14" s="29" t="str">
        <f t="shared" si="11"/>
        <v>Denver</v>
      </c>
      <c r="Z14" s="18">
        <f t="shared" si="12"/>
        <v>17</v>
      </c>
      <c r="AA14" s="18">
        <f t="shared" si="7"/>
        <v>9</v>
      </c>
      <c r="AB14" s="18">
        <f t="shared" si="7"/>
        <v>24</v>
      </c>
      <c r="AC14" s="18">
        <f t="shared" si="7"/>
        <v>30</v>
      </c>
      <c r="AD14" s="18">
        <f t="shared" si="7"/>
        <v>29</v>
      </c>
      <c r="AE14" s="18">
        <f t="shared" si="7"/>
        <v>30</v>
      </c>
    </row>
    <row r="15" spans="1:31">
      <c r="A15" s="18" t="str">
        <f>'Trends2000-1990'!AA14</f>
        <v>Detroit</v>
      </c>
      <c r="B15" s="18">
        <f>'Summary-2010'!AB14</f>
        <v>33</v>
      </c>
      <c r="C15" s="18">
        <f>'Summary-2010'!AC14</f>
        <v>31</v>
      </c>
      <c r="D15" s="18">
        <f>'Summary-2010'!AD14</f>
        <v>17</v>
      </c>
      <c r="E15" s="18">
        <f>'Summary-2010'!AE14</f>
        <v>12</v>
      </c>
      <c r="F15" s="18">
        <f>'Summary-2010'!AF14</f>
        <v>13</v>
      </c>
      <c r="G15" s="18">
        <f>'Summary-2010'!AG14</f>
        <v>13</v>
      </c>
      <c r="I15" s="18" t="str">
        <f t="shared" si="8"/>
        <v>Detroit</v>
      </c>
      <c r="J15" s="18">
        <f>'Summary-1990'!AB14</f>
        <v>21</v>
      </c>
      <c r="K15" s="18">
        <f>'Summary-1990'!AC14</f>
        <v>13</v>
      </c>
      <c r="L15" s="18">
        <f>'Summary-1990'!AD14</f>
        <v>7</v>
      </c>
      <c r="M15" s="18">
        <f>'Summary-1990'!AE14</f>
        <v>7</v>
      </c>
      <c r="N15" s="18">
        <f>'Summary-1990'!AF14</f>
        <v>7</v>
      </c>
      <c r="O15" s="18">
        <f>'Summary-1990'!AG14</f>
        <v>7</v>
      </c>
      <c r="Q15" s="18" t="str">
        <f t="shared" si="9"/>
        <v>Detroit</v>
      </c>
      <c r="R15" s="18">
        <f t="shared" si="10"/>
        <v>12</v>
      </c>
      <c r="S15" s="18">
        <f t="shared" si="2"/>
        <v>18</v>
      </c>
      <c r="T15" s="18">
        <f t="shared" si="3"/>
        <v>10</v>
      </c>
      <c r="U15" s="18">
        <f t="shared" si="4"/>
        <v>5</v>
      </c>
      <c r="V15" s="18">
        <f t="shared" si="5"/>
        <v>6</v>
      </c>
      <c r="W15" s="18">
        <f t="shared" si="6"/>
        <v>6</v>
      </c>
      <c r="Y15" s="29" t="str">
        <f t="shared" si="11"/>
        <v>Detroit</v>
      </c>
      <c r="Z15" s="18">
        <f t="shared" si="12"/>
        <v>14</v>
      </c>
      <c r="AA15" s="18">
        <f t="shared" si="7"/>
        <v>11</v>
      </c>
      <c r="AB15" s="18">
        <f t="shared" si="7"/>
        <v>6</v>
      </c>
      <c r="AC15" s="18">
        <f t="shared" si="7"/>
        <v>11</v>
      </c>
      <c r="AD15" s="18">
        <f t="shared" si="7"/>
        <v>8</v>
      </c>
      <c r="AE15" s="18">
        <f t="shared" si="7"/>
        <v>8</v>
      </c>
    </row>
    <row r="16" spans="1:31">
      <c r="A16" s="18" t="str">
        <f>'Trends2000-1990'!AA15</f>
        <v>Grand Rapids</v>
      </c>
      <c r="B16" s="18">
        <f>'Summary-2010'!AB15</f>
        <v>23</v>
      </c>
      <c r="C16" s="18">
        <f>'Summary-2010'!AC15</f>
        <v>47</v>
      </c>
      <c r="D16" s="18">
        <f>'Summary-2010'!AD15</f>
        <v>51</v>
      </c>
      <c r="E16" s="18">
        <f>'Summary-2010'!AE15</f>
        <v>51</v>
      </c>
      <c r="F16" s="18">
        <f>'Summary-2010'!AF15</f>
        <v>51</v>
      </c>
      <c r="G16" s="18">
        <f>'Summary-2010'!AG15</f>
        <v>51</v>
      </c>
      <c r="I16" s="18" t="str">
        <f t="shared" si="8"/>
        <v>Grand Rapids</v>
      </c>
      <c r="J16" s="18">
        <f>'Summary-1990'!AB15</f>
        <v>18</v>
      </c>
      <c r="K16" s="18">
        <f>'Summary-1990'!AC15</f>
        <v>47</v>
      </c>
      <c r="L16" s="18">
        <f>'Summary-1990'!AD15</f>
        <v>51</v>
      </c>
      <c r="M16" s="18">
        <f>'Summary-1990'!AE15</f>
        <v>51</v>
      </c>
      <c r="N16" s="18">
        <f>'Summary-1990'!AF15</f>
        <v>51</v>
      </c>
      <c r="O16" s="18">
        <f>'Summary-1990'!AG15</f>
        <v>51</v>
      </c>
      <c r="Q16" s="18" t="str">
        <f t="shared" si="9"/>
        <v>Grand Rapids</v>
      </c>
      <c r="R16" s="18">
        <f t="shared" si="10"/>
        <v>5</v>
      </c>
      <c r="S16" s="18">
        <f t="shared" si="2"/>
        <v>0</v>
      </c>
      <c r="T16" s="18">
        <f t="shared" si="3"/>
        <v>0</v>
      </c>
      <c r="U16" s="18">
        <f t="shared" si="4"/>
        <v>0</v>
      </c>
      <c r="V16" s="18">
        <f t="shared" si="5"/>
        <v>0</v>
      </c>
      <c r="W16" s="18">
        <f t="shared" si="6"/>
        <v>0</v>
      </c>
      <c r="Y16" s="29" t="str">
        <f t="shared" si="11"/>
        <v>Grand Rapids</v>
      </c>
      <c r="Z16" s="18">
        <f t="shared" si="12"/>
        <v>22</v>
      </c>
      <c r="AA16" s="18">
        <f t="shared" si="7"/>
        <v>26</v>
      </c>
      <c r="AB16" s="18">
        <f t="shared" si="7"/>
        <v>24</v>
      </c>
      <c r="AC16" s="18">
        <f t="shared" si="7"/>
        <v>23</v>
      </c>
      <c r="AD16" s="18">
        <f t="shared" si="7"/>
        <v>23</v>
      </c>
      <c r="AE16" s="18">
        <f t="shared" si="7"/>
        <v>22</v>
      </c>
    </row>
    <row r="17" spans="1:31">
      <c r="A17" s="18" t="str">
        <f>'Trends2000-1990'!AA16</f>
        <v>Virginia Beach</v>
      </c>
      <c r="B17" s="18">
        <f>'Summary-2010'!AB16</f>
        <v>36</v>
      </c>
      <c r="C17" s="18">
        <f>'Summary-2010'!AC16</f>
        <v>35</v>
      </c>
      <c r="D17" s="18">
        <f>'Summary-2010'!AD16</f>
        <v>39</v>
      </c>
      <c r="E17" s="18">
        <f>'Summary-2010'!AE16</f>
        <v>39</v>
      </c>
      <c r="F17" s="18">
        <f>'Summary-2010'!AF16</f>
        <v>39</v>
      </c>
      <c r="G17" s="18">
        <f>'Summary-2010'!AG16</f>
        <v>39</v>
      </c>
      <c r="I17" s="18" t="str">
        <f t="shared" si="8"/>
        <v>Virginia Beach</v>
      </c>
      <c r="J17" s="18">
        <f>'Summary-1990'!AB16</f>
        <v>47</v>
      </c>
      <c r="K17" s="18">
        <f>'Summary-1990'!AC16</f>
        <v>46</v>
      </c>
      <c r="L17" s="18">
        <f>'Summary-1990'!AD16</f>
        <v>29</v>
      </c>
      <c r="M17" s="18">
        <f>'Summary-1990'!AE16</f>
        <v>29</v>
      </c>
      <c r="N17" s="18">
        <f>'Summary-1990'!AF16</f>
        <v>29</v>
      </c>
      <c r="O17" s="18">
        <f>'Summary-1990'!AG16</f>
        <v>29</v>
      </c>
      <c r="Q17" s="18" t="str">
        <f t="shared" si="9"/>
        <v>Virginia Beach</v>
      </c>
      <c r="R17" s="18">
        <f t="shared" si="10"/>
        <v>-11</v>
      </c>
      <c r="S17" s="18">
        <f t="shared" si="2"/>
        <v>-11</v>
      </c>
      <c r="T17" s="18">
        <f t="shared" si="3"/>
        <v>10</v>
      </c>
      <c r="U17" s="18">
        <f t="shared" si="4"/>
        <v>10</v>
      </c>
      <c r="V17" s="18">
        <f t="shared" si="5"/>
        <v>10</v>
      </c>
      <c r="W17" s="18">
        <f t="shared" si="6"/>
        <v>10</v>
      </c>
      <c r="Y17" s="29" t="str">
        <f t="shared" si="11"/>
        <v>Virginia Beach</v>
      </c>
      <c r="Z17" s="18">
        <f t="shared" si="12"/>
        <v>35</v>
      </c>
      <c r="AA17" s="18">
        <f t="shared" si="7"/>
        <v>37</v>
      </c>
      <c r="AB17" s="18">
        <f t="shared" si="7"/>
        <v>6</v>
      </c>
      <c r="AC17" s="18">
        <f t="shared" si="7"/>
        <v>2</v>
      </c>
      <c r="AD17" s="18">
        <f t="shared" si="7"/>
        <v>2</v>
      </c>
      <c r="AE17" s="18">
        <f t="shared" si="7"/>
        <v>2</v>
      </c>
    </row>
    <row r="18" spans="1:31">
      <c r="A18" s="18" t="str">
        <f>'Trends2000-1990'!AA17</f>
        <v>Hartford</v>
      </c>
      <c r="B18" s="18">
        <f>'Summary-2010'!AB17</f>
        <v>40</v>
      </c>
      <c r="C18" s="18">
        <f>'Summary-2010'!AC17</f>
        <v>36</v>
      </c>
      <c r="D18" s="18">
        <f>'Summary-2010'!AD17</f>
        <v>41</v>
      </c>
      <c r="E18" s="18">
        <f>'Summary-2010'!AE17</f>
        <v>41</v>
      </c>
      <c r="F18" s="18">
        <f>'Summary-2010'!AF17</f>
        <v>41</v>
      </c>
      <c r="G18" s="18">
        <f>'Summary-2010'!AG17</f>
        <v>41</v>
      </c>
      <c r="I18" s="18" t="str">
        <f t="shared" si="8"/>
        <v>Hartford</v>
      </c>
      <c r="J18" s="18">
        <f>'Summary-1990'!AB17</f>
        <v>2</v>
      </c>
      <c r="K18" s="18">
        <f>'Summary-1990'!AC17</f>
        <v>15</v>
      </c>
      <c r="L18" s="18">
        <f>'Summary-1990'!AD17</f>
        <v>35</v>
      </c>
      <c r="M18" s="18">
        <f>'Summary-1990'!AE17</f>
        <v>35</v>
      </c>
      <c r="N18" s="18">
        <f>'Summary-1990'!AF17</f>
        <v>35</v>
      </c>
      <c r="O18" s="18">
        <f>'Summary-1990'!AG17</f>
        <v>35</v>
      </c>
      <c r="Q18" s="18" t="str">
        <f t="shared" si="9"/>
        <v>Hartford</v>
      </c>
      <c r="R18" s="18">
        <f t="shared" si="10"/>
        <v>38</v>
      </c>
      <c r="S18" s="18">
        <f t="shared" si="2"/>
        <v>21</v>
      </c>
      <c r="T18" s="18">
        <f t="shared" si="3"/>
        <v>6</v>
      </c>
      <c r="U18" s="18">
        <f t="shared" si="4"/>
        <v>6</v>
      </c>
      <c r="V18" s="18">
        <f t="shared" si="5"/>
        <v>6</v>
      </c>
      <c r="W18" s="18">
        <f t="shared" si="6"/>
        <v>6</v>
      </c>
      <c r="Y18" s="29" t="str">
        <f t="shared" si="11"/>
        <v>Hartford</v>
      </c>
      <c r="Z18" s="18">
        <f t="shared" si="12"/>
        <v>3</v>
      </c>
      <c r="AA18" s="18">
        <f t="shared" si="7"/>
        <v>8</v>
      </c>
      <c r="AB18" s="18">
        <f t="shared" si="7"/>
        <v>14</v>
      </c>
      <c r="AC18" s="18">
        <f t="shared" si="7"/>
        <v>9</v>
      </c>
      <c r="AD18" s="18">
        <f t="shared" si="7"/>
        <v>8</v>
      </c>
      <c r="AE18" s="18">
        <f t="shared" si="7"/>
        <v>8</v>
      </c>
    </row>
    <row r="19" spans="1:31">
      <c r="A19" s="18" t="str">
        <f>'Trends2000-1990'!AA18</f>
        <v>Honolulu</v>
      </c>
      <c r="B19" s="18">
        <f>'Summary-2010'!AB18</f>
        <v>24</v>
      </c>
      <c r="C19" s="18">
        <f>'Summary-2010'!AC18</f>
        <v>42</v>
      </c>
      <c r="D19" s="18">
        <f>'Summary-2010'!AD18</f>
        <v>50</v>
      </c>
      <c r="E19" s="18">
        <f>'Summary-2010'!AE18</f>
        <v>50</v>
      </c>
      <c r="F19" s="18">
        <f>'Summary-2010'!AF18</f>
        <v>50</v>
      </c>
      <c r="G19" s="18">
        <f>'Summary-2010'!AG18</f>
        <v>50</v>
      </c>
      <c r="I19" s="18" t="str">
        <f t="shared" si="8"/>
        <v>Honolulu</v>
      </c>
      <c r="J19" s="18">
        <f>'Summary-1990'!AB18</f>
        <v>5</v>
      </c>
      <c r="K19" s="18">
        <f>'Summary-1990'!AC18</f>
        <v>32</v>
      </c>
      <c r="L19" s="18">
        <f>'Summary-1990'!AD18</f>
        <v>47</v>
      </c>
      <c r="M19" s="18">
        <f>'Summary-1990'!AE18</f>
        <v>47</v>
      </c>
      <c r="N19" s="18">
        <f>'Summary-1990'!AF18</f>
        <v>47</v>
      </c>
      <c r="O19" s="18">
        <f>'Summary-1990'!AG18</f>
        <v>47</v>
      </c>
      <c r="Q19" s="18" t="str">
        <f t="shared" si="9"/>
        <v>Honolulu</v>
      </c>
      <c r="R19" s="18">
        <f t="shared" si="10"/>
        <v>19</v>
      </c>
      <c r="S19" s="18">
        <f t="shared" si="2"/>
        <v>10</v>
      </c>
      <c r="T19" s="18">
        <f t="shared" si="3"/>
        <v>3</v>
      </c>
      <c r="U19" s="18">
        <f t="shared" si="4"/>
        <v>3</v>
      </c>
      <c r="V19" s="18">
        <f t="shared" si="5"/>
        <v>3</v>
      </c>
      <c r="W19" s="18">
        <f t="shared" si="6"/>
        <v>3</v>
      </c>
      <c r="Y19" s="29" t="str">
        <f t="shared" si="11"/>
        <v>Honolulu</v>
      </c>
      <c r="Z19" s="18">
        <f t="shared" si="12"/>
        <v>10</v>
      </c>
      <c r="AA19" s="18">
        <f t="shared" ref="AA19:AA53" si="13">RANK(S19,S$3:S$53)</f>
        <v>15</v>
      </c>
      <c r="AB19" s="18">
        <f t="shared" ref="AB19:AB53" si="14">RANK(T19,T$3:T$53)</f>
        <v>16</v>
      </c>
      <c r="AC19" s="18">
        <f t="shared" ref="AC19:AC53" si="15">RANK(U19,U$3:U$53)</f>
        <v>13</v>
      </c>
      <c r="AD19" s="18">
        <f t="shared" ref="AD19:AD53" si="16">RANK(V19,V$3:V$53)</f>
        <v>11</v>
      </c>
      <c r="AE19" s="18">
        <f t="shared" ref="AE19:AE53" si="17">RANK(W19,W$3:W$53)</f>
        <v>11</v>
      </c>
    </row>
    <row r="20" spans="1:31">
      <c r="A20" s="18" t="str">
        <f>'Trends2000-1990'!AA19</f>
        <v>Houston</v>
      </c>
      <c r="B20" s="18">
        <f>'Summary-2010'!AB19</f>
        <v>27</v>
      </c>
      <c r="C20" s="18">
        <f>'Summary-2010'!AC19</f>
        <v>21</v>
      </c>
      <c r="D20" s="18">
        <f>'Summary-2010'!AD19</f>
        <v>11</v>
      </c>
      <c r="E20" s="18">
        <f>'Summary-2010'!AE19</f>
        <v>7</v>
      </c>
      <c r="F20" s="18">
        <f>'Summary-2010'!AF19</f>
        <v>8</v>
      </c>
      <c r="G20" s="18">
        <f>'Summary-2010'!AG19</f>
        <v>8</v>
      </c>
      <c r="I20" s="18" t="str">
        <f t="shared" si="8"/>
        <v>Houston</v>
      </c>
      <c r="J20" s="18">
        <f>'Summary-1990'!AB19</f>
        <v>37</v>
      </c>
      <c r="K20" s="18">
        <f>'Summary-1990'!AC19</f>
        <v>34</v>
      </c>
      <c r="L20" s="18">
        <f>'Summary-1990'!AD19</f>
        <v>14</v>
      </c>
      <c r="M20" s="18">
        <f>'Summary-1990'!AE19</f>
        <v>10</v>
      </c>
      <c r="N20" s="18">
        <f>'Summary-1990'!AF19</f>
        <v>10</v>
      </c>
      <c r="O20" s="18">
        <f>'Summary-1990'!AG19</f>
        <v>10</v>
      </c>
      <c r="Q20" s="18" t="str">
        <f t="shared" si="9"/>
        <v>Houston</v>
      </c>
      <c r="R20" s="18">
        <f t="shared" si="10"/>
        <v>-10</v>
      </c>
      <c r="S20" s="18">
        <f t="shared" si="2"/>
        <v>-13</v>
      </c>
      <c r="T20" s="18">
        <f t="shared" si="3"/>
        <v>-3</v>
      </c>
      <c r="U20" s="18">
        <f t="shared" si="4"/>
        <v>-3</v>
      </c>
      <c r="V20" s="18">
        <f t="shared" si="5"/>
        <v>-2</v>
      </c>
      <c r="W20" s="18">
        <f t="shared" si="6"/>
        <v>-2</v>
      </c>
      <c r="Y20" s="29" t="str">
        <f t="shared" si="11"/>
        <v>Houston</v>
      </c>
      <c r="Z20" s="18">
        <f t="shared" si="12"/>
        <v>33</v>
      </c>
      <c r="AA20" s="18">
        <f t="shared" si="13"/>
        <v>39</v>
      </c>
      <c r="AB20" s="18">
        <f t="shared" si="14"/>
        <v>34</v>
      </c>
      <c r="AC20" s="18">
        <f t="shared" si="15"/>
        <v>38</v>
      </c>
      <c r="AD20" s="18">
        <f t="shared" si="16"/>
        <v>35</v>
      </c>
      <c r="AE20" s="18">
        <f t="shared" si="17"/>
        <v>35</v>
      </c>
    </row>
    <row r="21" spans="1:31">
      <c r="A21" s="18" t="str">
        <f>'Trends2000-1990'!AA20</f>
        <v>Indianapolis</v>
      </c>
      <c r="B21" s="18">
        <f>'Summary-2010'!AB20</f>
        <v>41</v>
      </c>
      <c r="C21" s="18">
        <f>'Summary-2010'!AC20</f>
        <v>38</v>
      </c>
      <c r="D21" s="18">
        <f>'Summary-2010'!AD20</f>
        <v>27</v>
      </c>
      <c r="E21" s="18">
        <f>'Summary-2010'!AE20</f>
        <v>31</v>
      </c>
      <c r="F21" s="18">
        <f>'Summary-2010'!AF20</f>
        <v>31</v>
      </c>
      <c r="G21" s="18">
        <f>'Summary-2010'!AG20</f>
        <v>31</v>
      </c>
      <c r="I21" s="18" t="str">
        <f t="shared" si="8"/>
        <v>Indianapolis</v>
      </c>
      <c r="J21" s="18">
        <f>'Summary-1990'!AB20</f>
        <v>30</v>
      </c>
      <c r="K21" s="18">
        <f>'Summary-1990'!AC20</f>
        <v>22</v>
      </c>
      <c r="L21" s="18">
        <f>'Summary-1990'!AD20</f>
        <v>32</v>
      </c>
      <c r="M21" s="18">
        <f>'Summary-1990'!AE20</f>
        <v>32</v>
      </c>
      <c r="N21" s="18">
        <f>'Summary-1990'!AF20</f>
        <v>32</v>
      </c>
      <c r="O21" s="18">
        <f>'Summary-1990'!AG20</f>
        <v>32</v>
      </c>
      <c r="Q21" s="18" t="str">
        <f t="shared" si="9"/>
        <v>Indianapolis</v>
      </c>
      <c r="R21" s="18">
        <f t="shared" si="10"/>
        <v>11</v>
      </c>
      <c r="S21" s="18">
        <f t="shared" si="2"/>
        <v>16</v>
      </c>
      <c r="T21" s="18">
        <f t="shared" si="3"/>
        <v>-5</v>
      </c>
      <c r="U21" s="18">
        <f t="shared" si="4"/>
        <v>-1</v>
      </c>
      <c r="V21" s="18">
        <f t="shared" si="5"/>
        <v>-1</v>
      </c>
      <c r="W21" s="18">
        <f t="shared" si="6"/>
        <v>-1</v>
      </c>
      <c r="Y21" s="29" t="str">
        <f t="shared" si="11"/>
        <v>Indianapolis</v>
      </c>
      <c r="Z21" s="18">
        <f t="shared" si="12"/>
        <v>15</v>
      </c>
      <c r="AA21" s="18">
        <f t="shared" si="13"/>
        <v>13</v>
      </c>
      <c r="AB21" s="18">
        <f t="shared" si="14"/>
        <v>37</v>
      </c>
      <c r="AC21" s="18">
        <f t="shared" si="15"/>
        <v>30</v>
      </c>
      <c r="AD21" s="18">
        <f t="shared" si="16"/>
        <v>29</v>
      </c>
      <c r="AE21" s="18">
        <f t="shared" si="17"/>
        <v>30</v>
      </c>
    </row>
    <row r="22" spans="1:31">
      <c r="A22" s="18" t="str">
        <f>'Trends2000-1990'!AA21</f>
        <v>Riverside</v>
      </c>
      <c r="B22" s="18">
        <f>'Summary-2010'!AB21</f>
        <v>4</v>
      </c>
      <c r="C22" s="18">
        <f>'Summary-2010'!AC21</f>
        <v>4</v>
      </c>
      <c r="D22" s="18">
        <f>'Summary-2010'!AD21</f>
        <v>14</v>
      </c>
      <c r="E22" s="18">
        <f>'Summary-2010'!AE21</f>
        <v>21</v>
      </c>
      <c r="F22" s="18">
        <f>'Summary-2010'!AF21</f>
        <v>21</v>
      </c>
      <c r="G22" s="18">
        <f>'Summary-2010'!AG21</f>
        <v>21</v>
      </c>
      <c r="I22" s="18" t="str">
        <f t="shared" si="8"/>
        <v>Riverside</v>
      </c>
      <c r="J22" s="18">
        <f>'Summary-1990'!AB21</f>
        <v>26</v>
      </c>
      <c r="K22" s="18">
        <f>'Summary-1990'!AC21</f>
        <v>20</v>
      </c>
      <c r="L22" s="18">
        <f>'Summary-1990'!AD21</f>
        <v>26</v>
      </c>
      <c r="M22" s="18">
        <f>'Summary-1990'!AE21</f>
        <v>27</v>
      </c>
      <c r="N22" s="18">
        <f>'Summary-1990'!AF21</f>
        <v>27</v>
      </c>
      <c r="O22" s="18">
        <f>'Summary-1990'!AG21</f>
        <v>27</v>
      </c>
      <c r="Q22" s="18" t="str">
        <f t="shared" si="9"/>
        <v>Riverside</v>
      </c>
      <c r="R22" s="18">
        <f t="shared" si="10"/>
        <v>-22</v>
      </c>
      <c r="S22" s="18">
        <f t="shared" si="2"/>
        <v>-16</v>
      </c>
      <c r="T22" s="18">
        <f t="shared" si="3"/>
        <v>-12</v>
      </c>
      <c r="U22" s="18">
        <f t="shared" si="4"/>
        <v>-6</v>
      </c>
      <c r="V22" s="18">
        <f t="shared" si="5"/>
        <v>-6</v>
      </c>
      <c r="W22" s="18">
        <f t="shared" si="6"/>
        <v>-6</v>
      </c>
      <c r="Y22" s="29" t="str">
        <f t="shared" si="11"/>
        <v>Riverside</v>
      </c>
      <c r="Z22" s="18">
        <f t="shared" si="12"/>
        <v>45</v>
      </c>
      <c r="AA22" s="18">
        <f t="shared" si="13"/>
        <v>43</v>
      </c>
      <c r="AB22" s="18">
        <f t="shared" si="14"/>
        <v>44</v>
      </c>
      <c r="AC22" s="18">
        <f t="shared" si="15"/>
        <v>46</v>
      </c>
      <c r="AD22" s="18">
        <f t="shared" si="16"/>
        <v>47</v>
      </c>
      <c r="AE22" s="18">
        <f t="shared" si="17"/>
        <v>47</v>
      </c>
    </row>
    <row r="23" spans="1:31">
      <c r="A23" s="18" t="str">
        <f>'Trends2000-1990'!AA22</f>
        <v>Jacksonville</v>
      </c>
      <c r="B23" s="18">
        <f>'Summary-2010'!AB22</f>
        <v>9</v>
      </c>
      <c r="C23" s="18">
        <f>'Summary-2010'!AC22</f>
        <v>7</v>
      </c>
      <c r="D23" s="18">
        <f>'Summary-2010'!AD22</f>
        <v>19</v>
      </c>
      <c r="E23" s="18">
        <f>'Summary-2010'!AE22</f>
        <v>27</v>
      </c>
      <c r="F23" s="18">
        <f>'Summary-2010'!AF22</f>
        <v>27</v>
      </c>
      <c r="G23" s="18">
        <f>'Summary-2010'!AG22</f>
        <v>27</v>
      </c>
      <c r="I23" s="18" t="str">
        <f t="shared" si="8"/>
        <v>Jacksonville</v>
      </c>
      <c r="J23" s="18">
        <f>'Summary-1990'!AB22</f>
        <v>51</v>
      </c>
      <c r="K23" s="18">
        <f>'Summary-1990'!AC22</f>
        <v>51</v>
      </c>
      <c r="L23" s="18">
        <f>'Summary-1990'!AD22</f>
        <v>46</v>
      </c>
      <c r="M23" s="18">
        <f>'Summary-1990'!AE22</f>
        <v>46</v>
      </c>
      <c r="N23" s="18">
        <f>'Summary-1990'!AF22</f>
        <v>46</v>
      </c>
      <c r="O23" s="18">
        <f>'Summary-1990'!AG22</f>
        <v>46</v>
      </c>
      <c r="Q23" s="18" t="str">
        <f t="shared" si="9"/>
        <v>Jacksonville</v>
      </c>
      <c r="R23" s="18">
        <f t="shared" si="10"/>
        <v>-42</v>
      </c>
      <c r="S23" s="18">
        <f t="shared" si="2"/>
        <v>-44</v>
      </c>
      <c r="T23" s="18">
        <f t="shared" si="3"/>
        <v>-27</v>
      </c>
      <c r="U23" s="18">
        <f t="shared" si="4"/>
        <v>-19</v>
      </c>
      <c r="V23" s="18">
        <f t="shared" si="5"/>
        <v>-19</v>
      </c>
      <c r="W23" s="18">
        <f t="shared" si="6"/>
        <v>-19</v>
      </c>
      <c r="Y23" s="29" t="str">
        <f t="shared" si="11"/>
        <v>Jacksonville</v>
      </c>
      <c r="Z23" s="18">
        <f t="shared" si="12"/>
        <v>51</v>
      </c>
      <c r="AA23" s="18">
        <f t="shared" si="13"/>
        <v>51</v>
      </c>
      <c r="AB23" s="18">
        <f t="shared" si="14"/>
        <v>51</v>
      </c>
      <c r="AC23" s="18">
        <f t="shared" si="15"/>
        <v>51</v>
      </c>
      <c r="AD23" s="18">
        <f t="shared" si="16"/>
        <v>51</v>
      </c>
      <c r="AE23" s="18">
        <f t="shared" si="17"/>
        <v>51</v>
      </c>
    </row>
    <row r="24" spans="1:31">
      <c r="A24" s="18" t="str">
        <f>'Trends2000-1990'!AA23</f>
        <v>Kansas City</v>
      </c>
      <c r="B24" s="18">
        <f>'Summary-2010'!AB23</f>
        <v>13</v>
      </c>
      <c r="C24" s="18">
        <f>'Summary-2010'!AC23</f>
        <v>14</v>
      </c>
      <c r="D24" s="18">
        <f>'Summary-2010'!AD23</f>
        <v>15</v>
      </c>
      <c r="E24" s="18">
        <f>'Summary-2010'!AE23</f>
        <v>23</v>
      </c>
      <c r="F24" s="18">
        <f>'Summary-2010'!AF23</f>
        <v>23</v>
      </c>
      <c r="G24" s="18">
        <f>'Summary-2010'!AG23</f>
        <v>23</v>
      </c>
      <c r="I24" s="18" t="str">
        <f t="shared" si="8"/>
        <v>Kansas City</v>
      </c>
      <c r="J24" s="18">
        <f>'Summary-1990'!AB23</f>
        <v>48</v>
      </c>
      <c r="K24" s="18">
        <f>'Summary-1990'!AC23</f>
        <v>48</v>
      </c>
      <c r="L24" s="18">
        <f>'Summary-1990'!AD23</f>
        <v>27</v>
      </c>
      <c r="M24" s="18">
        <f>'Summary-1990'!AE23</f>
        <v>26</v>
      </c>
      <c r="N24" s="18">
        <f>'Summary-1990'!AF23</f>
        <v>26</v>
      </c>
      <c r="O24" s="18">
        <f>'Summary-1990'!AG23</f>
        <v>26</v>
      </c>
      <c r="Q24" s="18" t="str">
        <f t="shared" si="9"/>
        <v>Kansas City</v>
      </c>
      <c r="R24" s="18">
        <f t="shared" si="10"/>
        <v>-35</v>
      </c>
      <c r="S24" s="18">
        <f t="shared" si="2"/>
        <v>-34</v>
      </c>
      <c r="T24" s="18">
        <f t="shared" si="3"/>
        <v>-12</v>
      </c>
      <c r="U24" s="18">
        <f t="shared" si="4"/>
        <v>-3</v>
      </c>
      <c r="V24" s="18">
        <f t="shared" si="5"/>
        <v>-3</v>
      </c>
      <c r="W24" s="18">
        <f t="shared" si="6"/>
        <v>-3</v>
      </c>
      <c r="Y24" s="29" t="str">
        <f t="shared" si="11"/>
        <v>Kansas City</v>
      </c>
      <c r="Z24" s="18">
        <f t="shared" si="12"/>
        <v>49</v>
      </c>
      <c r="AA24" s="18">
        <f t="shared" si="13"/>
        <v>49</v>
      </c>
      <c r="AB24" s="18">
        <f t="shared" si="14"/>
        <v>44</v>
      </c>
      <c r="AC24" s="18">
        <f t="shared" si="15"/>
        <v>38</v>
      </c>
      <c r="AD24" s="18">
        <f t="shared" si="16"/>
        <v>42</v>
      </c>
      <c r="AE24" s="18">
        <f t="shared" si="17"/>
        <v>42</v>
      </c>
    </row>
    <row r="25" spans="1:31">
      <c r="A25" s="18" t="str">
        <f>'Trends2000-1990'!AA24</f>
        <v>Las Vegas</v>
      </c>
      <c r="B25" s="18">
        <f>'Summary-2010'!AB24</f>
        <v>11</v>
      </c>
      <c r="C25" s="18">
        <f>'Summary-2010'!AC24</f>
        <v>10</v>
      </c>
      <c r="D25" s="18">
        <f>'Summary-2010'!AD24</f>
        <v>29</v>
      </c>
      <c r="E25" s="18">
        <f>'Summary-2010'!AE24</f>
        <v>33</v>
      </c>
      <c r="F25" s="18">
        <f>'Summary-2010'!AF24</f>
        <v>33</v>
      </c>
      <c r="G25" s="18">
        <f>'Summary-2010'!AG24</f>
        <v>33</v>
      </c>
      <c r="I25" s="18" t="str">
        <f t="shared" si="8"/>
        <v>Las Vegas</v>
      </c>
      <c r="J25" s="18">
        <f>'Summary-1990'!AB24</f>
        <v>34</v>
      </c>
      <c r="K25" s="18">
        <f>'Summary-1990'!AC24</f>
        <v>43</v>
      </c>
      <c r="L25" s="18">
        <f>'Summary-1990'!AD24</f>
        <v>50</v>
      </c>
      <c r="M25" s="18">
        <f>'Summary-1990'!AE24</f>
        <v>50</v>
      </c>
      <c r="N25" s="18">
        <f>'Summary-1990'!AF24</f>
        <v>50</v>
      </c>
      <c r="O25" s="18">
        <f>'Summary-1990'!AG24</f>
        <v>50</v>
      </c>
      <c r="Q25" s="18" t="str">
        <f t="shared" si="9"/>
        <v>Las Vegas</v>
      </c>
      <c r="R25" s="18">
        <f t="shared" si="10"/>
        <v>-23</v>
      </c>
      <c r="S25" s="18">
        <f t="shared" si="2"/>
        <v>-33</v>
      </c>
      <c r="T25" s="18">
        <f t="shared" si="3"/>
        <v>-21</v>
      </c>
      <c r="U25" s="18">
        <f t="shared" si="4"/>
        <v>-17</v>
      </c>
      <c r="V25" s="18">
        <f t="shared" si="5"/>
        <v>-17</v>
      </c>
      <c r="W25" s="18">
        <f t="shared" si="6"/>
        <v>-17</v>
      </c>
      <c r="Y25" s="29" t="str">
        <f t="shared" si="11"/>
        <v>Las Vegas</v>
      </c>
      <c r="Z25" s="18">
        <f t="shared" si="12"/>
        <v>46</v>
      </c>
      <c r="AA25" s="18">
        <f t="shared" si="13"/>
        <v>48</v>
      </c>
      <c r="AB25" s="18">
        <f t="shared" si="14"/>
        <v>50</v>
      </c>
      <c r="AC25" s="18">
        <f t="shared" si="15"/>
        <v>50</v>
      </c>
      <c r="AD25" s="18">
        <f t="shared" si="16"/>
        <v>50</v>
      </c>
      <c r="AE25" s="18">
        <f t="shared" si="17"/>
        <v>50</v>
      </c>
    </row>
    <row r="26" spans="1:31">
      <c r="A26" s="18" t="str">
        <f>'Trends2000-1990'!AA25</f>
        <v>Los Angeles</v>
      </c>
      <c r="B26" s="18">
        <f>'Summary-2010'!AB25</f>
        <v>3</v>
      </c>
      <c r="C26" s="18">
        <f>'Summary-2010'!AC25</f>
        <v>2</v>
      </c>
      <c r="D26" s="18">
        <f>'Summary-2010'!AD25</f>
        <v>1</v>
      </c>
      <c r="E26" s="18">
        <f>'Summary-2010'!AE25</f>
        <v>1</v>
      </c>
      <c r="F26" s="18">
        <f>'Summary-2010'!AF25</f>
        <v>1</v>
      </c>
      <c r="G26" s="18">
        <f>'Summary-2010'!AG25</f>
        <v>2</v>
      </c>
      <c r="I26" s="18" t="str">
        <f t="shared" si="8"/>
        <v>Los Angeles</v>
      </c>
      <c r="J26" s="18">
        <f>'Summary-1990'!AB25</f>
        <v>19</v>
      </c>
      <c r="K26" s="18">
        <f>'Summary-1990'!AC25</f>
        <v>12</v>
      </c>
      <c r="L26" s="18">
        <f>'Summary-1990'!AD25</f>
        <v>6</v>
      </c>
      <c r="M26" s="18">
        <f>'Summary-1990'!AE25</f>
        <v>4</v>
      </c>
      <c r="N26" s="18">
        <f>'Summary-1990'!AF25</f>
        <v>2</v>
      </c>
      <c r="O26" s="18">
        <f>'Summary-1990'!AG25</f>
        <v>2</v>
      </c>
      <c r="Q26" s="18" t="str">
        <f t="shared" si="9"/>
        <v>Los Angeles</v>
      </c>
      <c r="R26" s="18">
        <f t="shared" si="10"/>
        <v>-16</v>
      </c>
      <c r="S26" s="18">
        <f t="shared" si="2"/>
        <v>-10</v>
      </c>
      <c r="T26" s="18">
        <f t="shared" si="3"/>
        <v>-5</v>
      </c>
      <c r="U26" s="18">
        <f t="shared" si="4"/>
        <v>-3</v>
      </c>
      <c r="V26" s="18">
        <f t="shared" si="5"/>
        <v>-1</v>
      </c>
      <c r="W26" s="18">
        <f t="shared" si="6"/>
        <v>0</v>
      </c>
      <c r="Y26" s="29" t="str">
        <f t="shared" si="11"/>
        <v>Los Angeles</v>
      </c>
      <c r="Z26" s="18">
        <f t="shared" si="12"/>
        <v>40</v>
      </c>
      <c r="AA26" s="18">
        <f t="shared" si="13"/>
        <v>35</v>
      </c>
      <c r="AB26" s="18">
        <f t="shared" si="14"/>
        <v>37</v>
      </c>
      <c r="AC26" s="18">
        <f t="shared" si="15"/>
        <v>38</v>
      </c>
      <c r="AD26" s="18">
        <f t="shared" si="16"/>
        <v>29</v>
      </c>
      <c r="AE26" s="18">
        <f t="shared" si="17"/>
        <v>22</v>
      </c>
    </row>
    <row r="27" spans="1:31">
      <c r="A27" s="18" t="str">
        <f>'Trends2000-1990'!AA26</f>
        <v>Louisville</v>
      </c>
      <c r="B27" s="18">
        <f>'Summary-2010'!AB26</f>
        <v>32</v>
      </c>
      <c r="C27" s="18">
        <f>'Summary-2010'!AC26</f>
        <v>30</v>
      </c>
      <c r="D27" s="18">
        <f>'Summary-2010'!AD26</f>
        <v>43</v>
      </c>
      <c r="E27" s="18">
        <f>'Summary-2010'!AE26</f>
        <v>43</v>
      </c>
      <c r="F27" s="18">
        <f>'Summary-2010'!AF26</f>
        <v>43</v>
      </c>
      <c r="G27" s="18">
        <f>'Summary-2010'!AG26</f>
        <v>43</v>
      </c>
      <c r="I27" s="18" t="str">
        <f t="shared" si="8"/>
        <v>Louisville</v>
      </c>
      <c r="J27" s="18">
        <f>'Summary-1990'!AB26</f>
        <v>38</v>
      </c>
      <c r="K27" s="18">
        <f>'Summary-1990'!AC26</f>
        <v>31</v>
      </c>
      <c r="L27" s="18">
        <f>'Summary-1990'!AD26</f>
        <v>45</v>
      </c>
      <c r="M27" s="18">
        <f>'Summary-1990'!AE26</f>
        <v>45</v>
      </c>
      <c r="N27" s="18">
        <f>'Summary-1990'!AF26</f>
        <v>45</v>
      </c>
      <c r="O27" s="18">
        <f>'Summary-1990'!AG26</f>
        <v>45</v>
      </c>
      <c r="Q27" s="18" t="str">
        <f t="shared" si="9"/>
        <v>Louisville</v>
      </c>
      <c r="R27" s="18">
        <f t="shared" si="10"/>
        <v>-6</v>
      </c>
      <c r="S27" s="18">
        <f t="shared" si="2"/>
        <v>-1</v>
      </c>
      <c r="T27" s="18">
        <f t="shared" si="3"/>
        <v>-2</v>
      </c>
      <c r="U27" s="18">
        <f t="shared" si="4"/>
        <v>-2</v>
      </c>
      <c r="V27" s="18">
        <f t="shared" si="5"/>
        <v>-2</v>
      </c>
      <c r="W27" s="18">
        <f t="shared" si="6"/>
        <v>-2</v>
      </c>
      <c r="Y27" s="29" t="str">
        <f t="shared" si="11"/>
        <v>Louisville</v>
      </c>
      <c r="Z27" s="18">
        <f t="shared" si="12"/>
        <v>28</v>
      </c>
      <c r="AA27" s="18">
        <f t="shared" si="13"/>
        <v>28</v>
      </c>
      <c r="AB27" s="18">
        <f t="shared" si="14"/>
        <v>31</v>
      </c>
      <c r="AC27" s="18">
        <f t="shared" si="15"/>
        <v>36</v>
      </c>
      <c r="AD27" s="18">
        <f t="shared" si="16"/>
        <v>35</v>
      </c>
      <c r="AE27" s="18">
        <f t="shared" si="17"/>
        <v>35</v>
      </c>
    </row>
    <row r="28" spans="1:31">
      <c r="A28" s="18" t="str">
        <f>'Trends2000-1990'!AA27</f>
        <v>Memphis</v>
      </c>
      <c r="B28" s="18">
        <f>'Summary-2010'!AB27</f>
        <v>42</v>
      </c>
      <c r="C28" s="18">
        <f>'Summary-2010'!AC27</f>
        <v>39</v>
      </c>
      <c r="D28" s="18">
        <f>'Summary-2010'!AD27</f>
        <v>44</v>
      </c>
      <c r="E28" s="18">
        <f>'Summary-2010'!AE27</f>
        <v>44</v>
      </c>
      <c r="F28" s="18">
        <f>'Summary-2010'!AF27</f>
        <v>44</v>
      </c>
      <c r="G28" s="18">
        <f>'Summary-2010'!AG27</f>
        <v>44</v>
      </c>
      <c r="I28" s="18" t="str">
        <f t="shared" si="8"/>
        <v>Memphis</v>
      </c>
      <c r="J28" s="18">
        <f>'Summary-1990'!AB27</f>
        <v>36</v>
      </c>
      <c r="K28" s="18">
        <f>'Summary-1990'!AC27</f>
        <v>33</v>
      </c>
      <c r="L28" s="18">
        <f>'Summary-1990'!AD27</f>
        <v>44</v>
      </c>
      <c r="M28" s="18">
        <f>'Summary-1990'!AE27</f>
        <v>44</v>
      </c>
      <c r="N28" s="18">
        <f>'Summary-1990'!AF27</f>
        <v>44</v>
      </c>
      <c r="O28" s="18">
        <f>'Summary-1990'!AG27</f>
        <v>44</v>
      </c>
      <c r="Q28" s="18" t="str">
        <f t="shared" si="9"/>
        <v>Memphis</v>
      </c>
      <c r="R28" s="18">
        <f t="shared" si="10"/>
        <v>6</v>
      </c>
      <c r="S28" s="18">
        <f t="shared" si="2"/>
        <v>6</v>
      </c>
      <c r="T28" s="18">
        <f t="shared" si="3"/>
        <v>0</v>
      </c>
      <c r="U28" s="18">
        <f t="shared" si="4"/>
        <v>0</v>
      </c>
      <c r="V28" s="18">
        <f t="shared" si="5"/>
        <v>0</v>
      </c>
      <c r="W28" s="18">
        <f t="shared" si="6"/>
        <v>0</v>
      </c>
      <c r="Y28" s="29" t="str">
        <f t="shared" si="11"/>
        <v>Memphis</v>
      </c>
      <c r="Z28" s="18">
        <f t="shared" si="12"/>
        <v>20</v>
      </c>
      <c r="AA28" s="18">
        <f t="shared" si="13"/>
        <v>20</v>
      </c>
      <c r="AB28" s="18">
        <f t="shared" si="14"/>
        <v>24</v>
      </c>
      <c r="AC28" s="18">
        <f t="shared" si="15"/>
        <v>23</v>
      </c>
      <c r="AD28" s="18">
        <f t="shared" si="16"/>
        <v>23</v>
      </c>
      <c r="AE28" s="18">
        <f t="shared" si="17"/>
        <v>22</v>
      </c>
    </row>
    <row r="29" spans="1:31">
      <c r="A29" s="18" t="str">
        <f>'Trends2000-1990'!AA28</f>
        <v>Milwaukee</v>
      </c>
      <c r="B29" s="18">
        <f>'Summary-2010'!AB28</f>
        <v>12</v>
      </c>
      <c r="C29" s="18">
        <f>'Summary-2010'!AC28</f>
        <v>9</v>
      </c>
      <c r="D29" s="18">
        <f>'Summary-2010'!AD28</f>
        <v>28</v>
      </c>
      <c r="E29" s="18">
        <f>'Summary-2010'!AE28</f>
        <v>32</v>
      </c>
      <c r="F29" s="18">
        <f>'Summary-2010'!AF28</f>
        <v>32</v>
      </c>
      <c r="G29" s="18">
        <f>'Summary-2010'!AG28</f>
        <v>32</v>
      </c>
      <c r="I29" s="18" t="str">
        <f t="shared" si="8"/>
        <v>Milwaukee</v>
      </c>
      <c r="J29" s="18">
        <f>'Summary-1990'!AB28</f>
        <v>22</v>
      </c>
      <c r="K29" s="18">
        <f>'Summary-1990'!AC28</f>
        <v>14</v>
      </c>
      <c r="L29" s="18">
        <f>'Summary-1990'!AD28</f>
        <v>25</v>
      </c>
      <c r="M29" s="18">
        <f>'Summary-1990'!AE28</f>
        <v>25</v>
      </c>
      <c r="N29" s="18">
        <f>'Summary-1990'!AF28</f>
        <v>25</v>
      </c>
      <c r="O29" s="18">
        <f>'Summary-1990'!AG28</f>
        <v>25</v>
      </c>
      <c r="Q29" s="18" t="str">
        <f t="shared" si="9"/>
        <v>Milwaukee</v>
      </c>
      <c r="R29" s="18">
        <f t="shared" si="10"/>
        <v>-10</v>
      </c>
      <c r="S29" s="18">
        <f t="shared" si="2"/>
        <v>-5</v>
      </c>
      <c r="T29" s="18">
        <f t="shared" si="3"/>
        <v>3</v>
      </c>
      <c r="U29" s="18">
        <f t="shared" si="4"/>
        <v>7</v>
      </c>
      <c r="V29" s="18">
        <f t="shared" si="5"/>
        <v>7</v>
      </c>
      <c r="W29" s="18">
        <f t="shared" si="6"/>
        <v>7</v>
      </c>
      <c r="Y29" s="29" t="str">
        <f t="shared" si="11"/>
        <v>Milwaukee</v>
      </c>
      <c r="Z29" s="18">
        <f t="shared" si="12"/>
        <v>33</v>
      </c>
      <c r="AA29" s="18">
        <f t="shared" si="13"/>
        <v>32</v>
      </c>
      <c r="AB29" s="18">
        <f t="shared" si="14"/>
        <v>16</v>
      </c>
      <c r="AC29" s="18">
        <f t="shared" si="15"/>
        <v>6</v>
      </c>
      <c r="AD29" s="18">
        <f t="shared" si="16"/>
        <v>5</v>
      </c>
      <c r="AE29" s="18">
        <f t="shared" si="17"/>
        <v>5</v>
      </c>
    </row>
    <row r="30" spans="1:31">
      <c r="A30" s="18" t="str">
        <f>'Trends2000-1990'!AA29</f>
        <v>Minneapolis</v>
      </c>
      <c r="B30" s="18">
        <f>'Summary-2010'!AB29</f>
        <v>7</v>
      </c>
      <c r="C30" s="18">
        <f>'Summary-2010'!AC29</f>
        <v>6</v>
      </c>
      <c r="D30" s="18">
        <f>'Summary-2010'!AD29</f>
        <v>4</v>
      </c>
      <c r="E30" s="18">
        <f>'Summary-2010'!AE29</f>
        <v>10</v>
      </c>
      <c r="F30" s="18">
        <f>'Summary-2010'!AF29</f>
        <v>12</v>
      </c>
      <c r="G30" s="18">
        <f>'Summary-2010'!AG29</f>
        <v>12</v>
      </c>
      <c r="I30" s="18" t="str">
        <f t="shared" si="8"/>
        <v>Minneapolis</v>
      </c>
      <c r="J30" s="18">
        <f>'Summary-1990'!AB29</f>
        <v>42</v>
      </c>
      <c r="K30" s="18">
        <f>'Summary-1990'!AC29</f>
        <v>41</v>
      </c>
      <c r="L30" s="18">
        <f>'Summary-1990'!AD29</f>
        <v>20</v>
      </c>
      <c r="M30" s="18">
        <f>'Summary-1990'!AE29</f>
        <v>14</v>
      </c>
      <c r="N30" s="18">
        <f>'Summary-1990'!AF29</f>
        <v>14</v>
      </c>
      <c r="O30" s="18">
        <f>'Summary-1990'!AG29</f>
        <v>14</v>
      </c>
      <c r="Q30" s="18" t="str">
        <f t="shared" si="9"/>
        <v>Minneapolis</v>
      </c>
      <c r="R30" s="18">
        <f t="shared" si="10"/>
        <v>-35</v>
      </c>
      <c r="S30" s="18">
        <f t="shared" si="2"/>
        <v>-35</v>
      </c>
      <c r="T30" s="18">
        <f t="shared" si="3"/>
        <v>-16</v>
      </c>
      <c r="U30" s="18">
        <f t="shared" si="4"/>
        <v>-4</v>
      </c>
      <c r="V30" s="18">
        <f t="shared" si="5"/>
        <v>-2</v>
      </c>
      <c r="W30" s="18">
        <f t="shared" si="6"/>
        <v>-2</v>
      </c>
      <c r="Y30" s="29" t="str">
        <f t="shared" si="11"/>
        <v>Minneapolis</v>
      </c>
      <c r="Z30" s="18">
        <f t="shared" si="12"/>
        <v>49</v>
      </c>
      <c r="AA30" s="18">
        <f t="shared" si="13"/>
        <v>50</v>
      </c>
      <c r="AB30" s="18">
        <f t="shared" si="14"/>
        <v>49</v>
      </c>
      <c r="AC30" s="18">
        <f t="shared" si="15"/>
        <v>43</v>
      </c>
      <c r="AD30" s="18">
        <f t="shared" si="16"/>
        <v>35</v>
      </c>
      <c r="AE30" s="18">
        <f t="shared" si="17"/>
        <v>35</v>
      </c>
    </row>
    <row r="31" spans="1:31">
      <c r="A31" s="18" t="str">
        <f>'Trends2000-1990'!AA30</f>
        <v>Nashville</v>
      </c>
      <c r="B31" s="18">
        <f>'Summary-2010'!AB30</f>
        <v>35</v>
      </c>
      <c r="C31" s="18">
        <f>'Summary-2010'!AC30</f>
        <v>33</v>
      </c>
      <c r="D31" s="18">
        <f>'Summary-2010'!AD30</f>
        <v>34</v>
      </c>
      <c r="E31" s="18">
        <f>'Summary-2010'!AE30</f>
        <v>36</v>
      </c>
      <c r="F31" s="18">
        <f>'Summary-2010'!AF30</f>
        <v>36</v>
      </c>
      <c r="G31" s="18">
        <f>'Summary-2010'!AG30</f>
        <v>36</v>
      </c>
      <c r="I31" s="18" t="str">
        <f t="shared" si="8"/>
        <v>Nashville</v>
      </c>
      <c r="J31" s="18">
        <f>'Summary-1990'!AB30</f>
        <v>49</v>
      </c>
      <c r="K31" s="18">
        <f>'Summary-1990'!AC30</f>
        <v>49</v>
      </c>
      <c r="L31" s="18">
        <f>'Summary-1990'!AD30</f>
        <v>40</v>
      </c>
      <c r="M31" s="18">
        <f>'Summary-1990'!AE30</f>
        <v>40</v>
      </c>
      <c r="N31" s="18">
        <f>'Summary-1990'!AF30</f>
        <v>40</v>
      </c>
      <c r="O31" s="18">
        <f>'Summary-1990'!AG30</f>
        <v>40</v>
      </c>
      <c r="Q31" s="18" t="str">
        <f t="shared" si="9"/>
        <v>Nashville</v>
      </c>
      <c r="R31" s="18">
        <f t="shared" si="10"/>
        <v>-14</v>
      </c>
      <c r="S31" s="18">
        <f t="shared" si="2"/>
        <v>-16</v>
      </c>
      <c r="T31" s="18">
        <f t="shared" si="3"/>
        <v>-6</v>
      </c>
      <c r="U31" s="18">
        <f t="shared" si="4"/>
        <v>-4</v>
      </c>
      <c r="V31" s="18">
        <f t="shared" si="5"/>
        <v>-4</v>
      </c>
      <c r="W31" s="18">
        <f t="shared" si="6"/>
        <v>-4</v>
      </c>
      <c r="Y31" s="29" t="str">
        <f t="shared" si="11"/>
        <v>Nashville</v>
      </c>
      <c r="Z31" s="18">
        <f t="shared" si="12"/>
        <v>39</v>
      </c>
      <c r="AA31" s="18">
        <f t="shared" si="13"/>
        <v>43</v>
      </c>
      <c r="AB31" s="18">
        <f t="shared" si="14"/>
        <v>41</v>
      </c>
      <c r="AC31" s="18">
        <f t="shared" si="15"/>
        <v>43</v>
      </c>
      <c r="AD31" s="18">
        <f t="shared" si="16"/>
        <v>45</v>
      </c>
      <c r="AE31" s="18">
        <f t="shared" si="17"/>
        <v>45</v>
      </c>
    </row>
    <row r="32" spans="1:31">
      <c r="A32" s="18" t="str">
        <f>'Trends2000-1990'!AA31</f>
        <v>New Orleans</v>
      </c>
      <c r="B32" s="18">
        <f>'Summary-2010'!AB31</f>
        <v>6</v>
      </c>
      <c r="C32" s="18">
        <f>'Summary-2010'!AC31</f>
        <v>19</v>
      </c>
      <c r="D32" s="18">
        <f>'Summary-2010'!AD31</f>
        <v>47</v>
      </c>
      <c r="E32" s="18">
        <f>'Summary-2010'!AE31</f>
        <v>47</v>
      </c>
      <c r="F32" s="18">
        <f>'Summary-2010'!AF31</f>
        <v>47</v>
      </c>
      <c r="G32" s="18">
        <f>'Summary-2010'!AG31</f>
        <v>47</v>
      </c>
      <c r="I32" s="18" t="str">
        <f t="shared" si="8"/>
        <v>New Orleans</v>
      </c>
      <c r="J32" s="18">
        <f>'Summary-1990'!AB31</f>
        <v>23</v>
      </c>
      <c r="K32" s="18">
        <f>'Summary-1990'!AC31</f>
        <v>21</v>
      </c>
      <c r="L32" s="18">
        <f>'Summary-1990'!AD31</f>
        <v>39</v>
      </c>
      <c r="M32" s="18">
        <f>'Summary-1990'!AE31</f>
        <v>39</v>
      </c>
      <c r="N32" s="18">
        <f>'Summary-1990'!AF31</f>
        <v>39</v>
      </c>
      <c r="O32" s="18">
        <f>'Summary-1990'!AG31</f>
        <v>39</v>
      </c>
      <c r="Q32" s="18" t="str">
        <f t="shared" si="9"/>
        <v>New Orleans</v>
      </c>
      <c r="R32" s="18">
        <f t="shared" si="10"/>
        <v>-17</v>
      </c>
      <c r="S32" s="18">
        <f t="shared" si="2"/>
        <v>-2</v>
      </c>
      <c r="T32" s="18">
        <f t="shared" si="3"/>
        <v>8</v>
      </c>
      <c r="U32" s="18">
        <f t="shared" si="4"/>
        <v>8</v>
      </c>
      <c r="V32" s="18">
        <f t="shared" si="5"/>
        <v>8</v>
      </c>
      <c r="W32" s="18">
        <f t="shared" si="6"/>
        <v>8</v>
      </c>
      <c r="Y32" s="29" t="str">
        <f t="shared" si="11"/>
        <v>New Orleans</v>
      </c>
      <c r="Z32" s="18">
        <f t="shared" si="12"/>
        <v>42</v>
      </c>
      <c r="AA32" s="18">
        <f t="shared" si="13"/>
        <v>29</v>
      </c>
      <c r="AB32" s="18">
        <f t="shared" si="14"/>
        <v>9</v>
      </c>
      <c r="AC32" s="18">
        <f t="shared" si="15"/>
        <v>3</v>
      </c>
      <c r="AD32" s="18">
        <f t="shared" si="16"/>
        <v>3</v>
      </c>
      <c r="AE32" s="18">
        <f t="shared" si="17"/>
        <v>3</v>
      </c>
    </row>
    <row r="33" spans="1:31">
      <c r="A33" s="18" t="str">
        <f>'Trends2000-1990'!AA32</f>
        <v>New York</v>
      </c>
      <c r="B33" s="18">
        <f>'Summary-2010'!AB32</f>
        <v>5</v>
      </c>
      <c r="C33" s="18">
        <f>'Summary-2010'!AC32</f>
        <v>5</v>
      </c>
      <c r="D33" s="18">
        <f>'Summary-2010'!AD32</f>
        <v>3</v>
      </c>
      <c r="E33" s="18">
        <f>'Summary-2010'!AE32</f>
        <v>2</v>
      </c>
      <c r="F33" s="18">
        <f>'Summary-2010'!AF32</f>
        <v>2</v>
      </c>
      <c r="G33" s="18">
        <f>'Summary-2010'!AG32</f>
        <v>1</v>
      </c>
      <c r="I33" s="18" t="str">
        <f t="shared" si="8"/>
        <v>New York</v>
      </c>
      <c r="J33" s="18">
        <f>'Summary-1990'!AB32</f>
        <v>10</v>
      </c>
      <c r="K33" s="18">
        <f>'Summary-1990'!AC32</f>
        <v>4</v>
      </c>
      <c r="L33" s="18">
        <f>'Summary-1990'!AD32</f>
        <v>2</v>
      </c>
      <c r="M33" s="18">
        <f>'Summary-1990'!AE32</f>
        <v>1</v>
      </c>
      <c r="N33" s="18">
        <f>'Summary-1990'!AF32</f>
        <v>1</v>
      </c>
      <c r="O33" s="18">
        <f>'Summary-1990'!AG32</f>
        <v>1</v>
      </c>
      <c r="Q33" s="18" t="str">
        <f t="shared" si="9"/>
        <v>New York</v>
      </c>
      <c r="R33" s="18">
        <f t="shared" si="10"/>
        <v>-5</v>
      </c>
      <c r="S33" s="18">
        <f t="shared" si="2"/>
        <v>1</v>
      </c>
      <c r="T33" s="18">
        <f t="shared" si="3"/>
        <v>1</v>
      </c>
      <c r="U33" s="18">
        <f t="shared" si="4"/>
        <v>1</v>
      </c>
      <c r="V33" s="18">
        <f t="shared" si="5"/>
        <v>1</v>
      </c>
      <c r="W33" s="18">
        <f t="shared" si="6"/>
        <v>0</v>
      </c>
      <c r="Y33" s="29" t="str">
        <f t="shared" si="11"/>
        <v>New York</v>
      </c>
      <c r="Z33" s="18">
        <f t="shared" si="12"/>
        <v>27</v>
      </c>
      <c r="AA33" s="18">
        <f t="shared" si="13"/>
        <v>25</v>
      </c>
      <c r="AB33" s="18">
        <f t="shared" si="14"/>
        <v>21</v>
      </c>
      <c r="AC33" s="18">
        <f t="shared" si="15"/>
        <v>16</v>
      </c>
      <c r="AD33" s="18">
        <f t="shared" si="16"/>
        <v>18</v>
      </c>
      <c r="AE33" s="18">
        <f t="shared" si="17"/>
        <v>22</v>
      </c>
    </row>
    <row r="34" spans="1:31">
      <c r="A34" s="18" t="str">
        <f>'Trends2000-1990'!AA33</f>
        <v>Oklahoma City</v>
      </c>
      <c r="B34" s="18">
        <f>'Summary-2010'!AB33</f>
        <v>37</v>
      </c>
      <c r="C34" s="18">
        <f>'Summary-2010'!AC33</f>
        <v>37</v>
      </c>
      <c r="D34" s="18">
        <f>'Summary-2010'!AD33</f>
        <v>46</v>
      </c>
      <c r="E34" s="18">
        <f>'Summary-2010'!AE33</f>
        <v>46</v>
      </c>
      <c r="F34" s="18">
        <f>'Summary-2010'!AF33</f>
        <v>46</v>
      </c>
      <c r="G34" s="18">
        <f>'Summary-2010'!AG33</f>
        <v>46</v>
      </c>
      <c r="I34" s="18" t="str">
        <f t="shared" si="8"/>
        <v>Oklahoma City</v>
      </c>
      <c r="J34" s="18">
        <f>'Summary-1990'!AB33</f>
        <v>50</v>
      </c>
      <c r="K34" s="18">
        <f>'Summary-1990'!AC33</f>
        <v>50</v>
      </c>
      <c r="L34" s="18">
        <f>'Summary-1990'!AD33</f>
        <v>43</v>
      </c>
      <c r="M34" s="18">
        <f>'Summary-1990'!AE33</f>
        <v>43</v>
      </c>
      <c r="N34" s="18">
        <f>'Summary-1990'!AF33</f>
        <v>43</v>
      </c>
      <c r="O34" s="18">
        <f>'Summary-1990'!AG33</f>
        <v>43</v>
      </c>
      <c r="Q34" s="18" t="str">
        <f t="shared" si="9"/>
        <v>Oklahoma City</v>
      </c>
      <c r="R34" s="18">
        <f t="shared" si="10"/>
        <v>-13</v>
      </c>
      <c r="S34" s="18">
        <f t="shared" si="2"/>
        <v>-13</v>
      </c>
      <c r="T34" s="18">
        <f t="shared" si="3"/>
        <v>3</v>
      </c>
      <c r="U34" s="18">
        <f t="shared" si="4"/>
        <v>3</v>
      </c>
      <c r="V34" s="18">
        <f t="shared" si="5"/>
        <v>3</v>
      </c>
      <c r="W34" s="18">
        <f t="shared" si="6"/>
        <v>3</v>
      </c>
      <c r="Y34" s="29" t="str">
        <f t="shared" si="11"/>
        <v>Oklahoma City</v>
      </c>
      <c r="Z34" s="18">
        <f t="shared" si="12"/>
        <v>36</v>
      </c>
      <c r="AA34" s="18">
        <f t="shared" si="13"/>
        <v>39</v>
      </c>
      <c r="AB34" s="18">
        <f t="shared" si="14"/>
        <v>16</v>
      </c>
      <c r="AC34" s="18">
        <f t="shared" si="15"/>
        <v>13</v>
      </c>
      <c r="AD34" s="18">
        <f t="shared" si="16"/>
        <v>11</v>
      </c>
      <c r="AE34" s="18">
        <f t="shared" si="17"/>
        <v>11</v>
      </c>
    </row>
    <row r="35" spans="1:31">
      <c r="A35" s="18" t="str">
        <f>'Trends2000-1990'!AA34</f>
        <v>Orlando</v>
      </c>
      <c r="B35" s="18">
        <f>'Summary-2010'!AB34</f>
        <v>26</v>
      </c>
      <c r="C35" s="18">
        <f>'Summary-2010'!AC34</f>
        <v>24</v>
      </c>
      <c r="D35" s="18">
        <f>'Summary-2010'!AD34</f>
        <v>21</v>
      </c>
      <c r="E35" s="18">
        <f>'Summary-2010'!AE34</f>
        <v>29</v>
      </c>
      <c r="F35" s="18">
        <f>'Summary-2010'!AF34</f>
        <v>29</v>
      </c>
      <c r="G35" s="18">
        <f>'Summary-2010'!AG34</f>
        <v>29</v>
      </c>
      <c r="I35" s="18" t="str">
        <f t="shared" si="8"/>
        <v>Orlando</v>
      </c>
      <c r="J35" s="18">
        <f>'Summary-1990'!AB34</f>
        <v>46</v>
      </c>
      <c r="K35" s="18">
        <f>'Summary-1990'!AC34</f>
        <v>45</v>
      </c>
      <c r="L35" s="18">
        <f>'Summary-1990'!AD34</f>
        <v>36</v>
      </c>
      <c r="M35" s="18">
        <f>'Summary-1990'!AE34</f>
        <v>36</v>
      </c>
      <c r="N35" s="18">
        <f>'Summary-1990'!AF34</f>
        <v>36</v>
      </c>
      <c r="O35" s="18">
        <f>'Summary-1990'!AG34</f>
        <v>36</v>
      </c>
      <c r="Q35" s="18" t="str">
        <f t="shared" si="9"/>
        <v>Orlando</v>
      </c>
      <c r="R35" s="18">
        <f t="shared" si="10"/>
        <v>-20</v>
      </c>
      <c r="S35" s="18">
        <f t="shared" si="2"/>
        <v>-21</v>
      </c>
      <c r="T35" s="18">
        <f t="shared" si="3"/>
        <v>-15</v>
      </c>
      <c r="U35" s="18">
        <f t="shared" si="4"/>
        <v>-7</v>
      </c>
      <c r="V35" s="18">
        <f t="shared" si="5"/>
        <v>-7</v>
      </c>
      <c r="W35" s="18">
        <f t="shared" si="6"/>
        <v>-7</v>
      </c>
      <c r="Y35" s="29" t="str">
        <f t="shared" si="11"/>
        <v>Orlando</v>
      </c>
      <c r="Z35" s="18">
        <f t="shared" si="12"/>
        <v>44</v>
      </c>
      <c r="AA35" s="18">
        <f t="shared" si="13"/>
        <v>45</v>
      </c>
      <c r="AB35" s="18">
        <f t="shared" si="14"/>
        <v>48</v>
      </c>
      <c r="AC35" s="18">
        <f t="shared" si="15"/>
        <v>48</v>
      </c>
      <c r="AD35" s="18">
        <f t="shared" si="16"/>
        <v>48</v>
      </c>
      <c r="AE35" s="18">
        <f t="shared" si="17"/>
        <v>48</v>
      </c>
    </row>
    <row r="36" spans="1:31">
      <c r="A36" s="18" t="str">
        <f>'Trends2000-1990'!AA35</f>
        <v>Philadelphia</v>
      </c>
      <c r="B36" s="18">
        <f>'Summary-2010'!AB35</f>
        <v>38</v>
      </c>
      <c r="C36" s="18">
        <f>'Summary-2010'!AC35</f>
        <v>34</v>
      </c>
      <c r="D36" s="18">
        <f>'Summary-2010'!AD35</f>
        <v>22</v>
      </c>
      <c r="E36" s="18">
        <f>'Summary-2010'!AE35</f>
        <v>11</v>
      </c>
      <c r="F36" s="18">
        <f>'Summary-2010'!AF35</f>
        <v>6</v>
      </c>
      <c r="G36" s="18">
        <f>'Summary-2010'!AG35</f>
        <v>6</v>
      </c>
      <c r="I36" s="18" t="str">
        <f t="shared" si="8"/>
        <v>Philadelphia</v>
      </c>
      <c r="J36" s="18">
        <f>'Summary-1990'!AB35</f>
        <v>9</v>
      </c>
      <c r="K36" s="18">
        <f>'Summary-1990'!AC35</f>
        <v>3</v>
      </c>
      <c r="L36" s="18">
        <f>'Summary-1990'!AD35</f>
        <v>1</v>
      </c>
      <c r="M36" s="18">
        <f>'Summary-1990'!AE35</f>
        <v>3</v>
      </c>
      <c r="N36" s="18">
        <f>'Summary-1990'!AF35</f>
        <v>4</v>
      </c>
      <c r="O36" s="18">
        <f>'Summary-1990'!AG35</f>
        <v>4</v>
      </c>
      <c r="Q36" s="18" t="str">
        <f t="shared" si="9"/>
        <v>Philadelphia</v>
      </c>
      <c r="R36" s="18">
        <f t="shared" si="10"/>
        <v>29</v>
      </c>
      <c r="S36" s="18">
        <f t="shared" si="2"/>
        <v>31</v>
      </c>
      <c r="T36" s="18">
        <f t="shared" si="3"/>
        <v>21</v>
      </c>
      <c r="U36" s="18">
        <f t="shared" si="4"/>
        <v>8</v>
      </c>
      <c r="V36" s="18">
        <f t="shared" si="5"/>
        <v>2</v>
      </c>
      <c r="W36" s="18">
        <f t="shared" si="6"/>
        <v>2</v>
      </c>
      <c r="Y36" s="29" t="str">
        <f t="shared" si="11"/>
        <v>Philadelphia</v>
      </c>
      <c r="Z36" s="18">
        <f t="shared" si="12"/>
        <v>5</v>
      </c>
      <c r="AA36" s="18">
        <f t="shared" si="13"/>
        <v>2</v>
      </c>
      <c r="AB36" s="18">
        <f t="shared" si="14"/>
        <v>2</v>
      </c>
      <c r="AC36" s="18">
        <f t="shared" si="15"/>
        <v>3</v>
      </c>
      <c r="AD36" s="18">
        <f t="shared" si="16"/>
        <v>14</v>
      </c>
      <c r="AE36" s="18">
        <f t="shared" si="17"/>
        <v>14</v>
      </c>
    </row>
    <row r="37" spans="1:31">
      <c r="A37" s="18" t="str">
        <f>'Trends2000-1990'!AA36</f>
        <v>Phoenix</v>
      </c>
      <c r="B37" s="18">
        <f>'Summary-2010'!AB36</f>
        <v>22</v>
      </c>
      <c r="C37" s="18">
        <f>'Summary-2010'!AC36</f>
        <v>26</v>
      </c>
      <c r="D37" s="18">
        <f>'Summary-2010'!AD36</f>
        <v>13</v>
      </c>
      <c r="E37" s="18">
        <f>'Summary-2010'!AE36</f>
        <v>13</v>
      </c>
      <c r="F37" s="18">
        <f>'Summary-2010'!AF36</f>
        <v>14</v>
      </c>
      <c r="G37" s="18">
        <f>'Summary-2010'!AG36</f>
        <v>14</v>
      </c>
      <c r="I37" s="18" t="str">
        <f t="shared" si="8"/>
        <v>Phoenix</v>
      </c>
      <c r="J37" s="18">
        <f>'Summary-1990'!AB36</f>
        <v>40</v>
      </c>
      <c r="K37" s="18">
        <f>'Summary-1990'!AC36</f>
        <v>36</v>
      </c>
      <c r="L37" s="18">
        <f>'Summary-1990'!AD36</f>
        <v>21</v>
      </c>
      <c r="M37" s="18">
        <f>'Summary-1990'!AE36</f>
        <v>19</v>
      </c>
      <c r="N37" s="18">
        <f>'Summary-1990'!AF36</f>
        <v>19</v>
      </c>
      <c r="O37" s="18">
        <f>'Summary-1990'!AG36</f>
        <v>19</v>
      </c>
      <c r="Q37" s="18" t="str">
        <f t="shared" si="9"/>
        <v>Phoenix</v>
      </c>
      <c r="R37" s="18">
        <f t="shared" si="10"/>
        <v>-18</v>
      </c>
      <c r="S37" s="18">
        <f t="shared" si="2"/>
        <v>-10</v>
      </c>
      <c r="T37" s="18">
        <f t="shared" si="3"/>
        <v>-8</v>
      </c>
      <c r="U37" s="18">
        <f t="shared" si="4"/>
        <v>-6</v>
      </c>
      <c r="V37" s="18">
        <f t="shared" si="5"/>
        <v>-5</v>
      </c>
      <c r="W37" s="18">
        <f t="shared" si="6"/>
        <v>-5</v>
      </c>
      <c r="Y37" s="29" t="str">
        <f t="shared" si="11"/>
        <v>Phoenix</v>
      </c>
      <c r="Z37" s="18">
        <f t="shared" si="12"/>
        <v>43</v>
      </c>
      <c r="AA37" s="18">
        <f t="shared" si="13"/>
        <v>35</v>
      </c>
      <c r="AB37" s="18">
        <f t="shared" si="14"/>
        <v>42</v>
      </c>
      <c r="AC37" s="18">
        <f t="shared" si="15"/>
        <v>46</v>
      </c>
      <c r="AD37" s="18">
        <f t="shared" si="16"/>
        <v>46</v>
      </c>
      <c r="AE37" s="18">
        <f t="shared" si="17"/>
        <v>46</v>
      </c>
    </row>
    <row r="38" spans="1:31">
      <c r="A38" s="18" t="str">
        <f>'Trends2000-1990'!AA37</f>
        <v>Pittsburgh</v>
      </c>
      <c r="B38" s="18">
        <f>'Summary-2010'!AB37</f>
        <v>49</v>
      </c>
      <c r="C38" s="18">
        <f>'Summary-2010'!AC37</f>
        <v>49</v>
      </c>
      <c r="D38" s="18">
        <f>'Summary-2010'!AD37</f>
        <v>31</v>
      </c>
      <c r="E38" s="18">
        <f>'Summary-2010'!AE37</f>
        <v>20</v>
      </c>
      <c r="F38" s="18">
        <f>'Summary-2010'!AF37</f>
        <v>20</v>
      </c>
      <c r="G38" s="18">
        <f>'Summary-2010'!AG37</f>
        <v>20</v>
      </c>
      <c r="I38" s="18" t="str">
        <f t="shared" si="8"/>
        <v>Pittsburgh</v>
      </c>
      <c r="J38" s="18">
        <f>'Summary-1990'!AB37</f>
        <v>43</v>
      </c>
      <c r="K38" s="18">
        <f>'Summary-1990'!AC37</f>
        <v>39</v>
      </c>
      <c r="L38" s="18">
        <f>'Summary-1990'!AD37</f>
        <v>18</v>
      </c>
      <c r="M38" s="18">
        <f>'Summary-1990'!AE37</f>
        <v>21</v>
      </c>
      <c r="N38" s="18">
        <f>'Summary-1990'!AF37</f>
        <v>21</v>
      </c>
      <c r="O38" s="18">
        <f>'Summary-1990'!AG37</f>
        <v>21</v>
      </c>
      <c r="Q38" s="18" t="str">
        <f t="shared" si="9"/>
        <v>Pittsburgh</v>
      </c>
      <c r="R38" s="18">
        <f t="shared" si="10"/>
        <v>6</v>
      </c>
      <c r="S38" s="18">
        <f t="shared" si="2"/>
        <v>10</v>
      </c>
      <c r="T38" s="18">
        <f t="shared" si="3"/>
        <v>13</v>
      </c>
      <c r="U38" s="18">
        <f t="shared" si="4"/>
        <v>-1</v>
      </c>
      <c r="V38" s="18">
        <f t="shared" si="5"/>
        <v>-1</v>
      </c>
      <c r="W38" s="18">
        <f t="shared" si="6"/>
        <v>-1</v>
      </c>
      <c r="Y38" s="29" t="str">
        <f t="shared" si="11"/>
        <v>Pittsburgh</v>
      </c>
      <c r="Z38" s="18">
        <f t="shared" si="12"/>
        <v>20</v>
      </c>
      <c r="AA38" s="18">
        <f t="shared" si="13"/>
        <v>15</v>
      </c>
      <c r="AB38" s="18">
        <f t="shared" si="14"/>
        <v>5</v>
      </c>
      <c r="AC38" s="18">
        <f t="shared" si="15"/>
        <v>30</v>
      </c>
      <c r="AD38" s="18">
        <f t="shared" si="16"/>
        <v>29</v>
      </c>
      <c r="AE38" s="18">
        <f t="shared" si="17"/>
        <v>30</v>
      </c>
    </row>
    <row r="39" spans="1:31">
      <c r="A39" s="18" t="str">
        <f>'Trends2000-1990'!AA38</f>
        <v>Portland</v>
      </c>
      <c r="B39" s="18">
        <f>'Summary-2010'!AB38</f>
        <v>39</v>
      </c>
      <c r="C39" s="18">
        <f>'Summary-2010'!AC38</f>
        <v>40</v>
      </c>
      <c r="D39" s="18">
        <f>'Summary-2010'!AD38</f>
        <v>24</v>
      </c>
      <c r="E39" s="18">
        <f>'Summary-2010'!AE38</f>
        <v>25</v>
      </c>
      <c r="F39" s="18">
        <f>'Summary-2010'!AF38</f>
        <v>25</v>
      </c>
      <c r="G39" s="18">
        <f>'Summary-2010'!AG38</f>
        <v>25</v>
      </c>
      <c r="I39" s="18" t="str">
        <f t="shared" si="8"/>
        <v>Portland</v>
      </c>
      <c r="J39" s="18">
        <f>'Summary-1990'!AB38</f>
        <v>29</v>
      </c>
      <c r="K39" s="18">
        <f>'Summary-1990'!AC38</f>
        <v>23</v>
      </c>
      <c r="L39" s="18">
        <f>'Summary-1990'!AD38</f>
        <v>28</v>
      </c>
      <c r="M39" s="18">
        <f>'Summary-1990'!AE38</f>
        <v>28</v>
      </c>
      <c r="N39" s="18">
        <f>'Summary-1990'!AF38</f>
        <v>28</v>
      </c>
      <c r="O39" s="18">
        <f>'Summary-1990'!AG38</f>
        <v>28</v>
      </c>
      <c r="Q39" s="18" t="str">
        <f t="shared" si="9"/>
        <v>Portland</v>
      </c>
      <c r="R39" s="18">
        <f t="shared" si="10"/>
        <v>10</v>
      </c>
      <c r="S39" s="18">
        <f t="shared" si="2"/>
        <v>17</v>
      </c>
      <c r="T39" s="18">
        <f t="shared" si="3"/>
        <v>-4</v>
      </c>
      <c r="U39" s="18">
        <f t="shared" si="4"/>
        <v>-3</v>
      </c>
      <c r="V39" s="18">
        <f t="shared" si="5"/>
        <v>-3</v>
      </c>
      <c r="W39" s="18">
        <f t="shared" si="6"/>
        <v>-3</v>
      </c>
      <c r="Y39" s="29" t="str">
        <f t="shared" si="11"/>
        <v>Portland</v>
      </c>
      <c r="Z39" s="18">
        <f t="shared" si="12"/>
        <v>16</v>
      </c>
      <c r="AA39" s="18">
        <f t="shared" si="13"/>
        <v>12</v>
      </c>
      <c r="AB39" s="18">
        <f t="shared" si="14"/>
        <v>36</v>
      </c>
      <c r="AC39" s="18">
        <f t="shared" si="15"/>
        <v>38</v>
      </c>
      <c r="AD39" s="18">
        <f t="shared" si="16"/>
        <v>42</v>
      </c>
      <c r="AE39" s="18">
        <f t="shared" si="17"/>
        <v>42</v>
      </c>
    </row>
    <row r="40" spans="1:31">
      <c r="A40" s="18" t="str">
        <f>'Trends2000-1990'!AA39</f>
        <v>Providence</v>
      </c>
      <c r="B40" s="18">
        <f>'Summary-2010'!AB39</f>
        <v>45</v>
      </c>
      <c r="C40" s="18">
        <f>'Summary-2010'!AC39</f>
        <v>43</v>
      </c>
      <c r="D40" s="18">
        <f>'Summary-2010'!AD39</f>
        <v>40</v>
      </c>
      <c r="E40" s="18">
        <f>'Summary-2010'!AE39</f>
        <v>40</v>
      </c>
      <c r="F40" s="18">
        <f>'Summary-2010'!AF39</f>
        <v>40</v>
      </c>
      <c r="G40" s="18">
        <f>'Summary-2010'!AG39</f>
        <v>40</v>
      </c>
      <c r="I40" s="18" t="str">
        <f t="shared" si="8"/>
        <v>Providence</v>
      </c>
      <c r="J40" s="18">
        <f>'Summary-1990'!AB39</f>
        <v>12</v>
      </c>
      <c r="K40" s="18">
        <f>'Summary-1990'!AC39</f>
        <v>17</v>
      </c>
      <c r="L40" s="18">
        <f>'Summary-1990'!AD39</f>
        <v>37</v>
      </c>
      <c r="M40" s="18">
        <f>'Summary-1990'!AE39</f>
        <v>37</v>
      </c>
      <c r="N40" s="18">
        <f>'Summary-1990'!AF39</f>
        <v>37</v>
      </c>
      <c r="O40" s="18">
        <f>'Summary-1990'!AG39</f>
        <v>37</v>
      </c>
      <c r="Q40" s="18" t="str">
        <f t="shared" si="9"/>
        <v>Providence</v>
      </c>
      <c r="R40" s="18">
        <f t="shared" si="10"/>
        <v>33</v>
      </c>
      <c r="S40" s="18">
        <f t="shared" si="2"/>
        <v>26</v>
      </c>
      <c r="T40" s="18">
        <f t="shared" si="3"/>
        <v>3</v>
      </c>
      <c r="U40" s="18">
        <f t="shared" si="4"/>
        <v>3</v>
      </c>
      <c r="V40" s="18">
        <f t="shared" si="5"/>
        <v>3</v>
      </c>
      <c r="W40" s="18">
        <f t="shared" si="6"/>
        <v>3</v>
      </c>
      <c r="Y40" s="29" t="str">
        <f t="shared" si="11"/>
        <v>Providence</v>
      </c>
      <c r="Z40" s="18">
        <f t="shared" si="12"/>
        <v>4</v>
      </c>
      <c r="AA40" s="18">
        <f t="shared" si="13"/>
        <v>4</v>
      </c>
      <c r="AB40" s="18">
        <f t="shared" si="14"/>
        <v>16</v>
      </c>
      <c r="AC40" s="18">
        <f t="shared" si="15"/>
        <v>13</v>
      </c>
      <c r="AD40" s="18">
        <f t="shared" si="16"/>
        <v>11</v>
      </c>
      <c r="AE40" s="18">
        <f t="shared" si="17"/>
        <v>11</v>
      </c>
    </row>
    <row r="41" spans="1:31">
      <c r="A41" s="18" t="str">
        <f>'Trends2000-1990'!AA40</f>
        <v>Raleigh</v>
      </c>
      <c r="B41" s="18">
        <f>'Summary-2010'!AB40</f>
        <v>48</v>
      </c>
      <c r="C41" s="18">
        <f>'Summary-2010'!AC40</f>
        <v>45</v>
      </c>
      <c r="D41" s="18">
        <f>'Summary-2010'!AD40</f>
        <v>49</v>
      </c>
      <c r="E41" s="18">
        <f>'Summary-2010'!AE40</f>
        <v>49</v>
      </c>
      <c r="F41" s="18">
        <f>'Summary-2010'!AF40</f>
        <v>49</v>
      </c>
      <c r="G41" s="18">
        <f>'Summary-2010'!AG40</f>
        <v>49</v>
      </c>
      <c r="I41" s="18" t="str">
        <f t="shared" si="8"/>
        <v>Raleigh</v>
      </c>
      <c r="J41" s="18">
        <f>'Summary-1990'!AB40</f>
        <v>6</v>
      </c>
      <c r="K41" s="18">
        <f>'Summary-1990'!AC40</f>
        <v>40</v>
      </c>
      <c r="L41" s="18">
        <f>'Summary-1990'!AD40</f>
        <v>49</v>
      </c>
      <c r="M41" s="18">
        <f>'Summary-1990'!AE40</f>
        <v>49</v>
      </c>
      <c r="N41" s="18">
        <f>'Summary-1990'!AF40</f>
        <v>49</v>
      </c>
      <c r="O41" s="18">
        <f>'Summary-1990'!AG40</f>
        <v>49</v>
      </c>
      <c r="Q41" s="18" t="str">
        <f t="shared" si="9"/>
        <v>Raleigh</v>
      </c>
      <c r="R41" s="18">
        <f t="shared" si="10"/>
        <v>42</v>
      </c>
      <c r="S41" s="18">
        <f t="shared" si="2"/>
        <v>5</v>
      </c>
      <c r="T41" s="18">
        <f t="shared" si="3"/>
        <v>0</v>
      </c>
      <c r="U41" s="18">
        <f t="shared" si="4"/>
        <v>0</v>
      </c>
      <c r="V41" s="18">
        <f t="shared" si="5"/>
        <v>0</v>
      </c>
      <c r="W41" s="18">
        <f t="shared" si="6"/>
        <v>0</v>
      </c>
      <c r="Y41" s="29" t="str">
        <f t="shared" si="11"/>
        <v>Raleigh</v>
      </c>
      <c r="Z41" s="18">
        <f t="shared" si="12"/>
        <v>1</v>
      </c>
      <c r="AA41" s="18">
        <f t="shared" si="13"/>
        <v>21</v>
      </c>
      <c r="AB41" s="18">
        <f t="shared" si="14"/>
        <v>24</v>
      </c>
      <c r="AC41" s="18">
        <f t="shared" si="15"/>
        <v>23</v>
      </c>
      <c r="AD41" s="18">
        <f t="shared" si="16"/>
        <v>23</v>
      </c>
      <c r="AE41" s="18">
        <f t="shared" si="17"/>
        <v>22</v>
      </c>
    </row>
    <row r="42" spans="1:31">
      <c r="A42" s="18" t="str">
        <f>'Trends2000-1990'!AA41</f>
        <v>Rochester</v>
      </c>
      <c r="B42" s="18">
        <f>'Summary-2010'!AB41</f>
        <v>21</v>
      </c>
      <c r="C42" s="18">
        <f>'Summary-2010'!AC41</f>
        <v>25</v>
      </c>
      <c r="D42" s="18">
        <f>'Summary-2010'!AD41</f>
        <v>48</v>
      </c>
      <c r="E42" s="18">
        <f>'Summary-2010'!AE41</f>
        <v>48</v>
      </c>
      <c r="F42" s="18">
        <f>'Summary-2010'!AF41</f>
        <v>48</v>
      </c>
      <c r="G42" s="18">
        <f>'Summary-2010'!AG41</f>
        <v>48</v>
      </c>
      <c r="I42" s="18" t="str">
        <f t="shared" si="8"/>
        <v>Rochester</v>
      </c>
      <c r="J42" s="18">
        <f>'Summary-1990'!AB41</f>
        <v>3</v>
      </c>
      <c r="K42" s="18">
        <f>'Summary-1990'!AC41</f>
        <v>25</v>
      </c>
      <c r="L42" s="18">
        <f>'Summary-1990'!AD41</f>
        <v>41</v>
      </c>
      <c r="M42" s="18">
        <f>'Summary-1990'!AE41</f>
        <v>41</v>
      </c>
      <c r="N42" s="18">
        <f>'Summary-1990'!AF41</f>
        <v>41</v>
      </c>
      <c r="O42" s="18">
        <f>'Summary-1990'!AG41</f>
        <v>41</v>
      </c>
      <c r="Q42" s="18" t="str">
        <f t="shared" si="9"/>
        <v>Rochester</v>
      </c>
      <c r="R42" s="18">
        <f t="shared" si="10"/>
        <v>18</v>
      </c>
      <c r="S42" s="18">
        <f t="shared" si="2"/>
        <v>0</v>
      </c>
      <c r="T42" s="18">
        <f t="shared" si="3"/>
        <v>7</v>
      </c>
      <c r="U42" s="18">
        <f t="shared" si="4"/>
        <v>7</v>
      </c>
      <c r="V42" s="18">
        <f t="shared" si="5"/>
        <v>7</v>
      </c>
      <c r="W42" s="18">
        <f t="shared" si="6"/>
        <v>7</v>
      </c>
      <c r="Y42" s="29" t="str">
        <f t="shared" si="11"/>
        <v>Rochester</v>
      </c>
      <c r="Z42" s="18">
        <f t="shared" si="12"/>
        <v>11</v>
      </c>
      <c r="AA42" s="18">
        <f t="shared" si="13"/>
        <v>26</v>
      </c>
      <c r="AB42" s="18">
        <f t="shared" si="14"/>
        <v>11</v>
      </c>
      <c r="AC42" s="18">
        <f t="shared" si="15"/>
        <v>6</v>
      </c>
      <c r="AD42" s="18">
        <f t="shared" si="16"/>
        <v>5</v>
      </c>
      <c r="AE42" s="18">
        <f t="shared" si="17"/>
        <v>5</v>
      </c>
    </row>
    <row r="43" spans="1:31">
      <c r="A43" s="18" t="str">
        <f>'Trends2000-1990'!AA42</f>
        <v>Sacramento</v>
      </c>
      <c r="B43" s="18">
        <f>'Summary-2010'!AB42</f>
        <v>19</v>
      </c>
      <c r="C43" s="18">
        <f>'Summary-2010'!AC42</f>
        <v>20</v>
      </c>
      <c r="D43" s="18">
        <f>'Summary-2010'!AD42</f>
        <v>38</v>
      </c>
      <c r="E43" s="18">
        <f>'Summary-2010'!AE42</f>
        <v>38</v>
      </c>
      <c r="F43" s="18">
        <f>'Summary-2010'!AF42</f>
        <v>38</v>
      </c>
      <c r="G43" s="18">
        <f>'Summary-2010'!AG42</f>
        <v>38</v>
      </c>
      <c r="I43" s="18" t="str">
        <f t="shared" si="8"/>
        <v>Sacramento</v>
      </c>
      <c r="J43" s="18">
        <f>'Summary-1990'!AB42</f>
        <v>27</v>
      </c>
      <c r="K43" s="18">
        <f>'Summary-1990'!AC42</f>
        <v>24</v>
      </c>
      <c r="L43" s="18">
        <f>'Summary-1990'!AD42</f>
        <v>30</v>
      </c>
      <c r="M43" s="18">
        <f>'Summary-1990'!AE42</f>
        <v>30</v>
      </c>
      <c r="N43" s="18">
        <f>'Summary-1990'!AF42</f>
        <v>30</v>
      </c>
      <c r="O43" s="18">
        <f>'Summary-1990'!AG42</f>
        <v>30</v>
      </c>
      <c r="Q43" s="18" t="str">
        <f t="shared" si="9"/>
        <v>Sacramento</v>
      </c>
      <c r="R43" s="18">
        <f t="shared" si="10"/>
        <v>-8</v>
      </c>
      <c r="S43" s="18">
        <f t="shared" si="2"/>
        <v>-4</v>
      </c>
      <c r="T43" s="18">
        <f t="shared" si="3"/>
        <v>8</v>
      </c>
      <c r="U43" s="18">
        <f t="shared" si="4"/>
        <v>8</v>
      </c>
      <c r="V43" s="18">
        <f t="shared" si="5"/>
        <v>8</v>
      </c>
      <c r="W43" s="18">
        <f t="shared" si="6"/>
        <v>8</v>
      </c>
      <c r="Y43" s="29" t="str">
        <f t="shared" si="11"/>
        <v>Sacramento</v>
      </c>
      <c r="Z43" s="18">
        <f t="shared" si="12"/>
        <v>29</v>
      </c>
      <c r="AA43" s="18">
        <f t="shared" si="13"/>
        <v>31</v>
      </c>
      <c r="AB43" s="18">
        <f t="shared" si="14"/>
        <v>9</v>
      </c>
      <c r="AC43" s="18">
        <f t="shared" si="15"/>
        <v>3</v>
      </c>
      <c r="AD43" s="18">
        <f t="shared" si="16"/>
        <v>3</v>
      </c>
      <c r="AE43" s="18">
        <f t="shared" si="17"/>
        <v>3</v>
      </c>
    </row>
    <row r="44" spans="1:31">
      <c r="A44" s="18" t="str">
        <f>'Trends2000-1990'!AA43</f>
        <v>Salt Lake City</v>
      </c>
      <c r="B44" s="18">
        <f>'Summary-2010'!AB43</f>
        <v>8</v>
      </c>
      <c r="C44" s="18">
        <f>'Summary-2010'!AC43</f>
        <v>11</v>
      </c>
      <c r="D44" s="18">
        <f>'Summary-2010'!AD43</f>
        <v>42</v>
      </c>
      <c r="E44" s="18">
        <f>'Summary-2010'!AE43</f>
        <v>42</v>
      </c>
      <c r="F44" s="18">
        <f>'Summary-2010'!AF43</f>
        <v>42</v>
      </c>
      <c r="G44" s="18">
        <f>'Summary-2010'!AG43</f>
        <v>42</v>
      </c>
      <c r="I44" s="18" t="str">
        <f t="shared" si="8"/>
        <v>Salt Lake City</v>
      </c>
      <c r="J44" s="18">
        <f>'Summary-1990'!AB43</f>
        <v>17</v>
      </c>
      <c r="K44" s="18">
        <f>'Summary-1990'!AC43</f>
        <v>26</v>
      </c>
      <c r="L44" s="18">
        <f>'Summary-1990'!AD43</f>
        <v>42</v>
      </c>
      <c r="M44" s="18">
        <f>'Summary-1990'!AE43</f>
        <v>42</v>
      </c>
      <c r="N44" s="18">
        <f>'Summary-1990'!AF43</f>
        <v>42</v>
      </c>
      <c r="O44" s="18">
        <f>'Summary-1990'!AG43</f>
        <v>42</v>
      </c>
      <c r="Q44" s="18" t="str">
        <f t="shared" si="9"/>
        <v>Salt Lake City</v>
      </c>
      <c r="R44" s="18">
        <f t="shared" si="10"/>
        <v>-9</v>
      </c>
      <c r="S44" s="18">
        <f t="shared" si="2"/>
        <v>-15</v>
      </c>
      <c r="T44" s="18">
        <f t="shared" si="3"/>
        <v>0</v>
      </c>
      <c r="U44" s="18">
        <f t="shared" si="4"/>
        <v>0</v>
      </c>
      <c r="V44" s="18">
        <f t="shared" si="5"/>
        <v>0</v>
      </c>
      <c r="W44" s="18">
        <f t="shared" si="6"/>
        <v>0</v>
      </c>
      <c r="Y44" s="29" t="str">
        <f t="shared" si="11"/>
        <v>Salt Lake City</v>
      </c>
      <c r="Z44" s="18">
        <f t="shared" si="12"/>
        <v>31</v>
      </c>
      <c r="AA44" s="18">
        <f t="shared" si="13"/>
        <v>41</v>
      </c>
      <c r="AB44" s="18">
        <f t="shared" si="14"/>
        <v>24</v>
      </c>
      <c r="AC44" s="18">
        <f t="shared" si="15"/>
        <v>23</v>
      </c>
      <c r="AD44" s="18">
        <f t="shared" si="16"/>
        <v>23</v>
      </c>
      <c r="AE44" s="18">
        <f t="shared" si="17"/>
        <v>22</v>
      </c>
    </row>
    <row r="45" spans="1:31">
      <c r="A45" s="18" t="str">
        <f>'Trends2000-1990'!AA44</f>
        <v>San Antonio</v>
      </c>
      <c r="B45" s="18">
        <f>'Summary-2010'!AB44</f>
        <v>28</v>
      </c>
      <c r="C45" s="18">
        <f>'Summary-2010'!AC44</f>
        <v>22</v>
      </c>
      <c r="D45" s="18">
        <f>'Summary-2010'!AD44</f>
        <v>32</v>
      </c>
      <c r="E45" s="18">
        <f>'Summary-2010'!AE44</f>
        <v>35</v>
      </c>
      <c r="F45" s="18">
        <f>'Summary-2010'!AF44</f>
        <v>35</v>
      </c>
      <c r="G45" s="18">
        <f>'Summary-2010'!AG44</f>
        <v>35</v>
      </c>
      <c r="I45" s="18" t="str">
        <f t="shared" si="8"/>
        <v>San Antonio</v>
      </c>
      <c r="J45" s="18">
        <f>'Summary-1990'!AB44</f>
        <v>41</v>
      </c>
      <c r="K45" s="18">
        <f>'Summary-1990'!AC44</f>
        <v>37</v>
      </c>
      <c r="L45" s="18">
        <f>'Summary-1990'!AD44</f>
        <v>34</v>
      </c>
      <c r="M45" s="18">
        <f>'Summary-1990'!AE44</f>
        <v>34</v>
      </c>
      <c r="N45" s="18">
        <f>'Summary-1990'!AF44</f>
        <v>34</v>
      </c>
      <c r="O45" s="18">
        <f>'Summary-1990'!AG44</f>
        <v>34</v>
      </c>
      <c r="Q45" s="18" t="str">
        <f t="shared" si="9"/>
        <v>San Antonio</v>
      </c>
      <c r="R45" s="18">
        <f t="shared" si="10"/>
        <v>-13</v>
      </c>
      <c r="S45" s="18">
        <f t="shared" si="2"/>
        <v>-15</v>
      </c>
      <c r="T45" s="18">
        <f t="shared" si="3"/>
        <v>-2</v>
      </c>
      <c r="U45" s="18">
        <f t="shared" si="4"/>
        <v>1</v>
      </c>
      <c r="V45" s="18">
        <f t="shared" si="5"/>
        <v>1</v>
      </c>
      <c r="W45" s="18">
        <f t="shared" si="6"/>
        <v>1</v>
      </c>
      <c r="Y45" s="29" t="str">
        <f t="shared" si="11"/>
        <v>San Antonio</v>
      </c>
      <c r="Z45" s="18">
        <f t="shared" si="12"/>
        <v>36</v>
      </c>
      <c r="AA45" s="18">
        <f t="shared" si="13"/>
        <v>41</v>
      </c>
      <c r="AB45" s="18">
        <f t="shared" si="14"/>
        <v>31</v>
      </c>
      <c r="AC45" s="18">
        <f t="shared" si="15"/>
        <v>16</v>
      </c>
      <c r="AD45" s="18">
        <f t="shared" si="16"/>
        <v>18</v>
      </c>
      <c r="AE45" s="18">
        <f t="shared" si="17"/>
        <v>18</v>
      </c>
    </row>
    <row r="46" spans="1:31">
      <c r="A46" s="18" t="str">
        <f>'Trends2000-1990'!AA45</f>
        <v>San Diego</v>
      </c>
      <c r="B46" s="18">
        <f>'Summary-2010'!AB45</f>
        <v>10</v>
      </c>
      <c r="C46" s="18">
        <f>'Summary-2010'!AC45</f>
        <v>8</v>
      </c>
      <c r="D46" s="18">
        <f>'Summary-2010'!AD45</f>
        <v>8</v>
      </c>
      <c r="E46" s="18">
        <f>'Summary-2010'!AE45</f>
        <v>17</v>
      </c>
      <c r="F46" s="18">
        <f>'Summary-2010'!AF45</f>
        <v>17</v>
      </c>
      <c r="G46" s="18">
        <f>'Summary-2010'!AG45</f>
        <v>17</v>
      </c>
      <c r="I46" s="18" t="str">
        <f t="shared" si="8"/>
        <v>San Diego</v>
      </c>
      <c r="J46" s="18">
        <f>'Summary-1990'!AB45</f>
        <v>35</v>
      </c>
      <c r="K46" s="18">
        <f>'Summary-1990'!AC45</f>
        <v>35</v>
      </c>
      <c r="L46" s="18">
        <f>'Summary-1990'!AD45</f>
        <v>17</v>
      </c>
      <c r="M46" s="18">
        <f>'Summary-1990'!AE45</f>
        <v>16</v>
      </c>
      <c r="N46" s="18">
        <f>'Summary-1990'!AF45</f>
        <v>16</v>
      </c>
      <c r="O46" s="18">
        <f>'Summary-1990'!AG45</f>
        <v>16</v>
      </c>
      <c r="Q46" s="18" t="str">
        <f t="shared" si="9"/>
        <v>San Diego</v>
      </c>
      <c r="R46" s="18">
        <f t="shared" si="10"/>
        <v>-25</v>
      </c>
      <c r="S46" s="18">
        <f t="shared" si="2"/>
        <v>-27</v>
      </c>
      <c r="T46" s="18">
        <f t="shared" si="3"/>
        <v>-9</v>
      </c>
      <c r="U46" s="18">
        <f t="shared" si="4"/>
        <v>1</v>
      </c>
      <c r="V46" s="18">
        <f t="shared" si="5"/>
        <v>1</v>
      </c>
      <c r="W46" s="18">
        <f t="shared" si="6"/>
        <v>1</v>
      </c>
      <c r="Y46" s="29" t="str">
        <f t="shared" si="11"/>
        <v>San Diego</v>
      </c>
      <c r="Z46" s="18">
        <f t="shared" si="12"/>
        <v>47</v>
      </c>
      <c r="AA46" s="18">
        <f t="shared" si="13"/>
        <v>46</v>
      </c>
      <c r="AB46" s="18">
        <f t="shared" si="14"/>
        <v>43</v>
      </c>
      <c r="AC46" s="18">
        <f t="shared" si="15"/>
        <v>16</v>
      </c>
      <c r="AD46" s="18">
        <f t="shared" si="16"/>
        <v>18</v>
      </c>
      <c r="AE46" s="18">
        <f t="shared" si="17"/>
        <v>18</v>
      </c>
    </row>
    <row r="47" spans="1:31">
      <c r="A47" s="18" t="str">
        <f>'Trends2000-1990'!AA46</f>
        <v>San Francisco</v>
      </c>
      <c r="B47" s="18">
        <f>'Summary-2010'!AB46</f>
        <v>1</v>
      </c>
      <c r="C47" s="18">
        <f>'Summary-2010'!AC46</f>
        <v>1</v>
      </c>
      <c r="D47" s="18">
        <f>'Summary-2010'!AD46</f>
        <v>2</v>
      </c>
      <c r="E47" s="18">
        <f>'Summary-2010'!AE46</f>
        <v>9</v>
      </c>
      <c r="F47" s="18">
        <f>'Summary-2010'!AF46</f>
        <v>11</v>
      </c>
      <c r="G47" s="18">
        <f>'Summary-2010'!AG46</f>
        <v>11</v>
      </c>
      <c r="I47" s="18" t="str">
        <f t="shared" si="8"/>
        <v>San Francisco</v>
      </c>
      <c r="J47" s="18">
        <f>'Summary-1990'!AB46</f>
        <v>31</v>
      </c>
      <c r="K47" s="18">
        <f>'Summary-1990'!AC46</f>
        <v>30</v>
      </c>
      <c r="L47" s="18">
        <f>'Summary-1990'!AD46</f>
        <v>15</v>
      </c>
      <c r="M47" s="18">
        <f>'Summary-1990'!AE46</f>
        <v>9</v>
      </c>
      <c r="N47" s="18">
        <f>'Summary-1990'!AF46</f>
        <v>9</v>
      </c>
      <c r="O47" s="18">
        <f>'Summary-1990'!AG46</f>
        <v>9</v>
      </c>
      <c r="Q47" s="18" t="str">
        <f t="shared" si="9"/>
        <v>San Francisco</v>
      </c>
      <c r="R47" s="18">
        <f t="shared" si="10"/>
        <v>-30</v>
      </c>
      <c r="S47" s="18">
        <f t="shared" si="2"/>
        <v>-29</v>
      </c>
      <c r="T47" s="18">
        <f t="shared" si="3"/>
        <v>-13</v>
      </c>
      <c r="U47" s="18">
        <f t="shared" si="4"/>
        <v>0</v>
      </c>
      <c r="V47" s="18">
        <f t="shared" si="5"/>
        <v>2</v>
      </c>
      <c r="W47" s="18">
        <f t="shared" si="6"/>
        <v>2</v>
      </c>
      <c r="Y47" s="29" t="str">
        <f t="shared" si="11"/>
        <v>San Francisco</v>
      </c>
      <c r="Z47" s="18">
        <f t="shared" si="12"/>
        <v>48</v>
      </c>
      <c r="AA47" s="18">
        <f t="shared" si="13"/>
        <v>47</v>
      </c>
      <c r="AB47" s="18">
        <f t="shared" si="14"/>
        <v>46</v>
      </c>
      <c r="AC47" s="18">
        <f t="shared" si="15"/>
        <v>23</v>
      </c>
      <c r="AD47" s="18">
        <f t="shared" si="16"/>
        <v>14</v>
      </c>
      <c r="AE47" s="18">
        <f t="shared" si="17"/>
        <v>14</v>
      </c>
    </row>
    <row r="48" spans="1:31">
      <c r="A48" s="18" t="str">
        <f>'Trends2000-1990'!AA47</f>
        <v>San Jose</v>
      </c>
      <c r="B48" s="18">
        <f>'Summary-2010'!AB47</f>
        <v>2</v>
      </c>
      <c r="C48" s="18">
        <f>'Summary-2010'!AC47</f>
        <v>3</v>
      </c>
      <c r="D48" s="18">
        <f>'Summary-2010'!AD47</f>
        <v>20</v>
      </c>
      <c r="E48" s="18">
        <f>'Summary-2010'!AE47</f>
        <v>28</v>
      </c>
      <c r="F48" s="18">
        <f>'Summary-2010'!AF47</f>
        <v>28</v>
      </c>
      <c r="G48" s="18">
        <f>'Summary-2010'!AG47</f>
        <v>28</v>
      </c>
      <c r="I48" s="18" t="str">
        <f t="shared" si="8"/>
        <v>San Jose</v>
      </c>
      <c r="J48" s="18">
        <f>'Summary-1990'!AB47</f>
        <v>15</v>
      </c>
      <c r="K48" s="18">
        <f>'Summary-1990'!AC47</f>
        <v>9</v>
      </c>
      <c r="L48" s="18">
        <f>'Summary-1990'!AD47</f>
        <v>19</v>
      </c>
      <c r="M48" s="18">
        <f>'Summary-1990'!AE47</f>
        <v>22</v>
      </c>
      <c r="N48" s="18">
        <f>'Summary-1990'!AF47</f>
        <v>22</v>
      </c>
      <c r="O48" s="18">
        <f>'Summary-1990'!AG47</f>
        <v>22</v>
      </c>
      <c r="Q48" s="18" t="str">
        <f t="shared" si="9"/>
        <v>San Jose</v>
      </c>
      <c r="R48" s="18">
        <f t="shared" si="10"/>
        <v>-13</v>
      </c>
      <c r="S48" s="18">
        <f t="shared" si="2"/>
        <v>-6</v>
      </c>
      <c r="T48" s="18">
        <f t="shared" si="3"/>
        <v>1</v>
      </c>
      <c r="U48" s="18">
        <f t="shared" si="4"/>
        <v>6</v>
      </c>
      <c r="V48" s="18">
        <f t="shared" si="5"/>
        <v>6</v>
      </c>
      <c r="W48" s="18">
        <f t="shared" si="6"/>
        <v>6</v>
      </c>
      <c r="Y48" s="29" t="str">
        <f t="shared" si="11"/>
        <v>San Jose</v>
      </c>
      <c r="Z48" s="18">
        <f t="shared" si="12"/>
        <v>36</v>
      </c>
      <c r="AA48" s="18">
        <f t="shared" si="13"/>
        <v>33</v>
      </c>
      <c r="AB48" s="18">
        <f t="shared" si="14"/>
        <v>21</v>
      </c>
      <c r="AC48" s="18">
        <f t="shared" si="15"/>
        <v>9</v>
      </c>
      <c r="AD48" s="18">
        <f t="shared" si="16"/>
        <v>8</v>
      </c>
      <c r="AE48" s="18">
        <f t="shared" si="17"/>
        <v>8</v>
      </c>
    </row>
    <row r="49" spans="1:31">
      <c r="A49" s="18" t="str">
        <f>'Trends2000-1990'!AA48</f>
        <v>Seattle</v>
      </c>
      <c r="B49" s="18">
        <f>'Summary-2010'!AB48</f>
        <v>43</v>
      </c>
      <c r="C49" s="18">
        <f>'Summary-2010'!AC48</f>
        <v>48</v>
      </c>
      <c r="D49" s="18">
        <f>'Summary-2010'!AD48</f>
        <v>33</v>
      </c>
      <c r="E49" s="18">
        <f>'Summary-2010'!AE48</f>
        <v>14</v>
      </c>
      <c r="F49" s="18">
        <f>'Summary-2010'!AF48</f>
        <v>15</v>
      </c>
      <c r="G49" s="18">
        <f>'Summary-2010'!AG48</f>
        <v>15</v>
      </c>
      <c r="I49" s="18" t="str">
        <f t="shared" si="8"/>
        <v>Seattle</v>
      </c>
      <c r="J49" s="18">
        <f>'Summary-1990'!AB48</f>
        <v>28</v>
      </c>
      <c r="K49" s="18">
        <f>'Summary-1990'!AC48</f>
        <v>28</v>
      </c>
      <c r="L49" s="18">
        <f>'Summary-1990'!AD48</f>
        <v>13</v>
      </c>
      <c r="M49" s="18">
        <f>'Summary-1990'!AE48</f>
        <v>13</v>
      </c>
      <c r="N49" s="18">
        <f>'Summary-1990'!AF48</f>
        <v>13</v>
      </c>
      <c r="O49" s="18">
        <f>'Summary-1990'!AG48</f>
        <v>13</v>
      </c>
      <c r="Q49" s="18" t="str">
        <f t="shared" si="9"/>
        <v>Seattle</v>
      </c>
      <c r="R49" s="18">
        <f t="shared" si="10"/>
        <v>15</v>
      </c>
      <c r="S49" s="18">
        <f t="shared" si="2"/>
        <v>20</v>
      </c>
      <c r="T49" s="18">
        <f t="shared" si="3"/>
        <v>20</v>
      </c>
      <c r="U49" s="18">
        <f t="shared" si="4"/>
        <v>1</v>
      </c>
      <c r="V49" s="18">
        <f t="shared" si="5"/>
        <v>2</v>
      </c>
      <c r="W49" s="18">
        <f t="shared" si="6"/>
        <v>2</v>
      </c>
      <c r="Y49" s="29" t="str">
        <f t="shared" si="11"/>
        <v>Seattle</v>
      </c>
      <c r="Z49" s="18">
        <f t="shared" si="12"/>
        <v>13</v>
      </c>
      <c r="AA49" s="18">
        <f t="shared" si="13"/>
        <v>9</v>
      </c>
      <c r="AB49" s="18">
        <f t="shared" si="14"/>
        <v>3</v>
      </c>
      <c r="AC49" s="18">
        <f t="shared" si="15"/>
        <v>16</v>
      </c>
      <c r="AD49" s="18">
        <f t="shared" si="16"/>
        <v>14</v>
      </c>
      <c r="AE49" s="18">
        <f t="shared" si="17"/>
        <v>14</v>
      </c>
    </row>
    <row r="50" spans="1:31">
      <c r="A50" s="18" t="str">
        <f>'Trends2000-1990'!AA49</f>
        <v>Miami</v>
      </c>
      <c r="B50" s="18">
        <f>'Summary-2010'!AB49</f>
        <v>29</v>
      </c>
      <c r="C50" s="18">
        <f>'Summary-2010'!AC49</f>
        <v>23</v>
      </c>
      <c r="D50" s="18">
        <f>'Summary-2010'!AD49</f>
        <v>12</v>
      </c>
      <c r="E50" s="18">
        <f>'Summary-2010'!AE49</f>
        <v>8</v>
      </c>
      <c r="F50" s="18">
        <f>'Summary-2010'!AF49</f>
        <v>10</v>
      </c>
      <c r="G50" s="18">
        <f>'Summary-2010'!AG49</f>
        <v>10</v>
      </c>
      <c r="I50" s="18" t="str">
        <f t="shared" si="8"/>
        <v>Miami</v>
      </c>
      <c r="J50" s="18">
        <f>'Summary-1990'!AB49</f>
        <v>1</v>
      </c>
      <c r="K50" s="18">
        <f>'Summary-1990'!AC49</f>
        <v>1</v>
      </c>
      <c r="L50" s="18">
        <f>'Summary-1990'!AD49</f>
        <v>5</v>
      </c>
      <c r="M50" s="18">
        <f>'Summary-1990'!AE49</f>
        <v>12</v>
      </c>
      <c r="N50" s="18">
        <f>'Summary-1990'!AF49</f>
        <v>12</v>
      </c>
      <c r="O50" s="18">
        <f>'Summary-1990'!AG49</f>
        <v>12</v>
      </c>
      <c r="Q50" s="18" t="str">
        <f t="shared" si="9"/>
        <v>Miami</v>
      </c>
      <c r="R50" s="18">
        <f t="shared" si="10"/>
        <v>28</v>
      </c>
      <c r="S50" s="18">
        <f t="shared" si="2"/>
        <v>22</v>
      </c>
      <c r="T50" s="18">
        <f t="shared" si="3"/>
        <v>7</v>
      </c>
      <c r="U50" s="18">
        <f t="shared" si="4"/>
        <v>-4</v>
      </c>
      <c r="V50" s="18">
        <f t="shared" si="5"/>
        <v>-2</v>
      </c>
      <c r="W50" s="18">
        <f t="shared" si="6"/>
        <v>-2</v>
      </c>
      <c r="Y50" s="29" t="str">
        <f t="shared" si="11"/>
        <v>Miami</v>
      </c>
      <c r="Z50" s="18">
        <f t="shared" si="12"/>
        <v>6</v>
      </c>
      <c r="AA50" s="18">
        <f t="shared" si="13"/>
        <v>7</v>
      </c>
      <c r="AB50" s="18">
        <f t="shared" si="14"/>
        <v>11</v>
      </c>
      <c r="AC50" s="18">
        <f t="shared" si="15"/>
        <v>43</v>
      </c>
      <c r="AD50" s="18">
        <f t="shared" si="16"/>
        <v>35</v>
      </c>
      <c r="AE50" s="18">
        <f t="shared" si="17"/>
        <v>35</v>
      </c>
    </row>
    <row r="51" spans="1:31">
      <c r="A51" s="18" t="str">
        <f>'Trends2000-1990'!AA50</f>
        <v>St. Louis</v>
      </c>
      <c r="B51" s="18">
        <f>'Summary-2010'!AB50</f>
        <v>50</v>
      </c>
      <c r="C51" s="18">
        <f>'Summary-2010'!AC50</f>
        <v>50</v>
      </c>
      <c r="D51" s="18">
        <f>'Summary-2010'!AD50</f>
        <v>36</v>
      </c>
      <c r="E51" s="18">
        <f>'Summary-2010'!AE50</f>
        <v>16</v>
      </c>
      <c r="F51" s="18">
        <f>'Summary-2010'!AF50</f>
        <v>16</v>
      </c>
      <c r="G51" s="18">
        <f>'Summary-2010'!AG50</f>
        <v>16</v>
      </c>
      <c r="I51" s="18" t="str">
        <f t="shared" si="8"/>
        <v>St. Louis</v>
      </c>
      <c r="J51" s="18">
        <f>'Summary-1990'!AB50</f>
        <v>32</v>
      </c>
      <c r="K51" s="18">
        <f>'Summary-1990'!AC50</f>
        <v>27</v>
      </c>
      <c r="L51" s="18">
        <f>'Summary-1990'!AD50</f>
        <v>11</v>
      </c>
      <c r="M51" s="18">
        <f>'Summary-1990'!AE50</f>
        <v>18</v>
      </c>
      <c r="N51" s="18">
        <f>'Summary-1990'!AF50</f>
        <v>18</v>
      </c>
      <c r="O51" s="18">
        <f>'Summary-1990'!AG50</f>
        <v>18</v>
      </c>
      <c r="Q51" s="18" t="str">
        <f t="shared" si="9"/>
        <v>St. Louis</v>
      </c>
      <c r="R51" s="18">
        <f t="shared" si="10"/>
        <v>18</v>
      </c>
      <c r="S51" s="18">
        <f t="shared" si="2"/>
        <v>23</v>
      </c>
      <c r="T51" s="18">
        <f t="shared" si="3"/>
        <v>25</v>
      </c>
      <c r="U51" s="18">
        <f t="shared" si="4"/>
        <v>-2</v>
      </c>
      <c r="V51" s="18">
        <f t="shared" si="5"/>
        <v>-2</v>
      </c>
      <c r="W51" s="18">
        <f t="shared" si="6"/>
        <v>-2</v>
      </c>
      <c r="Y51" s="29" t="str">
        <f t="shared" si="11"/>
        <v>St. Louis</v>
      </c>
      <c r="Z51" s="18">
        <f t="shared" si="12"/>
        <v>11</v>
      </c>
      <c r="AA51" s="18">
        <f t="shared" si="13"/>
        <v>6</v>
      </c>
      <c r="AB51" s="18">
        <f t="shared" si="14"/>
        <v>1</v>
      </c>
      <c r="AC51" s="18">
        <f t="shared" si="15"/>
        <v>36</v>
      </c>
      <c r="AD51" s="18">
        <f t="shared" si="16"/>
        <v>35</v>
      </c>
      <c r="AE51" s="18">
        <f t="shared" si="17"/>
        <v>35</v>
      </c>
    </row>
    <row r="52" spans="1:31">
      <c r="A52" s="18" t="str">
        <f>'Trends2000-1990'!AA51</f>
        <v>Tampa Bay</v>
      </c>
      <c r="B52" s="18">
        <f>'Summary-2010'!AB51</f>
        <v>46</v>
      </c>
      <c r="C52" s="18">
        <f>'Summary-2010'!AC51</f>
        <v>46</v>
      </c>
      <c r="D52" s="18">
        <f>'Summary-2010'!AD51</f>
        <v>25</v>
      </c>
      <c r="E52" s="18">
        <f>'Summary-2010'!AE51</f>
        <v>22</v>
      </c>
      <c r="F52" s="18">
        <f>'Summary-2010'!AF51</f>
        <v>22</v>
      </c>
      <c r="G52" s="18">
        <f>'Summary-2010'!AG51</f>
        <v>22</v>
      </c>
      <c r="I52" s="18" t="str">
        <f t="shared" si="8"/>
        <v>Tampa Bay</v>
      </c>
      <c r="J52" s="18">
        <f>'Summary-1990'!AB51</f>
        <v>45</v>
      </c>
      <c r="K52" s="18">
        <f>'Summary-1990'!AC51</f>
        <v>44</v>
      </c>
      <c r="L52" s="18">
        <f>'Summary-1990'!AD51</f>
        <v>23</v>
      </c>
      <c r="M52" s="18">
        <f>'Summary-1990'!AE51</f>
        <v>23</v>
      </c>
      <c r="N52" s="18">
        <f>'Summary-1990'!AF51</f>
        <v>23</v>
      </c>
      <c r="O52" s="18">
        <f>'Summary-1990'!AG51</f>
        <v>23</v>
      </c>
      <c r="Q52" s="18" t="str">
        <f t="shared" si="9"/>
        <v>Tampa Bay</v>
      </c>
      <c r="R52" s="18">
        <f t="shared" si="10"/>
        <v>1</v>
      </c>
      <c r="S52" s="18">
        <f t="shared" si="2"/>
        <v>2</v>
      </c>
      <c r="T52" s="18">
        <f t="shared" si="3"/>
        <v>2</v>
      </c>
      <c r="U52" s="18">
        <f t="shared" si="4"/>
        <v>-1</v>
      </c>
      <c r="V52" s="18">
        <f t="shared" si="5"/>
        <v>-1</v>
      </c>
      <c r="W52" s="18">
        <f t="shared" si="6"/>
        <v>-1</v>
      </c>
      <c r="Y52" s="29" t="str">
        <f t="shared" si="11"/>
        <v>Tampa Bay</v>
      </c>
      <c r="Z52" s="18">
        <f t="shared" si="12"/>
        <v>24</v>
      </c>
      <c r="AA52" s="18">
        <f t="shared" si="13"/>
        <v>24</v>
      </c>
      <c r="AB52" s="18">
        <f t="shared" si="14"/>
        <v>20</v>
      </c>
      <c r="AC52" s="18">
        <f t="shared" si="15"/>
        <v>30</v>
      </c>
      <c r="AD52" s="18">
        <f t="shared" si="16"/>
        <v>29</v>
      </c>
      <c r="AE52" s="18">
        <f t="shared" si="17"/>
        <v>30</v>
      </c>
    </row>
    <row r="53" spans="1:31">
      <c r="A53" s="18" t="str">
        <f>'Trends2000-1990'!AA52</f>
        <v>Washington</v>
      </c>
      <c r="B53" s="18">
        <f>'Summary-2010'!AB52</f>
        <v>16</v>
      </c>
      <c r="C53" s="18">
        <f>'Summary-2010'!AC52</f>
        <v>15</v>
      </c>
      <c r="D53" s="18">
        <f>'Summary-2010'!AD52</f>
        <v>6</v>
      </c>
      <c r="E53" s="18">
        <f>'Summary-2010'!AE52</f>
        <v>4</v>
      </c>
      <c r="F53" s="18">
        <f>'Summary-2010'!AF52</f>
        <v>7</v>
      </c>
      <c r="G53" s="18">
        <f>'Summary-2010'!AG52</f>
        <v>7</v>
      </c>
      <c r="I53" s="18" t="str">
        <f t="shared" si="8"/>
        <v>Washington</v>
      </c>
      <c r="J53" s="18">
        <f>'Summary-1990'!AB52</f>
        <v>25</v>
      </c>
      <c r="K53" s="18">
        <f>'Summary-1990'!AC52</f>
        <v>18</v>
      </c>
      <c r="L53" s="18">
        <f>'Summary-1990'!AD52</f>
        <v>8</v>
      </c>
      <c r="M53" s="18">
        <f>'Summary-1990'!AE52</f>
        <v>5</v>
      </c>
      <c r="N53" s="18">
        <f>'Summary-1990'!AF52</f>
        <v>5</v>
      </c>
      <c r="O53" s="18">
        <f>'Summary-1990'!AG52</f>
        <v>5</v>
      </c>
      <c r="Q53" s="18" t="str">
        <f t="shared" si="9"/>
        <v>Washington</v>
      </c>
      <c r="R53" s="18">
        <f t="shared" si="10"/>
        <v>-9</v>
      </c>
      <c r="S53" s="18">
        <f t="shared" si="2"/>
        <v>-3</v>
      </c>
      <c r="T53" s="18">
        <f t="shared" si="3"/>
        <v>-2</v>
      </c>
      <c r="U53" s="18">
        <f t="shared" si="4"/>
        <v>-1</v>
      </c>
      <c r="V53" s="18">
        <f t="shared" si="5"/>
        <v>2</v>
      </c>
      <c r="W53" s="18">
        <f t="shared" si="6"/>
        <v>2</v>
      </c>
      <c r="Y53" s="29" t="str">
        <f t="shared" si="11"/>
        <v>Washington</v>
      </c>
      <c r="Z53" s="18">
        <f t="shared" si="12"/>
        <v>31</v>
      </c>
      <c r="AA53" s="18">
        <f t="shared" si="13"/>
        <v>30</v>
      </c>
      <c r="AB53" s="18">
        <f t="shared" si="14"/>
        <v>31</v>
      </c>
      <c r="AC53" s="18">
        <f t="shared" si="15"/>
        <v>30</v>
      </c>
      <c r="AD53" s="18">
        <f t="shared" si="16"/>
        <v>14</v>
      </c>
      <c r="AE53" s="18">
        <f t="shared" si="17"/>
        <v>14</v>
      </c>
    </row>
    <row r="54" spans="1:31">
      <c r="A54" s="1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3"/>
  <sheetViews>
    <sheetView workbookViewId="0">
      <selection activeCell="Z3" sqref="Z3"/>
    </sheetView>
  </sheetViews>
  <sheetFormatPr baseColWidth="10" defaultRowHeight="14" x14ac:dyDescent="0"/>
  <sheetData>
    <row r="1" spans="1:31">
      <c r="A1" s="18"/>
      <c r="B1" s="18" t="s">
        <v>400</v>
      </c>
      <c r="C1" s="18"/>
      <c r="D1" s="18"/>
      <c r="E1" s="18"/>
      <c r="F1" s="18"/>
      <c r="G1" s="18"/>
      <c r="H1" s="18"/>
      <c r="I1" s="18"/>
      <c r="J1" s="18" t="s">
        <v>404</v>
      </c>
      <c r="K1" s="18"/>
      <c r="L1" s="18"/>
      <c r="M1" s="18"/>
      <c r="N1" s="18"/>
      <c r="O1" s="18"/>
      <c r="P1" s="18"/>
      <c r="Q1" s="18"/>
      <c r="R1" s="18" t="s">
        <v>402</v>
      </c>
      <c r="S1" s="18"/>
      <c r="T1" s="18"/>
      <c r="U1" s="18"/>
      <c r="V1" s="18"/>
      <c r="W1" s="18"/>
      <c r="X1" s="18"/>
      <c r="Y1" s="18"/>
      <c r="Z1" s="29" t="s">
        <v>403</v>
      </c>
      <c r="AA1" s="29"/>
      <c r="AB1" s="29"/>
      <c r="AC1" s="29"/>
      <c r="AD1" s="29"/>
      <c r="AE1" s="29"/>
    </row>
    <row r="2" spans="1:31">
      <c r="A2" s="18" t="str">
        <f>'Trends2000-1990'!AA1</f>
        <v>Area</v>
      </c>
      <c r="B2" s="18">
        <f>'Summary-2010'!AB1</f>
        <v>10</v>
      </c>
      <c r="C2" s="18">
        <f>'Summary-2010'!AC1</f>
        <v>20</v>
      </c>
      <c r="D2" s="18">
        <f>'Summary-2010'!AD1</f>
        <v>30</v>
      </c>
      <c r="E2" s="18">
        <f>'Summary-2010'!AE1</f>
        <v>40</v>
      </c>
      <c r="F2" s="18">
        <f>'Summary-2010'!AF1</f>
        <v>50</v>
      </c>
      <c r="G2" s="18">
        <f>'Summary-2010'!AG1</f>
        <v>60</v>
      </c>
      <c r="H2" s="18"/>
      <c r="I2" s="18"/>
      <c r="J2" s="18">
        <f>'Summary-2000'!AB1</f>
        <v>10</v>
      </c>
      <c r="K2" s="18">
        <f>'Summary-2000'!AC1</f>
        <v>20</v>
      </c>
      <c r="L2" s="18">
        <f>'Summary-2000'!AD1</f>
        <v>30</v>
      </c>
      <c r="M2" s="18">
        <f>'Summary-2000'!AE1</f>
        <v>40</v>
      </c>
      <c r="N2" s="18">
        <f>'Summary-2000'!AF1</f>
        <v>50</v>
      </c>
      <c r="O2" s="18">
        <f>'Summary-2000'!AG1</f>
        <v>60</v>
      </c>
      <c r="P2" s="18"/>
      <c r="Q2" s="18"/>
      <c r="R2" s="18">
        <f>B2</f>
        <v>10</v>
      </c>
      <c r="S2" s="18">
        <f t="shared" ref="S2:W2" si="0">C2</f>
        <v>20</v>
      </c>
      <c r="T2" s="18">
        <f t="shared" si="0"/>
        <v>30</v>
      </c>
      <c r="U2" s="18">
        <f t="shared" si="0"/>
        <v>40</v>
      </c>
      <c r="V2" s="18">
        <f t="shared" si="0"/>
        <v>50</v>
      </c>
      <c r="W2" s="18">
        <f t="shared" si="0"/>
        <v>60</v>
      </c>
      <c r="X2" s="18"/>
      <c r="Y2" s="18"/>
      <c r="Z2" s="29">
        <f>B2</f>
        <v>10</v>
      </c>
      <c r="AA2" s="29">
        <f t="shared" ref="AA2:AE2" si="1">C2</f>
        <v>20</v>
      </c>
      <c r="AB2" s="29">
        <f t="shared" si="1"/>
        <v>30</v>
      </c>
      <c r="AC2" s="29">
        <f t="shared" si="1"/>
        <v>40</v>
      </c>
      <c r="AD2" s="29">
        <f t="shared" si="1"/>
        <v>50</v>
      </c>
      <c r="AE2" s="29">
        <f t="shared" si="1"/>
        <v>60</v>
      </c>
    </row>
    <row r="3" spans="1:31">
      <c r="A3" s="18" t="str">
        <f>'Trends2000-1990'!AA2</f>
        <v>Atlanta</v>
      </c>
      <c r="B3" s="18">
        <f>'Summary-2010'!AB2</f>
        <v>51</v>
      </c>
      <c r="C3" s="18">
        <f>'Summary-2010'!AC2</f>
        <v>51</v>
      </c>
      <c r="D3" s="18">
        <f>'Summary-2010'!AD2</f>
        <v>37</v>
      </c>
      <c r="E3" s="18">
        <f>'Summary-2010'!AE2</f>
        <v>15</v>
      </c>
      <c r="F3" s="18">
        <f>'Summary-2010'!AF2</f>
        <v>9</v>
      </c>
      <c r="G3" s="18">
        <f>'Summary-2010'!AG2</f>
        <v>9</v>
      </c>
      <c r="H3" s="18"/>
      <c r="I3" s="18" t="str">
        <f>A3</f>
        <v>Atlanta</v>
      </c>
      <c r="J3" s="18">
        <f>'Summary-2000'!AB2</f>
        <v>50</v>
      </c>
      <c r="K3" s="18">
        <f>'Summary-2000'!AC2</f>
        <v>49</v>
      </c>
      <c r="L3" s="18">
        <f>'Summary-2000'!AD2</f>
        <v>41</v>
      </c>
      <c r="M3" s="18">
        <f>'Summary-2000'!AE2</f>
        <v>22</v>
      </c>
      <c r="N3" s="18">
        <f>'Summary-2000'!AF2</f>
        <v>12</v>
      </c>
      <c r="O3" s="18">
        <f>'Summary-2000'!AG2</f>
        <v>8</v>
      </c>
      <c r="P3" s="18"/>
      <c r="Q3" s="18" t="str">
        <f>A3</f>
        <v>Atlanta</v>
      </c>
      <c r="R3" s="18">
        <f>B3-J3</f>
        <v>1</v>
      </c>
      <c r="S3" s="18">
        <f t="shared" ref="S3:W53" si="2">C3-K3</f>
        <v>2</v>
      </c>
      <c r="T3" s="18">
        <f t="shared" si="2"/>
        <v>-4</v>
      </c>
      <c r="U3" s="18">
        <f t="shared" si="2"/>
        <v>-7</v>
      </c>
      <c r="V3" s="18">
        <f t="shared" si="2"/>
        <v>-3</v>
      </c>
      <c r="W3" s="18">
        <f t="shared" si="2"/>
        <v>1</v>
      </c>
      <c r="X3" s="18"/>
      <c r="Y3" s="29" t="str">
        <f>A3</f>
        <v>Atlanta</v>
      </c>
      <c r="Z3" s="18">
        <f>RANK(R3,R$3:R$53)</f>
        <v>25</v>
      </c>
      <c r="AA3" s="18">
        <f t="shared" ref="AA3:AE18" si="3">RANK(S3,S$3:S$53)</f>
        <v>19</v>
      </c>
      <c r="AB3" s="18">
        <f t="shared" si="3"/>
        <v>41</v>
      </c>
      <c r="AC3" s="18">
        <f t="shared" si="3"/>
        <v>49</v>
      </c>
      <c r="AD3" s="18">
        <f t="shared" si="3"/>
        <v>43</v>
      </c>
      <c r="AE3" s="18">
        <f t="shared" si="3"/>
        <v>12</v>
      </c>
    </row>
    <row r="4" spans="1:31">
      <c r="A4" s="18" t="str">
        <f>'Trends2000-1990'!AA3</f>
        <v>Austin</v>
      </c>
      <c r="B4" s="18">
        <f>'Summary-2010'!AB3</f>
        <v>31</v>
      </c>
      <c r="C4" s="18">
        <f>'Summary-2010'!AC3</f>
        <v>29</v>
      </c>
      <c r="D4" s="18">
        <f>'Summary-2010'!AD3</f>
        <v>35</v>
      </c>
      <c r="E4" s="18">
        <f>'Summary-2010'!AE3</f>
        <v>37</v>
      </c>
      <c r="F4" s="18">
        <f>'Summary-2010'!AF3</f>
        <v>37</v>
      </c>
      <c r="G4" s="18">
        <f>'Summary-2010'!AG3</f>
        <v>37</v>
      </c>
      <c r="H4" s="18"/>
      <c r="I4" s="18" t="str">
        <f t="shared" ref="I4:I53" si="4">A4</f>
        <v>Austin</v>
      </c>
      <c r="J4" s="18">
        <f>'Summary-2000'!AB3</f>
        <v>29</v>
      </c>
      <c r="K4" s="18">
        <f>'Summary-2000'!AC3</f>
        <v>30</v>
      </c>
      <c r="L4" s="18">
        <f>'Summary-2000'!AD3</f>
        <v>38</v>
      </c>
      <c r="M4" s="18">
        <f>'Summary-2000'!AE3</f>
        <v>40</v>
      </c>
      <c r="N4" s="18">
        <f>'Summary-2000'!AF3</f>
        <v>40</v>
      </c>
      <c r="O4" s="18">
        <f>'Summary-2000'!AG3</f>
        <v>40</v>
      </c>
      <c r="P4" s="18"/>
      <c r="Q4" s="18" t="str">
        <f t="shared" ref="Q4:Q53" si="5">A4</f>
        <v>Austin</v>
      </c>
      <c r="R4" s="18">
        <f t="shared" ref="R4:R53" si="6">B4-J4</f>
        <v>2</v>
      </c>
      <c r="S4" s="18">
        <f t="shared" si="2"/>
        <v>-1</v>
      </c>
      <c r="T4" s="18">
        <f t="shared" si="2"/>
        <v>-3</v>
      </c>
      <c r="U4" s="18">
        <f t="shared" si="2"/>
        <v>-3</v>
      </c>
      <c r="V4" s="18">
        <f t="shared" si="2"/>
        <v>-3</v>
      </c>
      <c r="W4" s="18">
        <f t="shared" si="2"/>
        <v>-3</v>
      </c>
      <c r="X4" s="18"/>
      <c r="Y4" s="29" t="str">
        <f t="shared" ref="Y4:Y53" si="7">A4</f>
        <v>Austin</v>
      </c>
      <c r="Z4" s="18">
        <f t="shared" ref="Z4:AE53" si="8">RANK(R4,R$3:R$53)</f>
        <v>21</v>
      </c>
      <c r="AA4" s="18">
        <f t="shared" si="3"/>
        <v>27</v>
      </c>
      <c r="AB4" s="18">
        <f t="shared" si="3"/>
        <v>36</v>
      </c>
      <c r="AC4" s="18">
        <f t="shared" si="3"/>
        <v>42</v>
      </c>
      <c r="AD4" s="18">
        <f t="shared" si="3"/>
        <v>43</v>
      </c>
      <c r="AE4" s="18">
        <f t="shared" si="3"/>
        <v>43</v>
      </c>
    </row>
    <row r="5" spans="1:31">
      <c r="A5" s="18" t="str">
        <f>'Trends2000-1990'!AA4</f>
        <v>Baltimore</v>
      </c>
      <c r="B5" s="18">
        <f>'Summary-2010'!AB4</f>
        <v>18</v>
      </c>
      <c r="C5" s="18">
        <f>'Summary-2010'!AC4</f>
        <v>16</v>
      </c>
      <c r="D5" s="18">
        <f>'Summary-2010'!AD4</f>
        <v>10</v>
      </c>
      <c r="E5" s="18">
        <f>'Summary-2010'!AE4</f>
        <v>18</v>
      </c>
      <c r="F5" s="18">
        <f>'Summary-2010'!AF4</f>
        <v>18</v>
      </c>
      <c r="G5" s="18">
        <f>'Summary-2010'!AG4</f>
        <v>18</v>
      </c>
      <c r="H5" s="18"/>
      <c r="I5" s="18" t="str">
        <f t="shared" si="4"/>
        <v>Baltimore</v>
      </c>
      <c r="J5" s="18">
        <f>'Summary-2000'!AB4</f>
        <v>24</v>
      </c>
      <c r="K5" s="18">
        <f>'Summary-2000'!AC4</f>
        <v>21</v>
      </c>
      <c r="L5" s="18">
        <f>'Summary-2000'!AD4</f>
        <v>9</v>
      </c>
      <c r="M5" s="18">
        <f>'Summary-2000'!AE4</f>
        <v>19</v>
      </c>
      <c r="N5" s="18">
        <f>'Summary-2000'!AF4</f>
        <v>20</v>
      </c>
      <c r="O5" s="18">
        <f>'Summary-2000'!AG4</f>
        <v>20</v>
      </c>
      <c r="P5" s="18"/>
      <c r="Q5" s="18" t="str">
        <f t="shared" si="5"/>
        <v>Baltimore</v>
      </c>
      <c r="R5" s="18">
        <f t="shared" si="6"/>
        <v>-6</v>
      </c>
      <c r="S5" s="18">
        <f t="shared" si="2"/>
        <v>-5</v>
      </c>
      <c r="T5" s="18">
        <f t="shared" si="2"/>
        <v>1</v>
      </c>
      <c r="U5" s="18">
        <f t="shared" si="2"/>
        <v>-1</v>
      </c>
      <c r="V5" s="18">
        <f t="shared" si="2"/>
        <v>-2</v>
      </c>
      <c r="W5" s="18">
        <f t="shared" si="2"/>
        <v>-2</v>
      </c>
      <c r="X5" s="18"/>
      <c r="Y5" s="29" t="str">
        <f t="shared" si="7"/>
        <v>Baltimore</v>
      </c>
      <c r="Z5" s="18">
        <f t="shared" si="8"/>
        <v>37</v>
      </c>
      <c r="AA5" s="18">
        <f t="shared" si="3"/>
        <v>34</v>
      </c>
      <c r="AB5" s="18">
        <f t="shared" si="3"/>
        <v>23</v>
      </c>
      <c r="AC5" s="18">
        <f t="shared" si="3"/>
        <v>29</v>
      </c>
      <c r="AD5" s="18">
        <f t="shared" si="3"/>
        <v>36</v>
      </c>
      <c r="AE5" s="18">
        <f t="shared" si="3"/>
        <v>38</v>
      </c>
    </row>
    <row r="6" spans="1:31">
      <c r="A6" s="18" t="str">
        <f>'Trends2000-1990'!AA5</f>
        <v>Boston</v>
      </c>
      <c r="B6" s="18">
        <f>'Summary-2010'!AB5</f>
        <v>20</v>
      </c>
      <c r="C6" s="18">
        <f>'Summary-2010'!AC5</f>
        <v>18</v>
      </c>
      <c r="D6" s="18">
        <f>'Summary-2010'!AD5</f>
        <v>9</v>
      </c>
      <c r="E6" s="18">
        <f>'Summary-2010'!AE5</f>
        <v>6</v>
      </c>
      <c r="F6" s="18">
        <f>'Summary-2010'!AF5</f>
        <v>4</v>
      </c>
      <c r="G6" s="18">
        <f>'Summary-2010'!AG5</f>
        <v>4</v>
      </c>
      <c r="H6" s="18"/>
      <c r="I6" s="18" t="str">
        <f t="shared" si="4"/>
        <v>Boston</v>
      </c>
      <c r="J6" s="18">
        <f>'Summary-2000'!AB5</f>
        <v>9</v>
      </c>
      <c r="K6" s="18">
        <f>'Summary-2000'!AC5</f>
        <v>7</v>
      </c>
      <c r="L6" s="18">
        <f>'Summary-2000'!AD5</f>
        <v>3</v>
      </c>
      <c r="M6" s="18">
        <f>'Summary-2000'!AE5</f>
        <v>2</v>
      </c>
      <c r="N6" s="18">
        <f>'Summary-2000'!AF5</f>
        <v>3</v>
      </c>
      <c r="O6" s="18">
        <f>'Summary-2000'!AG5</f>
        <v>4</v>
      </c>
      <c r="P6" s="18"/>
      <c r="Q6" s="18" t="str">
        <f t="shared" si="5"/>
        <v>Boston</v>
      </c>
      <c r="R6" s="18">
        <f t="shared" si="6"/>
        <v>11</v>
      </c>
      <c r="S6" s="18">
        <f t="shared" si="2"/>
        <v>11</v>
      </c>
      <c r="T6" s="18">
        <f t="shared" si="2"/>
        <v>6</v>
      </c>
      <c r="U6" s="18">
        <f t="shared" si="2"/>
        <v>4</v>
      </c>
      <c r="V6" s="18">
        <f t="shared" si="2"/>
        <v>1</v>
      </c>
      <c r="W6" s="18">
        <f t="shared" si="2"/>
        <v>0</v>
      </c>
      <c r="X6" s="18"/>
      <c r="Y6" s="29" t="str">
        <f t="shared" si="7"/>
        <v>Boston</v>
      </c>
      <c r="Z6" s="18">
        <f t="shared" si="8"/>
        <v>9</v>
      </c>
      <c r="AA6" s="18">
        <f t="shared" si="3"/>
        <v>10</v>
      </c>
      <c r="AB6" s="18">
        <f t="shared" si="3"/>
        <v>9</v>
      </c>
      <c r="AC6" s="18">
        <f t="shared" si="3"/>
        <v>6</v>
      </c>
      <c r="AD6" s="18">
        <f t="shared" si="3"/>
        <v>12</v>
      </c>
      <c r="AE6" s="18">
        <f t="shared" si="3"/>
        <v>20</v>
      </c>
    </row>
    <row r="7" spans="1:31">
      <c r="A7" s="18" t="str">
        <f>'Trends2000-1990'!AA6</f>
        <v>Buffalo</v>
      </c>
      <c r="B7" s="18">
        <f>'Summary-2010'!AB6</f>
        <v>30</v>
      </c>
      <c r="C7" s="18">
        <f>'Summary-2010'!AC6</f>
        <v>27</v>
      </c>
      <c r="D7" s="18">
        <f>'Summary-2010'!AD6</f>
        <v>45</v>
      </c>
      <c r="E7" s="18">
        <f>'Summary-2010'!AE6</f>
        <v>45</v>
      </c>
      <c r="F7" s="18">
        <f>'Summary-2010'!AF6</f>
        <v>45</v>
      </c>
      <c r="G7" s="18">
        <f>'Summary-2010'!AG6</f>
        <v>45</v>
      </c>
      <c r="H7" s="18"/>
      <c r="I7" s="18" t="str">
        <f t="shared" si="4"/>
        <v>Buffalo</v>
      </c>
      <c r="J7" s="18">
        <f>'Summary-2000'!AB6</f>
        <v>23</v>
      </c>
      <c r="K7" s="18">
        <f>'Summary-2000'!AC6</f>
        <v>22</v>
      </c>
      <c r="L7" s="18">
        <f>'Summary-2000'!AD6</f>
        <v>48</v>
      </c>
      <c r="M7" s="18">
        <f>'Summary-2000'!AE6</f>
        <v>48</v>
      </c>
      <c r="N7" s="18">
        <f>'Summary-2000'!AF6</f>
        <v>48</v>
      </c>
      <c r="O7" s="18">
        <f>'Summary-2000'!AG6</f>
        <v>48</v>
      </c>
      <c r="P7" s="18"/>
      <c r="Q7" s="18" t="str">
        <f t="shared" si="5"/>
        <v>Buffalo</v>
      </c>
      <c r="R7" s="18">
        <f t="shared" si="6"/>
        <v>7</v>
      </c>
      <c r="S7" s="18">
        <f t="shared" si="2"/>
        <v>5</v>
      </c>
      <c r="T7" s="18">
        <f t="shared" si="2"/>
        <v>-3</v>
      </c>
      <c r="U7" s="18">
        <f t="shared" si="2"/>
        <v>-3</v>
      </c>
      <c r="V7" s="18">
        <f t="shared" si="2"/>
        <v>-3</v>
      </c>
      <c r="W7" s="18">
        <f t="shared" si="2"/>
        <v>-3</v>
      </c>
      <c r="X7" s="18"/>
      <c r="Y7" s="29" t="str">
        <f t="shared" si="7"/>
        <v>Buffalo</v>
      </c>
      <c r="Z7" s="18">
        <f t="shared" si="8"/>
        <v>14</v>
      </c>
      <c r="AA7" s="18">
        <f t="shared" si="3"/>
        <v>16</v>
      </c>
      <c r="AB7" s="18">
        <f t="shared" si="3"/>
        <v>36</v>
      </c>
      <c r="AC7" s="18">
        <f t="shared" si="3"/>
        <v>42</v>
      </c>
      <c r="AD7" s="18">
        <f t="shared" si="3"/>
        <v>43</v>
      </c>
      <c r="AE7" s="18">
        <f t="shared" si="3"/>
        <v>43</v>
      </c>
    </row>
    <row r="8" spans="1:31">
      <c r="A8" s="18" t="str">
        <f>'Trends2000-1990'!AA7</f>
        <v>Charlotte</v>
      </c>
      <c r="B8" s="18">
        <f>'Summary-2010'!AB7</f>
        <v>47</v>
      </c>
      <c r="C8" s="18">
        <f>'Summary-2010'!AC7</f>
        <v>44</v>
      </c>
      <c r="D8" s="18">
        <f>'Summary-2010'!AD7</f>
        <v>30</v>
      </c>
      <c r="E8" s="18">
        <f>'Summary-2010'!AE7</f>
        <v>34</v>
      </c>
      <c r="F8" s="18">
        <f>'Summary-2010'!AF7</f>
        <v>34</v>
      </c>
      <c r="G8" s="18">
        <f>'Summary-2010'!AG7</f>
        <v>34</v>
      </c>
      <c r="H8" s="18"/>
      <c r="I8" s="18" t="str">
        <f t="shared" si="4"/>
        <v>Charlotte</v>
      </c>
      <c r="J8" s="18">
        <f>'Summary-2000'!AB7</f>
        <v>22</v>
      </c>
      <c r="K8" s="18">
        <f>'Summary-2000'!AC7</f>
        <v>20</v>
      </c>
      <c r="L8" s="18">
        <f>'Summary-2000'!AD7</f>
        <v>19</v>
      </c>
      <c r="M8" s="18">
        <f>'Summary-2000'!AE7</f>
        <v>30</v>
      </c>
      <c r="N8" s="18">
        <f>'Summary-2000'!AF7</f>
        <v>30</v>
      </c>
      <c r="O8" s="18">
        <f>'Summary-2000'!AG7</f>
        <v>30</v>
      </c>
      <c r="P8" s="18"/>
      <c r="Q8" s="18" t="str">
        <f t="shared" si="5"/>
        <v>Charlotte</v>
      </c>
      <c r="R8" s="18">
        <f t="shared" si="6"/>
        <v>25</v>
      </c>
      <c r="S8" s="18">
        <f t="shared" si="2"/>
        <v>24</v>
      </c>
      <c r="T8" s="18">
        <f t="shared" si="2"/>
        <v>11</v>
      </c>
      <c r="U8" s="18">
        <f t="shared" si="2"/>
        <v>4</v>
      </c>
      <c r="V8" s="18">
        <f t="shared" si="2"/>
        <v>4</v>
      </c>
      <c r="W8" s="18">
        <f t="shared" si="2"/>
        <v>4</v>
      </c>
      <c r="X8" s="18"/>
      <c r="Y8" s="29" t="str">
        <f t="shared" si="7"/>
        <v>Charlotte</v>
      </c>
      <c r="Z8" s="18">
        <f t="shared" si="8"/>
        <v>3</v>
      </c>
      <c r="AA8" s="18">
        <f t="shared" si="3"/>
        <v>4</v>
      </c>
      <c r="AB8" s="18">
        <f t="shared" si="3"/>
        <v>6</v>
      </c>
      <c r="AC8" s="18">
        <f t="shared" si="3"/>
        <v>6</v>
      </c>
      <c r="AD8" s="18">
        <f t="shared" si="3"/>
        <v>5</v>
      </c>
      <c r="AE8" s="18">
        <f t="shared" si="3"/>
        <v>5</v>
      </c>
    </row>
    <row r="9" spans="1:31">
      <c r="A9" s="18" t="str">
        <f>'Trends2000-1990'!AA8</f>
        <v>Chicago</v>
      </c>
      <c r="B9" s="18">
        <f>'Summary-2010'!AB8</f>
        <v>14</v>
      </c>
      <c r="C9" s="18">
        <f>'Summary-2010'!AC8</f>
        <v>13</v>
      </c>
      <c r="D9" s="18">
        <f>'Summary-2010'!AD8</f>
        <v>5</v>
      </c>
      <c r="E9" s="18">
        <f>'Summary-2010'!AE8</f>
        <v>3</v>
      </c>
      <c r="F9" s="18">
        <f>'Summary-2010'!AF8</f>
        <v>3</v>
      </c>
      <c r="G9" s="18">
        <f>'Summary-2010'!AG8</f>
        <v>3</v>
      </c>
      <c r="H9" s="18"/>
      <c r="I9" s="18" t="str">
        <f t="shared" si="4"/>
        <v>Chicago</v>
      </c>
      <c r="J9" s="18">
        <f>'Summary-2000'!AB8</f>
        <v>32</v>
      </c>
      <c r="K9" s="18">
        <f>'Summary-2000'!AC8</f>
        <v>29</v>
      </c>
      <c r="L9" s="18">
        <f>'Summary-2000'!AD8</f>
        <v>15</v>
      </c>
      <c r="M9" s="18">
        <f>'Summary-2000'!AE8</f>
        <v>7</v>
      </c>
      <c r="N9" s="18">
        <f>'Summary-2000'!AF8</f>
        <v>5</v>
      </c>
      <c r="O9" s="18">
        <f>'Summary-2000'!AG8</f>
        <v>3</v>
      </c>
      <c r="P9" s="18"/>
      <c r="Q9" s="18" t="str">
        <f t="shared" si="5"/>
        <v>Chicago</v>
      </c>
      <c r="R9" s="18">
        <f t="shared" si="6"/>
        <v>-18</v>
      </c>
      <c r="S9" s="18">
        <f t="shared" si="2"/>
        <v>-16</v>
      </c>
      <c r="T9" s="18">
        <f t="shared" si="2"/>
        <v>-10</v>
      </c>
      <c r="U9" s="18">
        <f t="shared" si="2"/>
        <v>-4</v>
      </c>
      <c r="V9" s="18">
        <f t="shared" si="2"/>
        <v>-2</v>
      </c>
      <c r="W9" s="18">
        <f t="shared" si="2"/>
        <v>0</v>
      </c>
      <c r="X9" s="18"/>
      <c r="Y9" s="29" t="str">
        <f t="shared" si="7"/>
        <v>Chicago</v>
      </c>
      <c r="Z9" s="18">
        <f t="shared" si="8"/>
        <v>46</v>
      </c>
      <c r="AA9" s="18">
        <f t="shared" si="3"/>
        <v>45</v>
      </c>
      <c r="AB9" s="18">
        <f t="shared" si="3"/>
        <v>46</v>
      </c>
      <c r="AC9" s="18">
        <f t="shared" si="3"/>
        <v>45</v>
      </c>
      <c r="AD9" s="18">
        <f t="shared" si="3"/>
        <v>36</v>
      </c>
      <c r="AE9" s="18">
        <f t="shared" si="3"/>
        <v>20</v>
      </c>
    </row>
    <row r="10" spans="1:31">
      <c r="A10" s="18" t="str">
        <f>'Trends2000-1990'!AA9</f>
        <v>Cincinnati</v>
      </c>
      <c r="B10" s="18">
        <f>'Summary-2010'!AB9</f>
        <v>44</v>
      </c>
      <c r="C10" s="18">
        <f>'Summary-2010'!AC9</f>
        <v>41</v>
      </c>
      <c r="D10" s="18">
        <f>'Summary-2010'!AD9</f>
        <v>23</v>
      </c>
      <c r="E10" s="18">
        <f>'Summary-2010'!AE9</f>
        <v>24</v>
      </c>
      <c r="F10" s="18">
        <f>'Summary-2010'!AF9</f>
        <v>24</v>
      </c>
      <c r="G10" s="18">
        <f>'Summary-2010'!AG9</f>
        <v>24</v>
      </c>
      <c r="H10" s="18"/>
      <c r="I10" s="18" t="str">
        <f t="shared" si="4"/>
        <v>Cincinnati</v>
      </c>
      <c r="J10" s="18">
        <f>'Summary-2000'!AB9</f>
        <v>34</v>
      </c>
      <c r="K10" s="18">
        <f>'Summary-2000'!AC9</f>
        <v>28</v>
      </c>
      <c r="L10" s="18">
        <f>'Summary-2000'!AD9</f>
        <v>13</v>
      </c>
      <c r="M10" s="18">
        <f>'Summary-2000'!AE9</f>
        <v>24</v>
      </c>
      <c r="N10" s="18">
        <f>'Summary-2000'!AF9</f>
        <v>24</v>
      </c>
      <c r="O10" s="18">
        <f>'Summary-2000'!AG9</f>
        <v>24</v>
      </c>
      <c r="P10" s="18"/>
      <c r="Q10" s="18" t="str">
        <f t="shared" si="5"/>
        <v>Cincinnati</v>
      </c>
      <c r="R10" s="18">
        <f t="shared" si="6"/>
        <v>10</v>
      </c>
      <c r="S10" s="18">
        <f t="shared" si="2"/>
        <v>13</v>
      </c>
      <c r="T10" s="18">
        <f t="shared" si="2"/>
        <v>10</v>
      </c>
      <c r="U10" s="18">
        <f t="shared" si="2"/>
        <v>0</v>
      </c>
      <c r="V10" s="18">
        <f t="shared" si="2"/>
        <v>0</v>
      </c>
      <c r="W10" s="18">
        <f t="shared" si="2"/>
        <v>0</v>
      </c>
      <c r="X10" s="18"/>
      <c r="Y10" s="29" t="str">
        <f t="shared" si="7"/>
        <v>Cincinnati</v>
      </c>
      <c r="Z10" s="18">
        <f t="shared" si="8"/>
        <v>10</v>
      </c>
      <c r="AA10" s="18">
        <f t="shared" si="3"/>
        <v>8</v>
      </c>
      <c r="AB10" s="18">
        <f t="shared" si="3"/>
        <v>7</v>
      </c>
      <c r="AC10" s="18">
        <f t="shared" si="3"/>
        <v>22</v>
      </c>
      <c r="AD10" s="18">
        <f t="shared" si="3"/>
        <v>21</v>
      </c>
      <c r="AE10" s="18">
        <f t="shared" si="3"/>
        <v>20</v>
      </c>
    </row>
    <row r="11" spans="1:31">
      <c r="A11" s="18" t="str">
        <f>'Trends2000-1990'!AA10</f>
        <v>Cleveland</v>
      </c>
      <c r="B11" s="18">
        <f>'Summary-2010'!AB10</f>
        <v>34</v>
      </c>
      <c r="C11" s="18">
        <f>'Summary-2010'!AC10</f>
        <v>32</v>
      </c>
      <c r="D11" s="18">
        <f>'Summary-2010'!AD10</f>
        <v>18</v>
      </c>
      <c r="E11" s="18">
        <f>'Summary-2010'!AE10</f>
        <v>26</v>
      </c>
      <c r="F11" s="18">
        <f>'Summary-2010'!AF10</f>
        <v>26</v>
      </c>
      <c r="G11" s="18">
        <f>'Summary-2010'!AG10</f>
        <v>26</v>
      </c>
      <c r="H11" s="18"/>
      <c r="I11" s="18" t="str">
        <f t="shared" si="4"/>
        <v>Cleveland</v>
      </c>
      <c r="J11" s="18">
        <f>'Summary-2000'!AB10</f>
        <v>6</v>
      </c>
      <c r="K11" s="18">
        <f>'Summary-2000'!AC10</f>
        <v>5</v>
      </c>
      <c r="L11" s="18">
        <f>'Summary-2000'!AD10</f>
        <v>6</v>
      </c>
      <c r="M11" s="18">
        <f>'Summary-2000'!AE10</f>
        <v>18</v>
      </c>
      <c r="N11" s="18">
        <f>'Summary-2000'!AF10</f>
        <v>19</v>
      </c>
      <c r="O11" s="18">
        <f>'Summary-2000'!AG10</f>
        <v>19</v>
      </c>
      <c r="P11" s="18"/>
      <c r="Q11" s="18" t="str">
        <f t="shared" si="5"/>
        <v>Cleveland</v>
      </c>
      <c r="R11" s="18">
        <f t="shared" si="6"/>
        <v>28</v>
      </c>
      <c r="S11" s="18">
        <f t="shared" si="2"/>
        <v>27</v>
      </c>
      <c r="T11" s="18">
        <f t="shared" si="2"/>
        <v>12</v>
      </c>
      <c r="U11" s="18">
        <f t="shared" si="2"/>
        <v>8</v>
      </c>
      <c r="V11" s="18">
        <f t="shared" si="2"/>
        <v>7</v>
      </c>
      <c r="W11" s="18">
        <f t="shared" si="2"/>
        <v>7</v>
      </c>
      <c r="X11" s="18"/>
      <c r="Y11" s="29" t="str">
        <f t="shared" si="7"/>
        <v>Cleveland</v>
      </c>
      <c r="Z11" s="18">
        <f t="shared" si="8"/>
        <v>2</v>
      </c>
      <c r="AA11" s="18">
        <f t="shared" si="3"/>
        <v>3</v>
      </c>
      <c r="AB11" s="18">
        <f t="shared" si="3"/>
        <v>3</v>
      </c>
      <c r="AC11" s="18">
        <f t="shared" si="3"/>
        <v>2</v>
      </c>
      <c r="AD11" s="18">
        <f t="shared" si="3"/>
        <v>2</v>
      </c>
      <c r="AE11" s="18">
        <f t="shared" si="3"/>
        <v>2</v>
      </c>
    </row>
    <row r="12" spans="1:31">
      <c r="A12" s="18" t="str">
        <f>'Trends2000-1990'!AA11</f>
        <v>Columbus</v>
      </c>
      <c r="B12" s="18">
        <f>'Summary-2010'!AB11</f>
        <v>15</v>
      </c>
      <c r="C12" s="18">
        <f>'Summary-2010'!AC11</f>
        <v>12</v>
      </c>
      <c r="D12" s="18">
        <f>'Summary-2010'!AD11</f>
        <v>26</v>
      </c>
      <c r="E12" s="18">
        <f>'Summary-2010'!AE11</f>
        <v>30</v>
      </c>
      <c r="F12" s="18">
        <f>'Summary-2010'!AF11</f>
        <v>30</v>
      </c>
      <c r="G12" s="18">
        <f>'Summary-2010'!AG11</f>
        <v>30</v>
      </c>
      <c r="H12" s="18"/>
      <c r="I12" s="18" t="str">
        <f t="shared" si="4"/>
        <v>Columbus</v>
      </c>
      <c r="J12" s="18">
        <f>'Summary-2000'!AB11</f>
        <v>5</v>
      </c>
      <c r="K12" s="18">
        <f>'Summary-2000'!AC11</f>
        <v>3</v>
      </c>
      <c r="L12" s="18">
        <f>'Summary-2000'!AD11</f>
        <v>25</v>
      </c>
      <c r="M12" s="18">
        <f>'Summary-2000'!AE11</f>
        <v>32</v>
      </c>
      <c r="N12" s="18">
        <f>'Summary-2000'!AF11</f>
        <v>32</v>
      </c>
      <c r="O12" s="18">
        <f>'Summary-2000'!AG11</f>
        <v>32</v>
      </c>
      <c r="P12" s="18"/>
      <c r="Q12" s="18" t="str">
        <f t="shared" si="5"/>
        <v>Columbus</v>
      </c>
      <c r="R12" s="18">
        <f t="shared" si="6"/>
        <v>10</v>
      </c>
      <c r="S12" s="18">
        <f t="shared" si="2"/>
        <v>9</v>
      </c>
      <c r="T12" s="18">
        <f t="shared" si="2"/>
        <v>1</v>
      </c>
      <c r="U12" s="18">
        <f t="shared" si="2"/>
        <v>-2</v>
      </c>
      <c r="V12" s="18">
        <f t="shared" si="2"/>
        <v>-2</v>
      </c>
      <c r="W12" s="18">
        <f t="shared" si="2"/>
        <v>-2</v>
      </c>
      <c r="X12" s="18"/>
      <c r="Y12" s="29" t="str">
        <f t="shared" si="7"/>
        <v>Columbus</v>
      </c>
      <c r="Z12" s="18">
        <f t="shared" si="8"/>
        <v>10</v>
      </c>
      <c r="AA12" s="18">
        <f t="shared" si="3"/>
        <v>13</v>
      </c>
      <c r="AB12" s="18">
        <f t="shared" si="3"/>
        <v>23</v>
      </c>
      <c r="AC12" s="18">
        <f t="shared" si="3"/>
        <v>38</v>
      </c>
      <c r="AD12" s="18">
        <f t="shared" si="3"/>
        <v>36</v>
      </c>
      <c r="AE12" s="18">
        <f t="shared" si="3"/>
        <v>38</v>
      </c>
    </row>
    <row r="13" spans="1:31">
      <c r="A13" s="18" t="str">
        <f>'Trends2000-1990'!AA12</f>
        <v>Dallas-Fort Worth</v>
      </c>
      <c r="B13" s="18">
        <f>'Summary-2010'!AB12</f>
        <v>17</v>
      </c>
      <c r="C13" s="18">
        <f>'Summary-2010'!AC12</f>
        <v>17</v>
      </c>
      <c r="D13" s="18">
        <f>'Summary-2010'!AD12</f>
        <v>7</v>
      </c>
      <c r="E13" s="18">
        <f>'Summary-2010'!AE12</f>
        <v>5</v>
      </c>
      <c r="F13" s="18">
        <f>'Summary-2010'!AF12</f>
        <v>5</v>
      </c>
      <c r="G13" s="18">
        <f>'Summary-2010'!AG12</f>
        <v>5</v>
      </c>
      <c r="H13" s="18"/>
      <c r="I13" s="18" t="str">
        <f t="shared" si="4"/>
        <v>Dallas-Fort Worth</v>
      </c>
      <c r="J13" s="18">
        <f>'Summary-2000'!AB12</f>
        <v>17</v>
      </c>
      <c r="K13" s="18">
        <f>'Summary-2000'!AC12</f>
        <v>16</v>
      </c>
      <c r="L13" s="18">
        <f>'Summary-2000'!AD12</f>
        <v>5</v>
      </c>
      <c r="M13" s="18">
        <f>'Summary-2000'!AE12</f>
        <v>5</v>
      </c>
      <c r="N13" s="18">
        <f>'Summary-2000'!AF12</f>
        <v>4</v>
      </c>
      <c r="O13" s="18">
        <f>'Summary-2000'!AG12</f>
        <v>5</v>
      </c>
      <c r="P13" s="18"/>
      <c r="Q13" s="18" t="str">
        <f t="shared" si="5"/>
        <v>Dallas-Fort Worth</v>
      </c>
      <c r="R13" s="18">
        <f t="shared" si="6"/>
        <v>0</v>
      </c>
      <c r="S13" s="18">
        <f t="shared" si="2"/>
        <v>1</v>
      </c>
      <c r="T13" s="18">
        <f t="shared" si="2"/>
        <v>2</v>
      </c>
      <c r="U13" s="18">
        <f t="shared" si="2"/>
        <v>0</v>
      </c>
      <c r="V13" s="18">
        <f t="shared" si="2"/>
        <v>1</v>
      </c>
      <c r="W13" s="18">
        <f t="shared" si="2"/>
        <v>0</v>
      </c>
      <c r="X13" s="18"/>
      <c r="Y13" s="29" t="str">
        <f t="shared" si="7"/>
        <v>Dallas-Fort Worth</v>
      </c>
      <c r="Z13" s="18">
        <f t="shared" si="8"/>
        <v>26</v>
      </c>
      <c r="AA13" s="18">
        <f t="shared" si="3"/>
        <v>22</v>
      </c>
      <c r="AB13" s="18">
        <f t="shared" si="3"/>
        <v>18</v>
      </c>
      <c r="AC13" s="18">
        <f t="shared" si="3"/>
        <v>22</v>
      </c>
      <c r="AD13" s="18">
        <f t="shared" si="3"/>
        <v>12</v>
      </c>
      <c r="AE13" s="18">
        <f t="shared" si="3"/>
        <v>20</v>
      </c>
    </row>
    <row r="14" spans="1:31">
      <c r="A14" s="18" t="str">
        <f>'Trends2000-1990'!AA13</f>
        <v>Denver</v>
      </c>
      <c r="B14" s="18">
        <f>'Summary-2010'!AB13</f>
        <v>25</v>
      </c>
      <c r="C14" s="18">
        <f>'Summary-2010'!AC13</f>
        <v>28</v>
      </c>
      <c r="D14" s="18">
        <f>'Summary-2010'!AD13</f>
        <v>16</v>
      </c>
      <c r="E14" s="18">
        <f>'Summary-2010'!AE13</f>
        <v>19</v>
      </c>
      <c r="F14" s="18">
        <f>'Summary-2010'!AF13</f>
        <v>19</v>
      </c>
      <c r="G14" s="18">
        <f>'Summary-2010'!AG13</f>
        <v>19</v>
      </c>
      <c r="H14" s="18"/>
      <c r="I14" s="18" t="str">
        <f t="shared" si="4"/>
        <v>Denver</v>
      </c>
      <c r="J14" s="18">
        <f>'Summary-2000'!AB13</f>
        <v>20</v>
      </c>
      <c r="K14" s="18">
        <f>'Summary-2000'!AC13</f>
        <v>23</v>
      </c>
      <c r="L14" s="18">
        <f>'Summary-2000'!AD13</f>
        <v>11</v>
      </c>
      <c r="M14" s="18">
        <f>'Summary-2000'!AE13</f>
        <v>17</v>
      </c>
      <c r="N14" s="18">
        <f>'Summary-2000'!AF13</f>
        <v>18</v>
      </c>
      <c r="O14" s="18">
        <f>'Summary-2000'!AG13</f>
        <v>18</v>
      </c>
      <c r="P14" s="18"/>
      <c r="Q14" s="18" t="str">
        <f t="shared" si="5"/>
        <v>Denver</v>
      </c>
      <c r="R14" s="18">
        <f t="shared" si="6"/>
        <v>5</v>
      </c>
      <c r="S14" s="18">
        <f t="shared" si="2"/>
        <v>5</v>
      </c>
      <c r="T14" s="18">
        <f t="shared" si="2"/>
        <v>5</v>
      </c>
      <c r="U14" s="18">
        <f t="shared" si="2"/>
        <v>2</v>
      </c>
      <c r="V14" s="18">
        <f t="shared" si="2"/>
        <v>1</v>
      </c>
      <c r="W14" s="18">
        <f t="shared" si="2"/>
        <v>1</v>
      </c>
      <c r="X14" s="18"/>
      <c r="Y14" s="29" t="str">
        <f t="shared" si="7"/>
        <v>Denver</v>
      </c>
      <c r="Z14" s="18">
        <f t="shared" si="8"/>
        <v>16</v>
      </c>
      <c r="AA14" s="18">
        <f t="shared" si="3"/>
        <v>16</v>
      </c>
      <c r="AB14" s="18">
        <f t="shared" si="3"/>
        <v>14</v>
      </c>
      <c r="AC14" s="18">
        <f t="shared" si="3"/>
        <v>13</v>
      </c>
      <c r="AD14" s="18">
        <f t="shared" si="3"/>
        <v>12</v>
      </c>
      <c r="AE14" s="18">
        <f t="shared" si="3"/>
        <v>12</v>
      </c>
    </row>
    <row r="15" spans="1:31">
      <c r="A15" s="18" t="str">
        <f>'Trends2000-1990'!AA14</f>
        <v>Detroit</v>
      </c>
      <c r="B15" s="18">
        <f>'Summary-2010'!AB14</f>
        <v>33</v>
      </c>
      <c r="C15" s="18">
        <f>'Summary-2010'!AC14</f>
        <v>31</v>
      </c>
      <c r="D15" s="18">
        <f>'Summary-2010'!AD14</f>
        <v>17</v>
      </c>
      <c r="E15" s="18">
        <f>'Summary-2010'!AE14</f>
        <v>12</v>
      </c>
      <c r="F15" s="18">
        <f>'Summary-2010'!AF14</f>
        <v>13</v>
      </c>
      <c r="G15" s="18">
        <f>'Summary-2010'!AG14</f>
        <v>13</v>
      </c>
      <c r="H15" s="18"/>
      <c r="I15" s="18" t="str">
        <f t="shared" si="4"/>
        <v>Detroit</v>
      </c>
      <c r="J15" s="18">
        <f>'Summary-2000'!AB14</f>
        <v>37</v>
      </c>
      <c r="K15" s="18">
        <f>'Summary-2000'!AC14</f>
        <v>37</v>
      </c>
      <c r="L15" s="18">
        <f>'Summary-2000'!AD14</f>
        <v>23</v>
      </c>
      <c r="M15" s="18">
        <f>'Summary-2000'!AE14</f>
        <v>12</v>
      </c>
      <c r="N15" s="18">
        <f>'Summary-2000'!AF14</f>
        <v>9</v>
      </c>
      <c r="O15" s="18">
        <f>'Summary-2000'!AG14</f>
        <v>10</v>
      </c>
      <c r="P15" s="18"/>
      <c r="Q15" s="18" t="str">
        <f t="shared" si="5"/>
        <v>Detroit</v>
      </c>
      <c r="R15" s="18">
        <f t="shared" si="6"/>
        <v>-4</v>
      </c>
      <c r="S15" s="18">
        <f t="shared" si="2"/>
        <v>-6</v>
      </c>
      <c r="T15" s="18">
        <f t="shared" si="2"/>
        <v>-6</v>
      </c>
      <c r="U15" s="18">
        <f t="shared" si="2"/>
        <v>0</v>
      </c>
      <c r="V15" s="18">
        <f t="shared" si="2"/>
        <v>4</v>
      </c>
      <c r="W15" s="18">
        <f t="shared" si="2"/>
        <v>3</v>
      </c>
      <c r="X15" s="18"/>
      <c r="Y15" s="29" t="str">
        <f t="shared" si="7"/>
        <v>Detroit</v>
      </c>
      <c r="Z15" s="18">
        <f t="shared" si="8"/>
        <v>36</v>
      </c>
      <c r="AA15" s="18">
        <f t="shared" si="3"/>
        <v>38</v>
      </c>
      <c r="AB15" s="18">
        <f t="shared" si="3"/>
        <v>44</v>
      </c>
      <c r="AC15" s="18">
        <f t="shared" si="3"/>
        <v>22</v>
      </c>
      <c r="AD15" s="18">
        <f t="shared" si="3"/>
        <v>5</v>
      </c>
      <c r="AE15" s="18">
        <f t="shared" si="3"/>
        <v>9</v>
      </c>
    </row>
    <row r="16" spans="1:31">
      <c r="A16" s="18" t="str">
        <f>'Trends2000-1990'!AA15</f>
        <v>Grand Rapids</v>
      </c>
      <c r="B16" s="18">
        <f>'Summary-2010'!AB15</f>
        <v>23</v>
      </c>
      <c r="C16" s="18">
        <f>'Summary-2010'!AC15</f>
        <v>47</v>
      </c>
      <c r="D16" s="18">
        <f>'Summary-2010'!AD15</f>
        <v>51</v>
      </c>
      <c r="E16" s="18">
        <f>'Summary-2010'!AE15</f>
        <v>51</v>
      </c>
      <c r="F16" s="18">
        <f>'Summary-2010'!AF15</f>
        <v>51</v>
      </c>
      <c r="G16" s="18">
        <f>'Summary-2010'!AG15</f>
        <v>51</v>
      </c>
      <c r="H16" s="18"/>
      <c r="I16" s="18" t="str">
        <f t="shared" si="4"/>
        <v>Grand Rapids</v>
      </c>
      <c r="J16" s="18">
        <f>'Summary-2000'!AB15</f>
        <v>8</v>
      </c>
      <c r="K16" s="18">
        <f>'Summary-2000'!AC15</f>
        <v>9</v>
      </c>
      <c r="L16" s="18">
        <f>'Summary-2000'!AD15</f>
        <v>45</v>
      </c>
      <c r="M16" s="18">
        <f>'Summary-2000'!AE15</f>
        <v>45</v>
      </c>
      <c r="N16" s="18">
        <f>'Summary-2000'!AF15</f>
        <v>45</v>
      </c>
      <c r="O16" s="18">
        <f>'Summary-2000'!AG15</f>
        <v>45</v>
      </c>
      <c r="P16" s="18"/>
      <c r="Q16" s="18" t="str">
        <f t="shared" si="5"/>
        <v>Grand Rapids</v>
      </c>
      <c r="R16" s="18">
        <f t="shared" si="6"/>
        <v>15</v>
      </c>
      <c r="S16" s="18">
        <f t="shared" si="2"/>
        <v>38</v>
      </c>
      <c r="T16" s="18">
        <f t="shared" si="2"/>
        <v>6</v>
      </c>
      <c r="U16" s="18">
        <f t="shared" si="2"/>
        <v>6</v>
      </c>
      <c r="V16" s="18">
        <f t="shared" si="2"/>
        <v>6</v>
      </c>
      <c r="W16" s="18">
        <f t="shared" si="2"/>
        <v>6</v>
      </c>
      <c r="X16" s="18"/>
      <c r="Y16" s="29" t="str">
        <f t="shared" si="7"/>
        <v>Grand Rapids</v>
      </c>
      <c r="Z16" s="18">
        <f t="shared" si="8"/>
        <v>7</v>
      </c>
      <c r="AA16" s="18">
        <f t="shared" si="3"/>
        <v>2</v>
      </c>
      <c r="AB16" s="18">
        <f t="shared" si="3"/>
        <v>9</v>
      </c>
      <c r="AC16" s="18">
        <f t="shared" si="3"/>
        <v>4</v>
      </c>
      <c r="AD16" s="18">
        <f t="shared" si="3"/>
        <v>4</v>
      </c>
      <c r="AE16" s="18">
        <f t="shared" si="3"/>
        <v>4</v>
      </c>
    </row>
    <row r="17" spans="1:31">
      <c r="A17" s="18" t="str">
        <f>'Trends2000-1990'!AA16</f>
        <v>Virginia Beach</v>
      </c>
      <c r="B17" s="18">
        <f>'Summary-2010'!AB16</f>
        <v>36</v>
      </c>
      <c r="C17" s="18">
        <f>'Summary-2010'!AC16</f>
        <v>35</v>
      </c>
      <c r="D17" s="18">
        <f>'Summary-2010'!AD16</f>
        <v>39</v>
      </c>
      <c r="E17" s="18">
        <f>'Summary-2010'!AE16</f>
        <v>39</v>
      </c>
      <c r="F17" s="18">
        <f>'Summary-2010'!AF16</f>
        <v>39</v>
      </c>
      <c r="G17" s="18">
        <f>'Summary-2010'!AG16</f>
        <v>39</v>
      </c>
      <c r="H17" s="18"/>
      <c r="I17" s="18" t="str">
        <f t="shared" si="4"/>
        <v>Virginia Beach</v>
      </c>
      <c r="J17" s="18">
        <f>'Summary-2000'!AB16</f>
        <v>51</v>
      </c>
      <c r="K17" s="18">
        <f>'Summary-2000'!AC16</f>
        <v>50</v>
      </c>
      <c r="L17" s="18">
        <f>'Summary-2000'!AD16</f>
        <v>40</v>
      </c>
      <c r="M17" s="18">
        <f>'Summary-2000'!AE16</f>
        <v>41</v>
      </c>
      <c r="N17" s="18">
        <f>'Summary-2000'!AF16</f>
        <v>41</v>
      </c>
      <c r="O17" s="18">
        <f>'Summary-2000'!AG16</f>
        <v>41</v>
      </c>
      <c r="P17" s="18"/>
      <c r="Q17" s="18" t="str">
        <f t="shared" si="5"/>
        <v>Virginia Beach</v>
      </c>
      <c r="R17" s="18">
        <f t="shared" si="6"/>
        <v>-15</v>
      </c>
      <c r="S17" s="18">
        <f t="shared" si="2"/>
        <v>-15</v>
      </c>
      <c r="T17" s="18">
        <f t="shared" si="2"/>
        <v>-1</v>
      </c>
      <c r="U17" s="18">
        <f t="shared" si="2"/>
        <v>-2</v>
      </c>
      <c r="V17" s="18">
        <f t="shared" si="2"/>
        <v>-2</v>
      </c>
      <c r="W17" s="18">
        <f t="shared" si="2"/>
        <v>-2</v>
      </c>
      <c r="X17" s="18"/>
      <c r="Y17" s="29" t="str">
        <f t="shared" si="7"/>
        <v>Virginia Beach</v>
      </c>
      <c r="Z17" s="18">
        <f t="shared" si="8"/>
        <v>44</v>
      </c>
      <c r="AA17" s="18">
        <f t="shared" si="3"/>
        <v>44</v>
      </c>
      <c r="AB17" s="18">
        <f t="shared" si="3"/>
        <v>31</v>
      </c>
      <c r="AC17" s="18">
        <f t="shared" si="3"/>
        <v>38</v>
      </c>
      <c r="AD17" s="18">
        <f t="shared" si="3"/>
        <v>36</v>
      </c>
      <c r="AE17" s="18">
        <f t="shared" si="3"/>
        <v>38</v>
      </c>
    </row>
    <row r="18" spans="1:31">
      <c r="A18" s="18" t="str">
        <f>'Trends2000-1990'!AA17</f>
        <v>Hartford</v>
      </c>
      <c r="B18" s="18">
        <f>'Summary-2010'!AB17</f>
        <v>40</v>
      </c>
      <c r="C18" s="18">
        <f>'Summary-2010'!AC17</f>
        <v>36</v>
      </c>
      <c r="D18" s="18">
        <f>'Summary-2010'!AD17</f>
        <v>41</v>
      </c>
      <c r="E18" s="18">
        <f>'Summary-2010'!AE17</f>
        <v>41</v>
      </c>
      <c r="F18" s="18">
        <f>'Summary-2010'!AF17</f>
        <v>41</v>
      </c>
      <c r="G18" s="18">
        <f>'Summary-2010'!AG17</f>
        <v>41</v>
      </c>
      <c r="H18" s="18"/>
      <c r="I18" s="18" t="str">
        <f t="shared" si="4"/>
        <v>Hartford</v>
      </c>
      <c r="J18" s="18">
        <f>'Summary-2000'!AB17</f>
        <v>18</v>
      </c>
      <c r="K18" s="18">
        <f>'Summary-2000'!AC17</f>
        <v>13</v>
      </c>
      <c r="L18" s="18">
        <f>'Summary-2000'!AD17</f>
        <v>39</v>
      </c>
      <c r="M18" s="18">
        <f>'Summary-2000'!AE17</f>
        <v>42</v>
      </c>
      <c r="N18" s="18">
        <f>'Summary-2000'!AF17</f>
        <v>42</v>
      </c>
      <c r="O18" s="18">
        <f>'Summary-2000'!AG17</f>
        <v>42</v>
      </c>
      <c r="P18" s="18"/>
      <c r="Q18" s="18" t="str">
        <f t="shared" si="5"/>
        <v>Hartford</v>
      </c>
      <c r="R18" s="18">
        <f t="shared" si="6"/>
        <v>22</v>
      </c>
      <c r="S18" s="18">
        <f t="shared" si="2"/>
        <v>23</v>
      </c>
      <c r="T18" s="18">
        <f t="shared" si="2"/>
        <v>2</v>
      </c>
      <c r="U18" s="18">
        <f t="shared" si="2"/>
        <v>-1</v>
      </c>
      <c r="V18" s="18">
        <f t="shared" si="2"/>
        <v>-1</v>
      </c>
      <c r="W18" s="18">
        <f t="shared" si="2"/>
        <v>-1</v>
      </c>
      <c r="X18" s="18"/>
      <c r="Y18" s="29" t="str">
        <f t="shared" si="7"/>
        <v>Hartford</v>
      </c>
      <c r="Z18" s="18">
        <f t="shared" si="8"/>
        <v>4</v>
      </c>
      <c r="AA18" s="18">
        <f t="shared" si="3"/>
        <v>5</v>
      </c>
      <c r="AB18" s="18">
        <f t="shared" si="3"/>
        <v>18</v>
      </c>
      <c r="AC18" s="18">
        <f t="shared" si="3"/>
        <v>29</v>
      </c>
      <c r="AD18" s="18">
        <f t="shared" si="3"/>
        <v>31</v>
      </c>
      <c r="AE18" s="18">
        <f t="shared" si="3"/>
        <v>32</v>
      </c>
    </row>
    <row r="19" spans="1:31">
      <c r="A19" s="18" t="str">
        <f>'Trends2000-1990'!AA18</f>
        <v>Honolulu</v>
      </c>
      <c r="B19" s="18">
        <f>'Summary-2010'!AB18</f>
        <v>24</v>
      </c>
      <c r="C19" s="18">
        <f>'Summary-2010'!AC18</f>
        <v>42</v>
      </c>
      <c r="D19" s="18">
        <f>'Summary-2010'!AD18</f>
        <v>50</v>
      </c>
      <c r="E19" s="18">
        <f>'Summary-2010'!AE18</f>
        <v>50</v>
      </c>
      <c r="F19" s="18">
        <f>'Summary-2010'!AF18</f>
        <v>50</v>
      </c>
      <c r="G19" s="18">
        <f>'Summary-2010'!AG18</f>
        <v>50</v>
      </c>
      <c r="H19" s="18"/>
      <c r="I19" s="18" t="str">
        <f t="shared" si="4"/>
        <v>Honolulu</v>
      </c>
      <c r="J19" s="18">
        <f>'Summary-2000'!AB18</f>
        <v>10</v>
      </c>
      <c r="K19" s="18">
        <f>'Summary-2000'!AC18</f>
        <v>41</v>
      </c>
      <c r="L19" s="18">
        <f>'Summary-2000'!AD18</f>
        <v>51</v>
      </c>
      <c r="M19" s="18">
        <f>'Summary-2000'!AE18</f>
        <v>51</v>
      </c>
      <c r="N19" s="18">
        <f>'Summary-2000'!AF18</f>
        <v>51</v>
      </c>
      <c r="O19" s="18">
        <f>'Summary-2000'!AG18</f>
        <v>51</v>
      </c>
      <c r="P19" s="18"/>
      <c r="Q19" s="18" t="str">
        <f t="shared" si="5"/>
        <v>Honolulu</v>
      </c>
      <c r="R19" s="18">
        <f t="shared" si="6"/>
        <v>14</v>
      </c>
      <c r="S19" s="18">
        <f t="shared" si="2"/>
        <v>1</v>
      </c>
      <c r="T19" s="18">
        <f t="shared" si="2"/>
        <v>-1</v>
      </c>
      <c r="U19" s="18">
        <f t="shared" si="2"/>
        <v>-1</v>
      </c>
      <c r="V19" s="18">
        <f t="shared" si="2"/>
        <v>-1</v>
      </c>
      <c r="W19" s="18">
        <f t="shared" si="2"/>
        <v>-1</v>
      </c>
      <c r="X19" s="18"/>
      <c r="Y19" s="29" t="str">
        <f t="shared" si="7"/>
        <v>Honolulu</v>
      </c>
      <c r="Z19" s="18">
        <f t="shared" si="8"/>
        <v>8</v>
      </c>
      <c r="AA19" s="18">
        <f t="shared" si="8"/>
        <v>22</v>
      </c>
      <c r="AB19" s="18">
        <f t="shared" si="8"/>
        <v>31</v>
      </c>
      <c r="AC19" s="18">
        <f t="shared" si="8"/>
        <v>29</v>
      </c>
      <c r="AD19" s="18">
        <f t="shared" si="8"/>
        <v>31</v>
      </c>
      <c r="AE19" s="18">
        <f t="shared" si="8"/>
        <v>32</v>
      </c>
    </row>
    <row r="20" spans="1:31">
      <c r="A20" s="18" t="str">
        <f>'Trends2000-1990'!AA19</f>
        <v>Houston</v>
      </c>
      <c r="B20" s="18">
        <f>'Summary-2010'!AB19</f>
        <v>27</v>
      </c>
      <c r="C20" s="18">
        <f>'Summary-2010'!AC19</f>
        <v>21</v>
      </c>
      <c r="D20" s="18">
        <f>'Summary-2010'!AD19</f>
        <v>11</v>
      </c>
      <c r="E20" s="18">
        <f>'Summary-2010'!AE19</f>
        <v>7</v>
      </c>
      <c r="F20" s="18">
        <f>'Summary-2010'!AF19</f>
        <v>8</v>
      </c>
      <c r="G20" s="18">
        <f>'Summary-2010'!AG19</f>
        <v>8</v>
      </c>
      <c r="H20" s="18"/>
      <c r="I20" s="18" t="str">
        <f t="shared" si="4"/>
        <v>Houston</v>
      </c>
      <c r="J20" s="18">
        <f>'Summary-2000'!AB19</f>
        <v>43</v>
      </c>
      <c r="K20" s="18">
        <f>'Summary-2000'!AC19</f>
        <v>44</v>
      </c>
      <c r="L20" s="18">
        <f>'Summary-2000'!AD19</f>
        <v>28</v>
      </c>
      <c r="M20" s="18">
        <f>'Summary-2000'!AE19</f>
        <v>14</v>
      </c>
      <c r="N20" s="18">
        <f>'Summary-2000'!AF19</f>
        <v>10</v>
      </c>
      <c r="O20" s="18">
        <f>'Summary-2000'!AG19</f>
        <v>11</v>
      </c>
      <c r="P20" s="18"/>
      <c r="Q20" s="18" t="str">
        <f t="shared" si="5"/>
        <v>Houston</v>
      </c>
      <c r="R20" s="18">
        <f t="shared" si="6"/>
        <v>-16</v>
      </c>
      <c r="S20" s="18">
        <f t="shared" si="2"/>
        <v>-23</v>
      </c>
      <c r="T20" s="18">
        <f t="shared" si="2"/>
        <v>-17</v>
      </c>
      <c r="U20" s="18">
        <f t="shared" si="2"/>
        <v>-7</v>
      </c>
      <c r="V20" s="18">
        <f t="shared" si="2"/>
        <v>-2</v>
      </c>
      <c r="W20" s="18">
        <f t="shared" si="2"/>
        <v>-3</v>
      </c>
      <c r="X20" s="18"/>
      <c r="Y20" s="29" t="str">
        <f t="shared" si="7"/>
        <v>Houston</v>
      </c>
      <c r="Z20" s="18">
        <f t="shared" si="8"/>
        <v>45</v>
      </c>
      <c r="AA20" s="18">
        <f t="shared" si="8"/>
        <v>48</v>
      </c>
      <c r="AB20" s="18">
        <f t="shared" si="8"/>
        <v>48</v>
      </c>
      <c r="AC20" s="18">
        <f t="shared" si="8"/>
        <v>49</v>
      </c>
      <c r="AD20" s="18">
        <f t="shared" si="8"/>
        <v>36</v>
      </c>
      <c r="AE20" s="18">
        <f t="shared" si="8"/>
        <v>43</v>
      </c>
    </row>
    <row r="21" spans="1:31">
      <c r="A21" s="18" t="str">
        <f>'Trends2000-1990'!AA20</f>
        <v>Indianapolis</v>
      </c>
      <c r="B21" s="18">
        <f>'Summary-2010'!AB20</f>
        <v>41</v>
      </c>
      <c r="C21" s="18">
        <f>'Summary-2010'!AC20</f>
        <v>38</v>
      </c>
      <c r="D21" s="18">
        <f>'Summary-2010'!AD20</f>
        <v>27</v>
      </c>
      <c r="E21" s="18">
        <f>'Summary-2010'!AE20</f>
        <v>31</v>
      </c>
      <c r="F21" s="18">
        <f>'Summary-2010'!AF20</f>
        <v>31</v>
      </c>
      <c r="G21" s="18">
        <f>'Summary-2010'!AG20</f>
        <v>31</v>
      </c>
      <c r="H21" s="18"/>
      <c r="I21" s="18" t="str">
        <f t="shared" si="4"/>
        <v>Indianapolis</v>
      </c>
      <c r="J21" s="18">
        <f>'Summary-2000'!AB20</f>
        <v>38</v>
      </c>
      <c r="K21" s="18">
        <f>'Summary-2000'!AC20</f>
        <v>36</v>
      </c>
      <c r="L21" s="18">
        <f>'Summary-2000'!AD20</f>
        <v>21</v>
      </c>
      <c r="M21" s="18">
        <f>'Summary-2000'!AE20</f>
        <v>29</v>
      </c>
      <c r="N21" s="18">
        <f>'Summary-2000'!AF20</f>
        <v>29</v>
      </c>
      <c r="O21" s="18">
        <f>'Summary-2000'!AG20</f>
        <v>29</v>
      </c>
      <c r="P21" s="18"/>
      <c r="Q21" s="18" t="str">
        <f t="shared" si="5"/>
        <v>Indianapolis</v>
      </c>
      <c r="R21" s="18">
        <f t="shared" si="6"/>
        <v>3</v>
      </c>
      <c r="S21" s="18">
        <f t="shared" si="2"/>
        <v>2</v>
      </c>
      <c r="T21" s="18">
        <f t="shared" si="2"/>
        <v>6</v>
      </c>
      <c r="U21" s="18">
        <f t="shared" si="2"/>
        <v>2</v>
      </c>
      <c r="V21" s="18">
        <f t="shared" si="2"/>
        <v>2</v>
      </c>
      <c r="W21" s="18">
        <f t="shared" si="2"/>
        <v>2</v>
      </c>
      <c r="X21" s="18"/>
      <c r="Y21" s="29" t="str">
        <f t="shared" si="7"/>
        <v>Indianapolis</v>
      </c>
      <c r="Z21" s="18">
        <f t="shared" si="8"/>
        <v>18</v>
      </c>
      <c r="AA21" s="18">
        <f t="shared" si="8"/>
        <v>19</v>
      </c>
      <c r="AB21" s="18">
        <f t="shared" si="8"/>
        <v>9</v>
      </c>
      <c r="AC21" s="18">
        <f t="shared" si="8"/>
        <v>13</v>
      </c>
      <c r="AD21" s="18">
        <f t="shared" si="8"/>
        <v>11</v>
      </c>
      <c r="AE21" s="18">
        <f t="shared" si="8"/>
        <v>10</v>
      </c>
    </row>
    <row r="22" spans="1:31">
      <c r="A22" s="18" t="str">
        <f>'Trends2000-1990'!AA21</f>
        <v>Riverside</v>
      </c>
      <c r="B22" s="18">
        <f>'Summary-2010'!AB21</f>
        <v>4</v>
      </c>
      <c r="C22" s="18">
        <f>'Summary-2010'!AC21</f>
        <v>4</v>
      </c>
      <c r="D22" s="18">
        <f>'Summary-2010'!AD21</f>
        <v>14</v>
      </c>
      <c r="E22" s="18">
        <f>'Summary-2010'!AE21</f>
        <v>21</v>
      </c>
      <c r="F22" s="18">
        <f>'Summary-2010'!AF21</f>
        <v>21</v>
      </c>
      <c r="G22" s="18">
        <f>'Summary-2010'!AG21</f>
        <v>21</v>
      </c>
      <c r="H22" s="18"/>
      <c r="I22" s="18" t="str">
        <f t="shared" si="4"/>
        <v>Riverside</v>
      </c>
      <c r="J22" s="18">
        <f>'Summary-2000'!AB21</f>
        <v>13</v>
      </c>
      <c r="K22" s="18">
        <f>'Summary-2000'!AC21</f>
        <v>14</v>
      </c>
      <c r="L22" s="18">
        <f>'Summary-2000'!AD21</f>
        <v>14</v>
      </c>
      <c r="M22" s="18">
        <f>'Summary-2000'!AE21</f>
        <v>26</v>
      </c>
      <c r="N22" s="18">
        <f>'Summary-2000'!AF21</f>
        <v>26</v>
      </c>
      <c r="O22" s="18">
        <f>'Summary-2000'!AG21</f>
        <v>26</v>
      </c>
      <c r="P22" s="18"/>
      <c r="Q22" s="18" t="str">
        <f t="shared" si="5"/>
        <v>Riverside</v>
      </c>
      <c r="R22" s="18">
        <f t="shared" si="6"/>
        <v>-9</v>
      </c>
      <c r="S22" s="18">
        <f t="shared" si="2"/>
        <v>-10</v>
      </c>
      <c r="T22" s="18">
        <f t="shared" si="2"/>
        <v>0</v>
      </c>
      <c r="U22" s="18">
        <f t="shared" si="2"/>
        <v>-5</v>
      </c>
      <c r="V22" s="18">
        <f t="shared" si="2"/>
        <v>-5</v>
      </c>
      <c r="W22" s="18">
        <f t="shared" si="2"/>
        <v>-5</v>
      </c>
      <c r="X22" s="18"/>
      <c r="Y22" s="29" t="str">
        <f t="shared" si="7"/>
        <v>Riverside</v>
      </c>
      <c r="Z22" s="18">
        <f t="shared" si="8"/>
        <v>39</v>
      </c>
      <c r="AA22" s="18">
        <f t="shared" si="8"/>
        <v>41</v>
      </c>
      <c r="AB22" s="18">
        <f t="shared" si="8"/>
        <v>29</v>
      </c>
      <c r="AC22" s="18">
        <f t="shared" si="8"/>
        <v>48</v>
      </c>
      <c r="AD22" s="18">
        <f t="shared" si="8"/>
        <v>50</v>
      </c>
      <c r="AE22" s="18">
        <f t="shared" si="8"/>
        <v>50</v>
      </c>
    </row>
    <row r="23" spans="1:31">
      <c r="A23" s="18" t="str">
        <f>'Trends2000-1990'!AA22</f>
        <v>Jacksonville</v>
      </c>
      <c r="B23" s="18">
        <f>'Summary-2010'!AB22</f>
        <v>9</v>
      </c>
      <c r="C23" s="18">
        <f>'Summary-2010'!AC22</f>
        <v>7</v>
      </c>
      <c r="D23" s="18">
        <f>'Summary-2010'!AD22</f>
        <v>19</v>
      </c>
      <c r="E23" s="18">
        <f>'Summary-2010'!AE22</f>
        <v>27</v>
      </c>
      <c r="F23" s="18">
        <f>'Summary-2010'!AF22</f>
        <v>27</v>
      </c>
      <c r="G23" s="18">
        <f>'Summary-2010'!AG22</f>
        <v>27</v>
      </c>
      <c r="H23" s="18"/>
      <c r="I23" s="18" t="str">
        <f t="shared" si="4"/>
        <v>Jacksonville</v>
      </c>
      <c r="J23" s="18">
        <f>'Summary-2000'!AB22</f>
        <v>48</v>
      </c>
      <c r="K23" s="18">
        <f>'Summary-2000'!AC22</f>
        <v>48</v>
      </c>
      <c r="L23" s="18">
        <f>'Summary-2000'!AD22</f>
        <v>47</v>
      </c>
      <c r="M23" s="18">
        <f>'Summary-2000'!AE22</f>
        <v>47</v>
      </c>
      <c r="N23" s="18">
        <f>'Summary-2000'!AF22</f>
        <v>47</v>
      </c>
      <c r="O23" s="18">
        <f>'Summary-2000'!AG22</f>
        <v>47</v>
      </c>
      <c r="P23" s="18"/>
      <c r="Q23" s="18" t="str">
        <f t="shared" si="5"/>
        <v>Jacksonville</v>
      </c>
      <c r="R23" s="18">
        <f t="shared" si="6"/>
        <v>-39</v>
      </c>
      <c r="S23" s="18">
        <f t="shared" si="2"/>
        <v>-41</v>
      </c>
      <c r="T23" s="18">
        <f t="shared" si="2"/>
        <v>-28</v>
      </c>
      <c r="U23" s="18">
        <f t="shared" si="2"/>
        <v>-20</v>
      </c>
      <c r="V23" s="18">
        <f t="shared" si="2"/>
        <v>-20</v>
      </c>
      <c r="W23" s="18">
        <f t="shared" si="2"/>
        <v>-20</v>
      </c>
      <c r="X23" s="18"/>
      <c r="Y23" s="29" t="str">
        <f t="shared" si="7"/>
        <v>Jacksonville</v>
      </c>
      <c r="Z23" s="18">
        <f t="shared" si="8"/>
        <v>51</v>
      </c>
      <c r="AA23" s="18">
        <f t="shared" si="8"/>
        <v>51</v>
      </c>
      <c r="AB23" s="18">
        <f t="shared" si="8"/>
        <v>51</v>
      </c>
      <c r="AC23" s="18">
        <f t="shared" si="8"/>
        <v>51</v>
      </c>
      <c r="AD23" s="18">
        <f t="shared" si="8"/>
        <v>51</v>
      </c>
      <c r="AE23" s="18">
        <f t="shared" si="8"/>
        <v>51</v>
      </c>
    </row>
    <row r="24" spans="1:31">
      <c r="A24" s="18" t="str">
        <f>'Trends2000-1990'!AA23</f>
        <v>Kansas City</v>
      </c>
      <c r="B24" s="18">
        <f>'Summary-2010'!AB23</f>
        <v>13</v>
      </c>
      <c r="C24" s="18">
        <f>'Summary-2010'!AC23</f>
        <v>14</v>
      </c>
      <c r="D24" s="18">
        <f>'Summary-2010'!AD23</f>
        <v>15</v>
      </c>
      <c r="E24" s="18">
        <f>'Summary-2010'!AE23</f>
        <v>23</v>
      </c>
      <c r="F24" s="18">
        <f>'Summary-2010'!AF23</f>
        <v>23</v>
      </c>
      <c r="G24" s="18">
        <f>'Summary-2010'!AG23</f>
        <v>23</v>
      </c>
      <c r="H24" s="18"/>
      <c r="I24" s="18" t="str">
        <f t="shared" si="4"/>
        <v>Kansas City</v>
      </c>
      <c r="J24" s="18">
        <f>'Summary-2000'!AB23</f>
        <v>16</v>
      </c>
      <c r="K24" s="18">
        <f>'Summary-2000'!AC23</f>
        <v>11</v>
      </c>
      <c r="L24" s="18">
        <f>'Summary-2000'!AD23</f>
        <v>12</v>
      </c>
      <c r="M24" s="18">
        <f>'Summary-2000'!AE23</f>
        <v>25</v>
      </c>
      <c r="N24" s="18">
        <f>'Summary-2000'!AF23</f>
        <v>25</v>
      </c>
      <c r="O24" s="18">
        <f>'Summary-2000'!AG23</f>
        <v>25</v>
      </c>
      <c r="P24" s="18"/>
      <c r="Q24" s="18" t="str">
        <f t="shared" si="5"/>
        <v>Kansas City</v>
      </c>
      <c r="R24" s="18">
        <f t="shared" si="6"/>
        <v>-3</v>
      </c>
      <c r="S24" s="18">
        <f t="shared" si="2"/>
        <v>3</v>
      </c>
      <c r="T24" s="18">
        <f t="shared" si="2"/>
        <v>3</v>
      </c>
      <c r="U24" s="18">
        <f t="shared" si="2"/>
        <v>-2</v>
      </c>
      <c r="V24" s="18">
        <f t="shared" si="2"/>
        <v>-2</v>
      </c>
      <c r="W24" s="18">
        <f t="shared" si="2"/>
        <v>-2</v>
      </c>
      <c r="X24" s="18"/>
      <c r="Y24" s="29" t="str">
        <f t="shared" si="7"/>
        <v>Kansas City</v>
      </c>
      <c r="Z24" s="18">
        <f t="shared" si="8"/>
        <v>32</v>
      </c>
      <c r="AA24" s="18">
        <f t="shared" si="8"/>
        <v>18</v>
      </c>
      <c r="AB24" s="18">
        <f t="shared" si="8"/>
        <v>17</v>
      </c>
      <c r="AC24" s="18">
        <f t="shared" si="8"/>
        <v>38</v>
      </c>
      <c r="AD24" s="18">
        <f t="shared" si="8"/>
        <v>36</v>
      </c>
      <c r="AE24" s="18">
        <f t="shared" si="8"/>
        <v>38</v>
      </c>
    </row>
    <row r="25" spans="1:31">
      <c r="A25" s="18" t="str">
        <f>'Trends2000-1990'!AA24</f>
        <v>Las Vegas</v>
      </c>
      <c r="B25" s="18">
        <f>'Summary-2010'!AB24</f>
        <v>11</v>
      </c>
      <c r="C25" s="18">
        <f>'Summary-2010'!AC24</f>
        <v>10</v>
      </c>
      <c r="D25" s="18">
        <f>'Summary-2010'!AD24</f>
        <v>29</v>
      </c>
      <c r="E25" s="18">
        <f>'Summary-2010'!AE24</f>
        <v>33</v>
      </c>
      <c r="F25" s="18">
        <f>'Summary-2010'!AF24</f>
        <v>33</v>
      </c>
      <c r="G25" s="18">
        <f>'Summary-2010'!AG24</f>
        <v>33</v>
      </c>
      <c r="H25" s="18"/>
      <c r="I25" s="18" t="str">
        <f t="shared" si="4"/>
        <v>Las Vegas</v>
      </c>
      <c r="J25" s="18">
        <f>'Summary-2000'!AB24</f>
        <v>14</v>
      </c>
      <c r="K25" s="18">
        <f>'Summary-2000'!AC24</f>
        <v>15</v>
      </c>
      <c r="L25" s="18">
        <f>'Summary-2000'!AD24</f>
        <v>29</v>
      </c>
      <c r="M25" s="18">
        <f>'Summary-2000'!AE24</f>
        <v>33</v>
      </c>
      <c r="N25" s="18">
        <f>'Summary-2000'!AF24</f>
        <v>33</v>
      </c>
      <c r="O25" s="18">
        <f>'Summary-2000'!AG24</f>
        <v>33</v>
      </c>
      <c r="P25" s="18"/>
      <c r="Q25" s="18" t="str">
        <f t="shared" si="5"/>
        <v>Las Vegas</v>
      </c>
      <c r="R25" s="18">
        <f t="shared" si="6"/>
        <v>-3</v>
      </c>
      <c r="S25" s="18">
        <f t="shared" si="2"/>
        <v>-5</v>
      </c>
      <c r="T25" s="18">
        <f t="shared" si="2"/>
        <v>0</v>
      </c>
      <c r="U25" s="18">
        <f t="shared" si="2"/>
        <v>0</v>
      </c>
      <c r="V25" s="18">
        <f t="shared" si="2"/>
        <v>0</v>
      </c>
      <c r="W25" s="18">
        <f t="shared" si="2"/>
        <v>0</v>
      </c>
      <c r="X25" s="18"/>
      <c r="Y25" s="29" t="str">
        <f t="shared" si="7"/>
        <v>Las Vegas</v>
      </c>
      <c r="Z25" s="18">
        <f t="shared" si="8"/>
        <v>32</v>
      </c>
      <c r="AA25" s="18">
        <f t="shared" si="8"/>
        <v>34</v>
      </c>
      <c r="AB25" s="18">
        <f t="shared" si="8"/>
        <v>29</v>
      </c>
      <c r="AC25" s="18">
        <f t="shared" si="8"/>
        <v>22</v>
      </c>
      <c r="AD25" s="18">
        <f t="shared" si="8"/>
        <v>21</v>
      </c>
      <c r="AE25" s="18">
        <f t="shared" si="8"/>
        <v>20</v>
      </c>
    </row>
    <row r="26" spans="1:31">
      <c r="A26" s="18" t="str">
        <f>'Trends2000-1990'!AA25</f>
        <v>Los Angeles</v>
      </c>
      <c r="B26" s="18">
        <f>'Summary-2010'!AB25</f>
        <v>3</v>
      </c>
      <c r="C26" s="18">
        <f>'Summary-2010'!AC25</f>
        <v>2</v>
      </c>
      <c r="D26" s="18">
        <f>'Summary-2010'!AD25</f>
        <v>1</v>
      </c>
      <c r="E26" s="18">
        <f>'Summary-2010'!AE25</f>
        <v>1</v>
      </c>
      <c r="F26" s="18">
        <f>'Summary-2010'!AF25</f>
        <v>1</v>
      </c>
      <c r="G26" s="18">
        <f>'Summary-2010'!AG25</f>
        <v>2</v>
      </c>
      <c r="H26" s="18"/>
      <c r="I26" s="18" t="str">
        <f t="shared" si="4"/>
        <v>Los Angeles</v>
      </c>
      <c r="J26" s="18">
        <f>'Summary-2000'!AB25</f>
        <v>4</v>
      </c>
      <c r="K26" s="18">
        <f>'Summary-2000'!AC25</f>
        <v>4</v>
      </c>
      <c r="L26" s="18">
        <f>'Summary-2000'!AD25</f>
        <v>2</v>
      </c>
      <c r="M26" s="18">
        <f>'Summary-2000'!AE25</f>
        <v>1</v>
      </c>
      <c r="N26" s="18">
        <f>'Summary-2000'!AF25</f>
        <v>1</v>
      </c>
      <c r="O26" s="18">
        <f>'Summary-2000'!AG25</f>
        <v>1</v>
      </c>
      <c r="P26" s="18"/>
      <c r="Q26" s="18" t="str">
        <f t="shared" si="5"/>
        <v>Los Angeles</v>
      </c>
      <c r="R26" s="18">
        <f t="shared" si="6"/>
        <v>-1</v>
      </c>
      <c r="S26" s="18">
        <f t="shared" si="2"/>
        <v>-2</v>
      </c>
      <c r="T26" s="18">
        <f t="shared" si="2"/>
        <v>-1</v>
      </c>
      <c r="U26" s="18">
        <f t="shared" si="2"/>
        <v>0</v>
      </c>
      <c r="V26" s="18">
        <f t="shared" si="2"/>
        <v>0</v>
      </c>
      <c r="W26" s="18">
        <f t="shared" si="2"/>
        <v>1</v>
      </c>
      <c r="X26" s="18"/>
      <c r="Y26" s="29" t="str">
        <f t="shared" si="7"/>
        <v>Los Angeles</v>
      </c>
      <c r="Z26" s="18">
        <f t="shared" si="8"/>
        <v>30</v>
      </c>
      <c r="AA26" s="18">
        <f t="shared" si="8"/>
        <v>30</v>
      </c>
      <c r="AB26" s="18">
        <f t="shared" si="8"/>
        <v>31</v>
      </c>
      <c r="AC26" s="18">
        <f t="shared" si="8"/>
        <v>22</v>
      </c>
      <c r="AD26" s="18">
        <f t="shared" si="8"/>
        <v>21</v>
      </c>
      <c r="AE26" s="18">
        <f t="shared" si="8"/>
        <v>12</v>
      </c>
    </row>
    <row r="27" spans="1:31">
      <c r="A27" s="18" t="str">
        <f>'Trends2000-1990'!AA26</f>
        <v>Louisville</v>
      </c>
      <c r="B27" s="18">
        <f>'Summary-2010'!AB26</f>
        <v>32</v>
      </c>
      <c r="C27" s="18">
        <f>'Summary-2010'!AC26</f>
        <v>30</v>
      </c>
      <c r="D27" s="18">
        <f>'Summary-2010'!AD26</f>
        <v>43</v>
      </c>
      <c r="E27" s="18">
        <f>'Summary-2010'!AE26</f>
        <v>43</v>
      </c>
      <c r="F27" s="18">
        <f>'Summary-2010'!AF26</f>
        <v>43</v>
      </c>
      <c r="G27" s="18">
        <f>'Summary-2010'!AG26</f>
        <v>43</v>
      </c>
      <c r="H27" s="18"/>
      <c r="I27" s="18" t="str">
        <f t="shared" si="4"/>
        <v>Louisville</v>
      </c>
      <c r="J27" s="18">
        <f>'Summary-2000'!AB26</f>
        <v>42</v>
      </c>
      <c r="K27" s="18">
        <f>'Summary-2000'!AC26</f>
        <v>40</v>
      </c>
      <c r="L27" s="18">
        <f>'Summary-2000'!AD26</f>
        <v>46</v>
      </c>
      <c r="M27" s="18">
        <f>'Summary-2000'!AE26</f>
        <v>46</v>
      </c>
      <c r="N27" s="18">
        <f>'Summary-2000'!AF26</f>
        <v>46</v>
      </c>
      <c r="O27" s="18">
        <f>'Summary-2000'!AG26</f>
        <v>46</v>
      </c>
      <c r="P27" s="18"/>
      <c r="Q27" s="18" t="str">
        <f t="shared" si="5"/>
        <v>Louisville</v>
      </c>
      <c r="R27" s="18">
        <f t="shared" si="6"/>
        <v>-10</v>
      </c>
      <c r="S27" s="18">
        <f t="shared" si="2"/>
        <v>-10</v>
      </c>
      <c r="T27" s="18">
        <f t="shared" si="2"/>
        <v>-3</v>
      </c>
      <c r="U27" s="18">
        <f t="shared" si="2"/>
        <v>-3</v>
      </c>
      <c r="V27" s="18">
        <f t="shared" si="2"/>
        <v>-3</v>
      </c>
      <c r="W27" s="18">
        <f t="shared" si="2"/>
        <v>-3</v>
      </c>
      <c r="X27" s="18"/>
      <c r="Y27" s="29" t="str">
        <f t="shared" si="7"/>
        <v>Louisville</v>
      </c>
      <c r="Z27" s="18">
        <f t="shared" si="8"/>
        <v>41</v>
      </c>
      <c r="AA27" s="18">
        <f t="shared" si="8"/>
        <v>41</v>
      </c>
      <c r="AB27" s="18">
        <f t="shared" si="8"/>
        <v>36</v>
      </c>
      <c r="AC27" s="18">
        <f t="shared" si="8"/>
        <v>42</v>
      </c>
      <c r="AD27" s="18">
        <f t="shared" si="8"/>
        <v>43</v>
      </c>
      <c r="AE27" s="18">
        <f t="shared" si="8"/>
        <v>43</v>
      </c>
    </row>
    <row r="28" spans="1:31">
      <c r="A28" s="18" t="str">
        <f>'Trends2000-1990'!AA27</f>
        <v>Memphis</v>
      </c>
      <c r="B28" s="18">
        <f>'Summary-2010'!AB27</f>
        <v>42</v>
      </c>
      <c r="C28" s="18">
        <f>'Summary-2010'!AC27</f>
        <v>39</v>
      </c>
      <c r="D28" s="18">
        <f>'Summary-2010'!AD27</f>
        <v>44</v>
      </c>
      <c r="E28" s="18">
        <f>'Summary-2010'!AE27</f>
        <v>44</v>
      </c>
      <c r="F28" s="18">
        <f>'Summary-2010'!AF27</f>
        <v>44</v>
      </c>
      <c r="G28" s="18">
        <f>'Summary-2010'!AG27</f>
        <v>44</v>
      </c>
      <c r="H28" s="18"/>
      <c r="I28" s="18" t="str">
        <f t="shared" si="4"/>
        <v>Memphis</v>
      </c>
      <c r="J28" s="18">
        <f>'Summary-2000'!AB27</f>
        <v>40</v>
      </c>
      <c r="K28" s="18">
        <f>'Summary-2000'!AC27</f>
        <v>39</v>
      </c>
      <c r="L28" s="18">
        <f>'Summary-2000'!AD27</f>
        <v>43</v>
      </c>
      <c r="M28" s="18">
        <f>'Summary-2000'!AE27</f>
        <v>44</v>
      </c>
      <c r="N28" s="18">
        <f>'Summary-2000'!AF27</f>
        <v>44</v>
      </c>
      <c r="O28" s="18">
        <f>'Summary-2000'!AG27</f>
        <v>44</v>
      </c>
      <c r="P28" s="18"/>
      <c r="Q28" s="18" t="str">
        <f t="shared" si="5"/>
        <v>Memphis</v>
      </c>
      <c r="R28" s="18">
        <f t="shared" si="6"/>
        <v>2</v>
      </c>
      <c r="S28" s="18">
        <f t="shared" si="2"/>
        <v>0</v>
      </c>
      <c r="T28" s="18">
        <f t="shared" si="2"/>
        <v>1</v>
      </c>
      <c r="U28" s="18">
        <f t="shared" si="2"/>
        <v>0</v>
      </c>
      <c r="V28" s="18">
        <f t="shared" si="2"/>
        <v>0</v>
      </c>
      <c r="W28" s="18">
        <f t="shared" si="2"/>
        <v>0</v>
      </c>
      <c r="X28" s="18"/>
      <c r="Y28" s="29" t="str">
        <f t="shared" si="7"/>
        <v>Memphis</v>
      </c>
      <c r="Z28" s="18">
        <f t="shared" si="8"/>
        <v>21</v>
      </c>
      <c r="AA28" s="18">
        <f t="shared" si="8"/>
        <v>25</v>
      </c>
      <c r="AB28" s="18">
        <f t="shared" si="8"/>
        <v>23</v>
      </c>
      <c r="AC28" s="18">
        <f t="shared" si="8"/>
        <v>22</v>
      </c>
      <c r="AD28" s="18">
        <f t="shared" si="8"/>
        <v>21</v>
      </c>
      <c r="AE28" s="18">
        <f t="shared" si="8"/>
        <v>20</v>
      </c>
    </row>
    <row r="29" spans="1:31">
      <c r="A29" s="18" t="str">
        <f>'Trends2000-1990'!AA28</f>
        <v>Milwaukee</v>
      </c>
      <c r="B29" s="18">
        <f>'Summary-2010'!AB28</f>
        <v>12</v>
      </c>
      <c r="C29" s="18">
        <f>'Summary-2010'!AC28</f>
        <v>9</v>
      </c>
      <c r="D29" s="18">
        <f>'Summary-2010'!AD28</f>
        <v>28</v>
      </c>
      <c r="E29" s="18">
        <f>'Summary-2010'!AE28</f>
        <v>32</v>
      </c>
      <c r="F29" s="18">
        <f>'Summary-2010'!AF28</f>
        <v>32</v>
      </c>
      <c r="G29" s="18">
        <f>'Summary-2010'!AG28</f>
        <v>32</v>
      </c>
      <c r="H29" s="18"/>
      <c r="I29" s="18" t="str">
        <f t="shared" si="4"/>
        <v>Milwaukee</v>
      </c>
      <c r="J29" s="18">
        <f>'Summary-2000'!AB28</f>
        <v>19</v>
      </c>
      <c r="K29" s="18">
        <f>'Summary-2000'!AC28</f>
        <v>17</v>
      </c>
      <c r="L29" s="18">
        <f>'Summary-2000'!AD28</f>
        <v>22</v>
      </c>
      <c r="M29" s="18">
        <f>'Summary-2000'!AE28</f>
        <v>31</v>
      </c>
      <c r="N29" s="18">
        <f>'Summary-2000'!AF28</f>
        <v>31</v>
      </c>
      <c r="O29" s="18">
        <f>'Summary-2000'!AG28</f>
        <v>31</v>
      </c>
      <c r="P29" s="18"/>
      <c r="Q29" s="18" t="str">
        <f t="shared" si="5"/>
        <v>Milwaukee</v>
      </c>
      <c r="R29" s="18">
        <f t="shared" si="6"/>
        <v>-7</v>
      </c>
      <c r="S29" s="18">
        <f t="shared" si="2"/>
        <v>-8</v>
      </c>
      <c r="T29" s="18">
        <f t="shared" si="2"/>
        <v>6</v>
      </c>
      <c r="U29" s="18">
        <f t="shared" si="2"/>
        <v>1</v>
      </c>
      <c r="V29" s="18">
        <f t="shared" si="2"/>
        <v>1</v>
      </c>
      <c r="W29" s="18">
        <f t="shared" si="2"/>
        <v>1</v>
      </c>
      <c r="X29" s="18"/>
      <c r="Y29" s="29" t="str">
        <f t="shared" si="7"/>
        <v>Milwaukee</v>
      </c>
      <c r="Z29" s="18">
        <f t="shared" si="8"/>
        <v>38</v>
      </c>
      <c r="AA29" s="18">
        <f t="shared" si="8"/>
        <v>40</v>
      </c>
      <c r="AB29" s="18">
        <f t="shared" si="8"/>
        <v>9</v>
      </c>
      <c r="AC29" s="18">
        <f t="shared" si="8"/>
        <v>15</v>
      </c>
      <c r="AD29" s="18">
        <f t="shared" si="8"/>
        <v>12</v>
      </c>
      <c r="AE29" s="18">
        <f t="shared" si="8"/>
        <v>12</v>
      </c>
    </row>
    <row r="30" spans="1:31">
      <c r="A30" s="18" t="str">
        <f>'Trends2000-1990'!AA29</f>
        <v>Minneapolis</v>
      </c>
      <c r="B30" s="18">
        <f>'Summary-2010'!AB29</f>
        <v>7</v>
      </c>
      <c r="C30" s="18">
        <f>'Summary-2010'!AC29</f>
        <v>6</v>
      </c>
      <c r="D30" s="18">
        <f>'Summary-2010'!AD29</f>
        <v>4</v>
      </c>
      <c r="E30" s="18">
        <f>'Summary-2010'!AE29</f>
        <v>10</v>
      </c>
      <c r="F30" s="18">
        <f>'Summary-2010'!AF29</f>
        <v>12</v>
      </c>
      <c r="G30" s="18">
        <f>'Summary-2010'!AG29</f>
        <v>12</v>
      </c>
      <c r="H30" s="18"/>
      <c r="I30" s="18" t="str">
        <f t="shared" si="4"/>
        <v>Minneapolis</v>
      </c>
      <c r="J30" s="18">
        <f>'Summary-2000'!AB29</f>
        <v>21</v>
      </c>
      <c r="K30" s="18">
        <f>'Summary-2000'!AC29</f>
        <v>19</v>
      </c>
      <c r="L30" s="18">
        <f>'Summary-2000'!AD29</f>
        <v>7</v>
      </c>
      <c r="M30" s="18">
        <f>'Summary-2000'!AE29</f>
        <v>6</v>
      </c>
      <c r="N30" s="18">
        <f>'Summary-2000'!AF29</f>
        <v>11</v>
      </c>
      <c r="O30" s="18">
        <f>'Summary-2000'!AG29</f>
        <v>12</v>
      </c>
      <c r="P30" s="18"/>
      <c r="Q30" s="18" t="str">
        <f t="shared" si="5"/>
        <v>Minneapolis</v>
      </c>
      <c r="R30" s="18">
        <f t="shared" si="6"/>
        <v>-14</v>
      </c>
      <c r="S30" s="18">
        <f t="shared" si="2"/>
        <v>-13</v>
      </c>
      <c r="T30" s="18">
        <f t="shared" si="2"/>
        <v>-3</v>
      </c>
      <c r="U30" s="18">
        <f t="shared" si="2"/>
        <v>4</v>
      </c>
      <c r="V30" s="18">
        <f t="shared" si="2"/>
        <v>1</v>
      </c>
      <c r="W30" s="18">
        <f t="shared" si="2"/>
        <v>0</v>
      </c>
      <c r="X30" s="18"/>
      <c r="Y30" s="29" t="str">
        <f t="shared" si="7"/>
        <v>Minneapolis</v>
      </c>
      <c r="Z30" s="18">
        <f t="shared" si="8"/>
        <v>43</v>
      </c>
      <c r="AA30" s="18">
        <f t="shared" si="8"/>
        <v>43</v>
      </c>
      <c r="AB30" s="18">
        <f t="shared" si="8"/>
        <v>36</v>
      </c>
      <c r="AC30" s="18">
        <f t="shared" si="8"/>
        <v>6</v>
      </c>
      <c r="AD30" s="18">
        <f t="shared" si="8"/>
        <v>12</v>
      </c>
      <c r="AE30" s="18">
        <f t="shared" si="8"/>
        <v>20</v>
      </c>
    </row>
    <row r="31" spans="1:31">
      <c r="A31" s="18" t="str">
        <f>'Trends2000-1990'!AA30</f>
        <v>Nashville</v>
      </c>
      <c r="B31" s="18">
        <f>'Summary-2010'!AB30</f>
        <v>35</v>
      </c>
      <c r="C31" s="18">
        <f>'Summary-2010'!AC30</f>
        <v>33</v>
      </c>
      <c r="D31" s="18">
        <f>'Summary-2010'!AD30</f>
        <v>34</v>
      </c>
      <c r="E31" s="18">
        <f>'Summary-2010'!AE30</f>
        <v>36</v>
      </c>
      <c r="F31" s="18">
        <f>'Summary-2010'!AF30</f>
        <v>36</v>
      </c>
      <c r="G31" s="18">
        <f>'Summary-2010'!AG30</f>
        <v>36</v>
      </c>
      <c r="H31" s="18"/>
      <c r="I31" s="18" t="str">
        <f t="shared" si="4"/>
        <v>Nashville</v>
      </c>
      <c r="J31" s="18">
        <f>'Summary-2000'!AB30</f>
        <v>33</v>
      </c>
      <c r="K31" s="18">
        <f>'Summary-2000'!AC30</f>
        <v>31</v>
      </c>
      <c r="L31" s="18">
        <f>'Summary-2000'!AD30</f>
        <v>32</v>
      </c>
      <c r="M31" s="18">
        <f>'Summary-2000'!AE30</f>
        <v>35</v>
      </c>
      <c r="N31" s="18">
        <f>'Summary-2000'!AF30</f>
        <v>35</v>
      </c>
      <c r="O31" s="18">
        <f>'Summary-2000'!AG30</f>
        <v>35</v>
      </c>
      <c r="P31" s="18"/>
      <c r="Q31" s="18" t="str">
        <f t="shared" si="5"/>
        <v>Nashville</v>
      </c>
      <c r="R31" s="18">
        <f t="shared" si="6"/>
        <v>2</v>
      </c>
      <c r="S31" s="18">
        <f t="shared" si="2"/>
        <v>2</v>
      </c>
      <c r="T31" s="18">
        <f t="shared" si="2"/>
        <v>2</v>
      </c>
      <c r="U31" s="18">
        <f t="shared" si="2"/>
        <v>1</v>
      </c>
      <c r="V31" s="18">
        <f t="shared" si="2"/>
        <v>1</v>
      </c>
      <c r="W31" s="18">
        <f t="shared" si="2"/>
        <v>1</v>
      </c>
      <c r="X31" s="18"/>
      <c r="Y31" s="29" t="str">
        <f t="shared" si="7"/>
        <v>Nashville</v>
      </c>
      <c r="Z31" s="18">
        <f t="shared" si="8"/>
        <v>21</v>
      </c>
      <c r="AA31" s="18">
        <f t="shared" si="8"/>
        <v>19</v>
      </c>
      <c r="AB31" s="18">
        <f t="shared" si="8"/>
        <v>18</v>
      </c>
      <c r="AC31" s="18">
        <f t="shared" si="8"/>
        <v>15</v>
      </c>
      <c r="AD31" s="18">
        <f t="shared" si="8"/>
        <v>12</v>
      </c>
      <c r="AE31" s="18">
        <f t="shared" si="8"/>
        <v>12</v>
      </c>
    </row>
    <row r="32" spans="1:31">
      <c r="A32" s="18" t="str">
        <f>'Trends2000-1990'!AA31</f>
        <v>New Orleans</v>
      </c>
      <c r="B32" s="18">
        <f>'Summary-2010'!AB31</f>
        <v>6</v>
      </c>
      <c r="C32" s="18">
        <f>'Summary-2010'!AC31</f>
        <v>19</v>
      </c>
      <c r="D32" s="18">
        <f>'Summary-2010'!AD31</f>
        <v>47</v>
      </c>
      <c r="E32" s="18">
        <f>'Summary-2010'!AE31</f>
        <v>47</v>
      </c>
      <c r="F32" s="18">
        <f>'Summary-2010'!AF31</f>
        <v>47</v>
      </c>
      <c r="G32" s="18">
        <f>'Summary-2010'!AG31</f>
        <v>47</v>
      </c>
      <c r="H32" s="18"/>
      <c r="I32" s="18" t="str">
        <f t="shared" si="4"/>
        <v>New Orleans</v>
      </c>
      <c r="J32" s="18">
        <f>'Summary-2000'!AB31</f>
        <v>3</v>
      </c>
      <c r="K32" s="18">
        <f>'Summary-2000'!AC31</f>
        <v>8</v>
      </c>
      <c r="L32" s="18">
        <f>'Summary-2000'!AD31</f>
        <v>42</v>
      </c>
      <c r="M32" s="18">
        <f>'Summary-2000'!AE31</f>
        <v>43</v>
      </c>
      <c r="N32" s="18">
        <f>'Summary-2000'!AF31</f>
        <v>43</v>
      </c>
      <c r="O32" s="18">
        <f>'Summary-2000'!AG31</f>
        <v>43</v>
      </c>
      <c r="P32" s="18"/>
      <c r="Q32" s="18" t="str">
        <f t="shared" si="5"/>
        <v>New Orleans</v>
      </c>
      <c r="R32" s="18">
        <f t="shared" si="6"/>
        <v>3</v>
      </c>
      <c r="S32" s="18">
        <f t="shared" si="2"/>
        <v>11</v>
      </c>
      <c r="T32" s="18">
        <f t="shared" si="2"/>
        <v>5</v>
      </c>
      <c r="U32" s="18">
        <f t="shared" si="2"/>
        <v>4</v>
      </c>
      <c r="V32" s="18">
        <f t="shared" si="2"/>
        <v>4</v>
      </c>
      <c r="W32" s="18">
        <f t="shared" si="2"/>
        <v>4</v>
      </c>
      <c r="X32" s="18"/>
      <c r="Y32" s="29" t="str">
        <f t="shared" si="7"/>
        <v>New Orleans</v>
      </c>
      <c r="Z32" s="18">
        <f t="shared" si="8"/>
        <v>18</v>
      </c>
      <c r="AA32" s="18">
        <f t="shared" si="8"/>
        <v>10</v>
      </c>
      <c r="AB32" s="18">
        <f t="shared" si="8"/>
        <v>14</v>
      </c>
      <c r="AC32" s="18">
        <f t="shared" si="8"/>
        <v>6</v>
      </c>
      <c r="AD32" s="18">
        <f t="shared" si="8"/>
        <v>5</v>
      </c>
      <c r="AE32" s="18">
        <f t="shared" si="8"/>
        <v>5</v>
      </c>
    </row>
    <row r="33" spans="1:31">
      <c r="A33" s="18" t="str">
        <f>'Trends2000-1990'!AA32</f>
        <v>New York</v>
      </c>
      <c r="B33" s="18">
        <f>'Summary-2010'!AB32</f>
        <v>5</v>
      </c>
      <c r="C33" s="18">
        <f>'Summary-2010'!AC32</f>
        <v>5</v>
      </c>
      <c r="D33" s="18">
        <f>'Summary-2010'!AD32</f>
        <v>3</v>
      </c>
      <c r="E33" s="18">
        <f>'Summary-2010'!AE32</f>
        <v>2</v>
      </c>
      <c r="F33" s="18">
        <f>'Summary-2010'!AF32</f>
        <v>2</v>
      </c>
      <c r="G33" s="18">
        <f>'Summary-2010'!AG32</f>
        <v>1</v>
      </c>
      <c r="H33" s="18"/>
      <c r="I33" s="18" t="str">
        <f t="shared" si="4"/>
        <v>New York</v>
      </c>
      <c r="J33" s="18">
        <f>'Summary-2000'!AB32</f>
        <v>15</v>
      </c>
      <c r="K33" s="18">
        <f>'Summary-2000'!AC32</f>
        <v>10</v>
      </c>
      <c r="L33" s="18">
        <f>'Summary-2000'!AD32</f>
        <v>4</v>
      </c>
      <c r="M33" s="18">
        <f>'Summary-2000'!AE32</f>
        <v>3</v>
      </c>
      <c r="N33" s="18">
        <f>'Summary-2000'!AF32</f>
        <v>2</v>
      </c>
      <c r="O33" s="18">
        <f>'Summary-2000'!AG32</f>
        <v>2</v>
      </c>
      <c r="P33" s="18"/>
      <c r="Q33" s="18" t="str">
        <f t="shared" si="5"/>
        <v>New York</v>
      </c>
      <c r="R33" s="18">
        <f t="shared" si="6"/>
        <v>-10</v>
      </c>
      <c r="S33" s="18">
        <f t="shared" si="2"/>
        <v>-5</v>
      </c>
      <c r="T33" s="18">
        <f t="shared" si="2"/>
        <v>-1</v>
      </c>
      <c r="U33" s="18">
        <f t="shared" si="2"/>
        <v>-1</v>
      </c>
      <c r="V33" s="18">
        <f t="shared" si="2"/>
        <v>0</v>
      </c>
      <c r="W33" s="18">
        <f t="shared" si="2"/>
        <v>-1</v>
      </c>
      <c r="X33" s="18"/>
      <c r="Y33" s="29" t="str">
        <f t="shared" si="7"/>
        <v>New York</v>
      </c>
      <c r="Z33" s="18">
        <f t="shared" si="8"/>
        <v>41</v>
      </c>
      <c r="AA33" s="18">
        <f t="shared" si="8"/>
        <v>34</v>
      </c>
      <c r="AB33" s="18">
        <f t="shared" si="8"/>
        <v>31</v>
      </c>
      <c r="AC33" s="18">
        <f t="shared" si="8"/>
        <v>29</v>
      </c>
      <c r="AD33" s="18">
        <f t="shared" si="8"/>
        <v>21</v>
      </c>
      <c r="AE33" s="18">
        <f t="shared" si="8"/>
        <v>32</v>
      </c>
    </row>
    <row r="34" spans="1:31">
      <c r="A34" s="18" t="str">
        <f>'Trends2000-1990'!AA33</f>
        <v>Oklahoma City</v>
      </c>
      <c r="B34" s="18">
        <f>'Summary-2010'!AB33</f>
        <v>37</v>
      </c>
      <c r="C34" s="18">
        <f>'Summary-2010'!AC33</f>
        <v>37</v>
      </c>
      <c r="D34" s="18">
        <f>'Summary-2010'!AD33</f>
        <v>46</v>
      </c>
      <c r="E34" s="18">
        <f>'Summary-2010'!AE33</f>
        <v>46</v>
      </c>
      <c r="F34" s="18">
        <f>'Summary-2010'!AF33</f>
        <v>46</v>
      </c>
      <c r="G34" s="18">
        <f>'Summary-2010'!AG33</f>
        <v>46</v>
      </c>
      <c r="H34" s="18"/>
      <c r="I34" s="18" t="str">
        <f t="shared" si="4"/>
        <v>Oklahoma City</v>
      </c>
      <c r="J34" s="18">
        <f>'Summary-2000'!AB33</f>
        <v>30</v>
      </c>
      <c r="K34" s="18">
        <f>'Summary-2000'!AC33</f>
        <v>27</v>
      </c>
      <c r="L34" s="18">
        <f>'Summary-2000'!AD33</f>
        <v>50</v>
      </c>
      <c r="M34" s="18">
        <f>'Summary-2000'!AE33</f>
        <v>50</v>
      </c>
      <c r="N34" s="18">
        <f>'Summary-2000'!AF33</f>
        <v>50</v>
      </c>
      <c r="O34" s="18">
        <f>'Summary-2000'!AG33</f>
        <v>50</v>
      </c>
      <c r="P34" s="18"/>
      <c r="Q34" s="18" t="str">
        <f t="shared" si="5"/>
        <v>Oklahoma City</v>
      </c>
      <c r="R34" s="18">
        <f t="shared" si="6"/>
        <v>7</v>
      </c>
      <c r="S34" s="18">
        <f t="shared" si="2"/>
        <v>10</v>
      </c>
      <c r="T34" s="18">
        <f t="shared" si="2"/>
        <v>-4</v>
      </c>
      <c r="U34" s="18">
        <f t="shared" si="2"/>
        <v>-4</v>
      </c>
      <c r="V34" s="18">
        <f t="shared" si="2"/>
        <v>-4</v>
      </c>
      <c r="W34" s="18">
        <f t="shared" si="2"/>
        <v>-4</v>
      </c>
      <c r="X34" s="18"/>
      <c r="Y34" s="29" t="str">
        <f t="shared" si="7"/>
        <v>Oklahoma City</v>
      </c>
      <c r="Z34" s="18">
        <f t="shared" si="8"/>
        <v>14</v>
      </c>
      <c r="AA34" s="18">
        <f t="shared" si="8"/>
        <v>12</v>
      </c>
      <c r="AB34" s="18">
        <f t="shared" si="8"/>
        <v>41</v>
      </c>
      <c r="AC34" s="18">
        <f t="shared" si="8"/>
        <v>45</v>
      </c>
      <c r="AD34" s="18">
        <f t="shared" si="8"/>
        <v>49</v>
      </c>
      <c r="AE34" s="18">
        <f t="shared" si="8"/>
        <v>49</v>
      </c>
    </row>
    <row r="35" spans="1:31">
      <c r="A35" s="18" t="str">
        <f>'Trends2000-1990'!AA34</f>
        <v>Orlando</v>
      </c>
      <c r="B35" s="18">
        <f>'Summary-2010'!AB34</f>
        <v>26</v>
      </c>
      <c r="C35" s="18">
        <f>'Summary-2010'!AC34</f>
        <v>24</v>
      </c>
      <c r="D35" s="18">
        <f>'Summary-2010'!AD34</f>
        <v>21</v>
      </c>
      <c r="E35" s="18">
        <f>'Summary-2010'!AE34</f>
        <v>29</v>
      </c>
      <c r="F35" s="18">
        <f>'Summary-2010'!AF34</f>
        <v>29</v>
      </c>
      <c r="G35" s="18">
        <f>'Summary-2010'!AG34</f>
        <v>29</v>
      </c>
      <c r="H35" s="18"/>
      <c r="I35" s="18" t="str">
        <f t="shared" si="4"/>
        <v>Orlando</v>
      </c>
      <c r="J35" s="18">
        <f>'Summary-2000'!AB34</f>
        <v>46</v>
      </c>
      <c r="K35" s="18">
        <f>'Summary-2000'!AC34</f>
        <v>45</v>
      </c>
      <c r="L35" s="18">
        <f>'Summary-2000'!AD34</f>
        <v>30</v>
      </c>
      <c r="M35" s="18">
        <f>'Summary-2000'!AE34</f>
        <v>28</v>
      </c>
      <c r="N35" s="18">
        <f>'Summary-2000'!AF34</f>
        <v>28</v>
      </c>
      <c r="O35" s="18">
        <f>'Summary-2000'!AG34</f>
        <v>28</v>
      </c>
      <c r="P35" s="18"/>
      <c r="Q35" s="18" t="str">
        <f t="shared" si="5"/>
        <v>Orlando</v>
      </c>
      <c r="R35" s="18">
        <f t="shared" si="6"/>
        <v>-20</v>
      </c>
      <c r="S35" s="18">
        <f t="shared" si="2"/>
        <v>-21</v>
      </c>
      <c r="T35" s="18">
        <f t="shared" si="2"/>
        <v>-9</v>
      </c>
      <c r="U35" s="18">
        <f t="shared" si="2"/>
        <v>1</v>
      </c>
      <c r="V35" s="18">
        <f t="shared" si="2"/>
        <v>1</v>
      </c>
      <c r="W35" s="18">
        <f t="shared" si="2"/>
        <v>1</v>
      </c>
      <c r="X35" s="18"/>
      <c r="Y35" s="29" t="str">
        <f t="shared" si="7"/>
        <v>Orlando</v>
      </c>
      <c r="Z35" s="18">
        <f t="shared" si="8"/>
        <v>48</v>
      </c>
      <c r="AA35" s="18">
        <f t="shared" si="8"/>
        <v>47</v>
      </c>
      <c r="AB35" s="18">
        <f t="shared" si="8"/>
        <v>45</v>
      </c>
      <c r="AC35" s="18">
        <f t="shared" si="8"/>
        <v>15</v>
      </c>
      <c r="AD35" s="18">
        <f t="shared" si="8"/>
        <v>12</v>
      </c>
      <c r="AE35" s="18">
        <f t="shared" si="8"/>
        <v>12</v>
      </c>
    </row>
    <row r="36" spans="1:31">
      <c r="A36" s="18" t="str">
        <f>'Trends2000-1990'!AA35</f>
        <v>Philadelphia</v>
      </c>
      <c r="B36" s="18">
        <f>'Summary-2010'!AB35</f>
        <v>38</v>
      </c>
      <c r="C36" s="18">
        <f>'Summary-2010'!AC35</f>
        <v>34</v>
      </c>
      <c r="D36" s="18">
        <f>'Summary-2010'!AD35</f>
        <v>22</v>
      </c>
      <c r="E36" s="18">
        <f>'Summary-2010'!AE35</f>
        <v>11</v>
      </c>
      <c r="F36" s="18">
        <f>'Summary-2010'!AF35</f>
        <v>6</v>
      </c>
      <c r="G36" s="18">
        <f>'Summary-2010'!AG35</f>
        <v>6</v>
      </c>
      <c r="H36" s="18"/>
      <c r="I36" s="18" t="str">
        <f t="shared" si="4"/>
        <v>Philadelphia</v>
      </c>
      <c r="J36" s="18">
        <f>'Summary-2000'!AB35</f>
        <v>39</v>
      </c>
      <c r="K36" s="18">
        <f>'Summary-2000'!AC35</f>
        <v>35</v>
      </c>
      <c r="L36" s="18">
        <f>'Summary-2000'!AD35</f>
        <v>20</v>
      </c>
      <c r="M36" s="18">
        <f>'Summary-2000'!AE35</f>
        <v>10</v>
      </c>
      <c r="N36" s="18">
        <f>'Summary-2000'!AF35</f>
        <v>6</v>
      </c>
      <c r="O36" s="18">
        <f>'Summary-2000'!AG35</f>
        <v>6</v>
      </c>
      <c r="P36" s="18"/>
      <c r="Q36" s="18" t="str">
        <f t="shared" si="5"/>
        <v>Philadelphia</v>
      </c>
      <c r="R36" s="18">
        <f t="shared" si="6"/>
        <v>-1</v>
      </c>
      <c r="S36" s="18">
        <f t="shared" si="2"/>
        <v>-1</v>
      </c>
      <c r="T36" s="18">
        <f t="shared" si="2"/>
        <v>2</v>
      </c>
      <c r="U36" s="18">
        <f t="shared" si="2"/>
        <v>1</v>
      </c>
      <c r="V36" s="18">
        <f t="shared" si="2"/>
        <v>0</v>
      </c>
      <c r="W36" s="18">
        <f t="shared" si="2"/>
        <v>0</v>
      </c>
      <c r="X36" s="18"/>
      <c r="Y36" s="29" t="str">
        <f t="shared" si="7"/>
        <v>Philadelphia</v>
      </c>
      <c r="Z36" s="18">
        <f t="shared" si="8"/>
        <v>30</v>
      </c>
      <c r="AA36" s="18">
        <f t="shared" si="8"/>
        <v>27</v>
      </c>
      <c r="AB36" s="18">
        <f t="shared" si="8"/>
        <v>18</v>
      </c>
      <c r="AC36" s="18">
        <f t="shared" si="8"/>
        <v>15</v>
      </c>
      <c r="AD36" s="18">
        <f t="shared" si="8"/>
        <v>21</v>
      </c>
      <c r="AE36" s="18">
        <f t="shared" si="8"/>
        <v>20</v>
      </c>
    </row>
    <row r="37" spans="1:31">
      <c r="A37" s="18" t="str">
        <f>'Trends2000-1990'!AA36</f>
        <v>Phoenix</v>
      </c>
      <c r="B37" s="18">
        <f>'Summary-2010'!AB36</f>
        <v>22</v>
      </c>
      <c r="C37" s="18">
        <f>'Summary-2010'!AC36</f>
        <v>26</v>
      </c>
      <c r="D37" s="18">
        <f>'Summary-2010'!AD36</f>
        <v>13</v>
      </c>
      <c r="E37" s="18">
        <f>'Summary-2010'!AE36</f>
        <v>13</v>
      </c>
      <c r="F37" s="18">
        <f>'Summary-2010'!AF36</f>
        <v>14</v>
      </c>
      <c r="G37" s="18">
        <f>'Summary-2010'!AG36</f>
        <v>14</v>
      </c>
      <c r="H37" s="18"/>
      <c r="I37" s="18" t="str">
        <f t="shared" si="4"/>
        <v>Phoenix</v>
      </c>
      <c r="J37" s="18">
        <f>'Summary-2000'!AB36</f>
        <v>31</v>
      </c>
      <c r="K37" s="18">
        <f>'Summary-2000'!AC36</f>
        <v>33</v>
      </c>
      <c r="L37" s="18">
        <f>'Summary-2000'!AD36</f>
        <v>17</v>
      </c>
      <c r="M37" s="18">
        <f>'Summary-2000'!AE36</f>
        <v>13</v>
      </c>
      <c r="N37" s="18">
        <f>'Summary-2000'!AF36</f>
        <v>15</v>
      </c>
      <c r="O37" s="18">
        <f>'Summary-2000'!AG36</f>
        <v>15</v>
      </c>
      <c r="P37" s="18"/>
      <c r="Q37" s="18" t="str">
        <f t="shared" si="5"/>
        <v>Phoenix</v>
      </c>
      <c r="R37" s="18">
        <f t="shared" si="6"/>
        <v>-9</v>
      </c>
      <c r="S37" s="18">
        <f t="shared" si="2"/>
        <v>-7</v>
      </c>
      <c r="T37" s="18">
        <f t="shared" si="2"/>
        <v>-4</v>
      </c>
      <c r="U37" s="18">
        <f t="shared" si="2"/>
        <v>0</v>
      </c>
      <c r="V37" s="18">
        <f t="shared" si="2"/>
        <v>-1</v>
      </c>
      <c r="W37" s="18">
        <f t="shared" si="2"/>
        <v>-1</v>
      </c>
      <c r="X37" s="18"/>
      <c r="Y37" s="29" t="str">
        <f t="shared" si="7"/>
        <v>Phoenix</v>
      </c>
      <c r="Z37" s="18">
        <f t="shared" si="8"/>
        <v>39</v>
      </c>
      <c r="AA37" s="18">
        <f t="shared" si="8"/>
        <v>39</v>
      </c>
      <c r="AB37" s="18">
        <f t="shared" si="8"/>
        <v>41</v>
      </c>
      <c r="AC37" s="18">
        <f t="shared" si="8"/>
        <v>22</v>
      </c>
      <c r="AD37" s="18">
        <f t="shared" si="8"/>
        <v>31</v>
      </c>
      <c r="AE37" s="18">
        <f t="shared" si="8"/>
        <v>32</v>
      </c>
    </row>
    <row r="38" spans="1:31">
      <c r="A38" s="18" t="str">
        <f>'Trends2000-1990'!AA37</f>
        <v>Pittsburgh</v>
      </c>
      <c r="B38" s="18">
        <f>'Summary-2010'!AB37</f>
        <v>49</v>
      </c>
      <c r="C38" s="18">
        <f>'Summary-2010'!AC37</f>
        <v>49</v>
      </c>
      <c r="D38" s="18">
        <f>'Summary-2010'!AD37</f>
        <v>31</v>
      </c>
      <c r="E38" s="18">
        <f>'Summary-2010'!AE37</f>
        <v>20</v>
      </c>
      <c r="F38" s="18">
        <f>'Summary-2010'!AF37</f>
        <v>20</v>
      </c>
      <c r="G38" s="18">
        <f>'Summary-2010'!AG37</f>
        <v>20</v>
      </c>
      <c r="H38" s="18"/>
      <c r="I38" s="18" t="str">
        <f t="shared" si="4"/>
        <v>Pittsburgh</v>
      </c>
      <c r="J38" s="18">
        <f>'Summary-2000'!AB37</f>
        <v>44</v>
      </c>
      <c r="K38" s="18">
        <f>'Summary-2000'!AC37</f>
        <v>43</v>
      </c>
      <c r="L38" s="18">
        <f>'Summary-2000'!AD37</f>
        <v>26</v>
      </c>
      <c r="M38" s="18">
        <f>'Summary-2000'!AE37</f>
        <v>21</v>
      </c>
      <c r="N38" s="18">
        <f>'Summary-2000'!AF37</f>
        <v>23</v>
      </c>
      <c r="O38" s="18">
        <f>'Summary-2000'!AG37</f>
        <v>23</v>
      </c>
      <c r="P38" s="18"/>
      <c r="Q38" s="18" t="str">
        <f t="shared" si="5"/>
        <v>Pittsburgh</v>
      </c>
      <c r="R38" s="18">
        <f t="shared" si="6"/>
        <v>5</v>
      </c>
      <c r="S38" s="18">
        <f t="shared" si="2"/>
        <v>6</v>
      </c>
      <c r="T38" s="18">
        <f t="shared" si="2"/>
        <v>5</v>
      </c>
      <c r="U38" s="18">
        <f t="shared" si="2"/>
        <v>-1</v>
      </c>
      <c r="V38" s="18">
        <f t="shared" si="2"/>
        <v>-3</v>
      </c>
      <c r="W38" s="18">
        <f t="shared" si="2"/>
        <v>-3</v>
      </c>
      <c r="X38" s="18"/>
      <c r="Y38" s="29" t="str">
        <f t="shared" si="7"/>
        <v>Pittsburgh</v>
      </c>
      <c r="Z38" s="18">
        <f t="shared" si="8"/>
        <v>16</v>
      </c>
      <c r="AA38" s="18">
        <f t="shared" si="8"/>
        <v>15</v>
      </c>
      <c r="AB38" s="18">
        <f t="shared" si="8"/>
        <v>14</v>
      </c>
      <c r="AC38" s="18">
        <f t="shared" si="8"/>
        <v>29</v>
      </c>
      <c r="AD38" s="18">
        <f t="shared" si="8"/>
        <v>43</v>
      </c>
      <c r="AE38" s="18">
        <f t="shared" si="8"/>
        <v>43</v>
      </c>
    </row>
    <row r="39" spans="1:31">
      <c r="A39" s="18" t="str">
        <f>'Trends2000-1990'!AA38</f>
        <v>Portland</v>
      </c>
      <c r="B39" s="18">
        <f>'Summary-2010'!AB38</f>
        <v>39</v>
      </c>
      <c r="C39" s="18">
        <f>'Summary-2010'!AC38</f>
        <v>40</v>
      </c>
      <c r="D39" s="18">
        <f>'Summary-2010'!AD38</f>
        <v>24</v>
      </c>
      <c r="E39" s="18">
        <f>'Summary-2010'!AE38</f>
        <v>25</v>
      </c>
      <c r="F39" s="18">
        <f>'Summary-2010'!AF38</f>
        <v>25</v>
      </c>
      <c r="G39" s="18">
        <f>'Summary-2010'!AG38</f>
        <v>25</v>
      </c>
      <c r="H39" s="18"/>
      <c r="I39" s="18" t="str">
        <f t="shared" si="4"/>
        <v>Portland</v>
      </c>
      <c r="J39" s="18">
        <f>'Summary-2000'!AB38</f>
        <v>36</v>
      </c>
      <c r="K39" s="18">
        <f>'Summary-2000'!AC38</f>
        <v>42</v>
      </c>
      <c r="L39" s="18">
        <f>'Summary-2000'!AD38</f>
        <v>27</v>
      </c>
      <c r="M39" s="18">
        <f>'Summary-2000'!AE38</f>
        <v>27</v>
      </c>
      <c r="N39" s="18">
        <f>'Summary-2000'!AF38</f>
        <v>27</v>
      </c>
      <c r="O39" s="18">
        <f>'Summary-2000'!AG38</f>
        <v>27</v>
      </c>
      <c r="P39" s="18"/>
      <c r="Q39" s="18" t="str">
        <f t="shared" si="5"/>
        <v>Portland</v>
      </c>
      <c r="R39" s="18">
        <f t="shared" si="6"/>
        <v>3</v>
      </c>
      <c r="S39" s="18">
        <f t="shared" si="2"/>
        <v>-2</v>
      </c>
      <c r="T39" s="18">
        <f t="shared" si="2"/>
        <v>-3</v>
      </c>
      <c r="U39" s="18">
        <f t="shared" si="2"/>
        <v>-2</v>
      </c>
      <c r="V39" s="18">
        <f t="shared" si="2"/>
        <v>-2</v>
      </c>
      <c r="W39" s="18">
        <f t="shared" si="2"/>
        <v>-2</v>
      </c>
      <c r="X39" s="18"/>
      <c r="Y39" s="29" t="str">
        <f t="shared" si="7"/>
        <v>Portland</v>
      </c>
      <c r="Z39" s="18">
        <f t="shared" si="8"/>
        <v>18</v>
      </c>
      <c r="AA39" s="18">
        <f t="shared" si="8"/>
        <v>30</v>
      </c>
      <c r="AB39" s="18">
        <f t="shared" si="8"/>
        <v>36</v>
      </c>
      <c r="AC39" s="18">
        <f t="shared" si="8"/>
        <v>38</v>
      </c>
      <c r="AD39" s="18">
        <f t="shared" si="8"/>
        <v>36</v>
      </c>
      <c r="AE39" s="18">
        <f t="shared" si="8"/>
        <v>38</v>
      </c>
    </row>
    <row r="40" spans="1:31">
      <c r="A40" s="18" t="str">
        <f>'Trends2000-1990'!AA39</f>
        <v>Providence</v>
      </c>
      <c r="B40" s="18">
        <f>'Summary-2010'!AB39</f>
        <v>45</v>
      </c>
      <c r="C40" s="18">
        <f>'Summary-2010'!AC39</f>
        <v>43</v>
      </c>
      <c r="D40" s="18">
        <f>'Summary-2010'!AD39</f>
        <v>40</v>
      </c>
      <c r="E40" s="18">
        <f>'Summary-2010'!AE39</f>
        <v>40</v>
      </c>
      <c r="F40" s="18">
        <f>'Summary-2010'!AF39</f>
        <v>40</v>
      </c>
      <c r="G40" s="18">
        <f>'Summary-2010'!AG39</f>
        <v>40</v>
      </c>
      <c r="H40" s="18"/>
      <c r="I40" s="18" t="str">
        <f t="shared" si="4"/>
        <v>Providence</v>
      </c>
      <c r="J40" s="18">
        <f>'Summary-2000'!AB39</f>
        <v>25</v>
      </c>
      <c r="K40" s="18">
        <f>'Summary-2000'!AC39</f>
        <v>24</v>
      </c>
      <c r="L40" s="18">
        <f>'Summary-2000'!AD39</f>
        <v>33</v>
      </c>
      <c r="M40" s="18">
        <f>'Summary-2000'!AE39</f>
        <v>36</v>
      </c>
      <c r="N40" s="18">
        <f>'Summary-2000'!AF39</f>
        <v>36</v>
      </c>
      <c r="O40" s="18">
        <f>'Summary-2000'!AG39</f>
        <v>36</v>
      </c>
      <c r="P40" s="18"/>
      <c r="Q40" s="18" t="str">
        <f t="shared" si="5"/>
        <v>Providence</v>
      </c>
      <c r="R40" s="18">
        <f t="shared" si="6"/>
        <v>20</v>
      </c>
      <c r="S40" s="18">
        <f t="shared" si="2"/>
        <v>19</v>
      </c>
      <c r="T40" s="18">
        <f t="shared" si="2"/>
        <v>7</v>
      </c>
      <c r="U40" s="18">
        <f t="shared" si="2"/>
        <v>4</v>
      </c>
      <c r="V40" s="18">
        <f t="shared" si="2"/>
        <v>4</v>
      </c>
      <c r="W40" s="18">
        <f t="shared" si="2"/>
        <v>4</v>
      </c>
      <c r="X40" s="18"/>
      <c r="Y40" s="29" t="str">
        <f t="shared" si="7"/>
        <v>Providence</v>
      </c>
      <c r="Z40" s="18">
        <f t="shared" si="8"/>
        <v>5</v>
      </c>
      <c r="AA40" s="18">
        <f t="shared" si="8"/>
        <v>6</v>
      </c>
      <c r="AB40" s="18">
        <f t="shared" si="8"/>
        <v>8</v>
      </c>
      <c r="AC40" s="18">
        <f t="shared" si="8"/>
        <v>6</v>
      </c>
      <c r="AD40" s="18">
        <f t="shared" si="8"/>
        <v>5</v>
      </c>
      <c r="AE40" s="18">
        <f t="shared" si="8"/>
        <v>5</v>
      </c>
    </row>
    <row r="41" spans="1:31">
      <c r="A41" s="18" t="str">
        <f>'Trends2000-1990'!AA40</f>
        <v>Raleigh</v>
      </c>
      <c r="B41" s="18">
        <f>'Summary-2010'!AB40</f>
        <v>48</v>
      </c>
      <c r="C41" s="18">
        <f>'Summary-2010'!AC40</f>
        <v>45</v>
      </c>
      <c r="D41" s="18">
        <f>'Summary-2010'!AD40</f>
        <v>49</v>
      </c>
      <c r="E41" s="18">
        <f>'Summary-2010'!AE40</f>
        <v>49</v>
      </c>
      <c r="F41" s="18">
        <f>'Summary-2010'!AF40</f>
        <v>49</v>
      </c>
      <c r="G41" s="18">
        <f>'Summary-2010'!AG40</f>
        <v>49</v>
      </c>
      <c r="H41" s="18"/>
      <c r="I41" s="18" t="str">
        <f t="shared" si="4"/>
        <v>Raleigh</v>
      </c>
      <c r="J41" s="18">
        <f>'Summary-2000'!AB40</f>
        <v>7</v>
      </c>
      <c r="K41" s="18">
        <f>'Summary-2000'!AC40</f>
        <v>6</v>
      </c>
      <c r="L41" s="18">
        <f>'Summary-2000'!AD40</f>
        <v>34</v>
      </c>
      <c r="M41" s="18">
        <f>'Summary-2000'!AE40</f>
        <v>37</v>
      </c>
      <c r="N41" s="18">
        <f>'Summary-2000'!AF40</f>
        <v>37</v>
      </c>
      <c r="O41" s="18">
        <f>'Summary-2000'!AG40</f>
        <v>37</v>
      </c>
      <c r="P41" s="18"/>
      <c r="Q41" s="18" t="str">
        <f t="shared" si="5"/>
        <v>Raleigh</v>
      </c>
      <c r="R41" s="18">
        <f t="shared" si="6"/>
        <v>41</v>
      </c>
      <c r="S41" s="18">
        <f t="shared" si="2"/>
        <v>39</v>
      </c>
      <c r="T41" s="18">
        <f t="shared" si="2"/>
        <v>15</v>
      </c>
      <c r="U41" s="18">
        <f t="shared" si="2"/>
        <v>12</v>
      </c>
      <c r="V41" s="18">
        <f t="shared" si="2"/>
        <v>12</v>
      </c>
      <c r="W41" s="18">
        <f t="shared" si="2"/>
        <v>12</v>
      </c>
      <c r="X41" s="18"/>
      <c r="Y41" s="29" t="str">
        <f t="shared" si="7"/>
        <v>Raleigh</v>
      </c>
      <c r="Z41" s="18">
        <f t="shared" si="8"/>
        <v>1</v>
      </c>
      <c r="AA41" s="18">
        <f t="shared" si="8"/>
        <v>1</v>
      </c>
      <c r="AB41" s="18">
        <f t="shared" si="8"/>
        <v>1</v>
      </c>
      <c r="AC41" s="18">
        <f t="shared" si="8"/>
        <v>1</v>
      </c>
      <c r="AD41" s="18">
        <f t="shared" si="8"/>
        <v>1</v>
      </c>
      <c r="AE41" s="18">
        <f t="shared" si="8"/>
        <v>1</v>
      </c>
    </row>
    <row r="42" spans="1:31">
      <c r="A42" s="18" t="str">
        <f>'Trends2000-1990'!AA41</f>
        <v>Rochester</v>
      </c>
      <c r="B42" s="18">
        <f>'Summary-2010'!AB41</f>
        <v>21</v>
      </c>
      <c r="C42" s="18">
        <f>'Summary-2010'!AC41</f>
        <v>25</v>
      </c>
      <c r="D42" s="18">
        <f>'Summary-2010'!AD41</f>
        <v>48</v>
      </c>
      <c r="E42" s="18">
        <f>'Summary-2010'!AE41</f>
        <v>48</v>
      </c>
      <c r="F42" s="18">
        <f>'Summary-2010'!AF41</f>
        <v>48</v>
      </c>
      <c r="G42" s="18">
        <f>'Summary-2010'!AG41</f>
        <v>48</v>
      </c>
      <c r="H42" s="18"/>
      <c r="I42" s="18" t="str">
        <f t="shared" si="4"/>
        <v>Rochester</v>
      </c>
      <c r="J42" s="18">
        <f>'Summary-2000'!AB41</f>
        <v>12</v>
      </c>
      <c r="K42" s="18">
        <f>'Summary-2000'!AC41</f>
        <v>18</v>
      </c>
      <c r="L42" s="18">
        <f>'Summary-2000'!AD41</f>
        <v>49</v>
      </c>
      <c r="M42" s="18">
        <f>'Summary-2000'!AE41</f>
        <v>49</v>
      </c>
      <c r="N42" s="18">
        <f>'Summary-2000'!AF41</f>
        <v>49</v>
      </c>
      <c r="O42" s="18">
        <f>'Summary-2000'!AG41</f>
        <v>49</v>
      </c>
      <c r="P42" s="18"/>
      <c r="Q42" s="18" t="str">
        <f t="shared" si="5"/>
        <v>Rochester</v>
      </c>
      <c r="R42" s="18">
        <f t="shared" si="6"/>
        <v>9</v>
      </c>
      <c r="S42" s="18">
        <f t="shared" si="2"/>
        <v>7</v>
      </c>
      <c r="T42" s="18">
        <f t="shared" si="2"/>
        <v>-1</v>
      </c>
      <c r="U42" s="18">
        <f t="shared" si="2"/>
        <v>-1</v>
      </c>
      <c r="V42" s="18">
        <f t="shared" si="2"/>
        <v>-1</v>
      </c>
      <c r="W42" s="18">
        <f t="shared" si="2"/>
        <v>-1</v>
      </c>
      <c r="X42" s="18"/>
      <c r="Y42" s="29" t="str">
        <f t="shared" si="7"/>
        <v>Rochester</v>
      </c>
      <c r="Z42" s="18">
        <f t="shared" si="8"/>
        <v>12</v>
      </c>
      <c r="AA42" s="18">
        <f t="shared" si="8"/>
        <v>14</v>
      </c>
      <c r="AB42" s="18">
        <f t="shared" si="8"/>
        <v>31</v>
      </c>
      <c r="AC42" s="18">
        <f t="shared" si="8"/>
        <v>29</v>
      </c>
      <c r="AD42" s="18">
        <f t="shared" si="8"/>
        <v>31</v>
      </c>
      <c r="AE42" s="18">
        <f t="shared" si="8"/>
        <v>32</v>
      </c>
    </row>
    <row r="43" spans="1:31">
      <c r="A43" s="18" t="str">
        <f>'Trends2000-1990'!AA42</f>
        <v>Sacramento</v>
      </c>
      <c r="B43" s="18">
        <f>'Summary-2010'!AB42</f>
        <v>19</v>
      </c>
      <c r="C43" s="18">
        <f>'Summary-2010'!AC42</f>
        <v>20</v>
      </c>
      <c r="D43" s="18">
        <f>'Summary-2010'!AD42</f>
        <v>38</v>
      </c>
      <c r="E43" s="18">
        <f>'Summary-2010'!AE42</f>
        <v>38</v>
      </c>
      <c r="F43" s="18">
        <f>'Summary-2010'!AF42</f>
        <v>38</v>
      </c>
      <c r="G43" s="18">
        <f>'Summary-2010'!AG42</f>
        <v>38</v>
      </c>
      <c r="H43" s="18"/>
      <c r="I43" s="18" t="str">
        <f t="shared" si="4"/>
        <v>Sacramento</v>
      </c>
      <c r="J43" s="18">
        <f>'Summary-2000'!AB42</f>
        <v>45</v>
      </c>
      <c r="K43" s="18">
        <f>'Summary-2000'!AC42</f>
        <v>46</v>
      </c>
      <c r="L43" s="18">
        <f>'Summary-2000'!AD42</f>
        <v>37</v>
      </c>
      <c r="M43" s="18">
        <f>'Summary-2000'!AE42</f>
        <v>39</v>
      </c>
      <c r="N43" s="18">
        <f>'Summary-2000'!AF42</f>
        <v>39</v>
      </c>
      <c r="O43" s="18">
        <f>'Summary-2000'!AG42</f>
        <v>39</v>
      </c>
      <c r="P43" s="18"/>
      <c r="Q43" s="18" t="str">
        <f t="shared" si="5"/>
        <v>Sacramento</v>
      </c>
      <c r="R43" s="18">
        <f t="shared" si="6"/>
        <v>-26</v>
      </c>
      <c r="S43" s="18">
        <f t="shared" si="2"/>
        <v>-26</v>
      </c>
      <c r="T43" s="18">
        <f t="shared" si="2"/>
        <v>1</v>
      </c>
      <c r="U43" s="18">
        <f t="shared" si="2"/>
        <v>-1</v>
      </c>
      <c r="V43" s="18">
        <f t="shared" si="2"/>
        <v>-1</v>
      </c>
      <c r="W43" s="18">
        <f t="shared" si="2"/>
        <v>-1</v>
      </c>
      <c r="X43" s="18"/>
      <c r="Y43" s="29" t="str">
        <f t="shared" si="7"/>
        <v>Sacramento</v>
      </c>
      <c r="Z43" s="18">
        <f t="shared" si="8"/>
        <v>49</v>
      </c>
      <c r="AA43" s="18">
        <f t="shared" si="8"/>
        <v>49</v>
      </c>
      <c r="AB43" s="18">
        <f t="shared" si="8"/>
        <v>23</v>
      </c>
      <c r="AC43" s="18">
        <f t="shared" si="8"/>
        <v>29</v>
      </c>
      <c r="AD43" s="18">
        <f t="shared" si="8"/>
        <v>31</v>
      </c>
      <c r="AE43" s="18">
        <f t="shared" si="8"/>
        <v>32</v>
      </c>
    </row>
    <row r="44" spans="1:31">
      <c r="A44" s="18" t="str">
        <f>'Trends2000-1990'!AA43</f>
        <v>Salt Lake City</v>
      </c>
      <c r="B44" s="18">
        <f>'Summary-2010'!AB43</f>
        <v>8</v>
      </c>
      <c r="C44" s="18">
        <f>'Summary-2010'!AC43</f>
        <v>11</v>
      </c>
      <c r="D44" s="18">
        <f>'Summary-2010'!AD43</f>
        <v>42</v>
      </c>
      <c r="E44" s="18">
        <f>'Summary-2010'!AE43</f>
        <v>42</v>
      </c>
      <c r="F44" s="18">
        <f>'Summary-2010'!AF43</f>
        <v>42</v>
      </c>
      <c r="G44" s="18">
        <f>'Summary-2010'!AG43</f>
        <v>42</v>
      </c>
      <c r="H44" s="18"/>
      <c r="I44" s="18" t="str">
        <f t="shared" si="4"/>
        <v>Salt Lake City</v>
      </c>
      <c r="J44" s="18">
        <f>'Summary-2000'!AB43</f>
        <v>11</v>
      </c>
      <c r="K44" s="18">
        <f>'Summary-2000'!AC43</f>
        <v>12</v>
      </c>
      <c r="L44" s="18">
        <f>'Summary-2000'!AD43</f>
        <v>36</v>
      </c>
      <c r="M44" s="18">
        <f>'Summary-2000'!AE43</f>
        <v>38</v>
      </c>
      <c r="N44" s="18">
        <f>'Summary-2000'!AF43</f>
        <v>38</v>
      </c>
      <c r="O44" s="18">
        <f>'Summary-2000'!AG43</f>
        <v>38</v>
      </c>
      <c r="P44" s="18"/>
      <c r="Q44" s="18" t="str">
        <f t="shared" si="5"/>
        <v>Salt Lake City</v>
      </c>
      <c r="R44" s="18">
        <f t="shared" si="6"/>
        <v>-3</v>
      </c>
      <c r="S44" s="18">
        <f t="shared" si="2"/>
        <v>-1</v>
      </c>
      <c r="T44" s="18">
        <f t="shared" si="2"/>
        <v>6</v>
      </c>
      <c r="U44" s="18">
        <f t="shared" si="2"/>
        <v>4</v>
      </c>
      <c r="V44" s="18">
        <f t="shared" si="2"/>
        <v>4</v>
      </c>
      <c r="W44" s="18">
        <f t="shared" si="2"/>
        <v>4</v>
      </c>
      <c r="X44" s="18"/>
      <c r="Y44" s="29" t="str">
        <f t="shared" si="7"/>
        <v>Salt Lake City</v>
      </c>
      <c r="Z44" s="18">
        <f t="shared" si="8"/>
        <v>32</v>
      </c>
      <c r="AA44" s="18">
        <f t="shared" si="8"/>
        <v>27</v>
      </c>
      <c r="AB44" s="18">
        <f t="shared" si="8"/>
        <v>9</v>
      </c>
      <c r="AC44" s="18">
        <f t="shared" si="8"/>
        <v>6</v>
      </c>
      <c r="AD44" s="18">
        <f t="shared" si="8"/>
        <v>5</v>
      </c>
      <c r="AE44" s="18">
        <f t="shared" si="8"/>
        <v>5</v>
      </c>
    </row>
    <row r="45" spans="1:31">
      <c r="A45" s="18" t="str">
        <f>'Trends2000-1990'!AA44</f>
        <v>San Antonio</v>
      </c>
      <c r="B45" s="18">
        <f>'Summary-2010'!AB44</f>
        <v>28</v>
      </c>
      <c r="C45" s="18">
        <f>'Summary-2010'!AC44</f>
        <v>22</v>
      </c>
      <c r="D45" s="18">
        <f>'Summary-2010'!AD44</f>
        <v>32</v>
      </c>
      <c r="E45" s="18">
        <f>'Summary-2010'!AE44</f>
        <v>35</v>
      </c>
      <c r="F45" s="18">
        <f>'Summary-2010'!AF44</f>
        <v>35</v>
      </c>
      <c r="G45" s="18">
        <f>'Summary-2010'!AG44</f>
        <v>35</v>
      </c>
      <c r="H45" s="18"/>
      <c r="I45" s="18" t="str">
        <f t="shared" si="4"/>
        <v>San Antonio</v>
      </c>
      <c r="J45" s="18">
        <f>'Summary-2000'!AB44</f>
        <v>28</v>
      </c>
      <c r="K45" s="18">
        <f>'Summary-2000'!AC44</f>
        <v>26</v>
      </c>
      <c r="L45" s="18">
        <f>'Summary-2000'!AD44</f>
        <v>31</v>
      </c>
      <c r="M45" s="18">
        <f>'Summary-2000'!AE44</f>
        <v>34</v>
      </c>
      <c r="N45" s="18">
        <f>'Summary-2000'!AF44</f>
        <v>34</v>
      </c>
      <c r="O45" s="18">
        <f>'Summary-2000'!AG44</f>
        <v>34</v>
      </c>
      <c r="P45" s="18"/>
      <c r="Q45" s="18" t="str">
        <f t="shared" si="5"/>
        <v>San Antonio</v>
      </c>
      <c r="R45" s="18">
        <f t="shared" si="6"/>
        <v>0</v>
      </c>
      <c r="S45" s="18">
        <f t="shared" si="2"/>
        <v>-4</v>
      </c>
      <c r="T45" s="18">
        <f t="shared" si="2"/>
        <v>1</v>
      </c>
      <c r="U45" s="18">
        <f t="shared" si="2"/>
        <v>1</v>
      </c>
      <c r="V45" s="18">
        <f t="shared" si="2"/>
        <v>1</v>
      </c>
      <c r="W45" s="18">
        <f t="shared" si="2"/>
        <v>1</v>
      </c>
      <c r="X45" s="18"/>
      <c r="Y45" s="29" t="str">
        <f t="shared" si="7"/>
        <v>San Antonio</v>
      </c>
      <c r="Z45" s="18">
        <f t="shared" si="8"/>
        <v>26</v>
      </c>
      <c r="AA45" s="18">
        <f t="shared" si="8"/>
        <v>33</v>
      </c>
      <c r="AB45" s="18">
        <f t="shared" si="8"/>
        <v>23</v>
      </c>
      <c r="AC45" s="18">
        <f t="shared" si="8"/>
        <v>15</v>
      </c>
      <c r="AD45" s="18">
        <f t="shared" si="8"/>
        <v>12</v>
      </c>
      <c r="AE45" s="18">
        <f t="shared" si="8"/>
        <v>12</v>
      </c>
    </row>
    <row r="46" spans="1:31">
      <c r="A46" s="18" t="str">
        <f>'Trends2000-1990'!AA45</f>
        <v>San Diego</v>
      </c>
      <c r="B46" s="18">
        <f>'Summary-2010'!AB45</f>
        <v>10</v>
      </c>
      <c r="C46" s="18">
        <f>'Summary-2010'!AC45</f>
        <v>8</v>
      </c>
      <c r="D46" s="18">
        <f>'Summary-2010'!AD45</f>
        <v>8</v>
      </c>
      <c r="E46" s="18">
        <f>'Summary-2010'!AE45</f>
        <v>17</v>
      </c>
      <c r="F46" s="18">
        <f>'Summary-2010'!AF45</f>
        <v>17</v>
      </c>
      <c r="G46" s="18">
        <f>'Summary-2010'!AG45</f>
        <v>17</v>
      </c>
      <c r="H46" s="18"/>
      <c r="I46" s="18" t="str">
        <f t="shared" si="4"/>
        <v>San Diego</v>
      </c>
      <c r="J46" s="18">
        <f>'Summary-2000'!AB45</f>
        <v>47</v>
      </c>
      <c r="K46" s="18">
        <f>'Summary-2000'!AC45</f>
        <v>47</v>
      </c>
      <c r="L46" s="18">
        <f>'Summary-2000'!AD45</f>
        <v>35</v>
      </c>
      <c r="M46" s="18">
        <f>'Summary-2000'!AE45</f>
        <v>16</v>
      </c>
      <c r="N46" s="18">
        <f>'Summary-2000'!AF45</f>
        <v>17</v>
      </c>
      <c r="O46" s="18">
        <f>'Summary-2000'!AG45</f>
        <v>17</v>
      </c>
      <c r="P46" s="18"/>
      <c r="Q46" s="18" t="str">
        <f t="shared" si="5"/>
        <v>San Diego</v>
      </c>
      <c r="R46" s="18">
        <f t="shared" si="6"/>
        <v>-37</v>
      </c>
      <c r="S46" s="18">
        <f t="shared" si="2"/>
        <v>-39</v>
      </c>
      <c r="T46" s="18">
        <f t="shared" si="2"/>
        <v>-27</v>
      </c>
      <c r="U46" s="18">
        <f t="shared" si="2"/>
        <v>1</v>
      </c>
      <c r="V46" s="18">
        <f t="shared" si="2"/>
        <v>0</v>
      </c>
      <c r="W46" s="18">
        <f t="shared" si="2"/>
        <v>0</v>
      </c>
      <c r="X46" s="18"/>
      <c r="Y46" s="29" t="str">
        <f t="shared" si="7"/>
        <v>San Diego</v>
      </c>
      <c r="Z46" s="18">
        <f t="shared" si="8"/>
        <v>50</v>
      </c>
      <c r="AA46" s="18">
        <f t="shared" si="8"/>
        <v>50</v>
      </c>
      <c r="AB46" s="18">
        <f t="shared" si="8"/>
        <v>50</v>
      </c>
      <c r="AC46" s="18">
        <f t="shared" si="8"/>
        <v>15</v>
      </c>
      <c r="AD46" s="18">
        <f t="shared" si="8"/>
        <v>21</v>
      </c>
      <c r="AE46" s="18">
        <f t="shared" si="8"/>
        <v>20</v>
      </c>
    </row>
    <row r="47" spans="1:31">
      <c r="A47" s="18" t="str">
        <f>'Trends2000-1990'!AA46</f>
        <v>San Francisco</v>
      </c>
      <c r="B47" s="18">
        <f>'Summary-2010'!AB46</f>
        <v>1</v>
      </c>
      <c r="C47" s="18">
        <f>'Summary-2010'!AC46</f>
        <v>1</v>
      </c>
      <c r="D47" s="18">
        <f>'Summary-2010'!AD46</f>
        <v>2</v>
      </c>
      <c r="E47" s="18">
        <f>'Summary-2010'!AE46</f>
        <v>9</v>
      </c>
      <c r="F47" s="18">
        <f>'Summary-2010'!AF46</f>
        <v>11</v>
      </c>
      <c r="G47" s="18">
        <f>'Summary-2010'!AG46</f>
        <v>11</v>
      </c>
      <c r="H47" s="18"/>
      <c r="I47" s="18" t="str">
        <f t="shared" si="4"/>
        <v>San Francisco</v>
      </c>
      <c r="J47" s="18">
        <f>'Summary-2000'!AB46</f>
        <v>1</v>
      </c>
      <c r="K47" s="18">
        <f>'Summary-2000'!AC46</f>
        <v>1</v>
      </c>
      <c r="L47" s="18">
        <f>'Summary-2000'!AD46</f>
        <v>1</v>
      </c>
      <c r="M47" s="18">
        <f>'Summary-2000'!AE46</f>
        <v>4</v>
      </c>
      <c r="N47" s="18">
        <f>'Summary-2000'!AF46</f>
        <v>8</v>
      </c>
      <c r="O47" s="18">
        <f>'Summary-2000'!AG46</f>
        <v>9</v>
      </c>
      <c r="P47" s="18"/>
      <c r="Q47" s="18" t="str">
        <f t="shared" si="5"/>
        <v>San Francisco</v>
      </c>
      <c r="R47" s="18">
        <f t="shared" si="6"/>
        <v>0</v>
      </c>
      <c r="S47" s="18">
        <f t="shared" si="2"/>
        <v>0</v>
      </c>
      <c r="T47" s="18">
        <f t="shared" si="2"/>
        <v>1</v>
      </c>
      <c r="U47" s="18">
        <f t="shared" si="2"/>
        <v>5</v>
      </c>
      <c r="V47" s="18">
        <f t="shared" si="2"/>
        <v>3</v>
      </c>
      <c r="W47" s="18">
        <f t="shared" si="2"/>
        <v>2</v>
      </c>
      <c r="X47" s="18"/>
      <c r="Y47" s="29" t="str">
        <f t="shared" si="7"/>
        <v>San Francisco</v>
      </c>
      <c r="Z47" s="18">
        <f t="shared" si="8"/>
        <v>26</v>
      </c>
      <c r="AA47" s="18">
        <f t="shared" si="8"/>
        <v>25</v>
      </c>
      <c r="AB47" s="18">
        <f t="shared" si="8"/>
        <v>23</v>
      </c>
      <c r="AC47" s="18">
        <f t="shared" si="8"/>
        <v>5</v>
      </c>
      <c r="AD47" s="18">
        <f t="shared" si="8"/>
        <v>10</v>
      </c>
      <c r="AE47" s="18">
        <f t="shared" si="8"/>
        <v>10</v>
      </c>
    </row>
    <row r="48" spans="1:31">
      <c r="A48" s="18" t="str">
        <f>'Trends2000-1990'!AA47</f>
        <v>San Jose</v>
      </c>
      <c r="B48" s="18">
        <f>'Summary-2010'!AB47</f>
        <v>2</v>
      </c>
      <c r="C48" s="18">
        <f>'Summary-2010'!AC47</f>
        <v>3</v>
      </c>
      <c r="D48" s="18">
        <f>'Summary-2010'!AD47</f>
        <v>20</v>
      </c>
      <c r="E48" s="18">
        <f>'Summary-2010'!AE47</f>
        <v>28</v>
      </c>
      <c r="F48" s="18">
        <f>'Summary-2010'!AF47</f>
        <v>28</v>
      </c>
      <c r="G48" s="18">
        <f>'Summary-2010'!AG47</f>
        <v>28</v>
      </c>
      <c r="H48" s="18"/>
      <c r="I48" s="18" t="str">
        <f t="shared" si="4"/>
        <v>San Jose</v>
      </c>
      <c r="J48" s="18">
        <f>'Summary-2000'!AB47</f>
        <v>2</v>
      </c>
      <c r="K48" s="18">
        <f>'Summary-2000'!AC47</f>
        <v>2</v>
      </c>
      <c r="L48" s="18">
        <f>'Summary-2000'!AD47</f>
        <v>8</v>
      </c>
      <c r="M48" s="18">
        <f>'Summary-2000'!AE47</f>
        <v>20</v>
      </c>
      <c r="N48" s="18">
        <f>'Summary-2000'!AF47</f>
        <v>21</v>
      </c>
      <c r="O48" s="18">
        <f>'Summary-2000'!AG47</f>
        <v>21</v>
      </c>
      <c r="P48" s="18"/>
      <c r="Q48" s="18" t="str">
        <f t="shared" si="5"/>
        <v>San Jose</v>
      </c>
      <c r="R48" s="18">
        <f t="shared" si="6"/>
        <v>0</v>
      </c>
      <c r="S48" s="18">
        <f t="shared" si="2"/>
        <v>1</v>
      </c>
      <c r="T48" s="18">
        <f t="shared" si="2"/>
        <v>12</v>
      </c>
      <c r="U48" s="18">
        <f t="shared" si="2"/>
        <v>8</v>
      </c>
      <c r="V48" s="18">
        <f t="shared" si="2"/>
        <v>7</v>
      </c>
      <c r="W48" s="18">
        <f t="shared" si="2"/>
        <v>7</v>
      </c>
      <c r="X48" s="18"/>
      <c r="Y48" s="29" t="str">
        <f t="shared" si="7"/>
        <v>San Jose</v>
      </c>
      <c r="Z48" s="18">
        <f t="shared" si="8"/>
        <v>26</v>
      </c>
      <c r="AA48" s="18">
        <f t="shared" si="8"/>
        <v>22</v>
      </c>
      <c r="AB48" s="18">
        <f t="shared" si="8"/>
        <v>3</v>
      </c>
      <c r="AC48" s="18">
        <f t="shared" si="8"/>
        <v>2</v>
      </c>
      <c r="AD48" s="18">
        <f t="shared" si="8"/>
        <v>2</v>
      </c>
      <c r="AE48" s="18">
        <f t="shared" si="8"/>
        <v>2</v>
      </c>
    </row>
    <row r="49" spans="1:31">
      <c r="A49" s="18" t="str">
        <f>'Trends2000-1990'!AA48</f>
        <v>Seattle</v>
      </c>
      <c r="B49" s="18">
        <f>'Summary-2010'!AB48</f>
        <v>43</v>
      </c>
      <c r="C49" s="18">
        <f>'Summary-2010'!AC48</f>
        <v>48</v>
      </c>
      <c r="D49" s="18">
        <f>'Summary-2010'!AD48</f>
        <v>33</v>
      </c>
      <c r="E49" s="18">
        <f>'Summary-2010'!AE48</f>
        <v>14</v>
      </c>
      <c r="F49" s="18">
        <f>'Summary-2010'!AF48</f>
        <v>15</v>
      </c>
      <c r="G49" s="18">
        <f>'Summary-2010'!AG48</f>
        <v>15</v>
      </c>
      <c r="H49" s="18"/>
      <c r="I49" s="18" t="str">
        <f t="shared" si="4"/>
        <v>Seattle</v>
      </c>
      <c r="J49" s="18">
        <f>'Summary-2000'!AB48</f>
        <v>26</v>
      </c>
      <c r="K49" s="18">
        <f>'Summary-2000'!AC48</f>
        <v>32</v>
      </c>
      <c r="L49" s="18">
        <f>'Summary-2000'!AD48</f>
        <v>18</v>
      </c>
      <c r="M49" s="18">
        <f>'Summary-2000'!AE48</f>
        <v>11</v>
      </c>
      <c r="N49" s="18">
        <f>'Summary-2000'!AF48</f>
        <v>14</v>
      </c>
      <c r="O49" s="18">
        <f>'Summary-2000'!AG48</f>
        <v>14</v>
      </c>
      <c r="P49" s="18"/>
      <c r="Q49" s="18" t="str">
        <f t="shared" si="5"/>
        <v>Seattle</v>
      </c>
      <c r="R49" s="18">
        <f t="shared" si="6"/>
        <v>17</v>
      </c>
      <c r="S49" s="18">
        <f t="shared" si="2"/>
        <v>16</v>
      </c>
      <c r="T49" s="18">
        <f t="shared" si="2"/>
        <v>15</v>
      </c>
      <c r="U49" s="18">
        <f t="shared" si="2"/>
        <v>3</v>
      </c>
      <c r="V49" s="18">
        <f t="shared" si="2"/>
        <v>1</v>
      </c>
      <c r="W49" s="18">
        <f t="shared" si="2"/>
        <v>1</v>
      </c>
      <c r="X49" s="18"/>
      <c r="Y49" s="29" t="str">
        <f t="shared" si="7"/>
        <v>Seattle</v>
      </c>
      <c r="Z49" s="18">
        <f t="shared" si="8"/>
        <v>6</v>
      </c>
      <c r="AA49" s="18">
        <f t="shared" si="8"/>
        <v>7</v>
      </c>
      <c r="AB49" s="18">
        <f t="shared" si="8"/>
        <v>1</v>
      </c>
      <c r="AC49" s="18">
        <f t="shared" si="8"/>
        <v>12</v>
      </c>
      <c r="AD49" s="18">
        <f t="shared" si="8"/>
        <v>12</v>
      </c>
      <c r="AE49" s="18">
        <f t="shared" si="8"/>
        <v>12</v>
      </c>
    </row>
    <row r="50" spans="1:31">
      <c r="A50" s="18" t="str">
        <f>'Trends2000-1990'!AA49</f>
        <v>Miami</v>
      </c>
      <c r="B50" s="18">
        <f>'Summary-2010'!AB49</f>
        <v>29</v>
      </c>
      <c r="C50" s="18">
        <f>'Summary-2010'!AC49</f>
        <v>23</v>
      </c>
      <c r="D50" s="18">
        <f>'Summary-2010'!AD49</f>
        <v>12</v>
      </c>
      <c r="E50" s="18">
        <f>'Summary-2010'!AE49</f>
        <v>8</v>
      </c>
      <c r="F50" s="18">
        <f>'Summary-2010'!AF49</f>
        <v>10</v>
      </c>
      <c r="G50" s="18">
        <f>'Summary-2010'!AG49</f>
        <v>10</v>
      </c>
      <c r="H50" s="18"/>
      <c r="I50" s="18" t="str">
        <f t="shared" si="4"/>
        <v>Miami</v>
      </c>
      <c r="J50" s="18">
        <f>'Summary-2000'!AB49</f>
        <v>27</v>
      </c>
      <c r="K50" s="18">
        <f>'Summary-2000'!AC49</f>
        <v>25</v>
      </c>
      <c r="L50" s="18">
        <f>'Summary-2000'!AD49</f>
        <v>10</v>
      </c>
      <c r="M50" s="18">
        <f>'Summary-2000'!AE49</f>
        <v>9</v>
      </c>
      <c r="N50" s="18">
        <f>'Summary-2000'!AF49</f>
        <v>13</v>
      </c>
      <c r="O50" s="18">
        <f>'Summary-2000'!AG49</f>
        <v>13</v>
      </c>
      <c r="P50" s="18"/>
      <c r="Q50" s="18" t="str">
        <f t="shared" si="5"/>
        <v>Miami</v>
      </c>
      <c r="R50" s="18">
        <f t="shared" si="6"/>
        <v>2</v>
      </c>
      <c r="S50" s="18">
        <f t="shared" si="2"/>
        <v>-2</v>
      </c>
      <c r="T50" s="18">
        <f t="shared" si="2"/>
        <v>2</v>
      </c>
      <c r="U50" s="18">
        <f t="shared" si="2"/>
        <v>-1</v>
      </c>
      <c r="V50" s="18">
        <f t="shared" si="2"/>
        <v>-3</v>
      </c>
      <c r="W50" s="18">
        <f t="shared" si="2"/>
        <v>-3</v>
      </c>
      <c r="X50" s="18"/>
      <c r="Y50" s="29" t="str">
        <f t="shared" si="7"/>
        <v>Miami</v>
      </c>
      <c r="Z50" s="18">
        <f t="shared" si="8"/>
        <v>21</v>
      </c>
      <c r="AA50" s="18">
        <f t="shared" si="8"/>
        <v>30</v>
      </c>
      <c r="AB50" s="18">
        <f t="shared" si="8"/>
        <v>18</v>
      </c>
      <c r="AC50" s="18">
        <f t="shared" si="8"/>
        <v>29</v>
      </c>
      <c r="AD50" s="18">
        <f t="shared" si="8"/>
        <v>43</v>
      </c>
      <c r="AE50" s="18">
        <f t="shared" si="8"/>
        <v>43</v>
      </c>
    </row>
    <row r="51" spans="1:31">
      <c r="A51" s="18" t="str">
        <f>'Trends2000-1990'!AA50</f>
        <v>St. Louis</v>
      </c>
      <c r="B51" s="18">
        <f>'Summary-2010'!AB50</f>
        <v>50</v>
      </c>
      <c r="C51" s="18">
        <f>'Summary-2010'!AC50</f>
        <v>50</v>
      </c>
      <c r="D51" s="18">
        <f>'Summary-2010'!AD50</f>
        <v>36</v>
      </c>
      <c r="E51" s="18">
        <f>'Summary-2010'!AE50</f>
        <v>16</v>
      </c>
      <c r="F51" s="18">
        <f>'Summary-2010'!AF50</f>
        <v>16</v>
      </c>
      <c r="G51" s="18">
        <f>'Summary-2010'!AG50</f>
        <v>16</v>
      </c>
      <c r="H51" s="18"/>
      <c r="I51" s="18" t="str">
        <f t="shared" si="4"/>
        <v>St. Louis</v>
      </c>
      <c r="J51" s="18">
        <f>'Summary-2000'!AB50</f>
        <v>41</v>
      </c>
      <c r="K51" s="18">
        <f>'Summary-2000'!AC50</f>
        <v>38</v>
      </c>
      <c r="L51" s="18">
        <f>'Summary-2000'!AD50</f>
        <v>24</v>
      </c>
      <c r="M51" s="18">
        <f>'Summary-2000'!AE50</f>
        <v>15</v>
      </c>
      <c r="N51" s="18">
        <f>'Summary-2000'!AF50</f>
        <v>16</v>
      </c>
      <c r="O51" s="18">
        <f>'Summary-2000'!AG50</f>
        <v>16</v>
      </c>
      <c r="P51" s="18"/>
      <c r="Q51" s="18" t="str">
        <f t="shared" si="5"/>
        <v>St. Louis</v>
      </c>
      <c r="R51" s="18">
        <f t="shared" si="6"/>
        <v>9</v>
      </c>
      <c r="S51" s="18">
        <f t="shared" si="2"/>
        <v>12</v>
      </c>
      <c r="T51" s="18">
        <f t="shared" si="2"/>
        <v>12</v>
      </c>
      <c r="U51" s="18">
        <f t="shared" si="2"/>
        <v>1</v>
      </c>
      <c r="V51" s="18">
        <f t="shared" si="2"/>
        <v>0</v>
      </c>
      <c r="W51" s="18">
        <f t="shared" si="2"/>
        <v>0</v>
      </c>
      <c r="X51" s="18"/>
      <c r="Y51" s="29" t="str">
        <f t="shared" si="7"/>
        <v>St. Louis</v>
      </c>
      <c r="Z51" s="18">
        <f t="shared" si="8"/>
        <v>12</v>
      </c>
      <c r="AA51" s="18">
        <f t="shared" si="8"/>
        <v>9</v>
      </c>
      <c r="AB51" s="18">
        <f t="shared" si="8"/>
        <v>3</v>
      </c>
      <c r="AC51" s="18">
        <f t="shared" si="8"/>
        <v>15</v>
      </c>
      <c r="AD51" s="18">
        <f t="shared" si="8"/>
        <v>21</v>
      </c>
      <c r="AE51" s="18">
        <f t="shared" si="8"/>
        <v>20</v>
      </c>
    </row>
    <row r="52" spans="1:31">
      <c r="A52" s="18" t="str">
        <f>'Trends2000-1990'!AA51</f>
        <v>Tampa Bay</v>
      </c>
      <c r="B52" s="18">
        <f>'Summary-2010'!AB51</f>
        <v>46</v>
      </c>
      <c r="C52" s="18">
        <f>'Summary-2010'!AC51</f>
        <v>46</v>
      </c>
      <c r="D52" s="18">
        <f>'Summary-2010'!AD51</f>
        <v>25</v>
      </c>
      <c r="E52" s="18">
        <f>'Summary-2010'!AE51</f>
        <v>22</v>
      </c>
      <c r="F52" s="18">
        <f>'Summary-2010'!AF51</f>
        <v>22</v>
      </c>
      <c r="G52" s="18">
        <f>'Summary-2010'!AG51</f>
        <v>22</v>
      </c>
      <c r="H52" s="18"/>
      <c r="I52" s="18" t="str">
        <f t="shared" si="4"/>
        <v>Tampa Bay</v>
      </c>
      <c r="J52" s="18">
        <f>'Summary-2000'!AB51</f>
        <v>49</v>
      </c>
      <c r="K52" s="18">
        <f>'Summary-2000'!AC51</f>
        <v>51</v>
      </c>
      <c r="L52" s="18">
        <f>'Summary-2000'!AD51</f>
        <v>44</v>
      </c>
      <c r="M52" s="18">
        <f>'Summary-2000'!AE51</f>
        <v>23</v>
      </c>
      <c r="N52" s="18">
        <f>'Summary-2000'!AF51</f>
        <v>22</v>
      </c>
      <c r="O52" s="18">
        <f>'Summary-2000'!AG51</f>
        <v>22</v>
      </c>
      <c r="P52" s="18"/>
      <c r="Q52" s="18" t="str">
        <f t="shared" si="5"/>
        <v>Tampa Bay</v>
      </c>
      <c r="R52" s="18">
        <f t="shared" si="6"/>
        <v>-3</v>
      </c>
      <c r="S52" s="18">
        <f t="shared" si="2"/>
        <v>-5</v>
      </c>
      <c r="T52" s="18">
        <f t="shared" si="2"/>
        <v>-19</v>
      </c>
      <c r="U52" s="18">
        <f t="shared" si="2"/>
        <v>-1</v>
      </c>
      <c r="V52" s="18">
        <f t="shared" si="2"/>
        <v>0</v>
      </c>
      <c r="W52" s="18">
        <f t="shared" si="2"/>
        <v>0</v>
      </c>
      <c r="X52" s="18"/>
      <c r="Y52" s="29" t="str">
        <f t="shared" si="7"/>
        <v>Tampa Bay</v>
      </c>
      <c r="Z52" s="18">
        <f t="shared" si="8"/>
        <v>32</v>
      </c>
      <c r="AA52" s="18">
        <f t="shared" si="8"/>
        <v>34</v>
      </c>
      <c r="AB52" s="18">
        <f t="shared" si="8"/>
        <v>49</v>
      </c>
      <c r="AC52" s="18">
        <f t="shared" si="8"/>
        <v>29</v>
      </c>
      <c r="AD52" s="18">
        <f t="shared" si="8"/>
        <v>21</v>
      </c>
      <c r="AE52" s="18">
        <f t="shared" si="8"/>
        <v>20</v>
      </c>
    </row>
    <row r="53" spans="1:31">
      <c r="A53" s="18" t="str">
        <f>'Trends2000-1990'!AA52</f>
        <v>Washington</v>
      </c>
      <c r="B53" s="18">
        <f>'Summary-2010'!AB52</f>
        <v>16</v>
      </c>
      <c r="C53" s="18">
        <f>'Summary-2010'!AC52</f>
        <v>15</v>
      </c>
      <c r="D53" s="18">
        <f>'Summary-2010'!AD52</f>
        <v>6</v>
      </c>
      <c r="E53" s="18">
        <f>'Summary-2010'!AE52</f>
        <v>4</v>
      </c>
      <c r="F53" s="18">
        <f>'Summary-2010'!AF52</f>
        <v>7</v>
      </c>
      <c r="G53" s="18">
        <f>'Summary-2010'!AG52</f>
        <v>7</v>
      </c>
      <c r="H53" s="18"/>
      <c r="I53" s="18" t="str">
        <f t="shared" si="4"/>
        <v>Washington</v>
      </c>
      <c r="J53" s="18">
        <f>'Summary-2000'!AB52</f>
        <v>35</v>
      </c>
      <c r="K53" s="18">
        <f>'Summary-2000'!AC52</f>
        <v>34</v>
      </c>
      <c r="L53" s="18">
        <f>'Summary-2000'!AD52</f>
        <v>16</v>
      </c>
      <c r="M53" s="18">
        <f>'Summary-2000'!AE52</f>
        <v>8</v>
      </c>
      <c r="N53" s="18">
        <f>'Summary-2000'!AF52</f>
        <v>7</v>
      </c>
      <c r="O53" s="18">
        <f>'Summary-2000'!AG52</f>
        <v>7</v>
      </c>
      <c r="P53" s="18"/>
      <c r="Q53" s="18" t="str">
        <f t="shared" si="5"/>
        <v>Washington</v>
      </c>
      <c r="R53" s="18">
        <f t="shared" si="6"/>
        <v>-19</v>
      </c>
      <c r="S53" s="18">
        <f t="shared" si="2"/>
        <v>-19</v>
      </c>
      <c r="T53" s="18">
        <f t="shared" si="2"/>
        <v>-10</v>
      </c>
      <c r="U53" s="18">
        <f t="shared" si="2"/>
        <v>-4</v>
      </c>
      <c r="V53" s="18">
        <f t="shared" si="2"/>
        <v>0</v>
      </c>
      <c r="W53" s="18">
        <f t="shared" si="2"/>
        <v>0</v>
      </c>
      <c r="X53" s="18"/>
      <c r="Y53" s="29" t="str">
        <f t="shared" si="7"/>
        <v>Washington</v>
      </c>
      <c r="Z53" s="18">
        <f t="shared" si="8"/>
        <v>47</v>
      </c>
      <c r="AA53" s="18">
        <f t="shared" si="8"/>
        <v>46</v>
      </c>
      <c r="AB53" s="18">
        <f t="shared" si="8"/>
        <v>46</v>
      </c>
      <c r="AC53" s="18">
        <f t="shared" si="8"/>
        <v>45</v>
      </c>
      <c r="AD53" s="18">
        <f t="shared" si="8"/>
        <v>21</v>
      </c>
      <c r="AE53" s="18">
        <f t="shared" si="8"/>
        <v>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3"/>
  <sheetViews>
    <sheetView workbookViewId="0">
      <selection activeCell="Z2" sqref="Z2"/>
    </sheetView>
  </sheetViews>
  <sheetFormatPr baseColWidth="10" defaultRowHeight="14" x14ac:dyDescent="0"/>
  <sheetData>
    <row r="1" spans="1:31">
      <c r="A1" s="18"/>
      <c r="B1" s="18" t="s">
        <v>404</v>
      </c>
      <c r="C1" s="18"/>
      <c r="D1" s="18"/>
      <c r="E1" s="18"/>
      <c r="F1" s="18"/>
      <c r="G1" s="18"/>
      <c r="H1" s="18"/>
      <c r="I1" s="18"/>
      <c r="J1" s="18" t="s">
        <v>401</v>
      </c>
      <c r="K1" s="18"/>
      <c r="L1" s="18"/>
      <c r="M1" s="18"/>
      <c r="N1" s="18"/>
      <c r="O1" s="18"/>
      <c r="P1" s="18"/>
      <c r="Q1" s="18"/>
      <c r="R1" s="18" t="s">
        <v>402</v>
      </c>
      <c r="S1" s="18"/>
      <c r="T1" s="18"/>
      <c r="U1" s="18"/>
      <c r="V1" s="18"/>
      <c r="W1" s="18"/>
      <c r="X1" s="18"/>
      <c r="Y1" s="18"/>
      <c r="Z1" s="29" t="s">
        <v>405</v>
      </c>
      <c r="AA1" s="29"/>
      <c r="AB1" s="29"/>
      <c r="AC1" s="29"/>
      <c r="AD1" s="29"/>
      <c r="AE1" s="29"/>
    </row>
    <row r="2" spans="1:31">
      <c r="A2" s="18" t="str">
        <f>'Trends2000-1990'!AA1</f>
        <v>Area</v>
      </c>
      <c r="B2" s="18">
        <f>'Summary-2000'!AB1</f>
        <v>10</v>
      </c>
      <c r="C2" s="18">
        <f>'Summary-2000'!AC1</f>
        <v>20</v>
      </c>
      <c r="D2" s="18">
        <f>'Summary-2000'!AD1</f>
        <v>30</v>
      </c>
      <c r="E2" s="18">
        <f>'Summary-2000'!AE1</f>
        <v>40</v>
      </c>
      <c r="F2" s="18">
        <f>'Summary-2000'!AF1</f>
        <v>50</v>
      </c>
      <c r="G2" s="18">
        <f>'Summary-2000'!AG1</f>
        <v>60</v>
      </c>
      <c r="H2" s="18"/>
      <c r="I2" s="18"/>
      <c r="J2" s="18">
        <f>'Summary-1990'!AB1</f>
        <v>10</v>
      </c>
      <c r="K2" s="18">
        <f>'Summary-1990'!AC1</f>
        <v>20</v>
      </c>
      <c r="L2" s="18">
        <f>'Summary-1990'!AD1</f>
        <v>30</v>
      </c>
      <c r="M2" s="18">
        <f>'Summary-1990'!AE1</f>
        <v>40</v>
      </c>
      <c r="N2" s="18">
        <f>'Summary-1990'!AF1</f>
        <v>50</v>
      </c>
      <c r="O2" s="18">
        <f>'Summary-1990'!AG1</f>
        <v>60</v>
      </c>
      <c r="P2" s="18"/>
      <c r="Q2" s="18"/>
      <c r="R2" s="18">
        <f>B2</f>
        <v>10</v>
      </c>
      <c r="S2" s="18">
        <f t="shared" ref="S2:W2" si="0">C2</f>
        <v>20</v>
      </c>
      <c r="T2" s="18">
        <f t="shared" si="0"/>
        <v>30</v>
      </c>
      <c r="U2" s="18">
        <f t="shared" si="0"/>
        <v>40</v>
      </c>
      <c r="V2" s="18">
        <f t="shared" si="0"/>
        <v>50</v>
      </c>
      <c r="W2" s="18">
        <f t="shared" si="0"/>
        <v>60</v>
      </c>
      <c r="X2" s="18"/>
      <c r="Y2" s="18"/>
      <c r="Z2" s="29">
        <f>B2</f>
        <v>10</v>
      </c>
      <c r="AA2" s="29">
        <f t="shared" ref="AA2:AE2" si="1">C2</f>
        <v>20</v>
      </c>
      <c r="AB2" s="29">
        <f t="shared" si="1"/>
        <v>30</v>
      </c>
      <c r="AC2" s="29">
        <f t="shared" si="1"/>
        <v>40</v>
      </c>
      <c r="AD2" s="29">
        <f t="shared" si="1"/>
        <v>50</v>
      </c>
      <c r="AE2" s="29">
        <f t="shared" si="1"/>
        <v>60</v>
      </c>
    </row>
    <row r="3" spans="1:31">
      <c r="A3" s="18" t="str">
        <f>'Trends2000-1990'!AA2</f>
        <v>Atlanta</v>
      </c>
      <c r="B3" s="18">
        <f>'Summary-2000'!AB2</f>
        <v>50</v>
      </c>
      <c r="C3" s="18">
        <f>'Summary-2000'!AC2</f>
        <v>49</v>
      </c>
      <c r="D3" s="18">
        <f>'Summary-2000'!AD2</f>
        <v>41</v>
      </c>
      <c r="E3" s="18">
        <f>'Summary-2000'!AE2</f>
        <v>22</v>
      </c>
      <c r="F3" s="18">
        <f>'Summary-2000'!AF2</f>
        <v>12</v>
      </c>
      <c r="G3" s="18">
        <f>'Summary-2000'!AG2</f>
        <v>8</v>
      </c>
      <c r="H3" s="18"/>
      <c r="I3" s="18" t="str">
        <f>A3</f>
        <v>Atlanta</v>
      </c>
      <c r="J3" s="18">
        <f>'Summary-1990'!AB2</f>
        <v>44</v>
      </c>
      <c r="K3" s="18">
        <f>'Summary-1990'!AC2</f>
        <v>42</v>
      </c>
      <c r="L3" s="18">
        <f>'Summary-1990'!AD2</f>
        <v>22</v>
      </c>
      <c r="M3" s="18">
        <f>'Summary-1990'!AE2</f>
        <v>11</v>
      </c>
      <c r="N3" s="18">
        <f>'Summary-1990'!AF2</f>
        <v>11</v>
      </c>
      <c r="O3" s="18">
        <f>'Summary-1990'!AG2</f>
        <v>11</v>
      </c>
      <c r="P3" s="18"/>
      <c r="Q3" s="18" t="str">
        <f>A3</f>
        <v>Atlanta</v>
      </c>
      <c r="R3" s="18">
        <f>B3-J3</f>
        <v>6</v>
      </c>
      <c r="S3" s="18">
        <f t="shared" ref="S3:W53" si="2">C3-K3</f>
        <v>7</v>
      </c>
      <c r="T3" s="18">
        <f t="shared" si="2"/>
        <v>19</v>
      </c>
      <c r="U3" s="18">
        <f t="shared" si="2"/>
        <v>11</v>
      </c>
      <c r="V3" s="18">
        <f t="shared" si="2"/>
        <v>1</v>
      </c>
      <c r="W3" s="18">
        <f t="shared" si="2"/>
        <v>-3</v>
      </c>
      <c r="X3" s="18"/>
      <c r="Y3" s="29" t="str">
        <f>A3</f>
        <v>Atlanta</v>
      </c>
      <c r="Z3" s="18">
        <f>RANK(R3,R$3:R$53)</f>
        <v>17</v>
      </c>
      <c r="AA3" s="18">
        <f t="shared" ref="AA3:AE18" si="3">RANK(S3,S$3:S$53)</f>
        <v>18</v>
      </c>
      <c r="AB3" s="18">
        <f t="shared" si="3"/>
        <v>2</v>
      </c>
      <c r="AC3" s="18">
        <f t="shared" si="3"/>
        <v>2</v>
      </c>
      <c r="AD3" s="18">
        <f t="shared" si="3"/>
        <v>17</v>
      </c>
      <c r="AE3" s="18">
        <f t="shared" si="3"/>
        <v>40</v>
      </c>
    </row>
    <row r="4" spans="1:31">
      <c r="A4" s="18" t="str">
        <f>'Trends2000-1990'!AA3</f>
        <v>Austin</v>
      </c>
      <c r="B4" s="18">
        <f>'Summary-2000'!AB3</f>
        <v>29</v>
      </c>
      <c r="C4" s="18">
        <f>'Summary-2000'!AC3</f>
        <v>30</v>
      </c>
      <c r="D4" s="18">
        <f>'Summary-2000'!AD3</f>
        <v>38</v>
      </c>
      <c r="E4" s="18">
        <f>'Summary-2000'!AE3</f>
        <v>40</v>
      </c>
      <c r="F4" s="18">
        <f>'Summary-2000'!AF3</f>
        <v>40</v>
      </c>
      <c r="G4" s="18">
        <f>'Summary-2000'!AG3</f>
        <v>40</v>
      </c>
      <c r="H4" s="18"/>
      <c r="I4" s="18" t="str">
        <f t="shared" ref="I4:I53" si="4">A4</f>
        <v>Austin</v>
      </c>
      <c r="J4" s="18">
        <f>'Summary-1990'!AB3</f>
        <v>39</v>
      </c>
      <c r="K4" s="18">
        <f>'Summary-1990'!AC3</f>
        <v>38</v>
      </c>
      <c r="L4" s="18">
        <f>'Summary-1990'!AD3</f>
        <v>48</v>
      </c>
      <c r="M4" s="18">
        <f>'Summary-1990'!AE3</f>
        <v>48</v>
      </c>
      <c r="N4" s="18">
        <f>'Summary-1990'!AF3</f>
        <v>48</v>
      </c>
      <c r="O4" s="18">
        <f>'Summary-1990'!AG3</f>
        <v>48</v>
      </c>
      <c r="P4" s="18"/>
      <c r="Q4" s="18" t="str">
        <f t="shared" ref="Q4:Q53" si="5">A4</f>
        <v>Austin</v>
      </c>
      <c r="R4" s="18">
        <f t="shared" ref="R4:R53" si="6">B4-J4</f>
        <v>-10</v>
      </c>
      <c r="S4" s="18">
        <f t="shared" si="2"/>
        <v>-8</v>
      </c>
      <c r="T4" s="18">
        <f t="shared" si="2"/>
        <v>-10</v>
      </c>
      <c r="U4" s="18">
        <f t="shared" si="2"/>
        <v>-8</v>
      </c>
      <c r="V4" s="18">
        <f t="shared" si="2"/>
        <v>-8</v>
      </c>
      <c r="W4" s="18">
        <f t="shared" si="2"/>
        <v>-8</v>
      </c>
      <c r="X4" s="18"/>
      <c r="Y4" s="29" t="str">
        <f t="shared" ref="Y4:Y53" si="7">A4</f>
        <v>Austin</v>
      </c>
      <c r="Z4" s="18">
        <f t="shared" ref="Z4:AE53" si="8">RANK(R4,R$3:R$53)</f>
        <v>38</v>
      </c>
      <c r="AA4" s="18">
        <f t="shared" si="3"/>
        <v>38</v>
      </c>
      <c r="AB4" s="18">
        <f t="shared" si="3"/>
        <v>41</v>
      </c>
      <c r="AC4" s="18">
        <f t="shared" si="3"/>
        <v>47</v>
      </c>
      <c r="AD4" s="18">
        <f t="shared" si="3"/>
        <v>48</v>
      </c>
      <c r="AE4" s="18">
        <f t="shared" si="3"/>
        <v>48</v>
      </c>
    </row>
    <row r="5" spans="1:31">
      <c r="A5" s="18" t="str">
        <f>'Trends2000-1990'!AA4</f>
        <v>Baltimore</v>
      </c>
      <c r="B5" s="18">
        <f>'Summary-2000'!AB4</f>
        <v>24</v>
      </c>
      <c r="C5" s="18">
        <f>'Summary-2000'!AC4</f>
        <v>21</v>
      </c>
      <c r="D5" s="18">
        <f>'Summary-2000'!AD4</f>
        <v>9</v>
      </c>
      <c r="E5" s="18">
        <f>'Summary-2000'!AE4</f>
        <v>19</v>
      </c>
      <c r="F5" s="18">
        <f>'Summary-2000'!AF4</f>
        <v>20</v>
      </c>
      <c r="G5" s="18">
        <f>'Summary-2000'!AG4</f>
        <v>20</v>
      </c>
      <c r="H5" s="18"/>
      <c r="I5" s="18" t="str">
        <f t="shared" si="4"/>
        <v>Baltimore</v>
      </c>
      <c r="J5" s="18">
        <f>'Summary-1990'!AB4</f>
        <v>20</v>
      </c>
      <c r="K5" s="18">
        <f>'Summary-1990'!AC4</f>
        <v>11</v>
      </c>
      <c r="L5" s="18">
        <f>'Summary-1990'!AD4</f>
        <v>10</v>
      </c>
      <c r="M5" s="18">
        <f>'Summary-1990'!AE4</f>
        <v>17</v>
      </c>
      <c r="N5" s="18">
        <f>'Summary-1990'!AF4</f>
        <v>17</v>
      </c>
      <c r="O5" s="18">
        <f>'Summary-1990'!AG4</f>
        <v>17</v>
      </c>
      <c r="P5" s="18"/>
      <c r="Q5" s="18" t="str">
        <f t="shared" si="5"/>
        <v>Baltimore</v>
      </c>
      <c r="R5" s="18">
        <f t="shared" si="6"/>
        <v>4</v>
      </c>
      <c r="S5" s="18">
        <f t="shared" si="2"/>
        <v>10</v>
      </c>
      <c r="T5" s="18">
        <f t="shared" si="2"/>
        <v>-1</v>
      </c>
      <c r="U5" s="18">
        <f t="shared" si="2"/>
        <v>2</v>
      </c>
      <c r="V5" s="18">
        <f t="shared" si="2"/>
        <v>3</v>
      </c>
      <c r="W5" s="18">
        <f t="shared" si="2"/>
        <v>3</v>
      </c>
      <c r="X5" s="18"/>
      <c r="Y5" s="29" t="str">
        <f t="shared" si="7"/>
        <v>Baltimore</v>
      </c>
      <c r="Z5" s="18">
        <f t="shared" si="8"/>
        <v>21</v>
      </c>
      <c r="AA5" s="18">
        <f t="shared" si="3"/>
        <v>13</v>
      </c>
      <c r="AB5" s="18">
        <f t="shared" si="3"/>
        <v>25</v>
      </c>
      <c r="AC5" s="18">
        <f t="shared" si="3"/>
        <v>17</v>
      </c>
      <c r="AD5" s="18">
        <f t="shared" si="3"/>
        <v>11</v>
      </c>
      <c r="AE5" s="18">
        <f t="shared" si="3"/>
        <v>11</v>
      </c>
    </row>
    <row r="6" spans="1:31">
      <c r="A6" s="18" t="str">
        <f>'Trends2000-1990'!AA5</f>
        <v>Boston</v>
      </c>
      <c r="B6" s="18">
        <f>'Summary-2000'!AB5</f>
        <v>9</v>
      </c>
      <c r="C6" s="18">
        <f>'Summary-2000'!AC5</f>
        <v>7</v>
      </c>
      <c r="D6" s="18">
        <f>'Summary-2000'!AD5</f>
        <v>3</v>
      </c>
      <c r="E6" s="18">
        <f>'Summary-2000'!AE5</f>
        <v>2</v>
      </c>
      <c r="F6" s="18">
        <f>'Summary-2000'!AF5</f>
        <v>3</v>
      </c>
      <c r="G6" s="18">
        <f>'Summary-2000'!AG5</f>
        <v>4</v>
      </c>
      <c r="H6" s="18"/>
      <c r="I6" s="18" t="str">
        <f t="shared" si="4"/>
        <v>Boston</v>
      </c>
      <c r="J6" s="18">
        <f>'Summary-1990'!AB5</f>
        <v>13</v>
      </c>
      <c r="K6" s="18">
        <f>'Summary-1990'!AC5</f>
        <v>5</v>
      </c>
      <c r="L6" s="18">
        <f>'Summary-1990'!AD5</f>
        <v>3</v>
      </c>
      <c r="M6" s="18">
        <f>'Summary-1990'!AE5</f>
        <v>6</v>
      </c>
      <c r="N6" s="18">
        <f>'Summary-1990'!AF5</f>
        <v>6</v>
      </c>
      <c r="O6" s="18">
        <f>'Summary-1990'!AG5</f>
        <v>6</v>
      </c>
      <c r="P6" s="18"/>
      <c r="Q6" s="18" t="str">
        <f t="shared" si="5"/>
        <v>Boston</v>
      </c>
      <c r="R6" s="18">
        <f t="shared" si="6"/>
        <v>-4</v>
      </c>
      <c r="S6" s="18">
        <f t="shared" si="2"/>
        <v>2</v>
      </c>
      <c r="T6" s="18">
        <f t="shared" si="2"/>
        <v>0</v>
      </c>
      <c r="U6" s="18">
        <f t="shared" si="2"/>
        <v>-4</v>
      </c>
      <c r="V6" s="18">
        <f t="shared" si="2"/>
        <v>-3</v>
      </c>
      <c r="W6" s="18">
        <f t="shared" si="2"/>
        <v>-2</v>
      </c>
      <c r="X6" s="18"/>
      <c r="Y6" s="29" t="str">
        <f t="shared" si="7"/>
        <v>Boston</v>
      </c>
      <c r="Z6" s="18">
        <f t="shared" si="8"/>
        <v>34</v>
      </c>
      <c r="AA6" s="18">
        <f t="shared" si="3"/>
        <v>29</v>
      </c>
      <c r="AB6" s="18">
        <f t="shared" si="3"/>
        <v>24</v>
      </c>
      <c r="AC6" s="18">
        <f t="shared" si="3"/>
        <v>41</v>
      </c>
      <c r="AD6" s="18">
        <f t="shared" si="3"/>
        <v>39</v>
      </c>
      <c r="AE6" s="18">
        <f t="shared" si="3"/>
        <v>36</v>
      </c>
    </row>
    <row r="7" spans="1:31">
      <c r="A7" s="18" t="str">
        <f>'Trends2000-1990'!AA6</f>
        <v>Buffalo</v>
      </c>
      <c r="B7" s="18">
        <f>'Summary-2000'!AB6</f>
        <v>23</v>
      </c>
      <c r="C7" s="18">
        <f>'Summary-2000'!AC6</f>
        <v>22</v>
      </c>
      <c r="D7" s="18">
        <f>'Summary-2000'!AD6</f>
        <v>48</v>
      </c>
      <c r="E7" s="18">
        <f>'Summary-2000'!AE6</f>
        <v>48</v>
      </c>
      <c r="F7" s="18">
        <f>'Summary-2000'!AF6</f>
        <v>48</v>
      </c>
      <c r="G7" s="18">
        <f>'Summary-2000'!AG6</f>
        <v>48</v>
      </c>
      <c r="H7" s="18"/>
      <c r="I7" s="18" t="str">
        <f t="shared" si="4"/>
        <v>Buffalo</v>
      </c>
      <c r="J7" s="18">
        <f>'Summary-1990'!AB6</f>
        <v>4</v>
      </c>
      <c r="K7" s="18">
        <f>'Summary-1990'!AC6</f>
        <v>19</v>
      </c>
      <c r="L7" s="18">
        <f>'Summary-1990'!AD6</f>
        <v>38</v>
      </c>
      <c r="M7" s="18">
        <f>'Summary-1990'!AE6</f>
        <v>38</v>
      </c>
      <c r="N7" s="18">
        <f>'Summary-1990'!AF6</f>
        <v>38</v>
      </c>
      <c r="O7" s="18">
        <f>'Summary-1990'!AG6</f>
        <v>38</v>
      </c>
      <c r="P7" s="18"/>
      <c r="Q7" s="18" t="str">
        <f t="shared" si="5"/>
        <v>Buffalo</v>
      </c>
      <c r="R7" s="18">
        <f t="shared" si="6"/>
        <v>19</v>
      </c>
      <c r="S7" s="18">
        <f t="shared" si="2"/>
        <v>3</v>
      </c>
      <c r="T7" s="18">
        <f t="shared" si="2"/>
        <v>10</v>
      </c>
      <c r="U7" s="18">
        <f t="shared" si="2"/>
        <v>10</v>
      </c>
      <c r="V7" s="18">
        <f t="shared" si="2"/>
        <v>10</v>
      </c>
      <c r="W7" s="18">
        <f t="shared" si="2"/>
        <v>10</v>
      </c>
      <c r="X7" s="18"/>
      <c r="Y7" s="29" t="str">
        <f t="shared" si="7"/>
        <v>Buffalo</v>
      </c>
      <c r="Z7" s="18">
        <f t="shared" si="8"/>
        <v>3</v>
      </c>
      <c r="AA7" s="18">
        <f t="shared" si="3"/>
        <v>26</v>
      </c>
      <c r="AB7" s="18">
        <f t="shared" si="3"/>
        <v>10</v>
      </c>
      <c r="AC7" s="18">
        <f t="shared" si="3"/>
        <v>3</v>
      </c>
      <c r="AD7" s="18">
        <f t="shared" si="3"/>
        <v>2</v>
      </c>
      <c r="AE7" s="18">
        <f t="shared" si="3"/>
        <v>2</v>
      </c>
    </row>
    <row r="8" spans="1:31">
      <c r="A8" s="18" t="str">
        <f>'Trends2000-1990'!AA7</f>
        <v>Charlotte</v>
      </c>
      <c r="B8" s="18">
        <f>'Summary-2000'!AB7</f>
        <v>22</v>
      </c>
      <c r="C8" s="18">
        <f>'Summary-2000'!AC7</f>
        <v>20</v>
      </c>
      <c r="D8" s="18">
        <f>'Summary-2000'!AD7</f>
        <v>19</v>
      </c>
      <c r="E8" s="18">
        <f>'Summary-2000'!AE7</f>
        <v>30</v>
      </c>
      <c r="F8" s="18">
        <f>'Summary-2000'!AF7</f>
        <v>30</v>
      </c>
      <c r="G8" s="18">
        <f>'Summary-2000'!AG7</f>
        <v>30</v>
      </c>
      <c r="H8" s="18"/>
      <c r="I8" s="18" t="str">
        <f t="shared" si="4"/>
        <v>Charlotte</v>
      </c>
      <c r="J8" s="18">
        <f>'Summary-1990'!AB7</f>
        <v>7</v>
      </c>
      <c r="K8" s="18">
        <f>'Summary-1990'!AC7</f>
        <v>10</v>
      </c>
      <c r="L8" s="18">
        <f>'Summary-1990'!AD7</f>
        <v>33</v>
      </c>
      <c r="M8" s="18">
        <f>'Summary-1990'!AE7</f>
        <v>33</v>
      </c>
      <c r="N8" s="18">
        <f>'Summary-1990'!AF7</f>
        <v>33</v>
      </c>
      <c r="O8" s="18">
        <f>'Summary-1990'!AG7</f>
        <v>33</v>
      </c>
      <c r="P8" s="18"/>
      <c r="Q8" s="18" t="str">
        <f t="shared" si="5"/>
        <v>Charlotte</v>
      </c>
      <c r="R8" s="18">
        <f t="shared" si="6"/>
        <v>15</v>
      </c>
      <c r="S8" s="18">
        <f t="shared" si="2"/>
        <v>10</v>
      </c>
      <c r="T8" s="18">
        <f t="shared" si="2"/>
        <v>-14</v>
      </c>
      <c r="U8" s="18">
        <f t="shared" si="2"/>
        <v>-3</v>
      </c>
      <c r="V8" s="18">
        <f t="shared" si="2"/>
        <v>-3</v>
      </c>
      <c r="W8" s="18">
        <f t="shared" si="2"/>
        <v>-3</v>
      </c>
      <c r="X8" s="18"/>
      <c r="Y8" s="29" t="str">
        <f t="shared" si="7"/>
        <v>Charlotte</v>
      </c>
      <c r="Z8" s="18">
        <f t="shared" si="8"/>
        <v>8</v>
      </c>
      <c r="AA8" s="18">
        <f t="shared" si="3"/>
        <v>13</v>
      </c>
      <c r="AB8" s="18">
        <f t="shared" si="3"/>
        <v>47</v>
      </c>
      <c r="AC8" s="18">
        <f t="shared" si="3"/>
        <v>34</v>
      </c>
      <c r="AD8" s="18">
        <f t="shared" si="3"/>
        <v>39</v>
      </c>
      <c r="AE8" s="18">
        <f t="shared" si="3"/>
        <v>40</v>
      </c>
    </row>
    <row r="9" spans="1:31">
      <c r="A9" s="18" t="str">
        <f>'Trends2000-1990'!AA8</f>
        <v>Chicago</v>
      </c>
      <c r="B9" s="18">
        <f>'Summary-2000'!AB8</f>
        <v>32</v>
      </c>
      <c r="C9" s="18">
        <f>'Summary-2000'!AC8</f>
        <v>29</v>
      </c>
      <c r="D9" s="18">
        <f>'Summary-2000'!AD8</f>
        <v>15</v>
      </c>
      <c r="E9" s="18">
        <f>'Summary-2000'!AE8</f>
        <v>7</v>
      </c>
      <c r="F9" s="18">
        <f>'Summary-2000'!AF8</f>
        <v>5</v>
      </c>
      <c r="G9" s="18">
        <f>'Summary-2000'!AG8</f>
        <v>3</v>
      </c>
      <c r="H9" s="18"/>
      <c r="I9" s="18" t="str">
        <f t="shared" si="4"/>
        <v>Chicago</v>
      </c>
      <c r="J9" s="18">
        <f>'Summary-1990'!AB8</f>
        <v>14</v>
      </c>
      <c r="K9" s="18">
        <f>'Summary-1990'!AC8</f>
        <v>6</v>
      </c>
      <c r="L9" s="18">
        <f>'Summary-1990'!AD8</f>
        <v>4</v>
      </c>
      <c r="M9" s="18">
        <f>'Summary-1990'!AE8</f>
        <v>2</v>
      </c>
      <c r="N9" s="18">
        <f>'Summary-1990'!AF8</f>
        <v>3</v>
      </c>
      <c r="O9" s="18">
        <f>'Summary-1990'!AG8</f>
        <v>3</v>
      </c>
      <c r="P9" s="18"/>
      <c r="Q9" s="18" t="str">
        <f t="shared" si="5"/>
        <v>Chicago</v>
      </c>
      <c r="R9" s="18">
        <f t="shared" si="6"/>
        <v>18</v>
      </c>
      <c r="S9" s="18">
        <f t="shared" si="2"/>
        <v>23</v>
      </c>
      <c r="T9" s="18">
        <f t="shared" si="2"/>
        <v>11</v>
      </c>
      <c r="U9" s="18">
        <f t="shared" si="2"/>
        <v>5</v>
      </c>
      <c r="V9" s="18">
        <f t="shared" si="2"/>
        <v>2</v>
      </c>
      <c r="W9" s="18">
        <f t="shared" si="2"/>
        <v>0</v>
      </c>
      <c r="X9" s="18"/>
      <c r="Y9" s="29" t="str">
        <f t="shared" si="7"/>
        <v>Chicago</v>
      </c>
      <c r="Z9" s="18">
        <f t="shared" si="8"/>
        <v>4</v>
      </c>
      <c r="AA9" s="18">
        <f t="shared" si="3"/>
        <v>4</v>
      </c>
      <c r="AB9" s="18">
        <f t="shared" si="3"/>
        <v>8</v>
      </c>
      <c r="AC9" s="18">
        <f t="shared" si="3"/>
        <v>10</v>
      </c>
      <c r="AD9" s="18">
        <f t="shared" si="3"/>
        <v>12</v>
      </c>
      <c r="AE9" s="18">
        <f t="shared" si="3"/>
        <v>24</v>
      </c>
    </row>
    <row r="10" spans="1:31">
      <c r="A10" s="18" t="str">
        <f>'Trends2000-1990'!AA9</f>
        <v>Cincinnati</v>
      </c>
      <c r="B10" s="18">
        <f>'Summary-2000'!AB9</f>
        <v>34</v>
      </c>
      <c r="C10" s="18">
        <f>'Summary-2000'!AC9</f>
        <v>28</v>
      </c>
      <c r="D10" s="18">
        <f>'Summary-2000'!AD9</f>
        <v>13</v>
      </c>
      <c r="E10" s="18">
        <f>'Summary-2000'!AE9</f>
        <v>24</v>
      </c>
      <c r="F10" s="18">
        <f>'Summary-2000'!AF9</f>
        <v>24</v>
      </c>
      <c r="G10" s="18">
        <f>'Summary-2000'!AG9</f>
        <v>24</v>
      </c>
      <c r="H10" s="18"/>
      <c r="I10" s="18" t="str">
        <f t="shared" si="4"/>
        <v>Cincinnati</v>
      </c>
      <c r="J10" s="18">
        <f>'Summary-1990'!AB9</f>
        <v>24</v>
      </c>
      <c r="K10" s="18">
        <f>'Summary-1990'!AC9</f>
        <v>16</v>
      </c>
      <c r="L10" s="18">
        <f>'Summary-1990'!AD9</f>
        <v>24</v>
      </c>
      <c r="M10" s="18">
        <f>'Summary-1990'!AE9</f>
        <v>24</v>
      </c>
      <c r="N10" s="18">
        <f>'Summary-1990'!AF9</f>
        <v>24</v>
      </c>
      <c r="O10" s="18">
        <f>'Summary-1990'!AG9</f>
        <v>24</v>
      </c>
      <c r="P10" s="18"/>
      <c r="Q10" s="18" t="str">
        <f t="shared" si="5"/>
        <v>Cincinnati</v>
      </c>
      <c r="R10" s="18">
        <f t="shared" si="6"/>
        <v>10</v>
      </c>
      <c r="S10" s="18">
        <f t="shared" si="2"/>
        <v>12</v>
      </c>
      <c r="T10" s="18">
        <f t="shared" si="2"/>
        <v>-11</v>
      </c>
      <c r="U10" s="18">
        <f t="shared" si="2"/>
        <v>0</v>
      </c>
      <c r="V10" s="18">
        <f t="shared" si="2"/>
        <v>0</v>
      </c>
      <c r="W10" s="18">
        <f t="shared" si="2"/>
        <v>0</v>
      </c>
      <c r="X10" s="18"/>
      <c r="Y10" s="29" t="str">
        <f t="shared" si="7"/>
        <v>Cincinnati</v>
      </c>
      <c r="Z10" s="18">
        <f t="shared" si="8"/>
        <v>11</v>
      </c>
      <c r="AA10" s="18">
        <f t="shared" si="3"/>
        <v>10</v>
      </c>
      <c r="AB10" s="18">
        <f t="shared" si="3"/>
        <v>42</v>
      </c>
      <c r="AC10" s="18">
        <f t="shared" si="3"/>
        <v>22</v>
      </c>
      <c r="AD10" s="18">
        <f t="shared" si="3"/>
        <v>25</v>
      </c>
      <c r="AE10" s="18">
        <f t="shared" si="3"/>
        <v>24</v>
      </c>
    </row>
    <row r="11" spans="1:31">
      <c r="A11" s="18" t="str">
        <f>'Trends2000-1990'!AA10</f>
        <v>Cleveland</v>
      </c>
      <c r="B11" s="18">
        <f>'Summary-2000'!AB10</f>
        <v>6</v>
      </c>
      <c r="C11" s="18">
        <f>'Summary-2000'!AC10</f>
        <v>5</v>
      </c>
      <c r="D11" s="18">
        <f>'Summary-2000'!AD10</f>
        <v>6</v>
      </c>
      <c r="E11" s="18">
        <f>'Summary-2000'!AE10</f>
        <v>18</v>
      </c>
      <c r="F11" s="18">
        <f>'Summary-2000'!AF10</f>
        <v>19</v>
      </c>
      <c r="G11" s="18">
        <f>'Summary-2000'!AG10</f>
        <v>19</v>
      </c>
      <c r="H11" s="18"/>
      <c r="I11" s="18" t="str">
        <f t="shared" si="4"/>
        <v>Cleveland</v>
      </c>
      <c r="J11" s="18">
        <f>'Summary-1990'!AB10</f>
        <v>8</v>
      </c>
      <c r="K11" s="18">
        <f>'Summary-1990'!AC10</f>
        <v>2</v>
      </c>
      <c r="L11" s="18">
        <f>'Summary-1990'!AD10</f>
        <v>9</v>
      </c>
      <c r="M11" s="18">
        <f>'Summary-1990'!AE10</f>
        <v>15</v>
      </c>
      <c r="N11" s="18">
        <f>'Summary-1990'!AF10</f>
        <v>15</v>
      </c>
      <c r="O11" s="18">
        <f>'Summary-1990'!AG10</f>
        <v>15</v>
      </c>
      <c r="P11" s="18"/>
      <c r="Q11" s="18" t="str">
        <f t="shared" si="5"/>
        <v>Cleveland</v>
      </c>
      <c r="R11" s="18">
        <f t="shared" si="6"/>
        <v>-2</v>
      </c>
      <c r="S11" s="18">
        <f t="shared" si="2"/>
        <v>3</v>
      </c>
      <c r="T11" s="18">
        <f t="shared" si="2"/>
        <v>-3</v>
      </c>
      <c r="U11" s="18">
        <f t="shared" si="2"/>
        <v>3</v>
      </c>
      <c r="V11" s="18">
        <f t="shared" si="2"/>
        <v>4</v>
      </c>
      <c r="W11" s="18">
        <f t="shared" si="2"/>
        <v>4</v>
      </c>
      <c r="X11" s="18"/>
      <c r="Y11" s="29" t="str">
        <f t="shared" si="7"/>
        <v>Cleveland</v>
      </c>
      <c r="Z11" s="18">
        <f t="shared" si="8"/>
        <v>30</v>
      </c>
      <c r="AA11" s="18">
        <f t="shared" si="3"/>
        <v>26</v>
      </c>
      <c r="AB11" s="18">
        <f t="shared" si="3"/>
        <v>28</v>
      </c>
      <c r="AC11" s="18">
        <f t="shared" si="3"/>
        <v>15</v>
      </c>
      <c r="AD11" s="18">
        <f t="shared" si="3"/>
        <v>8</v>
      </c>
      <c r="AE11" s="18">
        <f t="shared" si="3"/>
        <v>8</v>
      </c>
    </row>
    <row r="12" spans="1:31">
      <c r="A12" s="18" t="str">
        <f>'Trends2000-1990'!AA11</f>
        <v>Columbus</v>
      </c>
      <c r="B12" s="18">
        <f>'Summary-2000'!AB11</f>
        <v>5</v>
      </c>
      <c r="C12" s="18">
        <f>'Summary-2000'!AC11</f>
        <v>3</v>
      </c>
      <c r="D12" s="18">
        <f>'Summary-2000'!AD11</f>
        <v>25</v>
      </c>
      <c r="E12" s="18">
        <f>'Summary-2000'!AE11</f>
        <v>32</v>
      </c>
      <c r="F12" s="18">
        <f>'Summary-2000'!AF11</f>
        <v>32</v>
      </c>
      <c r="G12" s="18">
        <f>'Summary-2000'!AG11</f>
        <v>32</v>
      </c>
      <c r="H12" s="18"/>
      <c r="I12" s="18" t="str">
        <f t="shared" si="4"/>
        <v>Columbus</v>
      </c>
      <c r="J12" s="18">
        <f>'Summary-1990'!AB11</f>
        <v>11</v>
      </c>
      <c r="K12" s="18">
        <f>'Summary-1990'!AC11</f>
        <v>7</v>
      </c>
      <c r="L12" s="18">
        <f>'Summary-1990'!AD11</f>
        <v>31</v>
      </c>
      <c r="M12" s="18">
        <f>'Summary-1990'!AE11</f>
        <v>31</v>
      </c>
      <c r="N12" s="18">
        <f>'Summary-1990'!AF11</f>
        <v>31</v>
      </c>
      <c r="O12" s="18">
        <f>'Summary-1990'!AG11</f>
        <v>31</v>
      </c>
      <c r="P12" s="18"/>
      <c r="Q12" s="18" t="str">
        <f t="shared" si="5"/>
        <v>Columbus</v>
      </c>
      <c r="R12" s="18">
        <f t="shared" si="6"/>
        <v>-6</v>
      </c>
      <c r="S12" s="18">
        <f t="shared" si="2"/>
        <v>-4</v>
      </c>
      <c r="T12" s="18">
        <f t="shared" si="2"/>
        <v>-6</v>
      </c>
      <c r="U12" s="18">
        <f t="shared" si="2"/>
        <v>1</v>
      </c>
      <c r="V12" s="18">
        <f t="shared" si="2"/>
        <v>1</v>
      </c>
      <c r="W12" s="18">
        <f t="shared" si="2"/>
        <v>1</v>
      </c>
      <c r="X12" s="18"/>
      <c r="Y12" s="29" t="str">
        <f t="shared" si="7"/>
        <v>Columbus</v>
      </c>
      <c r="Z12" s="18">
        <f t="shared" si="8"/>
        <v>35</v>
      </c>
      <c r="AA12" s="18">
        <f t="shared" si="3"/>
        <v>34</v>
      </c>
      <c r="AB12" s="18">
        <f t="shared" si="3"/>
        <v>35</v>
      </c>
      <c r="AC12" s="18">
        <f t="shared" si="3"/>
        <v>19</v>
      </c>
      <c r="AD12" s="18">
        <f t="shared" si="3"/>
        <v>17</v>
      </c>
      <c r="AE12" s="18">
        <f t="shared" si="3"/>
        <v>16</v>
      </c>
    </row>
    <row r="13" spans="1:31">
      <c r="A13" s="18" t="str">
        <f>'Trends2000-1990'!AA12</f>
        <v>Dallas-Fort Worth</v>
      </c>
      <c r="B13" s="18">
        <f>'Summary-2000'!AB12</f>
        <v>17</v>
      </c>
      <c r="C13" s="18">
        <f>'Summary-2000'!AC12</f>
        <v>16</v>
      </c>
      <c r="D13" s="18">
        <f>'Summary-2000'!AD12</f>
        <v>5</v>
      </c>
      <c r="E13" s="18">
        <f>'Summary-2000'!AE12</f>
        <v>5</v>
      </c>
      <c r="F13" s="18">
        <f>'Summary-2000'!AF12</f>
        <v>4</v>
      </c>
      <c r="G13" s="18">
        <f>'Summary-2000'!AG12</f>
        <v>5</v>
      </c>
      <c r="H13" s="18"/>
      <c r="I13" s="18" t="str">
        <f t="shared" si="4"/>
        <v>Dallas-Fort Worth</v>
      </c>
      <c r="J13" s="18">
        <f>'Summary-1990'!AB12</f>
        <v>33</v>
      </c>
      <c r="K13" s="18">
        <f>'Summary-1990'!AC12</f>
        <v>29</v>
      </c>
      <c r="L13" s="18">
        <f>'Summary-1990'!AD12</f>
        <v>12</v>
      </c>
      <c r="M13" s="18">
        <f>'Summary-1990'!AE12</f>
        <v>8</v>
      </c>
      <c r="N13" s="18">
        <f>'Summary-1990'!AF12</f>
        <v>8</v>
      </c>
      <c r="O13" s="18">
        <f>'Summary-1990'!AG12</f>
        <v>8</v>
      </c>
      <c r="P13" s="18"/>
      <c r="Q13" s="18" t="str">
        <f t="shared" si="5"/>
        <v>Dallas-Fort Worth</v>
      </c>
      <c r="R13" s="18">
        <f t="shared" si="6"/>
        <v>-16</v>
      </c>
      <c r="S13" s="18">
        <f t="shared" si="2"/>
        <v>-13</v>
      </c>
      <c r="T13" s="18">
        <f t="shared" si="2"/>
        <v>-7</v>
      </c>
      <c r="U13" s="18">
        <f t="shared" si="2"/>
        <v>-3</v>
      </c>
      <c r="V13" s="18">
        <f t="shared" si="2"/>
        <v>-4</v>
      </c>
      <c r="W13" s="18">
        <f t="shared" si="2"/>
        <v>-3</v>
      </c>
      <c r="X13" s="18"/>
      <c r="Y13" s="29" t="str">
        <f t="shared" si="7"/>
        <v>Dallas-Fort Worth</v>
      </c>
      <c r="Z13" s="18">
        <f t="shared" si="8"/>
        <v>44</v>
      </c>
      <c r="AA13" s="18">
        <f t="shared" si="3"/>
        <v>41</v>
      </c>
      <c r="AB13" s="18">
        <f t="shared" si="3"/>
        <v>39</v>
      </c>
      <c r="AC13" s="18">
        <f t="shared" si="3"/>
        <v>34</v>
      </c>
      <c r="AD13" s="18">
        <f t="shared" si="3"/>
        <v>43</v>
      </c>
      <c r="AE13" s="18">
        <f t="shared" si="3"/>
        <v>40</v>
      </c>
    </row>
    <row r="14" spans="1:31">
      <c r="A14" s="18" t="str">
        <f>'Trends2000-1990'!AA13</f>
        <v>Denver</v>
      </c>
      <c r="B14" s="18">
        <f>'Summary-2000'!AB13</f>
        <v>20</v>
      </c>
      <c r="C14" s="18">
        <f>'Summary-2000'!AC13</f>
        <v>23</v>
      </c>
      <c r="D14" s="18">
        <f>'Summary-2000'!AD13</f>
        <v>11</v>
      </c>
      <c r="E14" s="18">
        <f>'Summary-2000'!AE13</f>
        <v>17</v>
      </c>
      <c r="F14" s="18">
        <f>'Summary-2000'!AF13</f>
        <v>18</v>
      </c>
      <c r="G14" s="18">
        <f>'Summary-2000'!AG13</f>
        <v>18</v>
      </c>
      <c r="H14" s="18"/>
      <c r="I14" s="18" t="str">
        <f t="shared" si="4"/>
        <v>Denver</v>
      </c>
      <c r="J14" s="18">
        <f>'Summary-1990'!AB13</f>
        <v>16</v>
      </c>
      <c r="K14" s="18">
        <f>'Summary-1990'!AC13</f>
        <v>8</v>
      </c>
      <c r="L14" s="18">
        <f>'Summary-1990'!AD13</f>
        <v>16</v>
      </c>
      <c r="M14" s="18">
        <f>'Summary-1990'!AE13</f>
        <v>20</v>
      </c>
      <c r="N14" s="18">
        <f>'Summary-1990'!AF13</f>
        <v>20</v>
      </c>
      <c r="O14" s="18">
        <f>'Summary-1990'!AG13</f>
        <v>20</v>
      </c>
      <c r="P14" s="18"/>
      <c r="Q14" s="18" t="str">
        <f t="shared" si="5"/>
        <v>Denver</v>
      </c>
      <c r="R14" s="18">
        <f t="shared" si="6"/>
        <v>4</v>
      </c>
      <c r="S14" s="18">
        <f t="shared" si="2"/>
        <v>15</v>
      </c>
      <c r="T14" s="18">
        <f t="shared" si="2"/>
        <v>-5</v>
      </c>
      <c r="U14" s="18">
        <f t="shared" si="2"/>
        <v>-3</v>
      </c>
      <c r="V14" s="18">
        <f t="shared" si="2"/>
        <v>-2</v>
      </c>
      <c r="W14" s="18">
        <f t="shared" si="2"/>
        <v>-2</v>
      </c>
      <c r="X14" s="18"/>
      <c r="Y14" s="29" t="str">
        <f t="shared" si="7"/>
        <v>Denver</v>
      </c>
      <c r="Z14" s="18">
        <f t="shared" si="8"/>
        <v>21</v>
      </c>
      <c r="AA14" s="18">
        <f t="shared" si="3"/>
        <v>8</v>
      </c>
      <c r="AB14" s="18">
        <f t="shared" si="3"/>
        <v>34</v>
      </c>
      <c r="AC14" s="18">
        <f t="shared" si="3"/>
        <v>34</v>
      </c>
      <c r="AD14" s="18">
        <f t="shared" si="3"/>
        <v>37</v>
      </c>
      <c r="AE14" s="18">
        <f t="shared" si="3"/>
        <v>36</v>
      </c>
    </row>
    <row r="15" spans="1:31">
      <c r="A15" s="18" t="str">
        <f>'Trends2000-1990'!AA14</f>
        <v>Detroit</v>
      </c>
      <c r="B15" s="18">
        <f>'Summary-2000'!AB14</f>
        <v>37</v>
      </c>
      <c r="C15" s="18">
        <f>'Summary-2000'!AC14</f>
        <v>37</v>
      </c>
      <c r="D15" s="18">
        <f>'Summary-2000'!AD14</f>
        <v>23</v>
      </c>
      <c r="E15" s="18">
        <f>'Summary-2000'!AE14</f>
        <v>12</v>
      </c>
      <c r="F15" s="18">
        <f>'Summary-2000'!AF14</f>
        <v>9</v>
      </c>
      <c r="G15" s="18">
        <f>'Summary-2000'!AG14</f>
        <v>10</v>
      </c>
      <c r="H15" s="18"/>
      <c r="I15" s="18" t="str">
        <f t="shared" si="4"/>
        <v>Detroit</v>
      </c>
      <c r="J15" s="18">
        <f>'Summary-1990'!AB14</f>
        <v>21</v>
      </c>
      <c r="K15" s="18">
        <f>'Summary-1990'!AC14</f>
        <v>13</v>
      </c>
      <c r="L15" s="18">
        <f>'Summary-1990'!AD14</f>
        <v>7</v>
      </c>
      <c r="M15" s="18">
        <f>'Summary-1990'!AE14</f>
        <v>7</v>
      </c>
      <c r="N15" s="18">
        <f>'Summary-1990'!AF14</f>
        <v>7</v>
      </c>
      <c r="O15" s="18">
        <f>'Summary-1990'!AG14</f>
        <v>7</v>
      </c>
      <c r="P15" s="18"/>
      <c r="Q15" s="18" t="str">
        <f t="shared" si="5"/>
        <v>Detroit</v>
      </c>
      <c r="R15" s="18">
        <f t="shared" si="6"/>
        <v>16</v>
      </c>
      <c r="S15" s="18">
        <f t="shared" si="2"/>
        <v>24</v>
      </c>
      <c r="T15" s="18">
        <f t="shared" si="2"/>
        <v>16</v>
      </c>
      <c r="U15" s="18">
        <f t="shared" si="2"/>
        <v>5</v>
      </c>
      <c r="V15" s="18">
        <f t="shared" si="2"/>
        <v>2</v>
      </c>
      <c r="W15" s="18">
        <f t="shared" si="2"/>
        <v>3</v>
      </c>
      <c r="X15" s="18"/>
      <c r="Y15" s="29" t="str">
        <f t="shared" si="7"/>
        <v>Detroit</v>
      </c>
      <c r="Z15" s="18">
        <f t="shared" si="8"/>
        <v>6</v>
      </c>
      <c r="AA15" s="18">
        <f t="shared" si="3"/>
        <v>2</v>
      </c>
      <c r="AB15" s="18">
        <f t="shared" si="3"/>
        <v>5</v>
      </c>
      <c r="AC15" s="18">
        <f t="shared" si="3"/>
        <v>10</v>
      </c>
      <c r="AD15" s="18">
        <f t="shared" si="3"/>
        <v>12</v>
      </c>
      <c r="AE15" s="18">
        <f t="shared" si="3"/>
        <v>11</v>
      </c>
    </row>
    <row r="16" spans="1:31">
      <c r="A16" s="18" t="str">
        <f>'Trends2000-1990'!AA15</f>
        <v>Grand Rapids</v>
      </c>
      <c r="B16" s="18">
        <f>'Summary-2000'!AB15</f>
        <v>8</v>
      </c>
      <c r="C16" s="18">
        <f>'Summary-2000'!AC15</f>
        <v>9</v>
      </c>
      <c r="D16" s="18">
        <f>'Summary-2000'!AD15</f>
        <v>45</v>
      </c>
      <c r="E16" s="18">
        <f>'Summary-2000'!AE15</f>
        <v>45</v>
      </c>
      <c r="F16" s="18">
        <f>'Summary-2000'!AF15</f>
        <v>45</v>
      </c>
      <c r="G16" s="18">
        <f>'Summary-2000'!AG15</f>
        <v>45</v>
      </c>
      <c r="H16" s="18"/>
      <c r="I16" s="18" t="str">
        <f t="shared" si="4"/>
        <v>Grand Rapids</v>
      </c>
      <c r="J16" s="18">
        <f>'Summary-1990'!AB15</f>
        <v>18</v>
      </c>
      <c r="K16" s="18">
        <f>'Summary-1990'!AC15</f>
        <v>47</v>
      </c>
      <c r="L16" s="18">
        <f>'Summary-1990'!AD15</f>
        <v>51</v>
      </c>
      <c r="M16" s="18">
        <f>'Summary-1990'!AE15</f>
        <v>51</v>
      </c>
      <c r="N16" s="18">
        <f>'Summary-1990'!AF15</f>
        <v>51</v>
      </c>
      <c r="O16" s="18">
        <f>'Summary-1990'!AG15</f>
        <v>51</v>
      </c>
      <c r="P16" s="18"/>
      <c r="Q16" s="18" t="str">
        <f t="shared" si="5"/>
        <v>Grand Rapids</v>
      </c>
      <c r="R16" s="18">
        <f t="shared" si="6"/>
        <v>-10</v>
      </c>
      <c r="S16" s="18">
        <f t="shared" si="2"/>
        <v>-38</v>
      </c>
      <c r="T16" s="18">
        <f t="shared" si="2"/>
        <v>-6</v>
      </c>
      <c r="U16" s="18">
        <f t="shared" si="2"/>
        <v>-6</v>
      </c>
      <c r="V16" s="18">
        <f t="shared" si="2"/>
        <v>-6</v>
      </c>
      <c r="W16" s="18">
        <f t="shared" si="2"/>
        <v>-6</v>
      </c>
      <c r="X16" s="18"/>
      <c r="Y16" s="29" t="str">
        <f t="shared" si="7"/>
        <v>Grand Rapids</v>
      </c>
      <c r="Z16" s="18">
        <f t="shared" si="8"/>
        <v>38</v>
      </c>
      <c r="AA16" s="18">
        <f t="shared" si="3"/>
        <v>51</v>
      </c>
      <c r="AB16" s="18">
        <f t="shared" si="3"/>
        <v>35</v>
      </c>
      <c r="AC16" s="18">
        <f t="shared" si="3"/>
        <v>45</v>
      </c>
      <c r="AD16" s="18">
        <f t="shared" si="3"/>
        <v>47</v>
      </c>
      <c r="AE16" s="18">
        <f t="shared" si="3"/>
        <v>47</v>
      </c>
    </row>
    <row r="17" spans="1:31">
      <c r="A17" s="18" t="str">
        <f>'Trends2000-1990'!AA16</f>
        <v>Virginia Beach</v>
      </c>
      <c r="B17" s="18">
        <f>'Summary-2000'!AB16</f>
        <v>51</v>
      </c>
      <c r="C17" s="18">
        <f>'Summary-2000'!AC16</f>
        <v>50</v>
      </c>
      <c r="D17" s="18">
        <f>'Summary-2000'!AD16</f>
        <v>40</v>
      </c>
      <c r="E17" s="18">
        <f>'Summary-2000'!AE16</f>
        <v>41</v>
      </c>
      <c r="F17" s="18">
        <f>'Summary-2000'!AF16</f>
        <v>41</v>
      </c>
      <c r="G17" s="18">
        <f>'Summary-2000'!AG16</f>
        <v>41</v>
      </c>
      <c r="H17" s="18"/>
      <c r="I17" s="18" t="str">
        <f t="shared" si="4"/>
        <v>Virginia Beach</v>
      </c>
      <c r="J17" s="18">
        <f>'Summary-1990'!AB16</f>
        <v>47</v>
      </c>
      <c r="K17" s="18">
        <f>'Summary-1990'!AC16</f>
        <v>46</v>
      </c>
      <c r="L17" s="18">
        <f>'Summary-1990'!AD16</f>
        <v>29</v>
      </c>
      <c r="M17" s="18">
        <f>'Summary-1990'!AE16</f>
        <v>29</v>
      </c>
      <c r="N17" s="18">
        <f>'Summary-1990'!AF16</f>
        <v>29</v>
      </c>
      <c r="O17" s="18">
        <f>'Summary-1990'!AG16</f>
        <v>29</v>
      </c>
      <c r="P17" s="18"/>
      <c r="Q17" s="18" t="str">
        <f t="shared" si="5"/>
        <v>Virginia Beach</v>
      </c>
      <c r="R17" s="18">
        <f t="shared" si="6"/>
        <v>4</v>
      </c>
      <c r="S17" s="18">
        <f t="shared" si="2"/>
        <v>4</v>
      </c>
      <c r="T17" s="18">
        <f t="shared" si="2"/>
        <v>11</v>
      </c>
      <c r="U17" s="18">
        <f t="shared" si="2"/>
        <v>12</v>
      </c>
      <c r="V17" s="18">
        <f t="shared" si="2"/>
        <v>12</v>
      </c>
      <c r="W17" s="18">
        <f t="shared" si="2"/>
        <v>12</v>
      </c>
      <c r="X17" s="18"/>
      <c r="Y17" s="29" t="str">
        <f t="shared" si="7"/>
        <v>Virginia Beach</v>
      </c>
      <c r="Z17" s="18">
        <f t="shared" si="8"/>
        <v>21</v>
      </c>
      <c r="AA17" s="18">
        <f t="shared" si="3"/>
        <v>23</v>
      </c>
      <c r="AB17" s="18">
        <f t="shared" si="3"/>
        <v>8</v>
      </c>
      <c r="AC17" s="18">
        <f t="shared" si="3"/>
        <v>1</v>
      </c>
      <c r="AD17" s="18">
        <f t="shared" si="3"/>
        <v>1</v>
      </c>
      <c r="AE17" s="18">
        <f t="shared" si="3"/>
        <v>1</v>
      </c>
    </row>
    <row r="18" spans="1:31">
      <c r="A18" s="18" t="str">
        <f>'Trends2000-1990'!AA17</f>
        <v>Hartford</v>
      </c>
      <c r="B18" s="18">
        <f>'Summary-2000'!AB17</f>
        <v>18</v>
      </c>
      <c r="C18" s="18">
        <f>'Summary-2000'!AC17</f>
        <v>13</v>
      </c>
      <c r="D18" s="18">
        <f>'Summary-2000'!AD17</f>
        <v>39</v>
      </c>
      <c r="E18" s="18">
        <f>'Summary-2000'!AE17</f>
        <v>42</v>
      </c>
      <c r="F18" s="18">
        <f>'Summary-2000'!AF17</f>
        <v>42</v>
      </c>
      <c r="G18" s="18">
        <f>'Summary-2000'!AG17</f>
        <v>42</v>
      </c>
      <c r="H18" s="18"/>
      <c r="I18" s="18" t="str">
        <f t="shared" si="4"/>
        <v>Hartford</v>
      </c>
      <c r="J18" s="18">
        <f>'Summary-1990'!AB17</f>
        <v>2</v>
      </c>
      <c r="K18" s="18">
        <f>'Summary-1990'!AC17</f>
        <v>15</v>
      </c>
      <c r="L18" s="18">
        <f>'Summary-1990'!AD17</f>
        <v>35</v>
      </c>
      <c r="M18" s="18">
        <f>'Summary-1990'!AE17</f>
        <v>35</v>
      </c>
      <c r="N18" s="18">
        <f>'Summary-1990'!AF17</f>
        <v>35</v>
      </c>
      <c r="O18" s="18">
        <f>'Summary-1990'!AG17</f>
        <v>35</v>
      </c>
      <c r="P18" s="18"/>
      <c r="Q18" s="18" t="str">
        <f t="shared" si="5"/>
        <v>Hartford</v>
      </c>
      <c r="R18" s="18">
        <f t="shared" si="6"/>
        <v>16</v>
      </c>
      <c r="S18" s="18">
        <f t="shared" si="2"/>
        <v>-2</v>
      </c>
      <c r="T18" s="18">
        <f t="shared" si="2"/>
        <v>4</v>
      </c>
      <c r="U18" s="18">
        <f t="shared" si="2"/>
        <v>7</v>
      </c>
      <c r="V18" s="18">
        <f t="shared" si="2"/>
        <v>7</v>
      </c>
      <c r="W18" s="18">
        <f t="shared" si="2"/>
        <v>7</v>
      </c>
      <c r="X18" s="18"/>
      <c r="Y18" s="29" t="str">
        <f t="shared" si="7"/>
        <v>Hartford</v>
      </c>
      <c r="Z18" s="18">
        <f t="shared" si="8"/>
        <v>6</v>
      </c>
      <c r="AA18" s="18">
        <f t="shared" si="3"/>
        <v>31</v>
      </c>
      <c r="AB18" s="18">
        <f t="shared" si="3"/>
        <v>18</v>
      </c>
      <c r="AC18" s="18">
        <f t="shared" si="3"/>
        <v>6</v>
      </c>
      <c r="AD18" s="18">
        <f t="shared" si="3"/>
        <v>5</v>
      </c>
      <c r="AE18" s="18">
        <f t="shared" si="3"/>
        <v>5</v>
      </c>
    </row>
    <row r="19" spans="1:31">
      <c r="A19" s="18" t="str">
        <f>'Trends2000-1990'!AA18</f>
        <v>Honolulu</v>
      </c>
      <c r="B19" s="18">
        <f>'Summary-2000'!AB18</f>
        <v>10</v>
      </c>
      <c r="C19" s="18">
        <f>'Summary-2000'!AC18</f>
        <v>41</v>
      </c>
      <c r="D19" s="18">
        <f>'Summary-2000'!AD18</f>
        <v>51</v>
      </c>
      <c r="E19" s="18">
        <f>'Summary-2000'!AE18</f>
        <v>51</v>
      </c>
      <c r="F19" s="18">
        <f>'Summary-2000'!AF18</f>
        <v>51</v>
      </c>
      <c r="G19" s="18">
        <f>'Summary-2000'!AG18</f>
        <v>51</v>
      </c>
      <c r="H19" s="18"/>
      <c r="I19" s="18" t="str">
        <f t="shared" si="4"/>
        <v>Honolulu</v>
      </c>
      <c r="J19" s="18">
        <f>'Summary-1990'!AB18</f>
        <v>5</v>
      </c>
      <c r="K19" s="18">
        <f>'Summary-1990'!AC18</f>
        <v>32</v>
      </c>
      <c r="L19" s="18">
        <f>'Summary-1990'!AD18</f>
        <v>47</v>
      </c>
      <c r="M19" s="18">
        <f>'Summary-1990'!AE18</f>
        <v>47</v>
      </c>
      <c r="N19" s="18">
        <f>'Summary-1990'!AF18</f>
        <v>47</v>
      </c>
      <c r="O19" s="18">
        <f>'Summary-1990'!AG18</f>
        <v>47</v>
      </c>
      <c r="P19" s="18"/>
      <c r="Q19" s="18" t="str">
        <f t="shared" si="5"/>
        <v>Honolulu</v>
      </c>
      <c r="R19" s="18">
        <f t="shared" si="6"/>
        <v>5</v>
      </c>
      <c r="S19" s="18">
        <f t="shared" si="2"/>
        <v>9</v>
      </c>
      <c r="T19" s="18">
        <f t="shared" si="2"/>
        <v>4</v>
      </c>
      <c r="U19" s="18">
        <f t="shared" si="2"/>
        <v>4</v>
      </c>
      <c r="V19" s="18">
        <f t="shared" si="2"/>
        <v>4</v>
      </c>
      <c r="W19" s="18">
        <f t="shared" si="2"/>
        <v>4</v>
      </c>
      <c r="X19" s="18"/>
      <c r="Y19" s="29" t="str">
        <f t="shared" si="7"/>
        <v>Honolulu</v>
      </c>
      <c r="Z19" s="18">
        <f t="shared" si="8"/>
        <v>19</v>
      </c>
      <c r="AA19" s="18">
        <f t="shared" si="8"/>
        <v>16</v>
      </c>
      <c r="AB19" s="18">
        <f t="shared" si="8"/>
        <v>18</v>
      </c>
      <c r="AC19" s="18">
        <f t="shared" si="8"/>
        <v>12</v>
      </c>
      <c r="AD19" s="18">
        <f t="shared" si="8"/>
        <v>8</v>
      </c>
      <c r="AE19" s="18">
        <f t="shared" si="8"/>
        <v>8</v>
      </c>
    </row>
    <row r="20" spans="1:31">
      <c r="A20" s="18" t="str">
        <f>'Trends2000-1990'!AA19</f>
        <v>Houston</v>
      </c>
      <c r="B20" s="18">
        <f>'Summary-2000'!AB19</f>
        <v>43</v>
      </c>
      <c r="C20" s="18">
        <f>'Summary-2000'!AC19</f>
        <v>44</v>
      </c>
      <c r="D20" s="18">
        <f>'Summary-2000'!AD19</f>
        <v>28</v>
      </c>
      <c r="E20" s="18">
        <f>'Summary-2000'!AE19</f>
        <v>14</v>
      </c>
      <c r="F20" s="18">
        <f>'Summary-2000'!AF19</f>
        <v>10</v>
      </c>
      <c r="G20" s="18">
        <f>'Summary-2000'!AG19</f>
        <v>11</v>
      </c>
      <c r="H20" s="18"/>
      <c r="I20" s="18" t="str">
        <f t="shared" si="4"/>
        <v>Houston</v>
      </c>
      <c r="J20" s="18">
        <f>'Summary-1990'!AB19</f>
        <v>37</v>
      </c>
      <c r="K20" s="18">
        <f>'Summary-1990'!AC19</f>
        <v>34</v>
      </c>
      <c r="L20" s="18">
        <f>'Summary-1990'!AD19</f>
        <v>14</v>
      </c>
      <c r="M20" s="18">
        <f>'Summary-1990'!AE19</f>
        <v>10</v>
      </c>
      <c r="N20" s="18">
        <f>'Summary-1990'!AF19</f>
        <v>10</v>
      </c>
      <c r="O20" s="18">
        <f>'Summary-1990'!AG19</f>
        <v>10</v>
      </c>
      <c r="P20" s="18"/>
      <c r="Q20" s="18" t="str">
        <f t="shared" si="5"/>
        <v>Houston</v>
      </c>
      <c r="R20" s="18">
        <f t="shared" si="6"/>
        <v>6</v>
      </c>
      <c r="S20" s="18">
        <f t="shared" si="2"/>
        <v>10</v>
      </c>
      <c r="T20" s="18">
        <f t="shared" si="2"/>
        <v>14</v>
      </c>
      <c r="U20" s="18">
        <f t="shared" si="2"/>
        <v>4</v>
      </c>
      <c r="V20" s="18">
        <f t="shared" si="2"/>
        <v>0</v>
      </c>
      <c r="W20" s="18">
        <f t="shared" si="2"/>
        <v>1</v>
      </c>
      <c r="X20" s="18"/>
      <c r="Y20" s="29" t="str">
        <f t="shared" si="7"/>
        <v>Houston</v>
      </c>
      <c r="Z20" s="18">
        <f t="shared" si="8"/>
        <v>17</v>
      </c>
      <c r="AA20" s="18">
        <f t="shared" si="8"/>
        <v>13</v>
      </c>
      <c r="AB20" s="18">
        <f t="shared" si="8"/>
        <v>6</v>
      </c>
      <c r="AC20" s="18">
        <f t="shared" si="8"/>
        <v>12</v>
      </c>
      <c r="AD20" s="18">
        <f t="shared" si="8"/>
        <v>25</v>
      </c>
      <c r="AE20" s="18">
        <f t="shared" si="8"/>
        <v>16</v>
      </c>
    </row>
    <row r="21" spans="1:31">
      <c r="A21" s="18" t="str">
        <f>'Trends2000-1990'!AA20</f>
        <v>Indianapolis</v>
      </c>
      <c r="B21" s="18">
        <f>'Summary-2000'!AB20</f>
        <v>38</v>
      </c>
      <c r="C21" s="18">
        <f>'Summary-2000'!AC20</f>
        <v>36</v>
      </c>
      <c r="D21" s="18">
        <f>'Summary-2000'!AD20</f>
        <v>21</v>
      </c>
      <c r="E21" s="18">
        <f>'Summary-2000'!AE20</f>
        <v>29</v>
      </c>
      <c r="F21" s="18">
        <f>'Summary-2000'!AF20</f>
        <v>29</v>
      </c>
      <c r="G21" s="18">
        <f>'Summary-2000'!AG20</f>
        <v>29</v>
      </c>
      <c r="H21" s="18"/>
      <c r="I21" s="18" t="str">
        <f t="shared" si="4"/>
        <v>Indianapolis</v>
      </c>
      <c r="J21" s="18">
        <f>'Summary-1990'!AB20</f>
        <v>30</v>
      </c>
      <c r="K21" s="18">
        <f>'Summary-1990'!AC20</f>
        <v>22</v>
      </c>
      <c r="L21" s="18">
        <f>'Summary-1990'!AD20</f>
        <v>32</v>
      </c>
      <c r="M21" s="18">
        <f>'Summary-1990'!AE20</f>
        <v>32</v>
      </c>
      <c r="N21" s="18">
        <f>'Summary-1990'!AF20</f>
        <v>32</v>
      </c>
      <c r="O21" s="18">
        <f>'Summary-1990'!AG20</f>
        <v>32</v>
      </c>
      <c r="P21" s="18"/>
      <c r="Q21" s="18" t="str">
        <f t="shared" si="5"/>
        <v>Indianapolis</v>
      </c>
      <c r="R21" s="18">
        <f t="shared" si="6"/>
        <v>8</v>
      </c>
      <c r="S21" s="18">
        <f t="shared" si="2"/>
        <v>14</v>
      </c>
      <c r="T21" s="18">
        <f t="shared" si="2"/>
        <v>-11</v>
      </c>
      <c r="U21" s="18">
        <f t="shared" si="2"/>
        <v>-3</v>
      </c>
      <c r="V21" s="18">
        <f t="shared" si="2"/>
        <v>-3</v>
      </c>
      <c r="W21" s="18">
        <f t="shared" si="2"/>
        <v>-3</v>
      </c>
      <c r="X21" s="18"/>
      <c r="Y21" s="29" t="str">
        <f t="shared" si="7"/>
        <v>Indianapolis</v>
      </c>
      <c r="Z21" s="18">
        <f t="shared" si="8"/>
        <v>15</v>
      </c>
      <c r="AA21" s="18">
        <f t="shared" si="8"/>
        <v>9</v>
      </c>
      <c r="AB21" s="18">
        <f t="shared" si="8"/>
        <v>42</v>
      </c>
      <c r="AC21" s="18">
        <f t="shared" si="8"/>
        <v>34</v>
      </c>
      <c r="AD21" s="18">
        <f t="shared" si="8"/>
        <v>39</v>
      </c>
      <c r="AE21" s="18">
        <f t="shared" si="8"/>
        <v>40</v>
      </c>
    </row>
    <row r="22" spans="1:31">
      <c r="A22" s="18" t="str">
        <f>'Trends2000-1990'!AA21</f>
        <v>Riverside</v>
      </c>
      <c r="B22" s="18">
        <f>'Summary-2000'!AB21</f>
        <v>13</v>
      </c>
      <c r="C22" s="18">
        <f>'Summary-2000'!AC21</f>
        <v>14</v>
      </c>
      <c r="D22" s="18">
        <f>'Summary-2000'!AD21</f>
        <v>14</v>
      </c>
      <c r="E22" s="18">
        <f>'Summary-2000'!AE21</f>
        <v>26</v>
      </c>
      <c r="F22" s="18">
        <f>'Summary-2000'!AF21</f>
        <v>26</v>
      </c>
      <c r="G22" s="18">
        <f>'Summary-2000'!AG21</f>
        <v>26</v>
      </c>
      <c r="H22" s="18"/>
      <c r="I22" s="18" t="str">
        <f t="shared" si="4"/>
        <v>Riverside</v>
      </c>
      <c r="J22" s="18">
        <f>'Summary-1990'!AB21</f>
        <v>26</v>
      </c>
      <c r="K22" s="18">
        <f>'Summary-1990'!AC21</f>
        <v>20</v>
      </c>
      <c r="L22" s="18">
        <f>'Summary-1990'!AD21</f>
        <v>26</v>
      </c>
      <c r="M22" s="18">
        <f>'Summary-1990'!AE21</f>
        <v>27</v>
      </c>
      <c r="N22" s="18">
        <f>'Summary-1990'!AF21</f>
        <v>27</v>
      </c>
      <c r="O22" s="18">
        <f>'Summary-1990'!AG21</f>
        <v>27</v>
      </c>
      <c r="P22" s="18"/>
      <c r="Q22" s="18" t="str">
        <f t="shared" si="5"/>
        <v>Riverside</v>
      </c>
      <c r="R22" s="18">
        <f t="shared" si="6"/>
        <v>-13</v>
      </c>
      <c r="S22" s="18">
        <f t="shared" si="2"/>
        <v>-6</v>
      </c>
      <c r="T22" s="18">
        <f t="shared" si="2"/>
        <v>-12</v>
      </c>
      <c r="U22" s="18">
        <f t="shared" si="2"/>
        <v>-1</v>
      </c>
      <c r="V22" s="18">
        <f t="shared" si="2"/>
        <v>-1</v>
      </c>
      <c r="W22" s="18">
        <f t="shared" si="2"/>
        <v>-1</v>
      </c>
      <c r="X22" s="18"/>
      <c r="Y22" s="29" t="str">
        <f t="shared" si="7"/>
        <v>Riverside</v>
      </c>
      <c r="Z22" s="18">
        <f t="shared" si="8"/>
        <v>40</v>
      </c>
      <c r="AA22" s="18">
        <f t="shared" si="8"/>
        <v>35</v>
      </c>
      <c r="AB22" s="18">
        <f t="shared" si="8"/>
        <v>45</v>
      </c>
      <c r="AC22" s="18">
        <f t="shared" si="8"/>
        <v>28</v>
      </c>
      <c r="AD22" s="18">
        <f t="shared" si="8"/>
        <v>29</v>
      </c>
      <c r="AE22" s="18">
        <f t="shared" si="8"/>
        <v>29</v>
      </c>
    </row>
    <row r="23" spans="1:31">
      <c r="A23" s="18" t="str">
        <f>'Trends2000-1990'!AA22</f>
        <v>Jacksonville</v>
      </c>
      <c r="B23" s="18">
        <f>'Summary-2000'!AB22</f>
        <v>48</v>
      </c>
      <c r="C23" s="18">
        <f>'Summary-2000'!AC22</f>
        <v>48</v>
      </c>
      <c r="D23" s="18">
        <f>'Summary-2000'!AD22</f>
        <v>47</v>
      </c>
      <c r="E23" s="18">
        <f>'Summary-2000'!AE22</f>
        <v>47</v>
      </c>
      <c r="F23" s="18">
        <f>'Summary-2000'!AF22</f>
        <v>47</v>
      </c>
      <c r="G23" s="18">
        <f>'Summary-2000'!AG22</f>
        <v>47</v>
      </c>
      <c r="H23" s="18"/>
      <c r="I23" s="18" t="str">
        <f t="shared" si="4"/>
        <v>Jacksonville</v>
      </c>
      <c r="J23" s="18">
        <f>'Summary-1990'!AB22</f>
        <v>51</v>
      </c>
      <c r="K23" s="18">
        <f>'Summary-1990'!AC22</f>
        <v>51</v>
      </c>
      <c r="L23" s="18">
        <f>'Summary-1990'!AD22</f>
        <v>46</v>
      </c>
      <c r="M23" s="18">
        <f>'Summary-1990'!AE22</f>
        <v>46</v>
      </c>
      <c r="N23" s="18">
        <f>'Summary-1990'!AF22</f>
        <v>46</v>
      </c>
      <c r="O23" s="18">
        <f>'Summary-1990'!AG22</f>
        <v>46</v>
      </c>
      <c r="P23" s="18"/>
      <c r="Q23" s="18" t="str">
        <f t="shared" si="5"/>
        <v>Jacksonville</v>
      </c>
      <c r="R23" s="18">
        <f t="shared" si="6"/>
        <v>-3</v>
      </c>
      <c r="S23" s="18">
        <f t="shared" si="2"/>
        <v>-3</v>
      </c>
      <c r="T23" s="18">
        <f t="shared" si="2"/>
        <v>1</v>
      </c>
      <c r="U23" s="18">
        <f t="shared" si="2"/>
        <v>1</v>
      </c>
      <c r="V23" s="18">
        <f t="shared" si="2"/>
        <v>1</v>
      </c>
      <c r="W23" s="18">
        <f t="shared" si="2"/>
        <v>1</v>
      </c>
      <c r="X23" s="18"/>
      <c r="Y23" s="29" t="str">
        <f t="shared" si="7"/>
        <v>Jacksonville</v>
      </c>
      <c r="Z23" s="18">
        <f t="shared" si="8"/>
        <v>32</v>
      </c>
      <c r="AA23" s="18">
        <f t="shared" si="8"/>
        <v>32</v>
      </c>
      <c r="AB23" s="18">
        <f t="shared" si="8"/>
        <v>22</v>
      </c>
      <c r="AC23" s="18">
        <f t="shared" si="8"/>
        <v>19</v>
      </c>
      <c r="AD23" s="18">
        <f t="shared" si="8"/>
        <v>17</v>
      </c>
      <c r="AE23" s="18">
        <f t="shared" si="8"/>
        <v>16</v>
      </c>
    </row>
    <row r="24" spans="1:31">
      <c r="A24" s="18" t="str">
        <f>'Trends2000-1990'!AA23</f>
        <v>Kansas City</v>
      </c>
      <c r="B24" s="18">
        <f>'Summary-2000'!AB23</f>
        <v>16</v>
      </c>
      <c r="C24" s="18">
        <f>'Summary-2000'!AC23</f>
        <v>11</v>
      </c>
      <c r="D24" s="18">
        <f>'Summary-2000'!AD23</f>
        <v>12</v>
      </c>
      <c r="E24" s="18">
        <f>'Summary-2000'!AE23</f>
        <v>25</v>
      </c>
      <c r="F24" s="18">
        <f>'Summary-2000'!AF23</f>
        <v>25</v>
      </c>
      <c r="G24" s="18">
        <f>'Summary-2000'!AG23</f>
        <v>25</v>
      </c>
      <c r="H24" s="18"/>
      <c r="I24" s="18" t="str">
        <f t="shared" si="4"/>
        <v>Kansas City</v>
      </c>
      <c r="J24" s="18">
        <f>'Summary-1990'!AB23</f>
        <v>48</v>
      </c>
      <c r="K24" s="18">
        <f>'Summary-1990'!AC23</f>
        <v>48</v>
      </c>
      <c r="L24" s="18">
        <f>'Summary-1990'!AD23</f>
        <v>27</v>
      </c>
      <c r="M24" s="18">
        <f>'Summary-1990'!AE23</f>
        <v>26</v>
      </c>
      <c r="N24" s="18">
        <f>'Summary-1990'!AF23</f>
        <v>26</v>
      </c>
      <c r="O24" s="18">
        <f>'Summary-1990'!AG23</f>
        <v>26</v>
      </c>
      <c r="P24" s="18"/>
      <c r="Q24" s="18" t="str">
        <f t="shared" si="5"/>
        <v>Kansas City</v>
      </c>
      <c r="R24" s="18">
        <f t="shared" si="6"/>
        <v>-32</v>
      </c>
      <c r="S24" s="18">
        <f t="shared" si="2"/>
        <v>-37</v>
      </c>
      <c r="T24" s="18">
        <f t="shared" si="2"/>
        <v>-15</v>
      </c>
      <c r="U24" s="18">
        <f t="shared" si="2"/>
        <v>-1</v>
      </c>
      <c r="V24" s="18">
        <f t="shared" si="2"/>
        <v>-1</v>
      </c>
      <c r="W24" s="18">
        <f t="shared" si="2"/>
        <v>-1</v>
      </c>
      <c r="X24" s="18"/>
      <c r="Y24" s="29" t="str">
        <f t="shared" si="7"/>
        <v>Kansas City</v>
      </c>
      <c r="Z24" s="18">
        <f t="shared" si="8"/>
        <v>51</v>
      </c>
      <c r="AA24" s="18">
        <f t="shared" si="8"/>
        <v>50</v>
      </c>
      <c r="AB24" s="18">
        <f t="shared" si="8"/>
        <v>49</v>
      </c>
      <c r="AC24" s="18">
        <f t="shared" si="8"/>
        <v>28</v>
      </c>
      <c r="AD24" s="18">
        <f t="shared" si="8"/>
        <v>29</v>
      </c>
      <c r="AE24" s="18">
        <f t="shared" si="8"/>
        <v>29</v>
      </c>
    </row>
    <row r="25" spans="1:31">
      <c r="A25" s="18" t="str">
        <f>'Trends2000-1990'!AA24</f>
        <v>Las Vegas</v>
      </c>
      <c r="B25" s="18">
        <f>'Summary-2000'!AB24</f>
        <v>14</v>
      </c>
      <c r="C25" s="18">
        <f>'Summary-2000'!AC24</f>
        <v>15</v>
      </c>
      <c r="D25" s="18">
        <f>'Summary-2000'!AD24</f>
        <v>29</v>
      </c>
      <c r="E25" s="18">
        <f>'Summary-2000'!AE24</f>
        <v>33</v>
      </c>
      <c r="F25" s="18">
        <f>'Summary-2000'!AF24</f>
        <v>33</v>
      </c>
      <c r="G25" s="18">
        <f>'Summary-2000'!AG24</f>
        <v>33</v>
      </c>
      <c r="H25" s="18"/>
      <c r="I25" s="18" t="str">
        <f t="shared" si="4"/>
        <v>Las Vegas</v>
      </c>
      <c r="J25" s="18">
        <f>'Summary-1990'!AB24</f>
        <v>34</v>
      </c>
      <c r="K25" s="18">
        <f>'Summary-1990'!AC24</f>
        <v>43</v>
      </c>
      <c r="L25" s="18">
        <f>'Summary-1990'!AD24</f>
        <v>50</v>
      </c>
      <c r="M25" s="18">
        <f>'Summary-1990'!AE24</f>
        <v>50</v>
      </c>
      <c r="N25" s="18">
        <f>'Summary-1990'!AF24</f>
        <v>50</v>
      </c>
      <c r="O25" s="18">
        <f>'Summary-1990'!AG24</f>
        <v>50</v>
      </c>
      <c r="P25" s="18"/>
      <c r="Q25" s="18" t="str">
        <f t="shared" si="5"/>
        <v>Las Vegas</v>
      </c>
      <c r="R25" s="18">
        <f t="shared" si="6"/>
        <v>-20</v>
      </c>
      <c r="S25" s="18">
        <f t="shared" si="2"/>
        <v>-28</v>
      </c>
      <c r="T25" s="18">
        <f t="shared" si="2"/>
        <v>-21</v>
      </c>
      <c r="U25" s="18">
        <f t="shared" si="2"/>
        <v>-17</v>
      </c>
      <c r="V25" s="18">
        <f t="shared" si="2"/>
        <v>-17</v>
      </c>
      <c r="W25" s="18">
        <f t="shared" si="2"/>
        <v>-17</v>
      </c>
      <c r="X25" s="18"/>
      <c r="Y25" s="29" t="str">
        <f t="shared" si="7"/>
        <v>Las Vegas</v>
      </c>
      <c r="Z25" s="18">
        <f t="shared" si="8"/>
        <v>46</v>
      </c>
      <c r="AA25" s="18">
        <f t="shared" si="8"/>
        <v>47</v>
      </c>
      <c r="AB25" s="18">
        <f t="shared" si="8"/>
        <v>51</v>
      </c>
      <c r="AC25" s="18">
        <f t="shared" si="8"/>
        <v>51</v>
      </c>
      <c r="AD25" s="18">
        <f t="shared" si="8"/>
        <v>51</v>
      </c>
      <c r="AE25" s="18">
        <f t="shared" si="8"/>
        <v>51</v>
      </c>
    </row>
    <row r="26" spans="1:31">
      <c r="A26" s="18" t="str">
        <f>'Trends2000-1990'!AA25</f>
        <v>Los Angeles</v>
      </c>
      <c r="B26" s="18">
        <f>'Summary-2000'!AB25</f>
        <v>4</v>
      </c>
      <c r="C26" s="18">
        <f>'Summary-2000'!AC25</f>
        <v>4</v>
      </c>
      <c r="D26" s="18">
        <f>'Summary-2000'!AD25</f>
        <v>2</v>
      </c>
      <c r="E26" s="18">
        <f>'Summary-2000'!AE25</f>
        <v>1</v>
      </c>
      <c r="F26" s="18">
        <f>'Summary-2000'!AF25</f>
        <v>1</v>
      </c>
      <c r="G26" s="18">
        <f>'Summary-2000'!AG25</f>
        <v>1</v>
      </c>
      <c r="H26" s="18"/>
      <c r="I26" s="18" t="str">
        <f t="shared" si="4"/>
        <v>Los Angeles</v>
      </c>
      <c r="J26" s="18">
        <f>'Summary-1990'!AB25</f>
        <v>19</v>
      </c>
      <c r="K26" s="18">
        <f>'Summary-1990'!AC25</f>
        <v>12</v>
      </c>
      <c r="L26" s="18">
        <f>'Summary-1990'!AD25</f>
        <v>6</v>
      </c>
      <c r="M26" s="18">
        <f>'Summary-1990'!AE25</f>
        <v>4</v>
      </c>
      <c r="N26" s="18">
        <f>'Summary-1990'!AF25</f>
        <v>2</v>
      </c>
      <c r="O26" s="18">
        <f>'Summary-1990'!AG25</f>
        <v>2</v>
      </c>
      <c r="P26" s="18"/>
      <c r="Q26" s="18" t="str">
        <f t="shared" si="5"/>
        <v>Los Angeles</v>
      </c>
      <c r="R26" s="18">
        <f t="shared" si="6"/>
        <v>-15</v>
      </c>
      <c r="S26" s="18">
        <f t="shared" si="2"/>
        <v>-8</v>
      </c>
      <c r="T26" s="18">
        <f t="shared" si="2"/>
        <v>-4</v>
      </c>
      <c r="U26" s="18">
        <f t="shared" si="2"/>
        <v>-3</v>
      </c>
      <c r="V26" s="18">
        <f t="shared" si="2"/>
        <v>-1</v>
      </c>
      <c r="W26" s="18">
        <f t="shared" si="2"/>
        <v>-1</v>
      </c>
      <c r="X26" s="18"/>
      <c r="Y26" s="29" t="str">
        <f t="shared" si="7"/>
        <v>Los Angeles</v>
      </c>
      <c r="Z26" s="18">
        <f t="shared" si="8"/>
        <v>43</v>
      </c>
      <c r="AA26" s="18">
        <f t="shared" si="8"/>
        <v>38</v>
      </c>
      <c r="AB26" s="18">
        <f t="shared" si="8"/>
        <v>31</v>
      </c>
      <c r="AC26" s="18">
        <f t="shared" si="8"/>
        <v>34</v>
      </c>
      <c r="AD26" s="18">
        <f t="shared" si="8"/>
        <v>29</v>
      </c>
      <c r="AE26" s="18">
        <f t="shared" si="8"/>
        <v>29</v>
      </c>
    </row>
    <row r="27" spans="1:31">
      <c r="A27" s="18" t="str">
        <f>'Trends2000-1990'!AA26</f>
        <v>Louisville</v>
      </c>
      <c r="B27" s="18">
        <f>'Summary-2000'!AB26</f>
        <v>42</v>
      </c>
      <c r="C27" s="18">
        <f>'Summary-2000'!AC26</f>
        <v>40</v>
      </c>
      <c r="D27" s="18">
        <f>'Summary-2000'!AD26</f>
        <v>46</v>
      </c>
      <c r="E27" s="18">
        <f>'Summary-2000'!AE26</f>
        <v>46</v>
      </c>
      <c r="F27" s="18">
        <f>'Summary-2000'!AF26</f>
        <v>46</v>
      </c>
      <c r="G27" s="18">
        <f>'Summary-2000'!AG26</f>
        <v>46</v>
      </c>
      <c r="H27" s="18"/>
      <c r="I27" s="18" t="str">
        <f t="shared" si="4"/>
        <v>Louisville</v>
      </c>
      <c r="J27" s="18">
        <f>'Summary-1990'!AB26</f>
        <v>38</v>
      </c>
      <c r="K27" s="18">
        <f>'Summary-1990'!AC26</f>
        <v>31</v>
      </c>
      <c r="L27" s="18">
        <f>'Summary-1990'!AD26</f>
        <v>45</v>
      </c>
      <c r="M27" s="18">
        <f>'Summary-1990'!AE26</f>
        <v>45</v>
      </c>
      <c r="N27" s="18">
        <f>'Summary-1990'!AF26</f>
        <v>45</v>
      </c>
      <c r="O27" s="18">
        <f>'Summary-1990'!AG26</f>
        <v>45</v>
      </c>
      <c r="P27" s="18"/>
      <c r="Q27" s="18" t="str">
        <f t="shared" si="5"/>
        <v>Louisville</v>
      </c>
      <c r="R27" s="18">
        <f t="shared" si="6"/>
        <v>4</v>
      </c>
      <c r="S27" s="18">
        <f t="shared" si="2"/>
        <v>9</v>
      </c>
      <c r="T27" s="18">
        <f t="shared" si="2"/>
        <v>1</v>
      </c>
      <c r="U27" s="18">
        <f t="shared" si="2"/>
        <v>1</v>
      </c>
      <c r="V27" s="18">
        <f t="shared" si="2"/>
        <v>1</v>
      </c>
      <c r="W27" s="18">
        <f t="shared" si="2"/>
        <v>1</v>
      </c>
      <c r="X27" s="18"/>
      <c r="Y27" s="29" t="str">
        <f t="shared" si="7"/>
        <v>Louisville</v>
      </c>
      <c r="Z27" s="18">
        <f t="shared" si="8"/>
        <v>21</v>
      </c>
      <c r="AA27" s="18">
        <f t="shared" si="8"/>
        <v>16</v>
      </c>
      <c r="AB27" s="18">
        <f t="shared" si="8"/>
        <v>22</v>
      </c>
      <c r="AC27" s="18">
        <f t="shared" si="8"/>
        <v>19</v>
      </c>
      <c r="AD27" s="18">
        <f t="shared" si="8"/>
        <v>17</v>
      </c>
      <c r="AE27" s="18">
        <f t="shared" si="8"/>
        <v>16</v>
      </c>
    </row>
    <row r="28" spans="1:31">
      <c r="A28" s="18" t="str">
        <f>'Trends2000-1990'!AA27</f>
        <v>Memphis</v>
      </c>
      <c r="B28" s="18">
        <f>'Summary-2000'!AB27</f>
        <v>40</v>
      </c>
      <c r="C28" s="18">
        <f>'Summary-2000'!AC27</f>
        <v>39</v>
      </c>
      <c r="D28" s="18">
        <f>'Summary-2000'!AD27</f>
        <v>43</v>
      </c>
      <c r="E28" s="18">
        <f>'Summary-2000'!AE27</f>
        <v>44</v>
      </c>
      <c r="F28" s="18">
        <f>'Summary-2000'!AF27</f>
        <v>44</v>
      </c>
      <c r="G28" s="18">
        <f>'Summary-2000'!AG27</f>
        <v>44</v>
      </c>
      <c r="H28" s="18"/>
      <c r="I28" s="18" t="str">
        <f t="shared" si="4"/>
        <v>Memphis</v>
      </c>
      <c r="J28" s="18">
        <f>'Summary-1990'!AB27</f>
        <v>36</v>
      </c>
      <c r="K28" s="18">
        <f>'Summary-1990'!AC27</f>
        <v>33</v>
      </c>
      <c r="L28" s="18">
        <f>'Summary-1990'!AD27</f>
        <v>44</v>
      </c>
      <c r="M28" s="18">
        <f>'Summary-1990'!AE27</f>
        <v>44</v>
      </c>
      <c r="N28" s="18">
        <f>'Summary-1990'!AF27</f>
        <v>44</v>
      </c>
      <c r="O28" s="18">
        <f>'Summary-1990'!AG27</f>
        <v>44</v>
      </c>
      <c r="P28" s="18"/>
      <c r="Q28" s="18" t="str">
        <f t="shared" si="5"/>
        <v>Memphis</v>
      </c>
      <c r="R28" s="18">
        <f t="shared" si="6"/>
        <v>4</v>
      </c>
      <c r="S28" s="18">
        <f t="shared" si="2"/>
        <v>6</v>
      </c>
      <c r="T28" s="18">
        <f t="shared" si="2"/>
        <v>-1</v>
      </c>
      <c r="U28" s="18">
        <f t="shared" si="2"/>
        <v>0</v>
      </c>
      <c r="V28" s="18">
        <f t="shared" si="2"/>
        <v>0</v>
      </c>
      <c r="W28" s="18">
        <f t="shared" si="2"/>
        <v>0</v>
      </c>
      <c r="X28" s="18"/>
      <c r="Y28" s="29" t="str">
        <f t="shared" si="7"/>
        <v>Memphis</v>
      </c>
      <c r="Z28" s="18">
        <f t="shared" si="8"/>
        <v>21</v>
      </c>
      <c r="AA28" s="18">
        <f t="shared" si="8"/>
        <v>21</v>
      </c>
      <c r="AB28" s="18">
        <f t="shared" si="8"/>
        <v>25</v>
      </c>
      <c r="AC28" s="18">
        <f t="shared" si="8"/>
        <v>22</v>
      </c>
      <c r="AD28" s="18">
        <f t="shared" si="8"/>
        <v>25</v>
      </c>
      <c r="AE28" s="18">
        <f t="shared" si="8"/>
        <v>24</v>
      </c>
    </row>
    <row r="29" spans="1:31">
      <c r="A29" s="18" t="str">
        <f>'Trends2000-1990'!AA28</f>
        <v>Milwaukee</v>
      </c>
      <c r="B29" s="18">
        <f>'Summary-2000'!AB28</f>
        <v>19</v>
      </c>
      <c r="C29" s="18">
        <f>'Summary-2000'!AC28</f>
        <v>17</v>
      </c>
      <c r="D29" s="18">
        <f>'Summary-2000'!AD28</f>
        <v>22</v>
      </c>
      <c r="E29" s="18">
        <f>'Summary-2000'!AE28</f>
        <v>31</v>
      </c>
      <c r="F29" s="18">
        <f>'Summary-2000'!AF28</f>
        <v>31</v>
      </c>
      <c r="G29" s="18">
        <f>'Summary-2000'!AG28</f>
        <v>31</v>
      </c>
      <c r="H29" s="18"/>
      <c r="I29" s="18" t="str">
        <f t="shared" si="4"/>
        <v>Milwaukee</v>
      </c>
      <c r="J29" s="18">
        <f>'Summary-1990'!AB28</f>
        <v>22</v>
      </c>
      <c r="K29" s="18">
        <f>'Summary-1990'!AC28</f>
        <v>14</v>
      </c>
      <c r="L29" s="18">
        <f>'Summary-1990'!AD28</f>
        <v>25</v>
      </c>
      <c r="M29" s="18">
        <f>'Summary-1990'!AE28</f>
        <v>25</v>
      </c>
      <c r="N29" s="18">
        <f>'Summary-1990'!AF28</f>
        <v>25</v>
      </c>
      <c r="O29" s="18">
        <f>'Summary-1990'!AG28</f>
        <v>25</v>
      </c>
      <c r="P29" s="18"/>
      <c r="Q29" s="18" t="str">
        <f t="shared" si="5"/>
        <v>Milwaukee</v>
      </c>
      <c r="R29" s="18">
        <f t="shared" si="6"/>
        <v>-3</v>
      </c>
      <c r="S29" s="18">
        <f t="shared" si="2"/>
        <v>3</v>
      </c>
      <c r="T29" s="18">
        <f t="shared" si="2"/>
        <v>-3</v>
      </c>
      <c r="U29" s="18">
        <f t="shared" si="2"/>
        <v>6</v>
      </c>
      <c r="V29" s="18">
        <f t="shared" si="2"/>
        <v>6</v>
      </c>
      <c r="W29" s="18">
        <f t="shared" si="2"/>
        <v>6</v>
      </c>
      <c r="X29" s="18"/>
      <c r="Y29" s="29" t="str">
        <f t="shared" si="7"/>
        <v>Milwaukee</v>
      </c>
      <c r="Z29" s="18">
        <f t="shared" si="8"/>
        <v>32</v>
      </c>
      <c r="AA29" s="18">
        <f t="shared" si="8"/>
        <v>26</v>
      </c>
      <c r="AB29" s="18">
        <f t="shared" si="8"/>
        <v>28</v>
      </c>
      <c r="AC29" s="18">
        <f t="shared" si="8"/>
        <v>9</v>
      </c>
      <c r="AD29" s="18">
        <f t="shared" si="8"/>
        <v>7</v>
      </c>
      <c r="AE29" s="18">
        <f t="shared" si="8"/>
        <v>7</v>
      </c>
    </row>
    <row r="30" spans="1:31">
      <c r="A30" s="18" t="str">
        <f>'Trends2000-1990'!AA29</f>
        <v>Minneapolis</v>
      </c>
      <c r="B30" s="18">
        <f>'Summary-2000'!AB29</f>
        <v>21</v>
      </c>
      <c r="C30" s="18">
        <f>'Summary-2000'!AC29</f>
        <v>19</v>
      </c>
      <c r="D30" s="18">
        <f>'Summary-2000'!AD29</f>
        <v>7</v>
      </c>
      <c r="E30" s="18">
        <f>'Summary-2000'!AE29</f>
        <v>6</v>
      </c>
      <c r="F30" s="18">
        <f>'Summary-2000'!AF29</f>
        <v>11</v>
      </c>
      <c r="G30" s="18">
        <f>'Summary-2000'!AG29</f>
        <v>12</v>
      </c>
      <c r="H30" s="18"/>
      <c r="I30" s="18" t="str">
        <f t="shared" si="4"/>
        <v>Minneapolis</v>
      </c>
      <c r="J30" s="18">
        <f>'Summary-1990'!AB29</f>
        <v>42</v>
      </c>
      <c r="K30" s="18">
        <f>'Summary-1990'!AC29</f>
        <v>41</v>
      </c>
      <c r="L30" s="18">
        <f>'Summary-1990'!AD29</f>
        <v>20</v>
      </c>
      <c r="M30" s="18">
        <f>'Summary-1990'!AE29</f>
        <v>14</v>
      </c>
      <c r="N30" s="18">
        <f>'Summary-1990'!AF29</f>
        <v>14</v>
      </c>
      <c r="O30" s="18">
        <f>'Summary-1990'!AG29</f>
        <v>14</v>
      </c>
      <c r="P30" s="18"/>
      <c r="Q30" s="18" t="str">
        <f t="shared" si="5"/>
        <v>Minneapolis</v>
      </c>
      <c r="R30" s="18">
        <f t="shared" si="6"/>
        <v>-21</v>
      </c>
      <c r="S30" s="18">
        <f t="shared" si="2"/>
        <v>-22</v>
      </c>
      <c r="T30" s="18">
        <f t="shared" si="2"/>
        <v>-13</v>
      </c>
      <c r="U30" s="18">
        <f t="shared" si="2"/>
        <v>-8</v>
      </c>
      <c r="V30" s="18">
        <f t="shared" si="2"/>
        <v>-3</v>
      </c>
      <c r="W30" s="18">
        <f t="shared" si="2"/>
        <v>-2</v>
      </c>
      <c r="X30" s="18"/>
      <c r="Y30" s="29" t="str">
        <f t="shared" si="7"/>
        <v>Minneapolis</v>
      </c>
      <c r="Z30" s="18">
        <f t="shared" si="8"/>
        <v>49</v>
      </c>
      <c r="AA30" s="18">
        <f t="shared" si="8"/>
        <v>45</v>
      </c>
      <c r="AB30" s="18">
        <f t="shared" si="8"/>
        <v>46</v>
      </c>
      <c r="AC30" s="18">
        <f t="shared" si="8"/>
        <v>47</v>
      </c>
      <c r="AD30" s="18">
        <f t="shared" si="8"/>
        <v>39</v>
      </c>
      <c r="AE30" s="18">
        <f t="shared" si="8"/>
        <v>36</v>
      </c>
    </row>
    <row r="31" spans="1:31">
      <c r="A31" s="18" t="str">
        <f>'Trends2000-1990'!AA30</f>
        <v>Nashville</v>
      </c>
      <c r="B31" s="18">
        <f>'Summary-2000'!AB30</f>
        <v>33</v>
      </c>
      <c r="C31" s="18">
        <f>'Summary-2000'!AC30</f>
        <v>31</v>
      </c>
      <c r="D31" s="18">
        <f>'Summary-2000'!AD30</f>
        <v>32</v>
      </c>
      <c r="E31" s="18">
        <f>'Summary-2000'!AE30</f>
        <v>35</v>
      </c>
      <c r="F31" s="18">
        <f>'Summary-2000'!AF30</f>
        <v>35</v>
      </c>
      <c r="G31" s="18">
        <f>'Summary-2000'!AG30</f>
        <v>35</v>
      </c>
      <c r="H31" s="18"/>
      <c r="I31" s="18" t="str">
        <f t="shared" si="4"/>
        <v>Nashville</v>
      </c>
      <c r="J31" s="18">
        <f>'Summary-1990'!AB30</f>
        <v>49</v>
      </c>
      <c r="K31" s="18">
        <f>'Summary-1990'!AC30</f>
        <v>49</v>
      </c>
      <c r="L31" s="18">
        <f>'Summary-1990'!AD30</f>
        <v>40</v>
      </c>
      <c r="M31" s="18">
        <f>'Summary-1990'!AE30</f>
        <v>40</v>
      </c>
      <c r="N31" s="18">
        <f>'Summary-1990'!AF30</f>
        <v>40</v>
      </c>
      <c r="O31" s="18">
        <f>'Summary-1990'!AG30</f>
        <v>40</v>
      </c>
      <c r="P31" s="18"/>
      <c r="Q31" s="18" t="str">
        <f t="shared" si="5"/>
        <v>Nashville</v>
      </c>
      <c r="R31" s="18">
        <f t="shared" si="6"/>
        <v>-16</v>
      </c>
      <c r="S31" s="18">
        <f t="shared" si="2"/>
        <v>-18</v>
      </c>
      <c r="T31" s="18">
        <f t="shared" si="2"/>
        <v>-8</v>
      </c>
      <c r="U31" s="18">
        <f t="shared" si="2"/>
        <v>-5</v>
      </c>
      <c r="V31" s="18">
        <f t="shared" si="2"/>
        <v>-5</v>
      </c>
      <c r="W31" s="18">
        <f t="shared" si="2"/>
        <v>-5</v>
      </c>
      <c r="X31" s="18"/>
      <c r="Y31" s="29" t="str">
        <f t="shared" si="7"/>
        <v>Nashville</v>
      </c>
      <c r="Z31" s="18">
        <f t="shared" si="8"/>
        <v>44</v>
      </c>
      <c r="AA31" s="18">
        <f t="shared" si="8"/>
        <v>44</v>
      </c>
      <c r="AB31" s="18">
        <f t="shared" si="8"/>
        <v>40</v>
      </c>
      <c r="AC31" s="18">
        <f t="shared" si="8"/>
        <v>43</v>
      </c>
      <c r="AD31" s="18">
        <f t="shared" si="8"/>
        <v>46</v>
      </c>
      <c r="AE31" s="18">
        <f t="shared" si="8"/>
        <v>46</v>
      </c>
    </row>
    <row r="32" spans="1:31">
      <c r="A32" s="18" t="str">
        <f>'Trends2000-1990'!AA31</f>
        <v>New Orleans</v>
      </c>
      <c r="B32" s="18">
        <f>'Summary-2000'!AB31</f>
        <v>3</v>
      </c>
      <c r="C32" s="18">
        <f>'Summary-2000'!AC31</f>
        <v>8</v>
      </c>
      <c r="D32" s="18">
        <f>'Summary-2000'!AD31</f>
        <v>42</v>
      </c>
      <c r="E32" s="18">
        <f>'Summary-2000'!AE31</f>
        <v>43</v>
      </c>
      <c r="F32" s="18">
        <f>'Summary-2000'!AF31</f>
        <v>43</v>
      </c>
      <c r="G32" s="18">
        <f>'Summary-2000'!AG31</f>
        <v>43</v>
      </c>
      <c r="H32" s="18"/>
      <c r="I32" s="18" t="str">
        <f t="shared" si="4"/>
        <v>New Orleans</v>
      </c>
      <c r="J32" s="18">
        <f>'Summary-1990'!AB31</f>
        <v>23</v>
      </c>
      <c r="K32" s="18">
        <f>'Summary-1990'!AC31</f>
        <v>21</v>
      </c>
      <c r="L32" s="18">
        <f>'Summary-1990'!AD31</f>
        <v>39</v>
      </c>
      <c r="M32" s="18">
        <f>'Summary-1990'!AE31</f>
        <v>39</v>
      </c>
      <c r="N32" s="18">
        <f>'Summary-1990'!AF31</f>
        <v>39</v>
      </c>
      <c r="O32" s="18">
        <f>'Summary-1990'!AG31</f>
        <v>39</v>
      </c>
      <c r="P32" s="18"/>
      <c r="Q32" s="18" t="str">
        <f t="shared" si="5"/>
        <v>New Orleans</v>
      </c>
      <c r="R32" s="18">
        <f t="shared" si="6"/>
        <v>-20</v>
      </c>
      <c r="S32" s="18">
        <f t="shared" si="2"/>
        <v>-13</v>
      </c>
      <c r="T32" s="18">
        <f t="shared" si="2"/>
        <v>3</v>
      </c>
      <c r="U32" s="18">
        <f t="shared" si="2"/>
        <v>4</v>
      </c>
      <c r="V32" s="18">
        <f t="shared" si="2"/>
        <v>4</v>
      </c>
      <c r="W32" s="18">
        <f t="shared" si="2"/>
        <v>4</v>
      </c>
      <c r="X32" s="18"/>
      <c r="Y32" s="29" t="str">
        <f t="shared" si="7"/>
        <v>New Orleans</v>
      </c>
      <c r="Z32" s="18">
        <f t="shared" si="8"/>
        <v>46</v>
      </c>
      <c r="AA32" s="18">
        <f t="shared" si="8"/>
        <v>41</v>
      </c>
      <c r="AB32" s="18">
        <f t="shared" si="8"/>
        <v>20</v>
      </c>
      <c r="AC32" s="18">
        <f t="shared" si="8"/>
        <v>12</v>
      </c>
      <c r="AD32" s="18">
        <f t="shared" si="8"/>
        <v>8</v>
      </c>
      <c r="AE32" s="18">
        <f t="shared" si="8"/>
        <v>8</v>
      </c>
    </row>
    <row r="33" spans="1:31">
      <c r="A33" s="18" t="str">
        <f>'Trends2000-1990'!AA32</f>
        <v>New York</v>
      </c>
      <c r="B33" s="18">
        <f>'Summary-2000'!AB32</f>
        <v>15</v>
      </c>
      <c r="C33" s="18">
        <f>'Summary-2000'!AC32</f>
        <v>10</v>
      </c>
      <c r="D33" s="18">
        <f>'Summary-2000'!AD32</f>
        <v>4</v>
      </c>
      <c r="E33" s="18">
        <f>'Summary-2000'!AE32</f>
        <v>3</v>
      </c>
      <c r="F33" s="18">
        <f>'Summary-2000'!AF32</f>
        <v>2</v>
      </c>
      <c r="G33" s="18">
        <f>'Summary-2000'!AG32</f>
        <v>2</v>
      </c>
      <c r="H33" s="18"/>
      <c r="I33" s="18" t="str">
        <f t="shared" si="4"/>
        <v>New York</v>
      </c>
      <c r="J33" s="18">
        <f>'Summary-1990'!AB32</f>
        <v>10</v>
      </c>
      <c r="K33" s="18">
        <f>'Summary-1990'!AC32</f>
        <v>4</v>
      </c>
      <c r="L33" s="18">
        <f>'Summary-1990'!AD32</f>
        <v>2</v>
      </c>
      <c r="M33" s="18">
        <f>'Summary-1990'!AE32</f>
        <v>1</v>
      </c>
      <c r="N33" s="18">
        <f>'Summary-1990'!AF32</f>
        <v>1</v>
      </c>
      <c r="O33" s="18">
        <f>'Summary-1990'!AG32</f>
        <v>1</v>
      </c>
      <c r="P33" s="18"/>
      <c r="Q33" s="18" t="str">
        <f t="shared" si="5"/>
        <v>New York</v>
      </c>
      <c r="R33" s="18">
        <f t="shared" si="6"/>
        <v>5</v>
      </c>
      <c r="S33" s="18">
        <f t="shared" si="2"/>
        <v>6</v>
      </c>
      <c r="T33" s="18">
        <f t="shared" si="2"/>
        <v>2</v>
      </c>
      <c r="U33" s="18">
        <f t="shared" si="2"/>
        <v>2</v>
      </c>
      <c r="V33" s="18">
        <f t="shared" si="2"/>
        <v>1</v>
      </c>
      <c r="W33" s="18">
        <f t="shared" si="2"/>
        <v>1</v>
      </c>
      <c r="X33" s="18"/>
      <c r="Y33" s="29" t="str">
        <f t="shared" si="7"/>
        <v>New York</v>
      </c>
      <c r="Z33" s="18">
        <f t="shared" si="8"/>
        <v>19</v>
      </c>
      <c r="AA33" s="18">
        <f t="shared" si="8"/>
        <v>21</v>
      </c>
      <c r="AB33" s="18">
        <f t="shared" si="8"/>
        <v>21</v>
      </c>
      <c r="AC33" s="18">
        <f t="shared" si="8"/>
        <v>17</v>
      </c>
      <c r="AD33" s="18">
        <f t="shared" si="8"/>
        <v>17</v>
      </c>
      <c r="AE33" s="18">
        <f t="shared" si="8"/>
        <v>16</v>
      </c>
    </row>
    <row r="34" spans="1:31">
      <c r="A34" s="18" t="str">
        <f>'Trends2000-1990'!AA33</f>
        <v>Oklahoma City</v>
      </c>
      <c r="B34" s="18">
        <f>'Summary-2000'!AB33</f>
        <v>30</v>
      </c>
      <c r="C34" s="18">
        <f>'Summary-2000'!AC33</f>
        <v>27</v>
      </c>
      <c r="D34" s="18">
        <f>'Summary-2000'!AD33</f>
        <v>50</v>
      </c>
      <c r="E34" s="18">
        <f>'Summary-2000'!AE33</f>
        <v>50</v>
      </c>
      <c r="F34" s="18">
        <f>'Summary-2000'!AF33</f>
        <v>50</v>
      </c>
      <c r="G34" s="18">
        <f>'Summary-2000'!AG33</f>
        <v>50</v>
      </c>
      <c r="H34" s="18"/>
      <c r="I34" s="18" t="str">
        <f t="shared" si="4"/>
        <v>Oklahoma City</v>
      </c>
      <c r="J34" s="18">
        <f>'Summary-1990'!AB33</f>
        <v>50</v>
      </c>
      <c r="K34" s="18">
        <f>'Summary-1990'!AC33</f>
        <v>50</v>
      </c>
      <c r="L34" s="18">
        <f>'Summary-1990'!AD33</f>
        <v>43</v>
      </c>
      <c r="M34" s="18">
        <f>'Summary-1990'!AE33</f>
        <v>43</v>
      </c>
      <c r="N34" s="18">
        <f>'Summary-1990'!AF33</f>
        <v>43</v>
      </c>
      <c r="O34" s="18">
        <f>'Summary-1990'!AG33</f>
        <v>43</v>
      </c>
      <c r="P34" s="18"/>
      <c r="Q34" s="18" t="str">
        <f t="shared" si="5"/>
        <v>Oklahoma City</v>
      </c>
      <c r="R34" s="18">
        <f t="shared" si="6"/>
        <v>-20</v>
      </c>
      <c r="S34" s="18">
        <f t="shared" si="2"/>
        <v>-23</v>
      </c>
      <c r="T34" s="18">
        <f t="shared" si="2"/>
        <v>7</v>
      </c>
      <c r="U34" s="18">
        <f t="shared" si="2"/>
        <v>7</v>
      </c>
      <c r="V34" s="18">
        <f t="shared" si="2"/>
        <v>7</v>
      </c>
      <c r="W34" s="18">
        <f t="shared" si="2"/>
        <v>7</v>
      </c>
      <c r="X34" s="18"/>
      <c r="Y34" s="29" t="str">
        <f t="shared" si="7"/>
        <v>Oklahoma City</v>
      </c>
      <c r="Z34" s="18">
        <f t="shared" si="8"/>
        <v>46</v>
      </c>
      <c r="AA34" s="18">
        <f t="shared" si="8"/>
        <v>46</v>
      </c>
      <c r="AB34" s="18">
        <f t="shared" si="8"/>
        <v>14</v>
      </c>
      <c r="AC34" s="18">
        <f t="shared" si="8"/>
        <v>6</v>
      </c>
      <c r="AD34" s="18">
        <f t="shared" si="8"/>
        <v>5</v>
      </c>
      <c r="AE34" s="18">
        <f t="shared" si="8"/>
        <v>5</v>
      </c>
    </row>
    <row r="35" spans="1:31">
      <c r="A35" s="18" t="str">
        <f>'Trends2000-1990'!AA34</f>
        <v>Orlando</v>
      </c>
      <c r="B35" s="18">
        <f>'Summary-2000'!AB34</f>
        <v>46</v>
      </c>
      <c r="C35" s="18">
        <f>'Summary-2000'!AC34</f>
        <v>45</v>
      </c>
      <c r="D35" s="18">
        <f>'Summary-2000'!AD34</f>
        <v>30</v>
      </c>
      <c r="E35" s="18">
        <f>'Summary-2000'!AE34</f>
        <v>28</v>
      </c>
      <c r="F35" s="18">
        <f>'Summary-2000'!AF34</f>
        <v>28</v>
      </c>
      <c r="G35" s="18">
        <f>'Summary-2000'!AG34</f>
        <v>28</v>
      </c>
      <c r="H35" s="18"/>
      <c r="I35" s="18" t="str">
        <f t="shared" si="4"/>
        <v>Orlando</v>
      </c>
      <c r="J35" s="18">
        <f>'Summary-1990'!AB34</f>
        <v>46</v>
      </c>
      <c r="K35" s="18">
        <f>'Summary-1990'!AC34</f>
        <v>45</v>
      </c>
      <c r="L35" s="18">
        <f>'Summary-1990'!AD34</f>
        <v>36</v>
      </c>
      <c r="M35" s="18">
        <f>'Summary-1990'!AE34</f>
        <v>36</v>
      </c>
      <c r="N35" s="18">
        <f>'Summary-1990'!AF34</f>
        <v>36</v>
      </c>
      <c r="O35" s="18">
        <f>'Summary-1990'!AG34</f>
        <v>36</v>
      </c>
      <c r="P35" s="18"/>
      <c r="Q35" s="18" t="str">
        <f t="shared" si="5"/>
        <v>Orlando</v>
      </c>
      <c r="R35" s="18">
        <f t="shared" si="6"/>
        <v>0</v>
      </c>
      <c r="S35" s="18">
        <f t="shared" si="2"/>
        <v>0</v>
      </c>
      <c r="T35" s="18">
        <f t="shared" si="2"/>
        <v>-6</v>
      </c>
      <c r="U35" s="18">
        <f t="shared" si="2"/>
        <v>-8</v>
      </c>
      <c r="V35" s="18">
        <f t="shared" si="2"/>
        <v>-8</v>
      </c>
      <c r="W35" s="18">
        <f t="shared" si="2"/>
        <v>-8</v>
      </c>
      <c r="X35" s="18"/>
      <c r="Y35" s="29" t="str">
        <f t="shared" si="7"/>
        <v>Orlando</v>
      </c>
      <c r="Z35" s="18">
        <f t="shared" si="8"/>
        <v>29</v>
      </c>
      <c r="AA35" s="18">
        <f t="shared" si="8"/>
        <v>30</v>
      </c>
      <c r="AB35" s="18">
        <f t="shared" si="8"/>
        <v>35</v>
      </c>
      <c r="AC35" s="18">
        <f t="shared" si="8"/>
        <v>47</v>
      </c>
      <c r="AD35" s="18">
        <f t="shared" si="8"/>
        <v>48</v>
      </c>
      <c r="AE35" s="18">
        <f t="shared" si="8"/>
        <v>48</v>
      </c>
    </row>
    <row r="36" spans="1:31">
      <c r="A36" s="18" t="str">
        <f>'Trends2000-1990'!AA35</f>
        <v>Philadelphia</v>
      </c>
      <c r="B36" s="18">
        <f>'Summary-2000'!AB35</f>
        <v>39</v>
      </c>
      <c r="C36" s="18">
        <f>'Summary-2000'!AC35</f>
        <v>35</v>
      </c>
      <c r="D36" s="18">
        <f>'Summary-2000'!AD35</f>
        <v>20</v>
      </c>
      <c r="E36" s="18">
        <f>'Summary-2000'!AE35</f>
        <v>10</v>
      </c>
      <c r="F36" s="18">
        <f>'Summary-2000'!AF35</f>
        <v>6</v>
      </c>
      <c r="G36" s="18">
        <f>'Summary-2000'!AG35</f>
        <v>6</v>
      </c>
      <c r="H36" s="18"/>
      <c r="I36" s="18" t="str">
        <f t="shared" si="4"/>
        <v>Philadelphia</v>
      </c>
      <c r="J36" s="18">
        <f>'Summary-1990'!AB35</f>
        <v>9</v>
      </c>
      <c r="K36" s="18">
        <f>'Summary-1990'!AC35</f>
        <v>3</v>
      </c>
      <c r="L36" s="18">
        <f>'Summary-1990'!AD35</f>
        <v>1</v>
      </c>
      <c r="M36" s="18">
        <f>'Summary-1990'!AE35</f>
        <v>3</v>
      </c>
      <c r="N36" s="18">
        <f>'Summary-1990'!AF35</f>
        <v>4</v>
      </c>
      <c r="O36" s="18">
        <f>'Summary-1990'!AG35</f>
        <v>4</v>
      </c>
      <c r="P36" s="18"/>
      <c r="Q36" s="18" t="str">
        <f t="shared" si="5"/>
        <v>Philadelphia</v>
      </c>
      <c r="R36" s="18">
        <f t="shared" si="6"/>
        <v>30</v>
      </c>
      <c r="S36" s="18">
        <f t="shared" si="2"/>
        <v>32</v>
      </c>
      <c r="T36" s="18">
        <f t="shared" si="2"/>
        <v>19</v>
      </c>
      <c r="U36" s="18">
        <f t="shared" si="2"/>
        <v>7</v>
      </c>
      <c r="V36" s="18">
        <f t="shared" si="2"/>
        <v>2</v>
      </c>
      <c r="W36" s="18">
        <f t="shared" si="2"/>
        <v>2</v>
      </c>
      <c r="X36" s="18"/>
      <c r="Y36" s="29" t="str">
        <f t="shared" si="7"/>
        <v>Philadelphia</v>
      </c>
      <c r="Z36" s="18">
        <f t="shared" si="8"/>
        <v>1</v>
      </c>
      <c r="AA36" s="18">
        <f t="shared" si="8"/>
        <v>1</v>
      </c>
      <c r="AB36" s="18">
        <f t="shared" si="8"/>
        <v>2</v>
      </c>
      <c r="AC36" s="18">
        <f t="shared" si="8"/>
        <v>6</v>
      </c>
      <c r="AD36" s="18">
        <f t="shared" si="8"/>
        <v>12</v>
      </c>
      <c r="AE36" s="18">
        <f t="shared" si="8"/>
        <v>13</v>
      </c>
    </row>
    <row r="37" spans="1:31">
      <c r="A37" s="18" t="str">
        <f>'Trends2000-1990'!AA36</f>
        <v>Phoenix</v>
      </c>
      <c r="B37" s="18">
        <f>'Summary-2000'!AB36</f>
        <v>31</v>
      </c>
      <c r="C37" s="18">
        <f>'Summary-2000'!AC36</f>
        <v>33</v>
      </c>
      <c r="D37" s="18">
        <f>'Summary-2000'!AD36</f>
        <v>17</v>
      </c>
      <c r="E37" s="18">
        <f>'Summary-2000'!AE36</f>
        <v>13</v>
      </c>
      <c r="F37" s="18">
        <f>'Summary-2000'!AF36</f>
        <v>15</v>
      </c>
      <c r="G37" s="18">
        <f>'Summary-2000'!AG36</f>
        <v>15</v>
      </c>
      <c r="H37" s="18"/>
      <c r="I37" s="18" t="str">
        <f t="shared" si="4"/>
        <v>Phoenix</v>
      </c>
      <c r="J37" s="18">
        <f>'Summary-1990'!AB36</f>
        <v>40</v>
      </c>
      <c r="K37" s="18">
        <f>'Summary-1990'!AC36</f>
        <v>36</v>
      </c>
      <c r="L37" s="18">
        <f>'Summary-1990'!AD36</f>
        <v>21</v>
      </c>
      <c r="M37" s="18">
        <f>'Summary-1990'!AE36</f>
        <v>19</v>
      </c>
      <c r="N37" s="18">
        <f>'Summary-1990'!AF36</f>
        <v>19</v>
      </c>
      <c r="O37" s="18">
        <f>'Summary-1990'!AG36</f>
        <v>19</v>
      </c>
      <c r="P37" s="18"/>
      <c r="Q37" s="18" t="str">
        <f t="shared" si="5"/>
        <v>Phoenix</v>
      </c>
      <c r="R37" s="18">
        <f t="shared" si="6"/>
        <v>-9</v>
      </c>
      <c r="S37" s="18">
        <f t="shared" si="2"/>
        <v>-3</v>
      </c>
      <c r="T37" s="18">
        <f t="shared" si="2"/>
        <v>-4</v>
      </c>
      <c r="U37" s="18">
        <f t="shared" si="2"/>
        <v>-6</v>
      </c>
      <c r="V37" s="18">
        <f t="shared" si="2"/>
        <v>-4</v>
      </c>
      <c r="W37" s="18">
        <f t="shared" si="2"/>
        <v>-4</v>
      </c>
      <c r="X37" s="18"/>
      <c r="Y37" s="29" t="str">
        <f t="shared" si="7"/>
        <v>Phoenix</v>
      </c>
      <c r="Z37" s="18">
        <f t="shared" si="8"/>
        <v>37</v>
      </c>
      <c r="AA37" s="18">
        <f t="shared" si="8"/>
        <v>32</v>
      </c>
      <c r="AB37" s="18">
        <f t="shared" si="8"/>
        <v>31</v>
      </c>
      <c r="AC37" s="18">
        <f t="shared" si="8"/>
        <v>45</v>
      </c>
      <c r="AD37" s="18">
        <f t="shared" si="8"/>
        <v>43</v>
      </c>
      <c r="AE37" s="18">
        <f t="shared" si="8"/>
        <v>44</v>
      </c>
    </row>
    <row r="38" spans="1:31">
      <c r="A38" s="18" t="str">
        <f>'Trends2000-1990'!AA37</f>
        <v>Pittsburgh</v>
      </c>
      <c r="B38" s="18">
        <f>'Summary-2000'!AB37</f>
        <v>44</v>
      </c>
      <c r="C38" s="18">
        <f>'Summary-2000'!AC37</f>
        <v>43</v>
      </c>
      <c r="D38" s="18">
        <f>'Summary-2000'!AD37</f>
        <v>26</v>
      </c>
      <c r="E38" s="18">
        <f>'Summary-2000'!AE37</f>
        <v>21</v>
      </c>
      <c r="F38" s="18">
        <f>'Summary-2000'!AF37</f>
        <v>23</v>
      </c>
      <c r="G38" s="18">
        <f>'Summary-2000'!AG37</f>
        <v>23</v>
      </c>
      <c r="H38" s="18"/>
      <c r="I38" s="18" t="str">
        <f t="shared" si="4"/>
        <v>Pittsburgh</v>
      </c>
      <c r="J38" s="18">
        <f>'Summary-1990'!AB37</f>
        <v>43</v>
      </c>
      <c r="K38" s="18">
        <f>'Summary-1990'!AC37</f>
        <v>39</v>
      </c>
      <c r="L38" s="18">
        <f>'Summary-1990'!AD37</f>
        <v>18</v>
      </c>
      <c r="M38" s="18">
        <f>'Summary-1990'!AE37</f>
        <v>21</v>
      </c>
      <c r="N38" s="18">
        <f>'Summary-1990'!AF37</f>
        <v>21</v>
      </c>
      <c r="O38" s="18">
        <f>'Summary-1990'!AG37</f>
        <v>21</v>
      </c>
      <c r="P38" s="18"/>
      <c r="Q38" s="18" t="str">
        <f t="shared" si="5"/>
        <v>Pittsburgh</v>
      </c>
      <c r="R38" s="18">
        <f t="shared" si="6"/>
        <v>1</v>
      </c>
      <c r="S38" s="18">
        <f t="shared" si="2"/>
        <v>4</v>
      </c>
      <c r="T38" s="18">
        <f t="shared" si="2"/>
        <v>8</v>
      </c>
      <c r="U38" s="18">
        <f t="shared" si="2"/>
        <v>0</v>
      </c>
      <c r="V38" s="18">
        <f t="shared" si="2"/>
        <v>2</v>
      </c>
      <c r="W38" s="18">
        <f t="shared" si="2"/>
        <v>2</v>
      </c>
      <c r="X38" s="18"/>
      <c r="Y38" s="29" t="str">
        <f t="shared" si="7"/>
        <v>Pittsburgh</v>
      </c>
      <c r="Z38" s="18">
        <f t="shared" si="8"/>
        <v>27</v>
      </c>
      <c r="AA38" s="18">
        <f t="shared" si="8"/>
        <v>23</v>
      </c>
      <c r="AB38" s="18">
        <f t="shared" si="8"/>
        <v>11</v>
      </c>
      <c r="AC38" s="18">
        <f t="shared" si="8"/>
        <v>22</v>
      </c>
      <c r="AD38" s="18">
        <f t="shared" si="8"/>
        <v>12</v>
      </c>
      <c r="AE38" s="18">
        <f t="shared" si="8"/>
        <v>13</v>
      </c>
    </row>
    <row r="39" spans="1:31">
      <c r="A39" s="18" t="str">
        <f>'Trends2000-1990'!AA38</f>
        <v>Portland</v>
      </c>
      <c r="B39" s="18">
        <f>'Summary-2000'!AB38</f>
        <v>36</v>
      </c>
      <c r="C39" s="18">
        <f>'Summary-2000'!AC38</f>
        <v>42</v>
      </c>
      <c r="D39" s="18">
        <f>'Summary-2000'!AD38</f>
        <v>27</v>
      </c>
      <c r="E39" s="18">
        <f>'Summary-2000'!AE38</f>
        <v>27</v>
      </c>
      <c r="F39" s="18">
        <f>'Summary-2000'!AF38</f>
        <v>27</v>
      </c>
      <c r="G39" s="18">
        <f>'Summary-2000'!AG38</f>
        <v>27</v>
      </c>
      <c r="H39" s="18"/>
      <c r="I39" s="18" t="str">
        <f t="shared" si="4"/>
        <v>Portland</v>
      </c>
      <c r="J39" s="18">
        <f>'Summary-1990'!AB38</f>
        <v>29</v>
      </c>
      <c r="K39" s="18">
        <f>'Summary-1990'!AC38</f>
        <v>23</v>
      </c>
      <c r="L39" s="18">
        <f>'Summary-1990'!AD38</f>
        <v>28</v>
      </c>
      <c r="M39" s="18">
        <f>'Summary-1990'!AE38</f>
        <v>28</v>
      </c>
      <c r="N39" s="18">
        <f>'Summary-1990'!AF38</f>
        <v>28</v>
      </c>
      <c r="O39" s="18">
        <f>'Summary-1990'!AG38</f>
        <v>28</v>
      </c>
      <c r="P39" s="18"/>
      <c r="Q39" s="18" t="str">
        <f t="shared" si="5"/>
        <v>Portland</v>
      </c>
      <c r="R39" s="18">
        <f t="shared" si="6"/>
        <v>7</v>
      </c>
      <c r="S39" s="18">
        <f t="shared" si="2"/>
        <v>19</v>
      </c>
      <c r="T39" s="18">
        <f t="shared" si="2"/>
        <v>-1</v>
      </c>
      <c r="U39" s="18">
        <f t="shared" si="2"/>
        <v>-1</v>
      </c>
      <c r="V39" s="18">
        <f t="shared" si="2"/>
        <v>-1</v>
      </c>
      <c r="W39" s="18">
        <f t="shared" si="2"/>
        <v>-1</v>
      </c>
      <c r="X39" s="18"/>
      <c r="Y39" s="29" t="str">
        <f t="shared" si="7"/>
        <v>Portland</v>
      </c>
      <c r="Z39" s="18">
        <f t="shared" si="8"/>
        <v>16</v>
      </c>
      <c r="AA39" s="18">
        <f t="shared" si="8"/>
        <v>6</v>
      </c>
      <c r="AB39" s="18">
        <f t="shared" si="8"/>
        <v>25</v>
      </c>
      <c r="AC39" s="18">
        <f t="shared" si="8"/>
        <v>28</v>
      </c>
      <c r="AD39" s="18">
        <f t="shared" si="8"/>
        <v>29</v>
      </c>
      <c r="AE39" s="18">
        <f t="shared" si="8"/>
        <v>29</v>
      </c>
    </row>
    <row r="40" spans="1:31">
      <c r="A40" s="18" t="str">
        <f>'Trends2000-1990'!AA39</f>
        <v>Providence</v>
      </c>
      <c r="B40" s="18">
        <f>'Summary-2000'!AB39</f>
        <v>25</v>
      </c>
      <c r="C40" s="18">
        <f>'Summary-2000'!AC39</f>
        <v>24</v>
      </c>
      <c r="D40" s="18">
        <f>'Summary-2000'!AD39</f>
        <v>33</v>
      </c>
      <c r="E40" s="18">
        <f>'Summary-2000'!AE39</f>
        <v>36</v>
      </c>
      <c r="F40" s="18">
        <f>'Summary-2000'!AF39</f>
        <v>36</v>
      </c>
      <c r="G40" s="18">
        <f>'Summary-2000'!AG39</f>
        <v>36</v>
      </c>
      <c r="H40" s="18"/>
      <c r="I40" s="18" t="str">
        <f t="shared" si="4"/>
        <v>Providence</v>
      </c>
      <c r="J40" s="18">
        <f>'Summary-1990'!AB39</f>
        <v>12</v>
      </c>
      <c r="K40" s="18">
        <f>'Summary-1990'!AC39</f>
        <v>17</v>
      </c>
      <c r="L40" s="18">
        <f>'Summary-1990'!AD39</f>
        <v>37</v>
      </c>
      <c r="M40" s="18">
        <f>'Summary-1990'!AE39</f>
        <v>37</v>
      </c>
      <c r="N40" s="18">
        <f>'Summary-1990'!AF39</f>
        <v>37</v>
      </c>
      <c r="O40" s="18">
        <f>'Summary-1990'!AG39</f>
        <v>37</v>
      </c>
      <c r="P40" s="18"/>
      <c r="Q40" s="18" t="str">
        <f t="shared" si="5"/>
        <v>Providence</v>
      </c>
      <c r="R40" s="18">
        <f t="shared" si="6"/>
        <v>13</v>
      </c>
      <c r="S40" s="18">
        <f t="shared" si="2"/>
        <v>7</v>
      </c>
      <c r="T40" s="18">
        <f t="shared" si="2"/>
        <v>-4</v>
      </c>
      <c r="U40" s="18">
        <f t="shared" si="2"/>
        <v>-1</v>
      </c>
      <c r="V40" s="18">
        <f t="shared" si="2"/>
        <v>-1</v>
      </c>
      <c r="W40" s="18">
        <f t="shared" si="2"/>
        <v>-1</v>
      </c>
      <c r="X40" s="18"/>
      <c r="Y40" s="29" t="str">
        <f t="shared" si="7"/>
        <v>Providence</v>
      </c>
      <c r="Z40" s="18">
        <f t="shared" si="8"/>
        <v>9</v>
      </c>
      <c r="AA40" s="18">
        <f t="shared" si="8"/>
        <v>18</v>
      </c>
      <c r="AB40" s="18">
        <f t="shared" si="8"/>
        <v>31</v>
      </c>
      <c r="AC40" s="18">
        <f t="shared" si="8"/>
        <v>28</v>
      </c>
      <c r="AD40" s="18">
        <f t="shared" si="8"/>
        <v>29</v>
      </c>
      <c r="AE40" s="18">
        <f t="shared" si="8"/>
        <v>29</v>
      </c>
    </row>
    <row r="41" spans="1:31">
      <c r="A41" s="18" t="str">
        <f>'Trends2000-1990'!AA40</f>
        <v>Raleigh</v>
      </c>
      <c r="B41" s="18">
        <f>'Summary-2000'!AB40</f>
        <v>7</v>
      </c>
      <c r="C41" s="18">
        <f>'Summary-2000'!AC40</f>
        <v>6</v>
      </c>
      <c r="D41" s="18">
        <f>'Summary-2000'!AD40</f>
        <v>34</v>
      </c>
      <c r="E41" s="18">
        <f>'Summary-2000'!AE40</f>
        <v>37</v>
      </c>
      <c r="F41" s="18">
        <f>'Summary-2000'!AF40</f>
        <v>37</v>
      </c>
      <c r="G41" s="18">
        <f>'Summary-2000'!AG40</f>
        <v>37</v>
      </c>
      <c r="H41" s="18"/>
      <c r="I41" s="18" t="str">
        <f t="shared" si="4"/>
        <v>Raleigh</v>
      </c>
      <c r="J41" s="18">
        <f>'Summary-1990'!AB40</f>
        <v>6</v>
      </c>
      <c r="K41" s="18">
        <f>'Summary-1990'!AC40</f>
        <v>40</v>
      </c>
      <c r="L41" s="18">
        <f>'Summary-1990'!AD40</f>
        <v>49</v>
      </c>
      <c r="M41" s="18">
        <f>'Summary-1990'!AE40</f>
        <v>49</v>
      </c>
      <c r="N41" s="18">
        <f>'Summary-1990'!AF40</f>
        <v>49</v>
      </c>
      <c r="O41" s="18">
        <f>'Summary-1990'!AG40</f>
        <v>49</v>
      </c>
      <c r="P41" s="18"/>
      <c r="Q41" s="18" t="str">
        <f t="shared" si="5"/>
        <v>Raleigh</v>
      </c>
      <c r="R41" s="18">
        <f t="shared" si="6"/>
        <v>1</v>
      </c>
      <c r="S41" s="18">
        <f t="shared" si="2"/>
        <v>-34</v>
      </c>
      <c r="T41" s="18">
        <f t="shared" si="2"/>
        <v>-15</v>
      </c>
      <c r="U41" s="18">
        <f t="shared" si="2"/>
        <v>-12</v>
      </c>
      <c r="V41" s="18">
        <f t="shared" si="2"/>
        <v>-12</v>
      </c>
      <c r="W41" s="18">
        <f t="shared" si="2"/>
        <v>-12</v>
      </c>
      <c r="X41" s="18"/>
      <c r="Y41" s="29" t="str">
        <f t="shared" si="7"/>
        <v>Raleigh</v>
      </c>
      <c r="Z41" s="18">
        <f t="shared" si="8"/>
        <v>27</v>
      </c>
      <c r="AA41" s="18">
        <f t="shared" si="8"/>
        <v>49</v>
      </c>
      <c r="AB41" s="18">
        <f t="shared" si="8"/>
        <v>49</v>
      </c>
      <c r="AC41" s="18">
        <f t="shared" si="8"/>
        <v>50</v>
      </c>
      <c r="AD41" s="18">
        <f t="shared" si="8"/>
        <v>50</v>
      </c>
      <c r="AE41" s="18">
        <f t="shared" si="8"/>
        <v>50</v>
      </c>
    </row>
    <row r="42" spans="1:31">
      <c r="A42" s="18" t="str">
        <f>'Trends2000-1990'!AA41</f>
        <v>Rochester</v>
      </c>
      <c r="B42" s="18">
        <f>'Summary-2000'!AB41</f>
        <v>12</v>
      </c>
      <c r="C42" s="18">
        <f>'Summary-2000'!AC41</f>
        <v>18</v>
      </c>
      <c r="D42" s="18">
        <f>'Summary-2000'!AD41</f>
        <v>49</v>
      </c>
      <c r="E42" s="18">
        <f>'Summary-2000'!AE41</f>
        <v>49</v>
      </c>
      <c r="F42" s="18">
        <f>'Summary-2000'!AF41</f>
        <v>49</v>
      </c>
      <c r="G42" s="18">
        <f>'Summary-2000'!AG41</f>
        <v>49</v>
      </c>
      <c r="H42" s="18"/>
      <c r="I42" s="18" t="str">
        <f t="shared" si="4"/>
        <v>Rochester</v>
      </c>
      <c r="J42" s="18">
        <f>'Summary-1990'!AB41</f>
        <v>3</v>
      </c>
      <c r="K42" s="18">
        <f>'Summary-1990'!AC41</f>
        <v>25</v>
      </c>
      <c r="L42" s="18">
        <f>'Summary-1990'!AD41</f>
        <v>41</v>
      </c>
      <c r="M42" s="18">
        <f>'Summary-1990'!AE41</f>
        <v>41</v>
      </c>
      <c r="N42" s="18">
        <f>'Summary-1990'!AF41</f>
        <v>41</v>
      </c>
      <c r="O42" s="18">
        <f>'Summary-1990'!AG41</f>
        <v>41</v>
      </c>
      <c r="P42" s="18"/>
      <c r="Q42" s="18" t="str">
        <f t="shared" si="5"/>
        <v>Rochester</v>
      </c>
      <c r="R42" s="18">
        <f t="shared" si="6"/>
        <v>9</v>
      </c>
      <c r="S42" s="18">
        <f t="shared" si="2"/>
        <v>-7</v>
      </c>
      <c r="T42" s="18">
        <f t="shared" si="2"/>
        <v>8</v>
      </c>
      <c r="U42" s="18">
        <f t="shared" si="2"/>
        <v>8</v>
      </c>
      <c r="V42" s="18">
        <f t="shared" si="2"/>
        <v>8</v>
      </c>
      <c r="W42" s="18">
        <f t="shared" si="2"/>
        <v>8</v>
      </c>
      <c r="X42" s="18"/>
      <c r="Y42" s="29" t="str">
        <f t="shared" si="7"/>
        <v>Rochester</v>
      </c>
      <c r="Z42" s="18">
        <f t="shared" si="8"/>
        <v>13</v>
      </c>
      <c r="AA42" s="18">
        <f t="shared" si="8"/>
        <v>36</v>
      </c>
      <c r="AB42" s="18">
        <f t="shared" si="8"/>
        <v>11</v>
      </c>
      <c r="AC42" s="18">
        <f t="shared" si="8"/>
        <v>5</v>
      </c>
      <c r="AD42" s="18">
        <f t="shared" si="8"/>
        <v>4</v>
      </c>
      <c r="AE42" s="18">
        <f t="shared" si="8"/>
        <v>4</v>
      </c>
    </row>
    <row r="43" spans="1:31">
      <c r="A43" s="18" t="str">
        <f>'Trends2000-1990'!AA42</f>
        <v>Sacramento</v>
      </c>
      <c r="B43" s="18">
        <f>'Summary-2000'!AB42</f>
        <v>45</v>
      </c>
      <c r="C43" s="18">
        <f>'Summary-2000'!AC42</f>
        <v>46</v>
      </c>
      <c r="D43" s="18">
        <f>'Summary-2000'!AD42</f>
        <v>37</v>
      </c>
      <c r="E43" s="18">
        <f>'Summary-2000'!AE42</f>
        <v>39</v>
      </c>
      <c r="F43" s="18">
        <f>'Summary-2000'!AF42</f>
        <v>39</v>
      </c>
      <c r="G43" s="18">
        <f>'Summary-2000'!AG42</f>
        <v>39</v>
      </c>
      <c r="H43" s="18"/>
      <c r="I43" s="18" t="str">
        <f t="shared" si="4"/>
        <v>Sacramento</v>
      </c>
      <c r="J43" s="18">
        <f>'Summary-1990'!AB42</f>
        <v>27</v>
      </c>
      <c r="K43" s="18">
        <f>'Summary-1990'!AC42</f>
        <v>24</v>
      </c>
      <c r="L43" s="18">
        <f>'Summary-1990'!AD42</f>
        <v>30</v>
      </c>
      <c r="M43" s="18">
        <f>'Summary-1990'!AE42</f>
        <v>30</v>
      </c>
      <c r="N43" s="18">
        <f>'Summary-1990'!AF42</f>
        <v>30</v>
      </c>
      <c r="O43" s="18">
        <f>'Summary-1990'!AG42</f>
        <v>30</v>
      </c>
      <c r="P43" s="18"/>
      <c r="Q43" s="18" t="str">
        <f t="shared" si="5"/>
        <v>Sacramento</v>
      </c>
      <c r="R43" s="18">
        <f t="shared" si="6"/>
        <v>18</v>
      </c>
      <c r="S43" s="18">
        <f t="shared" si="2"/>
        <v>22</v>
      </c>
      <c r="T43" s="18">
        <f t="shared" si="2"/>
        <v>7</v>
      </c>
      <c r="U43" s="18">
        <f t="shared" si="2"/>
        <v>9</v>
      </c>
      <c r="V43" s="18">
        <f t="shared" si="2"/>
        <v>9</v>
      </c>
      <c r="W43" s="18">
        <f t="shared" si="2"/>
        <v>9</v>
      </c>
      <c r="X43" s="18"/>
      <c r="Y43" s="29" t="str">
        <f t="shared" si="7"/>
        <v>Sacramento</v>
      </c>
      <c r="Z43" s="18">
        <f t="shared" si="8"/>
        <v>4</v>
      </c>
      <c r="AA43" s="18">
        <f t="shared" si="8"/>
        <v>5</v>
      </c>
      <c r="AB43" s="18">
        <f t="shared" si="8"/>
        <v>14</v>
      </c>
      <c r="AC43" s="18">
        <f t="shared" si="8"/>
        <v>4</v>
      </c>
      <c r="AD43" s="18">
        <f t="shared" si="8"/>
        <v>3</v>
      </c>
      <c r="AE43" s="18">
        <f t="shared" si="8"/>
        <v>3</v>
      </c>
    </row>
    <row r="44" spans="1:31">
      <c r="A44" s="18" t="str">
        <f>'Trends2000-1990'!AA43</f>
        <v>Salt Lake City</v>
      </c>
      <c r="B44" s="18">
        <f>'Summary-2000'!AB43</f>
        <v>11</v>
      </c>
      <c r="C44" s="18">
        <f>'Summary-2000'!AC43</f>
        <v>12</v>
      </c>
      <c r="D44" s="18">
        <f>'Summary-2000'!AD43</f>
        <v>36</v>
      </c>
      <c r="E44" s="18">
        <f>'Summary-2000'!AE43</f>
        <v>38</v>
      </c>
      <c r="F44" s="18">
        <f>'Summary-2000'!AF43</f>
        <v>38</v>
      </c>
      <c r="G44" s="18">
        <f>'Summary-2000'!AG43</f>
        <v>38</v>
      </c>
      <c r="H44" s="18"/>
      <c r="I44" s="18" t="str">
        <f t="shared" si="4"/>
        <v>Salt Lake City</v>
      </c>
      <c r="J44" s="18">
        <f>'Summary-1990'!AB43</f>
        <v>17</v>
      </c>
      <c r="K44" s="18">
        <f>'Summary-1990'!AC43</f>
        <v>26</v>
      </c>
      <c r="L44" s="18">
        <f>'Summary-1990'!AD43</f>
        <v>42</v>
      </c>
      <c r="M44" s="18">
        <f>'Summary-1990'!AE43</f>
        <v>42</v>
      </c>
      <c r="N44" s="18">
        <f>'Summary-1990'!AF43</f>
        <v>42</v>
      </c>
      <c r="O44" s="18">
        <f>'Summary-1990'!AG43</f>
        <v>42</v>
      </c>
      <c r="P44" s="18"/>
      <c r="Q44" s="18" t="str">
        <f t="shared" si="5"/>
        <v>Salt Lake City</v>
      </c>
      <c r="R44" s="18">
        <f t="shared" si="6"/>
        <v>-6</v>
      </c>
      <c r="S44" s="18">
        <f t="shared" si="2"/>
        <v>-14</v>
      </c>
      <c r="T44" s="18">
        <f t="shared" si="2"/>
        <v>-6</v>
      </c>
      <c r="U44" s="18">
        <f t="shared" si="2"/>
        <v>-4</v>
      </c>
      <c r="V44" s="18">
        <f t="shared" si="2"/>
        <v>-4</v>
      </c>
      <c r="W44" s="18">
        <f t="shared" si="2"/>
        <v>-4</v>
      </c>
      <c r="X44" s="18"/>
      <c r="Y44" s="29" t="str">
        <f t="shared" si="7"/>
        <v>Salt Lake City</v>
      </c>
      <c r="Z44" s="18">
        <f t="shared" si="8"/>
        <v>35</v>
      </c>
      <c r="AA44" s="18">
        <f t="shared" si="8"/>
        <v>43</v>
      </c>
      <c r="AB44" s="18">
        <f t="shared" si="8"/>
        <v>35</v>
      </c>
      <c r="AC44" s="18">
        <f t="shared" si="8"/>
        <v>41</v>
      </c>
      <c r="AD44" s="18">
        <f t="shared" si="8"/>
        <v>43</v>
      </c>
      <c r="AE44" s="18">
        <f t="shared" si="8"/>
        <v>44</v>
      </c>
    </row>
    <row r="45" spans="1:31">
      <c r="A45" s="18" t="str">
        <f>'Trends2000-1990'!AA44</f>
        <v>San Antonio</v>
      </c>
      <c r="B45" s="18">
        <f>'Summary-2000'!AB44</f>
        <v>28</v>
      </c>
      <c r="C45" s="18">
        <f>'Summary-2000'!AC44</f>
        <v>26</v>
      </c>
      <c r="D45" s="18">
        <f>'Summary-2000'!AD44</f>
        <v>31</v>
      </c>
      <c r="E45" s="18">
        <f>'Summary-2000'!AE44</f>
        <v>34</v>
      </c>
      <c r="F45" s="18">
        <f>'Summary-2000'!AF44</f>
        <v>34</v>
      </c>
      <c r="G45" s="18">
        <f>'Summary-2000'!AG44</f>
        <v>34</v>
      </c>
      <c r="H45" s="18"/>
      <c r="I45" s="18" t="str">
        <f t="shared" si="4"/>
        <v>San Antonio</v>
      </c>
      <c r="J45" s="18">
        <f>'Summary-1990'!AB44</f>
        <v>41</v>
      </c>
      <c r="K45" s="18">
        <f>'Summary-1990'!AC44</f>
        <v>37</v>
      </c>
      <c r="L45" s="18">
        <f>'Summary-1990'!AD44</f>
        <v>34</v>
      </c>
      <c r="M45" s="18">
        <f>'Summary-1990'!AE44</f>
        <v>34</v>
      </c>
      <c r="N45" s="18">
        <f>'Summary-1990'!AF44</f>
        <v>34</v>
      </c>
      <c r="O45" s="18">
        <f>'Summary-1990'!AG44</f>
        <v>34</v>
      </c>
      <c r="P45" s="18"/>
      <c r="Q45" s="18" t="str">
        <f t="shared" si="5"/>
        <v>San Antonio</v>
      </c>
      <c r="R45" s="18">
        <f t="shared" si="6"/>
        <v>-13</v>
      </c>
      <c r="S45" s="18">
        <f t="shared" si="2"/>
        <v>-11</v>
      </c>
      <c r="T45" s="18">
        <f t="shared" si="2"/>
        <v>-3</v>
      </c>
      <c r="U45" s="18">
        <f t="shared" si="2"/>
        <v>0</v>
      </c>
      <c r="V45" s="18">
        <f t="shared" si="2"/>
        <v>0</v>
      </c>
      <c r="W45" s="18">
        <f t="shared" si="2"/>
        <v>0</v>
      </c>
      <c r="X45" s="18"/>
      <c r="Y45" s="29" t="str">
        <f t="shared" si="7"/>
        <v>San Antonio</v>
      </c>
      <c r="Z45" s="18">
        <f t="shared" si="8"/>
        <v>40</v>
      </c>
      <c r="AA45" s="18">
        <f t="shared" si="8"/>
        <v>40</v>
      </c>
      <c r="AB45" s="18">
        <f t="shared" si="8"/>
        <v>28</v>
      </c>
      <c r="AC45" s="18">
        <f t="shared" si="8"/>
        <v>22</v>
      </c>
      <c r="AD45" s="18">
        <f t="shared" si="8"/>
        <v>25</v>
      </c>
      <c r="AE45" s="18">
        <f t="shared" si="8"/>
        <v>24</v>
      </c>
    </row>
    <row r="46" spans="1:31">
      <c r="A46" s="18" t="str">
        <f>'Trends2000-1990'!AA45</f>
        <v>San Diego</v>
      </c>
      <c r="B46" s="18">
        <f>'Summary-2000'!AB45</f>
        <v>47</v>
      </c>
      <c r="C46" s="18">
        <f>'Summary-2000'!AC45</f>
        <v>47</v>
      </c>
      <c r="D46" s="18">
        <f>'Summary-2000'!AD45</f>
        <v>35</v>
      </c>
      <c r="E46" s="18">
        <f>'Summary-2000'!AE45</f>
        <v>16</v>
      </c>
      <c r="F46" s="18">
        <f>'Summary-2000'!AF45</f>
        <v>17</v>
      </c>
      <c r="G46" s="18">
        <f>'Summary-2000'!AG45</f>
        <v>17</v>
      </c>
      <c r="H46" s="18"/>
      <c r="I46" s="18" t="str">
        <f t="shared" si="4"/>
        <v>San Diego</v>
      </c>
      <c r="J46" s="18">
        <f>'Summary-1990'!AB45</f>
        <v>35</v>
      </c>
      <c r="K46" s="18">
        <f>'Summary-1990'!AC45</f>
        <v>35</v>
      </c>
      <c r="L46" s="18">
        <f>'Summary-1990'!AD45</f>
        <v>17</v>
      </c>
      <c r="M46" s="18">
        <f>'Summary-1990'!AE45</f>
        <v>16</v>
      </c>
      <c r="N46" s="18">
        <f>'Summary-1990'!AF45</f>
        <v>16</v>
      </c>
      <c r="O46" s="18">
        <f>'Summary-1990'!AG45</f>
        <v>16</v>
      </c>
      <c r="P46" s="18"/>
      <c r="Q46" s="18" t="str">
        <f t="shared" si="5"/>
        <v>San Diego</v>
      </c>
      <c r="R46" s="18">
        <f t="shared" si="6"/>
        <v>12</v>
      </c>
      <c r="S46" s="18">
        <f t="shared" si="2"/>
        <v>12</v>
      </c>
      <c r="T46" s="18">
        <f t="shared" si="2"/>
        <v>18</v>
      </c>
      <c r="U46" s="18">
        <f t="shared" si="2"/>
        <v>0</v>
      </c>
      <c r="V46" s="18">
        <f t="shared" si="2"/>
        <v>1</v>
      </c>
      <c r="W46" s="18">
        <f t="shared" si="2"/>
        <v>1</v>
      </c>
      <c r="X46" s="18"/>
      <c r="Y46" s="29" t="str">
        <f t="shared" si="7"/>
        <v>San Diego</v>
      </c>
      <c r="Z46" s="18">
        <f t="shared" si="8"/>
        <v>10</v>
      </c>
      <c r="AA46" s="18">
        <f t="shared" si="8"/>
        <v>10</v>
      </c>
      <c r="AB46" s="18">
        <f t="shared" si="8"/>
        <v>4</v>
      </c>
      <c r="AC46" s="18">
        <f t="shared" si="8"/>
        <v>22</v>
      </c>
      <c r="AD46" s="18">
        <f t="shared" si="8"/>
        <v>17</v>
      </c>
      <c r="AE46" s="18">
        <f t="shared" si="8"/>
        <v>16</v>
      </c>
    </row>
    <row r="47" spans="1:31">
      <c r="A47" s="18" t="str">
        <f>'Trends2000-1990'!AA46</f>
        <v>San Francisco</v>
      </c>
      <c r="B47" s="18">
        <f>'Summary-2000'!AB46</f>
        <v>1</v>
      </c>
      <c r="C47" s="18">
        <f>'Summary-2000'!AC46</f>
        <v>1</v>
      </c>
      <c r="D47" s="18">
        <f>'Summary-2000'!AD46</f>
        <v>1</v>
      </c>
      <c r="E47" s="18">
        <f>'Summary-2000'!AE46</f>
        <v>4</v>
      </c>
      <c r="F47" s="18">
        <f>'Summary-2000'!AF46</f>
        <v>8</v>
      </c>
      <c r="G47" s="18">
        <f>'Summary-2000'!AG46</f>
        <v>9</v>
      </c>
      <c r="H47" s="18"/>
      <c r="I47" s="18" t="str">
        <f t="shared" si="4"/>
        <v>San Francisco</v>
      </c>
      <c r="J47" s="18">
        <f>'Summary-1990'!AB46</f>
        <v>31</v>
      </c>
      <c r="K47" s="18">
        <f>'Summary-1990'!AC46</f>
        <v>30</v>
      </c>
      <c r="L47" s="18">
        <f>'Summary-1990'!AD46</f>
        <v>15</v>
      </c>
      <c r="M47" s="18">
        <f>'Summary-1990'!AE46</f>
        <v>9</v>
      </c>
      <c r="N47" s="18">
        <f>'Summary-1990'!AF46</f>
        <v>9</v>
      </c>
      <c r="O47" s="18">
        <f>'Summary-1990'!AG46</f>
        <v>9</v>
      </c>
      <c r="P47" s="18"/>
      <c r="Q47" s="18" t="str">
        <f t="shared" si="5"/>
        <v>San Francisco</v>
      </c>
      <c r="R47" s="18">
        <f t="shared" si="6"/>
        <v>-30</v>
      </c>
      <c r="S47" s="18">
        <f t="shared" si="2"/>
        <v>-29</v>
      </c>
      <c r="T47" s="18">
        <f t="shared" si="2"/>
        <v>-14</v>
      </c>
      <c r="U47" s="18">
        <f t="shared" si="2"/>
        <v>-5</v>
      </c>
      <c r="V47" s="18">
        <f t="shared" si="2"/>
        <v>-1</v>
      </c>
      <c r="W47" s="18">
        <f t="shared" si="2"/>
        <v>0</v>
      </c>
      <c r="X47" s="18"/>
      <c r="Y47" s="29" t="str">
        <f t="shared" si="7"/>
        <v>San Francisco</v>
      </c>
      <c r="Z47" s="18">
        <f t="shared" si="8"/>
        <v>50</v>
      </c>
      <c r="AA47" s="18">
        <f t="shared" si="8"/>
        <v>48</v>
      </c>
      <c r="AB47" s="18">
        <f t="shared" si="8"/>
        <v>47</v>
      </c>
      <c r="AC47" s="18">
        <f t="shared" si="8"/>
        <v>43</v>
      </c>
      <c r="AD47" s="18">
        <f t="shared" si="8"/>
        <v>29</v>
      </c>
      <c r="AE47" s="18">
        <f t="shared" si="8"/>
        <v>24</v>
      </c>
    </row>
    <row r="48" spans="1:31">
      <c r="A48" s="18" t="str">
        <f>'Trends2000-1990'!AA47</f>
        <v>San Jose</v>
      </c>
      <c r="B48" s="18">
        <f>'Summary-2000'!AB47</f>
        <v>2</v>
      </c>
      <c r="C48" s="18">
        <f>'Summary-2000'!AC47</f>
        <v>2</v>
      </c>
      <c r="D48" s="18">
        <f>'Summary-2000'!AD47</f>
        <v>8</v>
      </c>
      <c r="E48" s="18">
        <f>'Summary-2000'!AE47</f>
        <v>20</v>
      </c>
      <c r="F48" s="18">
        <f>'Summary-2000'!AF47</f>
        <v>21</v>
      </c>
      <c r="G48" s="18">
        <f>'Summary-2000'!AG47</f>
        <v>21</v>
      </c>
      <c r="H48" s="18"/>
      <c r="I48" s="18" t="str">
        <f t="shared" si="4"/>
        <v>San Jose</v>
      </c>
      <c r="J48" s="18">
        <f>'Summary-1990'!AB47</f>
        <v>15</v>
      </c>
      <c r="K48" s="18">
        <f>'Summary-1990'!AC47</f>
        <v>9</v>
      </c>
      <c r="L48" s="18">
        <f>'Summary-1990'!AD47</f>
        <v>19</v>
      </c>
      <c r="M48" s="18">
        <f>'Summary-1990'!AE47</f>
        <v>22</v>
      </c>
      <c r="N48" s="18">
        <f>'Summary-1990'!AF47</f>
        <v>22</v>
      </c>
      <c r="O48" s="18">
        <f>'Summary-1990'!AG47</f>
        <v>22</v>
      </c>
      <c r="P48" s="18"/>
      <c r="Q48" s="18" t="str">
        <f t="shared" si="5"/>
        <v>San Jose</v>
      </c>
      <c r="R48" s="18">
        <f t="shared" si="6"/>
        <v>-13</v>
      </c>
      <c r="S48" s="18">
        <f t="shared" si="2"/>
        <v>-7</v>
      </c>
      <c r="T48" s="18">
        <f t="shared" si="2"/>
        <v>-11</v>
      </c>
      <c r="U48" s="18">
        <f t="shared" si="2"/>
        <v>-2</v>
      </c>
      <c r="V48" s="18">
        <f t="shared" si="2"/>
        <v>-1</v>
      </c>
      <c r="W48" s="18">
        <f t="shared" si="2"/>
        <v>-1</v>
      </c>
      <c r="X48" s="18"/>
      <c r="Y48" s="29" t="str">
        <f t="shared" si="7"/>
        <v>San Jose</v>
      </c>
      <c r="Z48" s="18">
        <f t="shared" si="8"/>
        <v>40</v>
      </c>
      <c r="AA48" s="18">
        <f t="shared" si="8"/>
        <v>36</v>
      </c>
      <c r="AB48" s="18">
        <f t="shared" si="8"/>
        <v>42</v>
      </c>
      <c r="AC48" s="18">
        <f t="shared" si="8"/>
        <v>32</v>
      </c>
      <c r="AD48" s="18">
        <f t="shared" si="8"/>
        <v>29</v>
      </c>
      <c r="AE48" s="18">
        <f t="shared" si="8"/>
        <v>29</v>
      </c>
    </row>
    <row r="49" spans="1:31">
      <c r="A49" s="18" t="str">
        <f>'Trends2000-1990'!AA48</f>
        <v>Seattle</v>
      </c>
      <c r="B49" s="18">
        <f>'Summary-2000'!AB48</f>
        <v>26</v>
      </c>
      <c r="C49" s="18">
        <f>'Summary-2000'!AC48</f>
        <v>32</v>
      </c>
      <c r="D49" s="18">
        <f>'Summary-2000'!AD48</f>
        <v>18</v>
      </c>
      <c r="E49" s="18">
        <f>'Summary-2000'!AE48</f>
        <v>11</v>
      </c>
      <c r="F49" s="18">
        <f>'Summary-2000'!AF48</f>
        <v>14</v>
      </c>
      <c r="G49" s="18">
        <f>'Summary-2000'!AG48</f>
        <v>14</v>
      </c>
      <c r="H49" s="18"/>
      <c r="I49" s="18" t="str">
        <f t="shared" si="4"/>
        <v>Seattle</v>
      </c>
      <c r="J49" s="18">
        <f>'Summary-1990'!AB48</f>
        <v>28</v>
      </c>
      <c r="K49" s="18">
        <f>'Summary-1990'!AC48</f>
        <v>28</v>
      </c>
      <c r="L49" s="18">
        <f>'Summary-1990'!AD48</f>
        <v>13</v>
      </c>
      <c r="M49" s="18">
        <f>'Summary-1990'!AE48</f>
        <v>13</v>
      </c>
      <c r="N49" s="18">
        <f>'Summary-1990'!AF48</f>
        <v>13</v>
      </c>
      <c r="O49" s="18">
        <f>'Summary-1990'!AG48</f>
        <v>13</v>
      </c>
      <c r="P49" s="18"/>
      <c r="Q49" s="18" t="str">
        <f t="shared" si="5"/>
        <v>Seattle</v>
      </c>
      <c r="R49" s="18">
        <f t="shared" si="6"/>
        <v>-2</v>
      </c>
      <c r="S49" s="18">
        <f t="shared" si="2"/>
        <v>4</v>
      </c>
      <c r="T49" s="18">
        <f t="shared" si="2"/>
        <v>5</v>
      </c>
      <c r="U49" s="18">
        <f t="shared" si="2"/>
        <v>-2</v>
      </c>
      <c r="V49" s="18">
        <f t="shared" si="2"/>
        <v>1</v>
      </c>
      <c r="W49" s="18">
        <f t="shared" si="2"/>
        <v>1</v>
      </c>
      <c r="X49" s="18"/>
      <c r="Y49" s="29" t="str">
        <f t="shared" si="7"/>
        <v>Seattle</v>
      </c>
      <c r="Z49" s="18">
        <f t="shared" si="8"/>
        <v>30</v>
      </c>
      <c r="AA49" s="18">
        <f t="shared" si="8"/>
        <v>23</v>
      </c>
      <c r="AB49" s="18">
        <f t="shared" si="8"/>
        <v>16</v>
      </c>
      <c r="AC49" s="18">
        <f t="shared" si="8"/>
        <v>32</v>
      </c>
      <c r="AD49" s="18">
        <f t="shared" si="8"/>
        <v>17</v>
      </c>
      <c r="AE49" s="18">
        <f t="shared" si="8"/>
        <v>16</v>
      </c>
    </row>
    <row r="50" spans="1:31">
      <c r="A50" s="18" t="str">
        <f>'Trends2000-1990'!AA49</f>
        <v>Miami</v>
      </c>
      <c r="B50" s="18">
        <f>'Summary-2000'!AB49</f>
        <v>27</v>
      </c>
      <c r="C50" s="18">
        <f>'Summary-2000'!AC49</f>
        <v>25</v>
      </c>
      <c r="D50" s="18">
        <f>'Summary-2000'!AD49</f>
        <v>10</v>
      </c>
      <c r="E50" s="18">
        <f>'Summary-2000'!AE49</f>
        <v>9</v>
      </c>
      <c r="F50" s="18">
        <f>'Summary-2000'!AF49</f>
        <v>13</v>
      </c>
      <c r="G50" s="18">
        <f>'Summary-2000'!AG49</f>
        <v>13</v>
      </c>
      <c r="H50" s="18"/>
      <c r="I50" s="18" t="str">
        <f t="shared" si="4"/>
        <v>Miami</v>
      </c>
      <c r="J50" s="18">
        <f>'Summary-1990'!AB49</f>
        <v>1</v>
      </c>
      <c r="K50" s="18">
        <f>'Summary-1990'!AC49</f>
        <v>1</v>
      </c>
      <c r="L50" s="18">
        <f>'Summary-1990'!AD49</f>
        <v>5</v>
      </c>
      <c r="M50" s="18">
        <f>'Summary-1990'!AE49</f>
        <v>12</v>
      </c>
      <c r="N50" s="18">
        <f>'Summary-1990'!AF49</f>
        <v>12</v>
      </c>
      <c r="O50" s="18">
        <f>'Summary-1990'!AG49</f>
        <v>12</v>
      </c>
      <c r="P50" s="18"/>
      <c r="Q50" s="18" t="str">
        <f t="shared" si="5"/>
        <v>Miami</v>
      </c>
      <c r="R50" s="18">
        <f t="shared" si="6"/>
        <v>26</v>
      </c>
      <c r="S50" s="18">
        <f t="shared" si="2"/>
        <v>24</v>
      </c>
      <c r="T50" s="18">
        <f t="shared" si="2"/>
        <v>5</v>
      </c>
      <c r="U50" s="18">
        <f t="shared" si="2"/>
        <v>-3</v>
      </c>
      <c r="V50" s="18">
        <f t="shared" si="2"/>
        <v>1</v>
      </c>
      <c r="W50" s="18">
        <f t="shared" si="2"/>
        <v>1</v>
      </c>
      <c r="X50" s="18"/>
      <c r="Y50" s="29" t="str">
        <f t="shared" si="7"/>
        <v>Miami</v>
      </c>
      <c r="Z50" s="18">
        <f t="shared" si="8"/>
        <v>2</v>
      </c>
      <c r="AA50" s="18">
        <f t="shared" si="8"/>
        <v>2</v>
      </c>
      <c r="AB50" s="18">
        <f t="shared" si="8"/>
        <v>16</v>
      </c>
      <c r="AC50" s="18">
        <f t="shared" si="8"/>
        <v>34</v>
      </c>
      <c r="AD50" s="18">
        <f t="shared" si="8"/>
        <v>17</v>
      </c>
      <c r="AE50" s="18">
        <f t="shared" si="8"/>
        <v>16</v>
      </c>
    </row>
    <row r="51" spans="1:31">
      <c r="A51" s="18" t="str">
        <f>'Trends2000-1990'!AA50</f>
        <v>St. Louis</v>
      </c>
      <c r="B51" s="18">
        <f>'Summary-2000'!AB50</f>
        <v>41</v>
      </c>
      <c r="C51" s="18">
        <f>'Summary-2000'!AC50</f>
        <v>38</v>
      </c>
      <c r="D51" s="18">
        <f>'Summary-2000'!AD50</f>
        <v>24</v>
      </c>
      <c r="E51" s="18">
        <f>'Summary-2000'!AE50</f>
        <v>15</v>
      </c>
      <c r="F51" s="18">
        <f>'Summary-2000'!AF50</f>
        <v>16</v>
      </c>
      <c r="G51" s="18">
        <f>'Summary-2000'!AG50</f>
        <v>16</v>
      </c>
      <c r="H51" s="18"/>
      <c r="I51" s="18" t="str">
        <f t="shared" si="4"/>
        <v>St. Louis</v>
      </c>
      <c r="J51" s="18">
        <f>'Summary-1990'!AB50</f>
        <v>32</v>
      </c>
      <c r="K51" s="18">
        <f>'Summary-1990'!AC50</f>
        <v>27</v>
      </c>
      <c r="L51" s="18">
        <f>'Summary-1990'!AD50</f>
        <v>11</v>
      </c>
      <c r="M51" s="18">
        <f>'Summary-1990'!AE50</f>
        <v>18</v>
      </c>
      <c r="N51" s="18">
        <f>'Summary-1990'!AF50</f>
        <v>18</v>
      </c>
      <c r="O51" s="18">
        <f>'Summary-1990'!AG50</f>
        <v>18</v>
      </c>
      <c r="P51" s="18"/>
      <c r="Q51" s="18" t="str">
        <f t="shared" si="5"/>
        <v>St. Louis</v>
      </c>
      <c r="R51" s="18">
        <f t="shared" si="6"/>
        <v>9</v>
      </c>
      <c r="S51" s="18">
        <f t="shared" si="2"/>
        <v>11</v>
      </c>
      <c r="T51" s="18">
        <f t="shared" si="2"/>
        <v>13</v>
      </c>
      <c r="U51" s="18">
        <f t="shared" si="2"/>
        <v>-3</v>
      </c>
      <c r="V51" s="18">
        <f t="shared" si="2"/>
        <v>-2</v>
      </c>
      <c r="W51" s="18">
        <f t="shared" si="2"/>
        <v>-2</v>
      </c>
      <c r="X51" s="18"/>
      <c r="Y51" s="29" t="str">
        <f t="shared" si="7"/>
        <v>St. Louis</v>
      </c>
      <c r="Z51" s="18">
        <f t="shared" si="8"/>
        <v>13</v>
      </c>
      <c r="AA51" s="18">
        <f t="shared" si="8"/>
        <v>12</v>
      </c>
      <c r="AB51" s="18">
        <f t="shared" si="8"/>
        <v>7</v>
      </c>
      <c r="AC51" s="18">
        <f t="shared" si="8"/>
        <v>34</v>
      </c>
      <c r="AD51" s="18">
        <f t="shared" si="8"/>
        <v>37</v>
      </c>
      <c r="AE51" s="18">
        <f t="shared" si="8"/>
        <v>36</v>
      </c>
    </row>
    <row r="52" spans="1:31">
      <c r="A52" s="18" t="str">
        <f>'Trends2000-1990'!AA51</f>
        <v>Tampa Bay</v>
      </c>
      <c r="B52" s="18">
        <f>'Summary-2000'!AB51</f>
        <v>49</v>
      </c>
      <c r="C52" s="18">
        <f>'Summary-2000'!AC51</f>
        <v>51</v>
      </c>
      <c r="D52" s="18">
        <f>'Summary-2000'!AD51</f>
        <v>44</v>
      </c>
      <c r="E52" s="18">
        <f>'Summary-2000'!AE51</f>
        <v>23</v>
      </c>
      <c r="F52" s="18">
        <f>'Summary-2000'!AF51</f>
        <v>22</v>
      </c>
      <c r="G52" s="18">
        <f>'Summary-2000'!AG51</f>
        <v>22</v>
      </c>
      <c r="H52" s="18"/>
      <c r="I52" s="18" t="str">
        <f t="shared" si="4"/>
        <v>Tampa Bay</v>
      </c>
      <c r="J52" s="18">
        <f>'Summary-1990'!AB51</f>
        <v>45</v>
      </c>
      <c r="K52" s="18">
        <f>'Summary-1990'!AC51</f>
        <v>44</v>
      </c>
      <c r="L52" s="18">
        <f>'Summary-1990'!AD51</f>
        <v>23</v>
      </c>
      <c r="M52" s="18">
        <f>'Summary-1990'!AE51</f>
        <v>23</v>
      </c>
      <c r="N52" s="18">
        <f>'Summary-1990'!AF51</f>
        <v>23</v>
      </c>
      <c r="O52" s="18">
        <f>'Summary-1990'!AG51</f>
        <v>23</v>
      </c>
      <c r="P52" s="18"/>
      <c r="Q52" s="18" t="str">
        <f t="shared" si="5"/>
        <v>Tampa Bay</v>
      </c>
      <c r="R52" s="18">
        <f t="shared" si="6"/>
        <v>4</v>
      </c>
      <c r="S52" s="18">
        <f t="shared" si="2"/>
        <v>7</v>
      </c>
      <c r="T52" s="18">
        <f t="shared" si="2"/>
        <v>21</v>
      </c>
      <c r="U52" s="18">
        <f t="shared" si="2"/>
        <v>0</v>
      </c>
      <c r="V52" s="18">
        <f t="shared" si="2"/>
        <v>-1</v>
      </c>
      <c r="W52" s="18">
        <f t="shared" si="2"/>
        <v>-1</v>
      </c>
      <c r="X52" s="18"/>
      <c r="Y52" s="29" t="str">
        <f t="shared" si="7"/>
        <v>Tampa Bay</v>
      </c>
      <c r="Z52" s="18">
        <f t="shared" si="8"/>
        <v>21</v>
      </c>
      <c r="AA52" s="18">
        <f t="shared" si="8"/>
        <v>18</v>
      </c>
      <c r="AB52" s="18">
        <f t="shared" si="8"/>
        <v>1</v>
      </c>
      <c r="AC52" s="18">
        <f t="shared" si="8"/>
        <v>22</v>
      </c>
      <c r="AD52" s="18">
        <f t="shared" si="8"/>
        <v>29</v>
      </c>
      <c r="AE52" s="18">
        <f t="shared" si="8"/>
        <v>29</v>
      </c>
    </row>
    <row r="53" spans="1:31">
      <c r="A53" s="18" t="str">
        <f>'Trends2000-1990'!AA52</f>
        <v>Washington</v>
      </c>
      <c r="B53" s="18">
        <f>'Summary-2000'!AB52</f>
        <v>35</v>
      </c>
      <c r="C53" s="18">
        <f>'Summary-2000'!AC52</f>
        <v>34</v>
      </c>
      <c r="D53" s="18">
        <f>'Summary-2000'!AD52</f>
        <v>16</v>
      </c>
      <c r="E53" s="18">
        <f>'Summary-2000'!AE52</f>
        <v>8</v>
      </c>
      <c r="F53" s="18">
        <f>'Summary-2000'!AF52</f>
        <v>7</v>
      </c>
      <c r="G53" s="18">
        <f>'Summary-2000'!AG52</f>
        <v>7</v>
      </c>
      <c r="H53" s="18"/>
      <c r="I53" s="18" t="str">
        <f t="shared" si="4"/>
        <v>Washington</v>
      </c>
      <c r="J53" s="18">
        <f>'Summary-1990'!AB52</f>
        <v>25</v>
      </c>
      <c r="K53" s="18">
        <f>'Summary-1990'!AC52</f>
        <v>18</v>
      </c>
      <c r="L53" s="18">
        <f>'Summary-1990'!AD52</f>
        <v>8</v>
      </c>
      <c r="M53" s="18">
        <f>'Summary-1990'!AE52</f>
        <v>5</v>
      </c>
      <c r="N53" s="18">
        <f>'Summary-1990'!AF52</f>
        <v>5</v>
      </c>
      <c r="O53" s="18">
        <f>'Summary-1990'!AG52</f>
        <v>5</v>
      </c>
      <c r="P53" s="18"/>
      <c r="Q53" s="18" t="str">
        <f t="shared" si="5"/>
        <v>Washington</v>
      </c>
      <c r="R53" s="18">
        <f t="shared" si="6"/>
        <v>10</v>
      </c>
      <c r="S53" s="18">
        <f t="shared" si="2"/>
        <v>16</v>
      </c>
      <c r="T53" s="18">
        <f t="shared" si="2"/>
        <v>8</v>
      </c>
      <c r="U53" s="18">
        <f t="shared" si="2"/>
        <v>3</v>
      </c>
      <c r="V53" s="18">
        <f t="shared" si="2"/>
        <v>2</v>
      </c>
      <c r="W53" s="18">
        <f t="shared" si="2"/>
        <v>2</v>
      </c>
      <c r="X53" s="18"/>
      <c r="Y53" s="29" t="str">
        <f t="shared" si="7"/>
        <v>Washington</v>
      </c>
      <c r="Z53" s="18">
        <f t="shared" si="8"/>
        <v>11</v>
      </c>
      <c r="AA53" s="18">
        <f t="shared" si="8"/>
        <v>7</v>
      </c>
      <c r="AB53" s="18">
        <f t="shared" si="8"/>
        <v>11</v>
      </c>
      <c r="AC53" s="18">
        <f t="shared" si="8"/>
        <v>15</v>
      </c>
      <c r="AD53" s="18">
        <f t="shared" si="8"/>
        <v>12</v>
      </c>
      <c r="AE53" s="18">
        <f t="shared" si="8"/>
        <v>13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selection activeCell="A10" sqref="A10:G60"/>
    </sheetView>
  </sheetViews>
  <sheetFormatPr baseColWidth="10" defaultRowHeight="14" x14ac:dyDescent="0"/>
  <cols>
    <col min="1" max="1" width="16.33203125" customWidth="1"/>
    <col min="2" max="2" width="11.1640625" bestFit="1" customWidth="1"/>
    <col min="3" max="7" width="12.1640625" bestFit="1" customWidth="1"/>
  </cols>
  <sheetData>
    <row r="1" spans="1:7" s="18" customFormat="1"/>
    <row r="2" spans="1:7" s="18" customFormat="1"/>
    <row r="3" spans="1:7" s="18" customFormat="1"/>
    <row r="4" spans="1:7" s="18" customFormat="1"/>
    <row r="5" spans="1:7" s="18" customFormat="1"/>
    <row r="6" spans="1:7" s="18" customFormat="1">
      <c r="B6" s="18" t="s">
        <v>560</v>
      </c>
    </row>
    <row r="7" spans="1:7" s="18" customFormat="1"/>
    <row r="8" spans="1:7" s="18" customFormat="1">
      <c r="B8" s="18" t="s">
        <v>561</v>
      </c>
    </row>
    <row r="9" spans="1:7">
      <c r="A9" t="s">
        <v>16</v>
      </c>
      <c r="B9" t="s">
        <v>562</v>
      </c>
      <c r="C9" t="s">
        <v>563</v>
      </c>
      <c r="D9" t="s">
        <v>564</v>
      </c>
      <c r="E9" t="s">
        <v>565</v>
      </c>
      <c r="F9" t="s">
        <v>566</v>
      </c>
      <c r="G9" t="s">
        <v>567</v>
      </c>
    </row>
    <row r="10" spans="1:7">
      <c r="A10" t="s">
        <v>26</v>
      </c>
      <c r="B10" s="134">
        <v>59477.087215210449</v>
      </c>
      <c r="C10" s="134">
        <v>357114.32621363772</v>
      </c>
      <c r="D10" s="134">
        <v>856121.79195020988</v>
      </c>
      <c r="E10" s="134">
        <v>1588130.5854499077</v>
      </c>
      <c r="F10" s="134">
        <v>2003047</v>
      </c>
      <c r="G10" s="134">
        <v>2003047</v>
      </c>
    </row>
    <row r="11" spans="1:7">
      <c r="A11" t="s">
        <v>27</v>
      </c>
      <c r="B11" s="134">
        <v>89629.201822561517</v>
      </c>
      <c r="C11" s="134">
        <v>640563</v>
      </c>
      <c r="D11" s="134">
        <v>640563</v>
      </c>
      <c r="E11" s="134">
        <v>640563</v>
      </c>
      <c r="F11" s="134">
        <v>640563</v>
      </c>
      <c r="G11" s="134">
        <v>640563</v>
      </c>
    </row>
    <row r="12" spans="1:7">
      <c r="A12" t="s">
        <v>28</v>
      </c>
      <c r="B12" s="134">
        <v>107844.65382434858</v>
      </c>
      <c r="C12" s="134">
        <v>505005.92833196349</v>
      </c>
      <c r="D12" s="134">
        <v>1059610</v>
      </c>
      <c r="E12" s="134">
        <v>1059610</v>
      </c>
      <c r="F12" s="134">
        <v>1059610</v>
      </c>
      <c r="G12" s="134">
        <v>1059610</v>
      </c>
    </row>
    <row r="13" spans="1:7">
      <c r="A13" t="s">
        <v>29</v>
      </c>
      <c r="B13" s="134">
        <v>79903.141132802062</v>
      </c>
      <c r="C13" s="134">
        <v>380997.72673862876</v>
      </c>
      <c r="D13" s="134">
        <v>902723.08481473557</v>
      </c>
      <c r="E13" s="134">
        <v>1653111.0797729834</v>
      </c>
      <c r="F13" s="134">
        <v>2224822</v>
      </c>
      <c r="G13" s="134">
        <v>2224822</v>
      </c>
    </row>
    <row r="14" spans="1:7">
      <c r="A14" t="s">
        <v>30</v>
      </c>
      <c r="B14" s="134">
        <v>94459.484365383207</v>
      </c>
      <c r="C14" s="134">
        <v>423039.02700825938</v>
      </c>
      <c r="D14" s="134">
        <v>455704</v>
      </c>
      <c r="E14" s="134">
        <v>455704</v>
      </c>
      <c r="F14" s="134">
        <v>455704</v>
      </c>
      <c r="G14" s="134">
        <v>455704</v>
      </c>
    </row>
    <row r="15" spans="1:7">
      <c r="A15" t="s">
        <v>31</v>
      </c>
      <c r="B15" s="134">
        <v>73877.556777495964</v>
      </c>
      <c r="C15" s="134">
        <v>571729.87196849112</v>
      </c>
      <c r="D15" s="134">
        <v>727384</v>
      </c>
      <c r="E15" s="134">
        <v>727384</v>
      </c>
      <c r="F15" s="134">
        <v>727384</v>
      </c>
      <c r="G15" s="134">
        <v>727384</v>
      </c>
    </row>
    <row r="16" spans="1:7">
      <c r="A16" t="s">
        <v>32</v>
      </c>
      <c r="B16" s="134">
        <v>115890.25842025383</v>
      </c>
      <c r="C16" s="134">
        <v>586581.44644558418</v>
      </c>
      <c r="D16" s="134">
        <v>1374107.789263207</v>
      </c>
      <c r="E16" s="134">
        <v>2528445.6370365508</v>
      </c>
      <c r="F16" s="134">
        <v>3797772</v>
      </c>
      <c r="G16" s="134">
        <v>3797772</v>
      </c>
    </row>
    <row r="17" spans="1:7">
      <c r="A17" t="s">
        <v>33</v>
      </c>
      <c r="B17" s="134">
        <v>76612.184685765256</v>
      </c>
      <c r="C17" s="134">
        <v>401138.38245234394</v>
      </c>
      <c r="D17" s="134">
        <v>874547</v>
      </c>
      <c r="E17" s="134">
        <v>874547</v>
      </c>
      <c r="F17" s="134">
        <v>874547</v>
      </c>
      <c r="G17" s="134">
        <v>874547</v>
      </c>
    </row>
    <row r="18" spans="1:7">
      <c r="A18" t="s">
        <v>34</v>
      </c>
      <c r="B18" s="134">
        <v>85324.054837031712</v>
      </c>
      <c r="C18" s="134">
        <v>446467.99250383215</v>
      </c>
      <c r="D18" s="134">
        <v>870158</v>
      </c>
      <c r="E18" s="134">
        <v>870158</v>
      </c>
      <c r="F18" s="134">
        <v>870158</v>
      </c>
      <c r="G18" s="134">
        <v>870158</v>
      </c>
    </row>
    <row r="19" spans="1:7">
      <c r="A19" t="s">
        <v>35</v>
      </c>
      <c r="B19" s="134">
        <v>115722.79781261661</v>
      </c>
      <c r="C19" s="134">
        <v>669713.88303535443</v>
      </c>
      <c r="D19" s="134">
        <v>750329</v>
      </c>
      <c r="E19" s="134">
        <v>750329</v>
      </c>
      <c r="F19" s="134">
        <v>750329</v>
      </c>
      <c r="G19" s="134">
        <v>750329</v>
      </c>
    </row>
    <row r="20" spans="1:7">
      <c r="A20" t="s">
        <v>61</v>
      </c>
      <c r="B20" s="134">
        <v>108324.50891921732</v>
      </c>
      <c r="C20" s="134">
        <v>597233.58846079186</v>
      </c>
      <c r="D20" s="134">
        <v>1422964.4472271064</v>
      </c>
      <c r="E20" s="134">
        <v>2510280</v>
      </c>
      <c r="F20" s="134">
        <v>2510280</v>
      </c>
      <c r="G20" s="134">
        <v>2510280</v>
      </c>
    </row>
    <row r="21" spans="1:7">
      <c r="A21" t="s">
        <v>36</v>
      </c>
      <c r="B21" s="134">
        <v>99068.503128629716</v>
      </c>
      <c r="C21" s="134">
        <v>540922.90363187587</v>
      </c>
      <c r="D21" s="134">
        <v>1038146</v>
      </c>
      <c r="E21" s="134">
        <v>1038146</v>
      </c>
      <c r="F21" s="134">
        <v>1038146</v>
      </c>
      <c r="G21" s="134">
        <v>1038146</v>
      </c>
    </row>
    <row r="22" spans="1:7">
      <c r="A22" t="s">
        <v>37</v>
      </c>
      <c r="B22" s="134">
        <v>86090.78058302615</v>
      </c>
      <c r="C22" s="134">
        <v>398894.79536645184</v>
      </c>
      <c r="D22" s="134">
        <v>934287.0254247128</v>
      </c>
      <c r="E22" s="134">
        <v>1500978</v>
      </c>
      <c r="F22" s="134">
        <v>1500978</v>
      </c>
      <c r="G22" s="134">
        <v>1500978</v>
      </c>
    </row>
    <row r="23" spans="1:7">
      <c r="A23" t="s">
        <v>79</v>
      </c>
      <c r="B23" s="134">
        <v>100659.20317123037</v>
      </c>
      <c r="C23" s="134">
        <v>318367</v>
      </c>
      <c r="D23" s="134">
        <v>318367</v>
      </c>
      <c r="E23" s="134">
        <v>318367</v>
      </c>
      <c r="F23" s="134">
        <v>318367</v>
      </c>
      <c r="G23" s="134">
        <v>318367</v>
      </c>
    </row>
    <row r="24" spans="1:7">
      <c r="A24" t="s">
        <v>511</v>
      </c>
      <c r="B24" s="134">
        <v>82509.921484111066</v>
      </c>
      <c r="C24" s="134">
        <v>354964.13810537558</v>
      </c>
      <c r="D24" s="134">
        <v>593797</v>
      </c>
      <c r="E24" s="134">
        <v>593797</v>
      </c>
      <c r="F24" s="134">
        <v>593797</v>
      </c>
      <c r="G24" s="134">
        <v>593797</v>
      </c>
    </row>
    <row r="25" spans="1:7">
      <c r="A25" t="s">
        <v>38</v>
      </c>
      <c r="B25" s="134">
        <v>79707.74672576852</v>
      </c>
      <c r="C25" s="134">
        <v>382882.50895852002</v>
      </c>
      <c r="D25" s="134">
        <v>529323</v>
      </c>
      <c r="E25" s="134">
        <v>529323</v>
      </c>
      <c r="F25" s="134">
        <v>529323</v>
      </c>
      <c r="G25" s="134">
        <v>529323</v>
      </c>
    </row>
    <row r="26" spans="1:7">
      <c r="A26" t="s">
        <v>80</v>
      </c>
      <c r="B26" s="134">
        <v>99156.226201750687</v>
      </c>
      <c r="C26" s="134">
        <v>335934</v>
      </c>
      <c r="D26" s="134">
        <v>335934</v>
      </c>
      <c r="E26" s="134">
        <v>335934</v>
      </c>
      <c r="F26" s="134">
        <v>335934</v>
      </c>
      <c r="G26" s="134">
        <v>335934</v>
      </c>
    </row>
    <row r="27" spans="1:7">
      <c r="A27" t="s">
        <v>39</v>
      </c>
      <c r="B27" s="134">
        <v>98662.448903097451</v>
      </c>
      <c r="C27" s="134">
        <v>561143.75581151294</v>
      </c>
      <c r="D27" s="134">
        <v>1327200.7564838568</v>
      </c>
      <c r="E27" s="134">
        <v>2176567</v>
      </c>
      <c r="F27" s="134">
        <v>2176567</v>
      </c>
      <c r="G27" s="134">
        <v>2176567</v>
      </c>
    </row>
    <row r="28" spans="1:7">
      <c r="A28" t="s">
        <v>40</v>
      </c>
      <c r="B28" s="134">
        <v>78645.092666567827</v>
      </c>
      <c r="C28" s="134">
        <v>439598.57442472788</v>
      </c>
      <c r="D28" s="134">
        <v>742919</v>
      </c>
      <c r="E28" s="134">
        <v>742919</v>
      </c>
      <c r="F28" s="134">
        <v>742919</v>
      </c>
      <c r="G28" s="134">
        <v>742919</v>
      </c>
    </row>
    <row r="29" spans="1:7">
      <c r="A29" t="s">
        <v>41</v>
      </c>
      <c r="B29" s="134">
        <v>134775.98201775912</v>
      </c>
      <c r="C29" s="134">
        <v>724869.47026204946</v>
      </c>
      <c r="D29" s="134">
        <v>860640</v>
      </c>
      <c r="E29" s="134">
        <v>860640</v>
      </c>
      <c r="F29" s="134">
        <v>860640</v>
      </c>
      <c r="G29" s="134">
        <v>860640</v>
      </c>
    </row>
    <row r="30" spans="1:7">
      <c r="A30" t="s">
        <v>74</v>
      </c>
      <c r="B30" s="134">
        <v>116870.79447588885</v>
      </c>
      <c r="C30" s="134">
        <v>583873.62631802948</v>
      </c>
      <c r="D30" s="134">
        <v>928617</v>
      </c>
      <c r="E30" s="134">
        <v>928617</v>
      </c>
      <c r="F30" s="134">
        <v>928617</v>
      </c>
      <c r="G30" s="134">
        <v>928617</v>
      </c>
    </row>
    <row r="31" spans="1:7">
      <c r="A31" t="s">
        <v>62</v>
      </c>
      <c r="B31" s="134">
        <v>130713.55913083299</v>
      </c>
      <c r="C31" s="134">
        <v>731876</v>
      </c>
      <c r="D31" s="134">
        <v>731876</v>
      </c>
      <c r="E31" s="134">
        <v>731876</v>
      </c>
      <c r="F31" s="134">
        <v>731876</v>
      </c>
      <c r="G31" s="134">
        <v>731876</v>
      </c>
    </row>
    <row r="32" spans="1:7">
      <c r="A32" t="s">
        <v>63</v>
      </c>
      <c r="B32" s="134">
        <v>237203.0038730845</v>
      </c>
      <c r="C32" s="134">
        <v>1095687.2593002284</v>
      </c>
      <c r="D32" s="134">
        <v>2558449.1186724417</v>
      </c>
      <c r="E32" s="134">
        <v>4649343.396246627</v>
      </c>
      <c r="F32" s="134">
        <v>4852354</v>
      </c>
      <c r="G32" s="134">
        <v>4852354</v>
      </c>
    </row>
    <row r="33" spans="1:7">
      <c r="A33" t="s">
        <v>42</v>
      </c>
      <c r="B33" s="134">
        <v>88446.237978409743</v>
      </c>
      <c r="C33" s="134">
        <v>472112.16138626228</v>
      </c>
      <c r="D33" s="134">
        <v>515000</v>
      </c>
      <c r="E33" s="134">
        <v>515000</v>
      </c>
      <c r="F33" s="134">
        <v>515000</v>
      </c>
      <c r="G33" s="134">
        <v>515000</v>
      </c>
    </row>
    <row r="34" spans="1:7">
      <c r="A34" t="s">
        <v>43</v>
      </c>
      <c r="B34" s="134">
        <v>78516.475043575003</v>
      </c>
      <c r="C34" s="134">
        <v>426149.45599156641</v>
      </c>
      <c r="D34" s="134">
        <v>509166</v>
      </c>
      <c r="E34" s="134">
        <v>509166</v>
      </c>
      <c r="F34" s="134">
        <v>509166</v>
      </c>
      <c r="G34" s="134">
        <v>509166</v>
      </c>
    </row>
    <row r="35" spans="1:7">
      <c r="A35" t="s">
        <v>397</v>
      </c>
      <c r="B35" s="134">
        <v>97777.722174043389</v>
      </c>
      <c r="C35" s="134">
        <v>471362.82132516982</v>
      </c>
      <c r="D35" s="134">
        <v>1094312.5473924817</v>
      </c>
      <c r="E35" s="134">
        <v>1820909</v>
      </c>
      <c r="F35" s="134">
        <v>1820909</v>
      </c>
      <c r="G35" s="134">
        <v>1820909</v>
      </c>
    </row>
    <row r="36" spans="1:7">
      <c r="A36" t="s">
        <v>44</v>
      </c>
      <c r="B36" s="134">
        <v>127253.68181943308</v>
      </c>
      <c r="C36" s="134">
        <v>618571.37664177152</v>
      </c>
      <c r="D36" s="134">
        <v>737279</v>
      </c>
      <c r="E36" s="134">
        <v>737279</v>
      </c>
      <c r="F36" s="134">
        <v>737279</v>
      </c>
      <c r="G36" s="134">
        <v>737279</v>
      </c>
    </row>
    <row r="37" spans="1:7">
      <c r="A37" t="s">
        <v>45</v>
      </c>
      <c r="B37" s="134">
        <v>145051.71280497365</v>
      </c>
      <c r="C37" s="134">
        <v>730528.7695081787</v>
      </c>
      <c r="D37" s="134">
        <v>1572381</v>
      </c>
      <c r="E37" s="134">
        <v>1572381</v>
      </c>
      <c r="F37" s="134">
        <v>1572381</v>
      </c>
      <c r="G37" s="134">
        <v>1572381</v>
      </c>
    </row>
    <row r="38" spans="1:7">
      <c r="A38" t="s">
        <v>46</v>
      </c>
      <c r="B38" s="134">
        <v>84487.138953334492</v>
      </c>
      <c r="C38" s="134">
        <v>488658.26800748089</v>
      </c>
      <c r="D38" s="134">
        <v>652935</v>
      </c>
      <c r="E38" s="134">
        <v>652935</v>
      </c>
      <c r="F38" s="134">
        <v>652935</v>
      </c>
      <c r="G38" s="134">
        <v>652935</v>
      </c>
    </row>
    <row r="39" spans="1:7">
      <c r="A39" t="s">
        <v>47</v>
      </c>
      <c r="B39" s="134">
        <v>146521.0037659615</v>
      </c>
      <c r="C39" s="134">
        <v>446087</v>
      </c>
      <c r="D39" s="134">
        <v>446087</v>
      </c>
      <c r="E39" s="134">
        <v>446087</v>
      </c>
      <c r="F39" s="134">
        <v>446087</v>
      </c>
      <c r="G39" s="134">
        <v>446087</v>
      </c>
    </row>
    <row r="40" spans="1:7">
      <c r="A40" t="s">
        <v>64</v>
      </c>
      <c r="B40" s="134">
        <v>150849.22922843814</v>
      </c>
      <c r="C40" s="134">
        <v>673998.06986121216</v>
      </c>
      <c r="D40" s="134">
        <v>1582215.4569201486</v>
      </c>
      <c r="E40" s="134">
        <v>2877039.5005336097</v>
      </c>
      <c r="F40" s="134">
        <v>4561231.0342193842</v>
      </c>
      <c r="G40" s="134">
        <v>6625887.0604952732</v>
      </c>
    </row>
    <row r="41" spans="1:7">
      <c r="A41" t="s">
        <v>65</v>
      </c>
      <c r="B41" s="134">
        <v>82314.264453750657</v>
      </c>
      <c r="C41" s="134">
        <v>439254.93727983028</v>
      </c>
      <c r="D41" s="134">
        <v>452754</v>
      </c>
      <c r="E41" s="134">
        <v>452754</v>
      </c>
      <c r="F41" s="134">
        <v>452754</v>
      </c>
      <c r="G41" s="134">
        <v>452754</v>
      </c>
    </row>
    <row r="42" spans="1:7">
      <c r="A42" t="s">
        <v>48</v>
      </c>
      <c r="B42" s="134">
        <v>98773.851712398857</v>
      </c>
      <c r="C42" s="134">
        <v>551444.96986263094</v>
      </c>
      <c r="D42" s="134">
        <v>855864</v>
      </c>
      <c r="E42" s="134">
        <v>855864</v>
      </c>
      <c r="F42" s="134">
        <v>855864</v>
      </c>
      <c r="G42" s="134">
        <v>855864</v>
      </c>
    </row>
    <row r="43" spans="1:7">
      <c r="A43" t="s">
        <v>66</v>
      </c>
      <c r="B43" s="134">
        <v>81951.000854739366</v>
      </c>
      <c r="C43" s="134">
        <v>403186.86050998722</v>
      </c>
      <c r="D43" s="134">
        <v>937703.29641151999</v>
      </c>
      <c r="E43" s="134">
        <v>1711557.4646781173</v>
      </c>
      <c r="F43" s="134">
        <v>2421591</v>
      </c>
      <c r="G43" s="134">
        <v>2421591</v>
      </c>
    </row>
    <row r="44" spans="1:7">
      <c r="A44" t="s">
        <v>49</v>
      </c>
      <c r="B44" s="134">
        <v>101446.25434415594</v>
      </c>
      <c r="C44" s="134">
        <v>592322.7718084621</v>
      </c>
      <c r="D44" s="134">
        <v>1389979.1548369506</v>
      </c>
      <c r="E44" s="134">
        <v>1453359</v>
      </c>
      <c r="F44" s="134">
        <v>1453359</v>
      </c>
      <c r="G44" s="134">
        <v>1453359</v>
      </c>
    </row>
    <row r="45" spans="1:7">
      <c r="A45" t="s">
        <v>50</v>
      </c>
      <c r="B45" s="134">
        <v>68890.85308394146</v>
      </c>
      <c r="C45" s="134">
        <v>324725.42681129312</v>
      </c>
      <c r="D45" s="134">
        <v>770156.32802858681</v>
      </c>
      <c r="E45" s="134">
        <v>1030938</v>
      </c>
      <c r="F45" s="134">
        <v>1030938</v>
      </c>
      <c r="G45" s="134">
        <v>1030938</v>
      </c>
    </row>
    <row r="46" spans="1:7">
      <c r="A46" t="s">
        <v>51</v>
      </c>
      <c r="B46" s="134">
        <v>81313.059510253588</v>
      </c>
      <c r="C46" s="134">
        <v>378819.7669078855</v>
      </c>
      <c r="D46" s="134">
        <v>870794</v>
      </c>
      <c r="E46" s="134">
        <v>870794</v>
      </c>
      <c r="F46" s="134">
        <v>870794</v>
      </c>
      <c r="G46" s="134">
        <v>870794</v>
      </c>
    </row>
    <row r="47" spans="1:7">
      <c r="A47" t="s">
        <v>52</v>
      </c>
      <c r="B47" s="134">
        <v>76318.44924304809</v>
      </c>
      <c r="C47" s="134">
        <v>363222.00727415021</v>
      </c>
      <c r="D47" s="134">
        <v>590501</v>
      </c>
      <c r="E47" s="134">
        <v>590501</v>
      </c>
      <c r="F47" s="134">
        <v>590501</v>
      </c>
      <c r="G47" s="134">
        <v>590501</v>
      </c>
    </row>
    <row r="48" spans="1:7">
      <c r="A48" t="s">
        <v>53</v>
      </c>
      <c r="B48" s="134">
        <v>72549.958277232217</v>
      </c>
      <c r="C48" s="134">
        <v>410617</v>
      </c>
      <c r="D48" s="134">
        <v>410617</v>
      </c>
      <c r="E48" s="134">
        <v>410617</v>
      </c>
      <c r="F48" s="134">
        <v>410617</v>
      </c>
      <c r="G48" s="134">
        <v>410617</v>
      </c>
    </row>
    <row r="49" spans="1:7">
      <c r="A49" t="s">
        <v>559</v>
      </c>
      <c r="B49" s="134">
        <v>163148.04251446438</v>
      </c>
      <c r="C49" s="134">
        <v>819185.77672529488</v>
      </c>
      <c r="D49" s="134">
        <v>957326</v>
      </c>
      <c r="E49" s="134">
        <v>957326</v>
      </c>
      <c r="F49" s="134">
        <v>957326</v>
      </c>
      <c r="G49" s="134">
        <v>957326</v>
      </c>
    </row>
    <row r="50" spans="1:7">
      <c r="A50" t="s">
        <v>81</v>
      </c>
      <c r="B50" s="134">
        <v>103745.16463286408</v>
      </c>
      <c r="C50" s="134">
        <v>415085</v>
      </c>
      <c r="D50" s="134">
        <v>415085</v>
      </c>
      <c r="E50" s="134">
        <v>415085</v>
      </c>
      <c r="F50" s="134">
        <v>415085</v>
      </c>
      <c r="G50" s="134">
        <v>415085</v>
      </c>
    </row>
    <row r="51" spans="1:7">
      <c r="A51" t="s">
        <v>54</v>
      </c>
      <c r="B51" s="134">
        <v>105441.47642108904</v>
      </c>
      <c r="C51" s="134">
        <v>563562.67883128219</v>
      </c>
      <c r="D51" s="134">
        <v>621068</v>
      </c>
      <c r="E51" s="134">
        <v>621068</v>
      </c>
      <c r="F51" s="134">
        <v>621068</v>
      </c>
      <c r="G51" s="134">
        <v>621068</v>
      </c>
    </row>
    <row r="52" spans="1:7">
      <c r="A52" t="s">
        <v>55</v>
      </c>
      <c r="B52" s="134">
        <v>136059.7416482447</v>
      </c>
      <c r="C52" s="134">
        <v>526157</v>
      </c>
      <c r="D52" s="134">
        <v>526157</v>
      </c>
      <c r="E52" s="134">
        <v>526157</v>
      </c>
      <c r="F52" s="134">
        <v>526157</v>
      </c>
      <c r="G52" s="134">
        <v>526157</v>
      </c>
    </row>
    <row r="53" spans="1:7">
      <c r="A53" t="s">
        <v>67</v>
      </c>
      <c r="B53" s="134">
        <v>97780.030761198985</v>
      </c>
      <c r="C53" s="134">
        <v>623055.99068474921</v>
      </c>
      <c r="D53" s="134">
        <v>718175</v>
      </c>
      <c r="E53" s="134">
        <v>718175</v>
      </c>
      <c r="F53" s="134">
        <v>718175</v>
      </c>
      <c r="G53" s="134">
        <v>718175</v>
      </c>
    </row>
    <row r="54" spans="1:7">
      <c r="A54" t="s">
        <v>68</v>
      </c>
      <c r="B54" s="134">
        <v>132348.40758081837</v>
      </c>
      <c r="C54" s="134">
        <v>517739.77444307803</v>
      </c>
      <c r="D54" s="134">
        <v>1101324</v>
      </c>
      <c r="E54" s="134">
        <v>1101324</v>
      </c>
      <c r="F54" s="134">
        <v>1101324</v>
      </c>
      <c r="G54" s="134">
        <v>1101324</v>
      </c>
    </row>
    <row r="55" spans="1:7">
      <c r="A55" t="s">
        <v>69</v>
      </c>
      <c r="B55" s="134">
        <v>283549.01608170767</v>
      </c>
      <c r="C55" s="134">
        <v>1422049.7814910868</v>
      </c>
      <c r="D55" s="134">
        <v>1767793</v>
      </c>
      <c r="E55" s="134">
        <v>1767793</v>
      </c>
      <c r="F55" s="134">
        <v>1767793</v>
      </c>
      <c r="G55" s="134">
        <v>1767793</v>
      </c>
    </row>
    <row r="56" spans="1:7">
      <c r="A56" t="s">
        <v>85</v>
      </c>
      <c r="B56" s="134">
        <v>237928.87404721085</v>
      </c>
      <c r="C56" s="134">
        <v>857032</v>
      </c>
      <c r="D56" s="134">
        <v>857032</v>
      </c>
      <c r="E56" s="134">
        <v>857032</v>
      </c>
      <c r="F56" s="134">
        <v>857032</v>
      </c>
      <c r="G56" s="134">
        <v>857032</v>
      </c>
    </row>
    <row r="57" spans="1:7">
      <c r="A57" t="s">
        <v>56</v>
      </c>
      <c r="B57" s="134">
        <v>77482.814584184482</v>
      </c>
      <c r="C57" s="134">
        <v>325530.2169469131</v>
      </c>
      <c r="D57" s="134">
        <v>758921.92732014239</v>
      </c>
      <c r="E57" s="134">
        <v>1380319.4704381595</v>
      </c>
      <c r="F57" s="134">
        <v>1435764</v>
      </c>
      <c r="G57" s="134">
        <v>1435764</v>
      </c>
    </row>
    <row r="58" spans="1:7">
      <c r="A58" t="s">
        <v>57</v>
      </c>
      <c r="B58" s="134">
        <v>64088.551775929547</v>
      </c>
      <c r="C58" s="134">
        <v>303959.21776721347</v>
      </c>
      <c r="D58" s="134">
        <v>710908.51573269255</v>
      </c>
      <c r="E58" s="134">
        <v>1169641</v>
      </c>
      <c r="F58" s="134">
        <v>1169641</v>
      </c>
      <c r="G58" s="134">
        <v>1169641</v>
      </c>
    </row>
    <row r="59" spans="1:7">
      <c r="A59" t="s">
        <v>70</v>
      </c>
      <c r="B59" s="134">
        <v>74681.654984007779</v>
      </c>
      <c r="C59" s="134">
        <v>385041.61568925477</v>
      </c>
      <c r="D59" s="134">
        <v>897069.65890559135</v>
      </c>
      <c r="E59" s="134">
        <v>932231</v>
      </c>
      <c r="F59" s="134">
        <v>932231</v>
      </c>
      <c r="G59" s="134">
        <v>932231</v>
      </c>
    </row>
    <row r="60" spans="1:7">
      <c r="A60" t="s">
        <v>58</v>
      </c>
      <c r="B60" s="134">
        <v>108988.25484950817</v>
      </c>
      <c r="C60" s="134">
        <v>550365.34000675427</v>
      </c>
      <c r="D60" s="134">
        <v>1326239.0047034791</v>
      </c>
      <c r="E60" s="134">
        <v>2370531</v>
      </c>
      <c r="F60" s="134">
        <v>2370531</v>
      </c>
      <c r="G60" s="134">
        <v>2370531</v>
      </c>
    </row>
  </sheetData>
  <sortState ref="A2:J52">
    <sortCondition ref="A2:A52"/>
  </sortState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sqref="A1:F54"/>
    </sheetView>
  </sheetViews>
  <sheetFormatPr baseColWidth="10" defaultRowHeight="14" x14ac:dyDescent="0"/>
  <cols>
    <col min="1" max="1" width="22.6640625" customWidth="1"/>
    <col min="2" max="4" width="12.1640625" bestFit="1" customWidth="1"/>
    <col min="5" max="5" width="12.6640625" bestFit="1" customWidth="1"/>
    <col min="6" max="6" width="11.33203125" bestFit="1" customWidth="1"/>
  </cols>
  <sheetData>
    <row r="1" spans="1:6">
      <c r="A1" s="29" t="s">
        <v>16</v>
      </c>
      <c r="B1">
        <v>1990</v>
      </c>
      <c r="C1">
        <v>2000</v>
      </c>
      <c r="D1" s="146">
        <v>2010</v>
      </c>
      <c r="E1" t="s">
        <v>572</v>
      </c>
      <c r="F1" t="s">
        <v>573</v>
      </c>
    </row>
    <row r="2" spans="1:6">
      <c r="A2" s="18" t="s">
        <v>26</v>
      </c>
      <c r="B2" s="134">
        <v>1481781</v>
      </c>
      <c r="C2" s="134">
        <v>2129188</v>
      </c>
      <c r="D2" s="148">
        <f>'2010-10'!P3</f>
        <v>2003047</v>
      </c>
      <c r="E2" s="134">
        <f>D2-B2</f>
        <v>521266</v>
      </c>
      <c r="F2" s="134">
        <f>D2-C2</f>
        <v>-126141</v>
      </c>
    </row>
    <row r="3" spans="1:6">
      <c r="A3" s="18" t="s">
        <v>27</v>
      </c>
      <c r="B3" s="134">
        <v>404016</v>
      </c>
      <c r="C3" s="134">
        <v>580485</v>
      </c>
      <c r="D3" s="148">
        <f>'2010-10'!P4</f>
        <v>640563</v>
      </c>
      <c r="E3" s="134">
        <f t="shared" ref="E3:E52" si="0">D3-B3</f>
        <v>236547</v>
      </c>
      <c r="F3" s="134">
        <f t="shared" ref="F3:F52" si="1">D3-C3</f>
        <v>60078</v>
      </c>
    </row>
    <row r="4" spans="1:6">
      <c r="A4" s="18" t="s">
        <v>28</v>
      </c>
      <c r="B4" s="134">
        <v>1191813</v>
      </c>
      <c r="C4" s="134">
        <v>1063684</v>
      </c>
      <c r="D4" s="148">
        <f>'2010-10'!P5</f>
        <v>1059610</v>
      </c>
      <c r="E4" s="134">
        <f t="shared" si="0"/>
        <v>-132203</v>
      </c>
      <c r="F4" s="134">
        <f t="shared" si="1"/>
        <v>-4074</v>
      </c>
    </row>
    <row r="5" spans="1:6">
      <c r="A5" s="18" t="s">
        <v>29</v>
      </c>
      <c r="B5" s="134">
        <v>2141717</v>
      </c>
      <c r="C5" s="134">
        <v>3075331</v>
      </c>
      <c r="D5" s="148">
        <f>'2010-10'!P6</f>
        <v>2902747</v>
      </c>
      <c r="E5" s="134">
        <f t="shared" si="0"/>
        <v>761030</v>
      </c>
      <c r="F5" s="134">
        <f t="shared" si="1"/>
        <v>-172584</v>
      </c>
    </row>
    <row r="6" spans="1:6">
      <c r="A6" s="18" t="s">
        <v>30</v>
      </c>
      <c r="B6" s="134">
        <v>531122</v>
      </c>
      <c r="C6" s="134">
        <v>475627</v>
      </c>
      <c r="D6" s="148">
        <f>'2010-10'!P7</f>
        <v>455704</v>
      </c>
      <c r="E6" s="134">
        <f t="shared" si="0"/>
        <v>-75418</v>
      </c>
      <c r="F6" s="134">
        <f t="shared" si="1"/>
        <v>-19923</v>
      </c>
    </row>
    <row r="7" spans="1:6">
      <c r="A7" s="18" t="s">
        <v>31</v>
      </c>
      <c r="B7" s="134">
        <v>604856</v>
      </c>
      <c r="C7" s="134">
        <v>811507</v>
      </c>
      <c r="D7" s="148">
        <f>'2010-10'!P8</f>
        <v>727384</v>
      </c>
      <c r="E7" s="134">
        <f t="shared" si="0"/>
        <v>122528</v>
      </c>
      <c r="F7" s="134">
        <f t="shared" si="1"/>
        <v>-84123</v>
      </c>
    </row>
    <row r="8" spans="1:6">
      <c r="A8" s="18" t="s">
        <v>32</v>
      </c>
      <c r="B8" s="134">
        <v>3841337</v>
      </c>
      <c r="C8" s="134">
        <f>3915405+225650+48734</f>
        <v>4189789</v>
      </c>
      <c r="D8" s="148">
        <f>'2010-10'!P9</f>
        <v>3797772</v>
      </c>
      <c r="E8" s="134">
        <f t="shared" si="0"/>
        <v>-43565</v>
      </c>
      <c r="F8" s="134">
        <f t="shared" si="1"/>
        <v>-392017</v>
      </c>
    </row>
    <row r="9" spans="1:6">
      <c r="A9" s="18" t="s">
        <v>33</v>
      </c>
      <c r="B9" s="134">
        <v>812766</v>
      </c>
      <c r="C9" s="134">
        <f>820201+114752</f>
        <v>934953</v>
      </c>
      <c r="D9" s="148">
        <f>'2010-10'!P10</f>
        <v>874547</v>
      </c>
      <c r="E9" s="134">
        <f t="shared" si="0"/>
        <v>61781</v>
      </c>
      <c r="F9" s="134">
        <f t="shared" si="1"/>
        <v>-60406</v>
      </c>
    </row>
    <row r="10" spans="1:6">
      <c r="A10" s="18" t="s">
        <v>34</v>
      </c>
      <c r="B10" s="134">
        <v>1242099</v>
      </c>
      <c r="C10" s="134">
        <v>1077676</v>
      </c>
      <c r="D10" s="148">
        <f>'2010-10'!P11</f>
        <v>870158</v>
      </c>
      <c r="E10" s="134">
        <f t="shared" si="0"/>
        <v>-371941</v>
      </c>
      <c r="F10" s="134">
        <f t="shared" si="1"/>
        <v>-207518</v>
      </c>
    </row>
    <row r="11" spans="1:6">
      <c r="A11" s="18" t="s">
        <v>35</v>
      </c>
      <c r="B11" s="134">
        <v>677859</v>
      </c>
      <c r="C11" s="134">
        <v>773508</v>
      </c>
      <c r="D11" s="148">
        <f>'2010-10'!P12</f>
        <v>750329</v>
      </c>
      <c r="E11" s="134">
        <f t="shared" si="0"/>
        <v>72470</v>
      </c>
      <c r="F11" s="134">
        <f t="shared" si="1"/>
        <v>-23179</v>
      </c>
    </row>
    <row r="12" spans="1:6">
      <c r="A12" s="18" t="s">
        <v>569</v>
      </c>
      <c r="B12" s="134">
        <v>1976606</v>
      </c>
      <c r="C12" s="134">
        <f>1915132+685951</f>
        <v>2601083</v>
      </c>
      <c r="D12" s="148">
        <f>'2010-10'!P13</f>
        <v>2510280</v>
      </c>
      <c r="E12" s="134">
        <f t="shared" si="0"/>
        <v>533674</v>
      </c>
      <c r="F12" s="134">
        <f t="shared" si="1"/>
        <v>-90803</v>
      </c>
    </row>
    <row r="13" spans="1:6">
      <c r="A13" s="18" t="s">
        <v>36</v>
      </c>
      <c r="B13" s="134">
        <v>964912</v>
      </c>
      <c r="C13" s="134">
        <v>1080509</v>
      </c>
      <c r="D13" s="148">
        <f>'2010-10'!P14</f>
        <v>1038146</v>
      </c>
      <c r="E13" s="134">
        <f t="shared" si="0"/>
        <v>73234</v>
      </c>
      <c r="F13" s="134">
        <f t="shared" si="1"/>
        <v>-42363</v>
      </c>
    </row>
    <row r="14" spans="1:6">
      <c r="A14" s="18" t="s">
        <v>37</v>
      </c>
      <c r="B14" s="134">
        <v>2079880</v>
      </c>
      <c r="C14" s="134">
        <v>1953268</v>
      </c>
      <c r="D14" s="148">
        <f>'2010-10'!P15</f>
        <v>1500978</v>
      </c>
      <c r="E14" s="134">
        <f t="shared" si="0"/>
        <v>-578902</v>
      </c>
      <c r="F14" s="134">
        <f t="shared" si="1"/>
        <v>-452290</v>
      </c>
    </row>
    <row r="15" spans="1:6">
      <c r="A15" s="18" t="s">
        <v>79</v>
      </c>
      <c r="B15" s="134">
        <f>337335</f>
        <v>337335</v>
      </c>
      <c r="C15" s="134">
        <v>530965</v>
      </c>
      <c r="D15" s="148">
        <f>'2010-10'!P16</f>
        <v>318367</v>
      </c>
      <c r="E15" s="134">
        <f t="shared" si="0"/>
        <v>-18968</v>
      </c>
      <c r="F15" s="134">
        <f t="shared" si="1"/>
        <v>-212598</v>
      </c>
    </row>
    <row r="16" spans="1:6">
      <c r="A16" s="18" t="s">
        <v>511</v>
      </c>
      <c r="B16" s="134">
        <v>698999</v>
      </c>
      <c r="C16" s="134">
        <v>573634</v>
      </c>
      <c r="D16" s="148">
        <f>'2010-10'!P17</f>
        <v>593797</v>
      </c>
      <c r="E16" s="134">
        <f t="shared" si="0"/>
        <v>-105202</v>
      </c>
      <c r="F16" s="134">
        <f t="shared" si="1"/>
        <v>20163</v>
      </c>
    </row>
    <row r="17" spans="1:6">
      <c r="A17" s="18" t="s">
        <v>38</v>
      </c>
      <c r="B17" s="134">
        <v>561969</v>
      </c>
      <c r="C17" s="134">
        <v>567921</v>
      </c>
      <c r="D17" s="148">
        <f>'2010-10'!P18</f>
        <v>529323</v>
      </c>
      <c r="E17" s="134">
        <f t="shared" si="0"/>
        <v>-32646</v>
      </c>
      <c r="F17" s="134">
        <f t="shared" si="1"/>
        <v>-38598</v>
      </c>
    </row>
    <row r="18" spans="1:6">
      <c r="A18" s="18" t="s">
        <v>80</v>
      </c>
      <c r="B18" s="134">
        <v>437518</v>
      </c>
      <c r="C18" s="134">
        <v>320461</v>
      </c>
      <c r="D18" s="148">
        <f>'2010-10'!P19</f>
        <v>335934</v>
      </c>
      <c r="E18" s="134">
        <f t="shared" si="0"/>
        <v>-101584</v>
      </c>
      <c r="F18" s="134">
        <f t="shared" si="1"/>
        <v>15473</v>
      </c>
    </row>
    <row r="19" spans="1:6">
      <c r="A19" s="18" t="s">
        <v>39</v>
      </c>
      <c r="B19" s="134">
        <v>1759796</v>
      </c>
      <c r="C19" s="134">
        <v>1870780</v>
      </c>
      <c r="D19" s="148">
        <f>'2010-10'!P20</f>
        <v>2176567</v>
      </c>
      <c r="E19" s="134">
        <f t="shared" si="0"/>
        <v>416771</v>
      </c>
      <c r="F19" s="134">
        <f t="shared" si="1"/>
        <v>305787</v>
      </c>
    </row>
    <row r="20" spans="1:6">
      <c r="A20" s="18" t="s">
        <v>40</v>
      </c>
      <c r="B20" s="134">
        <v>624971</v>
      </c>
      <c r="C20" s="134">
        <v>813465</v>
      </c>
      <c r="D20" s="148">
        <f>'2010-10'!P21</f>
        <v>742919</v>
      </c>
      <c r="E20" s="134">
        <f t="shared" si="0"/>
        <v>117948</v>
      </c>
      <c r="F20" s="134">
        <f t="shared" si="1"/>
        <v>-70546</v>
      </c>
    </row>
    <row r="21" spans="1:6">
      <c r="A21" s="18" t="s">
        <v>559</v>
      </c>
      <c r="B21" s="134">
        <v>766953</v>
      </c>
      <c r="C21" s="134">
        <v>877495</v>
      </c>
      <c r="D21" s="148">
        <f>'2010-10'!P22</f>
        <v>957326</v>
      </c>
      <c r="E21" s="134">
        <f t="shared" si="0"/>
        <v>190373</v>
      </c>
      <c r="F21" s="134">
        <f t="shared" si="1"/>
        <v>79831</v>
      </c>
    </row>
    <row r="22" spans="1:6">
      <c r="A22" s="18" t="s">
        <v>41</v>
      </c>
      <c r="B22" s="134">
        <v>443882</v>
      </c>
      <c r="C22" s="134">
        <v>497222</v>
      </c>
      <c r="D22" s="148">
        <f>'2010-10'!P23</f>
        <v>860640</v>
      </c>
      <c r="E22" s="134">
        <f t="shared" si="0"/>
        <v>416758</v>
      </c>
      <c r="F22" s="134">
        <f t="shared" si="1"/>
        <v>363418</v>
      </c>
    </row>
    <row r="23" spans="1:6">
      <c r="A23" s="18" t="s">
        <v>74</v>
      </c>
      <c r="B23" s="134">
        <v>771309</v>
      </c>
      <c r="C23" s="134">
        <v>891412</v>
      </c>
      <c r="D23" s="148">
        <f>'2010-10'!P24</f>
        <v>928617</v>
      </c>
      <c r="E23" s="134">
        <f t="shared" si="0"/>
        <v>157308</v>
      </c>
      <c r="F23" s="134">
        <f t="shared" si="1"/>
        <v>37205</v>
      </c>
    </row>
    <row r="24" spans="1:6">
      <c r="A24" s="18" t="s">
        <v>62</v>
      </c>
      <c r="B24" s="134">
        <v>371128</v>
      </c>
      <c r="C24" s="134">
        <v>691875</v>
      </c>
      <c r="D24" s="148">
        <f>'2010-10'!P25</f>
        <v>731876</v>
      </c>
      <c r="E24" s="134">
        <f t="shared" si="0"/>
        <v>360748</v>
      </c>
      <c r="F24" s="134">
        <f t="shared" si="1"/>
        <v>40001</v>
      </c>
    </row>
    <row r="25" spans="1:6">
      <c r="A25" s="18" t="s">
        <v>63</v>
      </c>
      <c r="B25" s="149">
        <f>6809043-B21</f>
        <v>6042090</v>
      </c>
      <c r="C25" s="134">
        <f>3889686+1409151</f>
        <v>5298837</v>
      </c>
      <c r="D25" s="148">
        <f>'2010-10'!P26</f>
        <v>4852354</v>
      </c>
      <c r="E25" s="134">
        <f t="shared" si="0"/>
        <v>-1189736</v>
      </c>
      <c r="F25" s="134">
        <f t="shared" si="1"/>
        <v>-446483</v>
      </c>
    </row>
    <row r="26" spans="1:6">
      <c r="A26" s="18" t="s">
        <v>42</v>
      </c>
      <c r="B26" s="134">
        <v>446876</v>
      </c>
      <c r="C26" s="134">
        <v>516026</v>
      </c>
      <c r="D26" s="148">
        <f>'2010-10'!P27</f>
        <v>515000</v>
      </c>
      <c r="E26" s="134">
        <f t="shared" si="0"/>
        <v>68124</v>
      </c>
      <c r="F26" s="134">
        <f t="shared" si="1"/>
        <v>-1026</v>
      </c>
    </row>
    <row r="27" spans="1:6">
      <c r="A27" s="18" t="s">
        <v>43</v>
      </c>
      <c r="B27" s="134">
        <v>448237</v>
      </c>
      <c r="C27" s="134">
        <v>537466</v>
      </c>
      <c r="D27" s="148">
        <f>'2010-10'!P28</f>
        <v>509166</v>
      </c>
      <c r="E27" s="134">
        <f t="shared" si="0"/>
        <v>60929</v>
      </c>
      <c r="F27" s="134">
        <f t="shared" si="1"/>
        <v>-28300</v>
      </c>
    </row>
    <row r="28" spans="1:6">
      <c r="A28" s="18" t="s">
        <v>44</v>
      </c>
      <c r="B28" s="134">
        <v>772752</v>
      </c>
      <c r="C28" s="134">
        <v>781664</v>
      </c>
      <c r="D28" s="148">
        <f>'2010-10'!P29</f>
        <v>737279</v>
      </c>
      <c r="E28" s="134">
        <f t="shared" si="0"/>
        <v>-35473</v>
      </c>
      <c r="F28" s="134">
        <f t="shared" si="1"/>
        <v>-44385</v>
      </c>
    </row>
    <row r="29" spans="1:6">
      <c r="A29" s="18" t="s">
        <v>568</v>
      </c>
      <c r="B29" s="134">
        <v>1307624</v>
      </c>
      <c r="C29" s="134">
        <v>1642398</v>
      </c>
      <c r="D29" s="148">
        <f>'2010-10'!P30</f>
        <v>1572381</v>
      </c>
      <c r="E29" s="134">
        <f t="shared" si="0"/>
        <v>264757</v>
      </c>
      <c r="F29" s="134">
        <f t="shared" si="1"/>
        <v>-70017</v>
      </c>
    </row>
    <row r="30" spans="1:6">
      <c r="A30" s="18" t="s">
        <v>46</v>
      </c>
      <c r="B30" s="134">
        <v>495717</v>
      </c>
      <c r="C30" s="134">
        <v>634772</v>
      </c>
      <c r="D30" s="148">
        <f>'2010-10'!P31</f>
        <v>652935</v>
      </c>
      <c r="E30" s="134">
        <f t="shared" si="0"/>
        <v>157218</v>
      </c>
      <c r="F30" s="134">
        <f t="shared" si="1"/>
        <v>18163</v>
      </c>
    </row>
    <row r="31" spans="1:6">
      <c r="A31" s="18" t="s">
        <v>47</v>
      </c>
      <c r="B31" s="134">
        <v>514726</v>
      </c>
      <c r="C31" s="134">
        <v>541312</v>
      </c>
      <c r="D31" s="148">
        <f>'2010-10'!P32</f>
        <v>446087</v>
      </c>
      <c r="E31" s="134">
        <f t="shared" si="0"/>
        <v>-68639</v>
      </c>
      <c r="F31" s="134">
        <f t="shared" si="1"/>
        <v>-95225</v>
      </c>
    </row>
    <row r="32" spans="1:6">
      <c r="A32" s="18" t="s">
        <v>64</v>
      </c>
      <c r="B32" s="134">
        <v>8550473</v>
      </c>
      <c r="C32" s="134">
        <f>3845734+647143+223496+331771+1100827+943220+792359</f>
        <v>7884550</v>
      </c>
      <c r="D32" s="148">
        <f>'2010-10'!P33</f>
        <v>7273295</v>
      </c>
      <c r="E32" s="134">
        <f t="shared" si="0"/>
        <v>-1277178</v>
      </c>
      <c r="F32" s="134">
        <f t="shared" si="1"/>
        <v>-611255</v>
      </c>
    </row>
    <row r="33" spans="1:6">
      <c r="A33" s="18" t="s">
        <v>65</v>
      </c>
      <c r="B33" s="134">
        <v>450122</v>
      </c>
      <c r="C33" s="134">
        <v>441416</v>
      </c>
      <c r="D33" s="148">
        <f>'2010-10'!P34</f>
        <v>452754</v>
      </c>
      <c r="E33" s="134">
        <f t="shared" si="0"/>
        <v>2632</v>
      </c>
      <c r="F33" s="134">
        <f t="shared" si="1"/>
        <v>11338</v>
      </c>
    </row>
    <row r="34" spans="1:6">
      <c r="A34" s="18" t="s">
        <v>48</v>
      </c>
      <c r="B34" s="134">
        <v>557448</v>
      </c>
      <c r="C34" s="134">
        <v>818126</v>
      </c>
      <c r="D34" s="148">
        <f>'2010-10'!P35</f>
        <v>855864</v>
      </c>
      <c r="E34" s="134">
        <f t="shared" si="0"/>
        <v>298416</v>
      </c>
      <c r="F34" s="134">
        <f t="shared" si="1"/>
        <v>37738</v>
      </c>
    </row>
    <row r="35" spans="1:6">
      <c r="A35" s="18" t="s">
        <v>66</v>
      </c>
      <c r="B35" s="134">
        <v>2794917</v>
      </c>
      <c r="C35" s="134">
        <f>2237898+312776</f>
        <v>2550674</v>
      </c>
      <c r="D35" s="148">
        <f>'2010-10'!P36</f>
        <v>2421591</v>
      </c>
      <c r="E35" s="134">
        <f t="shared" si="0"/>
        <v>-373326</v>
      </c>
      <c r="F35" s="134">
        <f t="shared" si="1"/>
        <v>-129083</v>
      </c>
    </row>
    <row r="36" spans="1:6">
      <c r="A36" s="18" t="s">
        <v>49</v>
      </c>
      <c r="B36" s="134">
        <v>996495</v>
      </c>
      <c r="C36" s="134">
        <v>1402830</v>
      </c>
      <c r="D36" s="148">
        <f>'2010-10'!P37</f>
        <v>1453359</v>
      </c>
      <c r="E36" s="134">
        <f t="shared" si="0"/>
        <v>456864</v>
      </c>
      <c r="F36" s="134">
        <f t="shared" si="1"/>
        <v>50529</v>
      </c>
    </row>
    <row r="37" spans="1:6">
      <c r="A37" s="18" t="s">
        <v>50</v>
      </c>
      <c r="B37" s="134">
        <v>956154</v>
      </c>
      <c r="C37" s="134">
        <v>1038641</v>
      </c>
      <c r="D37" s="148">
        <f>'2010-10'!P38</f>
        <v>1030938</v>
      </c>
      <c r="E37" s="134">
        <f t="shared" si="0"/>
        <v>74784</v>
      </c>
      <c r="F37" s="134">
        <f t="shared" si="1"/>
        <v>-7703</v>
      </c>
    </row>
    <row r="38" spans="1:6">
      <c r="A38" s="18" t="s">
        <v>51</v>
      </c>
      <c r="B38" s="134">
        <v>724532</v>
      </c>
      <c r="C38" s="134">
        <v>877359</v>
      </c>
      <c r="D38" s="148">
        <f>'2010-10'!P39</f>
        <v>870794</v>
      </c>
      <c r="E38" s="134">
        <f t="shared" si="0"/>
        <v>146262</v>
      </c>
      <c r="F38" s="134">
        <f t="shared" si="1"/>
        <v>-6565</v>
      </c>
    </row>
    <row r="39" spans="1:6">
      <c r="A39" s="18" t="s">
        <v>52</v>
      </c>
      <c r="B39" s="134">
        <v>544668</v>
      </c>
      <c r="C39" s="134">
        <v>629305</v>
      </c>
      <c r="D39" s="148">
        <f>'2010-10'!P40</f>
        <v>590501</v>
      </c>
      <c r="E39" s="134">
        <f t="shared" si="0"/>
        <v>45833</v>
      </c>
      <c r="F39" s="134">
        <f t="shared" si="1"/>
        <v>-38804</v>
      </c>
    </row>
    <row r="40" spans="1:6">
      <c r="A40" s="18" t="s">
        <v>53</v>
      </c>
      <c r="B40" s="134">
        <v>399701</v>
      </c>
      <c r="C40" s="134">
        <v>614595</v>
      </c>
      <c r="D40" s="148">
        <f>'2010-10'!P41</f>
        <v>410617</v>
      </c>
      <c r="E40" s="134">
        <f t="shared" si="0"/>
        <v>10916</v>
      </c>
      <c r="F40" s="134">
        <f t="shared" si="1"/>
        <v>-203978</v>
      </c>
    </row>
    <row r="41" spans="1:6">
      <c r="A41" s="18" t="s">
        <v>81</v>
      </c>
      <c r="B41" s="134">
        <v>481467</v>
      </c>
      <c r="C41" s="134">
        <v>455184</v>
      </c>
      <c r="D41" s="148">
        <f>'2010-10'!P42</f>
        <v>415085</v>
      </c>
      <c r="E41" s="134">
        <f t="shared" si="0"/>
        <v>-66382</v>
      </c>
      <c r="F41" s="134">
        <f t="shared" si="1"/>
        <v>-40099</v>
      </c>
    </row>
    <row r="42" spans="1:6">
      <c r="A42" s="18" t="s">
        <v>54</v>
      </c>
      <c r="B42" s="134">
        <v>685945</v>
      </c>
      <c r="C42" s="134">
        <v>585187</v>
      </c>
      <c r="D42" s="148">
        <f>'2010-10'!P43</f>
        <v>621068</v>
      </c>
      <c r="E42" s="134">
        <f t="shared" si="0"/>
        <v>-64877</v>
      </c>
      <c r="F42" s="134">
        <f t="shared" si="1"/>
        <v>35881</v>
      </c>
    </row>
    <row r="43" spans="1:6">
      <c r="A43" s="18" t="s">
        <v>55</v>
      </c>
      <c r="B43" s="134">
        <v>479338</v>
      </c>
      <c r="C43" s="134">
        <v>611285</v>
      </c>
      <c r="D43" s="148">
        <f>'2010-10'!P44</f>
        <v>526157</v>
      </c>
      <c r="E43" s="134">
        <f t="shared" si="0"/>
        <v>46819</v>
      </c>
      <c r="F43" s="134">
        <f t="shared" si="1"/>
        <v>-85128</v>
      </c>
    </row>
    <row r="44" spans="1:6">
      <c r="A44" s="18" t="s">
        <v>67</v>
      </c>
      <c r="B44" s="134">
        <v>569149</v>
      </c>
      <c r="C44" s="134">
        <v>635453</v>
      </c>
      <c r="D44" s="148">
        <f>'2010-10'!P45</f>
        <v>718175</v>
      </c>
      <c r="E44" s="134">
        <f t="shared" si="0"/>
        <v>149026</v>
      </c>
      <c r="F44" s="134">
        <f t="shared" si="1"/>
        <v>82722</v>
      </c>
    </row>
    <row r="45" spans="1:6">
      <c r="A45" s="18" t="s">
        <v>68</v>
      </c>
      <c r="B45" s="134">
        <v>1230446</v>
      </c>
      <c r="C45" s="134">
        <v>1081762</v>
      </c>
      <c r="D45" s="148">
        <f>'2010-10'!P46</f>
        <v>1101324</v>
      </c>
      <c r="E45" s="134">
        <f t="shared" si="0"/>
        <v>-129122</v>
      </c>
      <c r="F45" s="134">
        <f t="shared" si="1"/>
        <v>19562</v>
      </c>
    </row>
    <row r="46" spans="1:6">
      <c r="A46" s="18" t="s">
        <v>69</v>
      </c>
      <c r="B46" s="149">
        <f>3200833-B45</f>
        <v>1970387</v>
      </c>
      <c r="C46" s="134">
        <f>1048438+1000061</f>
        <v>2048499</v>
      </c>
      <c r="D46" s="148">
        <f>'2010-10'!P47</f>
        <v>1767793</v>
      </c>
      <c r="E46" s="134">
        <f t="shared" si="0"/>
        <v>-202594</v>
      </c>
      <c r="F46" s="134">
        <f t="shared" si="1"/>
        <v>-280706</v>
      </c>
    </row>
    <row r="47" spans="1:6">
      <c r="A47" s="18" t="s">
        <v>85</v>
      </c>
      <c r="B47" s="134">
        <v>946363</v>
      </c>
      <c r="C47" s="134">
        <v>1042998</v>
      </c>
      <c r="D47" s="148">
        <f>'2010-10'!P48</f>
        <v>857032</v>
      </c>
      <c r="E47" s="134">
        <f t="shared" si="0"/>
        <v>-89331</v>
      </c>
      <c r="F47" s="134">
        <f t="shared" si="1"/>
        <v>-185966</v>
      </c>
    </row>
    <row r="48" spans="1:6">
      <c r="A48" s="18" t="s">
        <v>56</v>
      </c>
      <c r="B48" s="134">
        <v>1308338</v>
      </c>
      <c r="C48" s="134">
        <v>1481715</v>
      </c>
      <c r="D48" s="148">
        <f>'2010-10'!P49</f>
        <v>1435764</v>
      </c>
      <c r="E48" s="134">
        <f t="shared" si="0"/>
        <v>127426</v>
      </c>
      <c r="F48" s="134">
        <f t="shared" si="1"/>
        <v>-45951</v>
      </c>
    </row>
    <row r="49" spans="1:6">
      <c r="A49" s="18" t="s">
        <v>397</v>
      </c>
      <c r="B49" s="134">
        <v>1476085</v>
      </c>
      <c r="C49" s="134">
        <f>845720+640214</f>
        <v>1485934</v>
      </c>
      <c r="D49" s="148">
        <f>'2010-10'!P50</f>
        <v>1820909</v>
      </c>
      <c r="E49" s="134">
        <f t="shared" si="0"/>
        <v>344824</v>
      </c>
      <c r="F49" s="134">
        <f t="shared" si="1"/>
        <v>334975</v>
      </c>
    </row>
    <row r="50" spans="1:6">
      <c r="A50" s="18" t="s">
        <v>57</v>
      </c>
      <c r="B50" s="134">
        <v>1144336</v>
      </c>
      <c r="C50" s="134">
        <v>1220621</v>
      </c>
      <c r="D50" s="148">
        <f>'2010-10'!P51</f>
        <v>1169641</v>
      </c>
      <c r="E50" s="134">
        <f t="shared" si="0"/>
        <v>25305</v>
      </c>
      <c r="F50" s="134">
        <f t="shared" si="1"/>
        <v>-50980</v>
      </c>
    </row>
    <row r="51" spans="1:6">
      <c r="A51" s="18" t="s">
        <v>70</v>
      </c>
      <c r="B51" s="134">
        <v>914711</v>
      </c>
      <c r="C51" s="134">
        <v>1042912</v>
      </c>
      <c r="D51" s="148">
        <f>'2010-10'!P52</f>
        <v>932231</v>
      </c>
      <c r="E51" s="134">
        <f t="shared" si="0"/>
        <v>17520</v>
      </c>
      <c r="F51" s="134">
        <f t="shared" si="1"/>
        <v>-110681</v>
      </c>
    </row>
    <row r="52" spans="1:6">
      <c r="A52" s="18" t="s">
        <v>58</v>
      </c>
      <c r="B52" s="134">
        <v>2214350</v>
      </c>
      <c r="C52" s="134">
        <v>2278636</v>
      </c>
      <c r="D52" s="148">
        <f>'2010-10'!P53</f>
        <v>2370531</v>
      </c>
      <c r="E52" s="134">
        <f t="shared" si="0"/>
        <v>156181</v>
      </c>
      <c r="F52" s="134">
        <f t="shared" si="1"/>
        <v>91895</v>
      </c>
    </row>
    <row r="53" spans="1:6">
      <c r="B53" s="134"/>
      <c r="C53" s="134"/>
      <c r="D53" s="134"/>
      <c r="E53" s="134"/>
      <c r="F53" s="134"/>
    </row>
    <row r="54" spans="1:6">
      <c r="A54" s="18" t="s">
        <v>575</v>
      </c>
      <c r="B54" s="134">
        <f>AVERAGE(B2:B52)</f>
        <v>1257805.3137254901</v>
      </c>
      <c r="C54" s="134">
        <f t="shared" ref="C54:F54" si="2">AVERAGE(C2:C52)</f>
        <v>1344352.8431372549</v>
      </c>
      <c r="D54" s="134">
        <f t="shared" si="2"/>
        <v>1287985.4117647058</v>
      </c>
      <c r="E54" s="134">
        <f t="shared" si="2"/>
        <v>30180.098039215685</v>
      </c>
      <c r="F54" s="134">
        <f t="shared" si="2"/>
        <v>-56367.431372549021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F54" sqref="A2:F54"/>
    </sheetView>
  </sheetViews>
  <sheetFormatPr baseColWidth="10" defaultRowHeight="14" x14ac:dyDescent="0"/>
  <cols>
    <col min="1" max="1" width="35.6640625" customWidth="1"/>
  </cols>
  <sheetData>
    <row r="1" spans="1:6">
      <c r="A1" s="29" t="s">
        <v>16</v>
      </c>
      <c r="B1" s="29">
        <v>1990</v>
      </c>
      <c r="C1" s="29">
        <v>2000</v>
      </c>
      <c r="D1" s="29">
        <v>2010</v>
      </c>
      <c r="E1" s="29" t="s">
        <v>572</v>
      </c>
      <c r="F1" s="29" t="s">
        <v>573</v>
      </c>
    </row>
    <row r="2" spans="1:6">
      <c r="A2" s="18" t="s">
        <v>26</v>
      </c>
      <c r="B2" s="4">
        <v>60.37546801014345</v>
      </c>
      <c r="C2" s="4">
        <v>52.316789999999997</v>
      </c>
      <c r="D2" s="141">
        <f>Speeds!U2</f>
        <v>66.682397163757059</v>
      </c>
      <c r="E2" s="28">
        <f>D2-B2</f>
        <v>6.3069291536136092</v>
      </c>
      <c r="F2" s="28">
        <f>D2-C2</f>
        <v>14.365607163757062</v>
      </c>
    </row>
    <row r="3" spans="1:6">
      <c r="A3" s="18" t="s">
        <v>27</v>
      </c>
      <c r="B3" s="4">
        <v>63.478689145973746</v>
      </c>
      <c r="C3" s="4">
        <v>53.198880000000003</v>
      </c>
      <c r="D3" s="141">
        <f>Speeds!U3</f>
        <v>67.132189228567199</v>
      </c>
      <c r="E3" s="28">
        <f t="shared" ref="E3:E52" si="0">D3-B3</f>
        <v>3.6535000825934532</v>
      </c>
      <c r="F3" s="28">
        <f t="shared" ref="F3:F52" si="1">D3-C3</f>
        <v>13.933309228567197</v>
      </c>
    </row>
    <row r="4" spans="1:6">
      <c r="A4" s="18" t="s">
        <v>28</v>
      </c>
      <c r="B4" s="4">
        <v>60.37745029626894</v>
      </c>
      <c r="C4" s="4">
        <v>57.562600000000003</v>
      </c>
      <c r="D4" s="141">
        <f>Speeds!U4</f>
        <v>64.331330728262358</v>
      </c>
      <c r="E4" s="28">
        <f t="shared" si="0"/>
        <v>3.9538804319934187</v>
      </c>
      <c r="F4" s="28">
        <f t="shared" si="1"/>
        <v>6.768730728262355</v>
      </c>
    </row>
    <row r="5" spans="1:6">
      <c r="A5" s="18" t="s">
        <v>29</v>
      </c>
      <c r="B5" s="4">
        <v>61.541690600746875</v>
      </c>
      <c r="C5" s="4">
        <v>60.288020000000003</v>
      </c>
      <c r="D5" s="141">
        <f>Speeds!U5</f>
        <v>59.083844176305647</v>
      </c>
      <c r="E5" s="28">
        <f t="shared" si="0"/>
        <v>-2.4578464244412288</v>
      </c>
      <c r="F5" s="28">
        <f t="shared" si="1"/>
        <v>-1.2041758236943565</v>
      </c>
    </row>
    <row r="6" spans="1:6">
      <c r="A6" s="18" t="s">
        <v>30</v>
      </c>
      <c r="B6" s="4">
        <v>73.27659816495958</v>
      </c>
      <c r="C6" s="4">
        <v>60.075479999999999</v>
      </c>
      <c r="D6" s="141">
        <f>Speeds!U6</f>
        <v>61.52546201403905</v>
      </c>
      <c r="E6" s="28">
        <f t="shared" si="0"/>
        <v>-11.75113615092053</v>
      </c>
      <c r="F6" s="28">
        <f t="shared" si="1"/>
        <v>1.4499820140390511</v>
      </c>
    </row>
    <row r="7" spans="1:6">
      <c r="A7" s="18" t="s">
        <v>31</v>
      </c>
      <c r="B7" s="4">
        <v>66.908176577055386</v>
      </c>
      <c r="C7" s="4">
        <v>54.739370000000001</v>
      </c>
      <c r="D7" s="141">
        <f>Speeds!U7</f>
        <v>64.052681514079197</v>
      </c>
      <c r="E7" s="28">
        <f t="shared" si="0"/>
        <v>-2.855495062976189</v>
      </c>
      <c r="F7" s="28">
        <f t="shared" si="1"/>
        <v>9.3133115140791958</v>
      </c>
    </row>
    <row r="8" spans="1:6">
      <c r="A8" s="18" t="s">
        <v>32</v>
      </c>
      <c r="B8" s="4">
        <v>59.830534500000006</v>
      </c>
      <c r="C8" s="4">
        <v>47.502769999999998</v>
      </c>
      <c r="D8" s="141">
        <f>Speeds!U8</f>
        <v>62.255871883980589</v>
      </c>
      <c r="E8" s="28">
        <f t="shared" si="0"/>
        <v>2.4253373839805832</v>
      </c>
      <c r="F8" s="28">
        <f t="shared" si="1"/>
        <v>14.753101883980591</v>
      </c>
    </row>
    <row r="9" spans="1:6">
      <c r="A9" s="18" t="s">
        <v>33</v>
      </c>
      <c r="B9" s="4">
        <v>67.518821168909824</v>
      </c>
      <c r="C9" s="4">
        <v>59.701340000000002</v>
      </c>
      <c r="D9" s="141">
        <f>Speeds!U9</f>
        <v>63.816269796049951</v>
      </c>
      <c r="E9" s="28">
        <f t="shared" si="0"/>
        <v>-3.7025513728598725</v>
      </c>
      <c r="F9" s="28">
        <f t="shared" si="1"/>
        <v>4.1149297960499496</v>
      </c>
    </row>
    <row r="10" spans="1:6">
      <c r="A10" s="18" t="s">
        <v>34</v>
      </c>
      <c r="B10" s="4">
        <v>70.270147843682068</v>
      </c>
      <c r="C10" s="4">
        <v>62.775539999999999</v>
      </c>
      <c r="D10" s="141">
        <f>Speeds!U10</f>
        <v>60.599390167439914</v>
      </c>
      <c r="E10" s="28">
        <f t="shared" si="0"/>
        <v>-9.6707576762421539</v>
      </c>
      <c r="F10" s="28">
        <f t="shared" si="1"/>
        <v>-2.1761498325600854</v>
      </c>
    </row>
    <row r="11" spans="1:6">
      <c r="A11" s="18" t="s">
        <v>35</v>
      </c>
      <c r="B11" s="4">
        <v>67.725932932724078</v>
      </c>
      <c r="C11" s="4">
        <v>60.796750000000003</v>
      </c>
      <c r="D11" s="141">
        <f>Speeds!U11</f>
        <v>64.046411741712433</v>
      </c>
      <c r="E11" s="28">
        <f t="shared" si="0"/>
        <v>-3.679521191011645</v>
      </c>
      <c r="F11" s="28">
        <f t="shared" si="1"/>
        <v>3.2496617417124298</v>
      </c>
    </row>
    <row r="12" spans="1:6">
      <c r="A12" s="18" t="s">
        <v>569</v>
      </c>
      <c r="B12" s="4">
        <v>66.03146949483623</v>
      </c>
      <c r="C12" s="4">
        <v>56.964039999999997</v>
      </c>
      <c r="D12" s="141">
        <f>Speeds!U12</f>
        <v>65.991437704144019</v>
      </c>
      <c r="E12" s="28">
        <f t="shared" si="0"/>
        <v>-4.0031790692211189E-2</v>
      </c>
      <c r="F12" s="28">
        <f t="shared" si="1"/>
        <v>9.0273977041440219</v>
      </c>
    </row>
    <row r="13" spans="1:6">
      <c r="A13" s="18" t="s">
        <v>36</v>
      </c>
      <c r="B13" s="4">
        <v>65.002140793217592</v>
      </c>
      <c r="C13" s="4">
        <v>50.872790000000002</v>
      </c>
      <c r="D13" s="141">
        <f>Speeds!U13</f>
        <v>60.705617754852213</v>
      </c>
      <c r="E13" s="28">
        <f t="shared" si="0"/>
        <v>-4.296523038365379</v>
      </c>
      <c r="F13" s="28">
        <f t="shared" si="1"/>
        <v>9.8328277548522109</v>
      </c>
    </row>
    <row r="14" spans="1:6">
      <c r="A14" s="18" t="s">
        <v>37</v>
      </c>
      <c r="B14" s="4">
        <v>59.740126684000487</v>
      </c>
      <c r="C14" s="4">
        <v>50.514110000000002</v>
      </c>
      <c r="D14" s="141">
        <f>Speeds!U14</f>
        <v>62.147901133486052</v>
      </c>
      <c r="E14" s="28">
        <f t="shared" si="0"/>
        <v>2.4077744494855651</v>
      </c>
      <c r="F14" s="28">
        <f t="shared" si="1"/>
        <v>11.633791133486049</v>
      </c>
    </row>
    <row r="15" spans="1:6">
      <c r="A15" s="18" t="s">
        <v>79</v>
      </c>
      <c r="B15" s="24">
        <v>70.939381203745498</v>
      </c>
      <c r="C15" s="6">
        <v>56.839145642340362</v>
      </c>
      <c r="D15" s="141">
        <f>Speeds!U15</f>
        <v>67.784674216887879</v>
      </c>
      <c r="E15" s="28">
        <f t="shared" si="0"/>
        <v>-3.1547069868576187</v>
      </c>
      <c r="F15" s="28">
        <f t="shared" si="1"/>
        <v>10.945528574547517</v>
      </c>
    </row>
    <row r="16" spans="1:6">
      <c r="A16" s="18" t="s">
        <v>511</v>
      </c>
      <c r="B16" s="4">
        <v>64.898649256812377</v>
      </c>
      <c r="C16" s="4">
        <v>54.516030000000001</v>
      </c>
      <c r="D16" s="141">
        <f>Speeds!U16</f>
        <v>64.715366633523445</v>
      </c>
      <c r="E16" s="28">
        <f t="shared" si="0"/>
        <v>-0.18328262328893175</v>
      </c>
      <c r="F16" s="28">
        <f t="shared" si="1"/>
        <v>10.199336633523444</v>
      </c>
    </row>
    <row r="17" spans="1:6">
      <c r="A17" s="18" t="s">
        <v>38</v>
      </c>
      <c r="B17" s="4">
        <v>70.550117521710789</v>
      </c>
      <c r="C17" s="4">
        <v>68.568569999999994</v>
      </c>
      <c r="D17" s="141">
        <f>Speeds!U17</f>
        <v>63.831016736397409</v>
      </c>
      <c r="E17" s="28">
        <f t="shared" si="0"/>
        <v>-6.7191007853133797</v>
      </c>
      <c r="F17" s="28">
        <f t="shared" si="1"/>
        <v>-4.7375532636025852</v>
      </c>
    </row>
    <row r="18" spans="1:6">
      <c r="A18" s="18" t="s">
        <v>80</v>
      </c>
      <c r="B18" s="24">
        <v>61.851770964117151</v>
      </c>
      <c r="C18" s="4">
        <v>58.403202946946948</v>
      </c>
      <c r="D18" s="141">
        <f>Speeds!U18</f>
        <v>54.710932805374171</v>
      </c>
      <c r="E18" s="28">
        <f t="shared" si="0"/>
        <v>-7.1408381587429801</v>
      </c>
      <c r="F18" s="28">
        <f t="shared" si="1"/>
        <v>-3.6922701415727772</v>
      </c>
    </row>
    <row r="19" spans="1:6">
      <c r="A19" s="18" t="s">
        <v>39</v>
      </c>
      <c r="B19" s="25">
        <v>61.865929871835121</v>
      </c>
      <c r="C19" s="4">
        <v>53.767299999999999</v>
      </c>
      <c r="D19" s="141">
        <f>Speeds!U19</f>
        <v>66.693022833822994</v>
      </c>
      <c r="E19" s="28">
        <f t="shared" si="0"/>
        <v>4.8270929619878729</v>
      </c>
      <c r="F19" s="28">
        <f t="shared" si="1"/>
        <v>12.925722833822995</v>
      </c>
    </row>
    <row r="20" spans="1:6">
      <c r="A20" s="18" t="s">
        <v>40</v>
      </c>
      <c r="B20" s="25">
        <v>66.181816591922129</v>
      </c>
      <c r="C20" s="4">
        <v>53.336190000000002</v>
      </c>
      <c r="D20" s="141">
        <f>Speeds!U20</f>
        <v>62.662263546111326</v>
      </c>
      <c r="E20" s="28">
        <f t="shared" si="0"/>
        <v>-3.5195530458108024</v>
      </c>
      <c r="F20" s="28">
        <f t="shared" si="1"/>
        <v>9.3260735461113242</v>
      </c>
    </row>
    <row r="21" spans="1:6">
      <c r="A21" s="18" t="s">
        <v>559</v>
      </c>
      <c r="B21" s="25">
        <v>65.10221093956217</v>
      </c>
      <c r="C21" s="4">
        <v>57.819749999999999</v>
      </c>
      <c r="D21" s="141">
        <f>Speeds!U21</f>
        <v>72.107428140171564</v>
      </c>
      <c r="E21" s="28">
        <f t="shared" si="0"/>
        <v>7.005217200609394</v>
      </c>
      <c r="F21" s="28">
        <f t="shared" si="1"/>
        <v>14.287678140171565</v>
      </c>
    </row>
    <row r="22" spans="1:6">
      <c r="A22" s="18" t="s">
        <v>41</v>
      </c>
      <c r="B22" s="24">
        <v>55.540281389808555</v>
      </c>
      <c r="C22" s="4">
        <v>54.3979</v>
      </c>
      <c r="D22" s="141">
        <f>Speeds!U22</f>
        <v>69.127068300037649</v>
      </c>
      <c r="E22" s="28">
        <f t="shared" si="0"/>
        <v>13.586786910229094</v>
      </c>
      <c r="F22" s="28">
        <f t="shared" si="1"/>
        <v>14.729168300037649</v>
      </c>
    </row>
    <row r="23" spans="1:6">
      <c r="A23" s="18" t="s">
        <v>74</v>
      </c>
      <c r="B23" s="25">
        <v>63.219918440805898</v>
      </c>
      <c r="C23" s="4">
        <v>63.341059999999999</v>
      </c>
      <c r="D23" s="141">
        <f>Speeds!U23</f>
        <v>67.812288769795572</v>
      </c>
      <c r="E23" s="28">
        <f t="shared" si="0"/>
        <v>4.5923703289896736</v>
      </c>
      <c r="F23" s="28">
        <f t="shared" si="1"/>
        <v>4.471228769795573</v>
      </c>
    </row>
    <row r="24" spans="1:6">
      <c r="A24" s="18" t="s">
        <v>62</v>
      </c>
      <c r="B24" s="24">
        <v>58.291697709553844</v>
      </c>
      <c r="C24" s="4">
        <v>50.764740000000003</v>
      </c>
      <c r="D24" s="141">
        <f>Speeds!U24</f>
        <v>62.454008275887581</v>
      </c>
      <c r="E24" s="28">
        <f t="shared" si="0"/>
        <v>4.162310566333737</v>
      </c>
      <c r="F24" s="28">
        <f t="shared" si="1"/>
        <v>11.689268275887578</v>
      </c>
    </row>
    <row r="25" spans="1:6">
      <c r="A25" s="18" t="s">
        <v>63</v>
      </c>
      <c r="B25" s="25">
        <v>48.116227796764051</v>
      </c>
      <c r="C25" s="4">
        <v>47.966560000000001</v>
      </c>
      <c r="D25" s="141">
        <f>Speeds!U25</f>
        <v>67.712654237264687</v>
      </c>
      <c r="E25" s="28">
        <f t="shared" si="0"/>
        <v>19.596426440500636</v>
      </c>
      <c r="F25" s="28">
        <f t="shared" si="1"/>
        <v>19.746094237264685</v>
      </c>
    </row>
    <row r="26" spans="1:6">
      <c r="A26" s="18" t="s">
        <v>42</v>
      </c>
      <c r="B26" s="24">
        <v>62.487212851553508</v>
      </c>
      <c r="C26" s="4">
        <v>57.963749999999997</v>
      </c>
      <c r="D26" s="141">
        <f>Speeds!U26</f>
        <v>69.762390899595417</v>
      </c>
      <c r="E26" s="28">
        <f t="shared" si="0"/>
        <v>7.2751780480419086</v>
      </c>
      <c r="F26" s="28">
        <f t="shared" si="1"/>
        <v>11.798640899595419</v>
      </c>
    </row>
    <row r="27" spans="1:6">
      <c r="A27" s="18" t="s">
        <v>43</v>
      </c>
      <c r="B27" s="24">
        <v>65.308032205055966</v>
      </c>
      <c r="C27" s="4">
        <v>57.321390000000001</v>
      </c>
      <c r="D27" s="141">
        <f>Speeds!U27</f>
        <v>66.011797525453602</v>
      </c>
      <c r="E27" s="28">
        <f t="shared" si="0"/>
        <v>0.70376532039763617</v>
      </c>
      <c r="F27" s="28">
        <f t="shared" si="1"/>
        <v>8.6904075254536011</v>
      </c>
    </row>
    <row r="28" spans="1:6">
      <c r="A28" s="18" t="s">
        <v>44</v>
      </c>
      <c r="B28" s="25">
        <v>64.485521071986952</v>
      </c>
      <c r="C28" s="4">
        <v>57.256279999999997</v>
      </c>
      <c r="D28" s="141">
        <f>Speeds!U28</f>
        <v>66.575024815111192</v>
      </c>
      <c r="E28" s="28">
        <f t="shared" si="0"/>
        <v>2.08950374312424</v>
      </c>
      <c r="F28" s="28">
        <f t="shared" si="1"/>
        <v>9.3187448151111951</v>
      </c>
    </row>
    <row r="29" spans="1:6">
      <c r="A29" s="18" t="s">
        <v>568</v>
      </c>
      <c r="B29" s="25">
        <v>63.564185114523426</v>
      </c>
      <c r="C29" s="4">
        <v>55.30265</v>
      </c>
      <c r="D29" s="141">
        <f>Speeds!U29</f>
        <v>72.35417413894163</v>
      </c>
      <c r="E29" s="28">
        <f t="shared" si="0"/>
        <v>8.7899890244182046</v>
      </c>
      <c r="F29" s="28">
        <f t="shared" si="1"/>
        <v>17.05152413894163</v>
      </c>
    </row>
    <row r="30" spans="1:6">
      <c r="A30" s="18" t="s">
        <v>46</v>
      </c>
      <c r="B30" s="24">
        <v>63.734436519319452</v>
      </c>
      <c r="C30" s="4">
        <v>60.804580000000001</v>
      </c>
      <c r="D30" s="141">
        <f>Speeds!U30</f>
        <v>66.509434242873198</v>
      </c>
      <c r="E30" s="28">
        <f t="shared" si="0"/>
        <v>2.7749977235537457</v>
      </c>
      <c r="F30" s="28">
        <f t="shared" si="1"/>
        <v>5.7048542428731963</v>
      </c>
    </row>
    <row r="31" spans="1:6">
      <c r="A31" s="18" t="s">
        <v>47</v>
      </c>
      <c r="B31" s="25">
        <v>62.636693012318808</v>
      </c>
      <c r="C31" s="4">
        <v>56.712069999999997</v>
      </c>
      <c r="D31" s="141">
        <f>Speeds!U31</f>
        <v>70.113916315490926</v>
      </c>
      <c r="E31" s="28">
        <f t="shared" si="0"/>
        <v>7.4772233031721171</v>
      </c>
      <c r="F31" s="28">
        <f t="shared" si="1"/>
        <v>13.401846315490928</v>
      </c>
    </row>
    <row r="32" spans="1:6">
      <c r="A32" s="18" t="s">
        <v>64</v>
      </c>
      <c r="B32" s="25">
        <v>59.42988867805861</v>
      </c>
      <c r="C32" s="4">
        <v>51.868699999999997</v>
      </c>
      <c r="D32" s="141">
        <f>Speeds!U32</f>
        <v>60.636060061572778</v>
      </c>
      <c r="E32" s="28">
        <f t="shared" si="0"/>
        <v>1.2061713835141674</v>
      </c>
      <c r="F32" s="28">
        <f t="shared" si="1"/>
        <v>8.7673600615727807</v>
      </c>
    </row>
    <row r="33" spans="1:6">
      <c r="A33" s="18" t="s">
        <v>65</v>
      </c>
      <c r="B33" s="24">
        <v>69.714425398287744</v>
      </c>
      <c r="C33" s="4">
        <v>59.517719999999997</v>
      </c>
      <c r="D33" s="141">
        <f>Speeds!U33</f>
        <v>62.746727907823015</v>
      </c>
      <c r="E33" s="28">
        <f t="shared" si="0"/>
        <v>-6.9676974904647295</v>
      </c>
      <c r="F33" s="28">
        <f t="shared" si="1"/>
        <v>3.2290079078230178</v>
      </c>
    </row>
    <row r="34" spans="1:6">
      <c r="A34" s="18" t="s">
        <v>48</v>
      </c>
      <c r="B34" s="25">
        <v>58.78311324728174</v>
      </c>
      <c r="C34" s="4">
        <v>45.740690000000001</v>
      </c>
      <c r="D34" s="141">
        <f>Speeds!U34</f>
        <v>63.67703994300269</v>
      </c>
      <c r="E34" s="28">
        <f t="shared" si="0"/>
        <v>4.8939266957209497</v>
      </c>
      <c r="F34" s="28">
        <f t="shared" si="1"/>
        <v>17.936349943002689</v>
      </c>
    </row>
    <row r="35" spans="1:6">
      <c r="A35" s="18" t="s">
        <v>66</v>
      </c>
      <c r="B35" s="25">
        <v>63.176257053555211</v>
      </c>
      <c r="C35" s="4">
        <v>52.865879999999997</v>
      </c>
      <c r="D35" s="141">
        <f>Speeds!U35</f>
        <v>57.583198277252201</v>
      </c>
      <c r="E35" s="28">
        <f t="shared" si="0"/>
        <v>-5.5930587763030104</v>
      </c>
      <c r="F35" s="28">
        <f t="shared" si="1"/>
        <v>4.717318277252204</v>
      </c>
    </row>
    <row r="36" spans="1:6">
      <c r="A36" s="18" t="s">
        <v>49</v>
      </c>
      <c r="B36" s="25">
        <v>62.02920484038443</v>
      </c>
      <c r="C36" s="4">
        <v>52.44265</v>
      </c>
      <c r="D36" s="141">
        <f>Speeds!U36</f>
        <v>65.523113774601583</v>
      </c>
      <c r="E36" s="28">
        <f t="shared" si="0"/>
        <v>3.4939089342171528</v>
      </c>
      <c r="F36" s="28">
        <f t="shared" si="1"/>
        <v>13.080463774601583</v>
      </c>
    </row>
    <row r="37" spans="1:6">
      <c r="A37" s="18" t="s">
        <v>50</v>
      </c>
      <c r="B37" s="25">
        <v>65.42916793409438</v>
      </c>
      <c r="C37" s="4">
        <v>58.551130000000001</v>
      </c>
      <c r="D37" s="141">
        <f>Speeds!U37</f>
        <v>59.807444822625882</v>
      </c>
      <c r="E37" s="28">
        <f t="shared" si="0"/>
        <v>-5.6217231114684978</v>
      </c>
      <c r="F37" s="28">
        <f t="shared" si="1"/>
        <v>1.2563148226258818</v>
      </c>
    </row>
    <row r="38" spans="1:6">
      <c r="A38" s="18" t="s">
        <v>51</v>
      </c>
      <c r="B38" s="25">
        <v>65.140770915733583</v>
      </c>
      <c r="C38" s="4">
        <v>53.087949999999999</v>
      </c>
      <c r="D38" s="141">
        <f>Speeds!U38</f>
        <v>58.331030650507813</v>
      </c>
      <c r="E38" s="28">
        <f t="shared" si="0"/>
        <v>-6.8097402652257699</v>
      </c>
      <c r="F38" s="28">
        <f t="shared" si="1"/>
        <v>5.2430806505078138</v>
      </c>
    </row>
    <row r="39" spans="1:6">
      <c r="A39" s="18" t="s">
        <v>52</v>
      </c>
      <c r="B39" s="25">
        <v>70.338872065042395</v>
      </c>
      <c r="C39" s="4">
        <v>62.482399999999998</v>
      </c>
      <c r="D39" s="141">
        <f>Speeds!U39</f>
        <v>61.333480923569354</v>
      </c>
      <c r="E39" s="28">
        <f t="shared" si="0"/>
        <v>-9.0053911414730408</v>
      </c>
      <c r="F39" s="28">
        <f t="shared" si="1"/>
        <v>-1.1489190764306443</v>
      </c>
    </row>
    <row r="40" spans="1:6">
      <c r="A40" s="18" t="s">
        <v>53</v>
      </c>
      <c r="B40" s="24">
        <v>68.778714095226661</v>
      </c>
      <c r="C40" s="4">
        <v>61.628950000000003</v>
      </c>
      <c r="D40" s="141">
        <f>Speeds!U40</f>
        <v>70.888143113567551</v>
      </c>
      <c r="E40" s="28">
        <f t="shared" si="0"/>
        <v>2.1094290183408901</v>
      </c>
      <c r="F40" s="28">
        <f t="shared" si="1"/>
        <v>9.259193113567548</v>
      </c>
    </row>
    <row r="41" spans="1:6">
      <c r="A41" s="18" t="s">
        <v>81</v>
      </c>
      <c r="B41" s="25">
        <v>70.514936537683639</v>
      </c>
      <c r="C41" s="4">
        <v>62.089397559255026</v>
      </c>
      <c r="D41" s="141">
        <f>Speeds!U41</f>
        <v>64.044695759894694</v>
      </c>
      <c r="E41" s="28">
        <f t="shared" si="0"/>
        <v>-6.4702407777889448</v>
      </c>
      <c r="F41" s="28">
        <f t="shared" si="1"/>
        <v>1.9552982006396675</v>
      </c>
    </row>
    <row r="42" spans="1:6">
      <c r="A42" s="18" t="s">
        <v>54</v>
      </c>
      <c r="B42" s="25">
        <v>61.557786724693997</v>
      </c>
      <c r="C42" s="4">
        <v>53.297409999999999</v>
      </c>
      <c r="D42" s="141">
        <f>Speeds!U42</f>
        <v>69.851259887217722</v>
      </c>
      <c r="E42" s="28">
        <f t="shared" si="0"/>
        <v>8.2934731625237248</v>
      </c>
      <c r="F42" s="28">
        <f t="shared" si="1"/>
        <v>16.553849887217723</v>
      </c>
    </row>
    <row r="43" spans="1:6">
      <c r="A43" s="18" t="s">
        <v>55</v>
      </c>
      <c r="B43" s="4">
        <v>65.143959367039756</v>
      </c>
      <c r="C43" s="4">
        <v>52.234180000000002</v>
      </c>
      <c r="D43" s="141">
        <f>Speeds!U43</f>
        <v>64.533357950473999</v>
      </c>
      <c r="E43" s="28">
        <f t="shared" si="0"/>
        <v>-0.61060141656575695</v>
      </c>
      <c r="F43" s="28">
        <f t="shared" si="1"/>
        <v>12.299177950473997</v>
      </c>
    </row>
    <row r="44" spans="1:6">
      <c r="A44" s="18" t="s">
        <v>67</v>
      </c>
      <c r="B44" s="4">
        <v>68.131157212250471</v>
      </c>
      <c r="C44" s="4">
        <v>59.60624</v>
      </c>
      <c r="D44" s="141">
        <f>Speeds!U44</f>
        <v>70.329269785649885</v>
      </c>
      <c r="E44" s="28">
        <f t="shared" si="0"/>
        <v>2.1981125733994133</v>
      </c>
      <c r="F44" s="28">
        <f t="shared" si="1"/>
        <v>10.723029785649885</v>
      </c>
    </row>
    <row r="45" spans="1:6">
      <c r="A45" s="18" t="s">
        <v>68</v>
      </c>
      <c r="B45" s="4">
        <v>59.330043396898148</v>
      </c>
      <c r="C45" s="4">
        <v>53.169829999999997</v>
      </c>
      <c r="D45" s="141">
        <f>Speeds!U45</f>
        <v>74.208902356796543</v>
      </c>
      <c r="E45" s="28">
        <f t="shared" si="0"/>
        <v>14.878858959898395</v>
      </c>
      <c r="F45" s="28">
        <f t="shared" si="1"/>
        <v>21.039072356796545</v>
      </c>
    </row>
    <row r="46" spans="1:6">
      <c r="A46" s="18" t="s">
        <v>69</v>
      </c>
      <c r="B46" s="4">
        <v>53.936325276944842</v>
      </c>
      <c r="C46" s="4">
        <v>53.325209999999998</v>
      </c>
      <c r="D46" s="141">
        <f>Speeds!U46</f>
        <v>72.542200404561456</v>
      </c>
      <c r="E46" s="28">
        <f t="shared" si="0"/>
        <v>18.605875127616613</v>
      </c>
      <c r="F46" s="28">
        <f t="shared" si="1"/>
        <v>19.216990404561457</v>
      </c>
    </row>
    <row r="47" spans="1:6">
      <c r="A47" s="18" t="s">
        <v>85</v>
      </c>
      <c r="B47" s="4">
        <v>57.58663731743308</v>
      </c>
      <c r="C47" s="4">
        <v>50.663890000000002</v>
      </c>
      <c r="D47" s="141">
        <f>Speeds!U47</f>
        <v>67.913980035971221</v>
      </c>
      <c r="E47" s="28">
        <f t="shared" si="0"/>
        <v>10.327342718538141</v>
      </c>
      <c r="F47" s="28">
        <f t="shared" si="1"/>
        <v>17.250090035971219</v>
      </c>
    </row>
    <row r="48" spans="1:6">
      <c r="A48" s="18" t="s">
        <v>56</v>
      </c>
      <c r="B48" s="4">
        <v>57.751551670614234</v>
      </c>
      <c r="C48" s="4">
        <v>58.18665</v>
      </c>
      <c r="D48" s="141">
        <f>Speeds!U48</f>
        <v>59.237163329958236</v>
      </c>
      <c r="E48" s="28">
        <f t="shared" si="0"/>
        <v>1.4856116593440021</v>
      </c>
      <c r="F48" s="28">
        <f t="shared" si="1"/>
        <v>1.0505133299582354</v>
      </c>
    </row>
    <row r="49" spans="1:6">
      <c r="A49" s="18" t="s">
        <v>397</v>
      </c>
      <c r="B49" s="4">
        <v>57.267086544288581</v>
      </c>
      <c r="C49" s="4">
        <v>59.829090000000001</v>
      </c>
      <c r="D49" s="141">
        <f>Speeds!U49</f>
        <v>59.396208684850201</v>
      </c>
      <c r="E49" s="28">
        <f t="shared" si="0"/>
        <v>2.1291221405616199</v>
      </c>
      <c r="F49" s="28">
        <f t="shared" si="1"/>
        <v>-0.43288131514979966</v>
      </c>
    </row>
    <row r="50" spans="1:6">
      <c r="A50" s="18" t="s">
        <v>57</v>
      </c>
      <c r="B50" s="4">
        <v>65.029165523454452</v>
      </c>
      <c r="C50" s="4">
        <v>56.502479999999998</v>
      </c>
      <c r="D50" s="141">
        <f>Speeds!U50</f>
        <v>55.946693712217225</v>
      </c>
      <c r="E50" s="28">
        <f t="shared" si="0"/>
        <v>-9.0824718112372267</v>
      </c>
      <c r="F50" s="28">
        <f t="shared" si="1"/>
        <v>-0.55578628778277306</v>
      </c>
    </row>
    <row r="51" spans="1:6">
      <c r="A51" s="18" t="s">
        <v>70</v>
      </c>
      <c r="B51" s="4">
        <v>57.772652523705723</v>
      </c>
      <c r="C51" s="4">
        <v>47.580840000000002</v>
      </c>
      <c r="D51" s="141">
        <f>Speeds!U51</f>
        <v>65.037009428922346</v>
      </c>
      <c r="E51" s="28">
        <f t="shared" si="0"/>
        <v>7.2643569052166228</v>
      </c>
      <c r="F51" s="28">
        <f t="shared" si="1"/>
        <v>17.456169428922344</v>
      </c>
    </row>
    <row r="52" spans="1:6">
      <c r="A52" s="18" t="s">
        <v>58</v>
      </c>
      <c r="B52" s="4">
        <v>57.166397237881569</v>
      </c>
      <c r="C52" s="4">
        <v>49.556579999999997</v>
      </c>
      <c r="D52" s="141">
        <f>Speeds!U52</f>
        <v>60.647730141730513</v>
      </c>
      <c r="E52" s="28">
        <f t="shared" si="0"/>
        <v>3.4813329038489442</v>
      </c>
      <c r="F52" s="28">
        <f t="shared" si="1"/>
        <v>11.091150141730516</v>
      </c>
    </row>
    <row r="54" spans="1:6">
      <c r="A54" t="s">
        <v>575</v>
      </c>
      <c r="B54" s="4">
        <f>AVERAGE(B2:B52)</f>
        <v>63.232538083028771</v>
      </c>
      <c r="C54" s="4">
        <f t="shared" ref="C54:F54" si="2">AVERAGE(C2:C52)</f>
        <v>55.816029728402789</v>
      </c>
      <c r="D54" s="4">
        <f t="shared" si="2"/>
        <v>64.657313301807491</v>
      </c>
      <c r="E54" s="4">
        <f t="shared" si="2"/>
        <v>1.4247752187787375</v>
      </c>
      <c r="F54" s="4">
        <f t="shared" si="2"/>
        <v>8.8412835734047164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F54" sqref="A2:F54"/>
    </sheetView>
  </sheetViews>
  <sheetFormatPr baseColWidth="10" defaultRowHeight="14" x14ac:dyDescent="0"/>
  <cols>
    <col min="1" max="1" width="39.33203125" customWidth="1"/>
  </cols>
  <sheetData>
    <row r="1" spans="1:6">
      <c r="A1" s="29" t="s">
        <v>16</v>
      </c>
      <c r="B1">
        <v>1990</v>
      </c>
      <c r="C1">
        <v>2000</v>
      </c>
      <c r="D1">
        <v>2010</v>
      </c>
      <c r="E1" s="29" t="s">
        <v>572</v>
      </c>
      <c r="F1" s="29" t="s">
        <v>573</v>
      </c>
    </row>
    <row r="2" spans="1:6">
      <c r="A2" s="18" t="s">
        <v>26</v>
      </c>
      <c r="B2" s="68">
        <v>1.3522447679465692</v>
      </c>
      <c r="C2" s="68">
        <v>1.3794149811619634</v>
      </c>
      <c r="D2" s="68">
        <f>'Interval Circuities'!B3</f>
        <v>1.3810679080102386</v>
      </c>
      <c r="E2" s="147">
        <f>D2-B2</f>
        <v>2.8823140063669372E-2</v>
      </c>
      <c r="F2" s="147">
        <f>D2-C2</f>
        <v>1.6529268482752268E-3</v>
      </c>
    </row>
    <row r="3" spans="1:6">
      <c r="A3" s="18" t="s">
        <v>27</v>
      </c>
      <c r="B3" s="68">
        <v>1.426150653096147</v>
      </c>
      <c r="C3" s="68">
        <v>1.3965836559136842</v>
      </c>
      <c r="D3" s="68">
        <f>'Interval Circuities'!B4</f>
        <v>1.4404458654112589</v>
      </c>
      <c r="E3" s="147">
        <f t="shared" ref="E3:E52" si="0">D3-B3</f>
        <v>1.4295212315111883E-2</v>
      </c>
      <c r="F3" s="147">
        <f t="shared" ref="F3:F52" si="1">D3-C3</f>
        <v>4.3862209497574689E-2</v>
      </c>
    </row>
    <row r="4" spans="1:6">
      <c r="A4" s="18" t="s">
        <v>28</v>
      </c>
      <c r="B4" s="68">
        <v>1.3415278293817852</v>
      </c>
      <c r="C4" s="68">
        <v>1.3553895308629194</v>
      </c>
      <c r="D4" s="68">
        <f>'Interval Circuities'!B5</f>
        <v>1.3822949804670155</v>
      </c>
      <c r="E4" s="147">
        <f t="shared" si="0"/>
        <v>4.0767151085230324E-2</v>
      </c>
      <c r="F4" s="147">
        <f t="shared" si="1"/>
        <v>2.6905449604096132E-2</v>
      </c>
    </row>
    <row r="5" spans="1:6">
      <c r="A5" s="18" t="s">
        <v>29</v>
      </c>
      <c r="B5" s="68">
        <v>1.3256488796814541</v>
      </c>
      <c r="C5" s="68">
        <v>1.3218966779948818</v>
      </c>
      <c r="D5" s="68">
        <f>'Interval Circuities'!B6</f>
        <v>1.3221707933341669</v>
      </c>
      <c r="E5" s="147">
        <f t="shared" si="0"/>
        <v>-3.4780863472871903E-3</v>
      </c>
      <c r="F5" s="147">
        <f t="shared" si="1"/>
        <v>2.7411533928511922E-4</v>
      </c>
    </row>
    <row r="6" spans="1:6">
      <c r="A6" s="18" t="s">
        <v>30</v>
      </c>
      <c r="B6" s="68">
        <v>1.2477771132817665</v>
      </c>
      <c r="C6" s="68">
        <v>1.2781328461764727</v>
      </c>
      <c r="D6" s="68">
        <f>'Interval Circuities'!B7</f>
        <v>1.2726128167623416</v>
      </c>
      <c r="E6" s="147">
        <f t="shared" si="0"/>
        <v>2.4835703480575066E-2</v>
      </c>
      <c r="F6" s="147">
        <f t="shared" si="1"/>
        <v>-5.5200294141311002E-3</v>
      </c>
    </row>
    <row r="7" spans="1:6">
      <c r="A7" s="18" t="s">
        <v>31</v>
      </c>
      <c r="B7" s="68">
        <v>1.3646366473808837</v>
      </c>
      <c r="C7" s="68">
        <v>1.3850358656052615</v>
      </c>
      <c r="D7" s="68">
        <f>'Interval Circuities'!B8</f>
        <v>1.3548292070349812</v>
      </c>
      <c r="E7" s="147">
        <f t="shared" si="0"/>
        <v>-9.8074403459025294E-3</v>
      </c>
      <c r="F7" s="147">
        <f t="shared" si="1"/>
        <v>-3.0206658570280265E-2</v>
      </c>
    </row>
    <row r="8" spans="1:6">
      <c r="A8" s="18" t="s">
        <v>32</v>
      </c>
      <c r="B8" s="68">
        <v>1.3161081482175765</v>
      </c>
      <c r="C8" s="68">
        <v>1.3268247325815479</v>
      </c>
      <c r="D8" s="68">
        <f>'Interval Circuities'!B9</f>
        <v>1.3236002256090809</v>
      </c>
      <c r="E8" s="147">
        <f t="shared" si="0"/>
        <v>7.4920773915043704E-3</v>
      </c>
      <c r="F8" s="147">
        <f t="shared" si="1"/>
        <v>-3.2245069724670117E-3</v>
      </c>
    </row>
    <row r="9" spans="1:6">
      <c r="A9" s="18" t="s">
        <v>33</v>
      </c>
      <c r="B9" s="68">
        <v>1.3893578112622955</v>
      </c>
      <c r="C9" s="68">
        <v>1.4218194575187977</v>
      </c>
      <c r="D9" s="68">
        <f>'Interval Circuities'!B10</f>
        <v>1.4101242469920043</v>
      </c>
      <c r="E9" s="147">
        <f t="shared" si="0"/>
        <v>2.0766435729708821E-2</v>
      </c>
      <c r="F9" s="147">
        <f t="shared" si="1"/>
        <v>-1.1695210526793343E-2</v>
      </c>
    </row>
    <row r="10" spans="1:6">
      <c r="A10" s="18" t="s">
        <v>34</v>
      </c>
      <c r="B10" s="68">
        <v>1.2715517925951088</v>
      </c>
      <c r="C10" s="68">
        <v>1.2874615484699874</v>
      </c>
      <c r="D10" s="68">
        <f>'Interval Circuities'!B11</f>
        <v>1.2785144324718047</v>
      </c>
      <c r="E10" s="147">
        <f t="shared" si="0"/>
        <v>6.9626398766959863E-3</v>
      </c>
      <c r="F10" s="147">
        <f t="shared" si="1"/>
        <v>-8.9471159981826531E-3</v>
      </c>
    </row>
    <row r="11" spans="1:6">
      <c r="A11" s="18" t="s">
        <v>35</v>
      </c>
      <c r="B11" s="68">
        <v>1.3154052160541856</v>
      </c>
      <c r="C11" s="68">
        <v>1.3211732291308345</v>
      </c>
      <c r="D11" s="68">
        <f>'Interval Circuities'!B12</f>
        <v>1.3249637252937287</v>
      </c>
      <c r="E11" s="147">
        <f t="shared" si="0"/>
        <v>9.5585092395431559E-3</v>
      </c>
      <c r="F11" s="147">
        <f t="shared" si="1"/>
        <v>3.7904961628942857E-3</v>
      </c>
    </row>
    <row r="12" spans="1:6">
      <c r="A12" s="18" t="s">
        <v>569</v>
      </c>
      <c r="B12" s="68">
        <v>1.3709373164482086</v>
      </c>
      <c r="C12" s="68">
        <v>1.3489383096006093</v>
      </c>
      <c r="D12" s="68">
        <f>'Interval Circuities'!B13</f>
        <v>1.3824701219183075</v>
      </c>
      <c r="E12" s="147">
        <f t="shared" si="0"/>
        <v>1.1532805470098939E-2</v>
      </c>
      <c r="F12" s="147">
        <f t="shared" si="1"/>
        <v>3.3531812317698195E-2</v>
      </c>
    </row>
    <row r="13" spans="1:6">
      <c r="A13" s="18" t="s">
        <v>36</v>
      </c>
      <c r="B13" s="68">
        <v>1.3838943275761848</v>
      </c>
      <c r="C13" s="68">
        <v>1.359087374496782</v>
      </c>
      <c r="D13" s="68">
        <f>'Interval Circuities'!B14</f>
        <v>1.3957008737903487</v>
      </c>
      <c r="E13" s="147">
        <f t="shared" si="0"/>
        <v>1.1806546214163882E-2</v>
      </c>
      <c r="F13" s="147">
        <f t="shared" si="1"/>
        <v>3.661349929356672E-2</v>
      </c>
    </row>
    <row r="14" spans="1:6">
      <c r="A14" s="18" t="s">
        <v>37</v>
      </c>
      <c r="B14" s="68">
        <v>1.2961889465742875</v>
      </c>
      <c r="C14" s="68">
        <v>1.3076805956202735</v>
      </c>
      <c r="D14" s="68">
        <f>'Interval Circuities'!B15</f>
        <v>1.3026208565751525</v>
      </c>
      <c r="E14" s="147">
        <f t="shared" si="0"/>
        <v>6.4319100008649599E-3</v>
      </c>
      <c r="F14" s="147">
        <f t="shared" si="1"/>
        <v>-5.0597390451210256E-3</v>
      </c>
    </row>
    <row r="15" spans="1:6">
      <c r="A15" s="18" t="s">
        <v>79</v>
      </c>
      <c r="B15" s="68">
        <v>1.3348754820096862</v>
      </c>
      <c r="C15" s="68">
        <v>1.333044375428845</v>
      </c>
      <c r="D15" s="68">
        <f>'Interval Circuities'!B16</f>
        <v>1.3210528558171648</v>
      </c>
      <c r="E15" s="147">
        <f t="shared" si="0"/>
        <v>-1.3822626192521392E-2</v>
      </c>
      <c r="F15" s="147">
        <f t="shared" si="1"/>
        <v>-1.1991519611680213E-2</v>
      </c>
    </row>
    <row r="16" spans="1:6">
      <c r="A16" s="18" t="s">
        <v>511</v>
      </c>
      <c r="B16" s="68">
        <v>1.3770423338795401</v>
      </c>
      <c r="C16" s="68">
        <v>1.4488158168802765</v>
      </c>
      <c r="D16" s="68">
        <f>'Interval Circuities'!B17</f>
        <v>1.4040824100816749</v>
      </c>
      <c r="E16" s="147">
        <f t="shared" si="0"/>
        <v>2.7040076202134777E-2</v>
      </c>
      <c r="F16" s="147">
        <f t="shared" si="1"/>
        <v>-4.4733406798601605E-2</v>
      </c>
    </row>
    <row r="17" spans="1:6">
      <c r="A17" s="18" t="s">
        <v>38</v>
      </c>
      <c r="B17" s="68">
        <v>1.3002946151384891</v>
      </c>
      <c r="C17" s="68">
        <v>1.3193656310596753</v>
      </c>
      <c r="D17" s="68">
        <f>'Interval Circuities'!B18</f>
        <v>1.3288885485099737</v>
      </c>
      <c r="E17" s="147">
        <f t="shared" si="0"/>
        <v>2.8593933371484637E-2</v>
      </c>
      <c r="F17" s="147">
        <f t="shared" si="1"/>
        <v>9.5229174502984293E-3</v>
      </c>
    </row>
    <row r="18" spans="1:6">
      <c r="A18" s="18" t="s">
        <v>80</v>
      </c>
      <c r="B18" s="68">
        <v>1.3987003867957324</v>
      </c>
      <c r="C18" s="68">
        <v>1.3897112960764897</v>
      </c>
      <c r="D18" s="68">
        <f>'Interval Circuities'!B19</f>
        <v>1.4170125027894218</v>
      </c>
      <c r="E18" s="147">
        <f t="shared" si="0"/>
        <v>1.8312115993689426E-2</v>
      </c>
      <c r="F18" s="147">
        <f t="shared" si="1"/>
        <v>2.7301206712932125E-2</v>
      </c>
    </row>
    <row r="19" spans="1:6">
      <c r="A19" s="18" t="s">
        <v>39</v>
      </c>
      <c r="B19" s="68">
        <v>1.3897486026643189</v>
      </c>
      <c r="C19" s="68">
        <v>1.3702791459157309</v>
      </c>
      <c r="D19" s="68">
        <f>'Interval Circuities'!B20</f>
        <v>1.4112669682919152</v>
      </c>
      <c r="E19" s="147">
        <f t="shared" si="0"/>
        <v>2.1518365627596348E-2</v>
      </c>
      <c r="F19" s="147">
        <f t="shared" si="1"/>
        <v>4.0987822376184369E-2</v>
      </c>
    </row>
    <row r="20" spans="1:6">
      <c r="A20" s="18" t="s">
        <v>40</v>
      </c>
      <c r="B20" s="68">
        <v>1.3132675347089213</v>
      </c>
      <c r="C20" s="68">
        <v>1.3488678199601605</v>
      </c>
      <c r="D20" s="68">
        <f>'Interval Circuities'!B21</f>
        <v>1.3307390130691796</v>
      </c>
      <c r="E20" s="147">
        <f t="shared" si="0"/>
        <v>1.7471478360258308E-2</v>
      </c>
      <c r="F20" s="147">
        <f t="shared" si="1"/>
        <v>-1.8128806890980842E-2</v>
      </c>
    </row>
    <row r="21" spans="1:6">
      <c r="A21" s="18" t="s">
        <v>559</v>
      </c>
      <c r="B21" s="68">
        <v>1.3841718613966598</v>
      </c>
      <c r="C21" s="68">
        <v>1.3681548557259369</v>
      </c>
      <c r="D21" s="68">
        <f>'Interval Circuities'!B22</f>
        <v>1.3734377415845354</v>
      </c>
      <c r="E21" s="147">
        <f t="shared" si="0"/>
        <v>-1.0734119812124465E-2</v>
      </c>
      <c r="F21" s="147">
        <f t="shared" si="1"/>
        <v>5.282885858598485E-3</v>
      </c>
    </row>
    <row r="22" spans="1:6">
      <c r="A22" s="18" t="s">
        <v>41</v>
      </c>
      <c r="B22" s="68">
        <v>1.3815643022128219</v>
      </c>
      <c r="C22" s="68">
        <v>1.4208874155489499</v>
      </c>
      <c r="D22" s="68">
        <f>'Interval Circuities'!B23</f>
        <v>1.3923352643282094</v>
      </c>
      <c r="E22" s="147">
        <f t="shared" si="0"/>
        <v>1.0770962115387528E-2</v>
      </c>
      <c r="F22" s="147">
        <f t="shared" si="1"/>
        <v>-2.8552151220740507E-2</v>
      </c>
    </row>
    <row r="23" spans="1:6">
      <c r="A23" s="18" t="s">
        <v>74</v>
      </c>
      <c r="B23" s="68">
        <v>1.3497363834314509</v>
      </c>
      <c r="C23" s="68">
        <v>1.3468144074036565</v>
      </c>
      <c r="D23" s="68">
        <f>'Interval Circuities'!B24</f>
        <v>1.3476779649684636</v>
      </c>
      <c r="E23" s="147">
        <f t="shared" si="0"/>
        <v>-2.0584184629872659E-3</v>
      </c>
      <c r="F23" s="147">
        <f t="shared" si="1"/>
        <v>8.6355756480704926E-4</v>
      </c>
    </row>
    <row r="24" spans="1:6">
      <c r="A24" s="18" t="s">
        <v>62</v>
      </c>
      <c r="B24" s="68">
        <v>1.3162005811729707</v>
      </c>
      <c r="C24" s="68">
        <v>1.3370217985664918</v>
      </c>
      <c r="D24" s="68">
        <f>'Interval Circuities'!B25</f>
        <v>1.3286382614132926</v>
      </c>
      <c r="E24" s="147">
        <f t="shared" si="0"/>
        <v>1.243768024032188E-2</v>
      </c>
      <c r="F24" s="147">
        <f t="shared" si="1"/>
        <v>-8.3835371531992831E-3</v>
      </c>
    </row>
    <row r="25" spans="1:6">
      <c r="A25" s="18" t="s">
        <v>63</v>
      </c>
      <c r="B25" s="68">
        <v>1.2967211649778432</v>
      </c>
      <c r="C25" s="68">
        <v>1.3204750649321098</v>
      </c>
      <c r="D25" s="68">
        <f>'Interval Circuities'!B26</f>
        <v>1.3492227990003094</v>
      </c>
      <c r="E25" s="147">
        <f t="shared" si="0"/>
        <v>5.2501634022466215E-2</v>
      </c>
      <c r="F25" s="147">
        <f t="shared" si="1"/>
        <v>2.8747734068199637E-2</v>
      </c>
    </row>
    <row r="26" spans="1:6">
      <c r="A26" s="18" t="s">
        <v>42</v>
      </c>
      <c r="B26" s="68">
        <v>1.4461618303699983</v>
      </c>
      <c r="C26" s="68">
        <v>1.4104777673151672</v>
      </c>
      <c r="D26" s="68">
        <f>'Interval Circuities'!B27</f>
        <v>1.415233679267091</v>
      </c>
      <c r="E26" s="147">
        <f t="shared" si="0"/>
        <v>-3.0928151102907364E-2</v>
      </c>
      <c r="F26" s="147">
        <f t="shared" si="1"/>
        <v>4.7559119519238191E-3</v>
      </c>
    </row>
    <row r="27" spans="1:6">
      <c r="A27" s="18" t="s">
        <v>43</v>
      </c>
      <c r="B27" s="68">
        <v>1.3673423853224496</v>
      </c>
      <c r="C27" s="68">
        <v>1.3956795616705349</v>
      </c>
      <c r="D27" s="68">
        <f>'Interval Circuities'!B28</f>
        <v>1.3836709660756512</v>
      </c>
      <c r="E27" s="147">
        <f t="shared" si="0"/>
        <v>1.6328580753201649E-2</v>
      </c>
      <c r="F27" s="147">
        <f t="shared" si="1"/>
        <v>-1.2008595594883653E-2</v>
      </c>
    </row>
    <row r="28" spans="1:6">
      <c r="A28" s="18" t="s">
        <v>44</v>
      </c>
      <c r="B28" s="68">
        <v>1.2642401733175872</v>
      </c>
      <c r="C28" s="68">
        <v>1.2891527648949177</v>
      </c>
      <c r="D28" s="68">
        <f>'Interval Circuities'!B29</f>
        <v>1.2592779729384731</v>
      </c>
      <c r="E28" s="147">
        <f t="shared" si="0"/>
        <v>-4.9622003791141012E-3</v>
      </c>
      <c r="F28" s="147">
        <f t="shared" si="1"/>
        <v>-2.9874791956444602E-2</v>
      </c>
    </row>
    <row r="29" spans="1:6">
      <c r="A29" s="18" t="s">
        <v>568</v>
      </c>
      <c r="B29" s="68">
        <v>1.3432337036137816</v>
      </c>
      <c r="C29" s="68">
        <v>1.3631972364714742</v>
      </c>
      <c r="D29" s="68">
        <f>'Interval Circuities'!B30</f>
        <v>1.367956699688347</v>
      </c>
      <c r="E29" s="147">
        <f t="shared" si="0"/>
        <v>2.4722996074565406E-2</v>
      </c>
      <c r="F29" s="147">
        <f t="shared" si="1"/>
        <v>4.7594632168728168E-3</v>
      </c>
    </row>
    <row r="30" spans="1:6">
      <c r="A30" s="18" t="s">
        <v>46</v>
      </c>
      <c r="B30" s="68">
        <v>1.3962975386380219</v>
      </c>
      <c r="C30" s="68">
        <v>1.4676806157574025</v>
      </c>
      <c r="D30" s="68">
        <f>'Interval Circuities'!B31</f>
        <v>1.4297597712771255</v>
      </c>
      <c r="E30" s="147">
        <f t="shared" si="0"/>
        <v>3.346223263910364E-2</v>
      </c>
      <c r="F30" s="147">
        <f t="shared" si="1"/>
        <v>-3.7920844480276994E-2</v>
      </c>
    </row>
    <row r="31" spans="1:6">
      <c r="A31" s="18" t="s">
        <v>47</v>
      </c>
      <c r="B31" s="68">
        <v>1.3868608857534024</v>
      </c>
      <c r="C31" s="68">
        <v>1.3950623483411841</v>
      </c>
      <c r="D31" s="68">
        <f>'Interval Circuities'!B32</f>
        <v>1.4163225470795091</v>
      </c>
      <c r="E31" s="147">
        <f t="shared" si="0"/>
        <v>2.9461661326106725E-2</v>
      </c>
      <c r="F31" s="147">
        <f t="shared" si="1"/>
        <v>2.1260198738324965E-2</v>
      </c>
    </row>
    <row r="32" spans="1:6">
      <c r="A32" s="18" t="s">
        <v>64</v>
      </c>
      <c r="B32" s="68">
        <v>1.3285519856984629</v>
      </c>
      <c r="C32" s="68">
        <v>1.3553383712449574</v>
      </c>
      <c r="D32" s="68">
        <f>'Interval Circuities'!B33</f>
        <v>1.3157627494011674</v>
      </c>
      <c r="E32" s="147">
        <f t="shared" si="0"/>
        <v>-1.2789236297295448E-2</v>
      </c>
      <c r="F32" s="147">
        <f t="shared" si="1"/>
        <v>-3.9575621843789932E-2</v>
      </c>
    </row>
    <row r="33" spans="1:6">
      <c r="A33" s="18" t="s">
        <v>65</v>
      </c>
      <c r="B33" s="68">
        <v>1.3110975612258597</v>
      </c>
      <c r="C33" s="68">
        <v>1.3557576382913992</v>
      </c>
      <c r="D33" s="68">
        <f>'Interval Circuities'!B34</f>
        <v>1.3330075580666654</v>
      </c>
      <c r="E33" s="147">
        <f t="shared" si="0"/>
        <v>2.1909996840805634E-2</v>
      </c>
      <c r="F33" s="147">
        <f t="shared" si="1"/>
        <v>-2.2750080224733793E-2</v>
      </c>
    </row>
    <row r="34" spans="1:6">
      <c r="A34" s="18" t="s">
        <v>48</v>
      </c>
      <c r="B34" s="68">
        <v>1.3848661716333772</v>
      </c>
      <c r="C34" s="68">
        <v>1.3729301491749999</v>
      </c>
      <c r="D34" s="68">
        <f>'Interval Circuities'!B35</f>
        <v>1.4073453796667255</v>
      </c>
      <c r="E34" s="147">
        <f t="shared" si="0"/>
        <v>2.2479208033348241E-2</v>
      </c>
      <c r="F34" s="147">
        <f t="shared" si="1"/>
        <v>3.4415230491725568E-2</v>
      </c>
    </row>
    <row r="35" spans="1:6">
      <c r="A35" s="18" t="s">
        <v>66</v>
      </c>
      <c r="B35" s="68">
        <v>1.2841177547554121</v>
      </c>
      <c r="C35" s="68">
        <v>1.3170343911047411</v>
      </c>
      <c r="D35" s="68">
        <f>'Interval Circuities'!B36</f>
        <v>1.2908066509637137</v>
      </c>
      <c r="E35" s="147">
        <f t="shared" si="0"/>
        <v>6.6888962083015979E-3</v>
      </c>
      <c r="F35" s="147">
        <f t="shared" si="1"/>
        <v>-2.6227740141027356E-2</v>
      </c>
    </row>
    <row r="36" spans="1:6">
      <c r="A36" s="18" t="s">
        <v>49</v>
      </c>
      <c r="B36" s="68">
        <v>1.3377242090881898</v>
      </c>
      <c r="C36" s="68">
        <v>1.3654756153734526</v>
      </c>
      <c r="D36" s="68">
        <f>'Interval Circuities'!B37</f>
        <v>1.3444279137541839</v>
      </c>
      <c r="E36" s="147">
        <f t="shared" si="0"/>
        <v>6.7037046659941257E-3</v>
      </c>
      <c r="F36" s="147">
        <f t="shared" si="1"/>
        <v>-2.1047701619268722E-2</v>
      </c>
    </row>
    <row r="37" spans="1:6">
      <c r="A37" s="18" t="s">
        <v>50</v>
      </c>
      <c r="B37" s="68">
        <v>1.3964819567172002</v>
      </c>
      <c r="C37" s="68">
        <v>1.4225893665687803</v>
      </c>
      <c r="D37" s="68">
        <f>'Interval Circuities'!B38</f>
        <v>1.4115605231076185</v>
      </c>
      <c r="E37" s="147">
        <f t="shared" si="0"/>
        <v>1.5078566390418269E-2</v>
      </c>
      <c r="F37" s="147">
        <f t="shared" si="1"/>
        <v>-1.1028843461161841E-2</v>
      </c>
    </row>
    <row r="38" spans="1:6">
      <c r="A38" s="18" t="s">
        <v>51</v>
      </c>
      <c r="B38" s="68">
        <v>1.5132631454535335</v>
      </c>
      <c r="C38" s="68">
        <v>1.497231860923961</v>
      </c>
      <c r="D38" s="68">
        <f>'Interval Circuities'!B39</f>
        <v>1.5301276739734433</v>
      </c>
      <c r="E38" s="147">
        <f t="shared" si="0"/>
        <v>1.6864528519909827E-2</v>
      </c>
      <c r="F38" s="147">
        <f t="shared" si="1"/>
        <v>3.2895813049482303E-2</v>
      </c>
    </row>
    <row r="39" spans="1:6">
      <c r="A39" s="18" t="s">
        <v>52</v>
      </c>
      <c r="B39" s="68">
        <v>1.3175246716287143</v>
      </c>
      <c r="C39" s="68">
        <v>1.3248231024651607</v>
      </c>
      <c r="D39" s="68">
        <f>'Interval Circuities'!B40</f>
        <v>1.3413795461632436</v>
      </c>
      <c r="E39" s="147">
        <f t="shared" si="0"/>
        <v>2.385487453452928E-2</v>
      </c>
      <c r="F39" s="147">
        <f t="shared" si="1"/>
        <v>1.6556443698082957E-2</v>
      </c>
    </row>
    <row r="40" spans="1:6">
      <c r="A40" s="18" t="s">
        <v>53</v>
      </c>
      <c r="B40" s="68">
        <v>1.3311216464630611</v>
      </c>
      <c r="C40" s="68">
        <v>1.3721700809670998</v>
      </c>
      <c r="D40" s="68">
        <f>'Interval Circuities'!B41</f>
        <v>1.3599560158886321</v>
      </c>
      <c r="E40" s="147">
        <f t="shared" si="0"/>
        <v>2.8834369425571049E-2</v>
      </c>
      <c r="F40" s="147">
        <f t="shared" si="1"/>
        <v>-1.2214065078467673E-2</v>
      </c>
    </row>
    <row r="41" spans="1:6">
      <c r="A41" s="18" t="s">
        <v>81</v>
      </c>
      <c r="B41" s="68">
        <v>1.2967935188849744</v>
      </c>
      <c r="C41" s="68">
        <v>1.2868299509717198</v>
      </c>
      <c r="D41" s="68">
        <f>'Interval Circuities'!B42</f>
        <v>1.3054372101690606</v>
      </c>
      <c r="E41" s="147">
        <f t="shared" si="0"/>
        <v>8.6436912840861524E-3</v>
      </c>
      <c r="F41" s="147">
        <f t="shared" si="1"/>
        <v>1.8607259197340742E-2</v>
      </c>
    </row>
    <row r="42" spans="1:6">
      <c r="A42" s="18" t="s">
        <v>54</v>
      </c>
      <c r="B42" s="68">
        <v>1.4561519355494399</v>
      </c>
      <c r="C42" s="68">
        <v>1.4784314673911618</v>
      </c>
      <c r="D42" s="68">
        <f>'Interval Circuities'!B43</f>
        <v>1.4338792967235054</v>
      </c>
      <c r="E42" s="147">
        <f t="shared" si="0"/>
        <v>-2.2272638825934443E-2</v>
      </c>
      <c r="F42" s="147">
        <f t="shared" si="1"/>
        <v>-4.4552170667656377E-2</v>
      </c>
    </row>
    <row r="43" spans="1:6">
      <c r="A43" s="18" t="s">
        <v>55</v>
      </c>
      <c r="B43" s="68">
        <v>1.3613500876534124</v>
      </c>
      <c r="C43" s="68">
        <v>1.4171473677066153</v>
      </c>
      <c r="D43" s="68">
        <f>'Interval Circuities'!B44</f>
        <v>1.3973954385618328</v>
      </c>
      <c r="E43" s="147">
        <f t="shared" si="0"/>
        <v>3.6045350908420426E-2</v>
      </c>
      <c r="F43" s="147">
        <f t="shared" si="1"/>
        <v>-1.9751929144782521E-2</v>
      </c>
    </row>
    <row r="44" spans="1:6">
      <c r="A44" s="18" t="s">
        <v>67</v>
      </c>
      <c r="B44" s="68">
        <v>1.4519665174020164</v>
      </c>
      <c r="C44" s="68">
        <v>1.4440798318595534</v>
      </c>
      <c r="D44" s="68">
        <f>'Interval Circuities'!B45</f>
        <v>1.4317823771593792</v>
      </c>
      <c r="E44" s="147">
        <f t="shared" si="0"/>
        <v>-2.0184140242637261E-2</v>
      </c>
      <c r="F44" s="147">
        <f t="shared" si="1"/>
        <v>-1.2297454700174182E-2</v>
      </c>
    </row>
    <row r="45" spans="1:6">
      <c r="A45" s="18" t="s">
        <v>68</v>
      </c>
      <c r="B45" s="68">
        <v>1.4199820518025561</v>
      </c>
      <c r="C45" s="68">
        <v>1.4163798747179295</v>
      </c>
      <c r="D45" s="68">
        <f>'Interval Circuities'!B46</f>
        <v>1.4519495177769537</v>
      </c>
      <c r="E45" s="147">
        <f t="shared" si="0"/>
        <v>3.1967465974397591E-2</v>
      </c>
      <c r="F45" s="147">
        <f t="shared" si="1"/>
        <v>3.5569643059024214E-2</v>
      </c>
    </row>
    <row r="46" spans="1:6">
      <c r="A46" s="18" t="s">
        <v>69</v>
      </c>
      <c r="B46" s="68">
        <v>1.4123371408549048</v>
      </c>
      <c r="C46" s="68">
        <v>1.4261474874002367</v>
      </c>
      <c r="D46" s="68">
        <f>'Interval Circuities'!B47</f>
        <v>1.4529772069649314</v>
      </c>
      <c r="E46" s="147">
        <f t="shared" si="0"/>
        <v>4.0640066110026574E-2</v>
      </c>
      <c r="F46" s="147">
        <f t="shared" si="1"/>
        <v>2.682971956469471E-2</v>
      </c>
    </row>
    <row r="47" spans="1:6">
      <c r="A47" s="18" t="s">
        <v>85</v>
      </c>
      <c r="B47" s="68">
        <v>1.4096310284707418</v>
      </c>
      <c r="C47" s="68">
        <v>1.4495576335346807</v>
      </c>
      <c r="D47" s="68">
        <f>'Interval Circuities'!B48</f>
        <v>1.3990667972183513</v>
      </c>
      <c r="E47" s="147">
        <f t="shared" si="0"/>
        <v>-1.0564231252390588E-2</v>
      </c>
      <c r="F47" s="147">
        <f t="shared" si="1"/>
        <v>-5.0490836316329446E-2</v>
      </c>
    </row>
    <row r="48" spans="1:6">
      <c r="A48" s="18" t="s">
        <v>56</v>
      </c>
      <c r="B48" s="68">
        <v>1.4456563048025668</v>
      </c>
      <c r="C48" s="68">
        <v>1.4004286301414794</v>
      </c>
      <c r="D48" s="68">
        <f>'Interval Circuities'!B49</f>
        <v>1.4725838457083096</v>
      </c>
      <c r="E48" s="147">
        <f t="shared" si="0"/>
        <v>2.6927540905742786E-2</v>
      </c>
      <c r="F48" s="147">
        <f t="shared" si="1"/>
        <v>7.2155215566830133E-2</v>
      </c>
    </row>
    <row r="49" spans="1:6">
      <c r="A49" s="18" t="s">
        <v>397</v>
      </c>
      <c r="B49" s="68">
        <v>1.32034652628619</v>
      </c>
      <c r="C49" s="68">
        <v>1.3347515525831062</v>
      </c>
      <c r="D49" s="68">
        <f>'Interval Circuities'!B50</f>
        <v>1.336871859668785</v>
      </c>
      <c r="E49" s="147">
        <f t="shared" si="0"/>
        <v>1.6525333382594987E-2</v>
      </c>
      <c r="F49" s="147">
        <f t="shared" si="1"/>
        <v>2.1203070856787853E-3</v>
      </c>
    </row>
    <row r="50" spans="1:6">
      <c r="A50" s="18" t="s">
        <v>57</v>
      </c>
      <c r="B50" s="68">
        <v>1.4333416134240047</v>
      </c>
      <c r="C50" s="68">
        <v>1.4418817166593685</v>
      </c>
      <c r="D50" s="68">
        <f>'Interval Circuities'!B51</f>
        <v>1.443560196227148</v>
      </c>
      <c r="E50" s="147">
        <f t="shared" si="0"/>
        <v>1.0218582803143361E-2</v>
      </c>
      <c r="F50" s="147">
        <f t="shared" si="1"/>
        <v>1.6784795677795561E-3</v>
      </c>
    </row>
    <row r="51" spans="1:6">
      <c r="A51" s="18" t="s">
        <v>70</v>
      </c>
      <c r="B51" s="68">
        <v>1.3536513388843285</v>
      </c>
      <c r="C51" s="68">
        <v>1.367675641952371</v>
      </c>
      <c r="D51" s="68">
        <f>'Interval Circuities'!B52</f>
        <v>1.3634427948695305</v>
      </c>
      <c r="E51" s="147">
        <f t="shared" si="0"/>
        <v>9.7914559852019245E-3</v>
      </c>
      <c r="F51" s="147">
        <f t="shared" si="1"/>
        <v>-4.2328470828405518E-3</v>
      </c>
    </row>
    <row r="52" spans="1:6">
      <c r="A52" s="18" t="s">
        <v>58</v>
      </c>
      <c r="B52" s="68">
        <v>1.4355478863247719</v>
      </c>
      <c r="C52" s="68">
        <v>1.4414267455336287</v>
      </c>
      <c r="D52" s="68">
        <f>'Interval Circuities'!B53</f>
        <v>1.4280755763678319</v>
      </c>
      <c r="E52" s="147">
        <f t="shared" si="0"/>
        <v>-7.4723099569400375E-3</v>
      </c>
      <c r="F52" s="147">
        <f t="shared" si="1"/>
        <v>-1.3351169165796817E-2</v>
      </c>
    </row>
    <row r="54" spans="1:6">
      <c r="A54" s="18" t="s">
        <v>575</v>
      </c>
      <c r="B54" s="4">
        <f>AVERAGE(B2:B52)</f>
        <v>1.3617528287824285</v>
      </c>
      <c r="C54" s="4">
        <f t="shared" ref="C54:F54" si="2">AVERAGE(C2:C52)</f>
        <v>1.3745532392872435</v>
      </c>
      <c r="D54" s="4">
        <f t="shared" si="2"/>
        <v>1.3744978068284666</v>
      </c>
      <c r="E54" s="4">
        <f t="shared" si="2"/>
        <v>1.2744978046037903E-2</v>
      </c>
      <c r="F54" s="4">
        <f t="shared" si="2"/>
        <v>-5.543245877727992E-5</v>
      </c>
    </row>
    <row r="55" spans="1:6">
      <c r="A55" t="s">
        <v>574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sqref="A1:J4"/>
    </sheetView>
  </sheetViews>
  <sheetFormatPr baseColWidth="10" defaultRowHeight="14" x14ac:dyDescent="0"/>
  <cols>
    <col min="2" max="3" width="11" bestFit="1" customWidth="1"/>
    <col min="4" max="10" width="12.1640625" bestFit="1" customWidth="1"/>
  </cols>
  <sheetData>
    <row r="1" spans="1:10">
      <c r="A1" s="29"/>
      <c r="B1" s="29">
        <v>10</v>
      </c>
      <c r="C1" s="29">
        <v>20</v>
      </c>
      <c r="D1" s="29">
        <v>30</v>
      </c>
      <c r="E1" s="29">
        <v>40</v>
      </c>
      <c r="F1" s="29">
        <v>50</v>
      </c>
      <c r="G1" s="29">
        <v>60</v>
      </c>
      <c r="H1" s="29">
        <v>70</v>
      </c>
      <c r="I1" s="29">
        <v>80</v>
      </c>
      <c r="J1" s="29">
        <v>90</v>
      </c>
    </row>
    <row r="2" spans="1:10">
      <c r="A2">
        <v>1990</v>
      </c>
      <c r="B2" s="134">
        <f>'Summary-1990'!B54</f>
        <v>145571.93986522604</v>
      </c>
      <c r="C2" s="134">
        <f>'Summary-1990'!C54</f>
        <v>596250.60239089641</v>
      </c>
      <c r="D2" s="134">
        <f>'Summary-1990'!D54</f>
        <v>1214211.3063647673</v>
      </c>
      <c r="E2" s="134">
        <f>'Summary-1990'!E54</f>
        <v>1819033.6455644725</v>
      </c>
      <c r="F2" s="134">
        <f>'Summary-1990'!F54</f>
        <v>2275018.4198599155</v>
      </c>
      <c r="G2" s="134">
        <f>'Summary-1990'!G54</f>
        <v>2776177.4318969194</v>
      </c>
      <c r="H2" s="134">
        <f>'Summary-1990'!H54</f>
        <v>2872250.9429150722</v>
      </c>
      <c r="I2" s="134">
        <f>'Summary-1990'!I54</f>
        <v>2872250.9429150722</v>
      </c>
      <c r="J2" s="134">
        <f>'Summary-1990'!J54</f>
        <v>2872250.9429150722</v>
      </c>
    </row>
    <row r="3" spans="1:10">
      <c r="A3">
        <v>2000</v>
      </c>
      <c r="B3" s="134">
        <f>'Summary-2000'!B54</f>
        <v>103265.26378215803</v>
      </c>
      <c r="C3" s="134">
        <f>'Summary-2000'!C54</f>
        <v>437600.96462318517</v>
      </c>
      <c r="D3" s="134">
        <f>'Summary-2000'!D54</f>
        <v>937494.75221031706</v>
      </c>
      <c r="E3" s="134">
        <f>'Summary-2000'!E54</f>
        <v>1452782.3668584905</v>
      </c>
      <c r="F3" s="134">
        <f>'Summary-2000'!F54</f>
        <v>1935878.3108906618</v>
      </c>
      <c r="G3" s="134">
        <f>'Summary-2000'!G54</f>
        <v>2314755.7330244109</v>
      </c>
      <c r="H3" s="134">
        <f>'Summary-2000'!H54</f>
        <v>2564170.4134840737</v>
      </c>
      <c r="I3" s="134">
        <f>'Summary-2000'!I54</f>
        <v>2661643.0865932796</v>
      </c>
      <c r="J3" s="134">
        <f>'Summary-2000'!J54</f>
        <v>2661643.0865932796</v>
      </c>
    </row>
    <row r="4" spans="1:10">
      <c r="A4">
        <v>2010</v>
      </c>
      <c r="B4" s="134">
        <f>'Summary-2010'!B54</f>
        <v>122131.53276028835</v>
      </c>
      <c r="C4" s="134">
        <f>'Summary-2010'!C54</f>
        <v>524030.16121255321</v>
      </c>
      <c r="D4" s="134">
        <f>'Summary-2010'!D54</f>
        <v>1097361.6034426326</v>
      </c>
      <c r="E4" s="134">
        <f>'Summary-2010'!E54</f>
        <v>1708090.453333667</v>
      </c>
      <c r="F4" s="134">
        <f>'Summary-2010'!F54</f>
        <v>2125494.1981406347</v>
      </c>
      <c r="G4" s="134">
        <f>'Summary-2010'!G54</f>
        <v>2367106.0802880656</v>
      </c>
      <c r="H4" s="134">
        <f>'Summary-2010'!H54</f>
        <v>2459544.5461067823</v>
      </c>
      <c r="I4" s="134">
        <f>'Summary-2010'!I54</f>
        <v>2459544.5461067823</v>
      </c>
      <c r="J4" s="134">
        <f>'Summary-2010'!J54</f>
        <v>2459544.5461067823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Charts</vt:lpstr>
      </vt:variant>
      <vt:variant>
        <vt:i4>1</vt:i4>
      </vt:variant>
    </vt:vector>
  </HeadingPairs>
  <TitlesOfParts>
    <vt:vector size="32" baseType="lpstr">
      <vt:lpstr>1990</vt:lpstr>
      <vt:lpstr>1995</vt:lpstr>
      <vt:lpstr>2001</vt:lpstr>
      <vt:lpstr>HPMS</vt:lpstr>
      <vt:lpstr>Speeds</vt:lpstr>
      <vt:lpstr>oldspeed</vt:lpstr>
      <vt:lpstr>2010-10</vt:lpstr>
      <vt:lpstr>2010-20</vt:lpstr>
      <vt:lpstr>2010-30</vt:lpstr>
      <vt:lpstr>2010-40</vt:lpstr>
      <vt:lpstr>2010-50</vt:lpstr>
      <vt:lpstr>2010-60</vt:lpstr>
      <vt:lpstr>2010-70</vt:lpstr>
      <vt:lpstr>2010-80</vt:lpstr>
      <vt:lpstr>2010-90</vt:lpstr>
      <vt:lpstr>Interval Circuities</vt:lpstr>
      <vt:lpstr>Complete2011</vt:lpstr>
      <vt:lpstr>Summary-2010</vt:lpstr>
      <vt:lpstr>Summary-2000</vt:lpstr>
      <vt:lpstr>Summary-1990</vt:lpstr>
      <vt:lpstr>Trends2010-1990</vt:lpstr>
      <vt:lpstr>Trends2010-2000</vt:lpstr>
      <vt:lpstr>Trends2000-1990</vt:lpstr>
      <vt:lpstr>ChangeInRank2010-1990</vt:lpstr>
      <vt:lpstr>ChangeInRank2010-2000</vt:lpstr>
      <vt:lpstr>ChangeInRank2000-1990</vt:lpstr>
      <vt:lpstr>For Report</vt:lpstr>
      <vt:lpstr>Total Employment</vt:lpstr>
      <vt:lpstr>CongestedSpeeds kmh</vt:lpstr>
      <vt:lpstr>CircuityTrends</vt:lpstr>
      <vt:lpstr>US AVERAGE TRENDS</vt:lpstr>
      <vt:lpstr>US Average Accessibility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2013-03-01T15:24:37Z</cp:lastPrinted>
  <dcterms:created xsi:type="dcterms:W3CDTF">2006-09-16T00:00:00Z</dcterms:created>
  <dcterms:modified xsi:type="dcterms:W3CDTF">2013-03-26T17:28:47Z</dcterms:modified>
</cp:coreProperties>
</file>