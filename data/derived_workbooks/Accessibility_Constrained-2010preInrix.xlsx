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905"/>
  <workbookPr filterPrivacy="1" autoCompressPictures="0"/>
  <bookViews>
    <workbookView xWindow="2360" yWindow="220" windowWidth="23740" windowHeight="21880" tabRatio="692" firstSheet="3" activeTab="3"/>
  </bookViews>
  <sheets>
    <sheet name="1990" sheetId="4" r:id="rId1"/>
    <sheet name="1995" sheetId="2" r:id="rId2"/>
    <sheet name="2001" sheetId="1" r:id="rId3"/>
    <sheet name="2010-10" sheetId="7" r:id="rId4"/>
    <sheet name="2010-20" sheetId="9" r:id="rId5"/>
    <sheet name="2010-30" sheetId="10" r:id="rId6"/>
    <sheet name="2010-40" sheetId="11" r:id="rId7"/>
    <sheet name="2010-50" sheetId="12" r:id="rId8"/>
    <sheet name="2010-60" sheetId="13" r:id="rId9"/>
    <sheet name="2010-70" sheetId="14" r:id="rId10"/>
    <sheet name="2010-80" sheetId="15" r:id="rId11"/>
    <sheet name="2010-90" sheetId="16" r:id="rId12"/>
    <sheet name="Summary-2010" sheetId="8" r:id="rId13"/>
    <sheet name="Interval Circuities" sheetId="17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</externalReferences>
  <definedNames>
    <definedName name="Beta">'Summary-2010'!$B$55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6" i="7" l="1"/>
  <c r="J53" i="17"/>
  <c r="J52" i="17"/>
  <c r="J51" i="17"/>
  <c r="J50" i="17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J6" i="17"/>
  <c r="J5" i="17"/>
  <c r="J4" i="17"/>
  <c r="J3" i="17"/>
  <c r="I53" i="17"/>
  <c r="I52" i="17"/>
  <c r="I51" i="17"/>
  <c r="I50" i="17"/>
  <c r="I49" i="17"/>
  <c r="I48" i="17"/>
  <c r="I47" i="17"/>
  <c r="I46" i="17"/>
  <c r="I45" i="17"/>
  <c r="I44" i="17"/>
  <c r="I43" i="17"/>
  <c r="I42" i="17"/>
  <c r="I41" i="17"/>
  <c r="I40" i="17"/>
  <c r="I39" i="17"/>
  <c r="I38" i="17"/>
  <c r="I37" i="17"/>
  <c r="I36" i="17"/>
  <c r="I35" i="17"/>
  <c r="I34" i="17"/>
  <c r="I33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9" i="17"/>
  <c r="I8" i="17"/>
  <c r="I7" i="17"/>
  <c r="I6" i="17"/>
  <c r="I5" i="17"/>
  <c r="I4" i="17"/>
  <c r="I3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H4" i="17"/>
  <c r="H3" i="17"/>
  <c r="G53" i="17"/>
  <c r="G52" i="17"/>
  <c r="G51" i="17"/>
  <c r="G50" i="17"/>
  <c r="G49" i="17"/>
  <c r="G48" i="17"/>
  <c r="G47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G34" i="17"/>
  <c r="G33" i="17"/>
  <c r="G32" i="17"/>
  <c r="G31" i="17"/>
  <c r="G30" i="17"/>
  <c r="G29" i="17"/>
  <c r="G28" i="17"/>
  <c r="G27" i="17"/>
  <c r="G26" i="17"/>
  <c r="G25" i="17"/>
  <c r="G24" i="17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F53" i="17"/>
  <c r="F52" i="17"/>
  <c r="F51" i="17"/>
  <c r="F50" i="17"/>
  <c r="F49" i="17"/>
  <c r="F48" i="17"/>
  <c r="F47" i="17"/>
  <c r="F46" i="17"/>
  <c r="F45" i="17"/>
  <c r="F44" i="17"/>
  <c r="F43" i="17"/>
  <c r="F42" i="17"/>
  <c r="F41" i="17"/>
  <c r="F40" i="17"/>
  <c r="F39" i="17"/>
  <c r="F38" i="17"/>
  <c r="F37" i="17"/>
  <c r="F36" i="17"/>
  <c r="F35" i="17"/>
  <c r="F34" i="17"/>
  <c r="F33" i="17"/>
  <c r="F32" i="17"/>
  <c r="F31" i="17"/>
  <c r="F30" i="17"/>
  <c r="F29" i="17"/>
  <c r="F28" i="17"/>
  <c r="F27" i="17"/>
  <c r="F26" i="17"/>
  <c r="F25" i="17"/>
  <c r="F24" i="17"/>
  <c r="F23" i="17"/>
  <c r="F22" i="17"/>
  <c r="F21" i="17"/>
  <c r="F20" i="17"/>
  <c r="F19" i="17"/>
  <c r="F18" i="17"/>
  <c r="F17" i="17"/>
  <c r="F16" i="17"/>
  <c r="F15" i="17"/>
  <c r="F14" i="17"/>
  <c r="F13" i="17"/>
  <c r="F12" i="17"/>
  <c r="F11" i="17"/>
  <c r="F10" i="17"/>
  <c r="F9" i="17"/>
  <c r="F8" i="17"/>
  <c r="F7" i="17"/>
  <c r="F6" i="17"/>
  <c r="F5" i="17"/>
  <c r="F4" i="17"/>
  <c r="F3" i="17"/>
  <c r="E53" i="17"/>
  <c r="E52" i="17"/>
  <c r="E51" i="17"/>
  <c r="E50" i="17"/>
  <c r="E49" i="17"/>
  <c r="E48" i="17"/>
  <c r="E48" i="11"/>
  <c r="E47" i="17"/>
  <c r="E46" i="17"/>
  <c r="E45" i="17"/>
  <c r="E44" i="17"/>
  <c r="E43" i="17"/>
  <c r="E42" i="17"/>
  <c r="E41" i="17"/>
  <c r="E40" i="17"/>
  <c r="E39" i="17"/>
  <c r="E38" i="17"/>
  <c r="E37" i="17"/>
  <c r="E36" i="17"/>
  <c r="E35" i="17"/>
  <c r="E34" i="17"/>
  <c r="E33" i="17"/>
  <c r="E32" i="17"/>
  <c r="E31" i="17"/>
  <c r="E30" i="17"/>
  <c r="E29" i="17"/>
  <c r="E28" i="17"/>
  <c r="E27" i="17"/>
  <c r="E26" i="17"/>
  <c r="E25" i="17"/>
  <c r="E24" i="17"/>
  <c r="E23" i="17"/>
  <c r="E22" i="17"/>
  <c r="E21" i="17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7" i="17"/>
  <c r="E6" i="17"/>
  <c r="E5" i="17"/>
  <c r="E4" i="17"/>
  <c r="E3" i="17"/>
  <c r="D53" i="17"/>
  <c r="D52" i="17"/>
  <c r="D51" i="17"/>
  <c r="D50" i="17"/>
  <c r="D49" i="17"/>
  <c r="D48" i="17"/>
  <c r="D47" i="17"/>
  <c r="D46" i="17"/>
  <c r="D45" i="17"/>
  <c r="D44" i="17"/>
  <c r="D43" i="17"/>
  <c r="D42" i="17"/>
  <c r="D41" i="17"/>
  <c r="D40" i="17"/>
  <c r="D39" i="17"/>
  <c r="D38" i="17"/>
  <c r="D37" i="17"/>
  <c r="D36" i="17"/>
  <c r="D35" i="17"/>
  <c r="D34" i="17"/>
  <c r="D33" i="17"/>
  <c r="D32" i="17"/>
  <c r="D31" i="17"/>
  <c r="D30" i="17"/>
  <c r="D29" i="17"/>
  <c r="D28" i="17"/>
  <c r="D27" i="17"/>
  <c r="D26" i="17"/>
  <c r="D25" i="17"/>
  <c r="D24" i="17"/>
  <c r="D23" i="17"/>
  <c r="D22" i="17"/>
  <c r="D21" i="17"/>
  <c r="D20" i="17"/>
  <c r="D19" i="17"/>
  <c r="D18" i="17"/>
  <c r="D17" i="17"/>
  <c r="D16" i="17"/>
  <c r="D15" i="17"/>
  <c r="D14" i="17"/>
  <c r="D13" i="17"/>
  <c r="D12" i="17"/>
  <c r="D11" i="17"/>
  <c r="D10" i="17"/>
  <c r="D9" i="17"/>
  <c r="D8" i="17"/>
  <c r="D7" i="17"/>
  <c r="D6" i="17"/>
  <c r="D5" i="17"/>
  <c r="D4" i="17"/>
  <c r="D3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C3" i="17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34" i="16"/>
  <c r="E33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E4" i="16"/>
  <c r="E3" i="16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53" i="11"/>
  <c r="E52" i="11"/>
  <c r="E51" i="11"/>
  <c r="E50" i="11"/>
  <c r="E49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3" i="9"/>
  <c r="B4" i="17"/>
  <c r="E4" i="7"/>
  <c r="B5" i="17"/>
  <c r="E5" i="7"/>
  <c r="B6" i="17"/>
  <c r="E6" i="7"/>
  <c r="B7" i="17"/>
  <c r="E7" i="7"/>
  <c r="B8" i="17"/>
  <c r="E8" i="7"/>
  <c r="B9" i="17"/>
  <c r="E9" i="7"/>
  <c r="B10" i="17"/>
  <c r="E10" i="7"/>
  <c r="B11" i="17"/>
  <c r="E11" i="7"/>
  <c r="B12" i="17"/>
  <c r="E12" i="7"/>
  <c r="B13" i="17"/>
  <c r="E13" i="7"/>
  <c r="B14" i="17"/>
  <c r="E14" i="7"/>
  <c r="B15" i="17"/>
  <c r="E15" i="7"/>
  <c r="B16" i="17"/>
  <c r="E16" i="7"/>
  <c r="B17" i="17"/>
  <c r="E17" i="7"/>
  <c r="B18" i="17"/>
  <c r="E18" i="7"/>
  <c r="B19" i="17"/>
  <c r="E19" i="7"/>
  <c r="B20" i="17"/>
  <c r="E20" i="7"/>
  <c r="B21" i="17"/>
  <c r="E21" i="7"/>
  <c r="B22" i="17"/>
  <c r="E22" i="7"/>
  <c r="B23" i="17"/>
  <c r="E23" i="7"/>
  <c r="B24" i="17"/>
  <c r="E24" i="7"/>
  <c r="B25" i="17"/>
  <c r="E25" i="7"/>
  <c r="B26" i="17"/>
  <c r="E26" i="7"/>
  <c r="B27" i="17"/>
  <c r="E27" i="7"/>
  <c r="B28" i="17"/>
  <c r="E28" i="7"/>
  <c r="B29" i="17"/>
  <c r="E29" i="7"/>
  <c r="B30" i="17"/>
  <c r="E30" i="7"/>
  <c r="B31" i="17"/>
  <c r="E31" i="7"/>
  <c r="B32" i="17"/>
  <c r="E32" i="7"/>
  <c r="B33" i="17"/>
  <c r="E33" i="7"/>
  <c r="B34" i="17"/>
  <c r="E34" i="7"/>
  <c r="B35" i="17"/>
  <c r="E35" i="7"/>
  <c r="B36" i="17"/>
  <c r="E36" i="7"/>
  <c r="B37" i="17"/>
  <c r="E37" i="7"/>
  <c r="B38" i="17"/>
  <c r="E38" i="7"/>
  <c r="B39" i="17"/>
  <c r="E39" i="7"/>
  <c r="B40" i="17"/>
  <c r="E40" i="7"/>
  <c r="B41" i="17"/>
  <c r="E41" i="7"/>
  <c r="B42" i="17"/>
  <c r="E42" i="7"/>
  <c r="B43" i="17"/>
  <c r="E43" i="7"/>
  <c r="B44" i="17"/>
  <c r="E44" i="7"/>
  <c r="B45" i="17"/>
  <c r="E45" i="7"/>
  <c r="B46" i="17"/>
  <c r="E46" i="7"/>
  <c r="B47" i="17"/>
  <c r="E47" i="7"/>
  <c r="B48" i="17"/>
  <c r="E48" i="7"/>
  <c r="B49" i="17"/>
  <c r="E49" i="7"/>
  <c r="B50" i="17"/>
  <c r="E50" i="7"/>
  <c r="B51" i="17"/>
  <c r="E51" i="7"/>
  <c r="B52" i="17"/>
  <c r="E52" i="7"/>
  <c r="B53" i="17"/>
  <c r="E53" i="7"/>
  <c r="B3" i="17"/>
  <c r="E3" i="7"/>
  <c r="C53" i="16"/>
  <c r="A1" i="16"/>
  <c r="D53" i="16"/>
  <c r="C52" i="16"/>
  <c r="D52" i="16"/>
  <c r="C51" i="16"/>
  <c r="D51" i="16"/>
  <c r="C50" i="16"/>
  <c r="D50" i="16"/>
  <c r="C49" i="16"/>
  <c r="D49" i="16"/>
  <c r="C48" i="16"/>
  <c r="D48" i="16"/>
  <c r="C47" i="16"/>
  <c r="D47" i="16"/>
  <c r="C46" i="16"/>
  <c r="D46" i="16"/>
  <c r="C45" i="16"/>
  <c r="D45" i="16"/>
  <c r="C44" i="16"/>
  <c r="D44" i="16"/>
  <c r="C43" i="16"/>
  <c r="D43" i="16"/>
  <c r="C42" i="16"/>
  <c r="D42" i="16"/>
  <c r="C41" i="16"/>
  <c r="D41" i="16"/>
  <c r="C40" i="16"/>
  <c r="D40" i="16"/>
  <c r="C39" i="16"/>
  <c r="D39" i="16"/>
  <c r="C38" i="16"/>
  <c r="D38" i="16"/>
  <c r="C37" i="16"/>
  <c r="D37" i="16"/>
  <c r="C36" i="16"/>
  <c r="D36" i="16"/>
  <c r="C35" i="16"/>
  <c r="D35" i="16"/>
  <c r="C34" i="16"/>
  <c r="D34" i="16"/>
  <c r="C33" i="16"/>
  <c r="D33" i="16"/>
  <c r="C32" i="16"/>
  <c r="D32" i="16"/>
  <c r="C31" i="16"/>
  <c r="D31" i="16"/>
  <c r="C30" i="16"/>
  <c r="D30" i="16"/>
  <c r="C29" i="16"/>
  <c r="D29" i="16"/>
  <c r="C28" i="16"/>
  <c r="D28" i="16"/>
  <c r="C27" i="16"/>
  <c r="D27" i="16"/>
  <c r="C26" i="16"/>
  <c r="D26" i="16"/>
  <c r="C25" i="16"/>
  <c r="D25" i="16"/>
  <c r="C24" i="16"/>
  <c r="D24" i="16"/>
  <c r="C23" i="16"/>
  <c r="D23" i="16"/>
  <c r="C22" i="16"/>
  <c r="D22" i="16"/>
  <c r="C21" i="16"/>
  <c r="D21" i="16"/>
  <c r="C20" i="16"/>
  <c r="D20" i="16"/>
  <c r="C19" i="16"/>
  <c r="D19" i="16"/>
  <c r="C18" i="16"/>
  <c r="D18" i="16"/>
  <c r="C17" i="16"/>
  <c r="D17" i="16"/>
  <c r="C16" i="16"/>
  <c r="D16" i="16"/>
  <c r="C15" i="16"/>
  <c r="D15" i="16"/>
  <c r="C14" i="16"/>
  <c r="D14" i="16"/>
  <c r="C13" i="16"/>
  <c r="D13" i="16"/>
  <c r="C12" i="16"/>
  <c r="D12" i="16"/>
  <c r="C11" i="16"/>
  <c r="D11" i="16"/>
  <c r="C10" i="16"/>
  <c r="D10" i="16"/>
  <c r="C9" i="16"/>
  <c r="D9" i="16"/>
  <c r="C8" i="16"/>
  <c r="D8" i="16"/>
  <c r="C7" i="16"/>
  <c r="D7" i="16"/>
  <c r="C6" i="16"/>
  <c r="D6" i="16"/>
  <c r="C5" i="16"/>
  <c r="D5" i="16"/>
  <c r="C4" i="16"/>
  <c r="D4" i="16"/>
  <c r="C3" i="16"/>
  <c r="D3" i="16"/>
  <c r="C53" i="15"/>
  <c r="A1" i="15"/>
  <c r="D53" i="15"/>
  <c r="C52" i="15"/>
  <c r="D52" i="15"/>
  <c r="C51" i="15"/>
  <c r="D51" i="15"/>
  <c r="C50" i="15"/>
  <c r="D50" i="15"/>
  <c r="C49" i="15"/>
  <c r="D49" i="15"/>
  <c r="C48" i="15"/>
  <c r="D48" i="15"/>
  <c r="C47" i="15"/>
  <c r="D47" i="15"/>
  <c r="C46" i="15"/>
  <c r="D46" i="15"/>
  <c r="C45" i="15"/>
  <c r="D45" i="15"/>
  <c r="C44" i="15"/>
  <c r="D44" i="15"/>
  <c r="C43" i="15"/>
  <c r="D43" i="15"/>
  <c r="C42" i="15"/>
  <c r="D42" i="15"/>
  <c r="C41" i="15"/>
  <c r="D41" i="15"/>
  <c r="C40" i="15"/>
  <c r="D40" i="15"/>
  <c r="C39" i="15"/>
  <c r="D39" i="15"/>
  <c r="C38" i="15"/>
  <c r="D38" i="15"/>
  <c r="C37" i="15"/>
  <c r="D37" i="15"/>
  <c r="C36" i="15"/>
  <c r="D36" i="15"/>
  <c r="C35" i="15"/>
  <c r="D35" i="15"/>
  <c r="C34" i="15"/>
  <c r="D34" i="15"/>
  <c r="C33" i="15"/>
  <c r="D33" i="15"/>
  <c r="C32" i="15"/>
  <c r="D32" i="15"/>
  <c r="C31" i="15"/>
  <c r="D31" i="15"/>
  <c r="C30" i="15"/>
  <c r="D30" i="15"/>
  <c r="C29" i="15"/>
  <c r="D29" i="15"/>
  <c r="C28" i="15"/>
  <c r="D28" i="15"/>
  <c r="C27" i="15"/>
  <c r="D27" i="15"/>
  <c r="C26" i="15"/>
  <c r="D26" i="15"/>
  <c r="C25" i="15"/>
  <c r="D25" i="15"/>
  <c r="C24" i="15"/>
  <c r="D24" i="15"/>
  <c r="C23" i="15"/>
  <c r="D23" i="15"/>
  <c r="C22" i="15"/>
  <c r="D22" i="15"/>
  <c r="C21" i="15"/>
  <c r="D21" i="15"/>
  <c r="C20" i="15"/>
  <c r="D20" i="15"/>
  <c r="C19" i="15"/>
  <c r="D19" i="15"/>
  <c r="C18" i="15"/>
  <c r="D18" i="15"/>
  <c r="C17" i="15"/>
  <c r="D17" i="15"/>
  <c r="C16" i="15"/>
  <c r="D16" i="15"/>
  <c r="C15" i="15"/>
  <c r="D15" i="15"/>
  <c r="C14" i="15"/>
  <c r="D14" i="15"/>
  <c r="C13" i="15"/>
  <c r="D13" i="15"/>
  <c r="C12" i="15"/>
  <c r="D12" i="15"/>
  <c r="C11" i="15"/>
  <c r="D11" i="15"/>
  <c r="C10" i="15"/>
  <c r="D10" i="15"/>
  <c r="C9" i="15"/>
  <c r="D9" i="15"/>
  <c r="C8" i="15"/>
  <c r="D8" i="15"/>
  <c r="C7" i="15"/>
  <c r="D7" i="15"/>
  <c r="C6" i="15"/>
  <c r="D6" i="15"/>
  <c r="C5" i="15"/>
  <c r="D5" i="15"/>
  <c r="C4" i="15"/>
  <c r="D4" i="15"/>
  <c r="C3" i="15"/>
  <c r="D3" i="15"/>
  <c r="C53" i="14"/>
  <c r="A1" i="14"/>
  <c r="D53" i="14"/>
  <c r="C52" i="14"/>
  <c r="D52" i="14"/>
  <c r="C51" i="14"/>
  <c r="D51" i="14"/>
  <c r="C50" i="14"/>
  <c r="D50" i="14"/>
  <c r="C49" i="14"/>
  <c r="D49" i="14"/>
  <c r="C48" i="14"/>
  <c r="D48" i="14"/>
  <c r="C47" i="14"/>
  <c r="D47" i="14"/>
  <c r="C46" i="14"/>
  <c r="D46" i="14"/>
  <c r="C45" i="14"/>
  <c r="D45" i="14"/>
  <c r="C44" i="14"/>
  <c r="D44" i="14"/>
  <c r="C43" i="14"/>
  <c r="D43" i="14"/>
  <c r="C42" i="14"/>
  <c r="D42" i="14"/>
  <c r="C41" i="14"/>
  <c r="D41" i="14"/>
  <c r="C40" i="14"/>
  <c r="D40" i="14"/>
  <c r="C39" i="14"/>
  <c r="D39" i="14"/>
  <c r="C38" i="14"/>
  <c r="D38" i="14"/>
  <c r="C37" i="14"/>
  <c r="D37" i="14"/>
  <c r="C36" i="14"/>
  <c r="D36" i="14"/>
  <c r="C35" i="14"/>
  <c r="D35" i="14"/>
  <c r="C34" i="14"/>
  <c r="D34" i="14"/>
  <c r="C33" i="14"/>
  <c r="D33" i="14"/>
  <c r="C32" i="14"/>
  <c r="D32" i="14"/>
  <c r="C31" i="14"/>
  <c r="D31" i="14"/>
  <c r="C30" i="14"/>
  <c r="D30" i="14"/>
  <c r="C29" i="14"/>
  <c r="D29" i="14"/>
  <c r="C28" i="14"/>
  <c r="D28" i="14"/>
  <c r="C27" i="14"/>
  <c r="D27" i="14"/>
  <c r="C26" i="14"/>
  <c r="D26" i="14"/>
  <c r="C25" i="14"/>
  <c r="D25" i="14"/>
  <c r="C24" i="14"/>
  <c r="D24" i="14"/>
  <c r="C23" i="14"/>
  <c r="D23" i="14"/>
  <c r="C22" i="14"/>
  <c r="D22" i="14"/>
  <c r="C21" i="14"/>
  <c r="D21" i="14"/>
  <c r="C20" i="14"/>
  <c r="D20" i="14"/>
  <c r="C19" i="14"/>
  <c r="D19" i="14"/>
  <c r="C18" i="14"/>
  <c r="D18" i="14"/>
  <c r="C17" i="14"/>
  <c r="D17" i="14"/>
  <c r="C16" i="14"/>
  <c r="D16" i="14"/>
  <c r="C15" i="14"/>
  <c r="D15" i="14"/>
  <c r="C14" i="14"/>
  <c r="D14" i="14"/>
  <c r="C13" i="14"/>
  <c r="D13" i="14"/>
  <c r="C12" i="14"/>
  <c r="D12" i="14"/>
  <c r="C11" i="14"/>
  <c r="D11" i="14"/>
  <c r="C10" i="14"/>
  <c r="D10" i="14"/>
  <c r="C9" i="14"/>
  <c r="D9" i="14"/>
  <c r="C8" i="14"/>
  <c r="D8" i="14"/>
  <c r="C7" i="14"/>
  <c r="D7" i="14"/>
  <c r="C6" i="14"/>
  <c r="D6" i="14"/>
  <c r="C5" i="14"/>
  <c r="D5" i="14"/>
  <c r="C4" i="14"/>
  <c r="D4" i="14"/>
  <c r="C3" i="14"/>
  <c r="D3" i="14"/>
  <c r="C53" i="13"/>
  <c r="A1" i="13"/>
  <c r="D53" i="13"/>
  <c r="C52" i="13"/>
  <c r="D52" i="13"/>
  <c r="C51" i="13"/>
  <c r="D51" i="13"/>
  <c r="C50" i="13"/>
  <c r="D50" i="13"/>
  <c r="C49" i="13"/>
  <c r="D49" i="13"/>
  <c r="C48" i="13"/>
  <c r="D48" i="13"/>
  <c r="C47" i="13"/>
  <c r="D47" i="13"/>
  <c r="C46" i="13"/>
  <c r="D46" i="13"/>
  <c r="C45" i="13"/>
  <c r="D45" i="13"/>
  <c r="C44" i="13"/>
  <c r="D44" i="13"/>
  <c r="C43" i="13"/>
  <c r="D43" i="13"/>
  <c r="C42" i="13"/>
  <c r="D42" i="13"/>
  <c r="C41" i="13"/>
  <c r="D41" i="13"/>
  <c r="C40" i="13"/>
  <c r="D40" i="13"/>
  <c r="C39" i="13"/>
  <c r="D39" i="13"/>
  <c r="C38" i="13"/>
  <c r="D38" i="13"/>
  <c r="C37" i="13"/>
  <c r="D37" i="13"/>
  <c r="C36" i="13"/>
  <c r="D36" i="13"/>
  <c r="C35" i="13"/>
  <c r="D35" i="13"/>
  <c r="C34" i="13"/>
  <c r="D34" i="13"/>
  <c r="C33" i="13"/>
  <c r="D33" i="13"/>
  <c r="C32" i="13"/>
  <c r="D32" i="13"/>
  <c r="C31" i="13"/>
  <c r="D31" i="13"/>
  <c r="C30" i="13"/>
  <c r="D30" i="13"/>
  <c r="C29" i="13"/>
  <c r="D29" i="13"/>
  <c r="C28" i="13"/>
  <c r="D28" i="13"/>
  <c r="C27" i="13"/>
  <c r="D27" i="13"/>
  <c r="C26" i="13"/>
  <c r="D26" i="13"/>
  <c r="C25" i="13"/>
  <c r="D25" i="13"/>
  <c r="C24" i="13"/>
  <c r="D24" i="13"/>
  <c r="C23" i="13"/>
  <c r="D23" i="13"/>
  <c r="C22" i="13"/>
  <c r="D22" i="13"/>
  <c r="C21" i="13"/>
  <c r="D21" i="13"/>
  <c r="C20" i="13"/>
  <c r="D20" i="13"/>
  <c r="C19" i="13"/>
  <c r="D19" i="13"/>
  <c r="C18" i="13"/>
  <c r="D18" i="13"/>
  <c r="C17" i="13"/>
  <c r="D17" i="13"/>
  <c r="C16" i="13"/>
  <c r="D16" i="13"/>
  <c r="C15" i="13"/>
  <c r="D15" i="13"/>
  <c r="C14" i="13"/>
  <c r="D14" i="13"/>
  <c r="C13" i="13"/>
  <c r="D13" i="13"/>
  <c r="C12" i="13"/>
  <c r="D12" i="13"/>
  <c r="C11" i="13"/>
  <c r="D11" i="13"/>
  <c r="C10" i="13"/>
  <c r="D10" i="13"/>
  <c r="C9" i="13"/>
  <c r="D9" i="13"/>
  <c r="C8" i="13"/>
  <c r="D8" i="13"/>
  <c r="C7" i="13"/>
  <c r="D7" i="13"/>
  <c r="C6" i="13"/>
  <c r="D6" i="13"/>
  <c r="C5" i="13"/>
  <c r="D5" i="13"/>
  <c r="C4" i="13"/>
  <c r="D4" i="13"/>
  <c r="C3" i="13"/>
  <c r="D3" i="13"/>
  <c r="C53" i="12"/>
  <c r="A1" i="12"/>
  <c r="D53" i="12"/>
  <c r="C52" i="12"/>
  <c r="D52" i="12"/>
  <c r="C51" i="12"/>
  <c r="D51" i="12"/>
  <c r="C50" i="12"/>
  <c r="D50" i="12"/>
  <c r="C49" i="12"/>
  <c r="D49" i="12"/>
  <c r="C48" i="12"/>
  <c r="D48" i="12"/>
  <c r="C47" i="12"/>
  <c r="D47" i="12"/>
  <c r="C46" i="12"/>
  <c r="D46" i="12"/>
  <c r="C45" i="12"/>
  <c r="D45" i="12"/>
  <c r="C44" i="12"/>
  <c r="D44" i="12"/>
  <c r="C43" i="12"/>
  <c r="D43" i="12"/>
  <c r="C42" i="12"/>
  <c r="D42" i="12"/>
  <c r="C41" i="12"/>
  <c r="D41" i="12"/>
  <c r="C40" i="12"/>
  <c r="D40" i="12"/>
  <c r="C39" i="12"/>
  <c r="D39" i="12"/>
  <c r="C38" i="12"/>
  <c r="D38" i="12"/>
  <c r="C37" i="12"/>
  <c r="D37" i="12"/>
  <c r="C36" i="12"/>
  <c r="D36" i="12"/>
  <c r="C35" i="12"/>
  <c r="D35" i="12"/>
  <c r="C34" i="12"/>
  <c r="D34" i="12"/>
  <c r="C33" i="12"/>
  <c r="D33" i="12"/>
  <c r="C32" i="12"/>
  <c r="D32" i="12"/>
  <c r="C31" i="12"/>
  <c r="D31" i="12"/>
  <c r="C30" i="12"/>
  <c r="D30" i="12"/>
  <c r="C29" i="12"/>
  <c r="D29" i="12"/>
  <c r="C28" i="12"/>
  <c r="D28" i="12"/>
  <c r="C27" i="12"/>
  <c r="D27" i="12"/>
  <c r="C26" i="12"/>
  <c r="D26" i="12"/>
  <c r="C25" i="12"/>
  <c r="D25" i="12"/>
  <c r="C24" i="12"/>
  <c r="D24" i="12"/>
  <c r="C23" i="12"/>
  <c r="D23" i="12"/>
  <c r="C22" i="12"/>
  <c r="D22" i="12"/>
  <c r="C21" i="12"/>
  <c r="D21" i="12"/>
  <c r="C20" i="12"/>
  <c r="D20" i="12"/>
  <c r="C19" i="12"/>
  <c r="D19" i="12"/>
  <c r="C18" i="12"/>
  <c r="D18" i="12"/>
  <c r="C17" i="12"/>
  <c r="D17" i="12"/>
  <c r="C16" i="12"/>
  <c r="D16" i="12"/>
  <c r="C15" i="12"/>
  <c r="D15" i="12"/>
  <c r="C14" i="12"/>
  <c r="D14" i="12"/>
  <c r="C13" i="12"/>
  <c r="D13" i="12"/>
  <c r="C12" i="12"/>
  <c r="D12" i="12"/>
  <c r="C11" i="12"/>
  <c r="D11" i="12"/>
  <c r="C10" i="12"/>
  <c r="D10" i="12"/>
  <c r="C9" i="12"/>
  <c r="D9" i="12"/>
  <c r="C8" i="12"/>
  <c r="D8" i="12"/>
  <c r="C7" i="12"/>
  <c r="D7" i="12"/>
  <c r="C6" i="12"/>
  <c r="D6" i="12"/>
  <c r="C5" i="12"/>
  <c r="D5" i="12"/>
  <c r="C4" i="12"/>
  <c r="D4" i="12"/>
  <c r="C3" i="12"/>
  <c r="D3" i="12"/>
  <c r="C53" i="11"/>
  <c r="A1" i="11"/>
  <c r="D53" i="11"/>
  <c r="C52" i="11"/>
  <c r="D52" i="11"/>
  <c r="C51" i="11"/>
  <c r="D51" i="11"/>
  <c r="C50" i="11"/>
  <c r="D50" i="11"/>
  <c r="C49" i="11"/>
  <c r="D49" i="11"/>
  <c r="C48" i="11"/>
  <c r="D48" i="11"/>
  <c r="C47" i="11"/>
  <c r="D47" i="11"/>
  <c r="C46" i="11"/>
  <c r="D46" i="11"/>
  <c r="C45" i="11"/>
  <c r="D45" i="11"/>
  <c r="C44" i="11"/>
  <c r="D44" i="11"/>
  <c r="C43" i="11"/>
  <c r="D43" i="11"/>
  <c r="C42" i="11"/>
  <c r="D42" i="11"/>
  <c r="C41" i="11"/>
  <c r="D41" i="11"/>
  <c r="C40" i="11"/>
  <c r="D40" i="11"/>
  <c r="C39" i="11"/>
  <c r="D39" i="11"/>
  <c r="C38" i="11"/>
  <c r="D38" i="11"/>
  <c r="C37" i="11"/>
  <c r="D37" i="11"/>
  <c r="C36" i="11"/>
  <c r="D36" i="11"/>
  <c r="C35" i="11"/>
  <c r="D35" i="11"/>
  <c r="C34" i="11"/>
  <c r="D34" i="11"/>
  <c r="C33" i="11"/>
  <c r="D33" i="11"/>
  <c r="C32" i="11"/>
  <c r="D32" i="11"/>
  <c r="C31" i="11"/>
  <c r="D31" i="11"/>
  <c r="C30" i="11"/>
  <c r="D30" i="11"/>
  <c r="C29" i="11"/>
  <c r="D29" i="11"/>
  <c r="C28" i="11"/>
  <c r="D28" i="11"/>
  <c r="C27" i="11"/>
  <c r="D27" i="11"/>
  <c r="C26" i="11"/>
  <c r="D26" i="11"/>
  <c r="C25" i="11"/>
  <c r="D25" i="11"/>
  <c r="C24" i="11"/>
  <c r="D24" i="11"/>
  <c r="C23" i="11"/>
  <c r="D23" i="11"/>
  <c r="C22" i="11"/>
  <c r="D22" i="11"/>
  <c r="C21" i="11"/>
  <c r="D21" i="11"/>
  <c r="C20" i="11"/>
  <c r="D20" i="11"/>
  <c r="C19" i="11"/>
  <c r="D19" i="11"/>
  <c r="C18" i="11"/>
  <c r="D18" i="11"/>
  <c r="C17" i="11"/>
  <c r="D17" i="11"/>
  <c r="C16" i="11"/>
  <c r="D16" i="11"/>
  <c r="C15" i="11"/>
  <c r="D15" i="11"/>
  <c r="C14" i="11"/>
  <c r="D14" i="11"/>
  <c r="C13" i="11"/>
  <c r="D13" i="11"/>
  <c r="C12" i="11"/>
  <c r="D12" i="11"/>
  <c r="C11" i="11"/>
  <c r="D11" i="11"/>
  <c r="C10" i="11"/>
  <c r="D10" i="11"/>
  <c r="C9" i="11"/>
  <c r="D9" i="11"/>
  <c r="C8" i="11"/>
  <c r="D8" i="11"/>
  <c r="C7" i="11"/>
  <c r="D7" i="11"/>
  <c r="C6" i="11"/>
  <c r="D6" i="11"/>
  <c r="C5" i="11"/>
  <c r="D5" i="11"/>
  <c r="C4" i="11"/>
  <c r="D4" i="11"/>
  <c r="C3" i="11"/>
  <c r="D3" i="11"/>
  <c r="C53" i="10"/>
  <c r="A1" i="10"/>
  <c r="D53" i="10"/>
  <c r="C52" i="10"/>
  <c r="D52" i="10"/>
  <c r="C51" i="10"/>
  <c r="D51" i="10"/>
  <c r="C50" i="10"/>
  <c r="D50" i="10"/>
  <c r="C49" i="10"/>
  <c r="D49" i="10"/>
  <c r="C48" i="10"/>
  <c r="D48" i="10"/>
  <c r="C47" i="10"/>
  <c r="D47" i="10"/>
  <c r="C46" i="10"/>
  <c r="D46" i="10"/>
  <c r="C45" i="10"/>
  <c r="D45" i="10"/>
  <c r="C44" i="10"/>
  <c r="D44" i="10"/>
  <c r="C43" i="10"/>
  <c r="D43" i="10"/>
  <c r="C42" i="10"/>
  <c r="D42" i="10"/>
  <c r="C41" i="10"/>
  <c r="D41" i="10"/>
  <c r="C40" i="10"/>
  <c r="D40" i="10"/>
  <c r="C39" i="10"/>
  <c r="D39" i="10"/>
  <c r="C38" i="10"/>
  <c r="D38" i="10"/>
  <c r="C37" i="10"/>
  <c r="D37" i="10"/>
  <c r="C36" i="10"/>
  <c r="D36" i="10"/>
  <c r="C35" i="10"/>
  <c r="D35" i="10"/>
  <c r="C34" i="10"/>
  <c r="D34" i="10"/>
  <c r="C33" i="10"/>
  <c r="D33" i="10"/>
  <c r="C32" i="10"/>
  <c r="D32" i="10"/>
  <c r="C31" i="10"/>
  <c r="D31" i="10"/>
  <c r="C30" i="10"/>
  <c r="D30" i="10"/>
  <c r="C29" i="10"/>
  <c r="D29" i="10"/>
  <c r="C28" i="10"/>
  <c r="D28" i="10"/>
  <c r="C27" i="10"/>
  <c r="D27" i="10"/>
  <c r="C26" i="10"/>
  <c r="D26" i="10"/>
  <c r="C25" i="10"/>
  <c r="D25" i="10"/>
  <c r="C24" i="10"/>
  <c r="D24" i="10"/>
  <c r="C23" i="10"/>
  <c r="D23" i="10"/>
  <c r="C22" i="10"/>
  <c r="D22" i="10"/>
  <c r="C21" i="10"/>
  <c r="D21" i="10"/>
  <c r="C20" i="10"/>
  <c r="D20" i="10"/>
  <c r="C19" i="10"/>
  <c r="D19" i="10"/>
  <c r="C18" i="10"/>
  <c r="D18" i="10"/>
  <c r="C17" i="10"/>
  <c r="D17" i="10"/>
  <c r="C16" i="10"/>
  <c r="D16" i="10"/>
  <c r="C15" i="10"/>
  <c r="D15" i="10"/>
  <c r="C14" i="10"/>
  <c r="D14" i="10"/>
  <c r="C13" i="10"/>
  <c r="D13" i="10"/>
  <c r="C12" i="10"/>
  <c r="D12" i="10"/>
  <c r="C11" i="10"/>
  <c r="D11" i="10"/>
  <c r="C10" i="10"/>
  <c r="D10" i="10"/>
  <c r="C9" i="10"/>
  <c r="D9" i="10"/>
  <c r="C8" i="10"/>
  <c r="D8" i="10"/>
  <c r="C7" i="10"/>
  <c r="D7" i="10"/>
  <c r="C6" i="10"/>
  <c r="D6" i="10"/>
  <c r="C5" i="10"/>
  <c r="D5" i="10"/>
  <c r="C4" i="10"/>
  <c r="D4" i="10"/>
  <c r="C3" i="10"/>
  <c r="D3" i="10"/>
  <c r="A1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C4" i="9"/>
  <c r="A1" i="9"/>
  <c r="D4" i="9"/>
  <c r="C5" i="9"/>
  <c r="D5" i="9"/>
  <c r="C6" i="9"/>
  <c r="D6" i="9"/>
  <c r="C7" i="9"/>
  <c r="D7" i="9"/>
  <c r="C8" i="9"/>
  <c r="D8" i="9"/>
  <c r="C9" i="9"/>
  <c r="D9" i="9"/>
  <c r="C10" i="9"/>
  <c r="D10" i="9"/>
  <c r="C11" i="9"/>
  <c r="D11" i="9"/>
  <c r="C12" i="9"/>
  <c r="D12" i="9"/>
  <c r="C13" i="9"/>
  <c r="D13" i="9"/>
  <c r="C14" i="9"/>
  <c r="D14" i="9"/>
  <c r="C15" i="9"/>
  <c r="D15" i="9"/>
  <c r="C16" i="9"/>
  <c r="D16" i="9"/>
  <c r="C17" i="9"/>
  <c r="D17" i="9"/>
  <c r="C18" i="9"/>
  <c r="D18" i="9"/>
  <c r="C19" i="9"/>
  <c r="D19" i="9"/>
  <c r="C20" i="9"/>
  <c r="D20" i="9"/>
  <c r="C21" i="9"/>
  <c r="D21" i="9"/>
  <c r="C22" i="9"/>
  <c r="D22" i="9"/>
  <c r="C23" i="9"/>
  <c r="D23" i="9"/>
  <c r="C24" i="9"/>
  <c r="D24" i="9"/>
  <c r="C25" i="9"/>
  <c r="D25" i="9"/>
  <c r="C26" i="9"/>
  <c r="D26" i="9"/>
  <c r="C27" i="9"/>
  <c r="D27" i="9"/>
  <c r="C28" i="9"/>
  <c r="D28" i="9"/>
  <c r="C29" i="9"/>
  <c r="D29" i="9"/>
  <c r="C30" i="9"/>
  <c r="D30" i="9"/>
  <c r="C31" i="9"/>
  <c r="D31" i="9"/>
  <c r="C32" i="9"/>
  <c r="D32" i="9"/>
  <c r="C33" i="9"/>
  <c r="D33" i="9"/>
  <c r="C34" i="9"/>
  <c r="D34" i="9"/>
  <c r="C35" i="9"/>
  <c r="D35" i="9"/>
  <c r="C36" i="9"/>
  <c r="D36" i="9"/>
  <c r="C37" i="9"/>
  <c r="D37" i="9"/>
  <c r="C38" i="9"/>
  <c r="D38" i="9"/>
  <c r="C39" i="9"/>
  <c r="D39" i="9"/>
  <c r="C40" i="9"/>
  <c r="D40" i="9"/>
  <c r="C41" i="9"/>
  <c r="D41" i="9"/>
  <c r="C42" i="9"/>
  <c r="D42" i="9"/>
  <c r="C43" i="9"/>
  <c r="D43" i="9"/>
  <c r="C44" i="9"/>
  <c r="D44" i="9"/>
  <c r="C45" i="9"/>
  <c r="D45" i="9"/>
  <c r="C46" i="9"/>
  <c r="D46" i="9"/>
  <c r="C47" i="9"/>
  <c r="D47" i="9"/>
  <c r="C48" i="9"/>
  <c r="D48" i="9"/>
  <c r="C49" i="9"/>
  <c r="D49" i="9"/>
  <c r="C50" i="9"/>
  <c r="D50" i="9"/>
  <c r="C51" i="9"/>
  <c r="D51" i="9"/>
  <c r="C52" i="9"/>
  <c r="D52" i="9"/>
  <c r="C53" i="9"/>
  <c r="D53" i="9"/>
  <c r="C3" i="9"/>
  <c r="D3" i="9"/>
  <c r="I3" i="7"/>
  <c r="F3" i="7"/>
  <c r="G3" i="7"/>
  <c r="H3" i="7"/>
  <c r="L3" i="7"/>
  <c r="M3" i="7"/>
  <c r="B53" i="16"/>
  <c r="B52" i="16"/>
  <c r="B51" i="16"/>
  <c r="B50" i="16"/>
  <c r="B49" i="16"/>
  <c r="B48" i="16"/>
  <c r="F48" i="16"/>
  <c r="B47" i="16"/>
  <c r="B46" i="16"/>
  <c r="B45" i="16"/>
  <c r="B44" i="16"/>
  <c r="F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F25" i="16"/>
  <c r="B24" i="16"/>
  <c r="B23" i="16"/>
  <c r="B22" i="16"/>
  <c r="B21" i="16"/>
  <c r="B20" i="16"/>
  <c r="F20" i="16"/>
  <c r="B19" i="16"/>
  <c r="B18" i="16"/>
  <c r="F18" i="16"/>
  <c r="B17" i="16"/>
  <c r="F17" i="16"/>
  <c r="B16" i="16"/>
  <c r="B15" i="16"/>
  <c r="F15" i="16"/>
  <c r="B14" i="16"/>
  <c r="B13" i="16"/>
  <c r="B12" i="16"/>
  <c r="F12" i="16"/>
  <c r="B11" i="16"/>
  <c r="B10" i="16"/>
  <c r="B9" i="16"/>
  <c r="F9" i="16"/>
  <c r="B8" i="16"/>
  <c r="F8" i="16"/>
  <c r="B7" i="16"/>
  <c r="B6" i="16"/>
  <c r="B5" i="16"/>
  <c r="B4" i="16"/>
  <c r="F4" i="16"/>
  <c r="B3" i="16"/>
  <c r="B53" i="15"/>
  <c r="F53" i="15"/>
  <c r="B52" i="15"/>
  <c r="F52" i="15"/>
  <c r="G52" i="15"/>
  <c r="H52" i="15"/>
  <c r="I52" i="15"/>
  <c r="L52" i="15"/>
  <c r="M52" i="15"/>
  <c r="B51" i="15"/>
  <c r="B50" i="15"/>
  <c r="B49" i="15"/>
  <c r="B48" i="15"/>
  <c r="F48" i="15"/>
  <c r="B47" i="15"/>
  <c r="B46" i="15"/>
  <c r="B45" i="15"/>
  <c r="F45" i="15"/>
  <c r="B44" i="15"/>
  <c r="B43" i="15"/>
  <c r="B42" i="15"/>
  <c r="B41" i="15"/>
  <c r="B40" i="15"/>
  <c r="B39" i="15"/>
  <c r="B38" i="15"/>
  <c r="B37" i="15"/>
  <c r="F37" i="15"/>
  <c r="B36" i="15"/>
  <c r="B35" i="15"/>
  <c r="B34" i="15"/>
  <c r="B33" i="15"/>
  <c r="B32" i="15"/>
  <c r="F32" i="15"/>
  <c r="B31" i="15"/>
  <c r="B30" i="15"/>
  <c r="B29" i="15"/>
  <c r="B28" i="15"/>
  <c r="B27" i="15"/>
  <c r="B26" i="15"/>
  <c r="B25" i="15"/>
  <c r="B24" i="15"/>
  <c r="F24" i="15"/>
  <c r="B23" i="15"/>
  <c r="B22" i="15"/>
  <c r="B21" i="15"/>
  <c r="F21" i="15"/>
  <c r="B20" i="15"/>
  <c r="F20" i="15"/>
  <c r="B19" i="15"/>
  <c r="F19" i="15"/>
  <c r="B18" i="15"/>
  <c r="B17" i="15"/>
  <c r="B16" i="15"/>
  <c r="B15" i="15"/>
  <c r="B14" i="15"/>
  <c r="B13" i="15"/>
  <c r="F13" i="15"/>
  <c r="B12" i="15"/>
  <c r="B11" i="15"/>
  <c r="B10" i="15"/>
  <c r="B9" i="15"/>
  <c r="B8" i="15"/>
  <c r="F8" i="15"/>
  <c r="B7" i="15"/>
  <c r="B6" i="15"/>
  <c r="B5" i="15"/>
  <c r="F5" i="15"/>
  <c r="B4" i="15"/>
  <c r="F4" i="15"/>
  <c r="B3" i="15"/>
  <c r="B53" i="14"/>
  <c r="B52" i="14"/>
  <c r="B51" i="14"/>
  <c r="F51" i="14"/>
  <c r="G51" i="14"/>
  <c r="H51" i="14"/>
  <c r="I51" i="14"/>
  <c r="L51" i="14"/>
  <c r="M51" i="14"/>
  <c r="B50" i="14"/>
  <c r="B49" i="14"/>
  <c r="B48" i="14"/>
  <c r="F48" i="14"/>
  <c r="B47" i="14"/>
  <c r="B46" i="14"/>
  <c r="B45" i="14"/>
  <c r="B44" i="14"/>
  <c r="B43" i="14"/>
  <c r="F43" i="14"/>
  <c r="B42" i="14"/>
  <c r="B41" i="14"/>
  <c r="B40" i="14"/>
  <c r="F40" i="14"/>
  <c r="B39" i="14"/>
  <c r="B38" i="14"/>
  <c r="B37" i="14"/>
  <c r="B36" i="14"/>
  <c r="B35" i="14"/>
  <c r="F35" i="14"/>
  <c r="B34" i="14"/>
  <c r="B33" i="14"/>
  <c r="B32" i="14"/>
  <c r="B31" i="14"/>
  <c r="B30" i="14"/>
  <c r="B29" i="14"/>
  <c r="B28" i="14"/>
  <c r="B27" i="14"/>
  <c r="F27" i="14"/>
  <c r="B26" i="14"/>
  <c r="F26" i="14"/>
  <c r="B25" i="14"/>
  <c r="B24" i="14"/>
  <c r="F24" i="14"/>
  <c r="B23" i="14"/>
  <c r="F23" i="14"/>
  <c r="B22" i="14"/>
  <c r="B21" i="14"/>
  <c r="B20" i="14"/>
  <c r="B19" i="14"/>
  <c r="F19" i="14"/>
  <c r="B18" i="14"/>
  <c r="F18" i="14"/>
  <c r="B17" i="14"/>
  <c r="B16" i="14"/>
  <c r="F16" i="14"/>
  <c r="B15" i="14"/>
  <c r="F15" i="14"/>
  <c r="B14" i="14"/>
  <c r="B13" i="14"/>
  <c r="B12" i="14"/>
  <c r="B11" i="14"/>
  <c r="F11" i="14"/>
  <c r="B10" i="14"/>
  <c r="B9" i="14"/>
  <c r="B8" i="14"/>
  <c r="B7" i="14"/>
  <c r="F7" i="14"/>
  <c r="B6" i="14"/>
  <c r="F6" i="14"/>
  <c r="B5" i="14"/>
  <c r="B4" i="14"/>
  <c r="B3" i="14"/>
  <c r="B53" i="13"/>
  <c r="B52" i="13"/>
  <c r="B51" i="13"/>
  <c r="F51" i="13"/>
  <c r="B50" i="13"/>
  <c r="B49" i="13"/>
  <c r="B48" i="13"/>
  <c r="B47" i="13"/>
  <c r="B46" i="13"/>
  <c r="F46" i="13"/>
  <c r="B45" i="13"/>
  <c r="B44" i="13"/>
  <c r="B43" i="13"/>
  <c r="F43" i="13"/>
  <c r="B42" i="13"/>
  <c r="B41" i="13"/>
  <c r="B40" i="13"/>
  <c r="B39" i="13"/>
  <c r="B38" i="13"/>
  <c r="B37" i="13"/>
  <c r="B36" i="13"/>
  <c r="B35" i="13"/>
  <c r="F35" i="13"/>
  <c r="B34" i="13"/>
  <c r="B33" i="13"/>
  <c r="B32" i="13"/>
  <c r="B31" i="13"/>
  <c r="B30" i="13"/>
  <c r="F30" i="13"/>
  <c r="B29" i="13"/>
  <c r="B28" i="13"/>
  <c r="B27" i="13"/>
  <c r="F27" i="13"/>
  <c r="B26" i="13"/>
  <c r="F26" i="13"/>
  <c r="B25" i="13"/>
  <c r="B24" i="13"/>
  <c r="B23" i="13"/>
  <c r="B22" i="13"/>
  <c r="F22" i="13"/>
  <c r="B21" i="13"/>
  <c r="B20" i="13"/>
  <c r="B19" i="13"/>
  <c r="F19" i="13"/>
  <c r="B18" i="13"/>
  <c r="F18" i="13"/>
  <c r="B17" i="13"/>
  <c r="B16" i="13"/>
  <c r="B15" i="13"/>
  <c r="B14" i="13"/>
  <c r="F14" i="13"/>
  <c r="B13" i="13"/>
  <c r="B12" i="13"/>
  <c r="B11" i="13"/>
  <c r="B10" i="13"/>
  <c r="F10" i="13"/>
  <c r="B9" i="13"/>
  <c r="B8" i="13"/>
  <c r="B7" i="13"/>
  <c r="B6" i="13"/>
  <c r="F6" i="13"/>
  <c r="B5" i="13"/>
  <c r="B4" i="13"/>
  <c r="B3" i="13"/>
  <c r="F3" i="13"/>
  <c r="B53" i="12"/>
  <c r="B52" i="12"/>
  <c r="B51" i="12"/>
  <c r="B50" i="12"/>
  <c r="B49" i="12"/>
  <c r="F49" i="12"/>
  <c r="B48" i="12"/>
  <c r="F48" i="12"/>
  <c r="B47" i="12"/>
  <c r="B46" i="12"/>
  <c r="F46" i="12"/>
  <c r="B45" i="12"/>
  <c r="B44" i="12"/>
  <c r="B43" i="12"/>
  <c r="B42" i="12"/>
  <c r="B41" i="12"/>
  <c r="F41" i="12"/>
  <c r="B40" i="12"/>
  <c r="B39" i="12"/>
  <c r="B38" i="12"/>
  <c r="F38" i="12"/>
  <c r="B37" i="12"/>
  <c r="F37" i="12"/>
  <c r="B36" i="12"/>
  <c r="B35" i="12"/>
  <c r="F35" i="12"/>
  <c r="B34" i="12"/>
  <c r="B33" i="12"/>
  <c r="F33" i="12"/>
  <c r="B32" i="12"/>
  <c r="B31" i="12"/>
  <c r="B30" i="12"/>
  <c r="F30" i="12"/>
  <c r="B29" i="12"/>
  <c r="F29" i="12"/>
  <c r="B28" i="12"/>
  <c r="B27" i="12"/>
  <c r="B26" i="12"/>
  <c r="B25" i="12"/>
  <c r="F25" i="12"/>
  <c r="B24" i="12"/>
  <c r="F24" i="12"/>
  <c r="B23" i="12"/>
  <c r="B22" i="12"/>
  <c r="F22" i="12"/>
  <c r="B21" i="12"/>
  <c r="F21" i="12"/>
  <c r="B20" i="12"/>
  <c r="B19" i="12"/>
  <c r="B18" i="12"/>
  <c r="B17" i="12"/>
  <c r="F17" i="12"/>
  <c r="B16" i="12"/>
  <c r="F16" i="12"/>
  <c r="B15" i="12"/>
  <c r="B14" i="12"/>
  <c r="F14" i="12"/>
  <c r="B13" i="12"/>
  <c r="F13" i="12"/>
  <c r="B12" i="12"/>
  <c r="B11" i="12"/>
  <c r="B10" i="12"/>
  <c r="B9" i="12"/>
  <c r="F9" i="12"/>
  <c r="B8" i="12"/>
  <c r="F8" i="12"/>
  <c r="B7" i="12"/>
  <c r="B6" i="12"/>
  <c r="F6" i="12"/>
  <c r="B5" i="12"/>
  <c r="F5" i="12"/>
  <c r="B4" i="12"/>
  <c r="B3" i="12"/>
  <c r="B53" i="11"/>
  <c r="B52" i="11"/>
  <c r="B51" i="11"/>
  <c r="B50" i="11"/>
  <c r="B49" i="11"/>
  <c r="F49" i="11"/>
  <c r="B48" i="11"/>
  <c r="F48" i="11"/>
  <c r="B47" i="11"/>
  <c r="B46" i="11"/>
  <c r="B45" i="11"/>
  <c r="B44" i="11"/>
  <c r="F44" i="11"/>
  <c r="B43" i="11"/>
  <c r="B42" i="11"/>
  <c r="B41" i="11"/>
  <c r="F41" i="11"/>
  <c r="B40" i="11"/>
  <c r="F40" i="11"/>
  <c r="B39" i="11"/>
  <c r="B38" i="11"/>
  <c r="B37" i="11"/>
  <c r="B36" i="11"/>
  <c r="B35" i="11"/>
  <c r="B34" i="11"/>
  <c r="B33" i="11"/>
  <c r="F33" i="11"/>
  <c r="B32" i="11"/>
  <c r="F32" i="11"/>
  <c r="B31" i="11"/>
  <c r="B30" i="11"/>
  <c r="B29" i="11"/>
  <c r="B28" i="11"/>
  <c r="F28" i="11"/>
  <c r="B27" i="11"/>
  <c r="F27" i="11"/>
  <c r="B26" i="11"/>
  <c r="B25" i="11"/>
  <c r="F25" i="11"/>
  <c r="B24" i="11"/>
  <c r="F24" i="11"/>
  <c r="B23" i="11"/>
  <c r="B22" i="11"/>
  <c r="B21" i="11"/>
  <c r="B20" i="11"/>
  <c r="B19" i="11"/>
  <c r="F19" i="11"/>
  <c r="B18" i="11"/>
  <c r="B17" i="11"/>
  <c r="F17" i="11"/>
  <c r="B16" i="11"/>
  <c r="F16" i="11"/>
  <c r="B15" i="11"/>
  <c r="B14" i="11"/>
  <c r="B13" i="11"/>
  <c r="B12" i="11"/>
  <c r="B11" i="11"/>
  <c r="F11" i="11"/>
  <c r="B10" i="11"/>
  <c r="B9" i="11"/>
  <c r="F9" i="11"/>
  <c r="B8" i="11"/>
  <c r="F8" i="11"/>
  <c r="B7" i="11"/>
  <c r="B6" i="11"/>
  <c r="B5" i="11"/>
  <c r="B4" i="11"/>
  <c r="B3" i="11"/>
  <c r="F3" i="11"/>
  <c r="B53" i="10"/>
  <c r="B52" i="10"/>
  <c r="B51" i="10"/>
  <c r="F51" i="10"/>
  <c r="B50" i="10"/>
  <c r="B49" i="10"/>
  <c r="B48" i="10"/>
  <c r="B47" i="10"/>
  <c r="B46" i="10"/>
  <c r="F46" i="10"/>
  <c r="B45" i="10"/>
  <c r="B44" i="10"/>
  <c r="B43" i="10"/>
  <c r="F43" i="10"/>
  <c r="B42" i="10"/>
  <c r="B41" i="10"/>
  <c r="F41" i="10"/>
  <c r="B40" i="10"/>
  <c r="B39" i="10"/>
  <c r="F39" i="10"/>
  <c r="B38" i="10"/>
  <c r="B37" i="10"/>
  <c r="B36" i="10"/>
  <c r="F36" i="10"/>
  <c r="B35" i="10"/>
  <c r="F35" i="10"/>
  <c r="B34" i="10"/>
  <c r="B33" i="10"/>
  <c r="F33" i="10"/>
  <c r="B32" i="10"/>
  <c r="B31" i="10"/>
  <c r="F31" i="10"/>
  <c r="B30" i="10"/>
  <c r="F30" i="10"/>
  <c r="B29" i="10"/>
  <c r="B28" i="10"/>
  <c r="F28" i="10"/>
  <c r="B27" i="10"/>
  <c r="F27" i="10"/>
  <c r="B26" i="10"/>
  <c r="B25" i="10"/>
  <c r="B24" i="10"/>
  <c r="B23" i="10"/>
  <c r="B22" i="10"/>
  <c r="F22" i="10"/>
  <c r="B21" i="10"/>
  <c r="B20" i="10"/>
  <c r="B19" i="10"/>
  <c r="F19" i="10"/>
  <c r="B18" i="10"/>
  <c r="B17" i="10"/>
  <c r="B16" i="10"/>
  <c r="B15" i="10"/>
  <c r="B14" i="10"/>
  <c r="F14" i="10"/>
  <c r="B13" i="10"/>
  <c r="B12" i="10"/>
  <c r="B11" i="10"/>
  <c r="F11" i="10"/>
  <c r="B10" i="10"/>
  <c r="B9" i="10"/>
  <c r="B8" i="10"/>
  <c r="B7" i="10"/>
  <c r="B6" i="10"/>
  <c r="F6" i="10"/>
  <c r="B5" i="10"/>
  <c r="B4" i="10"/>
  <c r="B3" i="10"/>
  <c r="F3" i="10"/>
  <c r="B53" i="9"/>
  <c r="B52" i="9"/>
  <c r="B51" i="9"/>
  <c r="B50" i="9"/>
  <c r="F50" i="9"/>
  <c r="B49" i="9"/>
  <c r="B48" i="9"/>
  <c r="F48" i="9"/>
  <c r="B47" i="9"/>
  <c r="F47" i="9"/>
  <c r="B46" i="9"/>
  <c r="F46" i="9"/>
  <c r="B45" i="9"/>
  <c r="B44" i="9"/>
  <c r="B43" i="9"/>
  <c r="B42" i="9"/>
  <c r="B41" i="9"/>
  <c r="B40" i="9"/>
  <c r="B39" i="9"/>
  <c r="B38" i="9"/>
  <c r="F38" i="9"/>
  <c r="B37" i="9"/>
  <c r="B36" i="9"/>
  <c r="B35" i="9"/>
  <c r="B34" i="9"/>
  <c r="F34" i="9"/>
  <c r="B33" i="9"/>
  <c r="F33" i="9"/>
  <c r="B32" i="9"/>
  <c r="B31" i="9"/>
  <c r="B30" i="9"/>
  <c r="F30" i="9"/>
  <c r="B29" i="9"/>
  <c r="B28" i="9"/>
  <c r="F28" i="9"/>
  <c r="B27" i="9"/>
  <c r="B26" i="9"/>
  <c r="F26" i="9"/>
  <c r="B25" i="9"/>
  <c r="F25" i="9"/>
  <c r="B24" i="9"/>
  <c r="B23" i="9"/>
  <c r="B22" i="9"/>
  <c r="F22" i="9"/>
  <c r="B21" i="9"/>
  <c r="B20" i="9"/>
  <c r="B19" i="9"/>
  <c r="B18" i="9"/>
  <c r="F18" i="9"/>
  <c r="B17" i="9"/>
  <c r="F17" i="9"/>
  <c r="B16" i="9"/>
  <c r="B15" i="9"/>
  <c r="B14" i="9"/>
  <c r="F14" i="9"/>
  <c r="B13" i="9"/>
  <c r="B12" i="9"/>
  <c r="B11" i="9"/>
  <c r="B10" i="9"/>
  <c r="B9" i="9"/>
  <c r="F9" i="9"/>
  <c r="B8" i="9"/>
  <c r="B7" i="9"/>
  <c r="B6" i="9"/>
  <c r="F6" i="9"/>
  <c r="B5" i="9"/>
  <c r="F5" i="9"/>
  <c r="B4" i="9"/>
  <c r="B3" i="9"/>
  <c r="F4" i="12"/>
  <c r="F4" i="14"/>
  <c r="F5" i="13"/>
  <c r="F5" i="16"/>
  <c r="F7" i="15"/>
  <c r="F7" i="16"/>
  <c r="F8" i="13"/>
  <c r="F8" i="14"/>
  <c r="F9" i="13"/>
  <c r="F10" i="14"/>
  <c r="F10" i="16"/>
  <c r="F11" i="13"/>
  <c r="F11" i="15"/>
  <c r="F12" i="15"/>
  <c r="F13" i="13"/>
  <c r="F13" i="16"/>
  <c r="F14" i="14"/>
  <c r="F15" i="15"/>
  <c r="F16" i="10"/>
  <c r="F17" i="13"/>
  <c r="F18" i="11"/>
  <c r="F20" i="11"/>
  <c r="F20" i="13"/>
  <c r="F21" i="9"/>
  <c r="F21" i="13"/>
  <c r="F21" i="16"/>
  <c r="F23" i="10"/>
  <c r="F23" i="15"/>
  <c r="F23" i="16"/>
  <c r="F25" i="13"/>
  <c r="F25" i="14"/>
  <c r="F25" i="15"/>
  <c r="F26" i="16"/>
  <c r="F28" i="12"/>
  <c r="F28" i="13"/>
  <c r="F28" i="14"/>
  <c r="F28" i="15"/>
  <c r="F28" i="16"/>
  <c r="F29" i="9"/>
  <c r="F29" i="10"/>
  <c r="F29" i="11"/>
  <c r="F29" i="13"/>
  <c r="F29" i="14"/>
  <c r="F29" i="15"/>
  <c r="F29" i="16"/>
  <c r="F30" i="11"/>
  <c r="F30" i="15"/>
  <c r="F31" i="11"/>
  <c r="F31" i="12"/>
  <c r="F31" i="13"/>
  <c r="F31" i="14"/>
  <c r="F31" i="15"/>
  <c r="F31" i="16"/>
  <c r="F32" i="9"/>
  <c r="F32" i="10"/>
  <c r="F32" i="12"/>
  <c r="F32" i="13"/>
  <c r="F32" i="14"/>
  <c r="F32" i="16"/>
  <c r="F33" i="13"/>
  <c r="F33" i="14"/>
  <c r="F33" i="15"/>
  <c r="F33" i="16"/>
  <c r="F34" i="10"/>
  <c r="F34" i="11"/>
  <c r="F34" i="12"/>
  <c r="F34" i="13"/>
  <c r="F34" i="14"/>
  <c r="F34" i="15"/>
  <c r="F34" i="16"/>
  <c r="F35" i="9"/>
  <c r="F35" i="11"/>
  <c r="F35" i="15"/>
  <c r="F35" i="16"/>
  <c r="F36" i="12"/>
  <c r="F36" i="13"/>
  <c r="F36" i="14"/>
  <c r="F36" i="15"/>
  <c r="F36" i="16"/>
  <c r="F37" i="9"/>
  <c r="F37" i="10"/>
  <c r="F37" i="11"/>
  <c r="F37" i="13"/>
  <c r="F37" i="14"/>
  <c r="F37" i="16"/>
  <c r="F38" i="10"/>
  <c r="F38" i="14"/>
  <c r="F38" i="16"/>
  <c r="F39" i="9"/>
  <c r="F39" i="11"/>
  <c r="F39" i="12"/>
  <c r="F39" i="13"/>
  <c r="F39" i="14"/>
  <c r="F39" i="15"/>
  <c r="F39" i="16"/>
  <c r="F40" i="10"/>
  <c r="F40" i="12"/>
  <c r="F40" i="16"/>
  <c r="F41" i="9"/>
  <c r="F41" i="13"/>
  <c r="F41" i="14"/>
  <c r="F41" i="15"/>
  <c r="F41" i="16"/>
  <c r="F42" i="10"/>
  <c r="F42" i="11"/>
  <c r="F42" i="12"/>
  <c r="F42" i="13"/>
  <c r="F42" i="14"/>
  <c r="F42" i="15"/>
  <c r="F42" i="16"/>
  <c r="F43" i="9"/>
  <c r="F43" i="11"/>
  <c r="F43" i="15"/>
  <c r="F43" i="16"/>
  <c r="F44" i="9"/>
  <c r="F44" i="13"/>
  <c r="F44" i="15"/>
  <c r="F45" i="9"/>
  <c r="F45" i="10"/>
  <c r="F45" i="11"/>
  <c r="F45" i="12"/>
  <c r="F45" i="13"/>
  <c r="F45" i="14"/>
  <c r="F45" i="16"/>
  <c r="F46" i="11"/>
  <c r="F46" i="15"/>
  <c r="F47" i="10"/>
  <c r="F47" i="11"/>
  <c r="F47" i="12"/>
  <c r="F47" i="13"/>
  <c r="F47" i="14"/>
  <c r="F47" i="15"/>
  <c r="F47" i="16"/>
  <c r="F48" i="13"/>
  <c r="F49" i="9"/>
  <c r="F49" i="13"/>
  <c r="F49" i="14"/>
  <c r="F49" i="15"/>
  <c r="F49" i="16"/>
  <c r="F50" i="10"/>
  <c r="F50" i="11"/>
  <c r="F50" i="12"/>
  <c r="F50" i="13"/>
  <c r="F50" i="14"/>
  <c r="F50" i="15"/>
  <c r="F50" i="16"/>
  <c r="F51" i="9"/>
  <c r="F51" i="11"/>
  <c r="F51" i="12"/>
  <c r="F51" i="15"/>
  <c r="F51" i="16"/>
  <c r="G51" i="16"/>
  <c r="H51" i="16"/>
  <c r="O51" i="16"/>
  <c r="Q51" i="16"/>
  <c r="R51" i="16"/>
  <c r="J50" i="8"/>
  <c r="F52" i="10"/>
  <c r="F52" i="12"/>
  <c r="F52" i="14"/>
  <c r="F52" i="16"/>
  <c r="F53" i="9"/>
  <c r="F53" i="10"/>
  <c r="F53" i="11"/>
  <c r="F53" i="12"/>
  <c r="F53" i="13"/>
  <c r="F53" i="14"/>
  <c r="G53" i="14"/>
  <c r="H53" i="14"/>
  <c r="I53" i="14"/>
  <c r="L53" i="14"/>
  <c r="M53" i="14"/>
  <c r="F53" i="16"/>
  <c r="G53" i="16"/>
  <c r="H53" i="16"/>
  <c r="O53" i="16"/>
  <c r="I53" i="16"/>
  <c r="O52" i="16"/>
  <c r="I52" i="16"/>
  <c r="I51" i="16"/>
  <c r="O50" i="16"/>
  <c r="I50" i="16"/>
  <c r="O49" i="16"/>
  <c r="I49" i="16"/>
  <c r="O48" i="16"/>
  <c r="I48" i="16"/>
  <c r="O47" i="16"/>
  <c r="I47" i="16"/>
  <c r="O46" i="16"/>
  <c r="I46" i="16"/>
  <c r="O45" i="16"/>
  <c r="I45" i="16"/>
  <c r="P44" i="16"/>
  <c r="O44" i="16"/>
  <c r="I44" i="16"/>
  <c r="O43" i="16"/>
  <c r="I43" i="16"/>
  <c r="P42" i="16"/>
  <c r="O42" i="16"/>
  <c r="I42" i="16"/>
  <c r="P41" i="16"/>
  <c r="O41" i="16"/>
  <c r="I41" i="16"/>
  <c r="O40" i="16"/>
  <c r="I40" i="16"/>
  <c r="O39" i="16"/>
  <c r="I39" i="16"/>
  <c r="O38" i="16"/>
  <c r="I38" i="16"/>
  <c r="O37" i="16"/>
  <c r="I37" i="16"/>
  <c r="O36" i="16"/>
  <c r="I36" i="16"/>
  <c r="O35" i="16"/>
  <c r="I35" i="16"/>
  <c r="O34" i="16"/>
  <c r="I34" i="16"/>
  <c r="P33" i="16"/>
  <c r="O33" i="16"/>
  <c r="I33" i="16"/>
  <c r="O32" i="16"/>
  <c r="I32" i="16"/>
  <c r="O31" i="16"/>
  <c r="I31" i="16"/>
  <c r="O30" i="16"/>
  <c r="I30" i="16"/>
  <c r="O29" i="16"/>
  <c r="I29" i="16"/>
  <c r="O28" i="16"/>
  <c r="I28" i="16"/>
  <c r="O27" i="16"/>
  <c r="I27" i="16"/>
  <c r="O26" i="16"/>
  <c r="I26" i="16"/>
  <c r="O25" i="16"/>
  <c r="I25" i="16"/>
  <c r="O24" i="16"/>
  <c r="I24" i="16"/>
  <c r="O23" i="16"/>
  <c r="I23" i="16"/>
  <c r="O22" i="16"/>
  <c r="I22" i="16"/>
  <c r="O21" i="16"/>
  <c r="I21" i="16"/>
  <c r="O20" i="16"/>
  <c r="I20" i="16"/>
  <c r="O19" i="16"/>
  <c r="I19" i="16"/>
  <c r="O18" i="16"/>
  <c r="I18" i="16"/>
  <c r="O17" i="16"/>
  <c r="I17" i="16"/>
  <c r="P16" i="16"/>
  <c r="O16" i="16"/>
  <c r="I16" i="16"/>
  <c r="O15" i="16"/>
  <c r="I15" i="16"/>
  <c r="O14" i="16"/>
  <c r="I14" i="16"/>
  <c r="O13" i="16"/>
  <c r="I13" i="16"/>
  <c r="O12" i="16"/>
  <c r="I12" i="16"/>
  <c r="O11" i="16"/>
  <c r="I11" i="16"/>
  <c r="O10" i="16"/>
  <c r="I10" i="16"/>
  <c r="O9" i="16"/>
  <c r="I9" i="16"/>
  <c r="O8" i="16"/>
  <c r="I8" i="16"/>
  <c r="O7" i="16"/>
  <c r="I7" i="16"/>
  <c r="P6" i="16"/>
  <c r="O6" i="16"/>
  <c r="I6" i="16"/>
  <c r="O5" i="16"/>
  <c r="I5" i="16"/>
  <c r="O4" i="16"/>
  <c r="I4" i="16"/>
  <c r="O3" i="16"/>
  <c r="I3" i="16"/>
  <c r="O53" i="15"/>
  <c r="I53" i="15"/>
  <c r="O52" i="15"/>
  <c r="O51" i="15"/>
  <c r="I51" i="15"/>
  <c r="O50" i="15"/>
  <c r="I50" i="15"/>
  <c r="O49" i="15"/>
  <c r="I49" i="15"/>
  <c r="O48" i="15"/>
  <c r="I48" i="15"/>
  <c r="O47" i="15"/>
  <c r="I47" i="15"/>
  <c r="O46" i="15"/>
  <c r="I46" i="15"/>
  <c r="O45" i="15"/>
  <c r="I45" i="15"/>
  <c r="P44" i="15"/>
  <c r="O44" i="15"/>
  <c r="I44" i="15"/>
  <c r="O43" i="15"/>
  <c r="I43" i="15"/>
  <c r="P42" i="15"/>
  <c r="O42" i="15"/>
  <c r="I42" i="15"/>
  <c r="P41" i="15"/>
  <c r="O41" i="15"/>
  <c r="I41" i="15"/>
  <c r="O40" i="15"/>
  <c r="I40" i="15"/>
  <c r="O39" i="15"/>
  <c r="I39" i="15"/>
  <c r="O38" i="15"/>
  <c r="I38" i="15"/>
  <c r="O37" i="15"/>
  <c r="I37" i="15"/>
  <c r="O36" i="15"/>
  <c r="I36" i="15"/>
  <c r="O35" i="15"/>
  <c r="I35" i="15"/>
  <c r="O34" i="15"/>
  <c r="I34" i="15"/>
  <c r="P33" i="15"/>
  <c r="O33" i="15"/>
  <c r="I33" i="15"/>
  <c r="O32" i="15"/>
  <c r="I32" i="15"/>
  <c r="O31" i="15"/>
  <c r="I31" i="15"/>
  <c r="O30" i="15"/>
  <c r="I30" i="15"/>
  <c r="O29" i="15"/>
  <c r="I29" i="15"/>
  <c r="O28" i="15"/>
  <c r="I28" i="15"/>
  <c r="O27" i="15"/>
  <c r="I27" i="15"/>
  <c r="O26" i="15"/>
  <c r="I26" i="15"/>
  <c r="O25" i="15"/>
  <c r="I25" i="15"/>
  <c r="O24" i="15"/>
  <c r="I24" i="15"/>
  <c r="O23" i="15"/>
  <c r="I23" i="15"/>
  <c r="O22" i="15"/>
  <c r="I22" i="15"/>
  <c r="O21" i="15"/>
  <c r="I21" i="15"/>
  <c r="O20" i="15"/>
  <c r="I20" i="15"/>
  <c r="O19" i="15"/>
  <c r="I19" i="15"/>
  <c r="O18" i="15"/>
  <c r="I18" i="15"/>
  <c r="O17" i="15"/>
  <c r="I17" i="15"/>
  <c r="P16" i="15"/>
  <c r="O16" i="15"/>
  <c r="I16" i="15"/>
  <c r="O15" i="15"/>
  <c r="I15" i="15"/>
  <c r="O14" i="15"/>
  <c r="I14" i="15"/>
  <c r="O13" i="15"/>
  <c r="I13" i="15"/>
  <c r="O12" i="15"/>
  <c r="I12" i="15"/>
  <c r="O11" i="15"/>
  <c r="I11" i="15"/>
  <c r="O10" i="15"/>
  <c r="I10" i="15"/>
  <c r="O9" i="15"/>
  <c r="I9" i="15"/>
  <c r="O8" i="15"/>
  <c r="I8" i="15"/>
  <c r="O7" i="15"/>
  <c r="I7" i="15"/>
  <c r="P6" i="15"/>
  <c r="O6" i="15"/>
  <c r="I6" i="15"/>
  <c r="O5" i="15"/>
  <c r="I5" i="15"/>
  <c r="O4" i="15"/>
  <c r="I4" i="15"/>
  <c r="O3" i="15"/>
  <c r="I3" i="15"/>
  <c r="O53" i="14"/>
  <c r="O52" i="14"/>
  <c r="I52" i="14"/>
  <c r="O51" i="14"/>
  <c r="O50" i="14"/>
  <c r="I50" i="14"/>
  <c r="O49" i="14"/>
  <c r="I49" i="14"/>
  <c r="O48" i="14"/>
  <c r="I48" i="14"/>
  <c r="O47" i="14"/>
  <c r="I47" i="14"/>
  <c r="O46" i="14"/>
  <c r="I46" i="14"/>
  <c r="O45" i="14"/>
  <c r="I45" i="14"/>
  <c r="P44" i="14"/>
  <c r="O44" i="14"/>
  <c r="I44" i="14"/>
  <c r="O43" i="14"/>
  <c r="I43" i="14"/>
  <c r="P42" i="14"/>
  <c r="O42" i="14"/>
  <c r="I42" i="14"/>
  <c r="P41" i="14"/>
  <c r="O41" i="14"/>
  <c r="I41" i="14"/>
  <c r="O40" i="14"/>
  <c r="I40" i="14"/>
  <c r="O39" i="14"/>
  <c r="I39" i="14"/>
  <c r="O38" i="14"/>
  <c r="I38" i="14"/>
  <c r="O37" i="14"/>
  <c r="I37" i="14"/>
  <c r="O36" i="14"/>
  <c r="I36" i="14"/>
  <c r="O35" i="14"/>
  <c r="I35" i="14"/>
  <c r="O34" i="14"/>
  <c r="I34" i="14"/>
  <c r="P33" i="14"/>
  <c r="O33" i="14"/>
  <c r="I33" i="14"/>
  <c r="O32" i="14"/>
  <c r="I32" i="14"/>
  <c r="O31" i="14"/>
  <c r="I31" i="14"/>
  <c r="O30" i="14"/>
  <c r="I30" i="14"/>
  <c r="O29" i="14"/>
  <c r="I29" i="14"/>
  <c r="O28" i="14"/>
  <c r="I28" i="14"/>
  <c r="O27" i="14"/>
  <c r="I27" i="14"/>
  <c r="O26" i="14"/>
  <c r="I26" i="14"/>
  <c r="O25" i="14"/>
  <c r="I25" i="14"/>
  <c r="O24" i="14"/>
  <c r="I24" i="14"/>
  <c r="O23" i="14"/>
  <c r="I23" i="14"/>
  <c r="O22" i="14"/>
  <c r="I22" i="14"/>
  <c r="O21" i="14"/>
  <c r="I21" i="14"/>
  <c r="O20" i="14"/>
  <c r="I20" i="14"/>
  <c r="O19" i="14"/>
  <c r="I19" i="14"/>
  <c r="O18" i="14"/>
  <c r="I18" i="14"/>
  <c r="O17" i="14"/>
  <c r="I17" i="14"/>
  <c r="P16" i="14"/>
  <c r="O16" i="14"/>
  <c r="I16" i="14"/>
  <c r="O15" i="14"/>
  <c r="I15" i="14"/>
  <c r="O14" i="14"/>
  <c r="I14" i="14"/>
  <c r="O13" i="14"/>
  <c r="I13" i="14"/>
  <c r="O12" i="14"/>
  <c r="I12" i="14"/>
  <c r="O11" i="14"/>
  <c r="I11" i="14"/>
  <c r="O10" i="14"/>
  <c r="I10" i="14"/>
  <c r="O9" i="14"/>
  <c r="I9" i="14"/>
  <c r="O8" i="14"/>
  <c r="I8" i="14"/>
  <c r="O7" i="14"/>
  <c r="I7" i="14"/>
  <c r="P6" i="14"/>
  <c r="O6" i="14"/>
  <c r="I6" i="14"/>
  <c r="O5" i="14"/>
  <c r="I5" i="14"/>
  <c r="O4" i="14"/>
  <c r="I4" i="14"/>
  <c r="O3" i="14"/>
  <c r="I3" i="14"/>
  <c r="AF55" i="8"/>
  <c r="AE55" i="8"/>
  <c r="AD55" i="8"/>
  <c r="AC55" i="8"/>
  <c r="AB55" i="8"/>
  <c r="AA55" i="8"/>
  <c r="Z59" i="8"/>
  <c r="AG1" i="8"/>
  <c r="X54" i="8"/>
  <c r="Z3" i="8"/>
  <c r="AG3" i="8"/>
  <c r="Z4" i="8"/>
  <c r="AG4" i="8"/>
  <c r="Z5" i="8"/>
  <c r="AG5" i="8"/>
  <c r="Z6" i="8"/>
  <c r="AG6" i="8"/>
  <c r="Z7" i="8"/>
  <c r="AG7" i="8"/>
  <c r="Z8" i="8"/>
  <c r="AG8" i="8"/>
  <c r="Z9" i="8"/>
  <c r="AG9" i="8"/>
  <c r="Z10" i="8"/>
  <c r="AG10" i="8"/>
  <c r="Z11" i="8"/>
  <c r="AG11" i="8"/>
  <c r="Z12" i="8"/>
  <c r="AG12" i="8"/>
  <c r="Z13" i="8"/>
  <c r="AG13" i="8"/>
  <c r="Z14" i="8"/>
  <c r="AG14" i="8"/>
  <c r="Z15" i="8"/>
  <c r="AG15" i="8"/>
  <c r="Z16" i="8"/>
  <c r="AG16" i="8"/>
  <c r="Z17" i="8"/>
  <c r="AG17" i="8"/>
  <c r="Z18" i="8"/>
  <c r="AG18" i="8"/>
  <c r="Z19" i="8"/>
  <c r="AG19" i="8"/>
  <c r="Z20" i="8"/>
  <c r="AG20" i="8"/>
  <c r="Z21" i="8"/>
  <c r="AG21" i="8"/>
  <c r="Z22" i="8"/>
  <c r="AG22" i="8"/>
  <c r="Z23" i="8"/>
  <c r="AG23" i="8"/>
  <c r="Z24" i="8"/>
  <c r="AG24" i="8"/>
  <c r="Z25" i="8"/>
  <c r="AG25" i="8"/>
  <c r="Z26" i="8"/>
  <c r="AG26" i="8"/>
  <c r="Z27" i="8"/>
  <c r="AG27" i="8"/>
  <c r="Z28" i="8"/>
  <c r="AG28" i="8"/>
  <c r="Z29" i="8"/>
  <c r="AG29" i="8"/>
  <c r="Z30" i="8"/>
  <c r="AG30" i="8"/>
  <c r="Z31" i="8"/>
  <c r="AG31" i="8"/>
  <c r="Z32" i="8"/>
  <c r="AG32" i="8"/>
  <c r="Z33" i="8"/>
  <c r="AG33" i="8"/>
  <c r="Z34" i="8"/>
  <c r="AG34" i="8"/>
  <c r="Z35" i="8"/>
  <c r="AG35" i="8"/>
  <c r="Z36" i="8"/>
  <c r="AG36" i="8"/>
  <c r="Z37" i="8"/>
  <c r="AG37" i="8"/>
  <c r="Z38" i="8"/>
  <c r="AG38" i="8"/>
  <c r="Z39" i="8"/>
  <c r="AG39" i="8"/>
  <c r="Z40" i="8"/>
  <c r="AG40" i="8"/>
  <c r="Z41" i="8"/>
  <c r="AG41" i="8"/>
  <c r="Z42" i="8"/>
  <c r="AG42" i="8"/>
  <c r="Z43" i="8"/>
  <c r="AG43" i="8"/>
  <c r="Z44" i="8"/>
  <c r="AG44" i="8"/>
  <c r="Z45" i="8"/>
  <c r="AG45" i="8"/>
  <c r="Z46" i="8"/>
  <c r="AG46" i="8"/>
  <c r="Z47" i="8"/>
  <c r="AG47" i="8"/>
  <c r="Z48" i="8"/>
  <c r="AG48" i="8"/>
  <c r="Z49" i="8"/>
  <c r="AG49" i="8"/>
  <c r="Z50" i="8"/>
  <c r="AG50" i="8"/>
  <c r="Z51" i="8"/>
  <c r="AG51" i="8"/>
  <c r="Z52" i="8"/>
  <c r="AG52" i="8"/>
  <c r="Z2" i="8"/>
  <c r="AG2" i="8"/>
  <c r="O53" i="13"/>
  <c r="I53" i="13"/>
  <c r="O52" i="13"/>
  <c r="I52" i="13"/>
  <c r="O51" i="13"/>
  <c r="I51" i="13"/>
  <c r="O50" i="13"/>
  <c r="I50" i="13"/>
  <c r="O49" i="13"/>
  <c r="I49" i="13"/>
  <c r="O48" i="13"/>
  <c r="I48" i="13"/>
  <c r="O47" i="13"/>
  <c r="I47" i="13"/>
  <c r="O46" i="13"/>
  <c r="I46" i="13"/>
  <c r="O45" i="13"/>
  <c r="I45" i="13"/>
  <c r="P44" i="13"/>
  <c r="O44" i="13"/>
  <c r="I44" i="13"/>
  <c r="O43" i="13"/>
  <c r="I43" i="13"/>
  <c r="P42" i="13"/>
  <c r="O42" i="13"/>
  <c r="I42" i="13"/>
  <c r="P41" i="13"/>
  <c r="O41" i="13"/>
  <c r="I41" i="13"/>
  <c r="O40" i="13"/>
  <c r="I40" i="13"/>
  <c r="O39" i="13"/>
  <c r="I39" i="13"/>
  <c r="O38" i="13"/>
  <c r="I38" i="13"/>
  <c r="O37" i="13"/>
  <c r="I37" i="13"/>
  <c r="O36" i="13"/>
  <c r="I36" i="13"/>
  <c r="O35" i="13"/>
  <c r="I35" i="13"/>
  <c r="O34" i="13"/>
  <c r="I34" i="13"/>
  <c r="P33" i="13"/>
  <c r="O33" i="13"/>
  <c r="I33" i="13"/>
  <c r="O32" i="13"/>
  <c r="I32" i="13"/>
  <c r="O31" i="13"/>
  <c r="I31" i="13"/>
  <c r="O30" i="13"/>
  <c r="I30" i="13"/>
  <c r="O29" i="13"/>
  <c r="I29" i="13"/>
  <c r="O28" i="13"/>
  <c r="I28" i="13"/>
  <c r="O27" i="13"/>
  <c r="I27" i="13"/>
  <c r="O26" i="13"/>
  <c r="I26" i="13"/>
  <c r="O25" i="13"/>
  <c r="I25" i="13"/>
  <c r="O24" i="13"/>
  <c r="I24" i="13"/>
  <c r="O23" i="13"/>
  <c r="I23" i="13"/>
  <c r="O22" i="13"/>
  <c r="I22" i="13"/>
  <c r="O21" i="13"/>
  <c r="I21" i="13"/>
  <c r="O20" i="13"/>
  <c r="I20" i="13"/>
  <c r="O19" i="13"/>
  <c r="I19" i="13"/>
  <c r="O18" i="13"/>
  <c r="I18" i="13"/>
  <c r="O17" i="13"/>
  <c r="I17" i="13"/>
  <c r="P16" i="13"/>
  <c r="O16" i="13"/>
  <c r="I16" i="13"/>
  <c r="O15" i="13"/>
  <c r="I15" i="13"/>
  <c r="O14" i="13"/>
  <c r="I14" i="13"/>
  <c r="O13" i="13"/>
  <c r="I13" i="13"/>
  <c r="O12" i="13"/>
  <c r="I12" i="13"/>
  <c r="O11" i="13"/>
  <c r="I11" i="13"/>
  <c r="O10" i="13"/>
  <c r="I10" i="13"/>
  <c r="O9" i="13"/>
  <c r="I9" i="13"/>
  <c r="O8" i="13"/>
  <c r="I8" i="13"/>
  <c r="O7" i="13"/>
  <c r="I7" i="13"/>
  <c r="P6" i="13"/>
  <c r="O6" i="13"/>
  <c r="I6" i="13"/>
  <c r="O5" i="13"/>
  <c r="I5" i="13"/>
  <c r="O4" i="13"/>
  <c r="I4" i="13"/>
  <c r="O3" i="13"/>
  <c r="I3" i="13"/>
  <c r="O53" i="12"/>
  <c r="I53" i="12"/>
  <c r="O52" i="12"/>
  <c r="I52" i="12"/>
  <c r="O51" i="12"/>
  <c r="I51" i="12"/>
  <c r="O50" i="12"/>
  <c r="I50" i="12"/>
  <c r="O49" i="12"/>
  <c r="I49" i="12"/>
  <c r="O48" i="12"/>
  <c r="I48" i="12"/>
  <c r="O47" i="12"/>
  <c r="I47" i="12"/>
  <c r="O46" i="12"/>
  <c r="I46" i="12"/>
  <c r="O45" i="12"/>
  <c r="I45" i="12"/>
  <c r="P44" i="12"/>
  <c r="O44" i="12"/>
  <c r="I44" i="12"/>
  <c r="O43" i="12"/>
  <c r="I43" i="12"/>
  <c r="P42" i="12"/>
  <c r="O42" i="12"/>
  <c r="I42" i="12"/>
  <c r="P41" i="12"/>
  <c r="O41" i="12"/>
  <c r="I41" i="12"/>
  <c r="O40" i="12"/>
  <c r="I40" i="12"/>
  <c r="O39" i="12"/>
  <c r="I39" i="12"/>
  <c r="O38" i="12"/>
  <c r="I38" i="12"/>
  <c r="O37" i="12"/>
  <c r="I37" i="12"/>
  <c r="O36" i="12"/>
  <c r="I36" i="12"/>
  <c r="O35" i="12"/>
  <c r="I35" i="12"/>
  <c r="O34" i="12"/>
  <c r="I34" i="12"/>
  <c r="P33" i="12"/>
  <c r="O33" i="12"/>
  <c r="I33" i="12"/>
  <c r="O32" i="12"/>
  <c r="I32" i="12"/>
  <c r="O31" i="12"/>
  <c r="I31" i="12"/>
  <c r="O30" i="12"/>
  <c r="I30" i="12"/>
  <c r="O29" i="12"/>
  <c r="I29" i="12"/>
  <c r="O28" i="12"/>
  <c r="I28" i="12"/>
  <c r="O27" i="12"/>
  <c r="I27" i="12"/>
  <c r="O26" i="12"/>
  <c r="I26" i="12"/>
  <c r="O25" i="12"/>
  <c r="I25" i="12"/>
  <c r="O24" i="12"/>
  <c r="I24" i="12"/>
  <c r="O23" i="12"/>
  <c r="I23" i="12"/>
  <c r="O22" i="12"/>
  <c r="I22" i="12"/>
  <c r="O21" i="12"/>
  <c r="I21" i="12"/>
  <c r="O20" i="12"/>
  <c r="I20" i="12"/>
  <c r="O19" i="12"/>
  <c r="I19" i="12"/>
  <c r="O18" i="12"/>
  <c r="I18" i="12"/>
  <c r="O17" i="12"/>
  <c r="I17" i="12"/>
  <c r="P16" i="12"/>
  <c r="O16" i="12"/>
  <c r="I16" i="12"/>
  <c r="O15" i="12"/>
  <c r="I15" i="12"/>
  <c r="O14" i="12"/>
  <c r="I14" i="12"/>
  <c r="O13" i="12"/>
  <c r="I13" i="12"/>
  <c r="O12" i="12"/>
  <c r="I12" i="12"/>
  <c r="O11" i="12"/>
  <c r="I11" i="12"/>
  <c r="O10" i="12"/>
  <c r="I10" i="12"/>
  <c r="O9" i="12"/>
  <c r="I9" i="12"/>
  <c r="O8" i="12"/>
  <c r="I8" i="12"/>
  <c r="O7" i="12"/>
  <c r="I7" i="12"/>
  <c r="P6" i="12"/>
  <c r="O6" i="12"/>
  <c r="I6" i="12"/>
  <c r="O5" i="12"/>
  <c r="I5" i="12"/>
  <c r="O4" i="12"/>
  <c r="I4" i="12"/>
  <c r="O3" i="12"/>
  <c r="I3" i="12"/>
  <c r="O53" i="11"/>
  <c r="I53" i="11"/>
  <c r="O52" i="11"/>
  <c r="I52" i="11"/>
  <c r="O51" i="11"/>
  <c r="I51" i="11"/>
  <c r="O50" i="11"/>
  <c r="I50" i="11"/>
  <c r="O49" i="11"/>
  <c r="I49" i="11"/>
  <c r="O48" i="11"/>
  <c r="I48" i="11"/>
  <c r="O47" i="11"/>
  <c r="I47" i="11"/>
  <c r="O46" i="11"/>
  <c r="I46" i="11"/>
  <c r="O45" i="11"/>
  <c r="I45" i="11"/>
  <c r="P44" i="11"/>
  <c r="O44" i="11"/>
  <c r="I44" i="11"/>
  <c r="O43" i="11"/>
  <c r="I43" i="11"/>
  <c r="P42" i="11"/>
  <c r="O42" i="11"/>
  <c r="I42" i="11"/>
  <c r="P41" i="11"/>
  <c r="O41" i="11"/>
  <c r="I41" i="11"/>
  <c r="O40" i="11"/>
  <c r="I40" i="11"/>
  <c r="O39" i="11"/>
  <c r="I39" i="11"/>
  <c r="O38" i="11"/>
  <c r="I38" i="11"/>
  <c r="O37" i="11"/>
  <c r="I37" i="11"/>
  <c r="O36" i="11"/>
  <c r="I36" i="11"/>
  <c r="O35" i="11"/>
  <c r="I35" i="11"/>
  <c r="O34" i="11"/>
  <c r="I34" i="11"/>
  <c r="P33" i="11"/>
  <c r="O33" i="11"/>
  <c r="I33" i="11"/>
  <c r="O32" i="11"/>
  <c r="I32" i="11"/>
  <c r="O31" i="11"/>
  <c r="I31" i="11"/>
  <c r="O30" i="11"/>
  <c r="I30" i="11"/>
  <c r="O29" i="11"/>
  <c r="I29" i="11"/>
  <c r="O28" i="11"/>
  <c r="I28" i="11"/>
  <c r="O27" i="11"/>
  <c r="I27" i="11"/>
  <c r="O26" i="11"/>
  <c r="I26" i="11"/>
  <c r="O25" i="11"/>
  <c r="I25" i="11"/>
  <c r="O24" i="11"/>
  <c r="I24" i="11"/>
  <c r="O23" i="11"/>
  <c r="I23" i="11"/>
  <c r="O22" i="11"/>
  <c r="I22" i="11"/>
  <c r="O21" i="11"/>
  <c r="I21" i="11"/>
  <c r="O20" i="11"/>
  <c r="I20" i="11"/>
  <c r="O19" i="11"/>
  <c r="I19" i="11"/>
  <c r="O18" i="11"/>
  <c r="I18" i="11"/>
  <c r="O17" i="11"/>
  <c r="I17" i="11"/>
  <c r="P16" i="11"/>
  <c r="O16" i="11"/>
  <c r="I16" i="11"/>
  <c r="O15" i="11"/>
  <c r="I15" i="11"/>
  <c r="O14" i="11"/>
  <c r="I14" i="11"/>
  <c r="O13" i="11"/>
  <c r="I13" i="11"/>
  <c r="O12" i="11"/>
  <c r="I12" i="11"/>
  <c r="O11" i="11"/>
  <c r="I11" i="11"/>
  <c r="O10" i="11"/>
  <c r="I10" i="11"/>
  <c r="O9" i="11"/>
  <c r="I9" i="11"/>
  <c r="O8" i="11"/>
  <c r="I8" i="11"/>
  <c r="O7" i="11"/>
  <c r="I7" i="11"/>
  <c r="P6" i="11"/>
  <c r="O6" i="11"/>
  <c r="I6" i="11"/>
  <c r="O5" i="11"/>
  <c r="I5" i="11"/>
  <c r="O4" i="11"/>
  <c r="I4" i="11"/>
  <c r="O3" i="11"/>
  <c r="I3" i="11"/>
  <c r="O53" i="10"/>
  <c r="I53" i="10"/>
  <c r="O52" i="10"/>
  <c r="I52" i="10"/>
  <c r="O51" i="10"/>
  <c r="I51" i="10"/>
  <c r="O50" i="10"/>
  <c r="I50" i="10"/>
  <c r="O49" i="10"/>
  <c r="I49" i="10"/>
  <c r="O48" i="10"/>
  <c r="I48" i="10"/>
  <c r="O47" i="10"/>
  <c r="I47" i="10"/>
  <c r="O46" i="10"/>
  <c r="I46" i="10"/>
  <c r="O45" i="10"/>
  <c r="I45" i="10"/>
  <c r="P44" i="10"/>
  <c r="O44" i="10"/>
  <c r="I44" i="10"/>
  <c r="O43" i="10"/>
  <c r="I43" i="10"/>
  <c r="P42" i="10"/>
  <c r="O42" i="10"/>
  <c r="I42" i="10"/>
  <c r="P41" i="10"/>
  <c r="O41" i="10"/>
  <c r="I41" i="10"/>
  <c r="O40" i="10"/>
  <c r="I40" i="10"/>
  <c r="O39" i="10"/>
  <c r="I39" i="10"/>
  <c r="O38" i="10"/>
  <c r="I38" i="10"/>
  <c r="O37" i="10"/>
  <c r="I37" i="10"/>
  <c r="O36" i="10"/>
  <c r="I36" i="10"/>
  <c r="O35" i="10"/>
  <c r="I35" i="10"/>
  <c r="O34" i="10"/>
  <c r="I34" i="10"/>
  <c r="P33" i="10"/>
  <c r="O33" i="10"/>
  <c r="I33" i="10"/>
  <c r="O32" i="10"/>
  <c r="I32" i="10"/>
  <c r="O31" i="10"/>
  <c r="I31" i="10"/>
  <c r="O30" i="10"/>
  <c r="I30" i="10"/>
  <c r="O29" i="10"/>
  <c r="I29" i="10"/>
  <c r="O28" i="10"/>
  <c r="I28" i="10"/>
  <c r="O27" i="10"/>
  <c r="I27" i="10"/>
  <c r="O26" i="10"/>
  <c r="I26" i="10"/>
  <c r="O25" i="10"/>
  <c r="I25" i="10"/>
  <c r="O24" i="10"/>
  <c r="I24" i="10"/>
  <c r="O23" i="10"/>
  <c r="I23" i="10"/>
  <c r="O22" i="10"/>
  <c r="I22" i="10"/>
  <c r="O21" i="10"/>
  <c r="I21" i="10"/>
  <c r="O20" i="10"/>
  <c r="I20" i="10"/>
  <c r="O19" i="10"/>
  <c r="I19" i="10"/>
  <c r="O18" i="10"/>
  <c r="I18" i="10"/>
  <c r="O17" i="10"/>
  <c r="I17" i="10"/>
  <c r="P16" i="10"/>
  <c r="O16" i="10"/>
  <c r="I16" i="10"/>
  <c r="O15" i="10"/>
  <c r="I15" i="10"/>
  <c r="O14" i="10"/>
  <c r="I14" i="10"/>
  <c r="O13" i="10"/>
  <c r="I13" i="10"/>
  <c r="O12" i="10"/>
  <c r="I12" i="10"/>
  <c r="O11" i="10"/>
  <c r="I11" i="10"/>
  <c r="O10" i="10"/>
  <c r="I10" i="10"/>
  <c r="O9" i="10"/>
  <c r="I9" i="10"/>
  <c r="O8" i="10"/>
  <c r="I8" i="10"/>
  <c r="O7" i="10"/>
  <c r="I7" i="10"/>
  <c r="P6" i="10"/>
  <c r="O6" i="10"/>
  <c r="I6" i="10"/>
  <c r="O5" i="10"/>
  <c r="I5" i="10"/>
  <c r="O4" i="10"/>
  <c r="I4" i="10"/>
  <c r="O3" i="10"/>
  <c r="I3" i="10"/>
  <c r="O53" i="9"/>
  <c r="I53" i="9"/>
  <c r="O52" i="9"/>
  <c r="I52" i="9"/>
  <c r="O51" i="9"/>
  <c r="I51" i="9"/>
  <c r="O50" i="9"/>
  <c r="I50" i="9"/>
  <c r="O49" i="9"/>
  <c r="I49" i="9"/>
  <c r="O48" i="9"/>
  <c r="I48" i="9"/>
  <c r="O47" i="9"/>
  <c r="I47" i="9"/>
  <c r="O46" i="9"/>
  <c r="I46" i="9"/>
  <c r="O45" i="9"/>
  <c r="I45" i="9"/>
  <c r="P44" i="9"/>
  <c r="O44" i="9"/>
  <c r="I44" i="9"/>
  <c r="O43" i="9"/>
  <c r="I43" i="9"/>
  <c r="P42" i="9"/>
  <c r="O42" i="9"/>
  <c r="I42" i="9"/>
  <c r="P41" i="9"/>
  <c r="O41" i="9"/>
  <c r="I41" i="9"/>
  <c r="O40" i="9"/>
  <c r="I40" i="9"/>
  <c r="O39" i="9"/>
  <c r="I39" i="9"/>
  <c r="O38" i="9"/>
  <c r="I38" i="9"/>
  <c r="O37" i="9"/>
  <c r="I37" i="9"/>
  <c r="O36" i="9"/>
  <c r="I36" i="9"/>
  <c r="O35" i="9"/>
  <c r="I35" i="9"/>
  <c r="O34" i="9"/>
  <c r="I34" i="9"/>
  <c r="P33" i="9"/>
  <c r="O33" i="9"/>
  <c r="I33" i="9"/>
  <c r="O32" i="9"/>
  <c r="I32" i="9"/>
  <c r="O31" i="9"/>
  <c r="I31" i="9"/>
  <c r="O30" i="9"/>
  <c r="I30" i="9"/>
  <c r="O29" i="9"/>
  <c r="I29" i="9"/>
  <c r="O28" i="9"/>
  <c r="I28" i="9"/>
  <c r="O27" i="9"/>
  <c r="I27" i="9"/>
  <c r="O26" i="9"/>
  <c r="I26" i="9"/>
  <c r="O25" i="9"/>
  <c r="I25" i="9"/>
  <c r="O24" i="9"/>
  <c r="I24" i="9"/>
  <c r="O23" i="9"/>
  <c r="I23" i="9"/>
  <c r="O22" i="9"/>
  <c r="I22" i="9"/>
  <c r="O21" i="9"/>
  <c r="I21" i="9"/>
  <c r="O20" i="9"/>
  <c r="I20" i="9"/>
  <c r="O19" i="9"/>
  <c r="I19" i="9"/>
  <c r="O18" i="9"/>
  <c r="I18" i="9"/>
  <c r="O17" i="9"/>
  <c r="I17" i="9"/>
  <c r="P16" i="9"/>
  <c r="O16" i="9"/>
  <c r="I16" i="9"/>
  <c r="O15" i="9"/>
  <c r="I15" i="9"/>
  <c r="O14" i="9"/>
  <c r="I14" i="9"/>
  <c r="O13" i="9"/>
  <c r="I13" i="9"/>
  <c r="O12" i="9"/>
  <c r="I12" i="9"/>
  <c r="O11" i="9"/>
  <c r="I11" i="9"/>
  <c r="O10" i="9"/>
  <c r="I10" i="9"/>
  <c r="O9" i="9"/>
  <c r="I9" i="9"/>
  <c r="O8" i="9"/>
  <c r="I8" i="9"/>
  <c r="O7" i="9"/>
  <c r="I7" i="9"/>
  <c r="P6" i="9"/>
  <c r="O6" i="9"/>
  <c r="I6" i="9"/>
  <c r="O5" i="9"/>
  <c r="I5" i="9"/>
  <c r="O4" i="9"/>
  <c r="I4" i="9"/>
  <c r="O3" i="9"/>
  <c r="I3" i="9"/>
  <c r="F4" i="7"/>
  <c r="G4" i="7"/>
  <c r="H4" i="7"/>
  <c r="F5" i="7"/>
  <c r="G5" i="7"/>
  <c r="H5" i="7"/>
  <c r="F6" i="7"/>
  <c r="G6" i="7"/>
  <c r="H6" i="7"/>
  <c r="F7" i="7"/>
  <c r="G7" i="7"/>
  <c r="H7" i="7"/>
  <c r="F8" i="7"/>
  <c r="G8" i="7"/>
  <c r="H8" i="7"/>
  <c r="F9" i="7"/>
  <c r="G9" i="7"/>
  <c r="H9" i="7"/>
  <c r="F10" i="7"/>
  <c r="G10" i="7"/>
  <c r="H10" i="7"/>
  <c r="F11" i="7"/>
  <c r="G11" i="7"/>
  <c r="H11" i="7"/>
  <c r="F12" i="7"/>
  <c r="G12" i="7"/>
  <c r="H12" i="7"/>
  <c r="F13" i="7"/>
  <c r="G13" i="7"/>
  <c r="H13" i="7"/>
  <c r="F14" i="7"/>
  <c r="G14" i="7"/>
  <c r="H14" i="7"/>
  <c r="F15" i="7"/>
  <c r="G15" i="7"/>
  <c r="H15" i="7"/>
  <c r="F16" i="7"/>
  <c r="G16" i="7"/>
  <c r="H16" i="7"/>
  <c r="F17" i="7"/>
  <c r="G17" i="7"/>
  <c r="H17" i="7"/>
  <c r="F18" i="7"/>
  <c r="G18" i="7"/>
  <c r="H18" i="7"/>
  <c r="F19" i="7"/>
  <c r="G19" i="7"/>
  <c r="H19" i="7"/>
  <c r="F20" i="7"/>
  <c r="G20" i="7"/>
  <c r="H20" i="7"/>
  <c r="F21" i="7"/>
  <c r="G21" i="7"/>
  <c r="H21" i="7"/>
  <c r="F22" i="7"/>
  <c r="G22" i="7"/>
  <c r="H22" i="7"/>
  <c r="F23" i="7"/>
  <c r="G23" i="7"/>
  <c r="H23" i="7"/>
  <c r="F24" i="7"/>
  <c r="G24" i="7"/>
  <c r="H24" i="7"/>
  <c r="F25" i="7"/>
  <c r="G25" i="7"/>
  <c r="H25" i="7"/>
  <c r="F26" i="7"/>
  <c r="G26" i="7"/>
  <c r="H26" i="7"/>
  <c r="F27" i="7"/>
  <c r="G27" i="7"/>
  <c r="H27" i="7"/>
  <c r="F28" i="7"/>
  <c r="G28" i="7"/>
  <c r="H28" i="7"/>
  <c r="F29" i="7"/>
  <c r="G29" i="7"/>
  <c r="H29" i="7"/>
  <c r="F30" i="7"/>
  <c r="G30" i="7"/>
  <c r="H30" i="7"/>
  <c r="F31" i="7"/>
  <c r="G31" i="7"/>
  <c r="H31" i="7"/>
  <c r="F32" i="7"/>
  <c r="G32" i="7"/>
  <c r="H32" i="7"/>
  <c r="F33" i="7"/>
  <c r="G33" i="7"/>
  <c r="H33" i="7"/>
  <c r="F34" i="7"/>
  <c r="G34" i="7"/>
  <c r="H34" i="7"/>
  <c r="F35" i="7"/>
  <c r="G35" i="7"/>
  <c r="H35" i="7"/>
  <c r="F36" i="7"/>
  <c r="G36" i="7"/>
  <c r="H36" i="7"/>
  <c r="F37" i="7"/>
  <c r="G37" i="7"/>
  <c r="H37" i="7"/>
  <c r="F38" i="7"/>
  <c r="G38" i="7"/>
  <c r="H38" i="7"/>
  <c r="F39" i="7"/>
  <c r="G39" i="7"/>
  <c r="H39" i="7"/>
  <c r="F40" i="7"/>
  <c r="G40" i="7"/>
  <c r="H40" i="7"/>
  <c r="F41" i="7"/>
  <c r="G41" i="7"/>
  <c r="H41" i="7"/>
  <c r="F42" i="7"/>
  <c r="G42" i="7"/>
  <c r="H42" i="7"/>
  <c r="F43" i="7"/>
  <c r="G43" i="7"/>
  <c r="H43" i="7"/>
  <c r="F44" i="7"/>
  <c r="G44" i="7"/>
  <c r="H44" i="7"/>
  <c r="F45" i="7"/>
  <c r="G45" i="7"/>
  <c r="H45" i="7"/>
  <c r="F46" i="7"/>
  <c r="G46" i="7"/>
  <c r="H46" i="7"/>
  <c r="F47" i="7"/>
  <c r="G47" i="7"/>
  <c r="H47" i="7"/>
  <c r="F48" i="7"/>
  <c r="G48" i="7"/>
  <c r="H48" i="7"/>
  <c r="F49" i="7"/>
  <c r="G49" i="7"/>
  <c r="H49" i="7"/>
  <c r="F50" i="7"/>
  <c r="G50" i="7"/>
  <c r="H50" i="7"/>
  <c r="F51" i="7"/>
  <c r="G51" i="7"/>
  <c r="H51" i="7"/>
  <c r="F52" i="7"/>
  <c r="G52" i="7"/>
  <c r="H52" i="7"/>
  <c r="F53" i="7"/>
  <c r="G53" i="7"/>
  <c r="H53" i="7"/>
  <c r="O53" i="7"/>
  <c r="I53" i="7"/>
  <c r="O52" i="7"/>
  <c r="I52" i="7"/>
  <c r="O51" i="7"/>
  <c r="I51" i="7"/>
  <c r="O50" i="7"/>
  <c r="I50" i="7"/>
  <c r="O49" i="7"/>
  <c r="I49" i="7"/>
  <c r="O48" i="7"/>
  <c r="I48" i="7"/>
  <c r="O47" i="7"/>
  <c r="I47" i="7"/>
  <c r="O46" i="7"/>
  <c r="I46" i="7"/>
  <c r="O45" i="7"/>
  <c r="I45" i="7"/>
  <c r="P44" i="7"/>
  <c r="O44" i="7"/>
  <c r="I44" i="7"/>
  <c r="O43" i="7"/>
  <c r="I43" i="7"/>
  <c r="P42" i="7"/>
  <c r="O42" i="7"/>
  <c r="I42" i="7"/>
  <c r="P41" i="7"/>
  <c r="O41" i="7"/>
  <c r="I41" i="7"/>
  <c r="O40" i="7"/>
  <c r="I40" i="7"/>
  <c r="O39" i="7"/>
  <c r="I39" i="7"/>
  <c r="O38" i="7"/>
  <c r="I38" i="7"/>
  <c r="O37" i="7"/>
  <c r="I37" i="7"/>
  <c r="O36" i="7"/>
  <c r="I36" i="7"/>
  <c r="O35" i="7"/>
  <c r="I35" i="7"/>
  <c r="O34" i="7"/>
  <c r="I34" i="7"/>
  <c r="P33" i="7"/>
  <c r="O33" i="7"/>
  <c r="I33" i="7"/>
  <c r="O32" i="7"/>
  <c r="I32" i="7"/>
  <c r="O31" i="7"/>
  <c r="I31" i="7"/>
  <c r="O30" i="7"/>
  <c r="I30" i="7"/>
  <c r="O29" i="7"/>
  <c r="I29" i="7"/>
  <c r="O28" i="7"/>
  <c r="I28" i="7"/>
  <c r="O27" i="7"/>
  <c r="I27" i="7"/>
  <c r="O26" i="7"/>
  <c r="I26" i="7"/>
  <c r="O25" i="7"/>
  <c r="I25" i="7"/>
  <c r="O24" i="7"/>
  <c r="I24" i="7"/>
  <c r="O23" i="7"/>
  <c r="I23" i="7"/>
  <c r="O22" i="7"/>
  <c r="I22" i="7"/>
  <c r="O21" i="7"/>
  <c r="I21" i="7"/>
  <c r="O20" i="7"/>
  <c r="I20" i="7"/>
  <c r="O19" i="7"/>
  <c r="I19" i="7"/>
  <c r="O18" i="7"/>
  <c r="I18" i="7"/>
  <c r="O17" i="7"/>
  <c r="I17" i="7"/>
  <c r="P16" i="7"/>
  <c r="O16" i="7"/>
  <c r="I16" i="7"/>
  <c r="O15" i="7"/>
  <c r="I15" i="7"/>
  <c r="O14" i="7"/>
  <c r="I14" i="7"/>
  <c r="O13" i="7"/>
  <c r="I13" i="7"/>
  <c r="O12" i="7"/>
  <c r="I12" i="7"/>
  <c r="O11" i="7"/>
  <c r="I11" i="7"/>
  <c r="O10" i="7"/>
  <c r="I10" i="7"/>
  <c r="O9" i="7"/>
  <c r="I9" i="7"/>
  <c r="O8" i="7"/>
  <c r="I8" i="7"/>
  <c r="O7" i="7"/>
  <c r="I7" i="7"/>
  <c r="O6" i="7"/>
  <c r="I6" i="7"/>
  <c r="O5" i="7"/>
  <c r="I5" i="7"/>
  <c r="O4" i="7"/>
  <c r="I4" i="7"/>
  <c r="O3" i="7"/>
  <c r="Q3" i="7"/>
  <c r="R3" i="7"/>
  <c r="N22" i="4"/>
  <c r="E53" i="4"/>
  <c r="F53" i="4"/>
  <c r="G53" i="4"/>
  <c r="N53" i="4"/>
  <c r="E52" i="4"/>
  <c r="F52" i="4"/>
  <c r="G52" i="4"/>
  <c r="N52" i="4"/>
  <c r="P52" i="4"/>
  <c r="Q52" i="4"/>
  <c r="E51" i="4"/>
  <c r="F51" i="4"/>
  <c r="G51" i="4"/>
  <c r="N51" i="4"/>
  <c r="E50" i="4"/>
  <c r="F50" i="4"/>
  <c r="G50" i="4"/>
  <c r="N50" i="4"/>
  <c r="P50" i="4"/>
  <c r="Q50" i="4"/>
  <c r="E49" i="4"/>
  <c r="F49" i="4"/>
  <c r="G49" i="4"/>
  <c r="N49" i="4"/>
  <c r="N48" i="4"/>
  <c r="E48" i="4"/>
  <c r="F48" i="4"/>
  <c r="G48" i="4"/>
  <c r="P48" i="4"/>
  <c r="Q48" i="4"/>
  <c r="E47" i="4"/>
  <c r="F47" i="4"/>
  <c r="G47" i="4"/>
  <c r="N47" i="4"/>
  <c r="E46" i="4"/>
  <c r="F46" i="4"/>
  <c r="G46" i="4"/>
  <c r="N46" i="4"/>
  <c r="P46" i="4"/>
  <c r="Q46" i="4"/>
  <c r="E45" i="4"/>
  <c r="F45" i="4"/>
  <c r="G45" i="4"/>
  <c r="N45" i="4"/>
  <c r="E44" i="4"/>
  <c r="F44" i="4"/>
  <c r="G44" i="4"/>
  <c r="N44" i="4"/>
  <c r="P44" i="4"/>
  <c r="Q44" i="4"/>
  <c r="E43" i="4"/>
  <c r="F43" i="4"/>
  <c r="G43" i="4"/>
  <c r="N43" i="4"/>
  <c r="E42" i="4"/>
  <c r="F42" i="4"/>
  <c r="G42" i="4"/>
  <c r="N42" i="4"/>
  <c r="P42" i="4"/>
  <c r="Q42" i="4"/>
  <c r="E41" i="4"/>
  <c r="F41" i="4"/>
  <c r="G41" i="4"/>
  <c r="N41" i="4"/>
  <c r="E40" i="4"/>
  <c r="F40" i="4"/>
  <c r="G40" i="4"/>
  <c r="N40" i="4"/>
  <c r="P40" i="4"/>
  <c r="Q40" i="4"/>
  <c r="E39" i="4"/>
  <c r="F39" i="4"/>
  <c r="G39" i="4"/>
  <c r="N39" i="4"/>
  <c r="E38" i="4"/>
  <c r="F38" i="4"/>
  <c r="G38" i="4"/>
  <c r="N38" i="4"/>
  <c r="P38" i="4"/>
  <c r="Q38" i="4"/>
  <c r="E37" i="4"/>
  <c r="F37" i="4"/>
  <c r="G37" i="4"/>
  <c r="N37" i="4"/>
  <c r="E36" i="4"/>
  <c r="F36" i="4"/>
  <c r="G36" i="4"/>
  <c r="N36" i="4"/>
  <c r="P36" i="4"/>
  <c r="Q36" i="4"/>
  <c r="E35" i="4"/>
  <c r="F35" i="4"/>
  <c r="G35" i="4"/>
  <c r="N35" i="4"/>
  <c r="E34" i="4"/>
  <c r="F34" i="4"/>
  <c r="G34" i="4"/>
  <c r="N34" i="4"/>
  <c r="P34" i="4"/>
  <c r="Q34" i="4"/>
  <c r="E33" i="4"/>
  <c r="F33" i="4"/>
  <c r="G33" i="4"/>
  <c r="N33" i="4"/>
  <c r="E32" i="4"/>
  <c r="F32" i="4"/>
  <c r="G32" i="4"/>
  <c r="N32" i="4"/>
  <c r="P32" i="4"/>
  <c r="Q32" i="4"/>
  <c r="E31" i="4"/>
  <c r="F31" i="4"/>
  <c r="G31" i="4"/>
  <c r="N31" i="4"/>
  <c r="E30" i="4"/>
  <c r="F30" i="4"/>
  <c r="G30" i="4"/>
  <c r="N30" i="4"/>
  <c r="P30" i="4"/>
  <c r="Q30" i="4"/>
  <c r="E29" i="4"/>
  <c r="F29" i="4"/>
  <c r="G29" i="4"/>
  <c r="N29" i="4"/>
  <c r="E28" i="4"/>
  <c r="F28" i="4"/>
  <c r="G28" i="4"/>
  <c r="N28" i="4"/>
  <c r="P28" i="4"/>
  <c r="Q28" i="4"/>
  <c r="E27" i="4"/>
  <c r="F27" i="4"/>
  <c r="G27" i="4"/>
  <c r="N27" i="4"/>
  <c r="E26" i="4"/>
  <c r="F26" i="4"/>
  <c r="G26" i="4"/>
  <c r="N26" i="4"/>
  <c r="P26" i="4"/>
  <c r="Q26" i="4"/>
  <c r="E25" i="4"/>
  <c r="F25" i="4"/>
  <c r="G25" i="4"/>
  <c r="N25" i="4"/>
  <c r="P25" i="4"/>
  <c r="Q25" i="4"/>
  <c r="E24" i="4"/>
  <c r="F24" i="4"/>
  <c r="G24" i="4"/>
  <c r="H24" i="4"/>
  <c r="K24" i="4"/>
  <c r="L24" i="4"/>
  <c r="N24" i="4"/>
  <c r="P24" i="4"/>
  <c r="Q24" i="4"/>
  <c r="E23" i="4"/>
  <c r="F23" i="4"/>
  <c r="G23" i="4"/>
  <c r="N23" i="4"/>
  <c r="P23" i="4"/>
  <c r="Q23" i="4"/>
  <c r="E22" i="4"/>
  <c r="F22" i="4"/>
  <c r="G22" i="4"/>
  <c r="P22" i="4"/>
  <c r="Q22" i="4"/>
  <c r="E21" i="4"/>
  <c r="F21" i="4"/>
  <c r="G21" i="4"/>
  <c r="N21" i="4"/>
  <c r="E20" i="4"/>
  <c r="F20" i="4"/>
  <c r="G20" i="4"/>
  <c r="N20" i="4"/>
  <c r="E19" i="4"/>
  <c r="F19" i="4"/>
  <c r="G19" i="4"/>
  <c r="N19" i="4"/>
  <c r="E18" i="4"/>
  <c r="F18" i="4"/>
  <c r="G18" i="4"/>
  <c r="N18" i="4"/>
  <c r="E17" i="4"/>
  <c r="F17" i="4"/>
  <c r="G17" i="4"/>
  <c r="N17" i="4"/>
  <c r="E16" i="4"/>
  <c r="F16" i="4"/>
  <c r="G16" i="4"/>
  <c r="O16" i="4"/>
  <c r="N16" i="4"/>
  <c r="P16" i="4"/>
  <c r="Q16" i="4"/>
  <c r="E15" i="4"/>
  <c r="F15" i="4"/>
  <c r="G15" i="4"/>
  <c r="N15" i="4"/>
  <c r="E14" i="4"/>
  <c r="F14" i="4"/>
  <c r="G14" i="4"/>
  <c r="N14" i="4"/>
  <c r="E13" i="4"/>
  <c r="F13" i="4"/>
  <c r="G13" i="4"/>
  <c r="N13" i="4"/>
  <c r="E12" i="4"/>
  <c r="F12" i="4"/>
  <c r="G12" i="4"/>
  <c r="N12" i="4"/>
  <c r="E11" i="4"/>
  <c r="F11" i="4"/>
  <c r="G11" i="4"/>
  <c r="N11" i="4"/>
  <c r="E10" i="4"/>
  <c r="F10" i="4"/>
  <c r="G10" i="4"/>
  <c r="N10" i="4"/>
  <c r="E9" i="4"/>
  <c r="F9" i="4"/>
  <c r="G9" i="4"/>
  <c r="N9" i="4"/>
  <c r="E8" i="4"/>
  <c r="F8" i="4"/>
  <c r="G8" i="4"/>
  <c r="N8" i="4"/>
  <c r="E7" i="4"/>
  <c r="F7" i="4"/>
  <c r="G7" i="4"/>
  <c r="N7" i="4"/>
  <c r="E6" i="4"/>
  <c r="F6" i="4"/>
  <c r="G6" i="4"/>
  <c r="N6" i="4"/>
  <c r="E5" i="4"/>
  <c r="F5" i="4"/>
  <c r="G5" i="4"/>
  <c r="N5" i="4"/>
  <c r="E4" i="4"/>
  <c r="F4" i="4"/>
  <c r="G4" i="4"/>
  <c r="N4" i="4"/>
  <c r="E3" i="4"/>
  <c r="F3" i="4"/>
  <c r="G3" i="4"/>
  <c r="N3" i="4"/>
  <c r="H53" i="4"/>
  <c r="H52" i="4"/>
  <c r="H51" i="4"/>
  <c r="H50" i="4"/>
  <c r="H49" i="4"/>
  <c r="H48" i="4"/>
  <c r="H47" i="4"/>
  <c r="H46" i="4"/>
  <c r="K46" i="4"/>
  <c r="L46" i="4"/>
  <c r="H45" i="4"/>
  <c r="H44" i="4"/>
  <c r="K44" i="4"/>
  <c r="L44" i="4"/>
  <c r="H43" i="4"/>
  <c r="H42" i="4"/>
  <c r="K42" i="4"/>
  <c r="L42" i="4"/>
  <c r="H41" i="4"/>
  <c r="H40" i="4"/>
  <c r="K40" i="4"/>
  <c r="L40" i="4"/>
  <c r="H39" i="4"/>
  <c r="H38" i="4"/>
  <c r="K38" i="4"/>
  <c r="L38" i="4"/>
  <c r="H37" i="4"/>
  <c r="H36" i="4"/>
  <c r="K36" i="4"/>
  <c r="L36" i="4"/>
  <c r="H35" i="4"/>
  <c r="H34" i="4"/>
  <c r="K34" i="4"/>
  <c r="L34" i="4"/>
  <c r="H33" i="4"/>
  <c r="H32" i="4"/>
  <c r="K32" i="4"/>
  <c r="L32" i="4"/>
  <c r="H31" i="4"/>
  <c r="H30" i="4"/>
  <c r="K30" i="4"/>
  <c r="L30" i="4"/>
  <c r="H29" i="4"/>
  <c r="H28" i="4"/>
  <c r="K28" i="4"/>
  <c r="L28" i="4"/>
  <c r="H27" i="4"/>
  <c r="H26" i="4"/>
  <c r="K26" i="4"/>
  <c r="L26" i="4"/>
  <c r="H25" i="4"/>
  <c r="H23" i="4"/>
  <c r="H22" i="4"/>
  <c r="H21" i="4"/>
  <c r="H20" i="4"/>
  <c r="K20" i="4"/>
  <c r="L20" i="4"/>
  <c r="H19" i="4"/>
  <c r="H18" i="4"/>
  <c r="K18" i="4"/>
  <c r="L18" i="4"/>
  <c r="H17" i="4"/>
  <c r="H16" i="4"/>
  <c r="K16" i="4"/>
  <c r="L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L2" i="4"/>
  <c r="E53" i="2"/>
  <c r="F53" i="2"/>
  <c r="G53" i="2"/>
  <c r="H53" i="2"/>
  <c r="K53" i="2"/>
  <c r="L53" i="2"/>
  <c r="N53" i="2"/>
  <c r="P53" i="2"/>
  <c r="Q53" i="2"/>
  <c r="E52" i="2"/>
  <c r="F52" i="2"/>
  <c r="G52" i="2"/>
  <c r="N52" i="2"/>
  <c r="P52" i="2"/>
  <c r="Q52" i="2"/>
  <c r="E51" i="2"/>
  <c r="F51" i="2"/>
  <c r="G51" i="2"/>
  <c r="H51" i="2"/>
  <c r="K51" i="2"/>
  <c r="L51" i="2"/>
  <c r="N51" i="2"/>
  <c r="P51" i="2"/>
  <c r="Q51" i="2"/>
  <c r="E50" i="2"/>
  <c r="F50" i="2"/>
  <c r="G50" i="2"/>
  <c r="O50" i="2"/>
  <c r="N50" i="2"/>
  <c r="E49" i="2"/>
  <c r="F49" i="2"/>
  <c r="G49" i="2"/>
  <c r="O49" i="2"/>
  <c r="N49" i="2"/>
  <c r="P49" i="2"/>
  <c r="Q49" i="2"/>
  <c r="E48" i="2"/>
  <c r="F48" i="2"/>
  <c r="G48" i="2"/>
  <c r="N48" i="2"/>
  <c r="E47" i="2"/>
  <c r="F47" i="2"/>
  <c r="G47" i="2"/>
  <c r="O47" i="2"/>
  <c r="N47" i="2"/>
  <c r="E46" i="2"/>
  <c r="F46" i="2"/>
  <c r="G46" i="2"/>
  <c r="N46" i="2"/>
  <c r="E45" i="2"/>
  <c r="F45" i="2"/>
  <c r="G45" i="2"/>
  <c r="N45" i="2"/>
  <c r="P45" i="2"/>
  <c r="Q45" i="2"/>
  <c r="E44" i="2"/>
  <c r="F44" i="2"/>
  <c r="G44" i="2"/>
  <c r="N44" i="2"/>
  <c r="E43" i="2"/>
  <c r="F43" i="2"/>
  <c r="G43" i="2"/>
  <c r="N43" i="2"/>
  <c r="P43" i="2"/>
  <c r="Q43" i="2"/>
  <c r="E42" i="2"/>
  <c r="F42" i="2"/>
  <c r="G42" i="2"/>
  <c r="N42" i="2"/>
  <c r="E41" i="2"/>
  <c r="F41" i="2"/>
  <c r="G41" i="2"/>
  <c r="N41" i="2"/>
  <c r="P41" i="2"/>
  <c r="Q41" i="2"/>
  <c r="E40" i="2"/>
  <c r="F40" i="2"/>
  <c r="G40" i="2"/>
  <c r="N40" i="2"/>
  <c r="E39" i="2"/>
  <c r="F39" i="2"/>
  <c r="G39" i="2"/>
  <c r="N39" i="2"/>
  <c r="P39" i="2"/>
  <c r="Q39" i="2"/>
  <c r="E38" i="2"/>
  <c r="F38" i="2"/>
  <c r="G38" i="2"/>
  <c r="N38" i="2"/>
  <c r="E37" i="2"/>
  <c r="F37" i="2"/>
  <c r="G37" i="2"/>
  <c r="N37" i="2"/>
  <c r="P37" i="2"/>
  <c r="Q37" i="2"/>
  <c r="E36" i="2"/>
  <c r="F36" i="2"/>
  <c r="G36" i="2"/>
  <c r="O36" i="2"/>
  <c r="N36" i="2"/>
  <c r="P36" i="2"/>
  <c r="Q36" i="2"/>
  <c r="E35" i="2"/>
  <c r="F35" i="2"/>
  <c r="G35" i="2"/>
  <c r="H35" i="2"/>
  <c r="K35" i="2"/>
  <c r="L35" i="2"/>
  <c r="N35" i="2"/>
  <c r="P35" i="2"/>
  <c r="Q35" i="2"/>
  <c r="E34" i="2"/>
  <c r="F34" i="2"/>
  <c r="G34" i="2"/>
  <c r="N34" i="2"/>
  <c r="P34" i="2"/>
  <c r="Q34" i="2"/>
  <c r="E33" i="2"/>
  <c r="F33" i="2"/>
  <c r="G33" i="2"/>
  <c r="O33" i="2"/>
  <c r="N33" i="2"/>
  <c r="P33" i="2"/>
  <c r="Q33" i="2"/>
  <c r="E32" i="2"/>
  <c r="F32" i="2"/>
  <c r="G32" i="2"/>
  <c r="N32" i="2"/>
  <c r="E31" i="2"/>
  <c r="F31" i="2"/>
  <c r="G31" i="2"/>
  <c r="N31" i="2"/>
  <c r="E30" i="2"/>
  <c r="F30" i="2"/>
  <c r="G30" i="2"/>
  <c r="N30" i="2"/>
  <c r="E29" i="2"/>
  <c r="F29" i="2"/>
  <c r="G29" i="2"/>
  <c r="N29" i="2"/>
  <c r="E28" i="2"/>
  <c r="F28" i="2"/>
  <c r="G28" i="2"/>
  <c r="N28" i="2"/>
  <c r="E27" i="2"/>
  <c r="F27" i="2"/>
  <c r="G27" i="2"/>
  <c r="N27" i="2"/>
  <c r="E26" i="2"/>
  <c r="F26" i="2"/>
  <c r="G26" i="2"/>
  <c r="O26" i="2"/>
  <c r="N26" i="2"/>
  <c r="P26" i="2"/>
  <c r="Q26" i="2"/>
  <c r="E25" i="2"/>
  <c r="F25" i="2"/>
  <c r="G25" i="2"/>
  <c r="N25" i="2"/>
  <c r="E24" i="2"/>
  <c r="F24" i="2"/>
  <c r="G24" i="2"/>
  <c r="N24" i="2"/>
  <c r="E23" i="2"/>
  <c r="F23" i="2"/>
  <c r="G23" i="2"/>
  <c r="N23" i="2"/>
  <c r="E22" i="2"/>
  <c r="F22" i="2"/>
  <c r="G22" i="2"/>
  <c r="N22" i="2"/>
  <c r="E21" i="2"/>
  <c r="F21" i="2"/>
  <c r="G21" i="2"/>
  <c r="N21" i="2"/>
  <c r="E20" i="2"/>
  <c r="F20" i="2"/>
  <c r="G20" i="2"/>
  <c r="N20" i="2"/>
  <c r="E19" i="2"/>
  <c r="F19" i="2"/>
  <c r="G19" i="2"/>
  <c r="N19" i="2"/>
  <c r="E18" i="2"/>
  <c r="F18" i="2"/>
  <c r="G18" i="2"/>
  <c r="N18" i="2"/>
  <c r="E17" i="2"/>
  <c r="F17" i="2"/>
  <c r="G17" i="2"/>
  <c r="N17" i="2"/>
  <c r="E16" i="2"/>
  <c r="F16" i="2"/>
  <c r="G16" i="2"/>
  <c r="N16" i="2"/>
  <c r="E15" i="2"/>
  <c r="F15" i="2"/>
  <c r="G15" i="2"/>
  <c r="N15" i="2"/>
  <c r="E14" i="2"/>
  <c r="F14" i="2"/>
  <c r="G14" i="2"/>
  <c r="N14" i="2"/>
  <c r="E13" i="2"/>
  <c r="F13" i="2"/>
  <c r="G13" i="2"/>
  <c r="O13" i="2"/>
  <c r="N13" i="2"/>
  <c r="E12" i="2"/>
  <c r="F12" i="2"/>
  <c r="G12" i="2"/>
  <c r="N12" i="2"/>
  <c r="E11" i="2"/>
  <c r="F11" i="2"/>
  <c r="G11" i="2"/>
  <c r="N11" i="2"/>
  <c r="P11" i="2"/>
  <c r="Q11" i="2"/>
  <c r="E10" i="2"/>
  <c r="F10" i="2"/>
  <c r="G10" i="2"/>
  <c r="O10" i="2"/>
  <c r="N10" i="2"/>
  <c r="P10" i="2"/>
  <c r="Q10" i="2"/>
  <c r="E9" i="2"/>
  <c r="F9" i="2"/>
  <c r="G9" i="2"/>
  <c r="O9" i="2"/>
  <c r="N9" i="2"/>
  <c r="E8" i="2"/>
  <c r="F8" i="2"/>
  <c r="G8" i="2"/>
  <c r="N8" i="2"/>
  <c r="E7" i="2"/>
  <c r="F7" i="2"/>
  <c r="G7" i="2"/>
  <c r="N7" i="2"/>
  <c r="E6" i="2"/>
  <c r="F6" i="2"/>
  <c r="G6" i="2"/>
  <c r="N6" i="2"/>
  <c r="E5" i="2"/>
  <c r="F5" i="2"/>
  <c r="G5" i="2"/>
  <c r="N5" i="2"/>
  <c r="E4" i="2"/>
  <c r="F4" i="2"/>
  <c r="G4" i="2"/>
  <c r="N4" i="2"/>
  <c r="E3" i="2"/>
  <c r="F3" i="2"/>
  <c r="G3" i="2"/>
  <c r="N3" i="2"/>
  <c r="H52" i="2"/>
  <c r="H50" i="2"/>
  <c r="H49" i="2"/>
  <c r="K49" i="2"/>
  <c r="L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4" i="2"/>
  <c r="H33" i="2"/>
  <c r="H32" i="2"/>
  <c r="H31" i="2"/>
  <c r="K31" i="2"/>
  <c r="L31" i="2"/>
  <c r="H30" i="2"/>
  <c r="H29" i="2"/>
  <c r="K29" i="2"/>
  <c r="L29" i="2"/>
  <c r="H28" i="2"/>
  <c r="H27" i="2"/>
  <c r="K27" i="2"/>
  <c r="L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K7" i="2"/>
  <c r="L7" i="2"/>
  <c r="H6" i="2"/>
  <c r="H5" i="2"/>
  <c r="K5" i="2"/>
  <c r="L5" i="2"/>
  <c r="H4" i="2"/>
  <c r="H3" i="2"/>
  <c r="K3" i="2"/>
  <c r="L3" i="2"/>
  <c r="L2" i="2"/>
  <c r="E23" i="1"/>
  <c r="F23" i="1"/>
  <c r="G23" i="1"/>
  <c r="N23" i="1"/>
  <c r="P23" i="1"/>
  <c r="Q23" i="1"/>
  <c r="E52" i="1"/>
  <c r="F52" i="1"/>
  <c r="G52" i="1"/>
  <c r="N52" i="1"/>
  <c r="E35" i="1"/>
  <c r="F35" i="1"/>
  <c r="G35" i="1"/>
  <c r="N35" i="1"/>
  <c r="E31" i="1"/>
  <c r="F31" i="1"/>
  <c r="G31" i="1"/>
  <c r="N31" i="1"/>
  <c r="E3" i="1"/>
  <c r="F3" i="1"/>
  <c r="G3" i="1"/>
  <c r="N3" i="1"/>
  <c r="E17" i="1"/>
  <c r="F17" i="1"/>
  <c r="G17" i="1"/>
  <c r="N17" i="1"/>
  <c r="E4" i="1"/>
  <c r="F4" i="1"/>
  <c r="G4" i="1"/>
  <c r="N4" i="1"/>
  <c r="E41" i="1"/>
  <c r="F41" i="1"/>
  <c r="G41" i="1"/>
  <c r="N41" i="1"/>
  <c r="E44" i="1"/>
  <c r="F44" i="1"/>
  <c r="G44" i="1"/>
  <c r="N44" i="1"/>
  <c r="E38" i="1"/>
  <c r="F38" i="1"/>
  <c r="G38" i="1"/>
  <c r="N38" i="1"/>
  <c r="E8" i="1"/>
  <c r="F8" i="1"/>
  <c r="G8" i="1"/>
  <c r="N8" i="1"/>
  <c r="E51" i="1"/>
  <c r="F51" i="1"/>
  <c r="G51" i="1"/>
  <c r="N51" i="1"/>
  <c r="E24" i="1"/>
  <c r="F24" i="1"/>
  <c r="G24" i="1"/>
  <c r="N24" i="1"/>
  <c r="E34" i="1"/>
  <c r="F34" i="1"/>
  <c r="G34" i="1"/>
  <c r="N34" i="1"/>
  <c r="E20" i="1"/>
  <c r="F20" i="1"/>
  <c r="G20" i="1"/>
  <c r="N20" i="1"/>
  <c r="E14" i="1"/>
  <c r="F14" i="1"/>
  <c r="G14" i="1"/>
  <c r="N14" i="1"/>
  <c r="E27" i="1"/>
  <c r="F27" i="1"/>
  <c r="G27" i="1"/>
  <c r="N27" i="1"/>
  <c r="E21" i="1"/>
  <c r="F21" i="1"/>
  <c r="G21" i="1"/>
  <c r="N21" i="1"/>
  <c r="E28" i="1"/>
  <c r="F28" i="1"/>
  <c r="G28" i="1"/>
  <c r="N28" i="1"/>
  <c r="E10" i="1"/>
  <c r="F10" i="1"/>
  <c r="G10" i="1"/>
  <c r="O10" i="1"/>
  <c r="N10" i="1"/>
  <c r="P10" i="1"/>
  <c r="Q10" i="1"/>
  <c r="E49" i="1"/>
  <c r="F49" i="1"/>
  <c r="G49" i="1"/>
  <c r="N49" i="1"/>
  <c r="E37" i="1"/>
  <c r="F37" i="1"/>
  <c r="G37" i="1"/>
  <c r="N37" i="1"/>
  <c r="E40" i="1"/>
  <c r="F40" i="1"/>
  <c r="G40" i="1"/>
  <c r="N40" i="1"/>
  <c r="E30" i="1"/>
  <c r="F30" i="1"/>
  <c r="G30" i="1"/>
  <c r="N30" i="1"/>
  <c r="E47" i="1"/>
  <c r="F47" i="1"/>
  <c r="G47" i="1"/>
  <c r="O47" i="1"/>
  <c r="N47" i="1"/>
  <c r="E9" i="1"/>
  <c r="F9" i="1"/>
  <c r="G9" i="1"/>
  <c r="O9" i="1"/>
  <c r="N9" i="1"/>
  <c r="P9" i="1"/>
  <c r="Q9" i="1"/>
  <c r="E18" i="1"/>
  <c r="F18" i="1"/>
  <c r="G18" i="1"/>
  <c r="N18" i="1"/>
  <c r="P18" i="1"/>
  <c r="Q18" i="1"/>
  <c r="E13" i="1"/>
  <c r="F13" i="1"/>
  <c r="G13" i="1"/>
  <c r="O13" i="1"/>
  <c r="N13" i="1"/>
  <c r="E39" i="1"/>
  <c r="F39" i="1"/>
  <c r="G39" i="1"/>
  <c r="N39" i="1"/>
  <c r="E42" i="1"/>
  <c r="F42" i="1"/>
  <c r="G42" i="1"/>
  <c r="N42" i="1"/>
  <c r="E45" i="1"/>
  <c r="F45" i="1"/>
  <c r="G45" i="1"/>
  <c r="N45" i="1"/>
  <c r="E36" i="1"/>
  <c r="F36" i="1"/>
  <c r="G36" i="1"/>
  <c r="O36" i="1"/>
  <c r="N36" i="1"/>
  <c r="P36" i="1"/>
  <c r="Q36" i="1"/>
  <c r="E7" i="1"/>
  <c r="F7" i="1"/>
  <c r="G7" i="1"/>
  <c r="N7" i="1"/>
  <c r="E53" i="1"/>
  <c r="F53" i="1"/>
  <c r="G53" i="1"/>
  <c r="N53" i="1"/>
  <c r="E12" i="1"/>
  <c r="F12" i="1"/>
  <c r="G12" i="1"/>
  <c r="N12" i="1"/>
  <c r="E6" i="1"/>
  <c r="F6" i="1"/>
  <c r="G6" i="1"/>
  <c r="N6" i="1"/>
  <c r="E15" i="1"/>
  <c r="F15" i="1"/>
  <c r="G15" i="1"/>
  <c r="N15" i="1"/>
  <c r="E43" i="1"/>
  <c r="F43" i="1"/>
  <c r="G43" i="1"/>
  <c r="N43" i="1"/>
  <c r="E22" i="1"/>
  <c r="F22" i="1"/>
  <c r="G22" i="1"/>
  <c r="N22" i="1"/>
  <c r="E48" i="1"/>
  <c r="F48" i="1"/>
  <c r="G48" i="1"/>
  <c r="N48" i="1"/>
  <c r="E46" i="1"/>
  <c r="F46" i="1"/>
  <c r="G46" i="1"/>
  <c r="N46" i="1"/>
  <c r="E16" i="1"/>
  <c r="F16" i="1"/>
  <c r="G16" i="1"/>
  <c r="N16" i="1"/>
  <c r="E29" i="1"/>
  <c r="F29" i="1"/>
  <c r="G29" i="1"/>
  <c r="N29" i="1"/>
  <c r="E11" i="1"/>
  <c r="F11" i="1"/>
  <c r="G11" i="1"/>
  <c r="N11" i="1"/>
  <c r="E5" i="1"/>
  <c r="F5" i="1"/>
  <c r="G5" i="1"/>
  <c r="N5" i="1"/>
  <c r="E32" i="1"/>
  <c r="F32" i="1"/>
  <c r="G32" i="1"/>
  <c r="N32" i="1"/>
  <c r="E25" i="1"/>
  <c r="F25" i="1"/>
  <c r="G25" i="1"/>
  <c r="N25" i="1"/>
  <c r="E33" i="1"/>
  <c r="F33" i="1"/>
  <c r="G33" i="1"/>
  <c r="O33" i="1"/>
  <c r="N33" i="1"/>
  <c r="E50" i="1"/>
  <c r="F50" i="1"/>
  <c r="G50" i="1"/>
  <c r="O50" i="1"/>
  <c r="N50" i="1"/>
  <c r="P50" i="1"/>
  <c r="Q50" i="1"/>
  <c r="E19" i="1"/>
  <c r="F19" i="1"/>
  <c r="G19" i="1"/>
  <c r="K19" i="1"/>
  <c r="L19" i="1"/>
  <c r="N19" i="1"/>
  <c r="E26" i="1"/>
  <c r="F26" i="1"/>
  <c r="G26" i="1"/>
  <c r="O26" i="1"/>
  <c r="N26" i="1"/>
  <c r="P26" i="1"/>
  <c r="Q26" i="1"/>
  <c r="Q2" i="1"/>
  <c r="K52" i="1"/>
  <c r="L52" i="1"/>
  <c r="K35" i="1"/>
  <c r="L35" i="1"/>
  <c r="K31" i="1"/>
  <c r="L31" i="1"/>
  <c r="K3" i="1"/>
  <c r="L3" i="1"/>
  <c r="K17" i="1"/>
  <c r="L17" i="1"/>
  <c r="K4" i="1"/>
  <c r="L4" i="1"/>
  <c r="K41" i="1"/>
  <c r="L41" i="1"/>
  <c r="K44" i="1"/>
  <c r="L44" i="1"/>
  <c r="K38" i="1"/>
  <c r="L38" i="1"/>
  <c r="K8" i="1"/>
  <c r="L8" i="1"/>
  <c r="K51" i="1"/>
  <c r="L51" i="1"/>
  <c r="K24" i="1"/>
  <c r="L24" i="1"/>
  <c r="K34" i="1"/>
  <c r="L34" i="1"/>
  <c r="K20" i="1"/>
  <c r="L20" i="1"/>
  <c r="K14" i="1"/>
  <c r="L14" i="1"/>
  <c r="K27" i="1"/>
  <c r="L27" i="1"/>
  <c r="K21" i="1"/>
  <c r="L21" i="1"/>
  <c r="K28" i="1"/>
  <c r="L28" i="1"/>
  <c r="K10" i="1"/>
  <c r="L10" i="1"/>
  <c r="K18" i="1"/>
  <c r="L18" i="1"/>
  <c r="K39" i="1"/>
  <c r="L39" i="1"/>
  <c r="K42" i="1"/>
  <c r="L42" i="1"/>
  <c r="K45" i="1"/>
  <c r="L45" i="1"/>
  <c r="K36" i="1"/>
  <c r="L36" i="1"/>
  <c r="K50" i="1"/>
  <c r="L50" i="1"/>
  <c r="K26" i="1"/>
  <c r="L26" i="1"/>
  <c r="L2" i="1"/>
  <c r="F31" i="9"/>
  <c r="G31" i="9"/>
  <c r="H31" i="9"/>
  <c r="F4" i="10"/>
  <c r="G4" i="10"/>
  <c r="H4" i="10"/>
  <c r="F20" i="10"/>
  <c r="G20" i="10"/>
  <c r="H20" i="10"/>
  <c r="F3" i="12"/>
  <c r="G3" i="12"/>
  <c r="H3" i="12"/>
  <c r="L51" i="16"/>
  <c r="M51" i="16"/>
  <c r="F3" i="15"/>
  <c r="G3" i="15"/>
  <c r="H3" i="15"/>
  <c r="F27" i="15"/>
  <c r="F22" i="14"/>
  <c r="F30" i="14"/>
  <c r="G30" i="14"/>
  <c r="H30" i="14"/>
  <c r="F46" i="14"/>
  <c r="G46" i="14"/>
  <c r="H46" i="14"/>
  <c r="F12" i="12"/>
  <c r="G12" i="12"/>
  <c r="H12" i="12"/>
  <c r="F43" i="12"/>
  <c r="F7" i="11"/>
  <c r="F15" i="11"/>
  <c r="F23" i="11"/>
  <c r="F4" i="11"/>
  <c r="F12" i="11"/>
  <c r="F36" i="11"/>
  <c r="F52" i="11"/>
  <c r="G52" i="11"/>
  <c r="H52" i="11"/>
  <c r="F10" i="10"/>
  <c r="F18" i="10"/>
  <c r="F26" i="10"/>
  <c r="F7" i="10"/>
  <c r="F15" i="10"/>
  <c r="F49" i="10"/>
  <c r="G49" i="10"/>
  <c r="H49" i="10"/>
  <c r="F20" i="12"/>
  <c r="G20" i="12"/>
  <c r="H20" i="12"/>
  <c r="F44" i="12"/>
  <c r="F16" i="16"/>
  <c r="F24" i="16"/>
  <c r="G24" i="16"/>
  <c r="H24" i="16"/>
  <c r="F10" i="9"/>
  <c r="F38" i="13"/>
  <c r="F3" i="14"/>
  <c r="F16" i="15"/>
  <c r="F40" i="15"/>
  <c r="G40" i="15"/>
  <c r="H40" i="15"/>
  <c r="F7" i="9"/>
  <c r="G7" i="9"/>
  <c r="H7" i="9"/>
  <c r="F15" i="9"/>
  <c r="F23" i="9"/>
  <c r="F12" i="10"/>
  <c r="F44" i="10"/>
  <c r="F4" i="9"/>
  <c r="F12" i="9"/>
  <c r="F20" i="9"/>
  <c r="F36" i="9"/>
  <c r="G36" i="9"/>
  <c r="H36" i="9"/>
  <c r="F52" i="9"/>
  <c r="G52" i="9"/>
  <c r="H52" i="9"/>
  <c r="F9" i="10"/>
  <c r="F17" i="10"/>
  <c r="F25" i="10"/>
  <c r="F6" i="11"/>
  <c r="F14" i="11"/>
  <c r="F22" i="11"/>
  <c r="F38" i="11"/>
  <c r="G38" i="11"/>
  <c r="H38" i="11"/>
  <c r="F11" i="12"/>
  <c r="F19" i="12"/>
  <c r="F27" i="12"/>
  <c r="F16" i="13"/>
  <c r="F24" i="13"/>
  <c r="F40" i="13"/>
  <c r="F5" i="14"/>
  <c r="G5" i="14"/>
  <c r="H5" i="14"/>
  <c r="F13" i="14"/>
  <c r="G13" i="14"/>
  <c r="H13" i="14"/>
  <c r="F21" i="14"/>
  <c r="F10" i="15"/>
  <c r="F18" i="15"/>
  <c r="F26" i="15"/>
  <c r="F8" i="10"/>
  <c r="F24" i="10"/>
  <c r="F48" i="10"/>
  <c r="G48" i="10"/>
  <c r="H48" i="10"/>
  <c r="F5" i="11"/>
  <c r="G5" i="11"/>
  <c r="H5" i="11"/>
  <c r="F13" i="11"/>
  <c r="F21" i="11"/>
  <c r="F10" i="12"/>
  <c r="F18" i="12"/>
  <c r="F26" i="12"/>
  <c r="F7" i="13"/>
  <c r="F15" i="13"/>
  <c r="G15" i="13"/>
  <c r="H15" i="13"/>
  <c r="F23" i="13"/>
  <c r="G23" i="13"/>
  <c r="H23" i="13"/>
  <c r="F12" i="14"/>
  <c r="F20" i="14"/>
  <c r="F44" i="14"/>
  <c r="F9" i="15"/>
  <c r="F17" i="15"/>
  <c r="F6" i="16"/>
  <c r="G6" i="16"/>
  <c r="H6" i="16"/>
  <c r="F14" i="16"/>
  <c r="G14" i="16"/>
  <c r="H14" i="16"/>
  <c r="F22" i="16"/>
  <c r="G22" i="16"/>
  <c r="H22" i="16"/>
  <c r="F30" i="16"/>
  <c r="F46" i="16"/>
  <c r="G46" i="16"/>
  <c r="H46" i="16"/>
  <c r="F5" i="10"/>
  <c r="F13" i="10"/>
  <c r="F21" i="10"/>
  <c r="F10" i="11"/>
  <c r="F26" i="11"/>
  <c r="F7" i="12"/>
  <c r="G7" i="12"/>
  <c r="H7" i="12"/>
  <c r="F15" i="12"/>
  <c r="F23" i="12"/>
  <c r="F4" i="13"/>
  <c r="F12" i="13"/>
  <c r="F52" i="13"/>
  <c r="F9" i="14"/>
  <c r="G9" i="14"/>
  <c r="H9" i="14"/>
  <c r="F17" i="14"/>
  <c r="G17" i="14"/>
  <c r="H17" i="14"/>
  <c r="F6" i="15"/>
  <c r="G6" i="15"/>
  <c r="H6" i="15"/>
  <c r="F14" i="15"/>
  <c r="G14" i="15"/>
  <c r="H14" i="15"/>
  <c r="F22" i="15"/>
  <c r="F38" i="15"/>
  <c r="G38" i="15"/>
  <c r="H38" i="15"/>
  <c r="F3" i="16"/>
  <c r="G3" i="16"/>
  <c r="H3" i="16"/>
  <c r="F11" i="16"/>
  <c r="G11" i="16"/>
  <c r="H11" i="16"/>
  <c r="F19" i="16"/>
  <c r="G19" i="16"/>
  <c r="H19" i="16"/>
  <c r="F27" i="16"/>
  <c r="F13" i="9"/>
  <c r="G13" i="9"/>
  <c r="H13" i="9"/>
  <c r="F42" i="9"/>
  <c r="G42" i="9"/>
  <c r="H42" i="9"/>
  <c r="F11" i="9"/>
  <c r="F19" i="9"/>
  <c r="F27" i="9"/>
  <c r="F8" i="9"/>
  <c r="F16" i="9"/>
  <c r="G16" i="9"/>
  <c r="H16" i="9"/>
  <c r="F24" i="9"/>
  <c r="F40" i="9"/>
  <c r="G40" i="9"/>
  <c r="H40" i="9"/>
  <c r="F3" i="9"/>
  <c r="G3" i="9"/>
  <c r="H3" i="9"/>
  <c r="G51" i="15"/>
  <c r="H51" i="15"/>
  <c r="L51" i="15"/>
  <c r="M51" i="15"/>
  <c r="P33" i="1"/>
  <c r="Q33" i="1"/>
  <c r="K33" i="1"/>
  <c r="L33" i="1"/>
  <c r="K25" i="1"/>
  <c r="L25" i="1"/>
  <c r="P25" i="1"/>
  <c r="Q25" i="1"/>
  <c r="P32" i="1"/>
  <c r="Q32" i="1"/>
  <c r="K32" i="1"/>
  <c r="L32" i="1"/>
  <c r="P5" i="1"/>
  <c r="Q5" i="1"/>
  <c r="K5" i="1"/>
  <c r="L5" i="1"/>
  <c r="P11" i="1"/>
  <c r="Q11" i="1"/>
  <c r="K11" i="1"/>
  <c r="L11" i="1"/>
  <c r="P29" i="1"/>
  <c r="Q29" i="1"/>
  <c r="K29" i="1"/>
  <c r="L29" i="1"/>
  <c r="P16" i="1"/>
  <c r="Q16" i="1"/>
  <c r="K16" i="1"/>
  <c r="L16" i="1"/>
  <c r="K46" i="1"/>
  <c r="L46" i="1"/>
  <c r="P46" i="1"/>
  <c r="Q46" i="1"/>
  <c r="P48" i="1"/>
  <c r="Q48" i="1"/>
  <c r="K48" i="1"/>
  <c r="L48" i="1"/>
  <c r="P22" i="1"/>
  <c r="Q22" i="1"/>
  <c r="K22" i="1"/>
  <c r="L22" i="1"/>
  <c r="P43" i="1"/>
  <c r="Q43" i="1"/>
  <c r="K43" i="1"/>
  <c r="L43" i="1"/>
  <c r="K15" i="1"/>
  <c r="L15" i="1"/>
  <c r="P15" i="1"/>
  <c r="Q15" i="1"/>
  <c r="P6" i="1"/>
  <c r="Q6" i="1"/>
  <c r="K6" i="1"/>
  <c r="L6" i="1"/>
  <c r="P12" i="1"/>
  <c r="Q12" i="1"/>
  <c r="K12" i="1"/>
  <c r="L12" i="1"/>
  <c r="P53" i="1"/>
  <c r="Q53" i="1"/>
  <c r="K53" i="1"/>
  <c r="L53" i="1"/>
  <c r="K7" i="1"/>
  <c r="L7" i="1"/>
  <c r="P7" i="1"/>
  <c r="Q7" i="1"/>
  <c r="P47" i="1"/>
  <c r="Q47" i="1"/>
  <c r="K47" i="1"/>
  <c r="L47" i="1"/>
  <c r="P30" i="1"/>
  <c r="Q30" i="1"/>
  <c r="K30" i="1"/>
  <c r="L30" i="1"/>
  <c r="K40" i="1"/>
  <c r="L40" i="1"/>
  <c r="P40" i="1"/>
  <c r="Q40" i="1"/>
  <c r="P37" i="1"/>
  <c r="Q37" i="1"/>
  <c r="K37" i="1"/>
  <c r="L37" i="1"/>
  <c r="P49" i="1"/>
  <c r="Q49" i="1"/>
  <c r="K49" i="1"/>
  <c r="L49" i="1"/>
  <c r="P13" i="2"/>
  <c r="Q13" i="2"/>
  <c r="K13" i="2"/>
  <c r="L13" i="2"/>
  <c r="K14" i="2"/>
  <c r="L14" i="2"/>
  <c r="P14" i="2"/>
  <c r="Q14" i="2"/>
  <c r="P15" i="2"/>
  <c r="Q15" i="2"/>
  <c r="K15" i="2"/>
  <c r="L15" i="2"/>
  <c r="K16" i="2"/>
  <c r="L16" i="2"/>
  <c r="P16" i="2"/>
  <c r="Q16" i="2"/>
  <c r="P17" i="2"/>
  <c r="Q17" i="2"/>
  <c r="K17" i="2"/>
  <c r="L17" i="2"/>
  <c r="K18" i="2"/>
  <c r="L18" i="2"/>
  <c r="P18" i="2"/>
  <c r="Q18" i="2"/>
  <c r="P19" i="2"/>
  <c r="Q19" i="2"/>
  <c r="K19" i="2"/>
  <c r="L19" i="2"/>
  <c r="K20" i="2"/>
  <c r="L20" i="2"/>
  <c r="P20" i="2"/>
  <c r="Q20" i="2"/>
  <c r="P21" i="2"/>
  <c r="Q21" i="2"/>
  <c r="K21" i="2"/>
  <c r="L21" i="2"/>
  <c r="K22" i="2"/>
  <c r="L22" i="2"/>
  <c r="P22" i="2"/>
  <c r="Q22" i="2"/>
  <c r="P23" i="2"/>
  <c r="Q23" i="2"/>
  <c r="K23" i="2"/>
  <c r="L23" i="2"/>
  <c r="K24" i="2"/>
  <c r="L24" i="2"/>
  <c r="P24" i="2"/>
  <c r="Q24" i="2"/>
  <c r="P25" i="2"/>
  <c r="Q25" i="2"/>
  <c r="K25" i="2"/>
  <c r="L25" i="2"/>
  <c r="K3" i="4"/>
  <c r="L3" i="4"/>
  <c r="P3" i="4"/>
  <c r="Q3" i="4"/>
  <c r="P4" i="4"/>
  <c r="Q4" i="4"/>
  <c r="K4" i="4"/>
  <c r="L4" i="4"/>
  <c r="K5" i="4"/>
  <c r="L5" i="4"/>
  <c r="P5" i="4"/>
  <c r="Q5" i="4"/>
  <c r="P6" i="4"/>
  <c r="Q6" i="4"/>
  <c r="K6" i="4"/>
  <c r="L6" i="4"/>
  <c r="K7" i="4"/>
  <c r="L7" i="4"/>
  <c r="P7" i="4"/>
  <c r="Q7" i="4"/>
  <c r="P8" i="4"/>
  <c r="Q8" i="4"/>
  <c r="K8" i="4"/>
  <c r="L8" i="4"/>
  <c r="K9" i="4"/>
  <c r="L9" i="4"/>
  <c r="P9" i="4"/>
  <c r="Q9" i="4"/>
  <c r="P10" i="4"/>
  <c r="Q10" i="4"/>
  <c r="K10" i="4"/>
  <c r="L10" i="4"/>
  <c r="K11" i="4"/>
  <c r="L11" i="4"/>
  <c r="P11" i="4"/>
  <c r="Q11" i="4"/>
  <c r="P12" i="4"/>
  <c r="Q12" i="4"/>
  <c r="K12" i="4"/>
  <c r="L12" i="4"/>
  <c r="K13" i="4"/>
  <c r="L13" i="4"/>
  <c r="P13" i="4"/>
  <c r="Q13" i="4"/>
  <c r="P14" i="4"/>
  <c r="Q14" i="4"/>
  <c r="K14" i="4"/>
  <c r="L14" i="4"/>
  <c r="K15" i="4"/>
  <c r="L15" i="4"/>
  <c r="P15" i="4"/>
  <c r="Q15" i="4"/>
  <c r="P47" i="2"/>
  <c r="Q47" i="2"/>
  <c r="K47" i="2"/>
  <c r="L47" i="2"/>
  <c r="K48" i="2"/>
  <c r="L48" i="2"/>
  <c r="P48" i="2"/>
  <c r="Q48" i="2"/>
  <c r="P19" i="1"/>
  <c r="Q19" i="1"/>
  <c r="P13" i="1"/>
  <c r="Q13" i="1"/>
  <c r="P9" i="2"/>
  <c r="Q9" i="2"/>
  <c r="K10" i="2"/>
  <c r="L10" i="2"/>
  <c r="P12" i="2"/>
  <c r="Q12" i="2"/>
  <c r="K12" i="2"/>
  <c r="L12" i="2"/>
  <c r="K13" i="1"/>
  <c r="L13" i="1"/>
  <c r="K9" i="1"/>
  <c r="L9" i="1"/>
  <c r="P45" i="1"/>
  <c r="Q45" i="1"/>
  <c r="P42" i="1"/>
  <c r="Q42" i="1"/>
  <c r="P39" i="1"/>
  <c r="Q39" i="1"/>
  <c r="P28" i="1"/>
  <c r="Q28" i="1"/>
  <c r="P21" i="1"/>
  <c r="Q21" i="1"/>
  <c r="P27" i="1"/>
  <c r="Q27" i="1"/>
  <c r="P14" i="1"/>
  <c r="Q14" i="1"/>
  <c r="P20" i="1"/>
  <c r="Q20" i="1"/>
  <c r="P34" i="1"/>
  <c r="Q34" i="1"/>
  <c r="P24" i="1"/>
  <c r="Q24" i="1"/>
  <c r="P51" i="1"/>
  <c r="Q51" i="1"/>
  <c r="P8" i="1"/>
  <c r="Q8" i="1"/>
  <c r="P38" i="1"/>
  <c r="Q38" i="1"/>
  <c r="P44" i="1"/>
  <c r="Q44" i="1"/>
  <c r="P41" i="1"/>
  <c r="Q41" i="1"/>
  <c r="P4" i="1"/>
  <c r="Q4" i="1"/>
  <c r="P17" i="1"/>
  <c r="Q17" i="1"/>
  <c r="P3" i="1"/>
  <c r="Q3" i="1"/>
  <c r="P31" i="1"/>
  <c r="Q31" i="1"/>
  <c r="P35" i="1"/>
  <c r="Q35" i="1"/>
  <c r="P52" i="1"/>
  <c r="Q52" i="1"/>
  <c r="K23" i="1"/>
  <c r="L23" i="1"/>
  <c r="K9" i="2"/>
  <c r="L9" i="2"/>
  <c r="K11" i="2"/>
  <c r="L11" i="2"/>
  <c r="K33" i="2"/>
  <c r="L33" i="2"/>
  <c r="K37" i="2"/>
  <c r="L37" i="2"/>
  <c r="K39" i="2"/>
  <c r="L39" i="2"/>
  <c r="K41" i="2"/>
  <c r="L41" i="2"/>
  <c r="K43" i="2"/>
  <c r="L43" i="2"/>
  <c r="K45" i="2"/>
  <c r="L45" i="2"/>
  <c r="P3" i="2"/>
  <c r="Q3" i="2"/>
  <c r="P4" i="2"/>
  <c r="Q4" i="2"/>
  <c r="K4" i="2"/>
  <c r="L4" i="2"/>
  <c r="P5" i="2"/>
  <c r="Q5" i="2"/>
  <c r="P6" i="2"/>
  <c r="Q6" i="2"/>
  <c r="K6" i="2"/>
  <c r="L6" i="2"/>
  <c r="P7" i="2"/>
  <c r="Q7" i="2"/>
  <c r="P8" i="2"/>
  <c r="Q8" i="2"/>
  <c r="K8" i="2"/>
  <c r="L8" i="2"/>
  <c r="K26" i="2"/>
  <c r="L26" i="2"/>
  <c r="P27" i="2"/>
  <c r="Q27" i="2"/>
  <c r="P28" i="2"/>
  <c r="Q28" i="2"/>
  <c r="K28" i="2"/>
  <c r="L28" i="2"/>
  <c r="P29" i="2"/>
  <c r="Q29" i="2"/>
  <c r="P30" i="2"/>
  <c r="Q30" i="2"/>
  <c r="K30" i="2"/>
  <c r="L30" i="2"/>
  <c r="P31" i="2"/>
  <c r="Q31" i="2"/>
  <c r="P32" i="2"/>
  <c r="Q32" i="2"/>
  <c r="K32" i="2"/>
  <c r="L32" i="2"/>
  <c r="K22" i="4"/>
  <c r="L22" i="4"/>
  <c r="K48" i="4"/>
  <c r="L48" i="4"/>
  <c r="K50" i="4"/>
  <c r="L50" i="4"/>
  <c r="K52" i="4"/>
  <c r="L52" i="4"/>
  <c r="P17" i="4"/>
  <c r="Q17" i="4"/>
  <c r="K17" i="4"/>
  <c r="L17" i="4"/>
  <c r="P18" i="4"/>
  <c r="Q18" i="4"/>
  <c r="P19" i="4"/>
  <c r="Q19" i="4"/>
  <c r="K19" i="4"/>
  <c r="L19" i="4"/>
  <c r="P20" i="4"/>
  <c r="Q20" i="4"/>
  <c r="P21" i="4"/>
  <c r="Q21" i="4"/>
  <c r="K21" i="4"/>
  <c r="L21" i="4"/>
  <c r="K27" i="4"/>
  <c r="L27" i="4"/>
  <c r="P27" i="4"/>
  <c r="Q27" i="4"/>
  <c r="K29" i="4"/>
  <c r="L29" i="4"/>
  <c r="P29" i="4"/>
  <c r="Q29" i="4"/>
  <c r="K31" i="4"/>
  <c r="L31" i="4"/>
  <c r="P31" i="4"/>
  <c r="Q31" i="4"/>
  <c r="K33" i="4"/>
  <c r="L33" i="4"/>
  <c r="P33" i="4"/>
  <c r="Q33" i="4"/>
  <c r="K35" i="4"/>
  <c r="L35" i="4"/>
  <c r="P35" i="4"/>
  <c r="Q35" i="4"/>
  <c r="K37" i="4"/>
  <c r="L37" i="4"/>
  <c r="P37" i="4"/>
  <c r="Q37" i="4"/>
  <c r="K39" i="4"/>
  <c r="L39" i="4"/>
  <c r="P39" i="4"/>
  <c r="Q39" i="4"/>
  <c r="K41" i="4"/>
  <c r="L41" i="4"/>
  <c r="P41" i="4"/>
  <c r="Q41" i="4"/>
  <c r="K43" i="4"/>
  <c r="L43" i="4"/>
  <c r="P43" i="4"/>
  <c r="Q43" i="4"/>
  <c r="P45" i="4"/>
  <c r="Q45" i="4"/>
  <c r="K45" i="4"/>
  <c r="L45" i="4"/>
  <c r="K47" i="4"/>
  <c r="L47" i="4"/>
  <c r="P47" i="4"/>
  <c r="Q47" i="4"/>
  <c r="B2" i="8"/>
  <c r="L52" i="7"/>
  <c r="M52" i="7"/>
  <c r="Q52" i="7"/>
  <c r="R52" i="7"/>
  <c r="B51" i="8"/>
  <c r="Q50" i="7"/>
  <c r="R50" i="7"/>
  <c r="B49" i="8"/>
  <c r="L50" i="7"/>
  <c r="M50" i="7"/>
  <c r="L48" i="7"/>
  <c r="M48" i="7"/>
  <c r="Q48" i="7"/>
  <c r="R48" i="7"/>
  <c r="B47" i="8"/>
  <c r="Q46" i="7"/>
  <c r="R46" i="7"/>
  <c r="B45" i="8"/>
  <c r="L46" i="7"/>
  <c r="M46" i="7"/>
  <c r="L44" i="7"/>
  <c r="M44" i="7"/>
  <c r="Q44" i="7"/>
  <c r="R44" i="7"/>
  <c r="B43" i="8"/>
  <c r="Q42" i="7"/>
  <c r="R42" i="7"/>
  <c r="B41" i="8"/>
  <c r="L42" i="7"/>
  <c r="M42" i="7"/>
  <c r="Q40" i="7"/>
  <c r="R40" i="7"/>
  <c r="B39" i="8"/>
  <c r="L40" i="7"/>
  <c r="M40" i="7"/>
  <c r="L38" i="7"/>
  <c r="M38" i="7"/>
  <c r="Q38" i="7"/>
  <c r="R38" i="7"/>
  <c r="B37" i="8"/>
  <c r="Q36" i="7"/>
  <c r="R36" i="7"/>
  <c r="B35" i="8"/>
  <c r="L36" i="7"/>
  <c r="M36" i="7"/>
  <c r="L34" i="7"/>
  <c r="M34" i="7"/>
  <c r="Q34" i="7"/>
  <c r="R34" i="7"/>
  <c r="B33" i="8"/>
  <c r="L32" i="7"/>
  <c r="M32" i="7"/>
  <c r="Q32" i="7"/>
  <c r="R32" i="7"/>
  <c r="B31" i="8"/>
  <c r="L30" i="7"/>
  <c r="M30" i="7"/>
  <c r="Q30" i="7"/>
  <c r="R30" i="7"/>
  <c r="B29" i="8"/>
  <c r="Q28" i="7"/>
  <c r="R28" i="7"/>
  <c r="B27" i="8"/>
  <c r="L28" i="7"/>
  <c r="M28" i="7"/>
  <c r="Q26" i="7"/>
  <c r="R26" i="7"/>
  <c r="B25" i="8"/>
  <c r="L26" i="7"/>
  <c r="M26" i="7"/>
  <c r="Q24" i="7"/>
  <c r="R24" i="7"/>
  <c r="B23" i="8"/>
  <c r="L24" i="7"/>
  <c r="M24" i="7"/>
  <c r="Q22" i="7"/>
  <c r="R22" i="7"/>
  <c r="B21" i="8"/>
  <c r="L22" i="7"/>
  <c r="M22" i="7"/>
  <c r="L20" i="7"/>
  <c r="M20" i="7"/>
  <c r="Q20" i="7"/>
  <c r="R20" i="7"/>
  <c r="B19" i="8"/>
  <c r="Q18" i="7"/>
  <c r="R18" i="7"/>
  <c r="B17" i="8"/>
  <c r="L18" i="7"/>
  <c r="M18" i="7"/>
  <c r="Q16" i="7"/>
  <c r="R16" i="7"/>
  <c r="B15" i="8"/>
  <c r="L16" i="7"/>
  <c r="M16" i="7"/>
  <c r="L14" i="7"/>
  <c r="M14" i="7"/>
  <c r="Q14" i="7"/>
  <c r="R14" i="7"/>
  <c r="B13" i="8"/>
  <c r="L12" i="7"/>
  <c r="M12" i="7"/>
  <c r="Q12" i="7"/>
  <c r="R12" i="7"/>
  <c r="B11" i="8"/>
  <c r="Q10" i="7"/>
  <c r="R10" i="7"/>
  <c r="B9" i="8"/>
  <c r="L10" i="7"/>
  <c r="M10" i="7"/>
  <c r="L8" i="7"/>
  <c r="M8" i="7"/>
  <c r="Q8" i="7"/>
  <c r="R8" i="7"/>
  <c r="B7" i="8"/>
  <c r="Q6" i="7"/>
  <c r="R6" i="7"/>
  <c r="B5" i="8"/>
  <c r="L6" i="7"/>
  <c r="M6" i="7"/>
  <c r="L4" i="7"/>
  <c r="M4" i="7"/>
  <c r="Q4" i="7"/>
  <c r="R4" i="7"/>
  <c r="B3" i="8"/>
  <c r="K34" i="2"/>
  <c r="L34" i="2"/>
  <c r="K36" i="2"/>
  <c r="L36" i="2"/>
  <c r="P38" i="2"/>
  <c r="Q38" i="2"/>
  <c r="K38" i="2"/>
  <c r="L38" i="2"/>
  <c r="P40" i="2"/>
  <c r="Q40" i="2"/>
  <c r="K40" i="2"/>
  <c r="L40" i="2"/>
  <c r="P42" i="2"/>
  <c r="Q42" i="2"/>
  <c r="K42" i="2"/>
  <c r="L42" i="2"/>
  <c r="P44" i="2"/>
  <c r="Q44" i="2"/>
  <c r="K44" i="2"/>
  <c r="L44" i="2"/>
  <c r="P46" i="2"/>
  <c r="Q46" i="2"/>
  <c r="K46" i="2"/>
  <c r="L46" i="2"/>
  <c r="P50" i="2"/>
  <c r="Q50" i="2"/>
  <c r="K50" i="2"/>
  <c r="L50" i="2"/>
  <c r="K52" i="2"/>
  <c r="L52" i="2"/>
  <c r="K23" i="4"/>
  <c r="L23" i="4"/>
  <c r="K25" i="4"/>
  <c r="L25" i="4"/>
  <c r="K49" i="4"/>
  <c r="L49" i="4"/>
  <c r="P49" i="4"/>
  <c r="Q49" i="4"/>
  <c r="K51" i="4"/>
  <c r="L51" i="4"/>
  <c r="P51" i="4"/>
  <c r="Q51" i="4"/>
  <c r="P53" i="4"/>
  <c r="Q53" i="4"/>
  <c r="K53" i="4"/>
  <c r="L53" i="4"/>
  <c r="Q53" i="7"/>
  <c r="R53" i="7"/>
  <c r="B52" i="8"/>
  <c r="L53" i="7"/>
  <c r="M53" i="7"/>
  <c r="L51" i="7"/>
  <c r="M51" i="7"/>
  <c r="Q51" i="7"/>
  <c r="R51" i="7"/>
  <c r="B50" i="8"/>
  <c r="L49" i="7"/>
  <c r="M49" i="7"/>
  <c r="Q49" i="7"/>
  <c r="R49" i="7"/>
  <c r="B48" i="8"/>
  <c r="L47" i="7"/>
  <c r="M47" i="7"/>
  <c r="Q47" i="7"/>
  <c r="R47" i="7"/>
  <c r="B46" i="8"/>
  <c r="Q45" i="7"/>
  <c r="R45" i="7"/>
  <c r="B44" i="8"/>
  <c r="L45" i="7"/>
  <c r="M45" i="7"/>
  <c r="L43" i="7"/>
  <c r="M43" i="7"/>
  <c r="Q43" i="7"/>
  <c r="R43" i="7"/>
  <c r="B42" i="8"/>
  <c r="Q41" i="7"/>
  <c r="R41" i="7"/>
  <c r="B40" i="8"/>
  <c r="L41" i="7"/>
  <c r="M41" i="7"/>
  <c r="L39" i="7"/>
  <c r="M39" i="7"/>
  <c r="Q39" i="7"/>
  <c r="R39" i="7"/>
  <c r="B38" i="8"/>
  <c r="L37" i="7"/>
  <c r="M37" i="7"/>
  <c r="Q37" i="7"/>
  <c r="R37" i="7"/>
  <c r="B36" i="8"/>
  <c r="Q35" i="7"/>
  <c r="R35" i="7"/>
  <c r="B34" i="8"/>
  <c r="L35" i="7"/>
  <c r="M35" i="7"/>
  <c r="Q33" i="7"/>
  <c r="R33" i="7"/>
  <c r="B32" i="8"/>
  <c r="L33" i="7"/>
  <c r="M33" i="7"/>
  <c r="L31" i="7"/>
  <c r="M31" i="7"/>
  <c r="Q31" i="7"/>
  <c r="R31" i="7"/>
  <c r="B30" i="8"/>
  <c r="Q29" i="7"/>
  <c r="R29" i="7"/>
  <c r="B28" i="8"/>
  <c r="L29" i="7"/>
  <c r="M29" i="7"/>
  <c r="L27" i="7"/>
  <c r="M27" i="7"/>
  <c r="Q27" i="7"/>
  <c r="R27" i="7"/>
  <c r="B26" i="8"/>
  <c r="Q25" i="7"/>
  <c r="R25" i="7"/>
  <c r="B24" i="8"/>
  <c r="L25" i="7"/>
  <c r="M25" i="7"/>
  <c r="L23" i="7"/>
  <c r="M23" i="7"/>
  <c r="Q23" i="7"/>
  <c r="R23" i="7"/>
  <c r="B22" i="8"/>
  <c r="Q21" i="7"/>
  <c r="R21" i="7"/>
  <c r="B20" i="8"/>
  <c r="L21" i="7"/>
  <c r="M21" i="7"/>
  <c r="Q19" i="7"/>
  <c r="R19" i="7"/>
  <c r="B18" i="8"/>
  <c r="L19" i="7"/>
  <c r="M19" i="7"/>
  <c r="L17" i="7"/>
  <c r="M17" i="7"/>
  <c r="Q17" i="7"/>
  <c r="R17" i="7"/>
  <c r="B16" i="8"/>
  <c r="L15" i="7"/>
  <c r="M15" i="7"/>
  <c r="Q15" i="7"/>
  <c r="R15" i="7"/>
  <c r="B14" i="8"/>
  <c r="L13" i="7"/>
  <c r="M13" i="7"/>
  <c r="Q13" i="7"/>
  <c r="R13" i="7"/>
  <c r="B12" i="8"/>
  <c r="Q11" i="7"/>
  <c r="R11" i="7"/>
  <c r="B10" i="8"/>
  <c r="L11" i="7"/>
  <c r="M11" i="7"/>
  <c r="Q9" i="7"/>
  <c r="R9" i="7"/>
  <c r="B8" i="8"/>
  <c r="L9" i="7"/>
  <c r="M9" i="7"/>
  <c r="Q7" i="7"/>
  <c r="R7" i="7"/>
  <c r="B6" i="8"/>
  <c r="L7" i="7"/>
  <c r="M7" i="7"/>
  <c r="Q5" i="7"/>
  <c r="R5" i="7"/>
  <c r="B4" i="8"/>
  <c r="L5" i="7"/>
  <c r="M5" i="7"/>
  <c r="G4" i="12"/>
  <c r="H4" i="12"/>
  <c r="G6" i="12"/>
  <c r="H6" i="12"/>
  <c r="G9" i="12"/>
  <c r="H9" i="12"/>
  <c r="G11" i="12"/>
  <c r="H11" i="12"/>
  <c r="G13" i="12"/>
  <c r="H13" i="12"/>
  <c r="G15" i="12"/>
  <c r="H15" i="12"/>
  <c r="G16" i="12"/>
  <c r="H16" i="12"/>
  <c r="G18" i="12"/>
  <c r="H18" i="12"/>
  <c r="G22" i="12"/>
  <c r="H22" i="12"/>
  <c r="G26" i="12"/>
  <c r="H26" i="12"/>
  <c r="G28" i="12"/>
  <c r="H28" i="12"/>
  <c r="G30" i="12"/>
  <c r="H30" i="12"/>
  <c r="G32" i="12"/>
  <c r="H32" i="12"/>
  <c r="G34" i="12"/>
  <c r="H34" i="12"/>
  <c r="G36" i="12"/>
  <c r="H36" i="12"/>
  <c r="G38" i="12"/>
  <c r="H38" i="12"/>
  <c r="G40" i="12"/>
  <c r="H40" i="12"/>
  <c r="G42" i="12"/>
  <c r="H42" i="12"/>
  <c r="G44" i="12"/>
  <c r="H44" i="12"/>
  <c r="G46" i="12"/>
  <c r="H46" i="12"/>
  <c r="G50" i="12"/>
  <c r="H50" i="12"/>
  <c r="G48" i="12"/>
  <c r="H48" i="12"/>
  <c r="G52" i="12"/>
  <c r="H52" i="12"/>
  <c r="G3" i="10"/>
  <c r="H3" i="10"/>
  <c r="G6" i="10"/>
  <c r="H6" i="10"/>
  <c r="G7" i="10"/>
  <c r="H7" i="10"/>
  <c r="G9" i="10"/>
  <c r="H9" i="10"/>
  <c r="G11" i="10"/>
  <c r="H11" i="10"/>
  <c r="G13" i="10"/>
  <c r="H13" i="10"/>
  <c r="G15" i="10"/>
  <c r="H15" i="10"/>
  <c r="G18" i="10"/>
  <c r="H18" i="10"/>
  <c r="G22" i="10"/>
  <c r="H22" i="10"/>
  <c r="G26" i="10"/>
  <c r="H26" i="10"/>
  <c r="G28" i="10"/>
  <c r="H28" i="10"/>
  <c r="G30" i="10"/>
  <c r="H30" i="10"/>
  <c r="G32" i="10"/>
  <c r="H32" i="10"/>
  <c r="G34" i="10"/>
  <c r="H34" i="10"/>
  <c r="G36" i="10"/>
  <c r="H36" i="10"/>
  <c r="G38" i="10"/>
  <c r="H38" i="10"/>
  <c r="G40" i="10"/>
  <c r="H40" i="10"/>
  <c r="G42" i="10"/>
  <c r="H42" i="10"/>
  <c r="G44" i="10"/>
  <c r="H44" i="10"/>
  <c r="G46" i="10"/>
  <c r="H46" i="10"/>
  <c r="G50" i="10"/>
  <c r="H50" i="10"/>
  <c r="G52" i="10"/>
  <c r="H52" i="10"/>
  <c r="Z60" i="8"/>
  <c r="Q52" i="15"/>
  <c r="R52" i="15"/>
  <c r="I51" i="8"/>
  <c r="G52" i="13"/>
  <c r="H52" i="13"/>
  <c r="G5" i="13"/>
  <c r="H5" i="13"/>
  <c r="G6" i="13"/>
  <c r="H6" i="13"/>
  <c r="G8" i="13"/>
  <c r="H8" i="13"/>
  <c r="G10" i="13"/>
  <c r="H10" i="13"/>
  <c r="G12" i="13"/>
  <c r="H12" i="13"/>
  <c r="G14" i="13"/>
  <c r="H14" i="13"/>
  <c r="G17" i="13"/>
  <c r="H17" i="13"/>
  <c r="G19" i="13"/>
  <c r="H19" i="13"/>
  <c r="G21" i="13"/>
  <c r="H21" i="13"/>
  <c r="G25" i="13"/>
  <c r="H25" i="13"/>
  <c r="G27" i="13"/>
  <c r="H27" i="13"/>
  <c r="G29" i="13"/>
  <c r="H29" i="13"/>
  <c r="G31" i="13"/>
  <c r="H31" i="13"/>
  <c r="G33" i="13"/>
  <c r="H33" i="13"/>
  <c r="G35" i="13"/>
  <c r="H35" i="13"/>
  <c r="G37" i="13"/>
  <c r="H37" i="13"/>
  <c r="G39" i="13"/>
  <c r="H39" i="13"/>
  <c r="G41" i="13"/>
  <c r="H41" i="13"/>
  <c r="G43" i="13"/>
  <c r="H43" i="13"/>
  <c r="G45" i="13"/>
  <c r="H45" i="13"/>
  <c r="G47" i="13"/>
  <c r="H47" i="13"/>
  <c r="G49" i="13"/>
  <c r="H49" i="13"/>
  <c r="G51" i="13"/>
  <c r="H51" i="13"/>
  <c r="G53" i="13"/>
  <c r="H53" i="13"/>
  <c r="G8" i="11"/>
  <c r="H8" i="11"/>
  <c r="G10" i="11"/>
  <c r="H10" i="11"/>
  <c r="G12" i="11"/>
  <c r="H12" i="11"/>
  <c r="G14" i="11"/>
  <c r="H14" i="11"/>
  <c r="G16" i="11"/>
  <c r="H16" i="11"/>
  <c r="G17" i="11"/>
  <c r="H17" i="11"/>
  <c r="G19" i="11"/>
  <c r="H19" i="11"/>
  <c r="G21" i="11"/>
  <c r="H21" i="11"/>
  <c r="G24" i="11"/>
  <c r="H24" i="11"/>
  <c r="G23" i="11"/>
  <c r="H23" i="11"/>
  <c r="G25" i="11"/>
  <c r="H25" i="11"/>
  <c r="G27" i="11"/>
  <c r="H27" i="11"/>
  <c r="G29" i="11"/>
  <c r="H29" i="11"/>
  <c r="G31" i="11"/>
  <c r="H31" i="11"/>
  <c r="G33" i="11"/>
  <c r="H33" i="11"/>
  <c r="G35" i="11"/>
  <c r="H35" i="11"/>
  <c r="G37" i="11"/>
  <c r="H37" i="11"/>
  <c r="G39" i="11"/>
  <c r="H39" i="11"/>
  <c r="G41" i="11"/>
  <c r="H41" i="11"/>
  <c r="G43" i="11"/>
  <c r="H43" i="11"/>
  <c r="G45" i="11"/>
  <c r="H45" i="11"/>
  <c r="G47" i="11"/>
  <c r="H47" i="11"/>
  <c r="G49" i="11"/>
  <c r="H49" i="11"/>
  <c r="G51" i="11"/>
  <c r="H51" i="11"/>
  <c r="G53" i="11"/>
  <c r="H53" i="11"/>
  <c r="G4" i="9"/>
  <c r="H4" i="9"/>
  <c r="G5" i="9"/>
  <c r="H5" i="9"/>
  <c r="G8" i="9"/>
  <c r="H8" i="9"/>
  <c r="G10" i="9"/>
  <c r="H10" i="9"/>
  <c r="G12" i="9"/>
  <c r="H12" i="9"/>
  <c r="G14" i="9"/>
  <c r="H14" i="9"/>
  <c r="G17" i="9"/>
  <c r="H17" i="9"/>
  <c r="G19" i="9"/>
  <c r="H19" i="9"/>
  <c r="G21" i="9"/>
  <c r="H21" i="9"/>
  <c r="G23" i="9"/>
  <c r="H23" i="9"/>
  <c r="G25" i="9"/>
  <c r="H25" i="9"/>
  <c r="G27" i="9"/>
  <c r="H27" i="9"/>
  <c r="G29" i="9"/>
  <c r="H29" i="9"/>
  <c r="G33" i="9"/>
  <c r="H33" i="9"/>
  <c r="G35" i="9"/>
  <c r="H35" i="9"/>
  <c r="G37" i="9"/>
  <c r="H37" i="9"/>
  <c r="G39" i="9"/>
  <c r="H39" i="9"/>
  <c r="G41" i="9"/>
  <c r="H41" i="9"/>
  <c r="G43" i="9"/>
  <c r="H43" i="9"/>
  <c r="G45" i="9"/>
  <c r="H45" i="9"/>
  <c r="G47" i="9"/>
  <c r="H47" i="9"/>
  <c r="G49" i="9"/>
  <c r="H49" i="9"/>
  <c r="G51" i="9"/>
  <c r="H51" i="9"/>
  <c r="G53" i="9"/>
  <c r="H53" i="9"/>
  <c r="Q53" i="16"/>
  <c r="R53" i="16"/>
  <c r="J52" i="8"/>
  <c r="L53" i="16"/>
  <c r="M53" i="16"/>
  <c r="Q53" i="14"/>
  <c r="R53" i="14"/>
  <c r="H52" i="8"/>
  <c r="G53" i="12"/>
  <c r="H53" i="12"/>
  <c r="G53" i="10"/>
  <c r="H53" i="10"/>
  <c r="Q51" i="14"/>
  <c r="R51" i="14"/>
  <c r="H50" i="8"/>
  <c r="G3" i="14"/>
  <c r="H3" i="14"/>
  <c r="G4" i="14"/>
  <c r="H4" i="14"/>
  <c r="G7" i="14"/>
  <c r="H7" i="14"/>
  <c r="G11" i="14"/>
  <c r="H11" i="14"/>
  <c r="G15" i="14"/>
  <c r="H15" i="14"/>
  <c r="G16" i="14"/>
  <c r="H16" i="14"/>
  <c r="G18" i="14"/>
  <c r="H18" i="14"/>
  <c r="G20" i="14"/>
  <c r="H20" i="14"/>
  <c r="G22" i="14"/>
  <c r="H22" i="14"/>
  <c r="G24" i="14"/>
  <c r="H24" i="14"/>
  <c r="G26" i="14"/>
  <c r="H26" i="14"/>
  <c r="G28" i="14"/>
  <c r="H28" i="14"/>
  <c r="G32" i="14"/>
  <c r="H32" i="14"/>
  <c r="G34" i="14"/>
  <c r="H34" i="14"/>
  <c r="G36" i="14"/>
  <c r="H36" i="14"/>
  <c r="G38" i="14"/>
  <c r="H38" i="14"/>
  <c r="G40" i="14"/>
  <c r="H40" i="14"/>
  <c r="G42" i="14"/>
  <c r="H42" i="14"/>
  <c r="G44" i="14"/>
  <c r="H44" i="14"/>
  <c r="G4" i="16"/>
  <c r="H4" i="16"/>
  <c r="G7" i="16"/>
  <c r="H7" i="16"/>
  <c r="G9" i="16"/>
  <c r="H9" i="16"/>
  <c r="G13" i="16"/>
  <c r="H13" i="16"/>
  <c r="G15" i="16"/>
  <c r="H15" i="16"/>
  <c r="G16" i="16"/>
  <c r="H16" i="16"/>
  <c r="G18" i="16"/>
  <c r="H18" i="16"/>
  <c r="G20" i="16"/>
  <c r="H20" i="16"/>
  <c r="G26" i="16"/>
  <c r="H26" i="16"/>
  <c r="G28" i="16"/>
  <c r="H28" i="16"/>
  <c r="G30" i="16"/>
  <c r="H30" i="16"/>
  <c r="G32" i="16"/>
  <c r="H32" i="16"/>
  <c r="G34" i="16"/>
  <c r="H34" i="16"/>
  <c r="G36" i="16"/>
  <c r="H36" i="16"/>
  <c r="G38" i="16"/>
  <c r="H38" i="16"/>
  <c r="G40" i="16"/>
  <c r="H40" i="16"/>
  <c r="G42" i="16"/>
  <c r="H42" i="16"/>
  <c r="G44" i="16"/>
  <c r="H44" i="16"/>
  <c r="G53" i="15"/>
  <c r="H53" i="15"/>
  <c r="G52" i="16"/>
  <c r="H52" i="16"/>
  <c r="G52" i="14"/>
  <c r="H52" i="14"/>
  <c r="G50" i="15"/>
  <c r="H50" i="15"/>
  <c r="G50" i="13"/>
  <c r="H50" i="13"/>
  <c r="G50" i="11"/>
  <c r="H50" i="11"/>
  <c r="G50" i="9"/>
  <c r="H50" i="9"/>
  <c r="G49" i="16"/>
  <c r="H49" i="16"/>
  <c r="G49" i="14"/>
  <c r="H49" i="14"/>
  <c r="G49" i="12"/>
  <c r="H49" i="12"/>
  <c r="G48" i="16"/>
  <c r="H48" i="16"/>
  <c r="G48" i="14"/>
  <c r="H48" i="14"/>
  <c r="G48" i="11"/>
  <c r="H48" i="11"/>
  <c r="G48" i="9"/>
  <c r="H48" i="9"/>
  <c r="G46" i="15"/>
  <c r="H46" i="15"/>
  <c r="G46" i="13"/>
  <c r="H46" i="13"/>
  <c r="G46" i="11"/>
  <c r="H46" i="11"/>
  <c r="G46" i="9"/>
  <c r="H46" i="9"/>
  <c r="G44" i="15"/>
  <c r="H44" i="15"/>
  <c r="G44" i="13"/>
  <c r="H44" i="13"/>
  <c r="G44" i="11"/>
  <c r="H44" i="11"/>
  <c r="G44" i="9"/>
  <c r="H44" i="9"/>
  <c r="G42" i="15"/>
  <c r="H42" i="15"/>
  <c r="G42" i="13"/>
  <c r="H42" i="13"/>
  <c r="G42" i="11"/>
  <c r="H42" i="11"/>
  <c r="G40" i="13"/>
  <c r="H40" i="13"/>
  <c r="G40" i="11"/>
  <c r="H40" i="11"/>
  <c r="G38" i="13"/>
  <c r="H38" i="13"/>
  <c r="G38" i="9"/>
  <c r="H38" i="9"/>
  <c r="G36" i="15"/>
  <c r="H36" i="15"/>
  <c r="G36" i="13"/>
  <c r="H36" i="13"/>
  <c r="G5" i="15"/>
  <c r="H5" i="15"/>
  <c r="G8" i="15"/>
  <c r="H8" i="15"/>
  <c r="G10" i="15"/>
  <c r="H10" i="15"/>
  <c r="G12" i="15"/>
  <c r="H12" i="15"/>
  <c r="G17" i="15"/>
  <c r="H17" i="15"/>
  <c r="G19" i="15"/>
  <c r="H19" i="15"/>
  <c r="G21" i="15"/>
  <c r="H21" i="15"/>
  <c r="G23" i="15"/>
  <c r="H23" i="15"/>
  <c r="G25" i="15"/>
  <c r="H25" i="15"/>
  <c r="G27" i="15"/>
  <c r="H27" i="15"/>
  <c r="G29" i="15"/>
  <c r="H29" i="15"/>
  <c r="G31" i="15"/>
  <c r="H31" i="15"/>
  <c r="G33" i="15"/>
  <c r="H33" i="15"/>
  <c r="G35" i="15"/>
  <c r="H35" i="15"/>
  <c r="G37" i="15"/>
  <c r="H37" i="15"/>
  <c r="G39" i="15"/>
  <c r="H39" i="15"/>
  <c r="G41" i="15"/>
  <c r="H41" i="15"/>
  <c r="G43" i="15"/>
  <c r="H43" i="15"/>
  <c r="G45" i="15"/>
  <c r="H45" i="15"/>
  <c r="G47" i="15"/>
  <c r="H47" i="15"/>
  <c r="G51" i="12"/>
  <c r="H51" i="12"/>
  <c r="G51" i="10"/>
  <c r="H51" i="10"/>
  <c r="G50" i="16"/>
  <c r="H50" i="16"/>
  <c r="G50" i="14"/>
  <c r="H50" i="14"/>
  <c r="G49" i="15"/>
  <c r="H49" i="15"/>
  <c r="G48" i="15"/>
  <c r="H48" i="15"/>
  <c r="G48" i="13"/>
  <c r="H48" i="13"/>
  <c r="G47" i="16"/>
  <c r="H47" i="16"/>
  <c r="G47" i="14"/>
  <c r="H47" i="14"/>
  <c r="G47" i="12"/>
  <c r="H47" i="12"/>
  <c r="G47" i="10"/>
  <c r="H47" i="10"/>
  <c r="G45" i="16"/>
  <c r="H45" i="16"/>
  <c r="G45" i="14"/>
  <c r="H45" i="14"/>
  <c r="G45" i="12"/>
  <c r="H45" i="12"/>
  <c r="G45" i="10"/>
  <c r="H45" i="10"/>
  <c r="G43" i="16"/>
  <c r="H43" i="16"/>
  <c r="G43" i="14"/>
  <c r="H43" i="14"/>
  <c r="G43" i="12"/>
  <c r="H43" i="12"/>
  <c r="G43" i="10"/>
  <c r="H43" i="10"/>
  <c r="G41" i="16"/>
  <c r="H41" i="16"/>
  <c r="G41" i="14"/>
  <c r="H41" i="14"/>
  <c r="G41" i="12"/>
  <c r="H41" i="12"/>
  <c r="G41" i="10"/>
  <c r="H41" i="10"/>
  <c r="G39" i="16"/>
  <c r="H39" i="16"/>
  <c r="G39" i="14"/>
  <c r="H39" i="14"/>
  <c r="G39" i="12"/>
  <c r="H39" i="12"/>
  <c r="G39" i="10"/>
  <c r="H39" i="10"/>
  <c r="G37" i="16"/>
  <c r="H37" i="16"/>
  <c r="G37" i="14"/>
  <c r="H37" i="14"/>
  <c r="G37" i="12"/>
  <c r="H37" i="12"/>
  <c r="G37" i="10"/>
  <c r="H37" i="10"/>
  <c r="G34" i="15"/>
  <c r="H34" i="15"/>
  <c r="G34" i="13"/>
  <c r="H34" i="13"/>
  <c r="G34" i="11"/>
  <c r="H34" i="11"/>
  <c r="G34" i="9"/>
  <c r="H34" i="9"/>
  <c r="G32" i="15"/>
  <c r="H32" i="15"/>
  <c r="G32" i="13"/>
  <c r="H32" i="13"/>
  <c r="G32" i="11"/>
  <c r="H32" i="11"/>
  <c r="G32" i="9"/>
  <c r="H32" i="9"/>
  <c r="G30" i="15"/>
  <c r="H30" i="15"/>
  <c r="G30" i="13"/>
  <c r="H30" i="13"/>
  <c r="G30" i="11"/>
  <c r="H30" i="11"/>
  <c r="G30" i="9"/>
  <c r="H30" i="9"/>
  <c r="G28" i="15"/>
  <c r="H28" i="15"/>
  <c r="G28" i="13"/>
  <c r="H28" i="13"/>
  <c r="G28" i="11"/>
  <c r="H28" i="11"/>
  <c r="G28" i="9"/>
  <c r="H28" i="9"/>
  <c r="G26" i="15"/>
  <c r="H26" i="15"/>
  <c r="G26" i="13"/>
  <c r="H26" i="13"/>
  <c r="G26" i="11"/>
  <c r="H26" i="11"/>
  <c r="G26" i="9"/>
  <c r="H26" i="9"/>
  <c r="G24" i="15"/>
  <c r="H24" i="15"/>
  <c r="G24" i="13"/>
  <c r="H24" i="13"/>
  <c r="G36" i="11"/>
  <c r="H36" i="11"/>
  <c r="G35" i="16"/>
  <c r="H35" i="16"/>
  <c r="G35" i="14"/>
  <c r="H35" i="14"/>
  <c r="G35" i="12"/>
  <c r="H35" i="12"/>
  <c r="G35" i="10"/>
  <c r="H35" i="10"/>
  <c r="G33" i="16"/>
  <c r="H33" i="16"/>
  <c r="G33" i="14"/>
  <c r="H33" i="14"/>
  <c r="G33" i="12"/>
  <c r="H33" i="12"/>
  <c r="G33" i="10"/>
  <c r="H33" i="10"/>
  <c r="G31" i="16"/>
  <c r="H31" i="16"/>
  <c r="G31" i="14"/>
  <c r="H31" i="14"/>
  <c r="G31" i="12"/>
  <c r="H31" i="12"/>
  <c r="G31" i="10"/>
  <c r="H31" i="10"/>
  <c r="G29" i="16"/>
  <c r="H29" i="16"/>
  <c r="G29" i="14"/>
  <c r="H29" i="14"/>
  <c r="G29" i="12"/>
  <c r="H29" i="12"/>
  <c r="G29" i="10"/>
  <c r="H29" i="10"/>
  <c r="G27" i="16"/>
  <c r="H27" i="16"/>
  <c r="G27" i="14"/>
  <c r="H27" i="14"/>
  <c r="G27" i="12"/>
  <c r="H27" i="12"/>
  <c r="G27" i="10"/>
  <c r="H27" i="10"/>
  <c r="G25" i="16"/>
  <c r="H25" i="16"/>
  <c r="G25" i="14"/>
  <c r="H25" i="14"/>
  <c r="G25" i="12"/>
  <c r="H25" i="12"/>
  <c r="G25" i="10"/>
  <c r="H25" i="10"/>
  <c r="G24" i="12"/>
  <c r="H24" i="12"/>
  <c r="G24" i="10"/>
  <c r="H24" i="10"/>
  <c r="G22" i="15"/>
  <c r="H22" i="15"/>
  <c r="G22" i="13"/>
  <c r="H22" i="13"/>
  <c r="G22" i="11"/>
  <c r="H22" i="11"/>
  <c r="G22" i="9"/>
  <c r="H22" i="9"/>
  <c r="G20" i="15"/>
  <c r="H20" i="15"/>
  <c r="G20" i="13"/>
  <c r="H20" i="13"/>
  <c r="G20" i="11"/>
  <c r="H20" i="11"/>
  <c r="G20" i="9"/>
  <c r="H20" i="9"/>
  <c r="G18" i="15"/>
  <c r="H18" i="15"/>
  <c r="G18" i="13"/>
  <c r="H18" i="13"/>
  <c r="G18" i="11"/>
  <c r="H18" i="11"/>
  <c r="G18" i="9"/>
  <c r="H18" i="9"/>
  <c r="G16" i="15"/>
  <c r="H16" i="15"/>
  <c r="G16" i="13"/>
  <c r="H16" i="13"/>
  <c r="G24" i="9"/>
  <c r="H24" i="9"/>
  <c r="G23" i="16"/>
  <c r="H23" i="16"/>
  <c r="G23" i="14"/>
  <c r="H23" i="14"/>
  <c r="G23" i="12"/>
  <c r="H23" i="12"/>
  <c r="G23" i="10"/>
  <c r="H23" i="10"/>
  <c r="G21" i="16"/>
  <c r="H21" i="16"/>
  <c r="G21" i="14"/>
  <c r="H21" i="14"/>
  <c r="G21" i="12"/>
  <c r="H21" i="12"/>
  <c r="G21" i="10"/>
  <c r="H21" i="10"/>
  <c r="G19" i="14"/>
  <c r="H19" i="14"/>
  <c r="G19" i="12"/>
  <c r="H19" i="12"/>
  <c r="G19" i="10"/>
  <c r="H19" i="10"/>
  <c r="G17" i="16"/>
  <c r="H17" i="16"/>
  <c r="G17" i="12"/>
  <c r="H17" i="12"/>
  <c r="G17" i="10"/>
  <c r="H17" i="10"/>
  <c r="G15" i="15"/>
  <c r="H15" i="15"/>
  <c r="G15" i="11"/>
  <c r="H15" i="11"/>
  <c r="G15" i="9"/>
  <c r="H15" i="9"/>
  <c r="G14" i="14"/>
  <c r="H14" i="14"/>
  <c r="G13" i="15"/>
  <c r="H13" i="15"/>
  <c r="G13" i="13"/>
  <c r="H13" i="13"/>
  <c r="G13" i="11"/>
  <c r="H13" i="11"/>
  <c r="G11" i="15"/>
  <c r="H11" i="15"/>
  <c r="G11" i="13"/>
  <c r="H11" i="13"/>
  <c r="G11" i="11"/>
  <c r="H11" i="11"/>
  <c r="G11" i="9"/>
  <c r="H11" i="9"/>
  <c r="G16" i="10"/>
  <c r="H16" i="10"/>
  <c r="G14" i="12"/>
  <c r="H14" i="12"/>
  <c r="G14" i="10"/>
  <c r="H14" i="10"/>
  <c r="G12" i="16"/>
  <c r="H12" i="16"/>
  <c r="G12" i="14"/>
  <c r="H12" i="14"/>
  <c r="G12" i="10"/>
  <c r="H12" i="10"/>
  <c r="G10" i="16"/>
  <c r="H10" i="16"/>
  <c r="G10" i="14"/>
  <c r="H10" i="14"/>
  <c r="G10" i="12"/>
  <c r="H10" i="12"/>
  <c r="G10" i="10"/>
  <c r="H10" i="10"/>
  <c r="G9" i="15"/>
  <c r="H9" i="15"/>
  <c r="G9" i="13"/>
  <c r="H9" i="13"/>
  <c r="G9" i="11"/>
  <c r="H9" i="11"/>
  <c r="G9" i="9"/>
  <c r="H9" i="9"/>
  <c r="G7" i="15"/>
  <c r="H7" i="15"/>
  <c r="G7" i="13"/>
  <c r="H7" i="13"/>
  <c r="G7" i="11"/>
  <c r="H7" i="11"/>
  <c r="G8" i="16"/>
  <c r="H8" i="16"/>
  <c r="G8" i="14"/>
  <c r="H8" i="14"/>
  <c r="G8" i="12"/>
  <c r="H8" i="12"/>
  <c r="G8" i="10"/>
  <c r="H8" i="10"/>
  <c r="G6" i="14"/>
  <c r="H6" i="14"/>
  <c r="G6" i="9"/>
  <c r="H6" i="9"/>
  <c r="G4" i="15"/>
  <c r="H4" i="15"/>
  <c r="G4" i="13"/>
  <c r="H4" i="13"/>
  <c r="G4" i="11"/>
  <c r="H4" i="11"/>
  <c r="G3" i="13"/>
  <c r="H3" i="13"/>
  <c r="G3" i="11"/>
  <c r="H3" i="11"/>
  <c r="G6" i="11"/>
  <c r="H6" i="11"/>
  <c r="G5" i="16"/>
  <c r="H5" i="16"/>
  <c r="G5" i="12"/>
  <c r="H5" i="12"/>
  <c r="G5" i="10"/>
  <c r="H5" i="10"/>
  <c r="Q51" i="15"/>
  <c r="R51" i="15"/>
  <c r="I50" i="8"/>
  <c r="T50" i="8"/>
  <c r="Q5" i="14"/>
  <c r="R5" i="14"/>
  <c r="H4" i="8"/>
  <c r="L5" i="14"/>
  <c r="M5" i="14"/>
  <c r="Q3" i="15"/>
  <c r="R3" i="15"/>
  <c r="I2" i="8"/>
  <c r="L3" i="15"/>
  <c r="M3" i="15"/>
  <c r="Q6" i="9"/>
  <c r="R6" i="9"/>
  <c r="C5" i="8"/>
  <c r="L6" i="9"/>
  <c r="M6" i="9"/>
  <c r="Q8" i="12"/>
  <c r="R8" i="12"/>
  <c r="F7" i="8"/>
  <c r="L8" i="12"/>
  <c r="M8" i="12"/>
  <c r="Q7" i="15"/>
  <c r="R7" i="15"/>
  <c r="I6" i="8"/>
  <c r="L7" i="15"/>
  <c r="M7" i="15"/>
  <c r="Q9" i="15"/>
  <c r="R9" i="15"/>
  <c r="I8" i="8"/>
  <c r="L9" i="15"/>
  <c r="M9" i="15"/>
  <c r="Q12" i="12"/>
  <c r="R12" i="12"/>
  <c r="F11" i="8"/>
  <c r="L12" i="12"/>
  <c r="M12" i="12"/>
  <c r="Q14" i="12"/>
  <c r="R14" i="12"/>
  <c r="F13" i="8"/>
  <c r="L14" i="12"/>
  <c r="M14" i="12"/>
  <c r="Q11" i="13"/>
  <c r="R11" i="13"/>
  <c r="G10" i="8"/>
  <c r="L11" i="13"/>
  <c r="M11" i="13"/>
  <c r="Q14" i="14"/>
  <c r="R14" i="14"/>
  <c r="H13" i="8"/>
  <c r="L14" i="14"/>
  <c r="M14" i="14"/>
  <c r="Q15" i="13"/>
  <c r="R15" i="13"/>
  <c r="G14" i="8"/>
  <c r="L15" i="13"/>
  <c r="M15" i="13"/>
  <c r="Q17" i="14"/>
  <c r="R17" i="14"/>
  <c r="H16" i="8"/>
  <c r="L17" i="14"/>
  <c r="M17" i="14"/>
  <c r="Q19" i="14"/>
  <c r="R19" i="14"/>
  <c r="H18" i="8"/>
  <c r="L19" i="14"/>
  <c r="M19" i="14"/>
  <c r="Q21" i="14"/>
  <c r="R21" i="14"/>
  <c r="H20" i="8"/>
  <c r="L21" i="14"/>
  <c r="M21" i="14"/>
  <c r="Q23" i="10"/>
  <c r="R23" i="10"/>
  <c r="D22" i="8"/>
  <c r="L23" i="10"/>
  <c r="M23" i="10"/>
  <c r="Q23" i="14"/>
  <c r="R23" i="14"/>
  <c r="H22" i="8"/>
  <c r="L23" i="14"/>
  <c r="M23" i="14"/>
  <c r="Q24" i="9"/>
  <c r="R24" i="9"/>
  <c r="C23" i="8"/>
  <c r="L24" i="9"/>
  <c r="M24" i="9"/>
  <c r="Q16" i="15"/>
  <c r="R16" i="15"/>
  <c r="I15" i="8"/>
  <c r="L16" i="15"/>
  <c r="M16" i="15"/>
  <c r="Q18" i="11"/>
  <c r="R18" i="11"/>
  <c r="E17" i="8"/>
  <c r="L18" i="11"/>
  <c r="M18" i="11"/>
  <c r="Q18" i="15"/>
  <c r="R18" i="15"/>
  <c r="I17" i="8"/>
  <c r="L18" i="15"/>
  <c r="M18" i="15"/>
  <c r="Q20" i="11"/>
  <c r="R20" i="11"/>
  <c r="E19" i="8"/>
  <c r="L20" i="11"/>
  <c r="M20" i="11"/>
  <c r="Q20" i="15"/>
  <c r="R20" i="15"/>
  <c r="I19" i="8"/>
  <c r="L20" i="15"/>
  <c r="M20" i="15"/>
  <c r="Q22" i="11"/>
  <c r="R22" i="11"/>
  <c r="E21" i="8"/>
  <c r="L22" i="11"/>
  <c r="M22" i="11"/>
  <c r="Q22" i="15"/>
  <c r="R22" i="15"/>
  <c r="I21" i="8"/>
  <c r="L22" i="15"/>
  <c r="M22" i="15"/>
  <c r="Q24" i="12"/>
  <c r="R24" i="12"/>
  <c r="F23" i="8"/>
  <c r="L24" i="12"/>
  <c r="M24" i="12"/>
  <c r="Q25" i="12"/>
  <c r="R25" i="12"/>
  <c r="F24" i="8"/>
  <c r="L25" i="12"/>
  <c r="M25" i="12"/>
  <c r="Q25" i="16"/>
  <c r="R25" i="16"/>
  <c r="J24" i="8"/>
  <c r="L25" i="16"/>
  <c r="M25" i="16"/>
  <c r="Q27" i="12"/>
  <c r="R27" i="12"/>
  <c r="F26" i="8"/>
  <c r="L27" i="12"/>
  <c r="M27" i="12"/>
  <c r="Q27" i="16"/>
  <c r="R27" i="16"/>
  <c r="J26" i="8"/>
  <c r="L27" i="16"/>
  <c r="M27" i="16"/>
  <c r="Q29" i="12"/>
  <c r="R29" i="12"/>
  <c r="F28" i="8"/>
  <c r="L29" i="12"/>
  <c r="M29" i="12"/>
  <c r="Q29" i="16"/>
  <c r="R29" i="16"/>
  <c r="J28" i="8"/>
  <c r="L29" i="16"/>
  <c r="M29" i="16"/>
  <c r="Q31" i="12"/>
  <c r="R31" i="12"/>
  <c r="F30" i="8"/>
  <c r="L31" i="12"/>
  <c r="M31" i="12"/>
  <c r="Q31" i="16"/>
  <c r="R31" i="16"/>
  <c r="J30" i="8"/>
  <c r="L31" i="16"/>
  <c r="M31" i="16"/>
  <c r="Q33" i="12"/>
  <c r="R33" i="12"/>
  <c r="F32" i="8"/>
  <c r="L33" i="12"/>
  <c r="M33" i="12"/>
  <c r="Q33" i="16"/>
  <c r="R33" i="16"/>
  <c r="J32" i="8"/>
  <c r="L33" i="16"/>
  <c r="M33" i="16"/>
  <c r="Q35" i="12"/>
  <c r="R35" i="12"/>
  <c r="F34" i="8"/>
  <c r="L35" i="12"/>
  <c r="M35" i="12"/>
  <c r="Q35" i="16"/>
  <c r="R35" i="16"/>
  <c r="J34" i="8"/>
  <c r="L35" i="16"/>
  <c r="M35" i="16"/>
  <c r="Q36" i="11"/>
  <c r="R36" i="11"/>
  <c r="E35" i="8"/>
  <c r="L36" i="11"/>
  <c r="M36" i="11"/>
  <c r="Q24" i="15"/>
  <c r="R24" i="15"/>
  <c r="I23" i="8"/>
  <c r="L24" i="15"/>
  <c r="M24" i="15"/>
  <c r="Q26" i="11"/>
  <c r="R26" i="11"/>
  <c r="E25" i="8"/>
  <c r="L26" i="11"/>
  <c r="M26" i="11"/>
  <c r="Q26" i="15"/>
  <c r="R26" i="15"/>
  <c r="I25" i="8"/>
  <c r="L26" i="15"/>
  <c r="M26" i="15"/>
  <c r="Q28" i="11"/>
  <c r="R28" i="11"/>
  <c r="E27" i="8"/>
  <c r="L28" i="11"/>
  <c r="M28" i="11"/>
  <c r="Q28" i="15"/>
  <c r="R28" i="15"/>
  <c r="I27" i="8"/>
  <c r="L28" i="15"/>
  <c r="M28" i="15"/>
  <c r="Q30" i="11"/>
  <c r="R30" i="11"/>
  <c r="E29" i="8"/>
  <c r="L30" i="11"/>
  <c r="M30" i="11"/>
  <c r="Q30" i="15"/>
  <c r="R30" i="15"/>
  <c r="I29" i="8"/>
  <c r="L30" i="15"/>
  <c r="M30" i="15"/>
  <c r="Q32" i="11"/>
  <c r="R32" i="11"/>
  <c r="E31" i="8"/>
  <c r="L32" i="11"/>
  <c r="M32" i="11"/>
  <c r="Q32" i="15"/>
  <c r="R32" i="15"/>
  <c r="I31" i="8"/>
  <c r="L32" i="15"/>
  <c r="M32" i="15"/>
  <c r="Q34" i="11"/>
  <c r="R34" i="11"/>
  <c r="E33" i="8"/>
  <c r="L34" i="11"/>
  <c r="M34" i="11"/>
  <c r="Q34" i="15"/>
  <c r="R34" i="15"/>
  <c r="I33" i="8"/>
  <c r="L34" i="15"/>
  <c r="M34" i="15"/>
  <c r="Q37" i="12"/>
  <c r="R37" i="12"/>
  <c r="F36" i="8"/>
  <c r="L37" i="12"/>
  <c r="M37" i="12"/>
  <c r="Q37" i="16"/>
  <c r="R37" i="16"/>
  <c r="J36" i="8"/>
  <c r="L37" i="16"/>
  <c r="M37" i="16"/>
  <c r="Q39" i="12"/>
  <c r="R39" i="12"/>
  <c r="F38" i="8"/>
  <c r="L39" i="12"/>
  <c r="M39" i="12"/>
  <c r="Q39" i="16"/>
  <c r="R39" i="16"/>
  <c r="J38" i="8"/>
  <c r="L39" i="16"/>
  <c r="M39" i="16"/>
  <c r="Q41" i="12"/>
  <c r="R41" i="12"/>
  <c r="F40" i="8"/>
  <c r="L41" i="12"/>
  <c r="M41" i="12"/>
  <c r="Q41" i="16"/>
  <c r="R41" i="16"/>
  <c r="J40" i="8"/>
  <c r="L41" i="16"/>
  <c r="M41" i="16"/>
  <c r="Q43" i="12"/>
  <c r="R43" i="12"/>
  <c r="F42" i="8"/>
  <c r="L43" i="12"/>
  <c r="M43" i="12"/>
  <c r="Q43" i="16"/>
  <c r="R43" i="16"/>
  <c r="J42" i="8"/>
  <c r="L43" i="16"/>
  <c r="M43" i="16"/>
  <c r="Q45" i="12"/>
  <c r="R45" i="12"/>
  <c r="F44" i="8"/>
  <c r="L45" i="12"/>
  <c r="M45" i="12"/>
  <c r="Q45" i="16"/>
  <c r="R45" i="16"/>
  <c r="J44" i="8"/>
  <c r="L45" i="16"/>
  <c r="M45" i="16"/>
  <c r="Q47" i="12"/>
  <c r="R47" i="12"/>
  <c r="F46" i="8"/>
  <c r="L47" i="12"/>
  <c r="M47" i="12"/>
  <c r="Q47" i="16"/>
  <c r="R47" i="16"/>
  <c r="J46" i="8"/>
  <c r="L47" i="16"/>
  <c r="M47" i="16"/>
  <c r="Q48" i="15"/>
  <c r="R48" i="15"/>
  <c r="I47" i="8"/>
  <c r="L48" i="15"/>
  <c r="M48" i="15"/>
  <c r="Q50" i="14"/>
  <c r="R50" i="14"/>
  <c r="H49" i="8"/>
  <c r="L50" i="14"/>
  <c r="M50" i="14"/>
  <c r="Q51" i="10"/>
  <c r="R51" i="10"/>
  <c r="D50" i="8"/>
  <c r="L51" i="10"/>
  <c r="M51" i="10"/>
  <c r="Q47" i="15"/>
  <c r="R47" i="15"/>
  <c r="I46" i="8"/>
  <c r="L47" i="15"/>
  <c r="M47" i="15"/>
  <c r="Q43" i="15"/>
  <c r="R43" i="15"/>
  <c r="I42" i="8"/>
  <c r="L43" i="15"/>
  <c r="M43" i="15"/>
  <c r="Q39" i="15"/>
  <c r="R39" i="15"/>
  <c r="I38" i="8"/>
  <c r="L39" i="15"/>
  <c r="M39" i="15"/>
  <c r="Q35" i="15"/>
  <c r="R35" i="15"/>
  <c r="I34" i="8"/>
  <c r="L35" i="15"/>
  <c r="M35" i="15"/>
  <c r="Q31" i="15"/>
  <c r="R31" i="15"/>
  <c r="I30" i="8"/>
  <c r="L31" i="15"/>
  <c r="M31" i="15"/>
  <c r="Q27" i="15"/>
  <c r="R27" i="15"/>
  <c r="I26" i="8"/>
  <c r="L27" i="15"/>
  <c r="M27" i="15"/>
  <c r="Q23" i="15"/>
  <c r="R23" i="15"/>
  <c r="I22" i="8"/>
  <c r="S22" i="8"/>
  <c r="L23" i="15"/>
  <c r="M23" i="15"/>
  <c r="Q19" i="15"/>
  <c r="R19" i="15"/>
  <c r="I18" i="8"/>
  <c r="L19" i="15"/>
  <c r="M19" i="15"/>
  <c r="Q14" i="15"/>
  <c r="R14" i="15"/>
  <c r="I13" i="8"/>
  <c r="L14" i="15"/>
  <c r="M14" i="15"/>
  <c r="Q10" i="15"/>
  <c r="R10" i="15"/>
  <c r="I9" i="8"/>
  <c r="L10" i="15"/>
  <c r="M10" i="15"/>
  <c r="Q6" i="15"/>
  <c r="R6" i="15"/>
  <c r="I5" i="8"/>
  <c r="L6" i="15"/>
  <c r="M6" i="15"/>
  <c r="Q36" i="13"/>
  <c r="R36" i="13"/>
  <c r="G35" i="8"/>
  <c r="L36" i="13"/>
  <c r="M36" i="13"/>
  <c r="Q38" i="9"/>
  <c r="R38" i="9"/>
  <c r="C37" i="8"/>
  <c r="L38" i="9"/>
  <c r="M38" i="9"/>
  <c r="Q38" i="13"/>
  <c r="R38" i="13"/>
  <c r="G37" i="8"/>
  <c r="L38" i="13"/>
  <c r="M38" i="13"/>
  <c r="Q40" i="9"/>
  <c r="R40" i="9"/>
  <c r="C39" i="8"/>
  <c r="L40" i="9"/>
  <c r="M40" i="9"/>
  <c r="Q40" i="13"/>
  <c r="R40" i="13"/>
  <c r="G39" i="8"/>
  <c r="L40" i="13"/>
  <c r="M40" i="13"/>
  <c r="Q42" i="9"/>
  <c r="R42" i="9"/>
  <c r="C41" i="8"/>
  <c r="L42" i="9"/>
  <c r="M42" i="9"/>
  <c r="Q42" i="13"/>
  <c r="R42" i="13"/>
  <c r="G41" i="8"/>
  <c r="L42" i="13"/>
  <c r="M42" i="13"/>
  <c r="Q44" i="9"/>
  <c r="R44" i="9"/>
  <c r="C43" i="8"/>
  <c r="L44" i="9"/>
  <c r="M44" i="9"/>
  <c r="Q44" i="13"/>
  <c r="R44" i="13"/>
  <c r="G43" i="8"/>
  <c r="L44" i="13"/>
  <c r="M44" i="13"/>
  <c r="Q46" i="9"/>
  <c r="R46" i="9"/>
  <c r="C45" i="8"/>
  <c r="L46" i="9"/>
  <c r="M46" i="9"/>
  <c r="Q46" i="13"/>
  <c r="R46" i="13"/>
  <c r="G45" i="8"/>
  <c r="L46" i="13"/>
  <c r="M46" i="13"/>
  <c r="Q48" i="9"/>
  <c r="R48" i="9"/>
  <c r="C47" i="8"/>
  <c r="L48" i="9"/>
  <c r="M48" i="9"/>
  <c r="Q48" i="14"/>
  <c r="R48" i="14"/>
  <c r="H47" i="8"/>
  <c r="L48" i="14"/>
  <c r="M48" i="14"/>
  <c r="Q49" i="10"/>
  <c r="R49" i="10"/>
  <c r="D48" i="8"/>
  <c r="L49" i="10"/>
  <c r="M49" i="10"/>
  <c r="Q49" i="14"/>
  <c r="R49" i="14"/>
  <c r="H48" i="8"/>
  <c r="L49" i="14"/>
  <c r="M49" i="14"/>
  <c r="Q50" i="9"/>
  <c r="R50" i="9"/>
  <c r="C49" i="8"/>
  <c r="L50" i="9"/>
  <c r="M50" i="9"/>
  <c r="Q50" i="13"/>
  <c r="R50" i="13"/>
  <c r="G49" i="8"/>
  <c r="L50" i="13"/>
  <c r="M50" i="13"/>
  <c r="Q52" i="14"/>
  <c r="R52" i="14"/>
  <c r="H51" i="8"/>
  <c r="S51" i="8"/>
  <c r="L52" i="14"/>
  <c r="M52" i="14"/>
  <c r="Q53" i="15"/>
  <c r="R53" i="15"/>
  <c r="I52" i="8"/>
  <c r="S52" i="8"/>
  <c r="L53" i="15"/>
  <c r="M53" i="15"/>
  <c r="Q44" i="16"/>
  <c r="R44" i="16"/>
  <c r="J43" i="8"/>
  <c r="L44" i="16"/>
  <c r="M44" i="16"/>
  <c r="Q40" i="16"/>
  <c r="R40" i="16"/>
  <c r="J39" i="8"/>
  <c r="L40" i="16"/>
  <c r="M40" i="16"/>
  <c r="Q36" i="16"/>
  <c r="R36" i="16"/>
  <c r="J35" i="8"/>
  <c r="L36" i="16"/>
  <c r="M36" i="16"/>
  <c r="Q32" i="16"/>
  <c r="R32" i="16"/>
  <c r="J31" i="8"/>
  <c r="L32" i="16"/>
  <c r="M32" i="16"/>
  <c r="Q28" i="16"/>
  <c r="R28" i="16"/>
  <c r="J27" i="8"/>
  <c r="T27" i="8"/>
  <c r="L28" i="16"/>
  <c r="M28" i="16"/>
  <c r="Q24" i="16"/>
  <c r="R24" i="16"/>
  <c r="J23" i="8"/>
  <c r="L24" i="16"/>
  <c r="M24" i="16"/>
  <c r="Q20" i="16"/>
  <c r="R20" i="16"/>
  <c r="J19" i="8"/>
  <c r="L20" i="16"/>
  <c r="M20" i="16"/>
  <c r="Q16" i="16"/>
  <c r="R16" i="16"/>
  <c r="J15" i="8"/>
  <c r="T15" i="8"/>
  <c r="L16" i="16"/>
  <c r="M16" i="16"/>
  <c r="Q13" i="16"/>
  <c r="R13" i="16"/>
  <c r="J12" i="8"/>
  <c r="L13" i="16"/>
  <c r="M13" i="16"/>
  <c r="Q9" i="16"/>
  <c r="R9" i="16"/>
  <c r="J8" i="8"/>
  <c r="L9" i="16"/>
  <c r="M9" i="16"/>
  <c r="Q4" i="16"/>
  <c r="R4" i="16"/>
  <c r="J3" i="8"/>
  <c r="L4" i="16"/>
  <c r="M4" i="16"/>
  <c r="Q46" i="14"/>
  <c r="R46" i="14"/>
  <c r="H45" i="8"/>
  <c r="R45" i="8"/>
  <c r="L46" i="14"/>
  <c r="M46" i="14"/>
  <c r="Q42" i="14"/>
  <c r="R42" i="14"/>
  <c r="H41" i="8"/>
  <c r="L42" i="14"/>
  <c r="M42" i="14"/>
  <c r="Q38" i="14"/>
  <c r="R38" i="14"/>
  <c r="H37" i="8"/>
  <c r="L38" i="14"/>
  <c r="M38" i="14"/>
  <c r="Q34" i="14"/>
  <c r="R34" i="14"/>
  <c r="H33" i="8"/>
  <c r="L34" i="14"/>
  <c r="M34" i="14"/>
  <c r="Q30" i="14"/>
  <c r="R30" i="14"/>
  <c r="H29" i="8"/>
  <c r="L30" i="14"/>
  <c r="M30" i="14"/>
  <c r="Q26" i="14"/>
  <c r="R26" i="14"/>
  <c r="H25" i="8"/>
  <c r="L26" i="14"/>
  <c r="M26" i="14"/>
  <c r="Q22" i="14"/>
  <c r="R22" i="14"/>
  <c r="H21" i="8"/>
  <c r="L22" i="14"/>
  <c r="M22" i="14"/>
  <c r="Q18" i="14"/>
  <c r="R18" i="14"/>
  <c r="H17" i="8"/>
  <c r="L18" i="14"/>
  <c r="M18" i="14"/>
  <c r="Q15" i="14"/>
  <c r="R15" i="14"/>
  <c r="H14" i="8"/>
  <c r="L15" i="14"/>
  <c r="M15" i="14"/>
  <c r="Q11" i="14"/>
  <c r="R11" i="14"/>
  <c r="H10" i="8"/>
  <c r="L11" i="14"/>
  <c r="M11" i="14"/>
  <c r="Q7" i="14"/>
  <c r="R7" i="14"/>
  <c r="H6" i="8"/>
  <c r="L7" i="14"/>
  <c r="M7" i="14"/>
  <c r="Q3" i="14"/>
  <c r="R3" i="14"/>
  <c r="H2" i="8"/>
  <c r="L3" i="14"/>
  <c r="M3" i="14"/>
  <c r="Q53" i="12"/>
  <c r="R53" i="12"/>
  <c r="F52" i="8"/>
  <c r="L53" i="12"/>
  <c r="M53" i="12"/>
  <c r="Q51" i="9"/>
  <c r="R51" i="9"/>
  <c r="C50" i="8"/>
  <c r="L51" i="9"/>
  <c r="M51" i="9"/>
  <c r="Q47" i="9"/>
  <c r="R47" i="9"/>
  <c r="C46" i="8"/>
  <c r="L47" i="9"/>
  <c r="M47" i="9"/>
  <c r="Q43" i="9"/>
  <c r="R43" i="9"/>
  <c r="C42" i="8"/>
  <c r="L43" i="9"/>
  <c r="M43" i="9"/>
  <c r="Q39" i="9"/>
  <c r="R39" i="9"/>
  <c r="C38" i="8"/>
  <c r="L39" i="9"/>
  <c r="M39" i="9"/>
  <c r="Q35" i="9"/>
  <c r="R35" i="9"/>
  <c r="C34" i="8"/>
  <c r="L35" i="9"/>
  <c r="M35" i="9"/>
  <c r="Q31" i="9"/>
  <c r="R31" i="9"/>
  <c r="C30" i="8"/>
  <c r="L31" i="9"/>
  <c r="M31" i="9"/>
  <c r="Q27" i="9"/>
  <c r="R27" i="9"/>
  <c r="C26" i="8"/>
  <c r="L27" i="9"/>
  <c r="M27" i="9"/>
  <c r="Q23" i="9"/>
  <c r="R23" i="9"/>
  <c r="C22" i="8"/>
  <c r="L23" i="9"/>
  <c r="M23" i="9"/>
  <c r="Q19" i="9"/>
  <c r="R19" i="9"/>
  <c r="C18" i="8"/>
  <c r="L19" i="9"/>
  <c r="M19" i="9"/>
  <c r="Q16" i="9"/>
  <c r="R16" i="9"/>
  <c r="C15" i="8"/>
  <c r="L16" i="9"/>
  <c r="M16" i="9"/>
  <c r="Q12" i="9"/>
  <c r="R12" i="9"/>
  <c r="C11" i="8"/>
  <c r="L12" i="9"/>
  <c r="M12" i="9"/>
  <c r="Q8" i="9"/>
  <c r="R8" i="9"/>
  <c r="C7" i="8"/>
  <c r="L8" i="9"/>
  <c r="M8" i="9"/>
  <c r="Q4" i="9"/>
  <c r="R4" i="9"/>
  <c r="C3" i="8"/>
  <c r="L4" i="9"/>
  <c r="M4" i="9"/>
  <c r="Q51" i="11"/>
  <c r="R51" i="11"/>
  <c r="E50" i="8"/>
  <c r="L51" i="11"/>
  <c r="M51" i="11"/>
  <c r="Q47" i="11"/>
  <c r="R47" i="11"/>
  <c r="E46" i="8"/>
  <c r="L47" i="11"/>
  <c r="M47" i="11"/>
  <c r="Q43" i="11"/>
  <c r="R43" i="11"/>
  <c r="E42" i="8"/>
  <c r="L43" i="11"/>
  <c r="M43" i="11"/>
  <c r="Q39" i="11"/>
  <c r="R39" i="11"/>
  <c r="E38" i="8"/>
  <c r="L39" i="11"/>
  <c r="M39" i="11"/>
  <c r="Q35" i="11"/>
  <c r="R35" i="11"/>
  <c r="E34" i="8"/>
  <c r="L35" i="11"/>
  <c r="M35" i="11"/>
  <c r="Q31" i="11"/>
  <c r="R31" i="11"/>
  <c r="E30" i="8"/>
  <c r="L31" i="11"/>
  <c r="M31" i="11"/>
  <c r="Q27" i="11"/>
  <c r="R27" i="11"/>
  <c r="E26" i="8"/>
  <c r="L27" i="11"/>
  <c r="M27" i="11"/>
  <c r="Q23" i="11"/>
  <c r="R23" i="11"/>
  <c r="E22" i="8"/>
  <c r="L23" i="11"/>
  <c r="M23" i="11"/>
  <c r="Q21" i="11"/>
  <c r="R21" i="11"/>
  <c r="E20" i="8"/>
  <c r="L21" i="11"/>
  <c r="M21" i="11"/>
  <c r="Q17" i="11"/>
  <c r="R17" i="11"/>
  <c r="E16" i="8"/>
  <c r="L17" i="11"/>
  <c r="M17" i="11"/>
  <c r="Q14" i="11"/>
  <c r="R14" i="11"/>
  <c r="E13" i="8"/>
  <c r="L14" i="11"/>
  <c r="M14" i="11"/>
  <c r="Q10" i="11"/>
  <c r="R10" i="11"/>
  <c r="E9" i="8"/>
  <c r="L10" i="11"/>
  <c r="M10" i="11"/>
  <c r="Q5" i="11"/>
  <c r="R5" i="11"/>
  <c r="E4" i="8"/>
  <c r="L5" i="11"/>
  <c r="M5" i="11"/>
  <c r="Q51" i="13"/>
  <c r="R51" i="13"/>
  <c r="G50" i="8"/>
  <c r="R50" i="8"/>
  <c r="L51" i="13"/>
  <c r="M51" i="13"/>
  <c r="Q47" i="13"/>
  <c r="R47" i="13"/>
  <c r="G46" i="8"/>
  <c r="L47" i="13"/>
  <c r="M47" i="13"/>
  <c r="Q43" i="13"/>
  <c r="R43" i="13"/>
  <c r="G42" i="8"/>
  <c r="L43" i="13"/>
  <c r="M43" i="13"/>
  <c r="Q39" i="13"/>
  <c r="R39" i="13"/>
  <c r="G38" i="8"/>
  <c r="L39" i="13"/>
  <c r="M39" i="13"/>
  <c r="Q35" i="13"/>
  <c r="R35" i="13"/>
  <c r="G34" i="8"/>
  <c r="L35" i="13"/>
  <c r="M35" i="13"/>
  <c r="Q31" i="13"/>
  <c r="R31" i="13"/>
  <c r="G30" i="8"/>
  <c r="L31" i="13"/>
  <c r="M31" i="13"/>
  <c r="Q27" i="13"/>
  <c r="R27" i="13"/>
  <c r="G26" i="8"/>
  <c r="L27" i="13"/>
  <c r="M27" i="13"/>
  <c r="Q23" i="13"/>
  <c r="R23" i="13"/>
  <c r="G22" i="8"/>
  <c r="L23" i="13"/>
  <c r="M23" i="13"/>
  <c r="Q19" i="13"/>
  <c r="R19" i="13"/>
  <c r="G18" i="8"/>
  <c r="L19" i="13"/>
  <c r="M19" i="13"/>
  <c r="Q14" i="13"/>
  <c r="R14" i="13"/>
  <c r="G13" i="8"/>
  <c r="L14" i="13"/>
  <c r="M14" i="13"/>
  <c r="Q10" i="13"/>
  <c r="R10" i="13"/>
  <c r="G9" i="8"/>
  <c r="L10" i="13"/>
  <c r="M10" i="13"/>
  <c r="Q6" i="13"/>
  <c r="R6" i="13"/>
  <c r="G5" i="8"/>
  <c r="L6" i="13"/>
  <c r="M6" i="13"/>
  <c r="Q52" i="9"/>
  <c r="R52" i="9"/>
  <c r="C51" i="8"/>
  <c r="L52" i="9"/>
  <c r="M52" i="9"/>
  <c r="Q52" i="13"/>
  <c r="R52" i="13"/>
  <c r="G51" i="8"/>
  <c r="L52" i="13"/>
  <c r="M52" i="13"/>
  <c r="Q52" i="10"/>
  <c r="R52" i="10"/>
  <c r="D51" i="8"/>
  <c r="L52" i="10"/>
  <c r="M52" i="10"/>
  <c r="Q48" i="10"/>
  <c r="R48" i="10"/>
  <c r="D47" i="8"/>
  <c r="L48" i="10"/>
  <c r="M48" i="10"/>
  <c r="Q44" i="10"/>
  <c r="R44" i="10"/>
  <c r="D43" i="8"/>
  <c r="L44" i="10"/>
  <c r="M44" i="10"/>
  <c r="Q40" i="10"/>
  <c r="R40" i="10"/>
  <c r="D39" i="8"/>
  <c r="L40" i="10"/>
  <c r="M40" i="10"/>
  <c r="Q36" i="10"/>
  <c r="R36" i="10"/>
  <c r="D35" i="8"/>
  <c r="L36" i="10"/>
  <c r="M36" i="10"/>
  <c r="Q32" i="10"/>
  <c r="R32" i="10"/>
  <c r="D31" i="8"/>
  <c r="L32" i="10"/>
  <c r="M32" i="10"/>
  <c r="Q28" i="10"/>
  <c r="R28" i="10"/>
  <c r="D27" i="8"/>
  <c r="L28" i="10"/>
  <c r="M28" i="10"/>
  <c r="Q22" i="10"/>
  <c r="R22" i="10"/>
  <c r="D21" i="8"/>
  <c r="L22" i="10"/>
  <c r="M22" i="10"/>
  <c r="Q18" i="10"/>
  <c r="R18" i="10"/>
  <c r="D17" i="8"/>
  <c r="L18" i="10"/>
  <c r="M18" i="10"/>
  <c r="Q13" i="10"/>
  <c r="R13" i="10"/>
  <c r="D12" i="8"/>
  <c r="L13" i="10"/>
  <c r="M13" i="10"/>
  <c r="Q9" i="10"/>
  <c r="R9" i="10"/>
  <c r="D8" i="8"/>
  <c r="L9" i="10"/>
  <c r="M9" i="10"/>
  <c r="Q6" i="10"/>
  <c r="R6" i="10"/>
  <c r="D5" i="8"/>
  <c r="L6" i="10"/>
  <c r="M6" i="10"/>
  <c r="Q52" i="12"/>
  <c r="R52" i="12"/>
  <c r="F51" i="8"/>
  <c r="L52" i="12"/>
  <c r="M52" i="12"/>
  <c r="Q50" i="12"/>
  <c r="R50" i="12"/>
  <c r="F49" i="8"/>
  <c r="L50" i="12"/>
  <c r="M50" i="12"/>
  <c r="Q44" i="12"/>
  <c r="R44" i="12"/>
  <c r="F43" i="8"/>
  <c r="L44" i="12"/>
  <c r="M44" i="12"/>
  <c r="Q40" i="12"/>
  <c r="R40" i="12"/>
  <c r="F39" i="8"/>
  <c r="L40" i="12"/>
  <c r="M40" i="12"/>
  <c r="Q36" i="12"/>
  <c r="R36" i="12"/>
  <c r="F35" i="8"/>
  <c r="L36" i="12"/>
  <c r="M36" i="12"/>
  <c r="Q32" i="12"/>
  <c r="R32" i="12"/>
  <c r="F31" i="8"/>
  <c r="L32" i="12"/>
  <c r="M32" i="12"/>
  <c r="Q28" i="12"/>
  <c r="R28" i="12"/>
  <c r="F27" i="8"/>
  <c r="L28" i="12"/>
  <c r="M28" i="12"/>
  <c r="Q22" i="12"/>
  <c r="R22" i="12"/>
  <c r="F21" i="8"/>
  <c r="L22" i="12"/>
  <c r="M22" i="12"/>
  <c r="Q18" i="12"/>
  <c r="R18" i="12"/>
  <c r="F17" i="8"/>
  <c r="L18" i="12"/>
  <c r="M18" i="12"/>
  <c r="Q15" i="12"/>
  <c r="R15" i="12"/>
  <c r="F14" i="8"/>
  <c r="L15" i="12"/>
  <c r="M15" i="12"/>
  <c r="Q11" i="12"/>
  <c r="R11" i="12"/>
  <c r="F10" i="8"/>
  <c r="L11" i="12"/>
  <c r="M11" i="12"/>
  <c r="Q7" i="12"/>
  <c r="R7" i="12"/>
  <c r="F6" i="8"/>
  <c r="L7" i="12"/>
  <c r="M7" i="12"/>
  <c r="Q4" i="12"/>
  <c r="R4" i="12"/>
  <c r="F3" i="8"/>
  <c r="L4" i="12"/>
  <c r="M4" i="12"/>
  <c r="L12" i="8"/>
  <c r="AA12" i="8"/>
  <c r="L14" i="8"/>
  <c r="AA14" i="8"/>
  <c r="L16" i="8"/>
  <c r="AA16" i="8"/>
  <c r="L22" i="8"/>
  <c r="AA22" i="8"/>
  <c r="L26" i="8"/>
  <c r="AA26" i="8"/>
  <c r="L30" i="8"/>
  <c r="AA30" i="8"/>
  <c r="L36" i="8"/>
  <c r="AA36" i="8"/>
  <c r="L38" i="8"/>
  <c r="AA38" i="8"/>
  <c r="L42" i="8"/>
  <c r="AA42" i="8"/>
  <c r="L46" i="8"/>
  <c r="AA46" i="8"/>
  <c r="L48" i="8"/>
  <c r="AA48" i="8"/>
  <c r="L50" i="8"/>
  <c r="AA50" i="8"/>
  <c r="L5" i="8"/>
  <c r="AA5" i="8"/>
  <c r="L9" i="8"/>
  <c r="AA9" i="8"/>
  <c r="L15" i="8"/>
  <c r="AA15" i="8"/>
  <c r="L17" i="8"/>
  <c r="AA17" i="8"/>
  <c r="L21" i="8"/>
  <c r="AA21" i="8"/>
  <c r="L23" i="8"/>
  <c r="AA23" i="8"/>
  <c r="L25" i="8"/>
  <c r="AA25" i="8"/>
  <c r="L27" i="8"/>
  <c r="AA27" i="8"/>
  <c r="L35" i="8"/>
  <c r="AA35" i="8"/>
  <c r="L39" i="8"/>
  <c r="AA39" i="8"/>
  <c r="L41" i="8"/>
  <c r="AA41" i="8"/>
  <c r="L45" i="8"/>
  <c r="AA45" i="8"/>
  <c r="L49" i="8"/>
  <c r="AA49" i="8"/>
  <c r="L2" i="8"/>
  <c r="AA2" i="8"/>
  <c r="Q5" i="10"/>
  <c r="R5" i="10"/>
  <c r="D4" i="8"/>
  <c r="L5" i="10"/>
  <c r="M5" i="10"/>
  <c r="Q6" i="11"/>
  <c r="R6" i="11"/>
  <c r="E5" i="8"/>
  <c r="L6" i="11"/>
  <c r="M6" i="11"/>
  <c r="Q3" i="11"/>
  <c r="R3" i="11"/>
  <c r="E2" i="8"/>
  <c r="L3" i="11"/>
  <c r="M3" i="11"/>
  <c r="Q4" i="13"/>
  <c r="R4" i="13"/>
  <c r="G3" i="8"/>
  <c r="L4" i="13"/>
  <c r="M4" i="13"/>
  <c r="Q6" i="16"/>
  <c r="R6" i="16"/>
  <c r="J5" i="8"/>
  <c r="L6" i="16"/>
  <c r="M6" i="16"/>
  <c r="Q8" i="16"/>
  <c r="R8" i="16"/>
  <c r="J7" i="8"/>
  <c r="L8" i="16"/>
  <c r="M8" i="16"/>
  <c r="Q7" i="11"/>
  <c r="R7" i="11"/>
  <c r="E6" i="8"/>
  <c r="L7" i="11"/>
  <c r="M7" i="11"/>
  <c r="Q9" i="11"/>
  <c r="R9" i="11"/>
  <c r="E8" i="8"/>
  <c r="L9" i="11"/>
  <c r="M9" i="11"/>
  <c r="Q10" i="12"/>
  <c r="R10" i="12"/>
  <c r="F9" i="8"/>
  <c r="L10" i="12"/>
  <c r="M10" i="12"/>
  <c r="Q10" i="16"/>
  <c r="R10" i="16"/>
  <c r="J9" i="8"/>
  <c r="L10" i="16"/>
  <c r="M10" i="16"/>
  <c r="Q12" i="16"/>
  <c r="R12" i="16"/>
  <c r="J11" i="8"/>
  <c r="L12" i="16"/>
  <c r="M12" i="16"/>
  <c r="Q11" i="9"/>
  <c r="R11" i="9"/>
  <c r="C10" i="8"/>
  <c r="L11" i="9"/>
  <c r="M11" i="9"/>
  <c r="Q13" i="9"/>
  <c r="R13" i="9"/>
  <c r="C12" i="8"/>
  <c r="L13" i="9"/>
  <c r="M13" i="9"/>
  <c r="Q13" i="13"/>
  <c r="R13" i="13"/>
  <c r="G12" i="8"/>
  <c r="L13" i="13"/>
  <c r="M13" i="13"/>
  <c r="Q15" i="9"/>
  <c r="R15" i="9"/>
  <c r="C14" i="8"/>
  <c r="L15" i="9"/>
  <c r="M15" i="9"/>
  <c r="Q17" i="10"/>
  <c r="R17" i="10"/>
  <c r="D16" i="8"/>
  <c r="L17" i="10"/>
  <c r="M17" i="10"/>
  <c r="Q19" i="10"/>
  <c r="R19" i="10"/>
  <c r="D18" i="8"/>
  <c r="L19" i="10"/>
  <c r="M19" i="10"/>
  <c r="Q21" i="10"/>
  <c r="R21" i="10"/>
  <c r="D20" i="8"/>
  <c r="L21" i="10"/>
  <c r="M21" i="10"/>
  <c r="Q4" i="10"/>
  <c r="R4" i="10"/>
  <c r="D3" i="8"/>
  <c r="L4" i="10"/>
  <c r="M4" i="10"/>
  <c r="Q5" i="12"/>
  <c r="R5" i="12"/>
  <c r="F4" i="8"/>
  <c r="L5" i="12"/>
  <c r="M5" i="12"/>
  <c r="Q5" i="16"/>
  <c r="R5" i="16"/>
  <c r="J4" i="8"/>
  <c r="L5" i="16"/>
  <c r="M5" i="16"/>
  <c r="Q3" i="9"/>
  <c r="R3" i="9"/>
  <c r="C2" i="8"/>
  <c r="L3" i="9"/>
  <c r="M3" i="9"/>
  <c r="Q3" i="13"/>
  <c r="R3" i="13"/>
  <c r="G2" i="8"/>
  <c r="L3" i="13"/>
  <c r="M3" i="13"/>
  <c r="Q4" i="11"/>
  <c r="R4" i="11"/>
  <c r="E3" i="8"/>
  <c r="L4" i="11"/>
  <c r="M4" i="11"/>
  <c r="Q4" i="15"/>
  <c r="R4" i="15"/>
  <c r="I3" i="8"/>
  <c r="L4" i="15"/>
  <c r="M4" i="15"/>
  <c r="Q6" i="14"/>
  <c r="R6" i="14"/>
  <c r="H5" i="8"/>
  <c r="L6" i="14"/>
  <c r="M6" i="14"/>
  <c r="Q8" i="10"/>
  <c r="R8" i="10"/>
  <c r="D7" i="8"/>
  <c r="L8" i="10"/>
  <c r="M8" i="10"/>
  <c r="Q8" i="14"/>
  <c r="R8" i="14"/>
  <c r="H7" i="8"/>
  <c r="L8" i="14"/>
  <c r="M8" i="14"/>
  <c r="Q7" i="9"/>
  <c r="R7" i="9"/>
  <c r="C6" i="8"/>
  <c r="L7" i="9"/>
  <c r="M7" i="9"/>
  <c r="Q7" i="13"/>
  <c r="R7" i="13"/>
  <c r="G6" i="8"/>
  <c r="L7" i="13"/>
  <c r="M7" i="13"/>
  <c r="Q9" i="9"/>
  <c r="R9" i="9"/>
  <c r="C8" i="8"/>
  <c r="L9" i="9"/>
  <c r="M9" i="9"/>
  <c r="Q9" i="13"/>
  <c r="R9" i="13"/>
  <c r="G8" i="8"/>
  <c r="L9" i="13"/>
  <c r="M9" i="13"/>
  <c r="Q10" i="10"/>
  <c r="R10" i="10"/>
  <c r="D9" i="8"/>
  <c r="L10" i="10"/>
  <c r="M10" i="10"/>
  <c r="Q10" i="14"/>
  <c r="R10" i="14"/>
  <c r="H9" i="8"/>
  <c r="R9" i="8"/>
  <c r="L10" i="14"/>
  <c r="M10" i="14"/>
  <c r="Q12" i="10"/>
  <c r="R12" i="10"/>
  <c r="D11" i="8"/>
  <c r="L12" i="10"/>
  <c r="M12" i="10"/>
  <c r="Q12" i="14"/>
  <c r="R12" i="14"/>
  <c r="H11" i="8"/>
  <c r="L12" i="14"/>
  <c r="M12" i="14"/>
  <c r="Q14" i="10"/>
  <c r="R14" i="10"/>
  <c r="D13" i="8"/>
  <c r="L14" i="10"/>
  <c r="M14" i="10"/>
  <c r="Q16" i="10"/>
  <c r="R16" i="10"/>
  <c r="D15" i="8"/>
  <c r="L16" i="10"/>
  <c r="M16" i="10"/>
  <c r="Q11" i="11"/>
  <c r="R11" i="11"/>
  <c r="E10" i="8"/>
  <c r="L11" i="11"/>
  <c r="M11" i="11"/>
  <c r="Q11" i="15"/>
  <c r="R11" i="15"/>
  <c r="I10" i="8"/>
  <c r="L11" i="15"/>
  <c r="M11" i="15"/>
  <c r="Q13" i="11"/>
  <c r="R13" i="11"/>
  <c r="E12" i="8"/>
  <c r="L13" i="11"/>
  <c r="M13" i="11"/>
  <c r="Q13" i="15"/>
  <c r="R13" i="15"/>
  <c r="I12" i="8"/>
  <c r="L13" i="15"/>
  <c r="M13" i="15"/>
  <c r="Q14" i="16"/>
  <c r="R14" i="16"/>
  <c r="J13" i="8"/>
  <c r="L14" i="16"/>
  <c r="M14" i="16"/>
  <c r="Q15" i="11"/>
  <c r="R15" i="11"/>
  <c r="E14" i="8"/>
  <c r="L15" i="11"/>
  <c r="M15" i="11"/>
  <c r="Q15" i="15"/>
  <c r="R15" i="15"/>
  <c r="I14" i="8"/>
  <c r="S14" i="8"/>
  <c r="L15" i="15"/>
  <c r="M15" i="15"/>
  <c r="Q17" i="12"/>
  <c r="R17" i="12"/>
  <c r="F16" i="8"/>
  <c r="L17" i="12"/>
  <c r="M17" i="12"/>
  <c r="Q17" i="16"/>
  <c r="R17" i="16"/>
  <c r="J16" i="8"/>
  <c r="L17" i="16"/>
  <c r="M17" i="16"/>
  <c r="Q19" i="12"/>
  <c r="R19" i="12"/>
  <c r="F18" i="8"/>
  <c r="L19" i="12"/>
  <c r="M19" i="12"/>
  <c r="Q19" i="16"/>
  <c r="R19" i="16"/>
  <c r="J18" i="8"/>
  <c r="L19" i="16"/>
  <c r="M19" i="16"/>
  <c r="Q21" i="12"/>
  <c r="R21" i="12"/>
  <c r="F20" i="8"/>
  <c r="L21" i="12"/>
  <c r="M21" i="12"/>
  <c r="Q21" i="16"/>
  <c r="R21" i="16"/>
  <c r="J20" i="8"/>
  <c r="L21" i="16"/>
  <c r="M21" i="16"/>
  <c r="Q23" i="12"/>
  <c r="R23" i="12"/>
  <c r="F22" i="8"/>
  <c r="L23" i="12"/>
  <c r="M23" i="12"/>
  <c r="Q23" i="16"/>
  <c r="R23" i="16"/>
  <c r="J22" i="8"/>
  <c r="L23" i="16"/>
  <c r="M23" i="16"/>
  <c r="Q16" i="13"/>
  <c r="R16" i="13"/>
  <c r="G15" i="8"/>
  <c r="L16" i="13"/>
  <c r="M16" i="13"/>
  <c r="Q18" i="9"/>
  <c r="R18" i="9"/>
  <c r="C17" i="8"/>
  <c r="L18" i="9"/>
  <c r="M18" i="9"/>
  <c r="Q18" i="13"/>
  <c r="R18" i="13"/>
  <c r="G17" i="8"/>
  <c r="L18" i="13"/>
  <c r="M18" i="13"/>
  <c r="Q20" i="9"/>
  <c r="R20" i="9"/>
  <c r="C19" i="8"/>
  <c r="L20" i="9"/>
  <c r="M20" i="9"/>
  <c r="Q20" i="13"/>
  <c r="R20" i="13"/>
  <c r="G19" i="8"/>
  <c r="L20" i="13"/>
  <c r="M20" i="13"/>
  <c r="Q22" i="9"/>
  <c r="R22" i="9"/>
  <c r="C21" i="8"/>
  <c r="L22" i="9"/>
  <c r="M22" i="9"/>
  <c r="Q22" i="13"/>
  <c r="R22" i="13"/>
  <c r="G21" i="8"/>
  <c r="L22" i="13"/>
  <c r="M22" i="13"/>
  <c r="Q24" i="10"/>
  <c r="R24" i="10"/>
  <c r="D23" i="8"/>
  <c r="L24" i="10"/>
  <c r="M24" i="10"/>
  <c r="Q25" i="10"/>
  <c r="R25" i="10"/>
  <c r="D24" i="8"/>
  <c r="L25" i="10"/>
  <c r="M25" i="10"/>
  <c r="Q25" i="14"/>
  <c r="R25" i="14"/>
  <c r="H24" i="8"/>
  <c r="L25" i="14"/>
  <c r="M25" i="14"/>
  <c r="Q27" i="10"/>
  <c r="R27" i="10"/>
  <c r="D26" i="8"/>
  <c r="L27" i="10"/>
  <c r="M27" i="10"/>
  <c r="Q27" i="14"/>
  <c r="R27" i="14"/>
  <c r="H26" i="8"/>
  <c r="L27" i="14"/>
  <c r="M27" i="14"/>
  <c r="Q29" i="10"/>
  <c r="R29" i="10"/>
  <c r="D28" i="8"/>
  <c r="L29" i="10"/>
  <c r="M29" i="10"/>
  <c r="Q29" i="14"/>
  <c r="R29" i="14"/>
  <c r="H28" i="8"/>
  <c r="L29" i="14"/>
  <c r="M29" i="14"/>
  <c r="Q31" i="10"/>
  <c r="R31" i="10"/>
  <c r="D30" i="8"/>
  <c r="L31" i="10"/>
  <c r="M31" i="10"/>
  <c r="Q31" i="14"/>
  <c r="R31" i="14"/>
  <c r="H30" i="8"/>
  <c r="R30" i="8"/>
  <c r="L31" i="14"/>
  <c r="M31" i="14"/>
  <c r="Q33" i="10"/>
  <c r="R33" i="10"/>
  <c r="D32" i="8"/>
  <c r="L33" i="10"/>
  <c r="M33" i="10"/>
  <c r="Q33" i="14"/>
  <c r="R33" i="14"/>
  <c r="H32" i="8"/>
  <c r="L33" i="14"/>
  <c r="M33" i="14"/>
  <c r="Q35" i="10"/>
  <c r="R35" i="10"/>
  <c r="D34" i="8"/>
  <c r="L35" i="10"/>
  <c r="M35" i="10"/>
  <c r="Q35" i="14"/>
  <c r="R35" i="14"/>
  <c r="H34" i="8"/>
  <c r="L35" i="14"/>
  <c r="M35" i="14"/>
  <c r="Q36" i="9"/>
  <c r="R36" i="9"/>
  <c r="C35" i="8"/>
  <c r="L36" i="9"/>
  <c r="M36" i="9"/>
  <c r="Q24" i="13"/>
  <c r="R24" i="13"/>
  <c r="G23" i="8"/>
  <c r="L24" i="13"/>
  <c r="M24" i="13"/>
  <c r="Q26" i="9"/>
  <c r="R26" i="9"/>
  <c r="C25" i="8"/>
  <c r="L26" i="9"/>
  <c r="M26" i="9"/>
  <c r="Q26" i="13"/>
  <c r="R26" i="13"/>
  <c r="G25" i="8"/>
  <c r="L26" i="13"/>
  <c r="M26" i="13"/>
  <c r="Q28" i="9"/>
  <c r="R28" i="9"/>
  <c r="C27" i="8"/>
  <c r="L28" i="9"/>
  <c r="M28" i="9"/>
  <c r="Q28" i="13"/>
  <c r="R28" i="13"/>
  <c r="G27" i="8"/>
  <c r="L28" i="13"/>
  <c r="M28" i="13"/>
  <c r="Q30" i="9"/>
  <c r="R30" i="9"/>
  <c r="C29" i="8"/>
  <c r="L30" i="9"/>
  <c r="M30" i="9"/>
  <c r="Q30" i="13"/>
  <c r="R30" i="13"/>
  <c r="G29" i="8"/>
  <c r="L30" i="13"/>
  <c r="M30" i="13"/>
  <c r="Q32" i="9"/>
  <c r="R32" i="9"/>
  <c r="C31" i="8"/>
  <c r="L32" i="9"/>
  <c r="M32" i="9"/>
  <c r="Q32" i="13"/>
  <c r="R32" i="13"/>
  <c r="G31" i="8"/>
  <c r="L32" i="13"/>
  <c r="M32" i="13"/>
  <c r="Q34" i="9"/>
  <c r="R34" i="9"/>
  <c r="C33" i="8"/>
  <c r="L34" i="9"/>
  <c r="M34" i="9"/>
  <c r="Q34" i="13"/>
  <c r="R34" i="13"/>
  <c r="G33" i="8"/>
  <c r="L34" i="13"/>
  <c r="M34" i="13"/>
  <c r="Q37" i="10"/>
  <c r="R37" i="10"/>
  <c r="D36" i="8"/>
  <c r="L37" i="10"/>
  <c r="M37" i="10"/>
  <c r="Q37" i="14"/>
  <c r="R37" i="14"/>
  <c r="H36" i="8"/>
  <c r="L37" i="14"/>
  <c r="M37" i="14"/>
  <c r="Q39" i="10"/>
  <c r="R39" i="10"/>
  <c r="D38" i="8"/>
  <c r="L39" i="10"/>
  <c r="M39" i="10"/>
  <c r="Q39" i="14"/>
  <c r="R39" i="14"/>
  <c r="H38" i="8"/>
  <c r="R38" i="8"/>
  <c r="L39" i="14"/>
  <c r="M39" i="14"/>
  <c r="Q41" i="10"/>
  <c r="R41" i="10"/>
  <c r="D40" i="8"/>
  <c r="L41" i="10"/>
  <c r="M41" i="10"/>
  <c r="Q41" i="14"/>
  <c r="R41" i="14"/>
  <c r="H40" i="8"/>
  <c r="L41" i="14"/>
  <c r="M41" i="14"/>
  <c r="Q43" i="10"/>
  <c r="R43" i="10"/>
  <c r="D42" i="8"/>
  <c r="L43" i="10"/>
  <c r="M43" i="10"/>
  <c r="Q43" i="14"/>
  <c r="R43" i="14"/>
  <c r="H42" i="8"/>
  <c r="R42" i="8"/>
  <c r="L43" i="14"/>
  <c r="M43" i="14"/>
  <c r="Q45" i="10"/>
  <c r="R45" i="10"/>
  <c r="D44" i="8"/>
  <c r="L45" i="10"/>
  <c r="M45" i="10"/>
  <c r="Q45" i="14"/>
  <c r="R45" i="14"/>
  <c r="H44" i="8"/>
  <c r="L45" i="14"/>
  <c r="M45" i="14"/>
  <c r="Q47" i="10"/>
  <c r="R47" i="10"/>
  <c r="D46" i="8"/>
  <c r="L47" i="10"/>
  <c r="M47" i="10"/>
  <c r="Q47" i="14"/>
  <c r="R47" i="14"/>
  <c r="H46" i="8"/>
  <c r="R46" i="8"/>
  <c r="L47" i="14"/>
  <c r="M47" i="14"/>
  <c r="Q48" i="13"/>
  <c r="R48" i="13"/>
  <c r="G47" i="8"/>
  <c r="L48" i="13"/>
  <c r="M48" i="13"/>
  <c r="Q49" i="15"/>
  <c r="R49" i="15"/>
  <c r="I48" i="8"/>
  <c r="L49" i="15"/>
  <c r="M49" i="15"/>
  <c r="Q50" i="16"/>
  <c r="R50" i="16"/>
  <c r="J49" i="8"/>
  <c r="L50" i="16"/>
  <c r="M50" i="16"/>
  <c r="Q51" i="12"/>
  <c r="R51" i="12"/>
  <c r="F50" i="8"/>
  <c r="L51" i="12"/>
  <c r="M51" i="12"/>
  <c r="Q45" i="15"/>
  <c r="R45" i="15"/>
  <c r="I44" i="8"/>
  <c r="L45" i="15"/>
  <c r="M45" i="15"/>
  <c r="Q41" i="15"/>
  <c r="R41" i="15"/>
  <c r="I40" i="8"/>
  <c r="S40" i="8"/>
  <c r="L41" i="15"/>
  <c r="M41" i="15"/>
  <c r="Q37" i="15"/>
  <c r="R37" i="15"/>
  <c r="I36" i="8"/>
  <c r="S36" i="8"/>
  <c r="L37" i="15"/>
  <c r="M37" i="15"/>
  <c r="Q33" i="15"/>
  <c r="R33" i="15"/>
  <c r="I32" i="8"/>
  <c r="S32" i="8"/>
  <c r="L33" i="15"/>
  <c r="M33" i="15"/>
  <c r="Q29" i="15"/>
  <c r="R29" i="15"/>
  <c r="I28" i="8"/>
  <c r="L29" i="15"/>
  <c r="M29" i="15"/>
  <c r="Q25" i="15"/>
  <c r="R25" i="15"/>
  <c r="I24" i="8"/>
  <c r="S24" i="8"/>
  <c r="L25" i="15"/>
  <c r="M25" i="15"/>
  <c r="Q21" i="15"/>
  <c r="R21" i="15"/>
  <c r="I20" i="8"/>
  <c r="L21" i="15"/>
  <c r="M21" i="15"/>
  <c r="Q17" i="15"/>
  <c r="R17" i="15"/>
  <c r="I16" i="8"/>
  <c r="L17" i="15"/>
  <c r="M17" i="15"/>
  <c r="Q12" i="15"/>
  <c r="R12" i="15"/>
  <c r="I11" i="8"/>
  <c r="L12" i="15"/>
  <c r="M12" i="15"/>
  <c r="Q8" i="15"/>
  <c r="R8" i="15"/>
  <c r="I7" i="8"/>
  <c r="L8" i="15"/>
  <c r="M8" i="15"/>
  <c r="Q5" i="15"/>
  <c r="R5" i="15"/>
  <c r="I4" i="8"/>
  <c r="S4" i="8"/>
  <c r="L5" i="15"/>
  <c r="M5" i="15"/>
  <c r="Q36" i="15"/>
  <c r="R36" i="15"/>
  <c r="I35" i="8"/>
  <c r="L36" i="15"/>
  <c r="M36" i="15"/>
  <c r="Q38" i="11"/>
  <c r="R38" i="11"/>
  <c r="E37" i="8"/>
  <c r="L38" i="11"/>
  <c r="M38" i="11"/>
  <c r="Q38" i="15"/>
  <c r="R38" i="15"/>
  <c r="I37" i="8"/>
  <c r="S37" i="8"/>
  <c r="L38" i="15"/>
  <c r="M38" i="15"/>
  <c r="Q40" i="11"/>
  <c r="R40" i="11"/>
  <c r="E39" i="8"/>
  <c r="L40" i="11"/>
  <c r="M40" i="11"/>
  <c r="Q40" i="15"/>
  <c r="R40" i="15"/>
  <c r="I39" i="8"/>
  <c r="L40" i="15"/>
  <c r="M40" i="15"/>
  <c r="Q42" i="11"/>
  <c r="R42" i="11"/>
  <c r="E41" i="8"/>
  <c r="L42" i="11"/>
  <c r="M42" i="11"/>
  <c r="Q42" i="15"/>
  <c r="R42" i="15"/>
  <c r="I41" i="8"/>
  <c r="L42" i="15"/>
  <c r="M42" i="15"/>
  <c r="Q44" i="11"/>
  <c r="R44" i="11"/>
  <c r="E43" i="8"/>
  <c r="L44" i="11"/>
  <c r="M44" i="11"/>
  <c r="Q44" i="15"/>
  <c r="R44" i="15"/>
  <c r="I43" i="8"/>
  <c r="L44" i="15"/>
  <c r="M44" i="15"/>
  <c r="Q46" i="11"/>
  <c r="R46" i="11"/>
  <c r="E45" i="8"/>
  <c r="L46" i="11"/>
  <c r="M46" i="11"/>
  <c r="Q46" i="15"/>
  <c r="R46" i="15"/>
  <c r="I45" i="8"/>
  <c r="L46" i="15"/>
  <c r="M46" i="15"/>
  <c r="Q48" i="11"/>
  <c r="R48" i="11"/>
  <c r="E47" i="8"/>
  <c r="L48" i="11"/>
  <c r="M48" i="11"/>
  <c r="Q48" i="16"/>
  <c r="R48" i="16"/>
  <c r="J47" i="8"/>
  <c r="T47" i="8"/>
  <c r="L48" i="16"/>
  <c r="M48" i="16"/>
  <c r="Q49" i="12"/>
  <c r="R49" i="12"/>
  <c r="F48" i="8"/>
  <c r="L49" i="12"/>
  <c r="M49" i="12"/>
  <c r="Q49" i="16"/>
  <c r="R49" i="16"/>
  <c r="J48" i="8"/>
  <c r="T48" i="8"/>
  <c r="L49" i="16"/>
  <c r="M49" i="16"/>
  <c r="Q50" i="11"/>
  <c r="R50" i="11"/>
  <c r="E49" i="8"/>
  <c r="L50" i="11"/>
  <c r="M50" i="11"/>
  <c r="Q50" i="15"/>
  <c r="R50" i="15"/>
  <c r="I49" i="8"/>
  <c r="S49" i="8"/>
  <c r="L50" i="15"/>
  <c r="M50" i="15"/>
  <c r="L52" i="16"/>
  <c r="M52" i="16"/>
  <c r="Q52" i="16"/>
  <c r="R52" i="16"/>
  <c r="J51" i="8"/>
  <c r="T51" i="8"/>
  <c r="Q46" i="16"/>
  <c r="R46" i="16"/>
  <c r="J45" i="8"/>
  <c r="T45" i="8"/>
  <c r="L46" i="16"/>
  <c r="M46" i="16"/>
  <c r="Q42" i="16"/>
  <c r="R42" i="16"/>
  <c r="J41" i="8"/>
  <c r="T41" i="8"/>
  <c r="L42" i="16"/>
  <c r="M42" i="16"/>
  <c r="Q38" i="16"/>
  <c r="R38" i="16"/>
  <c r="J37" i="8"/>
  <c r="T37" i="8"/>
  <c r="L38" i="16"/>
  <c r="M38" i="16"/>
  <c r="Q34" i="16"/>
  <c r="R34" i="16"/>
  <c r="J33" i="8"/>
  <c r="L34" i="16"/>
  <c r="M34" i="16"/>
  <c r="Q30" i="16"/>
  <c r="R30" i="16"/>
  <c r="J29" i="8"/>
  <c r="L30" i="16"/>
  <c r="M30" i="16"/>
  <c r="Q26" i="16"/>
  <c r="R26" i="16"/>
  <c r="J25" i="8"/>
  <c r="T25" i="8"/>
  <c r="L26" i="16"/>
  <c r="M26" i="16"/>
  <c r="Q22" i="16"/>
  <c r="R22" i="16"/>
  <c r="J21" i="8"/>
  <c r="L22" i="16"/>
  <c r="M22" i="16"/>
  <c r="Q18" i="16"/>
  <c r="R18" i="16"/>
  <c r="J17" i="8"/>
  <c r="T17" i="8"/>
  <c r="L18" i="16"/>
  <c r="M18" i="16"/>
  <c r="Q15" i="16"/>
  <c r="R15" i="16"/>
  <c r="J14" i="8"/>
  <c r="L15" i="16"/>
  <c r="M15" i="16"/>
  <c r="Q11" i="16"/>
  <c r="R11" i="16"/>
  <c r="J10" i="8"/>
  <c r="L11" i="16"/>
  <c r="M11" i="16"/>
  <c r="Q7" i="16"/>
  <c r="R7" i="16"/>
  <c r="J6" i="8"/>
  <c r="L7" i="16"/>
  <c r="M7" i="16"/>
  <c r="Q3" i="16"/>
  <c r="R3" i="16"/>
  <c r="J2" i="8"/>
  <c r="L3" i="16"/>
  <c r="M3" i="16"/>
  <c r="Q44" i="14"/>
  <c r="R44" i="14"/>
  <c r="H43" i="8"/>
  <c r="R43" i="8"/>
  <c r="L44" i="14"/>
  <c r="M44" i="14"/>
  <c r="Q40" i="14"/>
  <c r="R40" i="14"/>
  <c r="H39" i="8"/>
  <c r="R39" i="8"/>
  <c r="L40" i="14"/>
  <c r="M40" i="14"/>
  <c r="Q36" i="14"/>
  <c r="R36" i="14"/>
  <c r="H35" i="8"/>
  <c r="R35" i="8"/>
  <c r="L36" i="14"/>
  <c r="M36" i="14"/>
  <c r="Q32" i="14"/>
  <c r="R32" i="14"/>
  <c r="H31" i="8"/>
  <c r="L32" i="14"/>
  <c r="M32" i="14"/>
  <c r="Q28" i="14"/>
  <c r="R28" i="14"/>
  <c r="H27" i="8"/>
  <c r="R27" i="8"/>
  <c r="L28" i="14"/>
  <c r="M28" i="14"/>
  <c r="Q24" i="14"/>
  <c r="R24" i="14"/>
  <c r="H23" i="8"/>
  <c r="L24" i="14"/>
  <c r="M24" i="14"/>
  <c r="Q20" i="14"/>
  <c r="R20" i="14"/>
  <c r="H19" i="8"/>
  <c r="L20" i="14"/>
  <c r="M20" i="14"/>
  <c r="Q16" i="14"/>
  <c r="R16" i="14"/>
  <c r="H15" i="8"/>
  <c r="L16" i="14"/>
  <c r="M16" i="14"/>
  <c r="Q13" i="14"/>
  <c r="R13" i="14"/>
  <c r="H12" i="8"/>
  <c r="L13" i="14"/>
  <c r="M13" i="14"/>
  <c r="Q9" i="14"/>
  <c r="R9" i="14"/>
  <c r="H8" i="8"/>
  <c r="R8" i="8"/>
  <c r="L9" i="14"/>
  <c r="M9" i="14"/>
  <c r="Q4" i="14"/>
  <c r="R4" i="14"/>
  <c r="H3" i="8"/>
  <c r="L4" i="14"/>
  <c r="M4" i="14"/>
  <c r="Q53" i="10"/>
  <c r="R53" i="10"/>
  <c r="D52" i="8"/>
  <c r="L53" i="10"/>
  <c r="M53" i="10"/>
  <c r="T52" i="8"/>
  <c r="Q53" i="9"/>
  <c r="R53" i="9"/>
  <c r="C52" i="8"/>
  <c r="L53" i="9"/>
  <c r="M53" i="9"/>
  <c r="Q49" i="9"/>
  <c r="R49" i="9"/>
  <c r="C48" i="8"/>
  <c r="L49" i="9"/>
  <c r="M49" i="9"/>
  <c r="Q45" i="9"/>
  <c r="R45" i="9"/>
  <c r="C44" i="8"/>
  <c r="L45" i="9"/>
  <c r="M45" i="9"/>
  <c r="Q41" i="9"/>
  <c r="R41" i="9"/>
  <c r="C40" i="8"/>
  <c r="L41" i="9"/>
  <c r="M41" i="9"/>
  <c r="Q37" i="9"/>
  <c r="R37" i="9"/>
  <c r="C36" i="8"/>
  <c r="L37" i="9"/>
  <c r="M37" i="9"/>
  <c r="Q33" i="9"/>
  <c r="R33" i="9"/>
  <c r="C32" i="8"/>
  <c r="L33" i="9"/>
  <c r="M33" i="9"/>
  <c r="Q29" i="9"/>
  <c r="R29" i="9"/>
  <c r="C28" i="8"/>
  <c r="L29" i="9"/>
  <c r="M29" i="9"/>
  <c r="Q25" i="9"/>
  <c r="R25" i="9"/>
  <c r="C24" i="8"/>
  <c r="L25" i="9"/>
  <c r="M25" i="9"/>
  <c r="Q21" i="9"/>
  <c r="R21" i="9"/>
  <c r="C20" i="8"/>
  <c r="L21" i="9"/>
  <c r="M21" i="9"/>
  <c r="Q17" i="9"/>
  <c r="R17" i="9"/>
  <c r="C16" i="8"/>
  <c r="L17" i="9"/>
  <c r="M17" i="9"/>
  <c r="Q14" i="9"/>
  <c r="R14" i="9"/>
  <c r="C13" i="8"/>
  <c r="L14" i="9"/>
  <c r="M14" i="9"/>
  <c r="Q10" i="9"/>
  <c r="R10" i="9"/>
  <c r="C9" i="8"/>
  <c r="L10" i="9"/>
  <c r="M10" i="9"/>
  <c r="Q5" i="9"/>
  <c r="R5" i="9"/>
  <c r="C4" i="8"/>
  <c r="L5" i="9"/>
  <c r="M5" i="9"/>
  <c r="Q53" i="11"/>
  <c r="R53" i="11"/>
  <c r="E52" i="8"/>
  <c r="L53" i="11"/>
  <c r="M53" i="11"/>
  <c r="Q49" i="11"/>
  <c r="R49" i="11"/>
  <c r="E48" i="8"/>
  <c r="L49" i="11"/>
  <c r="M49" i="11"/>
  <c r="Q45" i="11"/>
  <c r="R45" i="11"/>
  <c r="E44" i="8"/>
  <c r="L45" i="11"/>
  <c r="M45" i="11"/>
  <c r="Q41" i="11"/>
  <c r="R41" i="11"/>
  <c r="E40" i="8"/>
  <c r="L41" i="11"/>
  <c r="M41" i="11"/>
  <c r="Q37" i="11"/>
  <c r="R37" i="11"/>
  <c r="E36" i="8"/>
  <c r="L37" i="11"/>
  <c r="M37" i="11"/>
  <c r="Q33" i="11"/>
  <c r="R33" i="11"/>
  <c r="E32" i="8"/>
  <c r="L33" i="11"/>
  <c r="M33" i="11"/>
  <c r="Q29" i="11"/>
  <c r="R29" i="11"/>
  <c r="E28" i="8"/>
  <c r="L29" i="11"/>
  <c r="M29" i="11"/>
  <c r="Q25" i="11"/>
  <c r="R25" i="11"/>
  <c r="E24" i="8"/>
  <c r="L25" i="11"/>
  <c r="M25" i="11"/>
  <c r="Q24" i="11"/>
  <c r="R24" i="11"/>
  <c r="E23" i="8"/>
  <c r="L24" i="11"/>
  <c r="M24" i="11"/>
  <c r="Q19" i="11"/>
  <c r="R19" i="11"/>
  <c r="E18" i="8"/>
  <c r="L19" i="11"/>
  <c r="M19" i="11"/>
  <c r="Q16" i="11"/>
  <c r="R16" i="11"/>
  <c r="E15" i="8"/>
  <c r="L16" i="11"/>
  <c r="M16" i="11"/>
  <c r="Q12" i="11"/>
  <c r="R12" i="11"/>
  <c r="E11" i="8"/>
  <c r="L12" i="11"/>
  <c r="M12" i="11"/>
  <c r="Q8" i="11"/>
  <c r="R8" i="11"/>
  <c r="E7" i="8"/>
  <c r="L8" i="11"/>
  <c r="M8" i="11"/>
  <c r="Q53" i="13"/>
  <c r="R53" i="13"/>
  <c r="G52" i="8"/>
  <c r="L53" i="13"/>
  <c r="M53" i="13"/>
  <c r="Q49" i="13"/>
  <c r="R49" i="13"/>
  <c r="G48" i="8"/>
  <c r="L49" i="13"/>
  <c r="M49" i="13"/>
  <c r="Q45" i="13"/>
  <c r="R45" i="13"/>
  <c r="G44" i="8"/>
  <c r="L45" i="13"/>
  <c r="M45" i="13"/>
  <c r="Q41" i="13"/>
  <c r="R41" i="13"/>
  <c r="G40" i="8"/>
  <c r="L41" i="13"/>
  <c r="M41" i="13"/>
  <c r="Q37" i="13"/>
  <c r="R37" i="13"/>
  <c r="G36" i="8"/>
  <c r="L37" i="13"/>
  <c r="M37" i="13"/>
  <c r="Q33" i="13"/>
  <c r="R33" i="13"/>
  <c r="G32" i="8"/>
  <c r="L33" i="13"/>
  <c r="M33" i="13"/>
  <c r="Q29" i="13"/>
  <c r="R29" i="13"/>
  <c r="G28" i="8"/>
  <c r="L29" i="13"/>
  <c r="M29" i="13"/>
  <c r="Q25" i="13"/>
  <c r="R25" i="13"/>
  <c r="G24" i="8"/>
  <c r="L25" i="13"/>
  <c r="M25" i="13"/>
  <c r="Q21" i="13"/>
  <c r="R21" i="13"/>
  <c r="G20" i="8"/>
  <c r="L21" i="13"/>
  <c r="M21" i="13"/>
  <c r="Q17" i="13"/>
  <c r="R17" i="13"/>
  <c r="G16" i="8"/>
  <c r="L17" i="13"/>
  <c r="M17" i="13"/>
  <c r="Q12" i="13"/>
  <c r="R12" i="13"/>
  <c r="G11" i="8"/>
  <c r="L12" i="13"/>
  <c r="M12" i="13"/>
  <c r="Q8" i="13"/>
  <c r="R8" i="13"/>
  <c r="G7" i="8"/>
  <c r="L8" i="13"/>
  <c r="M8" i="13"/>
  <c r="Q5" i="13"/>
  <c r="R5" i="13"/>
  <c r="G4" i="8"/>
  <c r="L5" i="13"/>
  <c r="M5" i="13"/>
  <c r="Q52" i="11"/>
  <c r="R52" i="11"/>
  <c r="E51" i="8"/>
  <c r="L52" i="11"/>
  <c r="M52" i="11"/>
  <c r="Z61" i="8"/>
  <c r="Q50" i="10"/>
  <c r="R50" i="10"/>
  <c r="D49" i="8"/>
  <c r="L50" i="10"/>
  <c r="M50" i="10"/>
  <c r="Q46" i="10"/>
  <c r="R46" i="10"/>
  <c r="D45" i="8"/>
  <c r="L46" i="10"/>
  <c r="M46" i="10"/>
  <c r="Q42" i="10"/>
  <c r="R42" i="10"/>
  <c r="D41" i="8"/>
  <c r="L42" i="10"/>
  <c r="M42" i="10"/>
  <c r="Q38" i="10"/>
  <c r="R38" i="10"/>
  <c r="D37" i="8"/>
  <c r="L38" i="10"/>
  <c r="M38" i="10"/>
  <c r="Q34" i="10"/>
  <c r="R34" i="10"/>
  <c r="D33" i="8"/>
  <c r="L34" i="10"/>
  <c r="M34" i="10"/>
  <c r="Q30" i="10"/>
  <c r="R30" i="10"/>
  <c r="D29" i="8"/>
  <c r="L30" i="10"/>
  <c r="M30" i="10"/>
  <c r="Q26" i="10"/>
  <c r="R26" i="10"/>
  <c r="D25" i="8"/>
  <c r="L26" i="10"/>
  <c r="M26" i="10"/>
  <c r="Q20" i="10"/>
  <c r="R20" i="10"/>
  <c r="D19" i="8"/>
  <c r="L20" i="10"/>
  <c r="M20" i="10"/>
  <c r="Q15" i="10"/>
  <c r="R15" i="10"/>
  <c r="D14" i="8"/>
  <c r="L15" i="10"/>
  <c r="M15" i="10"/>
  <c r="Q11" i="10"/>
  <c r="R11" i="10"/>
  <c r="D10" i="8"/>
  <c r="L11" i="10"/>
  <c r="M11" i="10"/>
  <c r="Q7" i="10"/>
  <c r="R7" i="10"/>
  <c r="D6" i="8"/>
  <c r="L7" i="10"/>
  <c r="M7" i="10"/>
  <c r="Q3" i="10"/>
  <c r="R3" i="10"/>
  <c r="D2" i="8"/>
  <c r="L3" i="10"/>
  <c r="M3" i="10"/>
  <c r="Q48" i="12"/>
  <c r="R48" i="12"/>
  <c r="F47" i="8"/>
  <c r="L48" i="12"/>
  <c r="M48" i="12"/>
  <c r="Q46" i="12"/>
  <c r="R46" i="12"/>
  <c r="F45" i="8"/>
  <c r="L46" i="12"/>
  <c r="M46" i="12"/>
  <c r="Q42" i="12"/>
  <c r="R42" i="12"/>
  <c r="F41" i="8"/>
  <c r="L42" i="12"/>
  <c r="M42" i="12"/>
  <c r="Q38" i="12"/>
  <c r="R38" i="12"/>
  <c r="F37" i="8"/>
  <c r="L38" i="12"/>
  <c r="M38" i="12"/>
  <c r="Q34" i="12"/>
  <c r="R34" i="12"/>
  <c r="F33" i="8"/>
  <c r="L34" i="12"/>
  <c r="M34" i="12"/>
  <c r="Q30" i="12"/>
  <c r="R30" i="12"/>
  <c r="F29" i="8"/>
  <c r="L30" i="12"/>
  <c r="M30" i="12"/>
  <c r="Q26" i="12"/>
  <c r="R26" i="12"/>
  <c r="F25" i="8"/>
  <c r="L26" i="12"/>
  <c r="M26" i="12"/>
  <c r="Q20" i="12"/>
  <c r="R20" i="12"/>
  <c r="F19" i="8"/>
  <c r="L20" i="12"/>
  <c r="M20" i="12"/>
  <c r="Q16" i="12"/>
  <c r="R16" i="12"/>
  <c r="F15" i="8"/>
  <c r="L16" i="12"/>
  <c r="M16" i="12"/>
  <c r="Q13" i="12"/>
  <c r="R13" i="12"/>
  <c r="F12" i="8"/>
  <c r="L13" i="12"/>
  <c r="M13" i="12"/>
  <c r="Q9" i="12"/>
  <c r="R9" i="12"/>
  <c r="F8" i="8"/>
  <c r="L9" i="12"/>
  <c r="M9" i="12"/>
  <c r="Q6" i="12"/>
  <c r="R6" i="12"/>
  <c r="F5" i="8"/>
  <c r="L6" i="12"/>
  <c r="M6" i="12"/>
  <c r="Q3" i="12"/>
  <c r="R3" i="12"/>
  <c r="F2" i="8"/>
  <c r="L3" i="12"/>
  <c r="M3" i="12"/>
  <c r="L4" i="8"/>
  <c r="AA4" i="8"/>
  <c r="L6" i="8"/>
  <c r="AA6" i="8"/>
  <c r="L8" i="8"/>
  <c r="AA8" i="8"/>
  <c r="L10" i="8"/>
  <c r="AA10" i="8"/>
  <c r="L18" i="8"/>
  <c r="AA18" i="8"/>
  <c r="L20" i="8"/>
  <c r="AA20" i="8"/>
  <c r="L24" i="8"/>
  <c r="AA24" i="8"/>
  <c r="L28" i="8"/>
  <c r="AA28" i="8"/>
  <c r="L32" i="8"/>
  <c r="AA32" i="8"/>
  <c r="L34" i="8"/>
  <c r="AA34" i="8"/>
  <c r="L40" i="8"/>
  <c r="AA40" i="8"/>
  <c r="L44" i="8"/>
  <c r="AA44" i="8"/>
  <c r="L52" i="8"/>
  <c r="AA52" i="8"/>
  <c r="L3" i="8"/>
  <c r="AA3" i="8"/>
  <c r="L7" i="8"/>
  <c r="AA7" i="8"/>
  <c r="L11" i="8"/>
  <c r="AA11" i="8"/>
  <c r="L13" i="8"/>
  <c r="AA13" i="8"/>
  <c r="L19" i="8"/>
  <c r="AA19" i="8"/>
  <c r="L29" i="8"/>
  <c r="AA29" i="8"/>
  <c r="L31" i="8"/>
  <c r="AA31" i="8"/>
  <c r="L33" i="8"/>
  <c r="AA33" i="8"/>
  <c r="L37" i="8"/>
  <c r="AA37" i="8"/>
  <c r="L43" i="8"/>
  <c r="AA43" i="8"/>
  <c r="L47" i="8"/>
  <c r="AA47" i="8"/>
  <c r="L51" i="8"/>
  <c r="AA51" i="8"/>
  <c r="S50" i="8"/>
  <c r="T31" i="8"/>
  <c r="T10" i="8"/>
  <c r="S28" i="8"/>
  <c r="S44" i="8"/>
  <c r="S45" i="8"/>
  <c r="S48" i="8"/>
  <c r="R31" i="8"/>
  <c r="R3" i="8"/>
  <c r="T6" i="8"/>
  <c r="R34" i="8"/>
  <c r="T33" i="8"/>
  <c r="R10" i="8"/>
  <c r="T29" i="8"/>
  <c r="T13" i="8"/>
  <c r="R37" i="8"/>
  <c r="R41" i="8"/>
  <c r="S41" i="8"/>
  <c r="R23" i="8"/>
  <c r="T18" i="8"/>
  <c r="S16" i="8"/>
  <c r="S11" i="8"/>
  <c r="T9" i="8"/>
  <c r="T8" i="8"/>
  <c r="R5" i="8"/>
  <c r="T2" i="8"/>
  <c r="T5" i="8"/>
  <c r="S7" i="8"/>
  <c r="S10" i="8"/>
  <c r="R12" i="8"/>
  <c r="S13" i="8"/>
  <c r="R14" i="8"/>
  <c r="T14" i="8"/>
  <c r="R15" i="8"/>
  <c r="S18" i="8"/>
  <c r="R19" i="8"/>
  <c r="T19" i="8"/>
  <c r="S20" i="8"/>
  <c r="T21" i="8"/>
  <c r="T22" i="8"/>
  <c r="T23" i="8"/>
  <c r="R26" i="8"/>
  <c r="AA60" i="8"/>
  <c r="O51" i="8"/>
  <c r="AD51" i="8"/>
  <c r="Q7" i="8"/>
  <c r="AF7" i="8"/>
  <c r="Q16" i="8"/>
  <c r="AF16" i="8"/>
  <c r="Q24" i="8"/>
  <c r="AF24" i="8"/>
  <c r="Q28" i="8"/>
  <c r="AF28" i="8"/>
  <c r="Q36" i="8"/>
  <c r="AF36" i="8"/>
  <c r="Q44" i="8"/>
  <c r="AF44" i="8"/>
  <c r="Q52" i="8"/>
  <c r="AF52" i="8"/>
  <c r="O11" i="8"/>
  <c r="AD11" i="8"/>
  <c r="O18" i="8"/>
  <c r="AD18" i="8"/>
  <c r="O24" i="8"/>
  <c r="AD24" i="8"/>
  <c r="O32" i="8"/>
  <c r="AD32" i="8"/>
  <c r="O40" i="8"/>
  <c r="AD40" i="8"/>
  <c r="O48" i="8"/>
  <c r="AD48" i="8"/>
  <c r="M4" i="8"/>
  <c r="AB4" i="8"/>
  <c r="M13" i="8"/>
  <c r="AB13" i="8"/>
  <c r="M20" i="8"/>
  <c r="AB20" i="8"/>
  <c r="M28" i="8"/>
  <c r="AB28" i="8"/>
  <c r="M36" i="8"/>
  <c r="AB36" i="8"/>
  <c r="M44" i="8"/>
  <c r="AB44" i="8"/>
  <c r="N52" i="8"/>
  <c r="AC52" i="8"/>
  <c r="AA57" i="8"/>
  <c r="AA56" i="8"/>
  <c r="AA58" i="8"/>
  <c r="AA59" i="8"/>
  <c r="P2" i="8"/>
  <c r="AE2" i="8"/>
  <c r="P5" i="8"/>
  <c r="AE5" i="8"/>
  <c r="P8" i="8"/>
  <c r="AE8" i="8"/>
  <c r="P12" i="8"/>
  <c r="AE12" i="8"/>
  <c r="P15" i="8"/>
  <c r="AE15" i="8"/>
  <c r="P19" i="8"/>
  <c r="AE19" i="8"/>
  <c r="P25" i="8"/>
  <c r="AE25" i="8"/>
  <c r="P29" i="8"/>
  <c r="AE29" i="8"/>
  <c r="P33" i="8"/>
  <c r="AE33" i="8"/>
  <c r="P37" i="8"/>
  <c r="AE37" i="8"/>
  <c r="P41" i="8"/>
  <c r="AE41" i="8"/>
  <c r="P45" i="8"/>
  <c r="AE45" i="8"/>
  <c r="P47" i="8"/>
  <c r="AE47" i="8"/>
  <c r="N2" i="8"/>
  <c r="AC2" i="8"/>
  <c r="N6" i="8"/>
  <c r="AC6" i="8"/>
  <c r="N10" i="8"/>
  <c r="AC10" i="8"/>
  <c r="N14" i="8"/>
  <c r="AC14" i="8"/>
  <c r="N19" i="8"/>
  <c r="AC19" i="8"/>
  <c r="N25" i="8"/>
  <c r="AC25" i="8"/>
  <c r="N29" i="8"/>
  <c r="AC29" i="8"/>
  <c r="N33" i="8"/>
  <c r="AC33" i="8"/>
  <c r="N37" i="8"/>
  <c r="AC37" i="8"/>
  <c r="N41" i="8"/>
  <c r="AC41" i="8"/>
  <c r="N45" i="8"/>
  <c r="AC45" i="8"/>
  <c r="N49" i="8"/>
  <c r="AC49" i="8"/>
  <c r="O49" i="8"/>
  <c r="AD49" i="8"/>
  <c r="P48" i="8"/>
  <c r="AE48" i="8"/>
  <c r="O47" i="8"/>
  <c r="AD47" i="8"/>
  <c r="O45" i="8"/>
  <c r="AD45" i="8"/>
  <c r="S43" i="8"/>
  <c r="O43" i="8"/>
  <c r="AD43" i="8"/>
  <c r="O41" i="8"/>
  <c r="AD41" i="8"/>
  <c r="S39" i="8"/>
  <c r="O39" i="8"/>
  <c r="AD39" i="8"/>
  <c r="O37" i="8"/>
  <c r="AD37" i="8"/>
  <c r="S35" i="8"/>
  <c r="P50" i="8"/>
  <c r="AE50" i="8"/>
  <c r="T49" i="8"/>
  <c r="Q47" i="8"/>
  <c r="AF47" i="8"/>
  <c r="N46" i="8"/>
  <c r="AC46" i="8"/>
  <c r="R44" i="8"/>
  <c r="N44" i="8"/>
  <c r="AC44" i="8"/>
  <c r="N42" i="8"/>
  <c r="AC42" i="8"/>
  <c r="R40" i="8"/>
  <c r="N40" i="8"/>
  <c r="AC40" i="8"/>
  <c r="N38" i="8"/>
  <c r="AC38" i="8"/>
  <c r="R36" i="8"/>
  <c r="N36" i="8"/>
  <c r="AC36" i="8"/>
  <c r="Q33" i="8"/>
  <c r="AF33" i="8"/>
  <c r="M33" i="8"/>
  <c r="AB33" i="8"/>
  <c r="Q31" i="8"/>
  <c r="AF31" i="8"/>
  <c r="M31" i="8"/>
  <c r="AB31" i="8"/>
  <c r="Q29" i="8"/>
  <c r="AF29" i="8"/>
  <c r="M29" i="8"/>
  <c r="AB29" i="8"/>
  <c r="Q27" i="8"/>
  <c r="AF27" i="8"/>
  <c r="M27" i="8"/>
  <c r="AB27" i="8"/>
  <c r="Q25" i="8"/>
  <c r="AF25" i="8"/>
  <c r="M25" i="8"/>
  <c r="AB25" i="8"/>
  <c r="Q23" i="8"/>
  <c r="AF23" i="8"/>
  <c r="M35" i="8"/>
  <c r="AB35" i="8"/>
  <c r="N34" i="8"/>
  <c r="AC34" i="8"/>
  <c r="R32" i="8"/>
  <c r="N32" i="8"/>
  <c r="AC32" i="8"/>
  <c r="N30" i="8"/>
  <c r="AC30" i="8"/>
  <c r="R28" i="8"/>
  <c r="N28" i="8"/>
  <c r="AC28" i="8"/>
  <c r="N26" i="8"/>
  <c r="AC26" i="8"/>
  <c r="R24" i="8"/>
  <c r="N24" i="8"/>
  <c r="AC24" i="8"/>
  <c r="N23" i="8"/>
  <c r="AC23" i="8"/>
  <c r="Q21" i="8"/>
  <c r="AF21" i="8"/>
  <c r="M21" i="8"/>
  <c r="AB21" i="8"/>
  <c r="Q19" i="8"/>
  <c r="AF19" i="8"/>
  <c r="M19" i="8"/>
  <c r="AB19" i="8"/>
  <c r="Q17" i="8"/>
  <c r="AF17" i="8"/>
  <c r="M17" i="8"/>
  <c r="AB17" i="8"/>
  <c r="Q15" i="8"/>
  <c r="AF15" i="8"/>
  <c r="P22" i="8"/>
  <c r="AE22" i="8"/>
  <c r="T20" i="8"/>
  <c r="P20" i="8"/>
  <c r="AE20" i="8"/>
  <c r="P18" i="8"/>
  <c r="AE18" i="8"/>
  <c r="T16" i="8"/>
  <c r="P16" i="8"/>
  <c r="AE16" i="8"/>
  <c r="O14" i="8"/>
  <c r="AD14" i="8"/>
  <c r="S12" i="8"/>
  <c r="O12" i="8"/>
  <c r="AD12" i="8"/>
  <c r="O10" i="8"/>
  <c r="AD10" i="8"/>
  <c r="N15" i="8"/>
  <c r="AC15" i="8"/>
  <c r="N13" i="8"/>
  <c r="AC13" i="8"/>
  <c r="R11" i="8"/>
  <c r="N11" i="8"/>
  <c r="AC11" i="8"/>
  <c r="N9" i="8"/>
  <c r="AC9" i="8"/>
  <c r="Q8" i="8"/>
  <c r="AF8" i="8"/>
  <c r="M8" i="8"/>
  <c r="AB8" i="8"/>
  <c r="Q6" i="8"/>
  <c r="AF6" i="8"/>
  <c r="M6" i="8"/>
  <c r="AB6" i="8"/>
  <c r="R7" i="8"/>
  <c r="N7" i="8"/>
  <c r="AC7" i="8"/>
  <c r="S3" i="8"/>
  <c r="O3" i="8"/>
  <c r="AD3" i="8"/>
  <c r="Q2" i="8"/>
  <c r="AF2" i="8"/>
  <c r="M2" i="8"/>
  <c r="AB2" i="8"/>
  <c r="T4" i="8"/>
  <c r="P4" i="8"/>
  <c r="AE4" i="8"/>
  <c r="N3" i="8"/>
  <c r="AC3" i="8"/>
  <c r="N20" i="8"/>
  <c r="AC20" i="8"/>
  <c r="N18" i="8"/>
  <c r="AC18" i="8"/>
  <c r="N16" i="8"/>
  <c r="AC16" i="8"/>
  <c r="M14" i="8"/>
  <c r="AB14" i="8"/>
  <c r="Q12" i="8"/>
  <c r="AF12" i="8"/>
  <c r="M12" i="8"/>
  <c r="AB12" i="8"/>
  <c r="M10" i="8"/>
  <c r="AB10" i="8"/>
  <c r="T11" i="8"/>
  <c r="P9" i="8"/>
  <c r="AE9" i="8"/>
  <c r="O8" i="8"/>
  <c r="AD8" i="8"/>
  <c r="O6" i="8"/>
  <c r="AD6" i="8"/>
  <c r="T7" i="8"/>
  <c r="Q3" i="8"/>
  <c r="AF3" i="8"/>
  <c r="O2" i="8"/>
  <c r="AD2" i="8"/>
  <c r="O5" i="8"/>
  <c r="AD5" i="8"/>
  <c r="N4" i="8"/>
  <c r="AC4" i="8"/>
  <c r="P3" i="8"/>
  <c r="AE3" i="8"/>
  <c r="P6" i="8"/>
  <c r="AE6" i="8"/>
  <c r="P10" i="8"/>
  <c r="AE10" i="8"/>
  <c r="P14" i="8"/>
  <c r="AE14" i="8"/>
  <c r="P17" i="8"/>
  <c r="AE17" i="8"/>
  <c r="P21" i="8"/>
  <c r="AE21" i="8"/>
  <c r="P27" i="8"/>
  <c r="AE27" i="8"/>
  <c r="P31" i="8"/>
  <c r="AE31" i="8"/>
  <c r="P35" i="8"/>
  <c r="AE35" i="8"/>
  <c r="P39" i="8"/>
  <c r="AE39" i="8"/>
  <c r="P43" i="8"/>
  <c r="AE43" i="8"/>
  <c r="P49" i="8"/>
  <c r="AE49" i="8"/>
  <c r="P51" i="8"/>
  <c r="AE51" i="8"/>
  <c r="N5" i="8"/>
  <c r="AC5" i="8"/>
  <c r="N8" i="8"/>
  <c r="AC8" i="8"/>
  <c r="N12" i="8"/>
  <c r="AC12" i="8"/>
  <c r="N17" i="8"/>
  <c r="AC17" i="8"/>
  <c r="N21" i="8"/>
  <c r="AC21" i="8"/>
  <c r="N27" i="8"/>
  <c r="AC27" i="8"/>
  <c r="N31" i="8"/>
  <c r="AC31" i="8"/>
  <c r="N35" i="8"/>
  <c r="AC35" i="8"/>
  <c r="N39" i="8"/>
  <c r="AC39" i="8"/>
  <c r="N43" i="8"/>
  <c r="AC43" i="8"/>
  <c r="N47" i="8"/>
  <c r="AC47" i="8"/>
  <c r="N51" i="8"/>
  <c r="AC51" i="8"/>
  <c r="Q51" i="8"/>
  <c r="AF51" i="8"/>
  <c r="M51" i="8"/>
  <c r="AB51" i="8"/>
  <c r="Q5" i="8"/>
  <c r="AF5" i="8"/>
  <c r="Q9" i="8"/>
  <c r="AF9" i="8"/>
  <c r="Q13" i="8"/>
  <c r="AF13" i="8"/>
  <c r="Q18" i="8"/>
  <c r="AF18" i="8"/>
  <c r="Q22" i="8"/>
  <c r="AF22" i="8"/>
  <c r="Q26" i="8"/>
  <c r="AF26" i="8"/>
  <c r="Q30" i="8"/>
  <c r="AF30" i="8"/>
  <c r="Q34" i="8"/>
  <c r="AF34" i="8"/>
  <c r="Q38" i="8"/>
  <c r="AF38" i="8"/>
  <c r="Q42" i="8"/>
  <c r="AF42" i="8"/>
  <c r="Q46" i="8"/>
  <c r="AF46" i="8"/>
  <c r="Q50" i="8"/>
  <c r="AF50" i="8"/>
  <c r="O4" i="8"/>
  <c r="AD4" i="8"/>
  <c r="O9" i="8"/>
  <c r="AD9" i="8"/>
  <c r="O13" i="8"/>
  <c r="AD13" i="8"/>
  <c r="O16" i="8"/>
  <c r="AD16" i="8"/>
  <c r="O20" i="8"/>
  <c r="AD20" i="8"/>
  <c r="O22" i="8"/>
  <c r="AD22" i="8"/>
  <c r="O26" i="8"/>
  <c r="AD26" i="8"/>
  <c r="O30" i="8"/>
  <c r="AD30" i="8"/>
  <c r="O34" i="8"/>
  <c r="AD34" i="8"/>
  <c r="O38" i="8"/>
  <c r="AD38" i="8"/>
  <c r="O42" i="8"/>
  <c r="AD42" i="8"/>
  <c r="O46" i="8"/>
  <c r="AD46" i="8"/>
  <c r="O50" i="8"/>
  <c r="AD50" i="8"/>
  <c r="M3" i="8"/>
  <c r="AB3" i="8"/>
  <c r="M7" i="8"/>
  <c r="AB7" i="8"/>
  <c r="M11" i="8"/>
  <c r="AB11" i="8"/>
  <c r="M15" i="8"/>
  <c r="AB15" i="8"/>
  <c r="M18" i="8"/>
  <c r="AB18" i="8"/>
  <c r="M22" i="8"/>
  <c r="AB22" i="8"/>
  <c r="M26" i="8"/>
  <c r="AB26" i="8"/>
  <c r="M30" i="8"/>
  <c r="AB30" i="8"/>
  <c r="M34" i="8"/>
  <c r="AB34" i="8"/>
  <c r="M38" i="8"/>
  <c r="AB38" i="8"/>
  <c r="M42" i="8"/>
  <c r="AB42" i="8"/>
  <c r="M46" i="8"/>
  <c r="AB46" i="8"/>
  <c r="M50" i="8"/>
  <c r="AB50" i="8"/>
  <c r="P52" i="8"/>
  <c r="AE52" i="8"/>
  <c r="AA61" i="8"/>
  <c r="Z62" i="8"/>
  <c r="Q4" i="8"/>
  <c r="AF4" i="8"/>
  <c r="Q11" i="8"/>
  <c r="AF11" i="8"/>
  <c r="Q20" i="8"/>
  <c r="AF20" i="8"/>
  <c r="Q32" i="8"/>
  <c r="AF32" i="8"/>
  <c r="Q40" i="8"/>
  <c r="AF40" i="8"/>
  <c r="Q48" i="8"/>
  <c r="AF48" i="8"/>
  <c r="O7" i="8"/>
  <c r="AD7" i="8"/>
  <c r="O15" i="8"/>
  <c r="AD15" i="8"/>
  <c r="O23" i="8"/>
  <c r="AD23" i="8"/>
  <c r="O28" i="8"/>
  <c r="AD28" i="8"/>
  <c r="O36" i="8"/>
  <c r="AD36" i="8"/>
  <c r="O44" i="8"/>
  <c r="AD44" i="8"/>
  <c r="O52" i="8"/>
  <c r="AD52" i="8"/>
  <c r="M9" i="8"/>
  <c r="AB9" i="8"/>
  <c r="M16" i="8"/>
  <c r="AB16" i="8"/>
  <c r="M24" i="8"/>
  <c r="AB24" i="8"/>
  <c r="M32" i="8"/>
  <c r="AB32" i="8"/>
  <c r="M40" i="8"/>
  <c r="AB40" i="8"/>
  <c r="M48" i="8"/>
  <c r="AB48" i="8"/>
  <c r="M52" i="8"/>
  <c r="AB52" i="8"/>
  <c r="R52" i="8"/>
  <c r="R2" i="8"/>
  <c r="R6" i="8"/>
  <c r="R17" i="8"/>
  <c r="R21" i="8"/>
  <c r="R25" i="8"/>
  <c r="R29" i="8"/>
  <c r="R33" i="8"/>
  <c r="T3" i="8"/>
  <c r="T12" i="8"/>
  <c r="T35" i="8"/>
  <c r="T39" i="8"/>
  <c r="T43" i="8"/>
  <c r="R51" i="8"/>
  <c r="Q49" i="8"/>
  <c r="AF49" i="8"/>
  <c r="M49" i="8"/>
  <c r="AB49" i="8"/>
  <c r="R48" i="8"/>
  <c r="N48" i="8"/>
  <c r="AC48" i="8"/>
  <c r="R47" i="8"/>
  <c r="M47" i="8"/>
  <c r="AB47" i="8"/>
  <c r="Q45" i="8"/>
  <c r="AF45" i="8"/>
  <c r="M45" i="8"/>
  <c r="AB45" i="8"/>
  <c r="Q43" i="8"/>
  <c r="AF43" i="8"/>
  <c r="M43" i="8"/>
  <c r="AB43" i="8"/>
  <c r="Q41" i="8"/>
  <c r="AF41" i="8"/>
  <c r="M41" i="8"/>
  <c r="AB41" i="8"/>
  <c r="Q39" i="8"/>
  <c r="AF39" i="8"/>
  <c r="M39" i="8"/>
  <c r="AB39" i="8"/>
  <c r="Q37" i="8"/>
  <c r="AF37" i="8"/>
  <c r="M37" i="8"/>
  <c r="AB37" i="8"/>
  <c r="Q35" i="8"/>
  <c r="AF35" i="8"/>
  <c r="S5" i="8"/>
  <c r="S9" i="8"/>
  <c r="S26" i="8"/>
  <c r="S30" i="8"/>
  <c r="S34" i="8"/>
  <c r="S38" i="8"/>
  <c r="S42" i="8"/>
  <c r="S46" i="8"/>
  <c r="N50" i="8"/>
  <c r="AC50" i="8"/>
  <c r="R49" i="8"/>
  <c r="S47" i="8"/>
  <c r="T46" i="8"/>
  <c r="P46" i="8"/>
  <c r="AE46" i="8"/>
  <c r="T44" i="8"/>
  <c r="P44" i="8"/>
  <c r="AE44" i="8"/>
  <c r="T42" i="8"/>
  <c r="P42" i="8"/>
  <c r="AE42" i="8"/>
  <c r="T40" i="8"/>
  <c r="P40" i="8"/>
  <c r="AE40" i="8"/>
  <c r="T38" i="8"/>
  <c r="P38" i="8"/>
  <c r="AE38" i="8"/>
  <c r="T36" i="8"/>
  <c r="P36" i="8"/>
  <c r="AE36" i="8"/>
  <c r="S33" i="8"/>
  <c r="O33" i="8"/>
  <c r="AD33" i="8"/>
  <c r="S31" i="8"/>
  <c r="O31" i="8"/>
  <c r="AD31" i="8"/>
  <c r="S29" i="8"/>
  <c r="O29" i="8"/>
  <c r="AD29" i="8"/>
  <c r="S27" i="8"/>
  <c r="O27" i="8"/>
  <c r="AD27" i="8"/>
  <c r="S25" i="8"/>
  <c r="O25" i="8"/>
  <c r="AD25" i="8"/>
  <c r="S23" i="8"/>
  <c r="O35" i="8"/>
  <c r="AD35" i="8"/>
  <c r="T34" i="8"/>
  <c r="P34" i="8"/>
  <c r="AE34" i="8"/>
  <c r="T32" i="8"/>
  <c r="P32" i="8"/>
  <c r="AE32" i="8"/>
  <c r="T30" i="8"/>
  <c r="P30" i="8"/>
  <c r="AE30" i="8"/>
  <c r="T28" i="8"/>
  <c r="P28" i="8"/>
  <c r="AE28" i="8"/>
  <c r="T26" i="8"/>
  <c r="P26" i="8"/>
  <c r="AE26" i="8"/>
  <c r="T24" i="8"/>
  <c r="P24" i="8"/>
  <c r="AE24" i="8"/>
  <c r="P23" i="8"/>
  <c r="AE23" i="8"/>
  <c r="S21" i="8"/>
  <c r="O21" i="8"/>
  <c r="AD21" i="8"/>
  <c r="S19" i="8"/>
  <c r="O19" i="8"/>
  <c r="AD19" i="8"/>
  <c r="S17" i="8"/>
  <c r="O17" i="8"/>
  <c r="AD17" i="8"/>
  <c r="S15" i="8"/>
  <c r="M23" i="8"/>
  <c r="AB23" i="8"/>
  <c r="R22" i="8"/>
  <c r="N22" i="8"/>
  <c r="AC22" i="8"/>
  <c r="R20" i="8"/>
  <c r="R18" i="8"/>
  <c r="R16" i="8"/>
  <c r="Q14" i="8"/>
  <c r="AF14" i="8"/>
  <c r="R13" i="8"/>
  <c r="Q10" i="8"/>
  <c r="AF10" i="8"/>
  <c r="P13" i="8"/>
  <c r="AE13" i="8"/>
  <c r="P11" i="8"/>
  <c r="AE11" i="8"/>
  <c r="S8" i="8"/>
  <c r="S6" i="8"/>
  <c r="P7" i="8"/>
  <c r="AE7" i="8"/>
  <c r="M5" i="8"/>
  <c r="AB5" i="8"/>
  <c r="S2" i="8"/>
  <c r="R4" i="8"/>
  <c r="V29" i="8"/>
  <c r="X45" i="8"/>
  <c r="V30" i="8"/>
  <c r="X37" i="8"/>
  <c r="V33" i="8"/>
  <c r="V46" i="8"/>
  <c r="V34" i="8"/>
  <c r="V38" i="8"/>
  <c r="X39" i="8"/>
  <c r="X43" i="8"/>
  <c r="X47" i="8"/>
  <c r="V51" i="8"/>
  <c r="V42" i="8"/>
  <c r="X41" i="8"/>
  <c r="X23" i="8"/>
  <c r="V14" i="8"/>
  <c r="V48" i="8"/>
  <c r="V2" i="8"/>
  <c r="V3" i="8"/>
  <c r="V5" i="8"/>
  <c r="V6" i="8"/>
  <c r="V8" i="8"/>
  <c r="V9" i="8"/>
  <c r="V10" i="8"/>
  <c r="V12" i="8"/>
  <c r="V17" i="8"/>
  <c r="V13" i="8"/>
  <c r="V15" i="8"/>
  <c r="V18" i="8"/>
  <c r="V19" i="8"/>
  <c r="V21" i="8"/>
  <c r="V22" i="8"/>
  <c r="V25" i="8"/>
  <c r="V26" i="8"/>
  <c r="AB61" i="8"/>
  <c r="AE61" i="8"/>
  <c r="AC61" i="8"/>
  <c r="V27" i="8"/>
  <c r="V37" i="8"/>
  <c r="V41" i="8"/>
  <c r="V45" i="8"/>
  <c r="X49" i="8"/>
  <c r="X5" i="8"/>
  <c r="V23" i="8"/>
  <c r="X25" i="8"/>
  <c r="V31" i="8"/>
  <c r="V47" i="8"/>
  <c r="X2" i="8"/>
  <c r="V52" i="8"/>
  <c r="X52" i="8"/>
  <c r="X48" i="8"/>
  <c r="X40" i="8"/>
  <c r="X32" i="8"/>
  <c r="X24" i="8"/>
  <c r="X16" i="8"/>
  <c r="X9" i="8"/>
  <c r="X36" i="8"/>
  <c r="AD61" i="8"/>
  <c r="X6" i="8"/>
  <c r="X8" i="8"/>
  <c r="X19" i="8"/>
  <c r="AF61" i="8"/>
  <c r="X50" i="8"/>
  <c r="X46" i="8"/>
  <c r="X42" i="8"/>
  <c r="X38" i="8"/>
  <c r="X34" i="8"/>
  <c r="X30" i="8"/>
  <c r="X26" i="8"/>
  <c r="X22" i="8"/>
  <c r="X18" i="8"/>
  <c r="X15" i="8"/>
  <c r="X11" i="8"/>
  <c r="X7" i="8"/>
  <c r="X3" i="8"/>
  <c r="V50" i="8"/>
  <c r="X51" i="8"/>
  <c r="X35" i="8"/>
  <c r="X27" i="8"/>
  <c r="X21" i="8"/>
  <c r="X17" i="8"/>
  <c r="X14" i="8"/>
  <c r="X4" i="8"/>
  <c r="X10" i="8"/>
  <c r="X12" i="8"/>
  <c r="X20" i="8"/>
  <c r="X13" i="8"/>
  <c r="X28" i="8"/>
  <c r="X29" i="8"/>
  <c r="X31" i="8"/>
  <c r="X33" i="8"/>
  <c r="X44" i="8"/>
  <c r="V43" i="8"/>
  <c r="AC62" i="8"/>
  <c r="AE62" i="8"/>
  <c r="AD62" i="8"/>
  <c r="Z63" i="8"/>
  <c r="AB62" i="8"/>
  <c r="AF62" i="8"/>
  <c r="AA62" i="8"/>
  <c r="V24" i="8"/>
  <c r="V28" i="8"/>
  <c r="V32" i="8"/>
  <c r="V36" i="8"/>
  <c r="V40" i="8"/>
  <c r="V44" i="8"/>
  <c r="V39" i="8"/>
  <c r="V7" i="8"/>
  <c r="V11" i="8"/>
  <c r="AB57" i="8"/>
  <c r="AB58" i="8"/>
  <c r="AB56" i="8"/>
  <c r="AB59" i="8"/>
  <c r="AB60" i="8"/>
  <c r="AF57" i="8"/>
  <c r="AF58" i="8"/>
  <c r="AF56" i="8"/>
  <c r="AF59" i="8"/>
  <c r="AF60" i="8"/>
  <c r="AC58" i="8"/>
  <c r="AC56" i="8"/>
  <c r="AC57" i="8"/>
  <c r="AC59" i="8"/>
  <c r="AC60" i="8"/>
  <c r="AE58" i="8"/>
  <c r="AE57" i="8"/>
  <c r="AE56" i="8"/>
  <c r="AE59" i="8"/>
  <c r="AE60" i="8"/>
  <c r="V35" i="8"/>
  <c r="AD57" i="8"/>
  <c r="AD58" i="8"/>
  <c r="AD56" i="8"/>
  <c r="AD59" i="8"/>
  <c r="AD60" i="8"/>
  <c r="V4" i="8"/>
  <c r="V16" i="8"/>
  <c r="V20" i="8"/>
  <c r="V49" i="8"/>
  <c r="Y41" i="8"/>
  <c r="Y18" i="8"/>
  <c r="Y5" i="8"/>
  <c r="Y14" i="8"/>
  <c r="Y3" i="8"/>
  <c r="Y27" i="8"/>
  <c r="Y28" i="8"/>
  <c r="Y21" i="8"/>
  <c r="Y15" i="8"/>
  <c r="Y9" i="8"/>
  <c r="Y23" i="8"/>
  <c r="Y50" i="8"/>
  <c r="Y45" i="8"/>
  <c r="Y24" i="8"/>
  <c r="Y6" i="8"/>
  <c r="Y26" i="8"/>
  <c r="Y25" i="8"/>
  <c r="Y36" i="8"/>
  <c r="Y37" i="8"/>
  <c r="Y10" i="8"/>
  <c r="Y30" i="8"/>
  <c r="Y43" i="8"/>
  <c r="Y12" i="8"/>
  <c r="Y48" i="8"/>
  <c r="Y29" i="8"/>
  <c r="Y46" i="8"/>
  <c r="Y19" i="8"/>
  <c r="Y39" i="8"/>
  <c r="Y2" i="8"/>
  <c r="Y4" i="8"/>
  <c r="Y52" i="8"/>
  <c r="Y49" i="8"/>
  <c r="Y20" i="8"/>
  <c r="Y47" i="8"/>
  <c r="Y13" i="8"/>
  <c r="Y16" i="8"/>
  <c r="Y11" i="8"/>
  <c r="Y44" i="8"/>
  <c r="Y35" i="8"/>
  <c r="Y32" i="8"/>
  <c r="Y34" i="8"/>
  <c r="Y33" i="8"/>
  <c r="Y51" i="8"/>
  <c r="Y7" i="8"/>
  <c r="Y38" i="8"/>
  <c r="Y8" i="8"/>
  <c r="Y40" i="8"/>
  <c r="Y42" i="8"/>
  <c r="Y31" i="8"/>
  <c r="Y22" i="8"/>
  <c r="Y17" i="8"/>
  <c r="AB63" i="8"/>
  <c r="AD63" i="8"/>
  <c r="AF63" i="8"/>
  <c r="AC63" i="8"/>
  <c r="AA63" i="8"/>
  <c r="AE63" i="8"/>
  <c r="Z64" i="8"/>
  <c r="Y63" i="8"/>
  <c r="AG63" i="8"/>
  <c r="Y62" i="8"/>
  <c r="AG62" i="8"/>
  <c r="Y61" i="8"/>
  <c r="AG61" i="8"/>
  <c r="Y60" i="8"/>
  <c r="AG60" i="8"/>
  <c r="Y59" i="8"/>
  <c r="AG59" i="8"/>
  <c r="Y56" i="8"/>
  <c r="AG56" i="8"/>
  <c r="Y58" i="8"/>
  <c r="AG58" i="8"/>
  <c r="Y57" i="8"/>
  <c r="AG57" i="8"/>
  <c r="Y64" i="8"/>
  <c r="AG64" i="8"/>
  <c r="AC64" i="8"/>
  <c r="AE64" i="8"/>
  <c r="AB64" i="8"/>
  <c r="AF64" i="8"/>
  <c r="Z65" i="8"/>
  <c r="AD64" i="8"/>
  <c r="AA64" i="8"/>
  <c r="Y65" i="8"/>
  <c r="AG65" i="8"/>
  <c r="AB65" i="8"/>
  <c r="AD65" i="8"/>
  <c r="AF65" i="8"/>
  <c r="AE65" i="8"/>
  <c r="AA65" i="8"/>
  <c r="AC65" i="8"/>
  <c r="Z66" i="8"/>
  <c r="Y66" i="8"/>
  <c r="AG66" i="8"/>
  <c r="AC66" i="8"/>
  <c r="AE66" i="8"/>
  <c r="AD66" i="8"/>
  <c r="Z67" i="8"/>
  <c r="AB66" i="8"/>
  <c r="AF66" i="8"/>
  <c r="AA66" i="8"/>
  <c r="Y67" i="8"/>
  <c r="AG67" i="8"/>
  <c r="AB67" i="8"/>
  <c r="AD67" i="8"/>
  <c r="AF67" i="8"/>
  <c r="AC67" i="8"/>
  <c r="AA67" i="8"/>
  <c r="AE67" i="8"/>
  <c r="Z68" i="8"/>
  <c r="Y68" i="8"/>
  <c r="AG68" i="8"/>
  <c r="AC68" i="8"/>
  <c r="AE68" i="8"/>
  <c r="AB68" i="8"/>
  <c r="AF68" i="8"/>
  <c r="Z69" i="8"/>
  <c r="AD68" i="8"/>
  <c r="AA68" i="8"/>
  <c r="Y69" i="8"/>
  <c r="AG69" i="8"/>
  <c r="AB69" i="8"/>
  <c r="AD69" i="8"/>
  <c r="AF69" i="8"/>
  <c r="AE69" i="8"/>
  <c r="AA69" i="8"/>
  <c r="AC69" i="8"/>
  <c r="Z70" i="8"/>
  <c r="Y70" i="8"/>
  <c r="AG70" i="8"/>
  <c r="AC70" i="8"/>
  <c r="AE70" i="8"/>
  <c r="AD70" i="8"/>
  <c r="Z71" i="8"/>
  <c r="AB70" i="8"/>
  <c r="AF70" i="8"/>
  <c r="AA70" i="8"/>
  <c r="Y71" i="8"/>
  <c r="AG71" i="8"/>
  <c r="AB71" i="8"/>
  <c r="AD71" i="8"/>
  <c r="AF71" i="8"/>
  <c r="AC71" i="8"/>
  <c r="AA71" i="8"/>
  <c r="AE71" i="8"/>
  <c r="Z72" i="8"/>
  <c r="Y72" i="8"/>
  <c r="AG72" i="8"/>
  <c r="AC72" i="8"/>
  <c r="AE72" i="8"/>
  <c r="AB72" i="8"/>
  <c r="AF72" i="8"/>
  <c r="Z73" i="8"/>
  <c r="AD72" i="8"/>
  <c r="AA72" i="8"/>
  <c r="Y73" i="8"/>
  <c r="AG73" i="8"/>
  <c r="AB73" i="8"/>
  <c r="AD73" i="8"/>
  <c r="AF73" i="8"/>
  <c r="AE73" i="8"/>
  <c r="AA73" i="8"/>
  <c r="AC73" i="8"/>
  <c r="Z74" i="8"/>
  <c r="Y74" i="8"/>
  <c r="AG74" i="8"/>
  <c r="AC74" i="8"/>
  <c r="AE74" i="8"/>
  <c r="AD74" i="8"/>
  <c r="Z75" i="8"/>
  <c r="AB74" i="8"/>
  <c r="AF74" i="8"/>
  <c r="AA74" i="8"/>
  <c r="Y75" i="8"/>
  <c r="AG75" i="8"/>
  <c r="AB75" i="8"/>
  <c r="AD75" i="8"/>
  <c r="AF75" i="8"/>
  <c r="AC75" i="8"/>
  <c r="AA75" i="8"/>
  <c r="AE75" i="8"/>
  <c r="Z76" i="8"/>
  <c r="Y76" i="8"/>
  <c r="AG76" i="8"/>
  <c r="AC76" i="8"/>
  <c r="AE76" i="8"/>
  <c r="AB76" i="8"/>
  <c r="AF76" i="8"/>
  <c r="Z77" i="8"/>
  <c r="AD76" i="8"/>
  <c r="AA76" i="8"/>
  <c r="Y77" i="8"/>
  <c r="AG77" i="8"/>
  <c r="AB77" i="8"/>
  <c r="AD77" i="8"/>
  <c r="AF77" i="8"/>
  <c r="AE77" i="8"/>
  <c r="AA77" i="8"/>
  <c r="AC77" i="8"/>
  <c r="Z78" i="8"/>
  <c r="Y78" i="8"/>
  <c r="AG78" i="8"/>
  <c r="AC78" i="8"/>
  <c r="AE78" i="8"/>
  <c r="AD78" i="8"/>
  <c r="Z79" i="8"/>
  <c r="AB78" i="8"/>
  <c r="AF78" i="8"/>
  <c r="AA78" i="8"/>
  <c r="Y79" i="8"/>
  <c r="AG79" i="8"/>
  <c r="AB79" i="8"/>
  <c r="AD79" i="8"/>
  <c r="AF79" i="8"/>
  <c r="AC79" i="8"/>
  <c r="AA79" i="8"/>
  <c r="AE79" i="8"/>
  <c r="Z80" i="8"/>
  <c r="Y80" i="8"/>
  <c r="AG80" i="8"/>
  <c r="AC80" i="8"/>
  <c r="AE80" i="8"/>
  <c r="AB80" i="8"/>
  <c r="AF80" i="8"/>
  <c r="Z81" i="8"/>
  <c r="AD80" i="8"/>
  <c r="AA80" i="8"/>
  <c r="Y81" i="8"/>
  <c r="AG81" i="8"/>
  <c r="AB81" i="8"/>
  <c r="AD81" i="8"/>
  <c r="AF81" i="8"/>
  <c r="AE81" i="8"/>
  <c r="AA81" i="8"/>
  <c r="AC81" i="8"/>
  <c r="Z82" i="8"/>
  <c r="Y82" i="8"/>
  <c r="AG82" i="8"/>
  <c r="AC82" i="8"/>
  <c r="AE82" i="8"/>
  <c r="AD82" i="8"/>
  <c r="Z83" i="8"/>
  <c r="AB82" i="8"/>
  <c r="AF82" i="8"/>
  <c r="AA82" i="8"/>
  <c r="Y83" i="8"/>
  <c r="AG83" i="8"/>
  <c r="AB83" i="8"/>
  <c r="AD83" i="8"/>
  <c r="AF83" i="8"/>
  <c r="AC83" i="8"/>
  <c r="AA83" i="8"/>
  <c r="AE83" i="8"/>
  <c r="Z84" i="8"/>
  <c r="Y84" i="8"/>
  <c r="AG84" i="8"/>
  <c r="AC84" i="8"/>
  <c r="AE84" i="8"/>
  <c r="AB84" i="8"/>
  <c r="AF84" i="8"/>
  <c r="Z85" i="8"/>
  <c r="AD84" i="8"/>
  <c r="AA84" i="8"/>
  <c r="Y85" i="8"/>
  <c r="AG85" i="8"/>
  <c r="AB85" i="8"/>
  <c r="AD85" i="8"/>
  <c r="AF85" i="8"/>
  <c r="AE85" i="8"/>
  <c r="AA85" i="8"/>
  <c r="AC85" i="8"/>
  <c r="Z86" i="8"/>
  <c r="Y86" i="8"/>
  <c r="AG86" i="8"/>
  <c r="AC86" i="8"/>
  <c r="AE86" i="8"/>
  <c r="AD86" i="8"/>
  <c r="Z87" i="8"/>
  <c r="AB86" i="8"/>
  <c r="AF86" i="8"/>
  <c r="AA86" i="8"/>
  <c r="Y87" i="8"/>
  <c r="AG87" i="8"/>
  <c r="AB87" i="8"/>
  <c r="AD87" i="8"/>
  <c r="AF87" i="8"/>
  <c r="AC87" i="8"/>
  <c r="AA87" i="8"/>
  <c r="AE87" i="8"/>
  <c r="Z88" i="8"/>
  <c r="Y88" i="8"/>
  <c r="AG88" i="8"/>
  <c r="AC88" i="8"/>
  <c r="AE88" i="8"/>
  <c r="AB88" i="8"/>
  <c r="AF88" i="8"/>
  <c r="Z89" i="8"/>
  <c r="AD88" i="8"/>
  <c r="AA88" i="8"/>
  <c r="Y89" i="8"/>
  <c r="AG89" i="8"/>
  <c r="AB89" i="8"/>
  <c r="AD89" i="8"/>
  <c r="AF89" i="8"/>
  <c r="AE89" i="8"/>
  <c r="AA89" i="8"/>
  <c r="AC89" i="8"/>
  <c r="Z90" i="8"/>
  <c r="Y90" i="8"/>
  <c r="AG90" i="8"/>
  <c r="AC90" i="8"/>
  <c r="AE90" i="8"/>
  <c r="AD90" i="8"/>
  <c r="Z91" i="8"/>
  <c r="AB90" i="8"/>
  <c r="AF90" i="8"/>
  <c r="AA90" i="8"/>
  <c r="Y91" i="8"/>
  <c r="AG91" i="8"/>
  <c r="AB91" i="8"/>
  <c r="AD91" i="8"/>
  <c r="AF91" i="8"/>
  <c r="AC91" i="8"/>
  <c r="AA91" i="8"/>
  <c r="AE91" i="8"/>
  <c r="Z92" i="8"/>
  <c r="Y92" i="8"/>
  <c r="AG92" i="8"/>
  <c r="AC92" i="8"/>
  <c r="AE92" i="8"/>
  <c r="AB92" i="8"/>
  <c r="AF92" i="8"/>
  <c r="Z93" i="8"/>
  <c r="AD92" i="8"/>
  <c r="AA92" i="8"/>
  <c r="Y93" i="8"/>
  <c r="AG93" i="8"/>
  <c r="AB93" i="8"/>
  <c r="AD93" i="8"/>
  <c r="AF93" i="8"/>
  <c r="AE93" i="8"/>
  <c r="AA93" i="8"/>
  <c r="AC93" i="8"/>
  <c r="Z94" i="8"/>
  <c r="Y94" i="8"/>
  <c r="AG94" i="8"/>
  <c r="AC94" i="8"/>
  <c r="AE94" i="8"/>
  <c r="AD94" i="8"/>
  <c r="Z95" i="8"/>
  <c r="AB94" i="8"/>
  <c r="AF94" i="8"/>
  <c r="AA94" i="8"/>
  <c r="Y95" i="8"/>
  <c r="AG95" i="8"/>
  <c r="AB95" i="8"/>
  <c r="AD95" i="8"/>
  <c r="AF95" i="8"/>
  <c r="AC95" i="8"/>
  <c r="AA95" i="8"/>
  <c r="AE95" i="8"/>
  <c r="Z96" i="8"/>
  <c r="Y96" i="8"/>
  <c r="AG96" i="8"/>
  <c r="AC96" i="8"/>
  <c r="AE96" i="8"/>
  <c r="AB96" i="8"/>
  <c r="AF96" i="8"/>
  <c r="Z97" i="8"/>
  <c r="AD96" i="8"/>
  <c r="AA96" i="8"/>
  <c r="Y97" i="8"/>
  <c r="AG97" i="8"/>
  <c r="AB97" i="8"/>
  <c r="AD97" i="8"/>
  <c r="AF97" i="8"/>
  <c r="AE97" i="8"/>
  <c r="AA97" i="8"/>
  <c r="AC97" i="8"/>
  <c r="Z98" i="8"/>
  <c r="Y98" i="8"/>
  <c r="AG98" i="8"/>
  <c r="AC98" i="8"/>
  <c r="AE98" i="8"/>
  <c r="AD98" i="8"/>
  <c r="Z99" i="8"/>
  <c r="AB98" i="8"/>
  <c r="AF98" i="8"/>
  <c r="AA98" i="8"/>
  <c r="Y99" i="8"/>
  <c r="AG99" i="8"/>
  <c r="AB99" i="8"/>
  <c r="AD99" i="8"/>
  <c r="AF99" i="8"/>
  <c r="AC99" i="8"/>
  <c r="AA99" i="8"/>
  <c r="AE99" i="8"/>
  <c r="Z100" i="8"/>
  <c r="Y100" i="8"/>
  <c r="AG100" i="8"/>
  <c r="AC100" i="8"/>
  <c r="AE100" i="8"/>
  <c r="AB100" i="8"/>
  <c r="AF100" i="8"/>
  <c r="Z101" i="8"/>
  <c r="AD100" i="8"/>
  <c r="AA100" i="8"/>
  <c r="Y101" i="8"/>
  <c r="AG101" i="8"/>
  <c r="AB101" i="8"/>
  <c r="AD101" i="8"/>
  <c r="AF101" i="8"/>
  <c r="AE101" i="8"/>
  <c r="AA101" i="8"/>
  <c r="AC101" i="8"/>
  <c r="Z102" i="8"/>
  <c r="Y102" i="8"/>
  <c r="AG102" i="8"/>
  <c r="AC102" i="8"/>
  <c r="AE102" i="8"/>
  <c r="Z103" i="8"/>
  <c r="AB102" i="8"/>
  <c r="AD102" i="8"/>
  <c r="AF102" i="8"/>
  <c r="AA102" i="8"/>
  <c r="Y103" i="8"/>
  <c r="AG103" i="8"/>
  <c r="AB103" i="8"/>
  <c r="AD103" i="8"/>
  <c r="AF103" i="8"/>
  <c r="AA103" i="8"/>
  <c r="AC103" i="8"/>
  <c r="AE103" i="8"/>
  <c r="Z104" i="8"/>
  <c r="Y104" i="8"/>
  <c r="AG104" i="8"/>
  <c r="AC104" i="8"/>
  <c r="AE104" i="8"/>
  <c r="Z105" i="8"/>
  <c r="AB104" i="8"/>
  <c r="AD104" i="8"/>
  <c r="AF104" i="8"/>
  <c r="AA104" i="8"/>
  <c r="Y105" i="8"/>
  <c r="AG105" i="8"/>
  <c r="AB105" i="8"/>
  <c r="AD105" i="8"/>
  <c r="AF105" i="8"/>
  <c r="AA105" i="8"/>
  <c r="AC105" i="8"/>
  <c r="AE105" i="8"/>
</calcChain>
</file>

<file path=xl/sharedStrings.xml><?xml version="1.0" encoding="utf-8"?>
<sst xmlns="http://schemas.openxmlformats.org/spreadsheetml/2006/main" count="1768" uniqueCount="173">
  <si>
    <t>Network Speed (congested), Network Speed (freeflow), Population: TTI complete data 1982-2007 (calculated from 1990 values only)</t>
  </si>
  <si>
    <t>Employment: Census 1990, sum of responses to question P050. Travel Time to Work: Workers 16 years and over (American FactFinder)</t>
  </si>
  <si>
    <t>Inland Empire**</t>
    <phoneticPr fontId="21" type="noConversion"/>
  </si>
  <si>
    <t>San Jose**</t>
    <phoneticPr fontId="21" type="noConversion"/>
  </si>
  <si>
    <t>** Uses 1995 Employment</t>
    <phoneticPr fontId="21" type="noConversion"/>
  </si>
  <si>
    <t>Network Speed (congested), Network Speed (freeflow), Population: TTI complete data 1982-2007 (calculated from 2001 values only), FHWA data on highway usage in 2001</t>
  </si>
  <si>
    <t>Austin*</t>
  </si>
  <si>
    <t>Grand Rapids*</t>
  </si>
  <si>
    <t>Honolulu*</t>
  </si>
  <si>
    <t>Jacksonville*</t>
  </si>
  <si>
    <t>Las Vegas*</t>
  </si>
  <si>
    <t>Louisville*</t>
  </si>
  <si>
    <t>Memphis*</t>
  </si>
  <si>
    <t>Nashville*</t>
  </si>
  <si>
    <t>Oklahoma City*</t>
  </si>
  <si>
    <t>Raleigh*</t>
  </si>
  <si>
    <t>Area</t>
  </si>
  <si>
    <t>S_a</t>
  </si>
  <si>
    <t>S_n</t>
  </si>
  <si>
    <t>R_a</t>
  </si>
  <si>
    <t>Airline Radius [km]</t>
  </si>
  <si>
    <t>Average Airline Speed [km/h]</t>
  </si>
  <si>
    <t>A_30</t>
  </si>
  <si>
    <r>
      <t>Area covered in 30 mins [km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</si>
  <si>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D_UA</t>
  </si>
  <si>
    <r>
      <t>Urbanized area density [people/km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</si>
  <si>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Atlanta</t>
  </si>
  <si>
    <t>Austin</t>
  </si>
  <si>
    <t>Baltimore</t>
  </si>
  <si>
    <t>Boston</t>
  </si>
  <si>
    <t>Buffalo</t>
  </si>
  <si>
    <t>Charlotte</t>
  </si>
  <si>
    <t>Chicago</t>
  </si>
  <si>
    <t>Cincinnati</t>
  </si>
  <si>
    <t>Cleveland</t>
  </si>
  <si>
    <t>Columbus</t>
  </si>
  <si>
    <t>Denver</t>
  </si>
  <si>
    <t>Detroit</t>
  </si>
  <si>
    <t>Hartford</t>
  </si>
  <si>
    <t>Houston</t>
  </si>
  <si>
    <t>Indianapolis</t>
  </si>
  <si>
    <t>Jacksonville</t>
  </si>
  <si>
    <t>Louisville</t>
  </si>
  <si>
    <t>Memphis</t>
  </si>
  <si>
    <t>Milwaukee</t>
  </si>
  <si>
    <t>Minneapolis-St.Paul</t>
  </si>
  <si>
    <t>Nashville</t>
  </si>
  <si>
    <t>New Orleans</t>
  </si>
  <si>
    <t>Orlando</t>
  </si>
  <si>
    <t>Phoenix</t>
  </si>
  <si>
    <t>Pittsburgh</t>
  </si>
  <si>
    <t>Portland</t>
  </si>
  <si>
    <t>Providence</t>
  </si>
  <si>
    <t>Raleigh</t>
  </si>
  <si>
    <t>Sacramento</t>
  </si>
  <si>
    <t>Salt Lake City</t>
  </si>
  <si>
    <t>Seattle</t>
  </si>
  <si>
    <t>St. Louis</t>
  </si>
  <si>
    <t>Hampton Roads</t>
  </si>
  <si>
    <t>Washington</t>
  </si>
  <si>
    <t>Network Speed (congested) [km/h]</t>
  </si>
  <si>
    <t>Network Speed (freeflow) [km/h]</t>
  </si>
  <si>
    <t>Dallas-Fort Worth</t>
  </si>
  <si>
    <t>Las Vegas</t>
  </si>
  <si>
    <t>Los Angeles</t>
  </si>
  <si>
    <t>New York</t>
  </si>
  <si>
    <t>Oklahoma City</t>
  </si>
  <si>
    <t>Philadelphia</t>
  </si>
  <si>
    <t>San Antonio</t>
  </si>
  <si>
    <t>San Diego</t>
  </si>
  <si>
    <t>San Francisco</t>
  </si>
  <si>
    <t>Tampa Bay</t>
  </si>
  <si>
    <r>
      <t>San Jose</t>
    </r>
    <r>
      <rPr>
        <vertAlign val="superscript"/>
        <sz val="11"/>
        <color theme="1"/>
        <rFont val="Calibri"/>
        <family val="2"/>
        <scheme val="minor"/>
      </rPr>
      <t>1</t>
    </r>
  </si>
  <si>
    <r>
      <t>Inland Empire</t>
    </r>
    <r>
      <rPr>
        <vertAlign val="superscript"/>
        <sz val="11"/>
        <color theme="1"/>
        <rFont val="Calibri"/>
        <family val="2"/>
        <scheme val="minor"/>
      </rPr>
      <t>1</t>
    </r>
  </si>
  <si>
    <t>Notes:</t>
  </si>
  <si>
    <t>Kansas City</t>
  </si>
  <si>
    <t>South Florida</t>
  </si>
  <si>
    <t>Accessibility</t>
  </si>
  <si>
    <r>
      <t>C</t>
    </r>
    <r>
      <rPr>
        <vertAlign val="superscript"/>
        <sz val="11"/>
        <color theme="1"/>
        <rFont val="Calibri"/>
        <family val="2"/>
        <scheme val="minor"/>
      </rPr>
      <t>2</t>
    </r>
  </si>
  <si>
    <t>Population</t>
  </si>
  <si>
    <t>Grand Rapids</t>
  </si>
  <si>
    <t>Honolulu</t>
  </si>
  <si>
    <t>Rochester</t>
  </si>
  <si>
    <r>
      <t>Area [km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</si>
  <si>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r>
      <t>Area [km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]</t>
    </r>
  </si>
  <si>
    <t>Inland Empire</t>
  </si>
  <si>
    <t>San Jose</t>
  </si>
  <si>
    <r>
      <t>C</t>
    </r>
    <r>
      <rPr>
        <vertAlign val="superscript"/>
        <sz val="11"/>
        <color theme="1"/>
        <rFont val="Calibri"/>
        <family val="2"/>
        <scheme val="minor"/>
      </rPr>
      <t>1</t>
    </r>
  </si>
  <si>
    <t>Employment</t>
  </si>
  <si>
    <t>Employment Accessibility</t>
  </si>
  <si>
    <t>Employment Density</t>
  </si>
  <si>
    <t>Circuity [ ]</t>
  </si>
  <si>
    <t>.</t>
  </si>
  <si>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Circuity is from a sample of OD points with network distance matched to average commute distance</t>
    </r>
  </si>
  <si>
    <r>
      <t>Urbanized Area [km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</si>
  <si>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Data Sources:</t>
  </si>
  <si>
    <t>Circuity: Networks are Census Tiger 2008 county-level shapefiles merged together, commute distances are from 1990 NPTS</t>
  </si>
  <si>
    <t>* Circuity is based on either 1995 or 2001 commute distance; 1990 commute distance not available</t>
  </si>
  <si>
    <t>Providence*</t>
  </si>
  <si>
    <t>* Circuitry is from 2001 commute distance; 1995 commute distance unavailable</t>
  </si>
  <si>
    <r>
      <t>Honolulu*</t>
    </r>
    <r>
      <rPr>
        <vertAlign val="superscript"/>
        <sz val="11"/>
        <color theme="1"/>
        <rFont val="Calibri"/>
        <family val="2"/>
        <scheme val="minor"/>
      </rPr>
      <t>2</t>
    </r>
  </si>
  <si>
    <r>
      <t>Grand Rapids*</t>
    </r>
    <r>
      <rPr>
        <vertAlign val="superscript"/>
        <sz val="11"/>
        <color theme="1"/>
        <rFont val="Calibri"/>
        <family val="2"/>
        <scheme val="minor"/>
      </rPr>
      <t>2</t>
    </r>
  </si>
  <si>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Population from 1990 Census</t>
    </r>
  </si>
  <si>
    <t>Min EA, E</t>
    <phoneticPr fontId="21" type="noConversion"/>
  </si>
  <si>
    <t>MinPA,P</t>
    <phoneticPr fontId="21" type="noConversion"/>
  </si>
  <si>
    <t>Urbanized Area: Census 1990 Population and Housing Unit Counts (census.gov)</t>
  </si>
  <si>
    <t>Network Speed (congested), Network Speed (freeflow), Population: TTI complete data 1982-2007 (calculated from 1995 values only)</t>
  </si>
  <si>
    <t>Circuity: Networks are Census Tiger 2008 county-level shapefiles merged together, commute distances are from 1995 NPTS</t>
  </si>
  <si>
    <t>Employment: 1998 MSA Business Patterns (NAICS - from Censtats)</t>
  </si>
  <si>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Los Angeles-Inland Empire and San Francisco-San Jose were combined for the circuity analysis</t>
    </r>
  </si>
  <si>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Circuity is from a sample of OD points with network distance matched to average commute distance</t>
    </r>
  </si>
  <si>
    <t>Circuity: Networks are Census Tiger 2008 county-level shapefiles merged together, commute distances are from 2001 NHTS</t>
  </si>
  <si>
    <t>Urbanized Area: Census 2000 Urbanized Area (census.gov)</t>
  </si>
  <si>
    <t>Employment: 2001 MSA Business Patterns (NAICS - from Censtats)</t>
  </si>
  <si>
    <r>
      <t>San Francisco</t>
    </r>
    <r>
      <rPr>
        <vertAlign val="superscript"/>
        <sz val="11"/>
        <color theme="1"/>
        <rFont val="Calibri"/>
        <family val="2"/>
        <scheme val="minor"/>
      </rPr>
      <t>1</t>
    </r>
  </si>
  <si>
    <r>
      <t>C</t>
    </r>
    <r>
      <rPr>
        <vertAlign val="superscript"/>
        <sz val="11"/>
        <color theme="1"/>
        <rFont val="Calibri"/>
        <family val="2"/>
        <scheme val="minor"/>
      </rPr>
      <t>3</t>
    </r>
  </si>
  <si>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Los Angeles-Inland Empire and Baltimore-Washington used the same average commute distance, as they were grouped together in the NHTS data</t>
    </r>
  </si>
  <si>
    <r>
      <t>Washington</t>
    </r>
    <r>
      <rPr>
        <vertAlign val="superscript"/>
        <sz val="11"/>
        <color theme="1"/>
        <rFont val="Calibri"/>
        <family val="2"/>
        <scheme val="minor"/>
      </rPr>
      <t>2</t>
    </r>
  </si>
  <si>
    <r>
      <t>Baltimore</t>
    </r>
    <r>
      <rPr>
        <vertAlign val="superscript"/>
        <sz val="11"/>
        <color theme="1"/>
        <rFont val="Calibri"/>
        <family val="2"/>
        <scheme val="minor"/>
      </rPr>
      <t>2</t>
    </r>
  </si>
  <si>
    <r>
      <t>Inland Empire</t>
    </r>
    <r>
      <rPr>
        <vertAlign val="superscript"/>
        <sz val="11"/>
        <color theme="1"/>
        <rFont val="Calibri"/>
        <family val="2"/>
        <scheme val="minor"/>
      </rPr>
      <t>2</t>
    </r>
  </si>
  <si>
    <r>
      <t>Los Angeles</t>
    </r>
    <r>
      <rPr>
        <vertAlign val="superscript"/>
        <sz val="11"/>
        <color theme="1"/>
        <rFont val="Calibri"/>
        <family val="2"/>
        <scheme val="minor"/>
      </rPr>
      <t>2</t>
    </r>
  </si>
  <si>
    <t>Employment: 2008 MSA Business Patterns (NAICS - from Censtats)</t>
  </si>
  <si>
    <t>S_f</t>
  </si>
  <si>
    <t>Pop</t>
  </si>
  <si>
    <t>MinA_P</t>
  </si>
  <si>
    <t>D_Emp</t>
  </si>
  <si>
    <t>Emp</t>
  </si>
  <si>
    <t>MinA_E</t>
  </si>
  <si>
    <t>A_E</t>
  </si>
  <si>
    <t>A_P</t>
  </si>
  <si>
    <t>Rank</t>
  </si>
  <si>
    <r>
      <t>Area covered in $A$1$ hrs [km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</si>
  <si>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A_X</t>
  </si>
  <si>
    <t>Speeds - 2010 Urban Mobility Report, Exhibit A-8. Composite Freeway and Arterial (25% Freeway, 75% Arterial), converted to km/h</t>
  </si>
  <si>
    <t>MinA_E(10)</t>
  </si>
  <si>
    <t>MinA_E(20)</t>
  </si>
  <si>
    <t>MinA_E(30)</t>
  </si>
  <si>
    <t>MinA_E(40)</t>
  </si>
  <si>
    <t>MinA_E(50)</t>
  </si>
  <si>
    <t>MinA_E(60)</t>
  </si>
  <si>
    <t>MinA_E(20-10)</t>
  </si>
  <si>
    <t>MinA_E(30-20)</t>
  </si>
  <si>
    <t>MinA_E(40-30)</t>
  </si>
  <si>
    <t>MinA_E(50-40)</t>
  </si>
  <si>
    <t>MinA_E(60-50)</t>
  </si>
  <si>
    <t>SUM</t>
  </si>
  <si>
    <t>Beta</t>
  </si>
  <si>
    <t>Weighted Employment Accessibility</t>
  </si>
  <si>
    <t>Source of Beta: Levinson, David and Ajay Kumar (1995) A Multi-modal Trip Distribution Model. Transportation Research Record #1466: 124-131.</t>
  </si>
  <si>
    <t>TIME COHORT</t>
  </si>
  <si>
    <t>Weighted Average</t>
  </si>
  <si>
    <t>MinA_E(70)</t>
  </si>
  <si>
    <t>MinA_E(80)</t>
  </si>
  <si>
    <t>MinA_E(90)</t>
  </si>
  <si>
    <t>MinA_E(70-60)</t>
  </si>
  <si>
    <t>MinA_E(80-70)</t>
  </si>
  <si>
    <t>MinA_E(90-80)</t>
  </si>
  <si>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Circuitry is from a sample of OD points </t>
    </r>
    <r>
      <rPr>
        <strike/>
        <sz val="11"/>
        <color theme="1"/>
        <rFont val="Calibri"/>
        <family val="2"/>
        <scheme val="minor"/>
      </rPr>
      <t xml:space="preserve">with network distance matched to average commute distance </t>
    </r>
    <r>
      <rPr>
        <u/>
        <sz val="11"/>
        <color theme="1"/>
        <rFont val="Calibri"/>
        <family val="2"/>
        <scheme val="minor"/>
      </rPr>
      <t>with circuity weighted by matching network distance to each work commute distance interval</t>
    </r>
  </si>
  <si>
    <r>
      <t xml:space="preserve">Circuity: Networks are Census Tiger </t>
    </r>
    <r>
      <rPr>
        <strike/>
        <sz val="11"/>
        <color theme="1"/>
        <rFont val="Calibri"/>
        <family val="2"/>
        <scheme val="minor"/>
      </rPr>
      <t>2008</t>
    </r>
    <r>
      <rPr>
        <sz val="11"/>
        <color theme="1"/>
        <rFont val="Calibri"/>
        <family val="2"/>
        <scheme val="minor"/>
      </rPr>
      <t xml:space="preserve"> </t>
    </r>
    <r>
      <rPr>
        <u/>
        <sz val="11"/>
        <color theme="1"/>
        <rFont val="Calibri"/>
        <family val="2"/>
        <scheme val="minor"/>
      </rPr>
      <t>2010</t>
    </r>
    <r>
      <rPr>
        <sz val="11"/>
        <color theme="1"/>
        <rFont val="Calibri"/>
        <family val="2"/>
        <scheme val="minor"/>
      </rPr>
      <t xml:space="preserve"> county-level shapefiles merged together, commute distances are from 2009 NHTS</t>
    </r>
  </si>
  <si>
    <r>
      <t xml:space="preserve">Urbanized Area: Census </t>
    </r>
    <r>
      <rPr>
        <strike/>
        <sz val="11"/>
        <color theme="1"/>
        <rFont val="Calibri"/>
        <family val="2"/>
        <scheme val="minor"/>
      </rPr>
      <t>2000</t>
    </r>
    <r>
      <rPr>
        <sz val="11"/>
        <color theme="1"/>
        <rFont val="Calibri"/>
        <family val="2"/>
        <scheme val="minor"/>
      </rPr>
      <t xml:space="preserve"> </t>
    </r>
    <r>
      <rPr>
        <u/>
        <sz val="11"/>
        <color theme="1"/>
        <rFont val="Calibri"/>
        <family val="2"/>
        <scheme val="minor"/>
      </rPr>
      <t>2010</t>
    </r>
    <r>
      <rPr>
        <sz val="11"/>
        <color theme="1"/>
        <rFont val="Calibri"/>
        <family val="2"/>
        <scheme val="minor"/>
      </rPr>
      <t xml:space="preserve"> Urbanized Area (census.gov)</t>
    </r>
  </si>
  <si>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San Francisco-San Jose </t>
    </r>
    <r>
      <rPr>
        <strike/>
        <sz val="11"/>
        <color theme="1"/>
        <rFont val="Calibri"/>
        <family val="2"/>
        <scheme val="minor"/>
      </rPr>
      <t>were combined for the circuity analysis</t>
    </r>
    <r>
      <rPr>
        <sz val="11"/>
        <color theme="1"/>
        <rFont val="Calibri"/>
        <family val="2"/>
        <scheme val="minor"/>
      </rPr>
      <t xml:space="preserve"> </t>
    </r>
    <r>
      <rPr>
        <u/>
        <sz val="11"/>
        <color theme="1"/>
        <rFont val="Calibri"/>
        <family val="2"/>
        <scheme val="minor"/>
      </rPr>
      <t>used the same commute distance for cicuity</t>
    </r>
  </si>
  <si>
    <t>Rochester, NY</t>
  </si>
  <si>
    <t>20 Minute Distance</t>
  </si>
  <si>
    <t>20 Minute Circuity [ ]</t>
  </si>
  <si>
    <t>10 Minute Distance</t>
  </si>
  <si>
    <t>30 Minute Distance</t>
  </si>
  <si>
    <t>40 Minute Distance</t>
  </si>
  <si>
    <t>50 Minute Distance</t>
  </si>
  <si>
    <t>60 Minute Distance</t>
  </si>
  <si>
    <t>70 Minute Distance</t>
  </si>
  <si>
    <t>80 Minute Distance</t>
  </si>
  <si>
    <t>90 Minute Distance</t>
  </si>
  <si>
    <t>Time Interval Circuities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</si>
</sst>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000"/>
    <numFmt numFmtId="165" formatCode="0.000"/>
  </numFmts>
  <fonts count="46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0"/>
      <name val="Arial"/>
      <family val="2"/>
    </font>
    <font>
      <vertAlign val="superscript"/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Verdana"/>
      <family val="2"/>
    </font>
    <font>
      <b/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u/>
      <sz val="11"/>
      <color rgb="FF275E94"/>
      <name val="Calibri"/>
      <family val="2"/>
      <scheme val="minor"/>
    </font>
    <font>
      <sz val="10"/>
      <color rgb="FF000000"/>
      <name val="Arial Unicode MS"/>
      <family val="2"/>
    </font>
    <font>
      <sz val="11"/>
      <color rgb="FF00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323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0" fillId="32" borderId="0" applyNumberFormat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0"/>
    <xf numFmtId="0" fontId="30" fillId="33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7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1" borderId="0" applyNumberFormat="0" applyBorder="0" applyAlignment="0" applyProtection="0"/>
    <xf numFmtId="0" fontId="30" fillId="36" borderId="0" applyNumberFormat="0" applyBorder="0" applyAlignment="0" applyProtection="0"/>
    <xf numFmtId="0" fontId="30" fillId="39" borderId="0" applyNumberFormat="0" applyBorder="0" applyAlignment="0" applyProtection="0"/>
    <xf numFmtId="0" fontId="30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0" borderId="0" applyNumberFormat="0" applyBorder="0" applyAlignment="0" applyProtection="0"/>
    <xf numFmtId="0" fontId="31" fillId="41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50" borderId="0" applyNumberFormat="0" applyBorder="0" applyAlignment="0" applyProtection="0"/>
    <xf numFmtId="0" fontId="32" fillId="34" borderId="0" applyNumberFormat="0" applyBorder="0" applyAlignment="0" applyProtection="0"/>
    <xf numFmtId="0" fontId="33" fillId="51" borderId="10" applyNumberFormat="0" applyAlignment="0" applyProtection="0"/>
    <xf numFmtId="0" fontId="34" fillId="52" borderId="11" applyNumberFormat="0" applyAlignment="0" applyProtection="0"/>
    <xf numFmtId="0" fontId="35" fillId="0" borderId="0" applyNumberFormat="0" applyFill="0" applyBorder="0" applyAlignment="0" applyProtection="0"/>
    <xf numFmtId="0" fontId="36" fillId="35" borderId="0" applyNumberFormat="0" applyBorder="0" applyAlignment="0" applyProtection="0"/>
    <xf numFmtId="0" fontId="37" fillId="0" borderId="12" applyNumberFormat="0" applyFill="0" applyAlignment="0" applyProtection="0"/>
    <xf numFmtId="0" fontId="38" fillId="0" borderId="13" applyNumberFormat="0" applyFill="0" applyAlignment="0" applyProtection="0"/>
    <xf numFmtId="0" fontId="39" fillId="0" borderId="14" applyNumberFormat="0" applyFill="0" applyAlignment="0" applyProtection="0"/>
    <xf numFmtId="0" fontId="39" fillId="0" borderId="0" applyNumberFormat="0" applyFill="0" applyBorder="0" applyAlignment="0" applyProtection="0"/>
    <xf numFmtId="0" fontId="40" fillId="38" borderId="10" applyNumberFormat="0" applyAlignment="0" applyProtection="0"/>
    <xf numFmtId="0" fontId="41" fillId="0" borderId="15" applyNumberFormat="0" applyFill="0" applyAlignment="0" applyProtection="0"/>
    <xf numFmtId="0" fontId="42" fillId="53" borderId="0" applyNumberFormat="0" applyBorder="0" applyAlignment="0" applyProtection="0"/>
    <xf numFmtId="0" fontId="2" fillId="54" borderId="16" applyNumberFormat="0" applyFont="0" applyAlignment="0" applyProtection="0"/>
    <xf numFmtId="0" fontId="43" fillId="51" borderId="17" applyNumberFormat="0" applyAlignment="0" applyProtection="0"/>
    <xf numFmtId="0" fontId="44" fillId="0" borderId="0" applyNumberFormat="0" applyFill="0" applyBorder="0" applyAlignment="0" applyProtection="0"/>
    <xf numFmtId="0" fontId="22" fillId="0" borderId="18" applyNumberFormat="0" applyFill="0" applyAlignment="0" applyProtection="0"/>
    <xf numFmtId="0" fontId="45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 applyBorder="1"/>
    <xf numFmtId="0" fontId="0" fillId="0" borderId="0" xfId="0" applyBorder="1"/>
    <xf numFmtId="2" fontId="0" fillId="0" borderId="0" xfId="0" applyNumberFormat="1"/>
    <xf numFmtId="1" fontId="0" fillId="0" borderId="0" xfId="0" applyNumberFormat="1"/>
    <xf numFmtId="2" fontId="0" fillId="0" borderId="0" xfId="0" applyNumberFormat="1" applyFill="1"/>
    <xf numFmtId="0" fontId="0" fillId="0" borderId="0" xfId="0" applyBorder="1" applyAlignment="1">
      <alignment wrapText="1"/>
    </xf>
    <xf numFmtId="1" fontId="2" fillId="0" borderId="0" xfId="0" applyNumberFormat="1" applyFont="1"/>
    <xf numFmtId="1" fontId="0" fillId="0" borderId="0" xfId="0" applyNumberFormat="1" applyFont="1"/>
    <xf numFmtId="0" fontId="0" fillId="0" borderId="0" xfId="0" applyFont="1"/>
    <xf numFmtId="2" fontId="0" fillId="0" borderId="0" xfId="0" applyNumberFormat="1" applyAlignment="1">
      <alignment wrapText="1"/>
    </xf>
    <xf numFmtId="2" fontId="0" fillId="0" borderId="0" xfId="0" applyNumberFormat="1" applyAlignment="1"/>
    <xf numFmtId="2" fontId="0" fillId="0" borderId="0" xfId="0" applyNumberFormat="1" applyFill="1" applyBorder="1" applyAlignment="1"/>
    <xf numFmtId="3" fontId="0" fillId="0" borderId="0" xfId="0" applyNumberFormat="1" applyFont="1"/>
    <xf numFmtId="3" fontId="0" fillId="0" borderId="0" xfId="0" applyNumberFormat="1"/>
    <xf numFmtId="0" fontId="0" fillId="0" borderId="0" xfId="0"/>
    <xf numFmtId="0" fontId="0" fillId="0" borderId="0" xfId="0"/>
    <xf numFmtId="1" fontId="0" fillId="0" borderId="0" xfId="0" applyNumberFormat="1"/>
    <xf numFmtId="0" fontId="0" fillId="0" borderId="0" xfId="0"/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3" fontId="19" fillId="0" borderId="0" xfId="0" applyNumberFormat="1" applyFont="1" applyAlignment="1">
      <alignment wrapText="1"/>
    </xf>
    <xf numFmtId="3" fontId="19" fillId="0" borderId="0" xfId="0" applyNumberFormat="1" applyFont="1"/>
    <xf numFmtId="3" fontId="0" fillId="0" borderId="0" xfId="0" applyNumberFormat="1" applyAlignment="1">
      <alignment wrapText="1"/>
    </xf>
    <xf numFmtId="2" fontId="0" fillId="0" borderId="0" xfId="0" quotePrefix="1" applyNumberFormat="1" applyAlignment="1">
      <alignment horizontal="right"/>
    </xf>
    <xf numFmtId="2" fontId="0" fillId="0" borderId="0" xfId="0" applyNumberFormat="1" applyAlignment="1">
      <alignment horizontal="right"/>
    </xf>
    <xf numFmtId="3" fontId="0" fillId="0" borderId="0" xfId="0" quotePrefix="1" applyNumberFormat="1" applyAlignment="1">
      <alignment horizontal="right"/>
    </xf>
    <xf numFmtId="3" fontId="22" fillId="0" borderId="0" xfId="0" applyNumberFormat="1" applyFont="1" applyAlignment="1">
      <alignment wrapText="1"/>
    </xf>
    <xf numFmtId="43" fontId="0" fillId="0" borderId="0" xfId="80" applyFont="1"/>
    <xf numFmtId="0" fontId="19" fillId="0" borderId="0" xfId="0" applyFont="1"/>
    <xf numFmtId="0" fontId="26" fillId="0" borderId="0" xfId="0" applyFont="1" applyAlignment="1">
      <alignment vertical="center"/>
    </xf>
    <xf numFmtId="3" fontId="27" fillId="0" borderId="0" xfId="0" applyNumberFormat="1" applyFont="1" applyAlignment="1">
      <alignment vertical="center"/>
    </xf>
    <xf numFmtId="164" fontId="0" fillId="0" borderId="0" xfId="0" applyNumberFormat="1"/>
    <xf numFmtId="0" fontId="27" fillId="0" borderId="0" xfId="0" applyFont="1" applyAlignment="1">
      <alignment vertical="center"/>
    </xf>
    <xf numFmtId="165" fontId="0" fillId="0" borderId="0" xfId="0" applyNumberFormat="1" applyBorder="1"/>
    <xf numFmtId="165" fontId="0" fillId="0" borderId="19" xfId="0" applyNumberFormat="1" applyBorder="1"/>
    <xf numFmtId="165" fontId="0" fillId="0" borderId="20" xfId="0" applyNumberFormat="1" applyBorder="1"/>
    <xf numFmtId="165" fontId="0" fillId="0" borderId="20" xfId="0" applyNumberFormat="1" applyFill="1" applyBorder="1"/>
    <xf numFmtId="165" fontId="0" fillId="0" borderId="21" xfId="0" applyNumberFormat="1" applyFill="1" applyBorder="1"/>
    <xf numFmtId="0" fontId="0" fillId="0" borderId="22" xfId="0" applyBorder="1"/>
    <xf numFmtId="0" fontId="0" fillId="0" borderId="26" xfId="0" applyBorder="1"/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7" xfId="0" applyFill="1" applyBorder="1"/>
    <xf numFmtId="0" fontId="0" fillId="0" borderId="28" xfId="0" applyFill="1" applyBorder="1"/>
    <xf numFmtId="165" fontId="0" fillId="0" borderId="29" xfId="0" applyNumberFormat="1" applyFill="1" applyBorder="1"/>
    <xf numFmtId="0" fontId="0" fillId="0" borderId="30" xfId="0" applyFill="1" applyBorder="1"/>
    <xf numFmtId="165" fontId="0" fillId="0" borderId="31" xfId="0" applyNumberFormat="1" applyBorder="1"/>
    <xf numFmtId="165" fontId="0" fillId="0" borderId="31" xfId="0" applyNumberFormat="1" applyFill="1" applyBorder="1"/>
    <xf numFmtId="165" fontId="0" fillId="0" borderId="32" xfId="0" applyNumberFormat="1" applyBorder="1"/>
    <xf numFmtId="165" fontId="0" fillId="0" borderId="33" xfId="0" applyNumberFormat="1" applyBorder="1"/>
    <xf numFmtId="165" fontId="0" fillId="0" borderId="34" xfId="0" applyNumberFormat="1" applyBorder="1"/>
    <xf numFmtId="165" fontId="0" fillId="0" borderId="34" xfId="0" applyNumberFormat="1" applyFill="1" applyBorder="1"/>
    <xf numFmtId="165" fontId="0" fillId="0" borderId="35" xfId="0" applyNumberFormat="1" applyFill="1" applyBorder="1"/>
    <xf numFmtId="165" fontId="0" fillId="0" borderId="36" xfId="0" applyNumberFormat="1" applyFill="1" applyBorder="1"/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</cellXfs>
  <cellStyles count="323">
    <cellStyle name="20% - Accent1" xfId="19" builtinId="30" customBuiltin="1"/>
    <cellStyle name="20% - Accent1 2" xfId="210"/>
    <cellStyle name="20% - Accent2" xfId="23" builtinId="34" customBuiltin="1"/>
    <cellStyle name="20% - Accent2 2" xfId="211"/>
    <cellStyle name="20% - Accent3" xfId="27" builtinId="38" customBuiltin="1"/>
    <cellStyle name="20% - Accent3 2" xfId="212"/>
    <cellStyle name="20% - Accent4" xfId="31" builtinId="42" customBuiltin="1"/>
    <cellStyle name="20% - Accent4 2" xfId="213"/>
    <cellStyle name="20% - Accent5" xfId="35" builtinId="46" customBuiltin="1"/>
    <cellStyle name="20% - Accent5 2" xfId="214"/>
    <cellStyle name="20% - Accent6" xfId="39" builtinId="50" customBuiltin="1"/>
    <cellStyle name="20% - Accent6 2" xfId="215"/>
    <cellStyle name="40% - Accent1" xfId="20" builtinId="31" customBuiltin="1"/>
    <cellStyle name="40% - Accent1 2" xfId="216"/>
    <cellStyle name="40% - Accent2" xfId="24" builtinId="35" customBuiltin="1"/>
    <cellStyle name="40% - Accent2 2" xfId="217"/>
    <cellStyle name="40% - Accent3" xfId="28" builtinId="39" customBuiltin="1"/>
    <cellStyle name="40% - Accent3 2" xfId="218"/>
    <cellStyle name="40% - Accent4" xfId="32" builtinId="43" customBuiltin="1"/>
    <cellStyle name="40% - Accent4 2" xfId="219"/>
    <cellStyle name="40% - Accent5" xfId="36" builtinId="47" customBuiltin="1"/>
    <cellStyle name="40% - Accent5 2" xfId="220"/>
    <cellStyle name="40% - Accent6" xfId="40" builtinId="51" customBuiltin="1"/>
    <cellStyle name="40% - Accent6 2" xfId="221"/>
    <cellStyle name="60% - Accent1" xfId="21" builtinId="32" customBuiltin="1"/>
    <cellStyle name="60% - Accent1 2" xfId="222"/>
    <cellStyle name="60% - Accent2" xfId="25" builtinId="36" customBuiltin="1"/>
    <cellStyle name="60% - Accent2 2" xfId="223"/>
    <cellStyle name="60% - Accent3" xfId="29" builtinId="40" customBuiltin="1"/>
    <cellStyle name="60% - Accent3 2" xfId="224"/>
    <cellStyle name="60% - Accent4" xfId="33" builtinId="44" customBuiltin="1"/>
    <cellStyle name="60% - Accent4 2" xfId="225"/>
    <cellStyle name="60% - Accent5" xfId="37" builtinId="48" customBuiltin="1"/>
    <cellStyle name="60% - Accent5 2" xfId="226"/>
    <cellStyle name="60% - Accent6" xfId="41" builtinId="52" customBuiltin="1"/>
    <cellStyle name="60% - Accent6 2" xfId="227"/>
    <cellStyle name="Accent1" xfId="18" builtinId="29" customBuiltin="1"/>
    <cellStyle name="Accent1 2" xfId="228"/>
    <cellStyle name="Accent2" xfId="22" builtinId="33" customBuiltin="1"/>
    <cellStyle name="Accent2 2" xfId="229"/>
    <cellStyle name="Accent3" xfId="26" builtinId="37" customBuiltin="1"/>
    <cellStyle name="Accent3 2" xfId="230"/>
    <cellStyle name="Accent4" xfId="30" builtinId="41" customBuiltin="1"/>
    <cellStyle name="Accent4 2" xfId="231"/>
    <cellStyle name="Accent5" xfId="34" builtinId="45" customBuiltin="1"/>
    <cellStyle name="Accent5 2" xfId="232"/>
    <cellStyle name="Accent6" xfId="38" builtinId="49" customBuiltin="1"/>
    <cellStyle name="Accent6 2" xfId="233"/>
    <cellStyle name="Bad" xfId="7" builtinId="27" customBuiltin="1"/>
    <cellStyle name="Bad 2" xfId="234"/>
    <cellStyle name="Calculation" xfId="11" builtinId="22" customBuiltin="1"/>
    <cellStyle name="Calculation 2" xfId="235"/>
    <cellStyle name="Check Cell" xfId="13" builtinId="23" customBuiltin="1"/>
    <cellStyle name="Check Cell 2" xfId="236"/>
    <cellStyle name="Comma" xfId="80" builtinId="3"/>
    <cellStyle name="Explanatory Text" xfId="16" builtinId="53" customBuiltin="1"/>
    <cellStyle name="Explanatory Text 2" xfId="237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customBuiltin="1"/>
    <cellStyle name="Followed Hyperlink 2" xfId="204" hidden="1"/>
    <cellStyle name="Followed Hyperlink 2" xfId="190" hidden="1"/>
    <cellStyle name="Followed Hyperlink 2" xfId="193" hidden="1"/>
    <cellStyle name="Followed Hyperlink 2" xfId="264" hidden="1"/>
    <cellStyle name="Followed Hyperlink 2" xfId="258" hidden="1"/>
    <cellStyle name="Followed Hyperlink 2" xfId="261" hidden="1"/>
    <cellStyle name="Followed Hyperlink 2" xfId="286" hidden="1"/>
    <cellStyle name="Followed Hyperlink 2" xfId="280" hidden="1"/>
    <cellStyle name="Followed Hyperlink 2" xfId="283" hidden="1"/>
    <cellStyle name="Followed Hyperlink 2" xfId="302" hidden="1"/>
    <cellStyle name="Followed Hyperlink 2" xfId="296" hidden="1"/>
    <cellStyle name="Followed Hyperlink 2" xfId="299" hidden="1"/>
    <cellStyle name="Followed Hyperlink 2" xfId="318" hidden="1"/>
    <cellStyle name="Followed Hyperlink 2" xfId="312" hidden="1"/>
    <cellStyle name="Followed Hyperlink 2" xfId="315" hidden="1"/>
    <cellStyle name="Followed Hyperlink 3" xfId="206" hidden="1"/>
    <cellStyle name="Followed Hyperlink 3" xfId="188" hidden="1"/>
    <cellStyle name="Followed Hyperlink 3" xfId="194" hidden="1"/>
    <cellStyle name="Followed Hyperlink 3" xfId="266" hidden="1"/>
    <cellStyle name="Followed Hyperlink 3" xfId="256" hidden="1"/>
    <cellStyle name="Followed Hyperlink 3" xfId="262" hidden="1"/>
    <cellStyle name="Followed Hyperlink 3" xfId="288" hidden="1"/>
    <cellStyle name="Followed Hyperlink 3" xfId="278" hidden="1"/>
    <cellStyle name="Followed Hyperlink 3" xfId="284" hidden="1"/>
    <cellStyle name="Followed Hyperlink 3" xfId="304" hidden="1"/>
    <cellStyle name="Followed Hyperlink 3" xfId="294" hidden="1"/>
    <cellStyle name="Followed Hyperlink 3" xfId="300" hidden="1"/>
    <cellStyle name="Followed Hyperlink 3" xfId="320" hidden="1"/>
    <cellStyle name="Followed Hyperlink 3" xfId="310" hidden="1"/>
    <cellStyle name="Followed Hyperlink 3" xfId="316" hidden="1"/>
    <cellStyle name="Followed Hyperlink 4" xfId="208" hidden="1"/>
    <cellStyle name="Followed Hyperlink 4" xfId="192" hidden="1"/>
    <cellStyle name="Followed Hyperlink 4" xfId="187" hidden="1"/>
    <cellStyle name="Followed Hyperlink 4" xfId="268" hidden="1"/>
    <cellStyle name="Followed Hyperlink 4" xfId="260" hidden="1"/>
    <cellStyle name="Followed Hyperlink 4" xfId="255" hidden="1"/>
    <cellStyle name="Followed Hyperlink 4" xfId="290" hidden="1"/>
    <cellStyle name="Followed Hyperlink 4" xfId="282" hidden="1"/>
    <cellStyle name="Followed Hyperlink 4" xfId="277" hidden="1"/>
    <cellStyle name="Followed Hyperlink 4" xfId="306" hidden="1"/>
    <cellStyle name="Followed Hyperlink 4" xfId="298" hidden="1"/>
    <cellStyle name="Followed Hyperlink 4" xfId="293" hidden="1"/>
    <cellStyle name="Followed Hyperlink 4" xfId="322" hidden="1"/>
    <cellStyle name="Followed Hyperlink 4" xfId="314" hidden="1"/>
    <cellStyle name="Followed Hyperlink 4" xfId="309" hidden="1"/>
    <cellStyle name="Good" xfId="6" builtinId="26" customBuiltin="1"/>
    <cellStyle name="Good 2" xfId="238"/>
    <cellStyle name="Heading 1" xfId="2" builtinId="16" customBuiltin="1"/>
    <cellStyle name="Heading 1 2" xfId="239"/>
    <cellStyle name="Heading 2" xfId="3" builtinId="17" customBuiltin="1"/>
    <cellStyle name="Heading 2 2" xfId="240"/>
    <cellStyle name="Heading 3" xfId="4" builtinId="18" customBuiltin="1"/>
    <cellStyle name="Heading 3 2" xfId="241"/>
    <cellStyle name="Heading 4" xfId="5" builtinId="19" customBuiltin="1"/>
    <cellStyle name="Heading 4 2" xfId="242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customBuiltin="1"/>
    <cellStyle name="Hyperlink 2" xfId="203" hidden="1"/>
    <cellStyle name="Hyperlink 2" xfId="186" hidden="1"/>
    <cellStyle name="Hyperlink 2" xfId="183" hidden="1"/>
    <cellStyle name="Hyperlink 2" xfId="263" hidden="1"/>
    <cellStyle name="Hyperlink 2" xfId="254" hidden="1"/>
    <cellStyle name="Hyperlink 2" xfId="251" hidden="1"/>
    <cellStyle name="Hyperlink 2" xfId="285" hidden="1"/>
    <cellStyle name="Hyperlink 2" xfId="276" hidden="1"/>
    <cellStyle name="Hyperlink 2" xfId="273" hidden="1"/>
    <cellStyle name="Hyperlink 2" xfId="301" hidden="1"/>
    <cellStyle name="Hyperlink 2" xfId="292" hidden="1"/>
    <cellStyle name="Hyperlink 2" xfId="271" hidden="1"/>
    <cellStyle name="Hyperlink 2" xfId="317" hidden="1"/>
    <cellStyle name="Hyperlink 2" xfId="308" hidden="1"/>
    <cellStyle name="Hyperlink 2" xfId="270" hidden="1"/>
    <cellStyle name="Hyperlink 3" xfId="205" hidden="1"/>
    <cellStyle name="Hyperlink 3" xfId="184" hidden="1"/>
    <cellStyle name="Hyperlink 3" xfId="185" hidden="1"/>
    <cellStyle name="Hyperlink 3" xfId="265" hidden="1"/>
    <cellStyle name="Hyperlink 3" xfId="252" hidden="1"/>
    <cellStyle name="Hyperlink 3" xfId="253" hidden="1"/>
    <cellStyle name="Hyperlink 3" xfId="287" hidden="1"/>
    <cellStyle name="Hyperlink 3" xfId="274" hidden="1"/>
    <cellStyle name="Hyperlink 3" xfId="275" hidden="1"/>
    <cellStyle name="Hyperlink 3" xfId="303" hidden="1"/>
    <cellStyle name="Hyperlink 3" xfId="269" hidden="1"/>
    <cellStyle name="Hyperlink 3" xfId="291" hidden="1"/>
    <cellStyle name="Hyperlink 3" xfId="319" hidden="1"/>
    <cellStyle name="Hyperlink 3" xfId="272" hidden="1"/>
    <cellStyle name="Hyperlink 3" xfId="307" hidden="1"/>
    <cellStyle name="Hyperlink 4" xfId="207" hidden="1"/>
    <cellStyle name="Hyperlink 4" xfId="189" hidden="1"/>
    <cellStyle name="Hyperlink 4" xfId="191" hidden="1"/>
    <cellStyle name="Hyperlink 4" xfId="267" hidden="1"/>
    <cellStyle name="Hyperlink 4" xfId="257" hidden="1"/>
    <cellStyle name="Hyperlink 4" xfId="259" hidden="1"/>
    <cellStyle name="Hyperlink 4" xfId="289" hidden="1"/>
    <cellStyle name="Hyperlink 4" xfId="279" hidden="1"/>
    <cellStyle name="Hyperlink 4" xfId="281" hidden="1"/>
    <cellStyle name="Hyperlink 4" xfId="305" hidden="1"/>
    <cellStyle name="Hyperlink 4" xfId="295" hidden="1"/>
    <cellStyle name="Hyperlink 4" xfId="297" hidden="1"/>
    <cellStyle name="Hyperlink 4" xfId="321" hidden="1"/>
    <cellStyle name="Hyperlink 4" xfId="311" hidden="1"/>
    <cellStyle name="Hyperlink 4" xfId="313" hidden="1"/>
    <cellStyle name="Input" xfId="9" builtinId="20" customBuiltin="1"/>
    <cellStyle name="Input 2" xfId="243"/>
    <cellStyle name="Linked Cell" xfId="12" builtinId="24" customBuiltin="1"/>
    <cellStyle name="Linked Cell 2" xfId="244"/>
    <cellStyle name="Neutral" xfId="8" builtinId="28" customBuiltin="1"/>
    <cellStyle name="Neutral 2" xfId="245"/>
    <cellStyle name="Normal" xfId="0" builtinId="0"/>
    <cellStyle name="Normal 2" xfId="209"/>
    <cellStyle name="Note" xfId="15" builtinId="10" customBuiltin="1"/>
    <cellStyle name="Note 2" xfId="246"/>
    <cellStyle name="Output" xfId="10" builtinId="21" customBuiltin="1"/>
    <cellStyle name="Output 2" xfId="247"/>
    <cellStyle name="Title" xfId="1" builtinId="15" customBuiltin="1"/>
    <cellStyle name="Title 2" xfId="248"/>
    <cellStyle name="Total" xfId="17" builtinId="25" customBuiltin="1"/>
    <cellStyle name="Total 2" xfId="249"/>
    <cellStyle name="Warning Text" xfId="14" builtinId="11" customBuiltin="1"/>
    <cellStyle name="Warning Text 2" xfId="25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externalLink" Target="externalLinks/externalLink1.xml"/><Relationship Id="rId16" Type="http://schemas.openxmlformats.org/officeDocument/2006/relationships/externalLink" Target="externalLinks/externalLink2.xml"/><Relationship Id="rId17" Type="http://schemas.openxmlformats.org/officeDocument/2006/relationships/externalLink" Target="externalLinks/externalLink3.xml"/><Relationship Id="rId18" Type="http://schemas.openxmlformats.org/officeDocument/2006/relationships/externalLink" Target="externalLinks/externalLink4.xml"/><Relationship Id="rId19" Type="http://schemas.openxmlformats.org/officeDocument/2006/relationships/externalLink" Target="externalLinks/externalLink5.xml"/><Relationship Id="rId63" Type="http://schemas.openxmlformats.org/officeDocument/2006/relationships/externalLink" Target="externalLinks/externalLink49.xml"/><Relationship Id="rId64" Type="http://schemas.openxmlformats.org/officeDocument/2006/relationships/externalLink" Target="externalLinks/externalLink50.xml"/><Relationship Id="rId65" Type="http://schemas.openxmlformats.org/officeDocument/2006/relationships/externalLink" Target="externalLinks/externalLink51.xml"/><Relationship Id="rId66" Type="http://schemas.openxmlformats.org/officeDocument/2006/relationships/theme" Target="theme/theme1.xml"/><Relationship Id="rId67" Type="http://schemas.openxmlformats.org/officeDocument/2006/relationships/styles" Target="styles.xml"/><Relationship Id="rId68" Type="http://schemas.openxmlformats.org/officeDocument/2006/relationships/sharedStrings" Target="sharedStrings.xml"/><Relationship Id="rId69" Type="http://schemas.openxmlformats.org/officeDocument/2006/relationships/calcChain" Target="calcChain.xml"/><Relationship Id="rId50" Type="http://schemas.openxmlformats.org/officeDocument/2006/relationships/externalLink" Target="externalLinks/externalLink36.xml"/><Relationship Id="rId51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38.xml"/><Relationship Id="rId53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40.xml"/><Relationship Id="rId55" Type="http://schemas.openxmlformats.org/officeDocument/2006/relationships/externalLink" Target="externalLinks/externalLink41.xml"/><Relationship Id="rId56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43.xml"/><Relationship Id="rId58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45.xml"/><Relationship Id="rId40" Type="http://schemas.openxmlformats.org/officeDocument/2006/relationships/externalLink" Target="externalLinks/externalLink26.xml"/><Relationship Id="rId41" Type="http://schemas.openxmlformats.org/officeDocument/2006/relationships/externalLink" Target="externalLinks/externalLink27.xml"/><Relationship Id="rId42" Type="http://schemas.openxmlformats.org/officeDocument/2006/relationships/externalLink" Target="externalLinks/externalLink28.xml"/><Relationship Id="rId43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30.xml"/><Relationship Id="rId45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2.xml"/><Relationship Id="rId47" Type="http://schemas.openxmlformats.org/officeDocument/2006/relationships/externalLink" Target="externalLinks/externalLink33.xml"/><Relationship Id="rId48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35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17.xml"/><Relationship Id="rId32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3.xml"/><Relationship Id="rId38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25.xml"/><Relationship Id="rId20" Type="http://schemas.openxmlformats.org/officeDocument/2006/relationships/externalLink" Target="externalLinks/externalLink6.xml"/><Relationship Id="rId21" Type="http://schemas.openxmlformats.org/officeDocument/2006/relationships/externalLink" Target="externalLinks/externalLink7.xml"/><Relationship Id="rId22" Type="http://schemas.openxmlformats.org/officeDocument/2006/relationships/externalLink" Target="externalLinks/externalLink8.xml"/><Relationship Id="rId23" Type="http://schemas.openxmlformats.org/officeDocument/2006/relationships/externalLink" Target="externalLinks/externalLink9.xml"/><Relationship Id="rId24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15.xml"/><Relationship Id="rId60" Type="http://schemas.openxmlformats.org/officeDocument/2006/relationships/externalLink" Target="externalLinks/externalLink46.xml"/><Relationship Id="rId61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48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tlanta,%20G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ustin,%20TX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altimore,%20M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oston,%20M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uffalo,%20N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harlotte,%20NC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Chicago,%20IL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incinnati,%20OH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leveland,%20OH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lumbus,%20OH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allas,%20TX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Denver,%20CO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etroit,%20MI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and%20Rapids,%20MI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ampton%20Roads,%20VA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artford,%20CT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onolulu,%20HI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ouston,%20TX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dianapolis,%20I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Inland%20Empire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Jacksonville,%20FL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Kansas%20City,%20MO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Las%20Vegas,%20NV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Los%20Angeles,%20CA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Louisville,%20KY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Memphis,%20TN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Milwaukee,%20WI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Minneapolis,%20M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Nashville,%20TN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New%20Orleans,%20LA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New%20York%20City,%20NY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Oklahoma%20City,%20OK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Orlando,%20FL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Philadelphia,%20PA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Phoenix,%20AZ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Pittsburgh,%20PA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Portland,%20OR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Providence,%20RI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Raleigh,%20NC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Rochester,%20NY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Sacramento,%20CA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Salt%20Lake%20City,%20UT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San%20Antonio,%20TX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San%20Diego,%20CA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San%20Francisco,%20CA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San%20Jose,%20CA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Seattle,%20WA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Miami,%20FL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St.%20Louis,%20MO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Tampa%20Bay,%20FL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Washington,%20DC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1.3176983987201769</v>
          </cell>
        </row>
        <row r="24">
          <cell r="K24">
            <v>1.3810679080102386</v>
          </cell>
          <cell r="L24">
            <v>1.3087124907830403</v>
          </cell>
          <cell r="M24">
            <v>1.2678601947095567</v>
          </cell>
          <cell r="N24">
            <v>1.2411800167011908</v>
          </cell>
          <cell r="O24">
            <v>1.2210426501549614</v>
          </cell>
          <cell r="P24">
            <v>1.2084405776911233</v>
          </cell>
          <cell r="Q24">
            <v>1.1994894097934046</v>
          </cell>
          <cell r="R24">
            <v>1.1933849385737794</v>
          </cell>
          <cell r="S24">
            <v>1.1877771935320718</v>
          </cell>
        </row>
      </sheetData>
      <sheetData sheetId="1">
        <row r="14">
          <cell r="M14">
            <v>1.3041798798415318</v>
          </cell>
        </row>
      </sheetData>
      <sheetData sheetId="2">
        <row r="14">
          <cell r="K14">
            <v>1.2807571042817312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1.3822485406641993</v>
          </cell>
        </row>
        <row r="24">
          <cell r="K24">
            <v>1.4404458654112589</v>
          </cell>
          <cell r="L24">
            <v>1.3723222910878397</v>
          </cell>
          <cell r="M24">
            <v>1.3315156958904781</v>
          </cell>
          <cell r="N24">
            <v>1.3069706181282645</v>
          </cell>
          <cell r="O24">
            <v>1.2879992795041273</v>
          </cell>
          <cell r="P24">
            <v>1.2747371883868555</v>
          </cell>
          <cell r="Q24">
            <v>1.2686558801685661</v>
          </cell>
          <cell r="R24">
            <v>1.2630063192455665</v>
          </cell>
          <cell r="S24">
            <v>1.2582890434326388</v>
          </cell>
        </row>
      </sheetData>
      <sheetData sheetId="1">
        <row r="14">
          <cell r="M14">
            <v>1.3594015505526915</v>
          </cell>
        </row>
      </sheetData>
      <sheetData sheetId="2">
        <row r="14">
          <cell r="K14">
            <v>1.3684381508690064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1.3161664975574106</v>
          </cell>
        </row>
        <row r="24">
          <cell r="K24">
            <v>1.3822949804670155</v>
          </cell>
          <cell r="L24">
            <v>1.3092658889264803</v>
          </cell>
          <cell r="M24">
            <v>1.2716628995034032</v>
          </cell>
          <cell r="N24">
            <v>1.2476796419595966</v>
          </cell>
          <cell r="O24">
            <v>1.2338763577562017</v>
          </cell>
          <cell r="P24">
            <v>1.2261163596071283</v>
          </cell>
          <cell r="Q24">
            <v>1.2246097283275779</v>
          </cell>
          <cell r="R24">
            <v>1.2268115098360695</v>
          </cell>
          <cell r="S24">
            <v>1.2337415965111269</v>
          </cell>
        </row>
      </sheetData>
      <sheetData sheetId="1">
        <row r="14">
          <cell r="M14">
            <v>1.2884528966868007</v>
          </cell>
        </row>
      </sheetData>
      <sheetData sheetId="2">
        <row r="14">
          <cell r="K14">
            <v>1.2894822675799416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1.2625869874976035</v>
          </cell>
        </row>
        <row r="24">
          <cell r="K24">
            <v>1.3221707933341669</v>
          </cell>
          <cell r="L24">
            <v>1.2579493722607327</v>
          </cell>
          <cell r="M24">
            <v>1.225852846145757</v>
          </cell>
          <cell r="N24">
            <v>1.2078231024802963</v>
          </cell>
          <cell r="O24">
            <v>1.1956866082763671</v>
          </cell>
          <cell r="P24">
            <v>1.1905717622441363</v>
          </cell>
          <cell r="Q24">
            <v>1.1860014644783186</v>
          </cell>
          <cell r="R24">
            <v>1.1822577092208564</v>
          </cell>
          <cell r="S24">
            <v>1.1792959449191527</v>
          </cell>
        </row>
      </sheetData>
      <sheetData sheetId="1">
        <row r="14">
          <cell r="M14">
            <v>1.2757628369995242</v>
          </cell>
        </row>
      </sheetData>
      <sheetData sheetId="2">
        <row r="14">
          <cell r="K14">
            <v>1.2711182010296465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1.2578441558348907</v>
          </cell>
        </row>
        <row r="24">
          <cell r="K24">
            <v>1.2726128167623416</v>
          </cell>
          <cell r="L24">
            <v>1.2242186729132589</v>
          </cell>
          <cell r="M24">
            <v>1.2021720891550782</v>
          </cell>
          <cell r="N24">
            <v>1.1895929057749248</v>
          </cell>
          <cell r="O24">
            <v>1.1803913897988716</v>
          </cell>
          <cell r="P24">
            <v>1.1734589731007847</v>
          </cell>
          <cell r="Q24">
            <v>1.1689289949876671</v>
          </cell>
          <cell r="R24">
            <v>1.1659230811658463</v>
          </cell>
          <cell r="S24">
            <v>1.1646573299473928</v>
          </cell>
        </row>
      </sheetData>
      <sheetData sheetId="1">
        <row r="14">
          <cell r="M14">
            <v>1.2560463761319964</v>
          </cell>
        </row>
      </sheetData>
      <sheetData sheetId="2">
        <row r="14">
          <cell r="K14">
            <v>1.2362575760130783</v>
          </cell>
        </row>
      </sheetData>
      <sheetData sheetId="3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1.2937899343558146</v>
          </cell>
        </row>
        <row r="24">
          <cell r="K24">
            <v>1.3548292070349812</v>
          </cell>
          <cell r="L24">
            <v>1.2718268758603823</v>
          </cell>
          <cell r="M24">
            <v>1.2406030547023881</v>
          </cell>
          <cell r="N24">
            <v>1.2259980336163547</v>
          </cell>
          <cell r="O24">
            <v>1.219339743976918</v>
          </cell>
          <cell r="P24">
            <v>1.2204535484710273</v>
          </cell>
          <cell r="Q24">
            <v>1.2189910044278438</v>
          </cell>
          <cell r="R24">
            <v>1.2188102793904707</v>
          </cell>
          <cell r="S24">
            <v>1.2184606076717244</v>
          </cell>
        </row>
      </sheetData>
      <sheetData sheetId="1">
        <row r="14">
          <cell r="M14">
            <v>1.2996608173320829</v>
          </cell>
        </row>
      </sheetData>
      <sheetData sheetId="2">
        <row r="14">
          <cell r="M14">
            <v>1.2923792329731427</v>
          </cell>
        </row>
      </sheetData>
      <sheetData sheetId="3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1.275007147828159</v>
          </cell>
        </row>
        <row r="24">
          <cell r="K24">
            <v>1.3236002256090809</v>
          </cell>
          <cell r="L24">
            <v>1.2622043331825756</v>
          </cell>
          <cell r="M24">
            <v>1.237014203266307</v>
          </cell>
          <cell r="N24">
            <v>1.2158976337091789</v>
          </cell>
          <cell r="O24">
            <v>1.2018060236875545</v>
          </cell>
          <cell r="P24">
            <v>1.1904326141515926</v>
          </cell>
          <cell r="Q24">
            <v>1.1823958559597361</v>
          </cell>
          <cell r="R24">
            <v>1.1765397413486474</v>
          </cell>
          <cell r="S24">
            <v>1.1715001469840343</v>
          </cell>
        </row>
      </sheetData>
      <sheetData sheetId="1">
        <row r="14">
          <cell r="M14">
            <v>1.2572696710836337</v>
          </cell>
        </row>
      </sheetData>
      <sheetData sheetId="2">
        <row r="14">
          <cell r="M14">
            <v>1.2664809012983005</v>
          </cell>
        </row>
      </sheetData>
      <sheetData sheetId="3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1.3619637871060444</v>
          </cell>
        </row>
        <row r="24">
          <cell r="K24">
            <v>1.4101242469920043</v>
          </cell>
          <cell r="L24">
            <v>1.3346635676863023</v>
          </cell>
          <cell r="M24">
            <v>1.3006549921101749</v>
          </cell>
          <cell r="N24">
            <v>1.2806447263853369</v>
          </cell>
          <cell r="O24">
            <v>1.2719049532677678</v>
          </cell>
          <cell r="P24">
            <v>1.2662934799155141</v>
          </cell>
          <cell r="Q24">
            <v>1.2682519023005123</v>
          </cell>
          <cell r="R24">
            <v>1.2721393245922437</v>
          </cell>
          <cell r="S24">
            <v>1.2779855759070877</v>
          </cell>
        </row>
      </sheetData>
      <sheetData sheetId="1">
        <row r="14">
          <cell r="M14">
            <v>1.352340232177877</v>
          </cell>
        </row>
      </sheetData>
      <sheetData sheetId="2">
        <row r="14">
          <cell r="M14">
            <v>1.346781828998644</v>
          </cell>
        </row>
      </sheetData>
      <sheetData sheetId="3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1.243464159667574</v>
          </cell>
        </row>
        <row r="24">
          <cell r="K24">
            <v>1.2785144324718047</v>
          </cell>
          <cell r="L24">
            <v>1.2210242271152514</v>
          </cell>
          <cell r="M24">
            <v>1.1941029193577641</v>
          </cell>
          <cell r="N24">
            <v>1.1762375387586297</v>
          </cell>
          <cell r="O24">
            <v>1.1657850372312006</v>
          </cell>
          <cell r="P24">
            <v>1.1590296676460083</v>
          </cell>
          <cell r="Q24">
            <v>1.1538473690936333</v>
          </cell>
          <cell r="R24">
            <v>1.1513174285753958</v>
          </cell>
          <cell r="S24">
            <v>1.1498564950576229</v>
          </cell>
        </row>
      </sheetData>
      <sheetData sheetId="1">
        <row r="14">
          <cell r="M14">
            <v>1.2386711388791247</v>
          </cell>
        </row>
      </sheetData>
      <sheetData sheetId="2">
        <row r="14">
          <cell r="M14">
            <v>1.2534594758359625</v>
          </cell>
        </row>
      </sheetData>
      <sheetData sheetId="3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1.2812687539895762</v>
          </cell>
        </row>
        <row r="24">
          <cell r="K24">
            <v>1.3249637252937287</v>
          </cell>
          <cell r="L24">
            <v>1.247954909153181</v>
          </cell>
          <cell r="M24">
            <v>1.2132024431612698</v>
          </cell>
          <cell r="N24">
            <v>1.1959404878863944</v>
          </cell>
          <cell r="O24">
            <v>1.184989187914482</v>
          </cell>
          <cell r="P24">
            <v>1.1775894338342325</v>
          </cell>
          <cell r="Q24">
            <v>1.1724940871079761</v>
          </cell>
          <cell r="R24">
            <v>1.1687761854315619</v>
          </cell>
          <cell r="S24">
            <v>1.1666680790044779</v>
          </cell>
        </row>
      </sheetData>
      <sheetData sheetId="1">
        <row r="14">
          <cell r="M14">
            <v>1.2800899979738924</v>
          </cell>
        </row>
      </sheetData>
      <sheetData sheetId="2">
        <row r="14">
          <cell r="M14">
            <v>1.2802489190189665</v>
          </cell>
        </row>
      </sheetData>
      <sheetData sheetId="3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1.319105426942927</v>
          </cell>
        </row>
        <row r="24">
          <cell r="K24">
            <v>1.3824701219183075</v>
          </cell>
          <cell r="L24">
            <v>1.3241222203723044</v>
          </cell>
          <cell r="M24">
            <v>1.2867507208792124</v>
          </cell>
          <cell r="N24">
            <v>1.2625860685913481</v>
          </cell>
          <cell r="O24">
            <v>1.2464302544174806</v>
          </cell>
          <cell r="P24">
            <v>1.2313593343456124</v>
          </cell>
          <cell r="Q24">
            <v>1.2194440762579295</v>
          </cell>
          <cell r="R24">
            <v>1.2096246171132026</v>
          </cell>
          <cell r="S24">
            <v>1.2015060407013247</v>
          </cell>
        </row>
      </sheetData>
      <sheetData sheetId="1">
        <row r="14">
          <cell r="M14">
            <v>1.2979872607925949</v>
          </cell>
        </row>
      </sheetData>
      <sheetData sheetId="2">
        <row r="14">
          <cell r="M14">
            <v>1.2970009218776961</v>
          </cell>
        </row>
      </sheetData>
      <sheetData sheetId="3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1.3741328750189923</v>
          </cell>
        </row>
        <row r="24">
          <cell r="K24">
            <v>1.3957008737903487</v>
          </cell>
          <cell r="L24">
            <v>1.382383812463321</v>
          </cell>
          <cell r="M24">
            <v>1.3693023353302707</v>
          </cell>
          <cell r="N24">
            <v>1.3585032737296159</v>
          </cell>
          <cell r="O24">
            <v>1.3458448279862103</v>
          </cell>
          <cell r="P24">
            <v>1.338527756308961</v>
          </cell>
          <cell r="Q24">
            <v>1.3325880714466081</v>
          </cell>
          <cell r="R24">
            <v>1.3292653370679421</v>
          </cell>
          <cell r="S24">
            <v>1.3276510683394664</v>
          </cell>
        </row>
      </sheetData>
      <sheetData sheetId="1">
        <row r="14">
          <cell r="M14">
            <v>1.3425914840966446</v>
          </cell>
        </row>
      </sheetData>
      <sheetData sheetId="2">
        <row r="14">
          <cell r="M14">
            <v>1.3606698298113777</v>
          </cell>
        </row>
      </sheetData>
      <sheetData sheetId="3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1.2636376300485015</v>
          </cell>
        </row>
        <row r="24">
          <cell r="K24">
            <v>1.3026208565751525</v>
          </cell>
          <cell r="L24">
            <v>1.2461037288193979</v>
          </cell>
          <cell r="M24">
            <v>1.2213340937624941</v>
          </cell>
          <cell r="N24">
            <v>1.2059623625482374</v>
          </cell>
          <cell r="O24">
            <v>1.1960712699174072</v>
          </cell>
          <cell r="P24">
            <v>1.1893966318471174</v>
          </cell>
          <cell r="Q24">
            <v>1.1843590512748781</v>
          </cell>
          <cell r="R24">
            <v>1.1812733520638485</v>
          </cell>
          <cell r="S24">
            <v>1.1793589097336392</v>
          </cell>
        </row>
      </sheetData>
      <sheetData sheetId="1">
        <row r="14">
          <cell r="M14">
            <v>1.2625604761011948</v>
          </cell>
        </row>
      </sheetData>
      <sheetData sheetId="2">
        <row r="14">
          <cell r="M14">
            <v>1.2559987936287054</v>
          </cell>
        </row>
      </sheetData>
      <sheetData sheetId="3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1.2965218223033852</v>
          </cell>
        </row>
        <row r="24">
          <cell r="K24">
            <v>1.3210528558171648</v>
          </cell>
          <cell r="L24">
            <v>1.276401235569196</v>
          </cell>
          <cell r="M24">
            <v>1.2534629398347654</v>
          </cell>
          <cell r="N24">
            <v>1.2427824351070944</v>
          </cell>
          <cell r="O24">
            <v>1.2372127864425393</v>
          </cell>
          <cell r="P24">
            <v>1.2335421845251597</v>
          </cell>
          <cell r="Q24">
            <v>1.2332093689133028</v>
          </cell>
          <cell r="R24">
            <v>1.2343026815133216</v>
          </cell>
          <cell r="S24">
            <v>1.2368611790095092</v>
          </cell>
        </row>
      </sheetData>
      <sheetData sheetId="1">
        <row r="14">
          <cell r="M14">
            <v>1.2937282455432477</v>
          </cell>
        </row>
      </sheetData>
      <sheetData sheetId="2">
        <row r="14">
          <cell r="M14">
            <v>1.2986826132965654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1.367727470076618</v>
          </cell>
        </row>
        <row r="24">
          <cell r="K24">
            <v>1.4040824100816749</v>
          </cell>
          <cell r="L24">
            <v>1.3392188111212502</v>
          </cell>
          <cell r="M24">
            <v>1.3109661328414999</v>
          </cell>
          <cell r="N24">
            <v>1.3015601427125245</v>
          </cell>
          <cell r="O24">
            <v>1.3069173513439627</v>
          </cell>
          <cell r="P24">
            <v>1.3154823264242705</v>
          </cell>
          <cell r="Q24">
            <v>1.3238381040403082</v>
          </cell>
          <cell r="R24">
            <v>1.3331220930334835</v>
          </cell>
          <cell r="S24">
            <v>1.3441760531206133</v>
          </cell>
        </row>
      </sheetData>
      <sheetData sheetId="1">
        <row r="14">
          <cell r="M14">
            <v>1.3703528181909479</v>
          </cell>
        </row>
      </sheetData>
      <sheetData sheetId="2">
        <row r="14">
          <cell r="M14">
            <v>1.3515468741706309</v>
          </cell>
        </row>
      </sheetData>
      <sheetData sheetId="3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1.2884912963976469</v>
          </cell>
        </row>
        <row r="24">
          <cell r="K24">
            <v>1.3288885485099737</v>
          </cell>
          <cell r="L24">
            <v>1.2718012066329836</v>
          </cell>
          <cell r="M24">
            <v>1.2482031115877554</v>
          </cell>
          <cell r="N24">
            <v>1.2343532827288761</v>
          </cell>
          <cell r="O24">
            <v>1.2269265395465623</v>
          </cell>
          <cell r="P24">
            <v>1.2229075630591091</v>
          </cell>
          <cell r="Q24">
            <v>1.2212395547829722</v>
          </cell>
          <cell r="R24">
            <v>1.2209157982173557</v>
          </cell>
          <cell r="S24">
            <v>1.2211596606105135</v>
          </cell>
        </row>
      </sheetData>
      <sheetData sheetId="1">
        <row r="14">
          <cell r="M14">
            <v>1.2902473351467056</v>
          </cell>
        </row>
      </sheetData>
      <sheetData sheetId="2">
        <row r="14">
          <cell r="M14">
            <v>1.2824877524395879</v>
          </cell>
        </row>
      </sheetData>
      <sheetData sheetId="3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1.4352364311049759</v>
          </cell>
        </row>
        <row r="24">
          <cell r="K24">
            <v>1.4170125027894218</v>
          </cell>
          <cell r="L24">
            <v>1.4172580385913462</v>
          </cell>
          <cell r="M24">
            <v>1.4345819636227921</v>
          </cell>
          <cell r="N24">
            <v>1.4322616900458065</v>
          </cell>
          <cell r="O24">
            <v>1.4435399462955427</v>
          </cell>
          <cell r="P24">
            <v>1.4453004287893763</v>
          </cell>
          <cell r="Q24">
            <v>1.4457945737747382</v>
          </cell>
        </row>
      </sheetData>
      <sheetData sheetId="1">
        <row r="14">
          <cell r="M14">
            <v>1.4070046481503795</v>
          </cell>
        </row>
        <row r="24">
          <cell r="R24">
            <v>1.4620608998697906</v>
          </cell>
          <cell r="S24">
            <v>1.4625638767711695</v>
          </cell>
        </row>
      </sheetData>
      <sheetData sheetId="2">
        <row r="14">
          <cell r="M14">
            <v>1.4201531954018773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1.346990060684963</v>
          </cell>
        </row>
        <row r="24">
          <cell r="K24">
            <v>1.4112669682919152</v>
          </cell>
          <cell r="L24">
            <v>1.3398457759675975</v>
          </cell>
          <cell r="M24">
            <v>1.3068171566560105</v>
          </cell>
          <cell r="N24">
            <v>1.2834405439564254</v>
          </cell>
          <cell r="O24">
            <v>1.2654610127146704</v>
          </cell>
          <cell r="P24">
            <v>1.2531681942574937</v>
          </cell>
          <cell r="Q24">
            <v>1.244523848534959</v>
          </cell>
          <cell r="R24">
            <v>1.2376203077049825</v>
          </cell>
          <cell r="S24">
            <v>1.2321501144350759</v>
          </cell>
        </row>
      </sheetData>
      <sheetData sheetId="1">
        <row r="14">
          <cell r="M14">
            <v>1.3286757241969671</v>
          </cell>
        </row>
      </sheetData>
      <sheetData sheetId="2">
        <row r="14">
          <cell r="M14">
            <v>1.3380063582904949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1.2844550906426973</v>
          </cell>
        </row>
        <row r="24">
          <cell r="K24">
            <v>1.3307390130691796</v>
          </cell>
          <cell r="L24">
            <v>1.271809639354645</v>
          </cell>
          <cell r="M24">
            <v>1.2377454480083434</v>
          </cell>
          <cell r="N24">
            <v>1.217214506898558</v>
          </cell>
          <cell r="O24">
            <v>1.2032297568764418</v>
          </cell>
          <cell r="P24">
            <v>1.1942370623952343</v>
          </cell>
          <cell r="Q24">
            <v>1.1881337656936146</v>
          </cell>
          <cell r="R24">
            <v>1.1835544609982929</v>
          </cell>
          <cell r="S24">
            <v>1.1802346118410132</v>
          </cell>
        </row>
      </sheetData>
      <sheetData sheetId="1">
        <row r="14">
          <cell r="M14">
            <v>1.2915369082760655</v>
          </cell>
        </row>
      </sheetData>
      <sheetData sheetId="2">
        <row r="14">
          <cell r="M14">
            <v>1.2767133750012463</v>
          </cell>
        </row>
      </sheetData>
      <sheetData sheetId="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1.3675530233634587</v>
          </cell>
        </row>
        <row r="24">
          <cell r="K24">
            <v>1.3734377415845354</v>
          </cell>
          <cell r="L24">
            <v>1.3661627731164396</v>
          </cell>
          <cell r="M24">
            <v>1.3623371102112816</v>
          </cell>
          <cell r="N24">
            <v>1.35986028467875</v>
          </cell>
          <cell r="O24">
            <v>1.3524307658097707</v>
          </cell>
          <cell r="P24">
            <v>1.3458390291766396</v>
          </cell>
          <cell r="Q24">
            <v>1.340855665082751</v>
          </cell>
          <cell r="R24">
            <v>1.3360729352383633</v>
          </cell>
          <cell r="S24">
            <v>1.330115441516819</v>
          </cell>
        </row>
      </sheetData>
      <sheetData sheetId="1">
        <row r="14">
          <cell r="M14">
            <v>1.3466069354789227</v>
          </cell>
        </row>
      </sheetData>
      <sheetData sheetId="2">
        <row r="14">
          <cell r="M14">
            <v>1.3225845330212038</v>
          </cell>
        </row>
      </sheetData>
      <sheetData sheetId="3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1.3616274063864398</v>
          </cell>
        </row>
        <row r="24">
          <cell r="K24">
            <v>1.3923352643282094</v>
          </cell>
          <cell r="L24">
            <v>1.3647991426543529</v>
          </cell>
          <cell r="M24">
            <v>1.3385303871253407</v>
          </cell>
          <cell r="N24">
            <v>1.3181635459497134</v>
          </cell>
          <cell r="O24">
            <v>1.3025038256942751</v>
          </cell>
          <cell r="P24">
            <v>1.2915527198385739</v>
          </cell>
          <cell r="Q24">
            <v>1.2868751983865299</v>
          </cell>
          <cell r="R24">
            <v>1.2841484821523987</v>
          </cell>
          <cell r="S24">
            <v>1.2812723689433594</v>
          </cell>
        </row>
      </sheetData>
      <sheetData sheetId="1">
        <row r="14">
          <cell r="M14">
            <v>1.38016965220282</v>
          </cell>
        </row>
      </sheetData>
      <sheetData sheetId="2">
        <row r="14">
          <cell r="M14">
            <v>1.3465324365046256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1.3187575174107784</v>
          </cell>
        </row>
        <row r="24">
          <cell r="K24">
            <v>1.3476779649684636</v>
          </cell>
          <cell r="L24">
            <v>1.2987080429934756</v>
          </cell>
          <cell r="M24">
            <v>1.2759958465633252</v>
          </cell>
          <cell r="N24">
            <v>1.2592053557284943</v>
          </cell>
          <cell r="O24">
            <v>1.2489204814532937</v>
          </cell>
          <cell r="P24">
            <v>1.2416589206724986</v>
          </cell>
          <cell r="Q24">
            <v>1.2339380343866972</v>
          </cell>
          <cell r="R24">
            <v>1.2277932150007076</v>
          </cell>
          <cell r="S24">
            <v>1.2226839970421781</v>
          </cell>
        </row>
      </sheetData>
      <sheetData sheetId="1">
        <row r="14">
          <cell r="M14">
            <v>1.3104852985223703</v>
          </cell>
        </row>
      </sheetData>
      <sheetData sheetId="2">
        <row r="14">
          <cell r="M14">
            <v>1.2938950406425029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1.3192781771865358</v>
          </cell>
        </row>
        <row r="24">
          <cell r="K24">
            <v>1.3286382614132926</v>
          </cell>
          <cell r="L24">
            <v>1.3223049937334725</v>
          </cell>
          <cell r="M24">
            <v>1.3201192530937347</v>
          </cell>
          <cell r="N24">
            <v>1.3200789561058746</v>
          </cell>
          <cell r="O24">
            <v>1.3166391133124675</v>
          </cell>
          <cell r="P24">
            <v>1.3134289998384046</v>
          </cell>
          <cell r="Q24">
            <v>1.3118575590900703</v>
          </cell>
          <cell r="R24">
            <v>1.3133868922800092</v>
          </cell>
          <cell r="S24">
            <v>1.3159071047354585</v>
          </cell>
        </row>
      </sheetData>
      <sheetData sheetId="1">
        <row r="14">
          <cell r="M14">
            <v>1.3294111740417367</v>
          </cell>
        </row>
      </sheetData>
      <sheetData sheetId="2">
        <row r="14">
          <cell r="M14">
            <v>1.3164783442303913</v>
          </cell>
        </row>
      </sheetData>
      <sheetData sheetId="3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1.3069694229918734</v>
          </cell>
        </row>
        <row r="24">
          <cell r="K24">
            <v>1.3492227990003094</v>
          </cell>
          <cell r="L24">
            <v>1.2809084236066279</v>
          </cell>
          <cell r="M24">
            <v>1.2573733592111536</v>
          </cell>
          <cell r="N24">
            <v>1.2436425461187828</v>
          </cell>
          <cell r="O24">
            <v>1.2373045629983925</v>
          </cell>
          <cell r="P24">
            <v>1.234819235892737</v>
          </cell>
          <cell r="Q24">
            <v>1.2372388226799365</v>
          </cell>
          <cell r="R24">
            <v>1.2425894448042694</v>
          </cell>
          <cell r="S24">
            <v>1.2534168829186265</v>
          </cell>
        </row>
      </sheetData>
      <sheetData sheetId="1">
        <row r="14">
          <cell r="M14">
            <v>1.275870546891803</v>
          </cell>
        </row>
      </sheetData>
      <sheetData sheetId="2">
        <row r="14">
          <cell r="M14">
            <v>1.273631038348862</v>
          </cell>
        </row>
      </sheetData>
      <sheetData sheetId="3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1.3581345772152313</v>
          </cell>
        </row>
        <row r="24">
          <cell r="K24">
            <v>1.415233679267091</v>
          </cell>
          <cell r="L24">
            <v>1.3522400482999783</v>
          </cell>
          <cell r="M24">
            <v>1.3257298869873992</v>
          </cell>
          <cell r="N24">
            <v>1.3143591509138175</v>
          </cell>
          <cell r="O24">
            <v>1.3072061245298374</v>
          </cell>
          <cell r="P24">
            <v>1.3030928137601026</v>
          </cell>
          <cell r="Q24">
            <v>1.3035823978090557</v>
          </cell>
          <cell r="R24">
            <v>1.3108224413438658</v>
          </cell>
          <cell r="S24">
            <v>1.3216362304730513</v>
          </cell>
        </row>
      </sheetData>
      <sheetData sheetId="1">
        <row r="14">
          <cell r="M14">
            <v>1.3698274289231505</v>
          </cell>
        </row>
      </sheetData>
      <sheetData sheetId="2">
        <row r="14">
          <cell r="M14">
            <v>1.3974135693660048</v>
          </cell>
        </row>
      </sheetData>
      <sheetData sheetId="3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1.3305281509449185</v>
          </cell>
        </row>
        <row r="24">
          <cell r="K24">
            <v>1.3836709660756512</v>
          </cell>
          <cell r="L24">
            <v>1.3247813076937356</v>
          </cell>
          <cell r="M24">
            <v>1.2910194406980002</v>
          </cell>
          <cell r="N24">
            <v>1.2669879637731756</v>
          </cell>
          <cell r="O24">
            <v>1.2518208107538271</v>
          </cell>
          <cell r="P24">
            <v>1.2434385553193854</v>
          </cell>
          <cell r="Q24">
            <v>1.2390192666572288</v>
          </cell>
          <cell r="R24">
            <v>1.2370359335006367</v>
          </cell>
          <cell r="S24">
            <v>1.2355569211642343</v>
          </cell>
        </row>
      </sheetData>
      <sheetData sheetId="1">
        <row r="14">
          <cell r="M14">
            <v>1.3395982771030672</v>
          </cell>
        </row>
      </sheetData>
      <sheetData sheetId="2">
        <row r="14">
          <cell r="M14">
            <v>1.3193642020009688</v>
          </cell>
        </row>
      </sheetData>
      <sheetData sheetId="3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1.2378357921905436</v>
          </cell>
        </row>
        <row r="24">
          <cell r="K24">
            <v>1.2592779729384731</v>
          </cell>
          <cell r="L24">
            <v>1.2090730434913919</v>
          </cell>
          <cell r="M24">
            <v>1.1867090038683803</v>
          </cell>
          <cell r="N24">
            <v>1.1751798551073691</v>
          </cell>
          <cell r="O24">
            <v>1.1682466585186182</v>
          </cell>
          <cell r="P24">
            <v>1.1641474476052645</v>
          </cell>
          <cell r="Q24">
            <v>1.1632682250826336</v>
          </cell>
          <cell r="R24">
            <v>1.1639337982848545</v>
          </cell>
          <cell r="S24">
            <v>1.1642077478462736</v>
          </cell>
        </row>
      </sheetData>
      <sheetData sheetId="1">
        <row r="14">
          <cell r="M14">
            <v>1.2543575950391952</v>
          </cell>
        </row>
      </sheetData>
      <sheetData sheetId="2">
        <row r="14">
          <cell r="M14">
            <v>1.2348247986798617</v>
          </cell>
        </row>
      </sheetData>
      <sheetData sheetId="3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1.3104939130605076</v>
          </cell>
        </row>
        <row r="24">
          <cell r="K24">
            <v>1.367956699688347</v>
          </cell>
          <cell r="L24">
            <v>1.3031870861864812</v>
          </cell>
          <cell r="M24">
            <v>1.2701199260392533</v>
          </cell>
          <cell r="N24">
            <v>1.2488143236567024</v>
          </cell>
          <cell r="O24">
            <v>1.2342826281339614</v>
          </cell>
          <cell r="P24">
            <v>1.2240781563469771</v>
          </cell>
          <cell r="Q24">
            <v>1.2154627812004615</v>
          </cell>
          <cell r="R24">
            <v>1.2097168280185802</v>
          </cell>
          <cell r="S24">
            <v>1.2049005979112202</v>
          </cell>
        </row>
      </sheetData>
      <sheetData sheetId="1">
        <row r="14">
          <cell r="M14">
            <v>1.2903240285053357</v>
          </cell>
        </row>
      </sheetData>
      <sheetData sheetId="2">
        <row r="14">
          <cell r="M14">
            <v>1.3006662698584941</v>
          </cell>
        </row>
      </sheetData>
      <sheetData sheetId="3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1.3663109771332131</v>
          </cell>
        </row>
        <row r="24">
          <cell r="K24">
            <v>1.4297597712771255</v>
          </cell>
          <cell r="L24">
            <v>1.359871384808002</v>
          </cell>
          <cell r="M24">
            <v>1.3223570330949683</v>
          </cell>
          <cell r="N24">
            <v>1.2979029443773333</v>
          </cell>
          <cell r="O24">
            <v>1.2809747773730242</v>
          </cell>
          <cell r="P24">
            <v>1.2671990831726268</v>
          </cell>
          <cell r="Q24">
            <v>1.2561544008741909</v>
          </cell>
          <cell r="R24">
            <v>1.2471312517026993</v>
          </cell>
          <cell r="S24">
            <v>1.2404771540001511</v>
          </cell>
        </row>
      </sheetData>
      <sheetData sheetId="1">
        <row r="14">
          <cell r="M14">
            <v>1.4143616306352653</v>
          </cell>
        </row>
      </sheetData>
      <sheetData sheetId="2">
        <row r="14">
          <cell r="M14">
            <v>1.3652019036795315</v>
          </cell>
        </row>
      </sheetData>
      <sheetData sheetId="3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1.3904185701339111</v>
          </cell>
        </row>
        <row r="24">
          <cell r="K24">
            <v>1.4163225470795091</v>
          </cell>
          <cell r="L24">
            <v>1.3838875737878413</v>
          </cell>
          <cell r="M24">
            <v>1.3489148947289156</v>
          </cell>
          <cell r="N24">
            <v>1.3389833968635285</v>
          </cell>
          <cell r="O24">
            <v>1.3343557809401991</v>
          </cell>
          <cell r="P24">
            <v>1.3385224152730324</v>
          </cell>
          <cell r="Q24">
            <v>1.3505891851756389</v>
          </cell>
          <cell r="R24">
            <v>1.3695515239576628</v>
          </cell>
          <cell r="S24">
            <v>1.3966039300244457</v>
          </cell>
        </row>
      </sheetData>
      <sheetData sheetId="1">
        <row r="14">
          <cell r="M14">
            <v>1.3628619070943169</v>
          </cell>
        </row>
      </sheetData>
      <sheetData sheetId="2">
        <row r="14">
          <cell r="M14">
            <v>1.3651717714607812</v>
          </cell>
        </row>
      </sheetData>
      <sheetData sheetId="3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1.3000907483000184</v>
          </cell>
        </row>
        <row r="24">
          <cell r="K24">
            <v>1.3157627494011674</v>
          </cell>
          <cell r="L24">
            <v>1.2629348483479246</v>
          </cell>
          <cell r="M24">
            <v>1.2364276854478877</v>
          </cell>
          <cell r="N24">
            <v>1.222552045843428</v>
          </cell>
          <cell r="O24">
            <v>1.2136941168258051</v>
          </cell>
          <cell r="P24">
            <v>1.208396652771828</v>
          </cell>
          <cell r="Q24">
            <v>1.2059143520027411</v>
          </cell>
          <cell r="R24">
            <v>1.2046254703094295</v>
          </cell>
          <cell r="S24">
            <v>1.2044434075797017</v>
          </cell>
        </row>
      </sheetData>
      <sheetData sheetId="1">
        <row r="14">
          <cell r="M14">
            <v>1.2979863592894043</v>
          </cell>
        </row>
      </sheetData>
      <sheetData sheetId="2">
        <row r="14">
          <cell r="M14">
            <v>1.2926918455295733</v>
          </cell>
        </row>
      </sheetData>
      <sheetData sheetId="3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1.3155578369348055</v>
          </cell>
        </row>
        <row r="24">
          <cell r="K24">
            <v>1.3330075580666654</v>
          </cell>
          <cell r="L24">
            <v>1.302577181329865</v>
          </cell>
          <cell r="M24">
            <v>1.2782037611934325</v>
          </cell>
          <cell r="N24">
            <v>1.2586490530021517</v>
          </cell>
          <cell r="O24">
            <v>1.243847517949237</v>
          </cell>
          <cell r="P24">
            <v>1.2344875734787604</v>
          </cell>
          <cell r="Q24">
            <v>1.227948305822975</v>
          </cell>
          <cell r="R24">
            <v>1.2226100071300814</v>
          </cell>
          <cell r="S24">
            <v>1.2192662129771015</v>
          </cell>
        </row>
      </sheetData>
      <sheetData sheetId="1">
        <row r="14">
          <cell r="M14">
            <v>1.3148530420031499</v>
          </cell>
        </row>
      </sheetData>
      <sheetData sheetId="2">
        <row r="14">
          <cell r="M14">
            <v>1.297336317910232</v>
          </cell>
        </row>
      </sheetData>
      <sheetData sheetId="3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1.3795872253468273</v>
          </cell>
        </row>
        <row r="24">
          <cell r="K24">
            <v>1.4073453796667255</v>
          </cell>
          <cell r="L24">
            <v>1.368037812411222</v>
          </cell>
          <cell r="M24">
            <v>1.3529409382116724</v>
          </cell>
          <cell r="N24">
            <v>1.3357222696848219</v>
          </cell>
          <cell r="O24">
            <v>1.3227647345428062</v>
          </cell>
          <cell r="P24">
            <v>1.3109961293844155</v>
          </cell>
          <cell r="Q24">
            <v>1.3015389438384548</v>
          </cell>
          <cell r="R24">
            <v>1.2938955646318264</v>
          </cell>
          <cell r="S24">
            <v>1.2873404494690579</v>
          </cell>
        </row>
      </sheetData>
      <sheetData sheetId="1">
        <row r="14">
          <cell r="M14">
            <v>1.3285757349498153</v>
          </cell>
        </row>
      </sheetData>
      <sheetData sheetId="2">
        <row r="14">
          <cell r="M14">
            <v>1.3583174319242723</v>
          </cell>
        </row>
      </sheetData>
      <sheetData sheetId="3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1.2691430364308398</v>
          </cell>
        </row>
        <row r="24">
          <cell r="K24">
            <v>1.2908066509637137</v>
          </cell>
          <cell r="L24">
            <v>1.221294302281372</v>
          </cell>
          <cell r="M24">
            <v>1.20124627478735</v>
          </cell>
          <cell r="N24">
            <v>1.1855169545716866</v>
          </cell>
          <cell r="O24">
            <v>1.1733077141049333</v>
          </cell>
          <cell r="P24">
            <v>1.1653283208068956</v>
          </cell>
          <cell r="Q24">
            <v>1.1592931878775155</v>
          </cell>
          <cell r="R24">
            <v>1.153822612145486</v>
          </cell>
          <cell r="S24">
            <v>1.1493697375302219</v>
          </cell>
        </row>
      </sheetData>
      <sheetData sheetId="1">
        <row r="14">
          <cell r="M14">
            <v>1.270589105185578</v>
          </cell>
        </row>
      </sheetData>
      <sheetData sheetId="2">
        <row r="14">
          <cell r="M14">
            <v>1.2539586923602402</v>
          </cell>
        </row>
      </sheetData>
      <sheetData sheetId="3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1.3305116292877421</v>
          </cell>
        </row>
        <row r="24">
          <cell r="K24">
            <v>1.3444279137541839</v>
          </cell>
          <cell r="L24">
            <v>1.3330034239016018</v>
          </cell>
          <cell r="M24">
            <v>1.3052617006945595</v>
          </cell>
          <cell r="N24">
            <v>1.2881022315645838</v>
          </cell>
          <cell r="O24">
            <v>1.2802850434359947</v>
          </cell>
          <cell r="P24">
            <v>1.2712116017778166</v>
          </cell>
          <cell r="Q24">
            <v>1.2658272140371463</v>
          </cell>
          <cell r="R24">
            <v>1.2585556789471462</v>
          </cell>
          <cell r="S24">
            <v>1.2523532277965723</v>
          </cell>
        </row>
      </sheetData>
      <sheetData sheetId="1">
        <row r="14">
          <cell r="M14">
            <v>1.3383980523962744</v>
          </cell>
        </row>
      </sheetData>
      <sheetData sheetId="2">
        <row r="14">
          <cell r="M14">
            <v>1.3100982413481645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1.3743866676775569</v>
          </cell>
        </row>
        <row r="24">
          <cell r="K24">
            <v>1.4115605231076185</v>
          </cell>
          <cell r="L24">
            <v>1.3399770609126298</v>
          </cell>
          <cell r="M24">
            <v>1.3051406812780726</v>
          </cell>
          <cell r="N24">
            <v>1.2817943808930483</v>
          </cell>
          <cell r="O24">
            <v>1.2648153813211274</v>
          </cell>
          <cell r="P24">
            <v>1.2535936164248203</v>
          </cell>
          <cell r="Q24">
            <v>1.2454120748006281</v>
          </cell>
          <cell r="R24">
            <v>1.238920592591702</v>
          </cell>
          <cell r="S24">
            <v>1.2344561116309156</v>
          </cell>
        </row>
      </sheetData>
      <sheetData sheetId="1">
        <row r="14">
          <cell r="M14">
            <v>1.3772498743519488</v>
          </cell>
        </row>
      </sheetData>
      <sheetData sheetId="2">
        <row r="14">
          <cell r="M14">
            <v>1.3795878166286508</v>
          </cell>
        </row>
      </sheetData>
      <sheetData sheetId="3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  <sheetName val="2000 (1)"/>
      <sheetName val="2000 (2)"/>
    </sheetNames>
    <sheetDataSet>
      <sheetData sheetId="0">
        <row r="14">
          <cell r="M14">
            <v>1.4841392357363499</v>
          </cell>
        </row>
        <row r="24">
          <cell r="K24">
            <v>1.5301276739734433</v>
          </cell>
          <cell r="L24">
            <v>1.4913588455422746</v>
          </cell>
          <cell r="M24">
            <v>1.4731281162210448</v>
          </cell>
          <cell r="N24">
            <v>1.4562699715471381</v>
          </cell>
          <cell r="O24">
            <v>1.4407046826983154</v>
          </cell>
          <cell r="P24">
            <v>1.4297790976947944</v>
          </cell>
          <cell r="Q24">
            <v>1.4261614774445286</v>
          </cell>
          <cell r="R24">
            <v>1.4293416108501145</v>
          </cell>
          <cell r="S24">
            <v>1.4320189723752634</v>
          </cell>
        </row>
      </sheetData>
      <sheetData sheetId="1">
        <row r="14">
          <cell r="M14">
            <v>1.4620719836811387</v>
          </cell>
        </row>
      </sheetData>
      <sheetData sheetId="2">
        <row r="14">
          <cell r="M14">
            <v>1.4539961958494048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1.3216136747309144</v>
          </cell>
        </row>
        <row r="24">
          <cell r="K24">
            <v>1.3413795461632436</v>
          </cell>
          <cell r="L24">
            <v>1.2792927288201636</v>
          </cell>
          <cell r="M24">
            <v>1.2492145533947989</v>
          </cell>
          <cell r="N24">
            <v>1.2359886141697098</v>
          </cell>
          <cell r="O24">
            <v>1.2335825315465978</v>
          </cell>
          <cell r="P24">
            <v>1.2346713669311957</v>
          </cell>
          <cell r="Q24">
            <v>1.2378648301781199</v>
          </cell>
          <cell r="R24">
            <v>1.2391867314568445</v>
          </cell>
          <cell r="S24">
            <v>1.2398242295003903</v>
          </cell>
        </row>
      </sheetData>
      <sheetData sheetId="1">
        <row r="14">
          <cell r="M14">
            <v>1.2961120492235461</v>
          </cell>
        </row>
      </sheetData>
      <sheetData sheetId="2">
        <row r="14">
          <cell r="M14">
            <v>1.2961120492235461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1.2963510647983585</v>
          </cell>
        </row>
        <row r="24">
          <cell r="K24">
            <v>1.3599560158886321</v>
          </cell>
          <cell r="L24">
            <v>1.2841673699040268</v>
          </cell>
          <cell r="M24">
            <v>1.2442193027437145</v>
          </cell>
          <cell r="N24">
            <v>1.2214655452556848</v>
          </cell>
          <cell r="O24">
            <v>1.205287459552572</v>
          </cell>
          <cell r="P24">
            <v>1.1953550018287182</v>
          </cell>
          <cell r="Q24">
            <v>1.1908050726732355</v>
          </cell>
          <cell r="R24">
            <v>1.188697239807107</v>
          </cell>
          <cell r="S24">
            <v>1.1881349038874762</v>
          </cell>
        </row>
      </sheetData>
      <sheetData sheetId="1">
        <row r="14">
          <cell r="M14">
            <v>1.2871599595095473</v>
          </cell>
        </row>
      </sheetData>
      <sheetData sheetId="2">
        <row r="14">
          <cell r="M14">
            <v>1.2666800633473712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1.28144896267015</v>
          </cell>
        </row>
        <row r="24">
          <cell r="K24">
            <v>1.3054372101690606</v>
          </cell>
          <cell r="L24">
            <v>1.2619074783498458</v>
          </cell>
          <cell r="M24">
            <v>1.235017216450139</v>
          </cell>
          <cell r="N24">
            <v>1.2194277529157018</v>
          </cell>
          <cell r="O24">
            <v>1.2093921289472145</v>
          </cell>
          <cell r="P24">
            <v>1.2027779213679537</v>
          </cell>
          <cell r="Q24">
            <v>1.1983418382894222</v>
          </cell>
          <cell r="R24">
            <v>1.1972716138765835</v>
          </cell>
          <cell r="S24">
            <v>1.1976784755170091</v>
          </cell>
        </row>
      </sheetData>
      <sheetData sheetId="1">
        <row r="14">
          <cell r="M14">
            <v>1.266933912966496</v>
          </cell>
        </row>
      </sheetData>
      <sheetData sheetId="2">
        <row r="14">
          <cell r="M14">
            <v>1.2765807585924394</v>
          </cell>
        </row>
      </sheetData>
      <sheetData sheetId="3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1.4109303052729205</v>
          </cell>
        </row>
        <row r="24">
          <cell r="K24">
            <v>1.4338792967235054</v>
          </cell>
          <cell r="L24">
            <v>1.4013492588209344</v>
          </cell>
          <cell r="M24">
            <v>1.4014419587257636</v>
          </cell>
          <cell r="N24">
            <v>1.400056122836252</v>
          </cell>
          <cell r="O24">
            <v>1.3967920476447633</v>
          </cell>
          <cell r="P24">
            <v>1.3967267442968094</v>
          </cell>
          <cell r="Q24">
            <v>1.3968698866346807</v>
          </cell>
          <cell r="R24">
            <v>1.3968817478060891</v>
          </cell>
          <cell r="S24">
            <v>1.3982014018055617</v>
          </cell>
        </row>
      </sheetData>
      <sheetData sheetId="1">
        <row r="14">
          <cell r="M14">
            <v>1.4640115499904753</v>
          </cell>
        </row>
      </sheetData>
      <sheetData sheetId="2">
        <row r="14">
          <cell r="M14">
            <v>1.4493642976425083</v>
          </cell>
        </row>
      </sheetData>
      <sheetData sheetId="3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1.3779624603421401</v>
          </cell>
        </row>
        <row r="24">
          <cell r="K24">
            <v>1.3973954385618328</v>
          </cell>
          <cell r="L24">
            <v>1.3751662227690009</v>
          </cell>
          <cell r="M24">
            <v>1.37473562290319</v>
          </cell>
          <cell r="N24">
            <v>1.3815334547515212</v>
          </cell>
          <cell r="O24">
            <v>1.3850097173055014</v>
          </cell>
          <cell r="P24">
            <v>1.3899925563291859</v>
          </cell>
          <cell r="Q24">
            <v>1.3925352790776591</v>
          </cell>
          <cell r="R24">
            <v>1.3909277673330938</v>
          </cell>
          <cell r="S24">
            <v>1.3874547008609153</v>
          </cell>
        </row>
      </sheetData>
      <sheetData sheetId="1">
        <row r="14">
          <cell r="M14">
            <v>1.4144540903839338</v>
          </cell>
        </row>
      </sheetData>
      <sheetData sheetId="2">
        <row r="14">
          <cell r="M14">
            <v>1.3408837884433804</v>
          </cell>
        </row>
      </sheetData>
      <sheetData sheetId="3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1.393587120634088</v>
          </cell>
        </row>
        <row r="24">
          <cell r="K24">
            <v>1.4317823771593792</v>
          </cell>
          <cell r="L24">
            <v>1.3730841421652697</v>
          </cell>
          <cell r="M24">
            <v>1.3398515854253352</v>
          </cell>
          <cell r="N24">
            <v>1.3117239067101567</v>
          </cell>
          <cell r="O24">
            <v>1.2913153607253793</v>
          </cell>
          <cell r="P24">
            <v>1.2757965860482567</v>
          </cell>
          <cell r="Q24">
            <v>1.2642616847774233</v>
          </cell>
          <cell r="R24">
            <v>1.2555532060267511</v>
          </cell>
          <cell r="S24">
            <v>1.2491587964112882</v>
          </cell>
        </row>
      </sheetData>
      <sheetData sheetId="1">
        <row r="14">
          <cell r="M14">
            <v>1.3835468354614362</v>
          </cell>
        </row>
      </sheetData>
      <sheetData sheetId="2">
        <row r="14">
          <cell r="M14">
            <v>1.4100303207133111</v>
          </cell>
        </row>
      </sheetData>
      <sheetData sheetId="3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1.4374109349619246</v>
          </cell>
        </row>
        <row r="24">
          <cell r="K24">
            <v>1.4519495177769537</v>
          </cell>
          <cell r="L24">
            <v>1.4206259686722074</v>
          </cell>
          <cell r="M24">
            <v>1.4062579681100151</v>
          </cell>
          <cell r="N24">
            <v>1.4002313458230131</v>
          </cell>
          <cell r="O24">
            <v>1.3933131344330476</v>
          </cell>
          <cell r="P24">
            <v>1.3922798957924276</v>
          </cell>
          <cell r="Q24">
            <v>1.3884116405651341</v>
          </cell>
          <cell r="R24">
            <v>1.3873822171543784</v>
          </cell>
          <cell r="S24">
            <v>1.3874839144677951</v>
          </cell>
        </row>
      </sheetData>
      <sheetData sheetId="1">
        <row r="14">
          <cell r="M14">
            <v>1.3986247204739248</v>
          </cell>
        </row>
      </sheetData>
      <sheetData sheetId="2">
        <row r="14">
          <cell r="M14">
            <v>1.4106625766550487</v>
          </cell>
        </row>
      </sheetData>
      <sheetData sheetId="3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1.4390084481761776</v>
          </cell>
        </row>
        <row r="24">
          <cell r="K24">
            <v>1.4529772069649314</v>
          </cell>
          <cell r="L24">
            <v>1.4357618484653247</v>
          </cell>
          <cell r="M24">
            <v>1.424503733426794</v>
          </cell>
          <cell r="N24">
            <v>1.4139365512475086</v>
          </cell>
          <cell r="O24">
            <v>1.4012673218427656</v>
          </cell>
          <cell r="P24">
            <v>1.3884703455577154</v>
          </cell>
          <cell r="Q24">
            <v>1.3809694805902639</v>
          </cell>
          <cell r="R24">
            <v>1.3779719461955984</v>
          </cell>
          <cell r="S24">
            <v>1.3798353964556946</v>
          </cell>
        </row>
      </sheetData>
      <sheetData sheetId="1">
        <row r="14">
          <cell r="M14">
            <v>1.4023474219314278</v>
          </cell>
        </row>
      </sheetData>
      <sheetData sheetId="2">
        <row r="14">
          <cell r="M14">
            <v>1.3849338083578158</v>
          </cell>
        </row>
      </sheetData>
      <sheetData sheetId="3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1.4108419744823193</v>
          </cell>
        </row>
        <row r="24">
          <cell r="K24">
            <v>1.3990667972183513</v>
          </cell>
          <cell r="L24">
            <v>1.4014055067960625</v>
          </cell>
          <cell r="M24">
            <v>1.3973659459287573</v>
          </cell>
          <cell r="N24">
            <v>1.4014142336739903</v>
          </cell>
          <cell r="O24">
            <v>1.4030034944504302</v>
          </cell>
          <cell r="P24">
            <v>1.4006797245444369</v>
          </cell>
          <cell r="Q24">
            <v>1.3907196655034559</v>
          </cell>
          <cell r="R24">
            <v>1.3695757394795991</v>
          </cell>
          <cell r="S24">
            <v>1.3538688331181019</v>
          </cell>
        </row>
      </sheetData>
      <sheetData sheetId="1">
        <row r="14">
          <cell r="M14">
            <v>1.4302499945955576</v>
          </cell>
        </row>
      </sheetData>
      <sheetData sheetId="2">
        <row r="14">
          <cell r="M14">
            <v>1.410118519775323</v>
          </cell>
        </row>
      </sheetData>
      <sheetData sheetId="3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1.4647187418698198</v>
          </cell>
        </row>
        <row r="24">
          <cell r="K24">
            <v>1.4725838457083096</v>
          </cell>
          <cell r="L24">
            <v>1.4789578076803838</v>
          </cell>
          <cell r="M24">
            <v>1.4529281790243918</v>
          </cell>
          <cell r="N24">
            <v>1.4364536820651199</v>
          </cell>
          <cell r="O24">
            <v>1.4185698685624268</v>
          </cell>
          <cell r="P24">
            <v>1.4052977562776781</v>
          </cell>
          <cell r="Q24">
            <v>1.3981914201363681</v>
          </cell>
          <cell r="R24">
            <v>1.3911691748531416</v>
          </cell>
          <cell r="S24">
            <v>1.3877189496448212</v>
          </cell>
        </row>
      </sheetData>
      <sheetData sheetId="1">
        <row r="14">
          <cell r="M14">
            <v>1.3981429793924447</v>
          </cell>
        </row>
      </sheetData>
      <sheetData sheetId="2">
        <row r="14">
          <cell r="M14">
            <v>1.4253642810323703</v>
          </cell>
        </row>
      </sheetData>
      <sheetData sheetId="3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1.3072885619030394</v>
          </cell>
        </row>
        <row r="24">
          <cell r="K24">
            <v>1.336871859668785</v>
          </cell>
          <cell r="L24">
            <v>1.2828613575676235</v>
          </cell>
          <cell r="M24">
            <v>1.2629261489074812</v>
          </cell>
          <cell r="N24">
            <v>1.2494539986202935</v>
          </cell>
          <cell r="O24">
            <v>1.2404318709255826</v>
          </cell>
          <cell r="P24">
            <v>1.2361288587570294</v>
          </cell>
          <cell r="Q24">
            <v>1.2330872661002497</v>
          </cell>
          <cell r="R24">
            <v>1.2273165367301029</v>
          </cell>
          <cell r="S24">
            <v>1.2208577984067597</v>
          </cell>
        </row>
      </sheetData>
      <sheetData sheetId="1">
        <row r="14">
          <cell r="M14">
            <v>1.2989787445282113</v>
          </cell>
        </row>
      </sheetData>
      <sheetData sheetId="2">
        <row r="14">
          <cell r="M14">
            <v>1.28865192044334</v>
          </cell>
        </row>
      </sheetData>
      <sheetData sheetId="3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1.3893658169795642</v>
          </cell>
        </row>
        <row r="24">
          <cell r="K24">
            <v>1.443560196227148</v>
          </cell>
          <cell r="L24">
            <v>1.399372508003506</v>
          </cell>
          <cell r="M24">
            <v>1.3725412244961106</v>
          </cell>
          <cell r="N24">
            <v>1.3484888260380745</v>
          </cell>
          <cell r="O24">
            <v>1.3285645889956852</v>
          </cell>
          <cell r="P24">
            <v>1.3133949871020121</v>
          </cell>
          <cell r="Q24">
            <v>1.3009918403315728</v>
          </cell>
          <cell r="R24">
            <v>1.2932002637774029</v>
          </cell>
          <cell r="S24">
            <v>1.286841212715055</v>
          </cell>
        </row>
      </sheetData>
      <sheetData sheetId="1">
        <row r="14">
          <cell r="M14">
            <v>1.3685794885949032</v>
          </cell>
        </row>
      </sheetData>
      <sheetData sheetId="2">
        <row r="14">
          <cell r="M14">
            <v>1.3799238719734837</v>
          </cell>
        </row>
      </sheetData>
      <sheetData sheetId="3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1.3340039325474007</v>
          </cell>
        </row>
        <row r="24">
          <cell r="K24">
            <v>1.3634427948695305</v>
          </cell>
          <cell r="L24">
            <v>1.3116335868847857</v>
          </cell>
          <cell r="M24">
            <v>1.288975134924683</v>
          </cell>
          <cell r="N24">
            <v>1.2770054812680482</v>
          </cell>
          <cell r="O24">
            <v>1.270428052024559</v>
          </cell>
          <cell r="P24">
            <v>1.264854950694025</v>
          </cell>
          <cell r="Q24">
            <v>1.2632713910422415</v>
          </cell>
          <cell r="R24">
            <v>1.261409388199902</v>
          </cell>
          <cell r="S24">
            <v>1.2582428496249867</v>
          </cell>
        </row>
      </sheetData>
      <sheetData sheetId="1">
        <row r="14">
          <cell r="M14">
            <v>1.3172593601020712</v>
          </cell>
        </row>
      </sheetData>
      <sheetData sheetId="2">
        <row r="14">
          <cell r="M14">
            <v>1.3126068093532064</v>
          </cell>
        </row>
      </sheetData>
      <sheetData sheetId="3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1.3536483966537887</v>
          </cell>
        </row>
        <row r="24">
          <cell r="K24">
            <v>1.4280755763678319</v>
          </cell>
          <cell r="L24">
            <v>1.3586072661967159</v>
          </cell>
          <cell r="M24">
            <v>1.3128038200118335</v>
          </cell>
          <cell r="N24">
            <v>1.2903552897310631</v>
          </cell>
          <cell r="O24">
            <v>1.2769936789718903</v>
          </cell>
          <cell r="P24">
            <v>1.271908405391577</v>
          </cell>
          <cell r="Q24">
            <v>1.2676619008406249</v>
          </cell>
          <cell r="R24">
            <v>1.2644910226602037</v>
          </cell>
          <cell r="S24">
            <v>1.2618164588235785</v>
          </cell>
        </row>
      </sheetData>
      <sheetData sheetId="1">
        <row r="14">
          <cell r="M14">
            <v>1.3489541256377759</v>
          </cell>
        </row>
      </sheetData>
      <sheetData sheetId="2">
        <row r="14">
          <cell r="M14">
            <v>1.3705756283741308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"/>
  <sheetViews>
    <sheetView zoomScale="90" zoomScaleNormal="90" zoomScalePageLayoutView="90" workbookViewId="0">
      <selection sqref="A1:Q53"/>
    </sheetView>
  </sheetViews>
  <sheetFormatPr baseColWidth="10" defaultColWidth="8.83203125" defaultRowHeight="14" x14ac:dyDescent="0"/>
  <cols>
    <col min="1" max="1" width="26" bestFit="1" customWidth="1"/>
    <col min="2" max="2" width="18.5" customWidth="1"/>
    <col min="3" max="3" width="17" customWidth="1"/>
    <col min="4" max="4" width="10.6640625" style="3" customWidth="1"/>
    <col min="5" max="5" width="15.33203125" customWidth="1"/>
    <col min="6" max="6" width="17.6640625" customWidth="1"/>
    <col min="7" max="7" width="27.6640625" customWidth="1"/>
    <col min="8" max="8" width="34" customWidth="1"/>
    <col min="9" max="9" width="11.5" customWidth="1"/>
    <col min="10" max="10" width="10.83203125" style="15" customWidth="1"/>
    <col min="11" max="11" width="12" style="24" customWidth="1"/>
    <col min="12" max="12" width="12.6640625" style="24" customWidth="1"/>
    <col min="13" max="13" width="12.33203125" style="22" customWidth="1"/>
    <col min="14" max="14" width="12.33203125" customWidth="1"/>
    <col min="15" max="15" width="12" customWidth="1"/>
    <col min="16" max="16" width="12.5" style="24" customWidth="1"/>
    <col min="17" max="17" width="8.83203125" style="20"/>
  </cols>
  <sheetData>
    <row r="1" spans="1:17" ht="30.75" customHeight="1">
      <c r="B1" s="1" t="s">
        <v>60</v>
      </c>
      <c r="C1" s="1" t="s">
        <v>61</v>
      </c>
      <c r="D1" s="7" t="s">
        <v>91</v>
      </c>
      <c r="E1" s="1" t="s">
        <v>21</v>
      </c>
      <c r="F1" s="1" t="s">
        <v>20</v>
      </c>
      <c r="G1" s="1" t="s">
        <v>23</v>
      </c>
      <c r="H1" s="1" t="s">
        <v>25</v>
      </c>
      <c r="I1" s="1" t="s">
        <v>94</v>
      </c>
      <c r="J1" s="25" t="s">
        <v>79</v>
      </c>
      <c r="K1" s="23" t="s">
        <v>77</v>
      </c>
      <c r="L1" s="29" t="s">
        <v>104</v>
      </c>
      <c r="M1" s="21" t="s">
        <v>92</v>
      </c>
      <c r="N1" s="1" t="s">
        <v>90</v>
      </c>
      <c r="O1" s="1" t="s">
        <v>88</v>
      </c>
      <c r="P1" s="23" t="s">
        <v>89</v>
      </c>
      <c r="Q1" s="20" t="s">
        <v>103</v>
      </c>
    </row>
    <row r="2" spans="1:17" ht="16">
      <c r="A2" t="s">
        <v>16</v>
      </c>
      <c r="B2" s="20" t="s">
        <v>18</v>
      </c>
      <c r="C2" s="20"/>
      <c r="D2" s="3" t="s">
        <v>87</v>
      </c>
      <c r="E2" s="20" t="s">
        <v>17</v>
      </c>
      <c r="F2" s="20" t="s">
        <v>19</v>
      </c>
      <c r="G2" s="20" t="s">
        <v>22</v>
      </c>
      <c r="H2" s="20" t="s">
        <v>24</v>
      </c>
      <c r="L2" s="24">
        <f t="shared" ref="L2:L33" si="0">MIN(J2,K2)</f>
        <v>0</v>
      </c>
      <c r="M2" s="21" t="s">
        <v>92</v>
      </c>
      <c r="O2" s="20"/>
      <c r="Q2" s="15"/>
    </row>
    <row r="3" spans="1:17">
      <c r="A3" t="s">
        <v>26</v>
      </c>
      <c r="B3" s="4">
        <v>60.37546801014345</v>
      </c>
      <c r="C3" s="4">
        <v>63.997996090752061</v>
      </c>
      <c r="D3" s="2">
        <v>1.2804195867064025</v>
      </c>
      <c r="E3" s="4">
        <f t="shared" ref="E3:E34" si="1">B3/D3</f>
        <v>47.152877569958179</v>
      </c>
      <c r="F3" s="4">
        <f t="shared" ref="F3:F34" si="2">E3*0.5</f>
        <v>23.576438784979089</v>
      </c>
      <c r="G3" s="4">
        <f t="shared" ref="G3:G34" si="3">PI()*F3^2</f>
        <v>1746.2494566094686</v>
      </c>
      <c r="H3" s="4">
        <f t="shared" ref="H3:H34" si="4">J3/I3</f>
        <v>964.67391304347825</v>
      </c>
      <c r="I3" s="17">
        <v>2944</v>
      </c>
      <c r="J3" s="15">
        <v>2840000</v>
      </c>
      <c r="K3" s="24">
        <f t="shared" ref="K3:K34" si="5">G3*H3</f>
        <v>1684561.2964575037</v>
      </c>
      <c r="L3" s="24">
        <f t="shared" si="0"/>
        <v>1684561.2964575037</v>
      </c>
      <c r="M3" s="21" t="s">
        <v>92</v>
      </c>
      <c r="N3" s="20">
        <f t="shared" ref="N3:N34" si="6">O3/I3</f>
        <v>503.32235054347825</v>
      </c>
      <c r="O3" s="14">
        <v>1481781</v>
      </c>
      <c r="P3" s="24">
        <f t="shared" ref="P3:P34" si="7">G3*N3</f>
        <v>878926.3811359494</v>
      </c>
      <c r="Q3" s="15">
        <f t="shared" ref="Q3:Q34" si="8">MIN(P3,O3)</f>
        <v>878926.3811359494</v>
      </c>
    </row>
    <row r="4" spans="1:17">
      <c r="A4" s="20" t="s">
        <v>6</v>
      </c>
      <c r="B4" s="4">
        <v>63.478689145973746</v>
      </c>
      <c r="C4" s="4">
        <v>67.922197386191925</v>
      </c>
      <c r="D4" s="2">
        <v>1.3588386571923918</v>
      </c>
      <c r="E4" s="4">
        <f t="shared" si="1"/>
        <v>46.715398336644526</v>
      </c>
      <c r="F4" s="4">
        <f t="shared" si="2"/>
        <v>23.357699168322263</v>
      </c>
      <c r="G4" s="4">
        <f t="shared" si="3"/>
        <v>1713.9967500815412</v>
      </c>
      <c r="H4" s="4">
        <f t="shared" si="4"/>
        <v>932.86219081272088</v>
      </c>
      <c r="I4" s="17">
        <v>707.5</v>
      </c>
      <c r="J4" s="15">
        <v>660000</v>
      </c>
      <c r="K4" s="24">
        <f t="shared" si="5"/>
        <v>1598922.7633269501</v>
      </c>
      <c r="L4" s="24">
        <f t="shared" si="0"/>
        <v>660000</v>
      </c>
      <c r="M4" s="21" t="s">
        <v>92</v>
      </c>
      <c r="N4" s="20">
        <f t="shared" si="6"/>
        <v>571.04734982332161</v>
      </c>
      <c r="O4" s="14">
        <v>404016</v>
      </c>
      <c r="P4" s="24">
        <f t="shared" si="7"/>
        <v>978773.3017398502</v>
      </c>
      <c r="Q4" s="15">
        <f t="shared" si="8"/>
        <v>404016</v>
      </c>
    </row>
    <row r="5" spans="1:17">
      <c r="A5" t="s">
        <v>28</v>
      </c>
      <c r="B5" s="4">
        <v>60.37745029626894</v>
      </c>
      <c r="C5" s="4">
        <v>64.603871817007771</v>
      </c>
      <c r="D5" s="2">
        <v>1.2525850225273614</v>
      </c>
      <c r="E5" s="4">
        <f t="shared" si="1"/>
        <v>48.202277059360306</v>
      </c>
      <c r="F5" s="4">
        <f t="shared" si="2"/>
        <v>24.101138529680153</v>
      </c>
      <c r="G5" s="4">
        <f t="shared" si="3"/>
        <v>1824.8408347940676</v>
      </c>
      <c r="H5" s="4">
        <f t="shared" si="4"/>
        <v>1296.8393613554904</v>
      </c>
      <c r="I5" s="17">
        <v>1534.5</v>
      </c>
      <c r="J5" s="15">
        <v>1990000</v>
      </c>
      <c r="K5" s="24">
        <f t="shared" si="5"/>
        <v>2366525.4227697584</v>
      </c>
      <c r="L5" s="24">
        <f t="shared" si="0"/>
        <v>1990000</v>
      </c>
      <c r="M5" s="21" t="s">
        <v>92</v>
      </c>
      <c r="N5" s="20">
        <f t="shared" si="6"/>
        <v>776.67839687194521</v>
      </c>
      <c r="O5" s="14">
        <v>1191813</v>
      </c>
      <c r="P5" s="24">
        <f t="shared" si="7"/>
        <v>1417314.4541143186</v>
      </c>
      <c r="Q5" s="15">
        <f t="shared" si="8"/>
        <v>1191813</v>
      </c>
    </row>
    <row r="6" spans="1:17">
      <c r="A6" t="s">
        <v>29</v>
      </c>
      <c r="B6" s="4">
        <v>61.541690600746875</v>
      </c>
      <c r="C6" s="4">
        <v>67.695859660821569</v>
      </c>
      <c r="D6" s="2">
        <v>1.2423920941272546</v>
      </c>
      <c r="E6" s="4">
        <f t="shared" si="1"/>
        <v>49.534837586018426</v>
      </c>
      <c r="F6" s="4">
        <f t="shared" si="2"/>
        <v>24.767418793009213</v>
      </c>
      <c r="G6" s="4">
        <f t="shared" si="3"/>
        <v>1927.1315793004212</v>
      </c>
      <c r="H6" s="4">
        <f t="shared" si="4"/>
        <v>1563.9892556970801</v>
      </c>
      <c r="I6" s="17">
        <v>2308.1999999999998</v>
      </c>
      <c r="J6" s="15">
        <v>3610000</v>
      </c>
      <c r="K6" s="24">
        <f t="shared" si="5"/>
        <v>3014013.0843404043</v>
      </c>
      <c r="L6" s="24">
        <f t="shared" si="0"/>
        <v>3014013.0843404043</v>
      </c>
      <c r="M6" s="21" t="s">
        <v>92</v>
      </c>
      <c r="N6" s="20">
        <f t="shared" si="6"/>
        <v>927.87323455506464</v>
      </c>
      <c r="O6" s="14">
        <v>2141717</v>
      </c>
      <c r="P6" s="24">
        <f t="shared" si="7"/>
        <v>1788133.8118986918</v>
      </c>
      <c r="Q6" s="15">
        <f t="shared" si="8"/>
        <v>1788133.8118986918</v>
      </c>
    </row>
    <row r="7" spans="1:17">
      <c r="A7" t="s">
        <v>30</v>
      </c>
      <c r="B7" s="4">
        <v>73.27659816495958</v>
      </c>
      <c r="C7" s="4">
        <v>76.207662091557978</v>
      </c>
      <c r="D7" s="2">
        <v>1.2197720965912831</v>
      </c>
      <c r="E7" s="4">
        <f t="shared" si="1"/>
        <v>60.074007570541141</v>
      </c>
      <c r="F7" s="4">
        <f t="shared" si="2"/>
        <v>30.037003785270571</v>
      </c>
      <c r="G7" s="4">
        <f t="shared" si="3"/>
        <v>2834.4127391488555</v>
      </c>
      <c r="H7" s="4">
        <f t="shared" si="4"/>
        <v>1440.1622718052738</v>
      </c>
      <c r="I7" s="17">
        <v>739.5</v>
      </c>
      <c r="J7" s="15">
        <v>1065000</v>
      </c>
      <c r="K7" s="24">
        <f t="shared" si="5"/>
        <v>4082014.2896464248</v>
      </c>
      <c r="L7" s="24">
        <f t="shared" si="0"/>
        <v>1065000</v>
      </c>
      <c r="M7" s="21" t="s">
        <v>92</v>
      </c>
      <c r="N7" s="20">
        <f t="shared" si="6"/>
        <v>718.21771467207577</v>
      </c>
      <c r="O7" s="14">
        <v>531122</v>
      </c>
      <c r="P7" s="24">
        <f t="shared" si="7"/>
        <v>2035725.4399489095</v>
      </c>
      <c r="Q7" s="15">
        <f t="shared" si="8"/>
        <v>531122</v>
      </c>
    </row>
    <row r="8" spans="1:17">
      <c r="A8" t="s">
        <v>31</v>
      </c>
      <c r="B8" s="4">
        <v>66.908176577055386</v>
      </c>
      <c r="C8" s="4">
        <v>71.591748937449267</v>
      </c>
      <c r="D8" s="2">
        <v>1.2963499404090038</v>
      </c>
      <c r="E8" s="4">
        <f t="shared" si="1"/>
        <v>51.612743204157958</v>
      </c>
      <c r="F8" s="4">
        <f t="shared" si="2"/>
        <v>25.806371602078979</v>
      </c>
      <c r="G8" s="4">
        <f t="shared" si="3"/>
        <v>2092.2027375551288</v>
      </c>
      <c r="H8" s="4">
        <f t="shared" si="4"/>
        <v>862.48203162434118</v>
      </c>
      <c r="I8" s="17">
        <v>626.1</v>
      </c>
      <c r="J8" s="15">
        <v>540000</v>
      </c>
      <c r="K8" s="24">
        <f t="shared" si="5"/>
        <v>1804487.2676565559</v>
      </c>
      <c r="L8" s="24">
        <f t="shared" si="0"/>
        <v>540000</v>
      </c>
      <c r="M8" s="21" t="s">
        <v>92</v>
      </c>
      <c r="N8" s="20">
        <f t="shared" si="6"/>
        <v>966.06931800031941</v>
      </c>
      <c r="O8" s="14">
        <v>604856</v>
      </c>
      <c r="P8" s="24">
        <f t="shared" si="7"/>
        <v>2021212.8717882845</v>
      </c>
      <c r="Q8" s="15">
        <f t="shared" si="8"/>
        <v>604856</v>
      </c>
    </row>
    <row r="9" spans="1:17">
      <c r="A9" t="s">
        <v>32</v>
      </c>
      <c r="B9" s="4">
        <v>59.830534500000006</v>
      </c>
      <c r="C9" s="4">
        <v>64.616977260000013</v>
      </c>
      <c r="D9" s="2">
        <v>1.230649613698569</v>
      </c>
      <c r="E9" s="4">
        <f t="shared" si="1"/>
        <v>48.617034315873674</v>
      </c>
      <c r="F9" s="4">
        <f t="shared" si="2"/>
        <v>24.308517157936837</v>
      </c>
      <c r="G9" s="4">
        <f t="shared" si="3"/>
        <v>1856.3796855386527</v>
      </c>
      <c r="H9" s="4">
        <f t="shared" si="4"/>
        <v>1830.0112091232515</v>
      </c>
      <c r="I9" s="20">
        <v>4103.8</v>
      </c>
      <c r="J9" s="15">
        <v>7510000</v>
      </c>
      <c r="K9" s="24">
        <f t="shared" si="5"/>
        <v>3397195.6329244315</v>
      </c>
      <c r="L9" s="24">
        <f t="shared" si="0"/>
        <v>3397195.6329244315</v>
      </c>
      <c r="M9" s="21" t="s">
        <v>92</v>
      </c>
      <c r="N9" s="20">
        <f t="shared" si="6"/>
        <v>936.04391052195524</v>
      </c>
      <c r="O9" s="14">
        <v>3841337</v>
      </c>
      <c r="P9" s="24">
        <f t="shared" si="7"/>
        <v>1737652.9002651181</v>
      </c>
      <c r="Q9" s="15">
        <f t="shared" si="8"/>
        <v>1737652.9002651181</v>
      </c>
    </row>
    <row r="10" spans="1:17">
      <c r="A10" t="s">
        <v>33</v>
      </c>
      <c r="B10" s="4">
        <v>67.518821168909824</v>
      </c>
      <c r="C10" s="4">
        <v>74.270703285800806</v>
      </c>
      <c r="D10" s="2">
        <v>1.3292592058969801</v>
      </c>
      <c r="E10" s="4">
        <f t="shared" si="1"/>
        <v>50.794322784733566</v>
      </c>
      <c r="F10" s="4">
        <f t="shared" si="2"/>
        <v>25.397161392366783</v>
      </c>
      <c r="G10" s="4">
        <f t="shared" si="3"/>
        <v>2026.3769200605248</v>
      </c>
      <c r="H10" s="4">
        <f t="shared" si="4"/>
        <v>860.24750980984004</v>
      </c>
      <c r="I10" s="17">
        <v>1325.2</v>
      </c>
      <c r="J10" s="15">
        <v>1140000</v>
      </c>
      <c r="K10" s="24">
        <f t="shared" si="5"/>
        <v>1743185.6994181997</v>
      </c>
      <c r="L10" s="24">
        <f t="shared" si="0"/>
        <v>1140000</v>
      </c>
      <c r="M10" s="21" t="s">
        <v>92</v>
      </c>
      <c r="N10" s="20">
        <f t="shared" si="6"/>
        <v>613.31572592816178</v>
      </c>
      <c r="O10" s="14">
        <v>812766</v>
      </c>
      <c r="P10" s="24">
        <f t="shared" si="7"/>
        <v>1242808.8317309935</v>
      </c>
      <c r="Q10" s="15">
        <f t="shared" si="8"/>
        <v>812766</v>
      </c>
    </row>
    <row r="11" spans="1:17">
      <c r="A11" t="s">
        <v>34</v>
      </c>
      <c r="B11" s="4">
        <v>70.270147843682068</v>
      </c>
      <c r="C11" s="4">
        <v>77.297162628050287</v>
      </c>
      <c r="D11" s="2">
        <v>1.2049847148423478</v>
      </c>
      <c r="E11" s="4">
        <f t="shared" si="1"/>
        <v>58.316215117198183</v>
      </c>
      <c r="F11" s="4">
        <f t="shared" si="2"/>
        <v>29.158107558599092</v>
      </c>
      <c r="G11" s="4">
        <f t="shared" si="3"/>
        <v>2670.9671087876127</v>
      </c>
      <c r="H11" s="4">
        <f t="shared" si="4"/>
        <v>1068.6095931997572</v>
      </c>
      <c r="I11" s="17">
        <v>1647</v>
      </c>
      <c r="J11" s="15">
        <v>1760000</v>
      </c>
      <c r="K11" s="24">
        <f t="shared" si="5"/>
        <v>2854221.0755714625</v>
      </c>
      <c r="L11" s="24">
        <f t="shared" si="0"/>
        <v>1760000</v>
      </c>
      <c r="M11" s="21" t="s">
        <v>92</v>
      </c>
      <c r="N11" s="20">
        <f t="shared" si="6"/>
        <v>754.15846994535514</v>
      </c>
      <c r="O11" s="14">
        <v>1242099</v>
      </c>
      <c r="P11" s="24">
        <f t="shared" si="7"/>
        <v>2014332.4680376349</v>
      </c>
      <c r="Q11" s="15">
        <f t="shared" si="8"/>
        <v>1242099</v>
      </c>
    </row>
    <row r="12" spans="1:17">
      <c r="A12" t="s">
        <v>35</v>
      </c>
      <c r="B12" s="4">
        <v>67.725932932724078</v>
      </c>
      <c r="C12" s="4">
        <v>77.20756354330544</v>
      </c>
      <c r="D12" s="2">
        <v>1.2627799319268018</v>
      </c>
      <c r="E12" s="4">
        <f t="shared" si="1"/>
        <v>53.632411491830609</v>
      </c>
      <c r="F12" s="4">
        <f t="shared" si="2"/>
        <v>26.816205745915305</v>
      </c>
      <c r="G12" s="4">
        <f t="shared" si="3"/>
        <v>2259.1472078628776</v>
      </c>
      <c r="H12" s="4">
        <f t="shared" si="4"/>
        <v>973.91693719914929</v>
      </c>
      <c r="I12" s="17">
        <v>893.3</v>
      </c>
      <c r="J12" s="15">
        <v>870000</v>
      </c>
      <c r="K12" s="24">
        <f t="shared" si="5"/>
        <v>2200221.7293638238</v>
      </c>
      <c r="L12" s="24">
        <f t="shared" si="0"/>
        <v>870000</v>
      </c>
      <c r="M12" s="21" t="s">
        <v>92</v>
      </c>
      <c r="N12" s="20">
        <f t="shared" si="6"/>
        <v>758.82570245158411</v>
      </c>
      <c r="O12" s="14">
        <v>677859</v>
      </c>
      <c r="P12" s="24">
        <f t="shared" si="7"/>
        <v>1714298.9669480829</v>
      </c>
      <c r="Q12" s="15">
        <f t="shared" si="8"/>
        <v>677859</v>
      </c>
    </row>
    <row r="13" spans="1:17">
      <c r="A13" t="s">
        <v>62</v>
      </c>
      <c r="B13" s="4">
        <v>66.03146949483623</v>
      </c>
      <c r="C13" s="4">
        <v>76.596504614010016</v>
      </c>
      <c r="D13" s="2">
        <v>1.3065070711215105</v>
      </c>
      <c r="E13" s="4">
        <f t="shared" si="1"/>
        <v>50.540460862683716</v>
      </c>
      <c r="F13" s="4">
        <f t="shared" si="2"/>
        <v>25.270230431341858</v>
      </c>
      <c r="G13" s="4">
        <f t="shared" si="3"/>
        <v>2006.1725185764426</v>
      </c>
      <c r="H13" s="4">
        <f t="shared" si="4"/>
        <v>869.56521739130437</v>
      </c>
      <c r="I13" s="17">
        <v>3737.5</v>
      </c>
      <c r="J13" s="15">
        <v>3250000</v>
      </c>
      <c r="K13" s="24">
        <f t="shared" si="5"/>
        <v>1744497.842240385</v>
      </c>
      <c r="L13" s="24">
        <f t="shared" si="0"/>
        <v>1744497.842240385</v>
      </c>
      <c r="M13" s="21" t="s">
        <v>92</v>
      </c>
      <c r="N13" s="20">
        <f t="shared" si="6"/>
        <v>528.85779264214045</v>
      </c>
      <c r="O13" s="14">
        <v>1976606</v>
      </c>
      <c r="P13" s="24">
        <f t="shared" si="7"/>
        <v>1060979.9698336609</v>
      </c>
      <c r="Q13" s="15">
        <f t="shared" si="8"/>
        <v>1060979.9698336609</v>
      </c>
    </row>
    <row r="14" spans="1:17">
      <c r="A14" s="20" t="s">
        <v>36</v>
      </c>
      <c r="B14" s="4">
        <v>65.002140793217592</v>
      </c>
      <c r="C14" s="4">
        <v>76.052504728064577</v>
      </c>
      <c r="D14" s="2">
        <v>1.3654162762477409</v>
      </c>
      <c r="E14" s="4">
        <f t="shared" si="1"/>
        <v>47.606097806192857</v>
      </c>
      <c r="F14" s="4">
        <f t="shared" si="2"/>
        <v>23.803048903096428</v>
      </c>
      <c r="G14" s="4">
        <f t="shared" si="3"/>
        <v>1779.9797042937471</v>
      </c>
      <c r="H14" s="4">
        <f t="shared" si="4"/>
        <v>1329.5186805789297</v>
      </c>
      <c r="I14" s="17">
        <v>1188.4000000000001</v>
      </c>
      <c r="J14" s="15">
        <v>1580000</v>
      </c>
      <c r="K14" s="24">
        <f t="shared" si="5"/>
        <v>2366516.2679098961</v>
      </c>
      <c r="L14" s="24">
        <f t="shared" si="0"/>
        <v>1580000</v>
      </c>
      <c r="M14" s="21" t="s">
        <v>92</v>
      </c>
      <c r="N14" s="20">
        <f t="shared" si="6"/>
        <v>811.94210703466842</v>
      </c>
      <c r="O14" s="14">
        <v>964912</v>
      </c>
      <c r="P14" s="24">
        <f t="shared" si="7"/>
        <v>1445240.4715832111</v>
      </c>
      <c r="Q14" s="15">
        <f t="shared" si="8"/>
        <v>964912</v>
      </c>
    </row>
    <row r="15" spans="1:17">
      <c r="A15" t="s">
        <v>37</v>
      </c>
      <c r="B15" s="4">
        <v>59.740126684000487</v>
      </c>
      <c r="C15" s="4">
        <v>69.895948220280573</v>
      </c>
      <c r="D15" s="2">
        <v>1.2288145856552757</v>
      </c>
      <c r="E15" s="4">
        <f t="shared" si="1"/>
        <v>48.616062489316533</v>
      </c>
      <c r="F15" s="4">
        <f t="shared" si="2"/>
        <v>24.308031244658267</v>
      </c>
      <c r="G15" s="4">
        <f t="shared" si="3"/>
        <v>1856.3054703557366</v>
      </c>
      <c r="H15" s="4">
        <f t="shared" si="4"/>
        <v>1369.2488100986411</v>
      </c>
      <c r="I15" s="17">
        <v>2899.4</v>
      </c>
      <c r="J15" s="15">
        <v>3970000</v>
      </c>
      <c r="K15" s="24">
        <f t="shared" si="5"/>
        <v>2541744.0564641906</v>
      </c>
      <c r="L15" s="24">
        <f t="shared" si="0"/>
        <v>2541744.0564641906</v>
      </c>
      <c r="M15" s="21" t="s">
        <v>92</v>
      </c>
      <c r="N15" s="20">
        <f t="shared" si="6"/>
        <v>717.34841691384418</v>
      </c>
      <c r="O15" s="14">
        <v>2079880</v>
      </c>
      <c r="P15" s="24">
        <f t="shared" si="7"/>
        <v>1331617.7904681966</v>
      </c>
      <c r="Q15" s="15">
        <f t="shared" si="8"/>
        <v>1331617.7904681966</v>
      </c>
    </row>
    <row r="16" spans="1:17" ht="16">
      <c r="A16" s="20" t="s">
        <v>101</v>
      </c>
      <c r="B16" s="26">
        <v>70.939381203745498</v>
      </c>
      <c r="C16" s="26">
        <v>83.70846982041968</v>
      </c>
      <c r="D16" s="2">
        <v>1.2825248470877721</v>
      </c>
      <c r="E16" s="4">
        <f t="shared" si="1"/>
        <v>55.312286046408751</v>
      </c>
      <c r="F16" s="4">
        <f t="shared" si="2"/>
        <v>27.656143023204375</v>
      </c>
      <c r="G16" s="4">
        <f t="shared" si="3"/>
        <v>2402.8856159318534</v>
      </c>
      <c r="H16" s="4">
        <f t="shared" si="4"/>
        <v>1190.58976132826</v>
      </c>
      <c r="I16" s="17">
        <v>578.20000000000005</v>
      </c>
      <c r="J16" s="28">
        <v>688399</v>
      </c>
      <c r="K16" s="24">
        <f t="shared" si="5"/>
        <v>2860851.0119714146</v>
      </c>
      <c r="L16" s="24">
        <f t="shared" si="0"/>
        <v>688399</v>
      </c>
      <c r="M16" s="21" t="s">
        <v>92</v>
      </c>
      <c r="N16" s="20">
        <f t="shared" si="6"/>
        <v>693.86025596679349</v>
      </c>
      <c r="O16" s="14">
        <f>337335+63855</f>
        <v>401190</v>
      </c>
      <c r="P16" s="24">
        <f t="shared" si="7"/>
        <v>1667266.8285294021</v>
      </c>
      <c r="Q16" s="15">
        <f t="shared" si="8"/>
        <v>401190</v>
      </c>
    </row>
    <row r="17" spans="1:17">
      <c r="A17" t="s">
        <v>58</v>
      </c>
      <c r="B17" s="4">
        <v>64.898649256812377</v>
      </c>
      <c r="C17" s="4">
        <v>85.666217018992342</v>
      </c>
      <c r="D17" s="2">
        <v>1.3571400798530551</v>
      </c>
      <c r="E17" s="4">
        <f t="shared" si="1"/>
        <v>47.820155207441303</v>
      </c>
      <c r="F17" s="4">
        <f t="shared" si="2"/>
        <v>23.910077603720651</v>
      </c>
      <c r="G17" s="4">
        <f t="shared" si="3"/>
        <v>1796.0227936051338</v>
      </c>
      <c r="H17" s="4">
        <f t="shared" si="4"/>
        <v>770.84181744138687</v>
      </c>
      <c r="I17" s="16">
        <v>1718.9</v>
      </c>
      <c r="J17" s="15">
        <v>1325000</v>
      </c>
      <c r="K17" s="24">
        <f t="shared" si="5"/>
        <v>1384449.4743887382</v>
      </c>
      <c r="L17" s="24">
        <f t="shared" si="0"/>
        <v>1325000</v>
      </c>
      <c r="M17" s="21" t="s">
        <v>92</v>
      </c>
      <c r="N17" s="20">
        <f t="shared" si="6"/>
        <v>406.65483739600904</v>
      </c>
      <c r="O17" s="14">
        <v>698999</v>
      </c>
      <c r="P17" s="24">
        <f t="shared" si="7"/>
        <v>730361.35709302162</v>
      </c>
      <c r="Q17" s="15">
        <f t="shared" si="8"/>
        <v>698999</v>
      </c>
    </row>
    <row r="18" spans="1:17">
      <c r="A18" t="s">
        <v>38</v>
      </c>
      <c r="B18" s="4">
        <v>70.550117521710789</v>
      </c>
      <c r="C18" s="4">
        <v>84.660141026052941</v>
      </c>
      <c r="D18" s="2">
        <v>1.3223701939914507</v>
      </c>
      <c r="E18" s="4">
        <f t="shared" si="1"/>
        <v>53.351261123605532</v>
      </c>
      <c r="F18" s="4">
        <f t="shared" si="2"/>
        <v>26.675630561802766</v>
      </c>
      <c r="G18" s="4">
        <f t="shared" si="3"/>
        <v>2235.523610029873</v>
      </c>
      <c r="H18" s="4">
        <f t="shared" si="4"/>
        <v>1320.2112337974077</v>
      </c>
      <c r="I18" s="16">
        <v>624.9</v>
      </c>
      <c r="J18" s="15">
        <v>825000</v>
      </c>
      <c r="K18" s="24">
        <f t="shared" si="5"/>
        <v>2951363.3833807735</v>
      </c>
      <c r="L18" s="24">
        <f t="shared" si="0"/>
        <v>825000</v>
      </c>
      <c r="M18" s="21" t="s">
        <v>92</v>
      </c>
      <c r="N18" s="20">
        <f t="shared" si="6"/>
        <v>899.29428708593377</v>
      </c>
      <c r="O18" s="14">
        <v>561969</v>
      </c>
      <c r="P18" s="24">
        <f t="shared" si="7"/>
        <v>2010393.6111455876</v>
      </c>
      <c r="Q18" s="15">
        <f t="shared" si="8"/>
        <v>561969</v>
      </c>
    </row>
    <row r="19" spans="1:17" ht="16">
      <c r="A19" s="20" t="s">
        <v>100</v>
      </c>
      <c r="B19" s="26">
        <v>61.851770964117151</v>
      </c>
      <c r="C19" s="26">
        <v>73.60360744729941</v>
      </c>
      <c r="D19" s="2">
        <v>1.3847021462356206</v>
      </c>
      <c r="E19" s="4">
        <f t="shared" si="1"/>
        <v>44.667924529664496</v>
      </c>
      <c r="F19" s="4">
        <f t="shared" si="2"/>
        <v>22.333962264832248</v>
      </c>
      <c r="G19" s="4">
        <f t="shared" si="3"/>
        <v>1567.0448581636026</v>
      </c>
      <c r="H19" s="4">
        <f t="shared" si="4"/>
        <v>2328.0373051224947</v>
      </c>
      <c r="I19" s="16">
        <v>359.2</v>
      </c>
      <c r="J19" s="28">
        <v>836231</v>
      </c>
      <c r="K19" s="24">
        <f t="shared" si="5"/>
        <v>3648138.8886052552</v>
      </c>
      <c r="L19" s="24">
        <f t="shared" si="0"/>
        <v>836231</v>
      </c>
      <c r="M19" s="21" t="s">
        <v>92</v>
      </c>
      <c r="N19" s="20">
        <f t="shared" si="6"/>
        <v>1218.0345211581291</v>
      </c>
      <c r="O19" s="14">
        <v>437518</v>
      </c>
      <c r="P19" s="24">
        <f t="shared" si="7"/>
        <v>1908714.733446612</v>
      </c>
      <c r="Q19" s="15">
        <f t="shared" si="8"/>
        <v>437518</v>
      </c>
    </row>
    <row r="20" spans="1:17">
      <c r="A20" t="s">
        <v>39</v>
      </c>
      <c r="B20" s="27">
        <v>61.865929871835121</v>
      </c>
      <c r="C20" s="27">
        <v>73.620456547483784</v>
      </c>
      <c r="D20" s="2">
        <v>1.3197846089200058</v>
      </c>
      <c r="E20" s="4">
        <f t="shared" si="1"/>
        <v>46.875777648642746</v>
      </c>
      <c r="F20" s="4">
        <f t="shared" si="2"/>
        <v>23.437888824321373</v>
      </c>
      <c r="G20" s="4">
        <f t="shared" si="3"/>
        <v>1725.7856459540355</v>
      </c>
      <c r="H20" s="4">
        <f t="shared" si="4"/>
        <v>951.03794313448986</v>
      </c>
      <c r="I20" s="16">
        <v>3049.3</v>
      </c>
      <c r="J20" s="15">
        <v>2900000</v>
      </c>
      <c r="K20" s="24">
        <f t="shared" si="5"/>
        <v>1641287.6310191529</v>
      </c>
      <c r="L20" s="24">
        <f t="shared" si="0"/>
        <v>1641287.6310191529</v>
      </c>
      <c r="M20" s="21" t="s">
        <v>92</v>
      </c>
      <c r="N20" s="20">
        <f t="shared" si="6"/>
        <v>577.11474764700097</v>
      </c>
      <c r="O20" s="14">
        <v>1759796</v>
      </c>
      <c r="P20" s="24">
        <f t="shared" si="7"/>
        <v>995976.34755757975</v>
      </c>
      <c r="Q20" s="15">
        <f t="shared" si="8"/>
        <v>995976.34755757975</v>
      </c>
    </row>
    <row r="21" spans="1:17">
      <c r="A21" t="s">
        <v>40</v>
      </c>
      <c r="B21" s="27">
        <v>66.181816591922129</v>
      </c>
      <c r="C21" s="27">
        <v>78.094543578468105</v>
      </c>
      <c r="D21" s="2">
        <v>1.2722485093794627</v>
      </c>
      <c r="E21" s="4">
        <f t="shared" si="1"/>
        <v>52.019567013839314</v>
      </c>
      <c r="F21" s="4">
        <f t="shared" si="2"/>
        <v>26.009783506919657</v>
      </c>
      <c r="G21" s="4">
        <f t="shared" si="3"/>
        <v>2125.3151957907353</v>
      </c>
      <c r="H21" s="4">
        <f t="shared" si="4"/>
        <v>778.16205533596838</v>
      </c>
      <c r="I21" s="16">
        <v>1214.4000000000001</v>
      </c>
      <c r="J21" s="15">
        <v>945000</v>
      </c>
      <c r="K21" s="24">
        <f t="shared" si="5"/>
        <v>1653839.6409932845</v>
      </c>
      <c r="L21" s="24">
        <f t="shared" si="0"/>
        <v>945000</v>
      </c>
      <c r="M21" s="21" t="s">
        <v>92</v>
      </c>
      <c r="N21" s="20">
        <f t="shared" si="6"/>
        <v>514.63356389986825</v>
      </c>
      <c r="O21" s="14">
        <v>624971</v>
      </c>
      <c r="P21" s="24">
        <f t="shared" si="7"/>
        <v>1093758.5336203324</v>
      </c>
      <c r="Q21" s="15">
        <f t="shared" si="8"/>
        <v>624971</v>
      </c>
    </row>
    <row r="22" spans="1:17">
      <c r="A22" s="20" t="s">
        <v>2</v>
      </c>
      <c r="B22" s="27">
        <v>65.10221093956217</v>
      </c>
      <c r="C22" s="27">
        <v>72.914476252309626</v>
      </c>
      <c r="D22" s="2">
        <v>1.3359338217910093</v>
      </c>
      <c r="E22" s="4">
        <f t="shared" si="1"/>
        <v>48.73161370544792</v>
      </c>
      <c r="F22" s="4">
        <f t="shared" si="2"/>
        <v>24.36580685272396</v>
      </c>
      <c r="G22" s="4">
        <f t="shared" si="3"/>
        <v>1865.1401334153175</v>
      </c>
      <c r="H22" s="4">
        <f t="shared" si="4"/>
        <v>1078.3820073850286</v>
      </c>
      <c r="I22" s="16">
        <v>1191.5999999999999</v>
      </c>
      <c r="J22" s="15">
        <v>1285000</v>
      </c>
      <c r="K22" s="24">
        <f t="shared" si="5"/>
        <v>2011333.56112679</v>
      </c>
      <c r="L22" s="24">
        <f t="shared" si="0"/>
        <v>1285000</v>
      </c>
      <c r="M22" s="21" t="s">
        <v>92</v>
      </c>
      <c r="N22" s="20">
        <f t="shared" si="6"/>
        <v>643.63293051359517</v>
      </c>
      <c r="O22" s="15">
        <v>766953</v>
      </c>
      <c r="P22" s="24">
        <f t="shared" si="7"/>
        <v>1200465.6098886186</v>
      </c>
      <c r="Q22" s="15">
        <f t="shared" si="8"/>
        <v>766953</v>
      </c>
    </row>
    <row r="23" spans="1:17">
      <c r="A23" s="20" t="s">
        <v>9</v>
      </c>
      <c r="B23" s="26">
        <v>55.540281389808555</v>
      </c>
      <c r="C23" s="26">
        <v>57.206489831502807</v>
      </c>
      <c r="D23" s="2">
        <v>1.367147891752108</v>
      </c>
      <c r="E23" s="4">
        <f t="shared" si="1"/>
        <v>40.6249256023277</v>
      </c>
      <c r="F23" s="4">
        <f t="shared" si="2"/>
        <v>20.31246280116385</v>
      </c>
      <c r="G23" s="4">
        <f t="shared" si="3"/>
        <v>1296.2090181843553</v>
      </c>
      <c r="H23" s="4">
        <f t="shared" si="4"/>
        <v>547.57015742642022</v>
      </c>
      <c r="I23" s="16">
        <v>1314.9</v>
      </c>
      <c r="J23" s="15">
        <v>720000</v>
      </c>
      <c r="K23" s="24">
        <f t="shared" si="5"/>
        <v>709765.37614475295</v>
      </c>
      <c r="L23" s="24">
        <f t="shared" si="0"/>
        <v>709765.37614475295</v>
      </c>
      <c r="M23" s="21" t="s">
        <v>92</v>
      </c>
      <c r="N23" s="20">
        <f t="shared" si="6"/>
        <v>337.57852308160312</v>
      </c>
      <c r="O23" s="14">
        <v>443882</v>
      </c>
      <c r="P23" s="24">
        <f t="shared" si="7"/>
        <v>437572.32596372953</v>
      </c>
      <c r="Q23" s="15">
        <f t="shared" si="8"/>
        <v>437572.32596372953</v>
      </c>
    </row>
    <row r="24" spans="1:17">
      <c r="A24" t="s">
        <v>75</v>
      </c>
      <c r="B24" s="27">
        <v>63.219918440805898</v>
      </c>
      <c r="C24" s="27">
        <v>65.116515994030081</v>
      </c>
      <c r="D24" s="2">
        <v>1.2881189492290259</v>
      </c>
      <c r="E24" s="4">
        <f t="shared" si="1"/>
        <v>49.079255047559649</v>
      </c>
      <c r="F24" s="4">
        <f t="shared" si="2"/>
        <v>24.539627523779824</v>
      </c>
      <c r="G24" s="4">
        <f t="shared" si="3"/>
        <v>1891.8461070296405</v>
      </c>
      <c r="H24" s="4">
        <f t="shared" si="4"/>
        <v>587.90735391009071</v>
      </c>
      <c r="I24" s="16">
        <v>1973.1</v>
      </c>
      <c r="J24" s="15">
        <v>1160000</v>
      </c>
      <c r="K24" s="24">
        <f t="shared" si="5"/>
        <v>1112230.2387889023</v>
      </c>
      <c r="L24" s="24">
        <f t="shared" si="0"/>
        <v>1112230.2387889023</v>
      </c>
      <c r="M24" s="21" t="s">
        <v>92</v>
      </c>
      <c r="N24" s="20">
        <f t="shared" si="6"/>
        <v>390.91227003192949</v>
      </c>
      <c r="O24" s="14">
        <v>771309</v>
      </c>
      <c r="P24" s="24">
        <f t="shared" si="7"/>
        <v>739545.85625002545</v>
      </c>
      <c r="Q24" s="15">
        <f t="shared" si="8"/>
        <v>739545.85625002545</v>
      </c>
    </row>
    <row r="25" spans="1:17">
      <c r="A25" s="20" t="s">
        <v>10</v>
      </c>
      <c r="B25" s="26">
        <v>58.291697709553844</v>
      </c>
      <c r="C25" s="26">
        <v>60.040448640840452</v>
      </c>
      <c r="D25" s="2">
        <v>1.3334070755044698</v>
      </c>
      <c r="E25" s="4">
        <f t="shared" si="1"/>
        <v>43.716355477940049</v>
      </c>
      <c r="F25" s="4">
        <f t="shared" si="2"/>
        <v>21.858177738970024</v>
      </c>
      <c r="G25" s="4">
        <f t="shared" si="3"/>
        <v>1500.9899309019161</v>
      </c>
      <c r="H25" s="4">
        <f t="shared" si="4"/>
        <v>1175.4827875734677</v>
      </c>
      <c r="I25" s="16">
        <v>595.5</v>
      </c>
      <c r="J25" s="15">
        <v>700000</v>
      </c>
      <c r="K25" s="24">
        <f t="shared" si="5"/>
        <v>1764387.8280962911</v>
      </c>
      <c r="L25" s="24">
        <f t="shared" si="0"/>
        <v>700000</v>
      </c>
      <c r="M25" s="21" t="s">
        <v>92</v>
      </c>
      <c r="N25" s="20">
        <f t="shared" si="6"/>
        <v>623.22082283795135</v>
      </c>
      <c r="O25" s="14">
        <v>371128</v>
      </c>
      <c r="P25" s="24">
        <f t="shared" si="7"/>
        <v>935448.17980817182</v>
      </c>
      <c r="Q25" s="15">
        <f t="shared" si="8"/>
        <v>371128</v>
      </c>
    </row>
    <row r="26" spans="1:17">
      <c r="A26" t="s">
        <v>64</v>
      </c>
      <c r="B26" s="27">
        <v>48.116227796764051</v>
      </c>
      <c r="C26" s="27">
        <v>49.559714630666974</v>
      </c>
      <c r="D26" s="2">
        <v>1.2467601620257738</v>
      </c>
      <c r="E26" s="4">
        <f t="shared" si="1"/>
        <v>38.593010317704845</v>
      </c>
      <c r="F26" s="4">
        <f t="shared" si="2"/>
        <v>19.296505158852423</v>
      </c>
      <c r="G26" s="4">
        <f t="shared" si="3"/>
        <v>1169.7880823300036</v>
      </c>
      <c r="H26" s="4">
        <f t="shared" si="4"/>
        <v>2243.0420521281399</v>
      </c>
      <c r="I26" s="16">
        <v>5091.3</v>
      </c>
      <c r="J26" s="15">
        <v>11420000</v>
      </c>
      <c r="K26" s="24">
        <f t="shared" si="5"/>
        <v>2623883.8607445327</v>
      </c>
      <c r="L26" s="24">
        <f t="shared" si="0"/>
        <v>2623883.8607445327</v>
      </c>
      <c r="M26" s="21" t="s">
        <v>92</v>
      </c>
      <c r="N26" s="20">
        <f t="shared" si="6"/>
        <v>1337.3878970007659</v>
      </c>
      <c r="O26" s="14">
        <v>6809043</v>
      </c>
      <c r="P26" s="24">
        <f t="shared" si="7"/>
        <v>1564460.4233638823</v>
      </c>
      <c r="Q26" s="15">
        <f t="shared" si="8"/>
        <v>1564460.4233638823</v>
      </c>
    </row>
    <row r="27" spans="1:17">
      <c r="A27" s="20" t="s">
        <v>11</v>
      </c>
      <c r="B27" s="26">
        <v>62.487212851553508</v>
      </c>
      <c r="C27" s="26">
        <v>64.986701365615659</v>
      </c>
      <c r="D27" s="2">
        <v>1.3589321966589822</v>
      </c>
      <c r="E27" s="4">
        <f t="shared" si="1"/>
        <v>45.982583240857885</v>
      </c>
      <c r="F27" s="4">
        <f t="shared" si="2"/>
        <v>22.991291620428942</v>
      </c>
      <c r="G27" s="4">
        <f t="shared" si="3"/>
        <v>1660.6442756553129</v>
      </c>
      <c r="H27" s="4">
        <f t="shared" si="4"/>
        <v>1106.8597977589507</v>
      </c>
      <c r="I27" s="16">
        <v>731.8</v>
      </c>
      <c r="J27" s="15">
        <v>810000</v>
      </c>
      <c r="K27" s="24">
        <f t="shared" si="5"/>
        <v>1838100.3871013988</v>
      </c>
      <c r="L27" s="24">
        <f t="shared" si="0"/>
        <v>810000</v>
      </c>
      <c r="M27" s="21" t="s">
        <v>92</v>
      </c>
      <c r="N27" s="20">
        <f t="shared" si="6"/>
        <v>610.65318393003554</v>
      </c>
      <c r="O27" s="14">
        <v>446876</v>
      </c>
      <c r="P27" s="24">
        <f t="shared" si="7"/>
        <v>1014077.7143041044</v>
      </c>
      <c r="Q27" s="15">
        <f t="shared" si="8"/>
        <v>446876</v>
      </c>
    </row>
    <row r="28" spans="1:17">
      <c r="A28" s="20" t="s">
        <v>12</v>
      </c>
      <c r="B28" s="26">
        <v>65.308032205055966</v>
      </c>
      <c r="C28" s="26">
        <v>67.920353493258204</v>
      </c>
      <c r="D28" s="2">
        <v>1.3312259917708142</v>
      </c>
      <c r="E28" s="4">
        <f t="shared" si="1"/>
        <v>49.058561513047358</v>
      </c>
      <c r="F28" s="4">
        <f t="shared" si="2"/>
        <v>24.529280756523679</v>
      </c>
      <c r="G28" s="4">
        <f t="shared" si="3"/>
        <v>1890.2511060713719</v>
      </c>
      <c r="H28" s="4">
        <f t="shared" si="4"/>
        <v>973.62164609985291</v>
      </c>
      <c r="I28" s="16">
        <v>883.3</v>
      </c>
      <c r="J28" s="15">
        <v>860000</v>
      </c>
      <c r="K28" s="24">
        <f t="shared" si="5"/>
        <v>1840389.3934352768</v>
      </c>
      <c r="L28" s="24">
        <f t="shared" si="0"/>
        <v>860000</v>
      </c>
      <c r="M28" s="21" t="s">
        <v>92</v>
      </c>
      <c r="N28" s="20">
        <f t="shared" si="6"/>
        <v>507.45726253820902</v>
      </c>
      <c r="O28" s="14">
        <v>448237</v>
      </c>
      <c r="P28" s="24">
        <f t="shared" si="7"/>
        <v>959221.65179680008</v>
      </c>
      <c r="Q28" s="15">
        <f t="shared" si="8"/>
        <v>448237</v>
      </c>
    </row>
    <row r="29" spans="1:17">
      <c r="A29" t="s">
        <v>44</v>
      </c>
      <c r="B29" s="27">
        <v>64.485521071986952</v>
      </c>
      <c r="C29" s="27">
        <v>67.064941914866438</v>
      </c>
      <c r="D29" s="2">
        <v>1.2176020802066099</v>
      </c>
      <c r="E29" s="4">
        <f t="shared" si="1"/>
        <v>52.961079912942225</v>
      </c>
      <c r="F29" s="4">
        <f t="shared" si="2"/>
        <v>26.480539956471112</v>
      </c>
      <c r="G29" s="4">
        <f t="shared" si="3"/>
        <v>2202.944447604692</v>
      </c>
      <c r="H29" s="4">
        <f t="shared" si="4"/>
        <v>927.60180995475116</v>
      </c>
      <c r="I29" s="16">
        <v>1326</v>
      </c>
      <c r="J29" s="15">
        <v>1230000</v>
      </c>
      <c r="K29" s="24">
        <f t="shared" si="5"/>
        <v>2043455.2568278818</v>
      </c>
      <c r="L29" s="24">
        <f t="shared" si="0"/>
        <v>1230000</v>
      </c>
      <c r="M29" s="21" t="s">
        <v>92</v>
      </c>
      <c r="N29" s="20">
        <f t="shared" si="6"/>
        <v>582.76923076923072</v>
      </c>
      <c r="O29" s="14">
        <v>772752</v>
      </c>
      <c r="P29" s="24">
        <f t="shared" si="7"/>
        <v>1283808.2411579343</v>
      </c>
      <c r="Q29" s="15">
        <f t="shared" si="8"/>
        <v>772752</v>
      </c>
    </row>
    <row r="30" spans="1:17">
      <c r="A30" t="s">
        <v>45</v>
      </c>
      <c r="B30" s="27">
        <v>63.564185114523426</v>
      </c>
      <c r="C30" s="27">
        <v>66.106752519104361</v>
      </c>
      <c r="D30" s="2">
        <v>1.2446763567855696</v>
      </c>
      <c r="E30" s="4">
        <f t="shared" si="1"/>
        <v>51.068845943760572</v>
      </c>
      <c r="F30" s="4">
        <f t="shared" si="2"/>
        <v>25.534422971880286</v>
      </c>
      <c r="G30" s="4">
        <f t="shared" si="3"/>
        <v>2048.3396363329475</v>
      </c>
      <c r="H30" s="4">
        <f t="shared" si="4"/>
        <v>730.08608477716029</v>
      </c>
      <c r="I30" s="16">
        <v>2753.1</v>
      </c>
      <c r="J30" s="15">
        <v>2010000</v>
      </c>
      <c r="K30" s="24">
        <f t="shared" si="5"/>
        <v>1495464.265384194</v>
      </c>
      <c r="L30" s="24">
        <f t="shared" si="0"/>
        <v>1495464.265384194</v>
      </c>
      <c r="M30" s="21" t="s">
        <v>92</v>
      </c>
      <c r="N30" s="20">
        <f t="shared" si="6"/>
        <v>474.96422214957687</v>
      </c>
      <c r="O30" s="14">
        <v>1307624</v>
      </c>
      <c r="P30" s="24">
        <f t="shared" si="7"/>
        <v>972888.04206902557</v>
      </c>
      <c r="Q30" s="15">
        <f t="shared" si="8"/>
        <v>972888.04206902557</v>
      </c>
    </row>
    <row r="31" spans="1:17">
      <c r="A31" s="20" t="s">
        <v>13</v>
      </c>
      <c r="B31" s="26">
        <v>63.734436519319452</v>
      </c>
      <c r="C31" s="26">
        <v>66.283813980092233</v>
      </c>
      <c r="D31" s="2">
        <v>1.353332701277282</v>
      </c>
      <c r="E31" s="4">
        <f t="shared" si="1"/>
        <v>47.094433215990847</v>
      </c>
      <c r="F31" s="4">
        <f t="shared" si="2"/>
        <v>23.547216607995423</v>
      </c>
      <c r="G31" s="4">
        <f t="shared" si="3"/>
        <v>1741.9233082308549</v>
      </c>
      <c r="H31" s="4">
        <f t="shared" si="4"/>
        <v>451.20587765532662</v>
      </c>
      <c r="I31" s="16">
        <v>1252.2</v>
      </c>
      <c r="J31" s="15">
        <v>565000</v>
      </c>
      <c r="K31" s="24">
        <f t="shared" si="5"/>
        <v>785966.03509857296</v>
      </c>
      <c r="L31" s="24">
        <f t="shared" si="0"/>
        <v>565000</v>
      </c>
      <c r="M31" s="21" t="s">
        <v>92</v>
      </c>
      <c r="N31" s="20">
        <f t="shared" si="6"/>
        <v>395.8768567321514</v>
      </c>
      <c r="O31" s="14">
        <v>495717</v>
      </c>
      <c r="P31" s="24">
        <f t="shared" si="7"/>
        <v>689587.12393090129</v>
      </c>
      <c r="Q31" s="15">
        <f t="shared" si="8"/>
        <v>495717</v>
      </c>
    </row>
    <row r="32" spans="1:17">
      <c r="A32" t="s">
        <v>47</v>
      </c>
      <c r="B32" s="27">
        <v>62.636693012318808</v>
      </c>
      <c r="C32" s="27">
        <v>65.142160732811561</v>
      </c>
      <c r="D32" s="2">
        <v>1.3461921883034873</v>
      </c>
      <c r="E32" s="4">
        <f t="shared" si="1"/>
        <v>46.528789541748488</v>
      </c>
      <c r="F32" s="4">
        <f t="shared" si="2"/>
        <v>23.264394770874244</v>
      </c>
      <c r="G32" s="4">
        <f t="shared" si="3"/>
        <v>1700.3306763226824</v>
      </c>
      <c r="H32" s="4">
        <f t="shared" si="4"/>
        <v>1501.072194424589</v>
      </c>
      <c r="I32" s="16">
        <v>699.5</v>
      </c>
      <c r="J32" s="15">
        <v>1050000</v>
      </c>
      <c r="K32" s="24">
        <f t="shared" si="5"/>
        <v>2552319.0995551343</v>
      </c>
      <c r="L32" s="24">
        <f t="shared" si="0"/>
        <v>1050000</v>
      </c>
      <c r="M32" s="21" t="s">
        <v>92</v>
      </c>
      <c r="N32" s="20">
        <f t="shared" si="6"/>
        <v>735.84846318799146</v>
      </c>
      <c r="O32" s="14">
        <v>514726</v>
      </c>
      <c r="P32" s="24">
        <f t="shared" si="7"/>
        <v>1251185.715083444</v>
      </c>
      <c r="Q32" s="15">
        <f t="shared" si="8"/>
        <v>514726</v>
      </c>
    </row>
    <row r="33" spans="1:17">
      <c r="A33" t="s">
        <v>65</v>
      </c>
      <c r="B33" s="27">
        <v>59.42988867805861</v>
      </c>
      <c r="C33" s="27">
        <v>62.40138311196155</v>
      </c>
      <c r="D33" s="2">
        <v>1.2603547141344449</v>
      </c>
      <c r="E33" s="4">
        <f t="shared" si="1"/>
        <v>47.153303757722199</v>
      </c>
      <c r="F33" s="4">
        <f t="shared" si="2"/>
        <v>23.576651878861099</v>
      </c>
      <c r="G33" s="4">
        <f t="shared" si="3"/>
        <v>1746.2810234428421</v>
      </c>
      <c r="H33" s="4">
        <f t="shared" si="4"/>
        <v>2072.7310590777161</v>
      </c>
      <c r="I33" s="16">
        <v>7683.1</v>
      </c>
      <c r="J33" s="15">
        <v>15925000</v>
      </c>
      <c r="K33" s="24">
        <f t="shared" si="5"/>
        <v>3619570.9151679999</v>
      </c>
      <c r="L33" s="24">
        <f t="shared" si="0"/>
        <v>3619570.9151679999</v>
      </c>
      <c r="M33" s="21" t="s">
        <v>92</v>
      </c>
      <c r="N33" s="20">
        <f t="shared" si="6"/>
        <v>1112.8936236675299</v>
      </c>
      <c r="O33" s="14">
        <v>8550473</v>
      </c>
      <c r="P33" s="24">
        <f t="shared" si="7"/>
        <v>1943425.0161211472</v>
      </c>
      <c r="Q33" s="15">
        <f t="shared" si="8"/>
        <v>1943425.0161211472</v>
      </c>
    </row>
    <row r="34" spans="1:17">
      <c r="A34" s="20" t="s">
        <v>14</v>
      </c>
      <c r="B34" s="26">
        <v>69.714425398287744</v>
      </c>
      <c r="C34" s="26">
        <v>72.503002414219253</v>
      </c>
      <c r="D34" s="2">
        <v>1.2964577542802127</v>
      </c>
      <c r="E34" s="4">
        <f t="shared" si="1"/>
        <v>53.773001988015309</v>
      </c>
      <c r="F34" s="4">
        <f t="shared" si="2"/>
        <v>26.886500994007655</v>
      </c>
      <c r="G34" s="4">
        <f t="shared" si="3"/>
        <v>2271.0068617956299</v>
      </c>
      <c r="H34" s="4">
        <f t="shared" si="4"/>
        <v>411.8665313675163</v>
      </c>
      <c r="I34" s="16">
        <v>1675.3</v>
      </c>
      <c r="J34" s="15">
        <v>690000</v>
      </c>
      <c r="K34" s="24">
        <f t="shared" si="5"/>
        <v>935351.71887959458</v>
      </c>
      <c r="L34" s="24">
        <f t="shared" ref="L34:L53" si="9">MIN(J34,K34)</f>
        <v>690000</v>
      </c>
      <c r="M34" s="21" t="s">
        <v>92</v>
      </c>
      <c r="N34" s="20">
        <f t="shared" si="6"/>
        <v>268.68143019160749</v>
      </c>
      <c r="O34" s="14">
        <v>450122</v>
      </c>
      <c r="P34" s="24">
        <f t="shared" si="7"/>
        <v>610177.37160220416</v>
      </c>
      <c r="Q34" s="15">
        <f t="shared" si="8"/>
        <v>450122</v>
      </c>
    </row>
    <row r="35" spans="1:17">
      <c r="A35" t="s">
        <v>48</v>
      </c>
      <c r="B35" s="27">
        <v>58.78311324728174</v>
      </c>
      <c r="C35" s="27">
        <v>61.722268909645827</v>
      </c>
      <c r="D35" s="2">
        <v>1.3350685041643267</v>
      </c>
      <c r="E35" s="4">
        <f t="shared" ref="E35:E53" si="10">B35/D35</f>
        <v>44.030035210872171</v>
      </c>
      <c r="F35" s="4">
        <f t="shared" ref="F35:F53" si="11">E35*0.5</f>
        <v>22.015017605436086</v>
      </c>
      <c r="G35" s="4">
        <f t="shared" ref="G35:G53" si="12">PI()*F35^2</f>
        <v>1522.6074376082047</v>
      </c>
      <c r="H35" s="4">
        <f t="shared" ref="H35:H53" si="13">J35/I35</f>
        <v>841.40495059191858</v>
      </c>
      <c r="I35" s="16">
        <v>1022.1</v>
      </c>
      <c r="J35" s="15">
        <v>860000</v>
      </c>
      <c r="K35" s="24">
        <f t="shared" ref="K35:K53" si="14">G35*H35</f>
        <v>1281129.4358116193</v>
      </c>
      <c r="L35" s="24">
        <f t="shared" si="9"/>
        <v>860000</v>
      </c>
      <c r="M35" s="21" t="s">
        <v>92</v>
      </c>
      <c r="N35" s="20">
        <f t="shared" ref="N35:N53" si="15">O35/I35</f>
        <v>545.39477546228352</v>
      </c>
      <c r="O35" s="14">
        <v>557448</v>
      </c>
      <c r="P35" s="24">
        <f t="shared" ref="P35:P53" si="16">G35*N35</f>
        <v>830422.14155152964</v>
      </c>
      <c r="Q35" s="15">
        <f t="shared" ref="Q35:Q53" si="17">MIN(P35,O35)</f>
        <v>557448</v>
      </c>
    </row>
    <row r="36" spans="1:17">
      <c r="A36" t="s">
        <v>67</v>
      </c>
      <c r="B36" s="27">
        <v>63.176257053555211</v>
      </c>
      <c r="C36" s="27">
        <v>66.966832476768531</v>
      </c>
      <c r="D36" s="2">
        <v>1.21284552512981</v>
      </c>
      <c r="E36" s="4">
        <f t="shared" si="10"/>
        <v>52.089285687716497</v>
      </c>
      <c r="F36" s="4">
        <f t="shared" si="11"/>
        <v>26.044642843858249</v>
      </c>
      <c r="G36" s="4">
        <f t="shared" si="12"/>
        <v>2131.0158757446693</v>
      </c>
      <c r="H36" s="4">
        <f t="shared" si="13"/>
        <v>1518.9201737803867</v>
      </c>
      <c r="I36" s="16">
        <v>3015.3</v>
      </c>
      <c r="J36" s="15">
        <v>4580000</v>
      </c>
      <c r="K36" s="24">
        <f t="shared" si="14"/>
        <v>3236843.0043148561</v>
      </c>
      <c r="L36" s="24">
        <f t="shared" si="9"/>
        <v>3236843.0043148561</v>
      </c>
      <c r="M36" s="21" t="s">
        <v>92</v>
      </c>
      <c r="N36" s="20">
        <f t="shared" si="15"/>
        <v>926.91175007461936</v>
      </c>
      <c r="O36" s="14">
        <v>2794917</v>
      </c>
      <c r="P36" s="24">
        <f t="shared" si="16"/>
        <v>1975263.654823289</v>
      </c>
      <c r="Q36" s="15">
        <f t="shared" si="17"/>
        <v>1975263.654823289</v>
      </c>
    </row>
    <row r="37" spans="1:17">
      <c r="A37" t="s">
        <v>49</v>
      </c>
      <c r="B37" s="27">
        <v>62.02920484038443</v>
      </c>
      <c r="C37" s="27">
        <v>65.130665082403652</v>
      </c>
      <c r="D37" s="2">
        <v>1.3720086617819869</v>
      </c>
      <c r="E37" s="4">
        <f t="shared" si="10"/>
        <v>45.210505274667803</v>
      </c>
      <c r="F37" s="4">
        <f t="shared" si="11"/>
        <v>22.605252637333901</v>
      </c>
      <c r="G37" s="4">
        <f t="shared" si="12"/>
        <v>1605.345824862768</v>
      </c>
      <c r="H37" s="4">
        <f t="shared" si="13"/>
        <v>987.28769407106381</v>
      </c>
      <c r="I37" s="16">
        <v>1919.4</v>
      </c>
      <c r="J37" s="15">
        <v>1895000</v>
      </c>
      <c r="K37" s="24">
        <f t="shared" si="14"/>
        <v>1584938.1776153722</v>
      </c>
      <c r="L37" s="24">
        <f t="shared" si="9"/>
        <v>1584938.1776153722</v>
      </c>
      <c r="M37" s="21" t="s">
        <v>92</v>
      </c>
      <c r="N37" s="20">
        <f t="shared" si="15"/>
        <v>519.17005314160667</v>
      </c>
      <c r="O37" s="14">
        <v>996495</v>
      </c>
      <c r="P37" s="24">
        <f t="shared" si="16"/>
        <v>833447.47720465972</v>
      </c>
      <c r="Q37" s="15">
        <f t="shared" si="17"/>
        <v>833447.47720465972</v>
      </c>
    </row>
    <row r="38" spans="1:17">
      <c r="A38" t="s">
        <v>50</v>
      </c>
      <c r="B38" s="27">
        <v>65.42916793409438</v>
      </c>
      <c r="C38" s="27">
        <v>68.700626330799111</v>
      </c>
      <c r="D38" s="2">
        <v>1.3164731695748204</v>
      </c>
      <c r="E38" s="4">
        <f t="shared" si="10"/>
        <v>49.700342890562631</v>
      </c>
      <c r="F38" s="4">
        <f t="shared" si="11"/>
        <v>24.850171445281315</v>
      </c>
      <c r="G38" s="4">
        <f t="shared" si="12"/>
        <v>1940.0309184971882</v>
      </c>
      <c r="H38" s="4">
        <f t="shared" si="13"/>
        <v>883.28701865819767</v>
      </c>
      <c r="I38" s="16">
        <v>2015.2</v>
      </c>
      <c r="J38" s="15">
        <v>1780000</v>
      </c>
      <c r="K38" s="24">
        <f t="shared" si="14"/>
        <v>1713604.1261041062</v>
      </c>
      <c r="L38" s="24">
        <f t="shared" si="9"/>
        <v>1713604.1261041062</v>
      </c>
      <c r="M38" s="21" t="s">
        <v>92</v>
      </c>
      <c r="N38" s="20">
        <f t="shared" si="15"/>
        <v>474.4710202461294</v>
      </c>
      <c r="O38" s="14">
        <v>956154</v>
      </c>
      <c r="P38" s="24">
        <f t="shared" si="16"/>
        <v>920488.44920839637</v>
      </c>
      <c r="Q38" s="15">
        <f t="shared" si="17"/>
        <v>920488.44920839637</v>
      </c>
    </row>
    <row r="39" spans="1:17">
      <c r="A39" t="s">
        <v>51</v>
      </c>
      <c r="B39" s="27">
        <v>65.140770915733583</v>
      </c>
      <c r="C39" s="27">
        <v>68.397809461520268</v>
      </c>
      <c r="D39" s="2">
        <v>1.3968132005592373</v>
      </c>
      <c r="E39" s="4">
        <f t="shared" si="10"/>
        <v>46.635277279491198</v>
      </c>
      <c r="F39" s="4">
        <f t="shared" si="11"/>
        <v>23.317638639745599</v>
      </c>
      <c r="G39" s="4">
        <f t="shared" si="12"/>
        <v>1708.1224785453883</v>
      </c>
      <c r="H39" s="4">
        <f t="shared" si="13"/>
        <v>1184.1974325803562</v>
      </c>
      <c r="I39" s="16">
        <v>1004.9</v>
      </c>
      <c r="J39" s="15">
        <v>1190000</v>
      </c>
      <c r="K39" s="24">
        <f t="shared" si="14"/>
        <v>2022754.2536262434</v>
      </c>
      <c r="L39" s="24">
        <f t="shared" si="9"/>
        <v>1190000</v>
      </c>
      <c r="M39" s="21" t="s">
        <v>92</v>
      </c>
      <c r="N39" s="20">
        <f t="shared" si="15"/>
        <v>720.99910438849633</v>
      </c>
      <c r="O39" s="14">
        <v>724532</v>
      </c>
      <c r="P39" s="24">
        <f t="shared" si="16"/>
        <v>1231554.7772170834</v>
      </c>
      <c r="Q39" s="15">
        <f t="shared" si="17"/>
        <v>724532</v>
      </c>
    </row>
    <row r="40" spans="1:17">
      <c r="A40" t="s">
        <v>52</v>
      </c>
      <c r="B40" s="27">
        <v>70.338872065042395</v>
      </c>
      <c r="C40" s="27">
        <v>75.262593109595372</v>
      </c>
      <c r="D40" s="2">
        <v>1.2487404330931191</v>
      </c>
      <c r="E40" s="4">
        <f t="shared" si="10"/>
        <v>56.327856615336486</v>
      </c>
      <c r="F40" s="4">
        <f t="shared" si="11"/>
        <v>28.163928307668243</v>
      </c>
      <c r="G40" s="4">
        <f t="shared" si="12"/>
        <v>2491.932836988552</v>
      </c>
      <c r="H40" s="4">
        <f t="shared" si="13"/>
        <v>1415.4601861427093</v>
      </c>
      <c r="I40" s="16">
        <v>773.6</v>
      </c>
      <c r="J40" s="15">
        <v>1095000</v>
      </c>
      <c r="K40" s="24">
        <f t="shared" si="14"/>
        <v>3527231.7172989454</v>
      </c>
      <c r="L40" s="24">
        <f t="shared" si="9"/>
        <v>1095000</v>
      </c>
      <c r="M40" s="21" t="s">
        <v>92</v>
      </c>
      <c r="N40" s="20">
        <f t="shared" si="15"/>
        <v>704.06928645294727</v>
      </c>
      <c r="O40" s="14">
        <v>544668</v>
      </c>
      <c r="P40" s="24">
        <f t="shared" si="16"/>
        <v>1754493.3744271984</v>
      </c>
      <c r="Q40" s="15">
        <f t="shared" si="17"/>
        <v>544668</v>
      </c>
    </row>
    <row r="41" spans="1:17">
      <c r="A41" s="20" t="s">
        <v>15</v>
      </c>
      <c r="B41" s="26">
        <v>68.778714095226661</v>
      </c>
      <c r="C41" s="26">
        <v>74.281011222844796</v>
      </c>
      <c r="D41" s="2">
        <v>1.2413603862790981</v>
      </c>
      <c r="E41" s="4">
        <f t="shared" si="10"/>
        <v>55.405919872621887</v>
      </c>
      <c r="F41" s="4">
        <f t="shared" si="11"/>
        <v>27.702959936310943</v>
      </c>
      <c r="G41" s="4">
        <f t="shared" si="12"/>
        <v>2411.0278145420993</v>
      </c>
      <c r="H41" s="4">
        <f t="shared" si="13"/>
        <v>1097.213078779899</v>
      </c>
      <c r="I41" s="16">
        <v>455.7</v>
      </c>
      <c r="J41" s="15">
        <v>500000</v>
      </c>
      <c r="K41" s="24">
        <f t="shared" si="14"/>
        <v>2645411.2514177081</v>
      </c>
      <c r="L41" s="24">
        <f t="shared" si="9"/>
        <v>500000</v>
      </c>
      <c r="M41" s="21" t="s">
        <v>92</v>
      </c>
      <c r="N41" s="20">
        <f t="shared" si="15"/>
        <v>877.11432960280888</v>
      </c>
      <c r="O41" s="14">
        <v>399701</v>
      </c>
      <c r="P41" s="24">
        <f t="shared" si="16"/>
        <v>2114747.045205819</v>
      </c>
      <c r="Q41" s="15">
        <f t="shared" si="17"/>
        <v>399701</v>
      </c>
    </row>
    <row r="42" spans="1:17">
      <c r="A42" t="s">
        <v>82</v>
      </c>
      <c r="B42" s="27">
        <v>70.514936537683639</v>
      </c>
      <c r="C42" s="27">
        <v>78.27157955682884</v>
      </c>
      <c r="D42" s="2">
        <v>1.2523823469090467</v>
      </c>
      <c r="E42" s="4">
        <f t="shared" si="10"/>
        <v>56.304639483076912</v>
      </c>
      <c r="F42" s="4">
        <f t="shared" si="11"/>
        <v>28.152319741538456</v>
      </c>
      <c r="G42" s="4">
        <f t="shared" si="12"/>
        <v>2489.8790179963162</v>
      </c>
      <c r="H42" s="4">
        <f t="shared" si="13"/>
        <v>1079.1366906474821</v>
      </c>
      <c r="I42" s="16">
        <v>569.9</v>
      </c>
      <c r="J42" s="15">
        <v>615000</v>
      </c>
      <c r="K42" s="24">
        <f t="shared" si="14"/>
        <v>2686919.8035931471</v>
      </c>
      <c r="L42" s="24">
        <f t="shared" si="9"/>
        <v>615000</v>
      </c>
      <c r="M42" s="21" t="s">
        <v>92</v>
      </c>
      <c r="N42" s="20">
        <f t="shared" si="15"/>
        <v>844.82716266011585</v>
      </c>
      <c r="O42" s="14">
        <v>481467</v>
      </c>
      <c r="P42" s="24">
        <f t="shared" si="16"/>
        <v>2103517.4261407834</v>
      </c>
      <c r="Q42" s="15">
        <f t="shared" si="17"/>
        <v>481467</v>
      </c>
    </row>
    <row r="43" spans="1:17">
      <c r="A43" t="s">
        <v>54</v>
      </c>
      <c r="B43" s="27">
        <v>61.557786724693997</v>
      </c>
      <c r="C43" s="27">
        <v>68.329143264410348</v>
      </c>
      <c r="D43" s="2">
        <v>1.420419999904208</v>
      </c>
      <c r="E43" s="4">
        <f t="shared" si="10"/>
        <v>43.337735830842576</v>
      </c>
      <c r="F43" s="4">
        <f t="shared" si="11"/>
        <v>21.668867915421288</v>
      </c>
      <c r="G43" s="4">
        <f t="shared" si="12"/>
        <v>1475.1029016574871</v>
      </c>
      <c r="H43" s="4">
        <f t="shared" si="13"/>
        <v>1272.1174973979414</v>
      </c>
      <c r="I43" s="16">
        <v>864.7</v>
      </c>
      <c r="J43" s="15">
        <v>1100000</v>
      </c>
      <c r="K43" s="24">
        <f t="shared" si="14"/>
        <v>1876504.2116609642</v>
      </c>
      <c r="L43" s="24">
        <f t="shared" si="9"/>
        <v>1100000</v>
      </c>
      <c r="M43" s="21" t="s">
        <v>92</v>
      </c>
      <c r="N43" s="20">
        <f t="shared" si="15"/>
        <v>793.27512432057358</v>
      </c>
      <c r="O43" s="14">
        <v>685945</v>
      </c>
      <c r="P43" s="24">
        <f t="shared" si="16"/>
        <v>1170162.4376979819</v>
      </c>
      <c r="Q43" s="15">
        <f t="shared" si="17"/>
        <v>685945</v>
      </c>
    </row>
    <row r="44" spans="1:17">
      <c r="A44" t="s">
        <v>55</v>
      </c>
      <c r="B44" s="4">
        <v>65.143959367039756</v>
      </c>
      <c r="C44" s="4">
        <v>73.612674084754914</v>
      </c>
      <c r="D44" s="2">
        <v>1.3900559399069428</v>
      </c>
      <c r="E44" s="4">
        <f t="shared" si="10"/>
        <v>46.864271787077008</v>
      </c>
      <c r="F44" s="4">
        <f t="shared" si="11"/>
        <v>23.432135893538504</v>
      </c>
      <c r="G44" s="4">
        <f t="shared" si="12"/>
        <v>1724.93854688581</v>
      </c>
      <c r="H44" s="4">
        <f t="shared" si="13"/>
        <v>1215.620726333384</v>
      </c>
      <c r="I44" s="16">
        <v>658.1</v>
      </c>
      <c r="J44" s="15">
        <v>800000</v>
      </c>
      <c r="K44" s="24">
        <f t="shared" si="14"/>
        <v>2096871.0492457803</v>
      </c>
      <c r="L44" s="24">
        <f t="shared" si="9"/>
        <v>800000</v>
      </c>
      <c r="M44" s="21" t="s">
        <v>92</v>
      </c>
      <c r="N44" s="20">
        <f t="shared" si="15"/>
        <v>728.36650964898945</v>
      </c>
      <c r="O44" s="14">
        <v>479338</v>
      </c>
      <c r="P44" s="24">
        <f t="shared" si="16"/>
        <v>1256387.468754217</v>
      </c>
      <c r="Q44" s="15">
        <f t="shared" si="17"/>
        <v>479338</v>
      </c>
    </row>
    <row r="45" spans="1:17">
      <c r="A45" t="s">
        <v>68</v>
      </c>
      <c r="B45" s="4">
        <v>68.131157212250471</v>
      </c>
      <c r="C45" s="4">
        <v>77.66951922196553</v>
      </c>
      <c r="D45" s="2">
        <v>1.3944576902357904</v>
      </c>
      <c r="E45" s="4">
        <f t="shared" si="10"/>
        <v>48.858533098074922</v>
      </c>
      <c r="F45" s="4">
        <f t="shared" si="11"/>
        <v>24.429266549037461</v>
      </c>
      <c r="G45" s="4">
        <f t="shared" si="12"/>
        <v>1874.868139594437</v>
      </c>
      <c r="H45" s="4">
        <f t="shared" si="13"/>
        <v>1031.2913177611283</v>
      </c>
      <c r="I45" s="16">
        <v>1134.5</v>
      </c>
      <c r="J45" s="15">
        <v>1170000</v>
      </c>
      <c r="K45" s="24">
        <f t="shared" si="14"/>
        <v>1933535.234310702</v>
      </c>
      <c r="L45" s="24">
        <f t="shared" si="9"/>
        <v>1170000</v>
      </c>
      <c r="M45" s="21" t="s">
        <v>92</v>
      </c>
      <c r="N45" s="20">
        <f t="shared" si="15"/>
        <v>501.67386513882769</v>
      </c>
      <c r="O45" s="14">
        <v>569149</v>
      </c>
      <c r="P45" s="24">
        <f t="shared" si="16"/>
        <v>940572.34621598432</v>
      </c>
      <c r="Q45" s="15">
        <f t="shared" si="17"/>
        <v>569149</v>
      </c>
    </row>
    <row r="46" spans="1:17">
      <c r="A46" t="s">
        <v>69</v>
      </c>
      <c r="B46" s="4">
        <v>59.330043396898148</v>
      </c>
      <c r="C46" s="4">
        <v>68.229549906432865</v>
      </c>
      <c r="D46" s="2">
        <v>1.3769556631897848</v>
      </c>
      <c r="E46" s="4">
        <f t="shared" si="10"/>
        <v>43.087838615992339</v>
      </c>
      <c r="F46" s="4">
        <f t="shared" si="11"/>
        <v>21.54391930799617</v>
      </c>
      <c r="G46" s="4">
        <f t="shared" si="12"/>
        <v>1458.1402566977063</v>
      </c>
      <c r="H46" s="4">
        <f t="shared" si="13"/>
        <v>1283.9160839160838</v>
      </c>
      <c r="I46" s="16">
        <v>1787.5</v>
      </c>
      <c r="J46" s="15">
        <v>2295000</v>
      </c>
      <c r="K46" s="24">
        <f t="shared" si="14"/>
        <v>1872129.7281797123</v>
      </c>
      <c r="L46" s="24">
        <f t="shared" si="9"/>
        <v>1872129.7281797123</v>
      </c>
      <c r="M46" s="21" t="s">
        <v>92</v>
      </c>
      <c r="N46" s="20">
        <f t="shared" si="15"/>
        <v>688.36139860139861</v>
      </c>
      <c r="O46" s="14">
        <v>1230446</v>
      </c>
      <c r="P46" s="24">
        <f t="shared" si="16"/>
        <v>1003727.4664574355</v>
      </c>
      <c r="Q46" s="15">
        <f t="shared" si="17"/>
        <v>1003727.4664574355</v>
      </c>
    </row>
    <row r="47" spans="1:17">
      <c r="A47" t="s">
        <v>70</v>
      </c>
      <c r="B47" s="4">
        <v>53.936325276944842</v>
      </c>
      <c r="C47" s="4">
        <v>62.026774068486567</v>
      </c>
      <c r="D47" s="2">
        <v>1.4057476356909797</v>
      </c>
      <c r="E47" s="4">
        <f t="shared" si="10"/>
        <v>38.368426812564429</v>
      </c>
      <c r="F47" s="4">
        <f t="shared" si="11"/>
        <v>19.184213406282215</v>
      </c>
      <c r="G47" s="4">
        <f t="shared" si="12"/>
        <v>1156.2130489571946</v>
      </c>
      <c r="H47" s="4">
        <f t="shared" si="13"/>
        <v>1623.3049162948894</v>
      </c>
      <c r="I47" s="16">
        <v>2263.9</v>
      </c>
      <c r="J47" s="15">
        <v>3675000</v>
      </c>
      <c r="K47" s="24">
        <f t="shared" si="14"/>
        <v>1876886.3266565176</v>
      </c>
      <c r="L47" s="24">
        <f t="shared" si="9"/>
        <v>1876886.3266565176</v>
      </c>
      <c r="M47" s="21" t="s">
        <v>92</v>
      </c>
      <c r="N47" s="20">
        <f t="shared" si="15"/>
        <v>1413.8579442554883</v>
      </c>
      <c r="O47" s="14">
        <v>3200833</v>
      </c>
      <c r="P47" s="24">
        <f t="shared" si="16"/>
        <v>1634721.0045199895</v>
      </c>
      <c r="Q47" s="15">
        <f t="shared" si="17"/>
        <v>1634721.0045199895</v>
      </c>
    </row>
    <row r="48" spans="1:17">
      <c r="A48" s="20" t="s">
        <v>3</v>
      </c>
      <c r="B48" s="4">
        <v>57.58663731743308</v>
      </c>
      <c r="C48" s="4">
        <v>66.800499288222369</v>
      </c>
      <c r="D48" s="2">
        <v>1.415239926121528</v>
      </c>
      <c r="E48" s="4">
        <f t="shared" si="10"/>
        <v>40.690370766495789</v>
      </c>
      <c r="F48" s="4">
        <f t="shared" si="11"/>
        <v>20.345185383247895</v>
      </c>
      <c r="G48" s="4">
        <f t="shared" si="12"/>
        <v>1300.3886660300725</v>
      </c>
      <c r="H48" s="4">
        <f t="shared" si="13"/>
        <v>1608.4873374401095</v>
      </c>
      <c r="I48" s="16">
        <v>876.6</v>
      </c>
      <c r="J48" s="15">
        <v>1410000</v>
      </c>
      <c r="K48" s="24">
        <f t="shared" si="14"/>
        <v>2091658.7030600072</v>
      </c>
      <c r="L48" s="24">
        <f t="shared" si="9"/>
        <v>1410000</v>
      </c>
      <c r="M48" s="21" t="s">
        <v>92</v>
      </c>
      <c r="N48" s="20">
        <f t="shared" si="15"/>
        <v>1079.5836185261237</v>
      </c>
      <c r="O48" s="15">
        <v>946363</v>
      </c>
      <c r="P48" s="24">
        <f t="shared" si="16"/>
        <v>1403878.3015631046</v>
      </c>
      <c r="Q48" s="15">
        <f t="shared" si="17"/>
        <v>946363</v>
      </c>
    </row>
    <row r="49" spans="1:17">
      <c r="A49" t="s">
        <v>56</v>
      </c>
      <c r="B49" s="4">
        <v>57.751551670614234</v>
      </c>
      <c r="C49" s="4">
        <v>67.569315454618646</v>
      </c>
      <c r="D49" s="2">
        <v>1.407578059972719</v>
      </c>
      <c r="E49" s="4">
        <f t="shared" si="10"/>
        <v>41.029022341917965</v>
      </c>
      <c r="F49" s="4">
        <f t="shared" si="11"/>
        <v>20.514511170958983</v>
      </c>
      <c r="G49" s="4">
        <f t="shared" si="12"/>
        <v>1322.1240899203704</v>
      </c>
      <c r="H49" s="4">
        <f t="shared" si="13"/>
        <v>1477.6384054639784</v>
      </c>
      <c r="I49" s="16">
        <v>1522.7</v>
      </c>
      <c r="J49" s="15">
        <v>2250000</v>
      </c>
      <c r="K49" s="24">
        <f t="shared" si="14"/>
        <v>1953621.3320554497</v>
      </c>
      <c r="L49" s="24">
        <f t="shared" si="9"/>
        <v>1953621.3320554497</v>
      </c>
      <c r="M49" s="21" t="s">
        <v>92</v>
      </c>
      <c r="N49" s="20">
        <f t="shared" si="15"/>
        <v>859.22243383463581</v>
      </c>
      <c r="O49" s="14">
        <v>1308338</v>
      </c>
      <c r="P49" s="24">
        <f t="shared" si="16"/>
        <v>1135998.6783727836</v>
      </c>
      <c r="Q49" s="15">
        <f t="shared" si="17"/>
        <v>1135998.6783727836</v>
      </c>
    </row>
    <row r="50" spans="1:17">
      <c r="A50" t="s">
        <v>76</v>
      </c>
      <c r="B50" s="4">
        <v>57.267086544288581</v>
      </c>
      <c r="C50" s="4">
        <v>59.557770006060125</v>
      </c>
      <c r="D50" s="2">
        <v>1.2731889571575705</v>
      </c>
      <c r="E50" s="4">
        <f t="shared" si="10"/>
        <v>44.97925168322142</v>
      </c>
      <c r="F50" s="4">
        <f t="shared" si="11"/>
        <v>22.48962584161071</v>
      </c>
      <c r="G50" s="4">
        <f t="shared" si="12"/>
        <v>1588.9650068977351</v>
      </c>
      <c r="H50" s="4">
        <f t="shared" si="13"/>
        <v>4280.7094372673528</v>
      </c>
      <c r="I50" s="16">
        <v>913.4</v>
      </c>
      <c r="J50" s="15">
        <v>3910000</v>
      </c>
      <c r="K50" s="24">
        <f t="shared" si="14"/>
        <v>6801897.5005147187</v>
      </c>
      <c r="L50" s="24">
        <f t="shared" si="9"/>
        <v>3910000</v>
      </c>
      <c r="M50" s="21" t="s">
        <v>92</v>
      </c>
      <c r="N50" s="20">
        <f t="shared" si="15"/>
        <v>1616.0335012042917</v>
      </c>
      <c r="O50" s="14">
        <v>1476085</v>
      </c>
      <c r="P50" s="24">
        <f t="shared" si="16"/>
        <v>2567820.6833880483</v>
      </c>
      <c r="Q50" s="15">
        <f t="shared" si="17"/>
        <v>1476085</v>
      </c>
    </row>
    <row r="51" spans="1:17">
      <c r="A51" t="s">
        <v>57</v>
      </c>
      <c r="B51" s="4">
        <v>65.029165523454452</v>
      </c>
      <c r="C51" s="4">
        <v>79.985873593848979</v>
      </c>
      <c r="D51" s="2">
        <v>1.3708884625275919</v>
      </c>
      <c r="E51" s="4">
        <f t="shared" si="10"/>
        <v>47.435781466536056</v>
      </c>
      <c r="F51" s="4">
        <f t="shared" si="11"/>
        <v>23.717890733268028</v>
      </c>
      <c r="G51" s="4">
        <f t="shared" si="12"/>
        <v>1767.2663189305856</v>
      </c>
      <c r="H51" s="4">
        <f t="shared" si="13"/>
        <v>1039.2364793213148</v>
      </c>
      <c r="I51" s="16">
        <v>1886</v>
      </c>
      <c r="J51" s="15">
        <v>1960000</v>
      </c>
      <c r="K51" s="24">
        <f t="shared" si="14"/>
        <v>1836607.6273085617</v>
      </c>
      <c r="L51" s="24">
        <f t="shared" si="9"/>
        <v>1836607.6273085617</v>
      </c>
      <c r="M51" s="21" t="s">
        <v>92</v>
      </c>
      <c r="N51" s="20">
        <f t="shared" si="15"/>
        <v>606.75291622481438</v>
      </c>
      <c r="O51" s="14">
        <v>1144336</v>
      </c>
      <c r="P51" s="24">
        <f t="shared" si="16"/>
        <v>1072293.9927570256</v>
      </c>
      <c r="Q51" s="15">
        <f t="shared" si="17"/>
        <v>1072293.9927570256</v>
      </c>
    </row>
    <row r="52" spans="1:17">
      <c r="A52" t="s">
        <v>71</v>
      </c>
      <c r="B52" s="4">
        <v>57.772652523705723</v>
      </c>
      <c r="C52" s="4">
        <v>71.060362604158044</v>
      </c>
      <c r="D52" s="2">
        <v>1.3211983424123821</v>
      </c>
      <c r="E52" s="4">
        <f t="shared" si="10"/>
        <v>43.727463673787518</v>
      </c>
      <c r="F52" s="4">
        <f t="shared" si="11"/>
        <v>21.863731836893759</v>
      </c>
      <c r="G52" s="4">
        <f t="shared" si="12"/>
        <v>1501.7528219641711</v>
      </c>
      <c r="H52" s="4">
        <f t="shared" si="13"/>
        <v>1022.1667558091162</v>
      </c>
      <c r="I52" s="16">
        <v>1682.7</v>
      </c>
      <c r="J52" s="15">
        <v>1720000</v>
      </c>
      <c r="K52" s="24">
        <f t="shared" si="14"/>
        <v>1535041.810054302</v>
      </c>
      <c r="L52" s="24">
        <f t="shared" si="9"/>
        <v>1535041.810054302</v>
      </c>
      <c r="M52" s="21" t="s">
        <v>92</v>
      </c>
      <c r="N52" s="20">
        <f t="shared" si="15"/>
        <v>543.59719498425147</v>
      </c>
      <c r="O52" s="14">
        <v>914711</v>
      </c>
      <c r="P52" s="24">
        <f t="shared" si="16"/>
        <v>816348.62157940737</v>
      </c>
      <c r="Q52" s="15">
        <f t="shared" si="17"/>
        <v>816348.62157940737</v>
      </c>
    </row>
    <row r="53" spans="1:17">
      <c r="A53" t="s">
        <v>59</v>
      </c>
      <c r="B53" s="4">
        <v>57.166397237881569</v>
      </c>
      <c r="C53" s="4">
        <v>76.031308326382486</v>
      </c>
      <c r="D53" s="2">
        <v>1.3152548048696464</v>
      </c>
      <c r="E53" s="4">
        <f t="shared" si="10"/>
        <v>43.464123473433936</v>
      </c>
      <c r="F53" s="4">
        <f t="shared" si="11"/>
        <v>21.732061736716968</v>
      </c>
      <c r="G53" s="4">
        <f t="shared" si="12"/>
        <v>1483.7192554421133</v>
      </c>
      <c r="H53" s="4">
        <f t="shared" si="13"/>
        <v>1267.0644976702363</v>
      </c>
      <c r="I53" s="16">
        <v>2446.6</v>
      </c>
      <c r="J53" s="15">
        <v>3100000</v>
      </c>
      <c r="K53" s="24">
        <f t="shared" si="14"/>
        <v>1879967.9930804183</v>
      </c>
      <c r="L53" s="24">
        <f t="shared" si="9"/>
        <v>1879967.9930804183</v>
      </c>
      <c r="M53" s="21" t="s">
        <v>92</v>
      </c>
      <c r="N53" s="20">
        <f t="shared" si="15"/>
        <v>905.07234529551215</v>
      </c>
      <c r="O53" s="14">
        <v>2214350</v>
      </c>
      <c r="P53" s="24">
        <f t="shared" si="16"/>
        <v>1342873.2662831047</v>
      </c>
      <c r="Q53" s="15">
        <f t="shared" si="17"/>
        <v>1342873.2662831047</v>
      </c>
    </row>
    <row r="54" spans="1:17">
      <c r="D54" s="2"/>
    </row>
    <row r="55" spans="1:17">
      <c r="A55" t="s">
        <v>74</v>
      </c>
      <c r="D55"/>
    </row>
    <row r="56" spans="1:17" ht="16">
      <c r="A56" s="20" t="s">
        <v>93</v>
      </c>
      <c r="D56"/>
    </row>
    <row r="57" spans="1:17" s="20" customFormat="1" ht="16">
      <c r="A57" s="20" t="s">
        <v>102</v>
      </c>
      <c r="J57" s="15"/>
      <c r="K57" s="24"/>
      <c r="L57" s="24"/>
      <c r="M57" s="22"/>
      <c r="P57" s="24"/>
    </row>
    <row r="58" spans="1:17">
      <c r="A58" s="20" t="s">
        <v>97</v>
      </c>
    </row>
    <row r="59" spans="1:17">
      <c r="A59" s="20" t="s">
        <v>4</v>
      </c>
    </row>
    <row r="60" spans="1:17">
      <c r="A60" s="20" t="s">
        <v>95</v>
      </c>
    </row>
    <row r="61" spans="1:17">
      <c r="A61" s="20" t="s">
        <v>0</v>
      </c>
    </row>
    <row r="62" spans="1:17">
      <c r="A62" s="20" t="s">
        <v>96</v>
      </c>
    </row>
    <row r="63" spans="1:17">
      <c r="A63" s="20" t="s">
        <v>105</v>
      </c>
    </row>
    <row r="64" spans="1:17">
      <c r="A64" s="20" t="s">
        <v>1</v>
      </c>
    </row>
  </sheetData>
  <sortState ref="A4:XFD53">
    <sortCondition ref="A4:A53"/>
  </sortState>
  <phoneticPr fontId="21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3"/>
  <sheetViews>
    <sheetView zoomScale="90" zoomScaleNormal="90" zoomScalePageLayoutView="90" workbookViewId="0">
      <selection activeCell="K1" sqref="K1:Q1048576"/>
    </sheetView>
  </sheetViews>
  <sheetFormatPr baseColWidth="10" defaultColWidth="8.83203125" defaultRowHeight="14" x14ac:dyDescent="0"/>
  <cols>
    <col min="1" max="1" width="26" bestFit="1" customWidth="1"/>
    <col min="2" max="2" width="18.5" customWidth="1"/>
    <col min="3" max="3" width="17" customWidth="1"/>
    <col min="4" max="4" width="10.6640625" style="3" customWidth="1"/>
    <col min="5" max="5" width="15.33203125" customWidth="1"/>
    <col min="6" max="6" width="17.6640625" customWidth="1"/>
    <col min="7" max="7" width="27.6640625" customWidth="1"/>
    <col min="8" max="8" width="34" customWidth="1"/>
    <col min="9" max="9" width="10.5" customWidth="1"/>
    <col min="10" max="10" width="10.83203125" style="15" customWidth="1"/>
    <col min="11" max="11" width="12" style="24" customWidth="1"/>
    <col min="12" max="12" width="12.6640625" style="24" customWidth="1"/>
    <col min="14" max="14" width="12.6640625" customWidth="1"/>
    <col min="15" max="15" width="12.1640625" customWidth="1"/>
    <col min="16" max="16" width="13" style="24" customWidth="1"/>
    <col min="17" max="17" width="8.83203125" style="20"/>
  </cols>
  <sheetData>
    <row r="1" spans="1:17" ht="30.75" customHeight="1">
      <c r="B1" s="1" t="s">
        <v>60</v>
      </c>
      <c r="C1" s="1" t="s">
        <v>61</v>
      </c>
      <c r="D1" s="7" t="s">
        <v>91</v>
      </c>
      <c r="E1" s="1" t="s">
        <v>21</v>
      </c>
      <c r="F1" s="1" t="s">
        <v>20</v>
      </c>
      <c r="G1" s="1" t="s">
        <v>23</v>
      </c>
      <c r="H1" s="1" t="s">
        <v>25</v>
      </c>
      <c r="I1" s="1" t="s">
        <v>83</v>
      </c>
      <c r="J1" s="25" t="s">
        <v>79</v>
      </c>
      <c r="K1" s="23" t="s">
        <v>77</v>
      </c>
      <c r="L1" s="29" t="s">
        <v>104</v>
      </c>
      <c r="M1" s="21" t="s">
        <v>92</v>
      </c>
      <c r="N1" s="1" t="s">
        <v>90</v>
      </c>
      <c r="O1" s="1" t="s">
        <v>88</v>
      </c>
      <c r="P1" s="23" t="s">
        <v>89</v>
      </c>
      <c r="Q1" s="20" t="s">
        <v>103</v>
      </c>
    </row>
    <row r="2" spans="1:17" ht="16">
      <c r="A2" t="s">
        <v>16</v>
      </c>
      <c r="B2" s="20" t="s">
        <v>18</v>
      </c>
      <c r="C2" s="20"/>
      <c r="D2" s="3" t="s">
        <v>87</v>
      </c>
      <c r="E2" s="20" t="s">
        <v>17</v>
      </c>
      <c r="F2" s="20" t="s">
        <v>19</v>
      </c>
      <c r="G2" s="20" t="s">
        <v>22</v>
      </c>
      <c r="H2" s="20" t="s">
        <v>24</v>
      </c>
      <c r="L2" s="24">
        <f t="shared" ref="L2:L33" si="0">MIN(J2,K2)</f>
        <v>0</v>
      </c>
      <c r="M2" s="22" t="s">
        <v>92</v>
      </c>
      <c r="O2" s="20"/>
      <c r="Q2" s="15"/>
    </row>
    <row r="3" spans="1:17">
      <c r="A3" t="s">
        <v>26</v>
      </c>
      <c r="B3" s="4">
        <v>57.036474214306388</v>
      </c>
      <c r="C3" s="4">
        <v>70.725228025739924</v>
      </c>
      <c r="D3" s="2">
        <v>1.2545032030514984</v>
      </c>
      <c r="E3" s="4">
        <f t="shared" ref="E3:E34" si="1">B3/D3</f>
        <v>45.465387474156167</v>
      </c>
      <c r="F3" s="4">
        <f t="shared" ref="F3:F34" si="2">E3*0.5</f>
        <v>22.732693737078083</v>
      </c>
      <c r="G3" s="4">
        <f t="shared" ref="G3:G34" si="3">PI()*F3^2</f>
        <v>1623.4976888069552</v>
      </c>
      <c r="H3" s="4">
        <f t="shared" ref="H3:H34" si="4">J3/I3</f>
        <v>1103.9402173913043</v>
      </c>
      <c r="I3" s="19">
        <v>2944</v>
      </c>
      <c r="J3" s="15">
        <v>3250000</v>
      </c>
      <c r="K3" s="24">
        <f t="shared" ref="K3:K34" si="5">G3*H3</f>
        <v>1792244.3915158303</v>
      </c>
      <c r="L3" s="24">
        <f t="shared" si="0"/>
        <v>1792244.3915158303</v>
      </c>
      <c r="M3" s="21" t="s">
        <v>92</v>
      </c>
      <c r="N3">
        <f t="shared" ref="N3:N34" si="6">O3/I3</f>
        <v>643.62635869565213</v>
      </c>
      <c r="O3" s="15">
        <v>1894836</v>
      </c>
      <c r="P3" s="24">
        <f t="shared" ref="P3:P34" si="7">G3*N3</f>
        <v>1044925.9057976276</v>
      </c>
      <c r="Q3" s="15">
        <f t="shared" ref="Q3:Q34" si="8">MIN(P3,O3)</f>
        <v>1044925.9057976276</v>
      </c>
    </row>
    <row r="4" spans="1:17">
      <c r="A4" s="20" t="s">
        <v>6</v>
      </c>
      <c r="B4" s="4">
        <v>62.912832549243973</v>
      </c>
      <c r="C4" s="4">
        <v>73.608014082615441</v>
      </c>
      <c r="D4" s="2">
        <v>1.3588386571923918</v>
      </c>
      <c r="E4" s="4">
        <f t="shared" si="1"/>
        <v>46.298971711059018</v>
      </c>
      <c r="F4" s="4">
        <f t="shared" si="2"/>
        <v>23.149485855529509</v>
      </c>
      <c r="G4" s="4">
        <f t="shared" si="3"/>
        <v>1683.5754044595881</v>
      </c>
      <c r="H4" s="4">
        <f t="shared" si="4"/>
        <v>1074.2049469964663</v>
      </c>
      <c r="I4" s="19">
        <v>707.5</v>
      </c>
      <c r="J4" s="15">
        <v>760000</v>
      </c>
      <c r="K4" s="24">
        <f t="shared" si="5"/>
        <v>1808505.0281120662</v>
      </c>
      <c r="L4" s="24">
        <f t="shared" si="0"/>
        <v>760000</v>
      </c>
      <c r="M4" s="22" t="s">
        <v>92</v>
      </c>
      <c r="N4">
        <f t="shared" si="6"/>
        <v>678.06501766784447</v>
      </c>
      <c r="O4" s="15">
        <v>479731</v>
      </c>
      <c r="P4" s="24">
        <f t="shared" si="7"/>
        <v>1141573.586370039</v>
      </c>
      <c r="Q4" s="15">
        <f t="shared" si="8"/>
        <v>479731</v>
      </c>
    </row>
    <row r="5" spans="1:17">
      <c r="A5" t="s">
        <v>28</v>
      </c>
      <c r="B5" s="4">
        <v>60.83258633343933</v>
      </c>
      <c r="C5" s="4">
        <v>72.390777736792799</v>
      </c>
      <c r="D5" s="2">
        <v>1.2525850225273614</v>
      </c>
      <c r="E5" s="4">
        <f t="shared" si="1"/>
        <v>48.565634459444851</v>
      </c>
      <c r="F5" s="4">
        <f t="shared" si="2"/>
        <v>24.282817229722426</v>
      </c>
      <c r="G5" s="4">
        <f t="shared" si="3"/>
        <v>1852.4564840931143</v>
      </c>
      <c r="H5" s="4">
        <f t="shared" si="4"/>
        <v>1394.5910720104268</v>
      </c>
      <c r="I5" s="19">
        <v>1534.5</v>
      </c>
      <c r="J5" s="15">
        <v>2140000</v>
      </c>
      <c r="K5" s="24">
        <f t="shared" si="5"/>
        <v>2583419.2740040827</v>
      </c>
      <c r="L5" s="24">
        <f t="shared" si="0"/>
        <v>2140000</v>
      </c>
      <c r="M5" s="21" t="s">
        <v>92</v>
      </c>
      <c r="N5">
        <f t="shared" si="6"/>
        <v>646.30107526881716</v>
      </c>
      <c r="O5" s="15">
        <v>991749</v>
      </c>
      <c r="P5" s="24">
        <f t="shared" si="7"/>
        <v>1197244.6175580723</v>
      </c>
      <c r="Q5" s="15">
        <f t="shared" si="8"/>
        <v>991749</v>
      </c>
    </row>
    <row r="6" spans="1:17">
      <c r="A6" t="s">
        <v>29</v>
      </c>
      <c r="B6" s="4">
        <v>59.830798901249047</v>
      </c>
      <c r="C6" s="4">
        <v>71.198650692486353</v>
      </c>
      <c r="D6" s="2">
        <v>1.225722635583782</v>
      </c>
      <c r="E6" s="4">
        <f t="shared" si="1"/>
        <v>48.81267357255998</v>
      </c>
      <c r="F6" s="4">
        <f t="shared" si="2"/>
        <v>24.40633678627999</v>
      </c>
      <c r="G6" s="4">
        <f t="shared" si="3"/>
        <v>1871.3502193311931</v>
      </c>
      <c r="H6" s="4">
        <f t="shared" si="4"/>
        <v>1594.3159171648906</v>
      </c>
      <c r="I6" s="19">
        <v>2308.1999999999998</v>
      </c>
      <c r="J6" s="15">
        <v>3680000</v>
      </c>
      <c r="K6" s="24">
        <f t="shared" si="5"/>
        <v>2983523.4412697302</v>
      </c>
      <c r="L6" s="24">
        <f t="shared" si="0"/>
        <v>2983523.4412697302</v>
      </c>
      <c r="M6" s="22" t="s">
        <v>92</v>
      </c>
      <c r="N6">
        <f t="shared" si="6"/>
        <v>1247.093839355342</v>
      </c>
      <c r="O6" s="15">
        <v>2878542</v>
      </c>
      <c r="P6" s="24">
        <f t="shared" si="7"/>
        <v>2333749.3298041988</v>
      </c>
      <c r="Q6" s="15">
        <f t="shared" si="8"/>
        <v>2333749.3298041988</v>
      </c>
    </row>
    <row r="7" spans="1:17">
      <c r="A7" t="s">
        <v>30</v>
      </c>
      <c r="B7" s="4">
        <v>66.307400044704906</v>
      </c>
      <c r="C7" s="4">
        <v>68.959696046493107</v>
      </c>
      <c r="D7" s="2">
        <v>1.2376013427301835</v>
      </c>
      <c r="E7" s="4">
        <f t="shared" si="1"/>
        <v>53.577349793778431</v>
      </c>
      <c r="F7" s="4">
        <f t="shared" si="2"/>
        <v>26.788674896889216</v>
      </c>
      <c r="G7" s="4">
        <f t="shared" si="3"/>
        <v>2254.5108835132573</v>
      </c>
      <c r="H7" s="4">
        <f t="shared" si="4"/>
        <v>1446.923597025017</v>
      </c>
      <c r="I7" s="19">
        <v>739.5</v>
      </c>
      <c r="J7" s="15">
        <v>1070000</v>
      </c>
      <c r="K7" s="24">
        <f t="shared" si="5"/>
        <v>3262104.9971050513</v>
      </c>
      <c r="L7" s="24">
        <f t="shared" si="0"/>
        <v>1070000</v>
      </c>
      <c r="M7" s="21" t="s">
        <v>92</v>
      </c>
      <c r="N7">
        <f t="shared" si="6"/>
        <v>630.65584854631504</v>
      </c>
      <c r="O7" s="15">
        <v>466370</v>
      </c>
      <c r="P7" s="24">
        <f t="shared" si="7"/>
        <v>1421820.4742989556</v>
      </c>
      <c r="Q7" s="15">
        <f t="shared" si="8"/>
        <v>466370</v>
      </c>
    </row>
    <row r="8" spans="1:17">
      <c r="A8" t="s">
        <v>31</v>
      </c>
      <c r="B8" s="4">
        <v>61.905551177743639</v>
      </c>
      <c r="C8" s="4">
        <v>69.95327283085031</v>
      </c>
      <c r="D8" s="2">
        <v>1.2806694088372974</v>
      </c>
      <c r="E8" s="4">
        <f t="shared" si="1"/>
        <v>48.338432034498943</v>
      </c>
      <c r="F8" s="4">
        <f t="shared" si="2"/>
        <v>24.169216017249472</v>
      </c>
      <c r="G8" s="4">
        <f t="shared" si="3"/>
        <v>1835.1644992615222</v>
      </c>
      <c r="H8" s="4">
        <f t="shared" si="4"/>
        <v>1054.1447053186391</v>
      </c>
      <c r="I8" s="19">
        <v>626.1</v>
      </c>
      <c r="J8" s="15">
        <v>660000</v>
      </c>
      <c r="K8" s="24">
        <f t="shared" si="5"/>
        <v>1934528.9402852652</v>
      </c>
      <c r="L8" s="24">
        <f t="shared" si="0"/>
        <v>660000</v>
      </c>
      <c r="M8" s="22" t="s">
        <v>92</v>
      </c>
      <c r="N8">
        <f t="shared" si="6"/>
        <v>1161.0174093595272</v>
      </c>
      <c r="O8" s="15">
        <v>726913</v>
      </c>
      <c r="P8" s="24">
        <f t="shared" si="7"/>
        <v>2130657.9326811866</v>
      </c>
      <c r="Q8" s="15">
        <f t="shared" si="8"/>
        <v>726913</v>
      </c>
    </row>
    <row r="9" spans="1:17">
      <c r="A9" t="s">
        <v>32</v>
      </c>
      <c r="B9" s="4">
        <v>54.907110357721741</v>
      </c>
      <c r="C9" s="4">
        <v>71.379243465038257</v>
      </c>
      <c r="D9" s="2">
        <v>1.230649613698569</v>
      </c>
      <c r="E9" s="4">
        <f t="shared" si="1"/>
        <v>44.616363379585394</v>
      </c>
      <c r="F9" s="4">
        <f t="shared" si="2"/>
        <v>22.308181689792697</v>
      </c>
      <c r="G9" s="4">
        <f t="shared" si="3"/>
        <v>1563.429198732013</v>
      </c>
      <c r="H9" s="4">
        <f t="shared" si="4"/>
        <v>1887.2752083434864</v>
      </c>
      <c r="I9" s="19">
        <v>4103.8</v>
      </c>
      <c r="J9" s="15">
        <v>7745000</v>
      </c>
      <c r="K9" s="24">
        <f t="shared" si="5"/>
        <v>2950621.1667672498</v>
      </c>
      <c r="L9" s="24">
        <f t="shared" si="0"/>
        <v>2950621.1667672498</v>
      </c>
      <c r="M9" s="21" t="s">
        <v>92</v>
      </c>
      <c r="N9">
        <f t="shared" si="6"/>
        <v>977.85272186753741</v>
      </c>
      <c r="O9" s="15">
        <f>3741075+224929+46908</f>
        <v>4012912</v>
      </c>
      <c r="P9" s="24">
        <f t="shared" si="7"/>
        <v>1528803.4974272819</v>
      </c>
      <c r="Q9" s="15">
        <f t="shared" si="8"/>
        <v>1528803.4974272819</v>
      </c>
    </row>
    <row r="10" spans="1:17">
      <c r="A10" t="s">
        <v>33</v>
      </c>
      <c r="B10" s="4">
        <v>64.694239445714103</v>
      </c>
      <c r="C10" s="4">
        <v>75.045317757028357</v>
      </c>
      <c r="D10" s="2">
        <v>1.3292592058969801</v>
      </c>
      <c r="E10" s="4">
        <f t="shared" si="1"/>
        <v>48.669393568020183</v>
      </c>
      <c r="F10" s="4">
        <f t="shared" si="2"/>
        <v>24.334696784010092</v>
      </c>
      <c r="G10" s="4">
        <f t="shared" si="3"/>
        <v>1860.3803817384123</v>
      </c>
      <c r="H10" s="4">
        <f t="shared" si="4"/>
        <v>980.98400241472984</v>
      </c>
      <c r="I10" s="19">
        <v>1325.2</v>
      </c>
      <c r="J10" s="15">
        <v>1300000</v>
      </c>
      <c r="K10" s="24">
        <f t="shared" si="5"/>
        <v>1825003.3928915907</v>
      </c>
      <c r="L10" s="24">
        <f t="shared" si="0"/>
        <v>1300000</v>
      </c>
      <c r="M10" s="22" t="s">
        <v>92</v>
      </c>
      <c r="N10">
        <f t="shared" si="6"/>
        <v>673.15801388469663</v>
      </c>
      <c r="O10" s="15">
        <f>789795+102274</f>
        <v>892069</v>
      </c>
      <c r="P10" s="24">
        <f t="shared" si="7"/>
        <v>1252329.9628410833</v>
      </c>
      <c r="Q10" s="15">
        <f t="shared" si="8"/>
        <v>892069</v>
      </c>
    </row>
    <row r="11" spans="1:17">
      <c r="A11" t="s">
        <v>34</v>
      </c>
      <c r="B11" s="4">
        <v>68.272477468286837</v>
      </c>
      <c r="C11" s="4">
        <v>75.782449989798394</v>
      </c>
      <c r="D11" s="2">
        <v>1.2227035028236048</v>
      </c>
      <c r="E11" s="4">
        <f t="shared" si="1"/>
        <v>55.837312406993462</v>
      </c>
      <c r="F11" s="4">
        <f t="shared" si="2"/>
        <v>27.918656203496731</v>
      </c>
      <c r="G11" s="4">
        <f t="shared" si="3"/>
        <v>2448.7186796296824</v>
      </c>
      <c r="H11" s="4">
        <f t="shared" si="4"/>
        <v>1074.6812386156648</v>
      </c>
      <c r="I11" s="19">
        <v>1647</v>
      </c>
      <c r="J11" s="15">
        <v>1770000</v>
      </c>
      <c r="K11" s="24">
        <f t="shared" si="5"/>
        <v>2631592.0236457423</v>
      </c>
      <c r="L11" s="24">
        <f t="shared" si="0"/>
        <v>1770000</v>
      </c>
      <c r="M11" s="21" t="s">
        <v>92</v>
      </c>
      <c r="N11">
        <f t="shared" si="6"/>
        <v>633.32847601700064</v>
      </c>
      <c r="O11" s="15">
        <v>1043092</v>
      </c>
      <c r="P11" s="24">
        <f t="shared" si="7"/>
        <v>1550843.2695642288</v>
      </c>
      <c r="Q11" s="15">
        <f t="shared" si="8"/>
        <v>1043092</v>
      </c>
    </row>
    <row r="12" spans="1:17">
      <c r="A12" t="s">
        <v>35</v>
      </c>
      <c r="B12" s="4">
        <v>64.211989973812706</v>
      </c>
      <c r="C12" s="4">
        <v>73.843788469884601</v>
      </c>
      <c r="D12" s="2">
        <v>1.2387291911244029</v>
      </c>
      <c r="E12" s="4">
        <f t="shared" si="1"/>
        <v>51.836987804838152</v>
      </c>
      <c r="F12" s="4">
        <f t="shared" si="2"/>
        <v>25.918493902419076</v>
      </c>
      <c r="G12" s="4">
        <f t="shared" si="3"/>
        <v>2110.4224384091508</v>
      </c>
      <c r="H12" s="4">
        <f t="shared" si="4"/>
        <v>1130.6392029553342</v>
      </c>
      <c r="I12" s="19">
        <v>893.3</v>
      </c>
      <c r="J12" s="15">
        <v>1010000</v>
      </c>
      <c r="K12" s="24">
        <f t="shared" si="5"/>
        <v>2386126.3436619751</v>
      </c>
      <c r="L12" s="24">
        <f t="shared" si="0"/>
        <v>1010000</v>
      </c>
      <c r="M12" s="22" t="s">
        <v>92</v>
      </c>
      <c r="N12">
        <f t="shared" si="6"/>
        <v>810.52949736930486</v>
      </c>
      <c r="O12" s="15">
        <v>724046</v>
      </c>
      <c r="P12" s="24">
        <f t="shared" si="7"/>
        <v>1710559.6382406717</v>
      </c>
      <c r="Q12" s="15">
        <f t="shared" si="8"/>
        <v>724046</v>
      </c>
    </row>
    <row r="13" spans="1:17">
      <c r="A13" t="s">
        <v>62</v>
      </c>
      <c r="B13" s="4">
        <v>62.831555497974001</v>
      </c>
      <c r="C13" s="4">
        <v>72.884604377649836</v>
      </c>
      <c r="D13" s="2">
        <v>1.2669462965142195</v>
      </c>
      <c r="E13" s="4">
        <f t="shared" si="1"/>
        <v>49.592911452398575</v>
      </c>
      <c r="F13" s="4">
        <f t="shared" si="2"/>
        <v>24.796455726199287</v>
      </c>
      <c r="G13" s="4">
        <f t="shared" si="3"/>
        <v>1931.6529057672485</v>
      </c>
      <c r="H13" s="4">
        <f t="shared" si="4"/>
        <v>936.4548494983278</v>
      </c>
      <c r="I13" s="19">
        <v>3737.5</v>
      </c>
      <c r="J13" s="15">
        <v>3500000</v>
      </c>
      <c r="K13" s="24">
        <f t="shared" si="5"/>
        <v>1808905.7311532763</v>
      </c>
      <c r="L13" s="24">
        <f t="shared" si="0"/>
        <v>1808905.7311532763</v>
      </c>
      <c r="M13" s="21" t="s">
        <v>92</v>
      </c>
      <c r="N13">
        <f t="shared" si="6"/>
        <v>638.19745819397997</v>
      </c>
      <c r="O13" s="15">
        <f>1747902+637361</f>
        <v>2385263</v>
      </c>
      <c r="P13" s="24">
        <f t="shared" si="7"/>
        <v>1232775.9745736734</v>
      </c>
      <c r="Q13" s="15">
        <f t="shared" si="8"/>
        <v>1232775.9745736734</v>
      </c>
    </row>
    <row r="14" spans="1:17">
      <c r="A14" t="s">
        <v>36</v>
      </c>
      <c r="B14" s="4">
        <v>57.288367544824013</v>
      </c>
      <c r="C14" s="4">
        <v>69.891808404685293</v>
      </c>
      <c r="D14" s="2">
        <v>1.3381636172769695</v>
      </c>
      <c r="E14" s="4">
        <f t="shared" si="1"/>
        <v>42.811183031115561</v>
      </c>
      <c r="F14" s="4">
        <f t="shared" si="2"/>
        <v>21.405591515557781</v>
      </c>
      <c r="G14" s="4">
        <f t="shared" si="3"/>
        <v>1439.4757059677281</v>
      </c>
      <c r="H14" s="4">
        <f t="shared" si="4"/>
        <v>1455.7388084819925</v>
      </c>
      <c r="I14" s="19">
        <v>1188.4000000000001</v>
      </c>
      <c r="J14" s="15">
        <v>1730000</v>
      </c>
      <c r="K14" s="24">
        <f t="shared" si="5"/>
        <v>2095500.6490442355</v>
      </c>
      <c r="L14" s="24">
        <f t="shared" si="0"/>
        <v>1730000</v>
      </c>
      <c r="M14" s="22" t="s">
        <v>92</v>
      </c>
      <c r="N14">
        <f t="shared" si="6"/>
        <v>816.15112756647591</v>
      </c>
      <c r="O14" s="15">
        <v>969914</v>
      </c>
      <c r="P14" s="24">
        <f t="shared" si="7"/>
        <v>1174829.7205301102</v>
      </c>
      <c r="Q14" s="15">
        <f t="shared" si="8"/>
        <v>969914</v>
      </c>
    </row>
    <row r="15" spans="1:17">
      <c r="A15" t="s">
        <v>37</v>
      </c>
      <c r="B15" s="4">
        <v>53.475546269365232</v>
      </c>
      <c r="C15" s="4">
        <v>67.379188299400198</v>
      </c>
      <c r="D15" s="2">
        <v>1.2390009620459046</v>
      </c>
      <c r="E15" s="4">
        <f t="shared" si="1"/>
        <v>43.160213678174671</v>
      </c>
      <c r="F15" s="4">
        <f t="shared" si="2"/>
        <v>21.580106839087335</v>
      </c>
      <c r="G15" s="4">
        <f t="shared" si="3"/>
        <v>1463.0428755126077</v>
      </c>
      <c r="H15" s="4">
        <f t="shared" si="4"/>
        <v>1384.7692626060564</v>
      </c>
      <c r="I15" s="19">
        <v>2899.4</v>
      </c>
      <c r="J15" s="15">
        <v>4015000</v>
      </c>
      <c r="K15" s="24">
        <f t="shared" si="5"/>
        <v>2025976.803884638</v>
      </c>
      <c r="L15" s="24">
        <f t="shared" si="0"/>
        <v>2025976.803884638</v>
      </c>
      <c r="M15" s="21" t="s">
        <v>92</v>
      </c>
      <c r="N15">
        <f t="shared" si="6"/>
        <v>664.66199903428299</v>
      </c>
      <c r="O15" s="15">
        <v>1927121</v>
      </c>
      <c r="P15" s="24">
        <f t="shared" si="7"/>
        <v>972429.00231107546</v>
      </c>
      <c r="Q15" s="15">
        <f t="shared" si="8"/>
        <v>972429.00231107546</v>
      </c>
    </row>
    <row r="16" spans="1:17">
      <c r="A16" s="20" t="s">
        <v>7</v>
      </c>
      <c r="B16" s="4">
        <v>60.555305265855225</v>
      </c>
      <c r="C16" s="4">
        <v>66.005282739782203</v>
      </c>
      <c r="D16" s="2">
        <v>1.2825248470877721</v>
      </c>
      <c r="E16" s="4">
        <f t="shared" si="1"/>
        <v>47.215697538615409</v>
      </c>
      <c r="F16" s="4">
        <f t="shared" si="2"/>
        <v>23.607848769307704</v>
      </c>
      <c r="G16" s="4">
        <f t="shared" si="3"/>
        <v>1750.905478294517</v>
      </c>
      <c r="H16" s="4">
        <f t="shared" si="4"/>
        <v>830.1625735039778</v>
      </c>
      <c r="I16" s="19">
        <v>578.20000000000005</v>
      </c>
      <c r="J16" s="15">
        <v>480000</v>
      </c>
      <c r="K16" s="24">
        <f t="shared" si="5"/>
        <v>1453536.1978231894</v>
      </c>
      <c r="L16" s="24">
        <f t="shared" si="0"/>
        <v>480000</v>
      </c>
      <c r="M16" s="22" t="s">
        <v>92</v>
      </c>
      <c r="N16">
        <f t="shared" si="6"/>
        <v>892.03389830508468</v>
      </c>
      <c r="O16" s="15">
        <v>515774</v>
      </c>
      <c r="P16" s="24">
        <f t="shared" si="7"/>
        <v>1561867.0393667868</v>
      </c>
      <c r="Q16" s="15">
        <f t="shared" si="8"/>
        <v>515774</v>
      </c>
    </row>
    <row r="17" spans="1:17">
      <c r="A17" t="s">
        <v>58</v>
      </c>
      <c r="B17" s="4">
        <v>59.158544620573359</v>
      </c>
      <c r="C17" s="4">
        <v>68.032326313659354</v>
      </c>
      <c r="D17" s="2">
        <v>1.3437942504267779</v>
      </c>
      <c r="E17" s="4">
        <f t="shared" si="1"/>
        <v>44.023513720039432</v>
      </c>
      <c r="F17" s="4">
        <f t="shared" si="2"/>
        <v>22.011756860019716</v>
      </c>
      <c r="G17" s="4">
        <f t="shared" si="3"/>
        <v>1522.1564302431589</v>
      </c>
      <c r="H17" s="4">
        <f t="shared" si="4"/>
        <v>823.20088428646227</v>
      </c>
      <c r="I17" s="20">
        <v>1718.9</v>
      </c>
      <c r="J17" s="15">
        <v>1415000</v>
      </c>
      <c r="K17" s="24">
        <f t="shared" si="5"/>
        <v>1253040.519398493</v>
      </c>
      <c r="L17" s="24">
        <f t="shared" si="0"/>
        <v>1253040.519398493</v>
      </c>
      <c r="M17" s="21" t="s">
        <v>92</v>
      </c>
      <c r="N17">
        <f t="shared" si="6"/>
        <v>318.17034149746928</v>
      </c>
      <c r="O17" s="15">
        <v>546903</v>
      </c>
      <c r="P17" s="24">
        <f t="shared" si="7"/>
        <v>484305.03122303466</v>
      </c>
      <c r="Q17" s="15">
        <f t="shared" si="8"/>
        <v>484305.03122303466</v>
      </c>
    </row>
    <row r="18" spans="1:17">
      <c r="A18" t="s">
        <v>38</v>
      </c>
      <c r="B18" s="4">
        <v>70.476777328237517</v>
      </c>
      <c r="C18" s="4">
        <v>76.114919514496535</v>
      </c>
      <c r="D18" s="2">
        <v>1.3223701939914507</v>
      </c>
      <c r="E18" s="4">
        <f t="shared" si="1"/>
        <v>53.295799957128466</v>
      </c>
      <c r="F18" s="4">
        <f t="shared" si="2"/>
        <v>26.647899978564233</v>
      </c>
      <c r="G18" s="4">
        <f t="shared" si="3"/>
        <v>2230.8781602138142</v>
      </c>
      <c r="H18" s="4">
        <f t="shared" si="4"/>
        <v>1344.215074411906</v>
      </c>
      <c r="I18" s="20">
        <v>624.9</v>
      </c>
      <c r="J18" s="15">
        <v>840000</v>
      </c>
      <c r="K18" s="24">
        <f t="shared" si="5"/>
        <v>2998780.0521357083</v>
      </c>
      <c r="L18" s="24">
        <f t="shared" si="0"/>
        <v>840000</v>
      </c>
      <c r="M18" s="22" t="s">
        <v>92</v>
      </c>
      <c r="N18">
        <f t="shared" si="6"/>
        <v>872.5332053128501</v>
      </c>
      <c r="O18" s="15">
        <v>545246</v>
      </c>
      <c r="P18" s="24">
        <f t="shared" si="7"/>
        <v>1946515.2717937932</v>
      </c>
      <c r="Q18" s="15">
        <f t="shared" si="8"/>
        <v>545246</v>
      </c>
    </row>
    <row r="19" spans="1:17">
      <c r="A19" s="20" t="s">
        <v>8</v>
      </c>
      <c r="B19" s="4">
        <v>62.589105491586352</v>
      </c>
      <c r="C19" s="4">
        <v>75.732817644819477</v>
      </c>
      <c r="D19" s="2">
        <v>1.3847021462356206</v>
      </c>
      <c r="E19" s="4">
        <f t="shared" si="1"/>
        <v>45.200410544417693</v>
      </c>
      <c r="F19" s="4">
        <f t="shared" si="2"/>
        <v>22.600205272208846</v>
      </c>
      <c r="G19" s="4">
        <f t="shared" si="3"/>
        <v>1604.6290125310802</v>
      </c>
      <c r="H19" s="4">
        <f t="shared" si="4"/>
        <v>1948.7750556792873</v>
      </c>
      <c r="I19" s="20">
        <v>359.2</v>
      </c>
      <c r="J19" s="15">
        <v>700000</v>
      </c>
      <c r="K19" s="24">
        <f t="shared" si="5"/>
        <v>3127060.9932398559</v>
      </c>
      <c r="L19" s="24">
        <f t="shared" si="0"/>
        <v>700000</v>
      </c>
      <c r="M19" s="21" t="s">
        <v>92</v>
      </c>
      <c r="N19">
        <f t="shared" si="6"/>
        <v>861.60077951002233</v>
      </c>
      <c r="O19" s="15">
        <v>309487</v>
      </c>
      <c r="P19" s="24">
        <f t="shared" si="7"/>
        <v>1382549.6080211762</v>
      </c>
      <c r="Q19" s="15">
        <f t="shared" si="8"/>
        <v>309487</v>
      </c>
    </row>
    <row r="20" spans="1:17">
      <c r="A20" t="s">
        <v>39</v>
      </c>
      <c r="B20" s="4">
        <v>61.721940346898506</v>
      </c>
      <c r="C20" s="4">
        <v>73.449109012809217</v>
      </c>
      <c r="D20" s="2">
        <v>1.3274915886326069</v>
      </c>
      <c r="E20" s="4">
        <f t="shared" si="1"/>
        <v>46.495164922646083</v>
      </c>
      <c r="F20" s="4">
        <f t="shared" si="2"/>
        <v>23.247582461323042</v>
      </c>
      <c r="G20" s="4">
        <f t="shared" si="3"/>
        <v>1697.8740333059</v>
      </c>
      <c r="H20" s="4">
        <f t="shared" si="4"/>
        <v>996.95011969960308</v>
      </c>
      <c r="I20" s="20">
        <v>3049.3</v>
      </c>
      <c r="J20" s="15">
        <v>3040000</v>
      </c>
      <c r="K20" s="24">
        <f t="shared" si="5"/>
        <v>1692695.7207391649</v>
      </c>
      <c r="L20" s="24">
        <f t="shared" si="0"/>
        <v>1692695.7207391649</v>
      </c>
      <c r="M20" s="22" t="s">
        <v>92</v>
      </c>
      <c r="N20">
        <f t="shared" si="6"/>
        <v>577.52172629783877</v>
      </c>
      <c r="O20" s="15">
        <v>1761037</v>
      </c>
      <c r="P20" s="24">
        <f t="shared" si="7"/>
        <v>980559.14275109756</v>
      </c>
      <c r="Q20" s="15">
        <f t="shared" si="8"/>
        <v>980559.14275109756</v>
      </c>
    </row>
    <row r="21" spans="1:17">
      <c r="A21" t="s">
        <v>40</v>
      </c>
      <c r="B21" s="4">
        <v>56.481833278971671</v>
      </c>
      <c r="C21" s="4">
        <v>70.037473265924874</v>
      </c>
      <c r="D21" s="2">
        <v>1.2722485093794627</v>
      </c>
      <c r="E21" s="4">
        <f t="shared" si="1"/>
        <v>44.395283517777983</v>
      </c>
      <c r="F21" s="4">
        <f t="shared" si="2"/>
        <v>22.197641758888992</v>
      </c>
      <c r="G21" s="4">
        <f t="shared" si="3"/>
        <v>1547.9735975635681</v>
      </c>
      <c r="H21" s="4">
        <f t="shared" si="4"/>
        <v>811.10013175230563</v>
      </c>
      <c r="I21" s="20">
        <v>1214.4000000000001</v>
      </c>
      <c r="J21" s="15">
        <v>985000</v>
      </c>
      <c r="K21" s="24">
        <f t="shared" si="5"/>
        <v>1255561.5889329007</v>
      </c>
      <c r="L21" s="24">
        <f t="shared" si="0"/>
        <v>985000</v>
      </c>
      <c r="M21" s="21" t="s">
        <v>92</v>
      </c>
      <c r="N21">
        <f t="shared" si="6"/>
        <v>628.129117259552</v>
      </c>
      <c r="O21" s="15">
        <v>762800</v>
      </c>
      <c r="P21" s="24">
        <f t="shared" si="7"/>
        <v>972327.28937869705</v>
      </c>
      <c r="Q21" s="15">
        <f t="shared" si="8"/>
        <v>762800</v>
      </c>
    </row>
    <row r="22" spans="1:17">
      <c r="A22" t="s">
        <v>85</v>
      </c>
      <c r="B22" s="4">
        <v>63.440181483124732</v>
      </c>
      <c r="C22" s="4">
        <v>74.22501233525594</v>
      </c>
      <c r="D22" s="2">
        <v>1.3453291884115326</v>
      </c>
      <c r="E22" s="4">
        <f t="shared" si="1"/>
        <v>47.15587978733317</v>
      </c>
      <c r="F22" s="4">
        <f t="shared" si="2"/>
        <v>23.577939893666585</v>
      </c>
      <c r="G22" s="4">
        <f t="shared" si="3"/>
        <v>1746.4718306247296</v>
      </c>
      <c r="H22" s="4">
        <f t="shared" si="4"/>
        <v>1191.6750587445451</v>
      </c>
      <c r="I22" s="20">
        <v>1191.5999999999999</v>
      </c>
      <c r="J22" s="15">
        <v>1420000</v>
      </c>
      <c r="K22" s="24">
        <f t="shared" si="5"/>
        <v>2081226.9213554179</v>
      </c>
      <c r="L22" s="24">
        <f t="shared" si="0"/>
        <v>1420000</v>
      </c>
      <c r="M22" s="22" t="s">
        <v>92</v>
      </c>
      <c r="N22">
        <f t="shared" si="6"/>
        <v>643.63293051359517</v>
      </c>
      <c r="O22" s="15">
        <v>766953</v>
      </c>
      <c r="P22" s="24">
        <f t="shared" si="7"/>
        <v>1124086.7824044379</v>
      </c>
      <c r="Q22" s="15">
        <f t="shared" si="8"/>
        <v>766953</v>
      </c>
    </row>
    <row r="23" spans="1:17">
      <c r="A23" s="20" t="s">
        <v>9</v>
      </c>
      <c r="B23" s="4">
        <v>57.215795069462693</v>
      </c>
      <c r="C23" s="4">
        <v>68.658954083355226</v>
      </c>
      <c r="D23" s="2">
        <v>1.367147891752108</v>
      </c>
      <c r="E23" s="4">
        <f t="shared" si="1"/>
        <v>41.850479684488363</v>
      </c>
      <c r="F23" s="4">
        <f t="shared" si="2"/>
        <v>20.925239842244181</v>
      </c>
      <c r="G23" s="4">
        <f t="shared" si="3"/>
        <v>1375.5955484292488</v>
      </c>
      <c r="H23" s="4">
        <f t="shared" si="4"/>
        <v>612.21385656703933</v>
      </c>
      <c r="I23" s="20">
        <v>1314.9</v>
      </c>
      <c r="J23" s="15">
        <v>805000</v>
      </c>
      <c r="K23" s="24">
        <f t="shared" si="5"/>
        <v>842158.65578032192</v>
      </c>
      <c r="L23" s="24">
        <f t="shared" si="0"/>
        <v>805000</v>
      </c>
      <c r="M23" s="21" t="s">
        <v>92</v>
      </c>
      <c r="N23">
        <f t="shared" si="6"/>
        <v>349.42505133470223</v>
      </c>
      <c r="O23" s="15">
        <v>459459</v>
      </c>
      <c r="P23" s="24">
        <f t="shared" si="7"/>
        <v>480667.54512567812</v>
      </c>
      <c r="Q23" s="15">
        <f t="shared" si="8"/>
        <v>459459</v>
      </c>
    </row>
    <row r="24" spans="1:17">
      <c r="A24" t="s">
        <v>75</v>
      </c>
      <c r="B24" s="4">
        <v>68.436669108333987</v>
      </c>
      <c r="C24" s="4">
        <v>73.227235945917371</v>
      </c>
      <c r="D24" s="2">
        <v>1.2826649786157569</v>
      </c>
      <c r="E24" s="4">
        <f t="shared" si="1"/>
        <v>53.355061726399022</v>
      </c>
      <c r="F24" s="4">
        <f t="shared" si="2"/>
        <v>26.677530863199511</v>
      </c>
      <c r="G24" s="4">
        <f t="shared" si="3"/>
        <v>2235.8421269581163</v>
      </c>
      <c r="H24" s="4">
        <f t="shared" si="4"/>
        <v>674.0661902589834</v>
      </c>
      <c r="I24" s="20">
        <v>1973.1</v>
      </c>
      <c r="J24" s="15">
        <v>1330000</v>
      </c>
      <c r="K24" s="24">
        <f t="shared" si="5"/>
        <v>1507105.5845391997</v>
      </c>
      <c r="L24" s="24">
        <f t="shared" si="0"/>
        <v>1330000</v>
      </c>
      <c r="M24" s="22" t="s">
        <v>92</v>
      </c>
      <c r="N24">
        <f t="shared" si="6"/>
        <v>418.47397496325578</v>
      </c>
      <c r="O24" s="15">
        <v>825691</v>
      </c>
      <c r="P24" s="24">
        <f t="shared" si="7"/>
        <v>935641.74225846329</v>
      </c>
      <c r="Q24" s="15">
        <f t="shared" si="8"/>
        <v>825691</v>
      </c>
    </row>
    <row r="25" spans="1:17">
      <c r="A25" t="s">
        <v>63</v>
      </c>
      <c r="B25" s="4">
        <v>52.889872194354147</v>
      </c>
      <c r="C25" s="4">
        <v>65.583441520999145</v>
      </c>
      <c r="D25" s="2">
        <v>1.3334070755044698</v>
      </c>
      <c r="E25" s="4">
        <f t="shared" si="1"/>
        <v>39.665210396715679</v>
      </c>
      <c r="F25" s="4">
        <f t="shared" si="2"/>
        <v>19.83260519835784</v>
      </c>
      <c r="G25" s="4">
        <f t="shared" si="3"/>
        <v>1235.6896409017661</v>
      </c>
      <c r="H25" s="4">
        <f t="shared" si="4"/>
        <v>1595.2980688497062</v>
      </c>
      <c r="I25" s="20">
        <v>595.5</v>
      </c>
      <c r="J25" s="15">
        <v>950000</v>
      </c>
      <c r="K25" s="24">
        <f t="shared" si="5"/>
        <v>1971293.2978281744</v>
      </c>
      <c r="L25" s="24">
        <f t="shared" si="0"/>
        <v>950000</v>
      </c>
      <c r="M25" s="21" t="s">
        <v>92</v>
      </c>
      <c r="N25">
        <f t="shared" si="6"/>
        <v>983.45256087321582</v>
      </c>
      <c r="O25" s="15">
        <v>585646</v>
      </c>
      <c r="P25" s="24">
        <f t="shared" si="7"/>
        <v>1215242.1417893462</v>
      </c>
      <c r="Q25" s="15">
        <f t="shared" si="8"/>
        <v>585646</v>
      </c>
    </row>
    <row r="26" spans="1:17">
      <c r="A26" t="s">
        <v>64</v>
      </c>
      <c r="B26" s="4">
        <v>50.562416792101601</v>
      </c>
      <c r="C26" s="4">
        <v>71.798631844784268</v>
      </c>
      <c r="D26" s="2">
        <v>1.2409046304531934</v>
      </c>
      <c r="E26" s="4">
        <f t="shared" si="1"/>
        <v>40.746416405614987</v>
      </c>
      <c r="F26" s="4">
        <f t="shared" si="2"/>
        <v>20.373208202807493</v>
      </c>
      <c r="G26" s="4">
        <f t="shared" si="3"/>
        <v>1303.9733620943348</v>
      </c>
      <c r="H26" s="4">
        <f t="shared" si="4"/>
        <v>2374.6390902127159</v>
      </c>
      <c r="I26" s="20">
        <v>5091.3</v>
      </c>
      <c r="J26" s="15">
        <v>12090000</v>
      </c>
      <c r="K26" s="24">
        <f t="shared" si="5"/>
        <v>3096466.1182253077</v>
      </c>
      <c r="L26" s="24">
        <f t="shared" si="0"/>
        <v>3096466.1182253077</v>
      </c>
      <c r="M26" s="22" t="s">
        <v>92</v>
      </c>
      <c r="N26">
        <f t="shared" si="6"/>
        <v>975.7058118751595</v>
      </c>
      <c r="O26" s="15">
        <f>3693537+1274074</f>
        <v>4967611</v>
      </c>
      <c r="P26" s="24">
        <f t="shared" si="7"/>
        <v>1272294.3879258342</v>
      </c>
      <c r="Q26" s="15">
        <f t="shared" si="8"/>
        <v>1272294.3879258342</v>
      </c>
    </row>
    <row r="27" spans="1:17">
      <c r="A27" s="20" t="s">
        <v>11</v>
      </c>
      <c r="B27" s="4">
        <v>61.3104985606684</v>
      </c>
      <c r="C27" s="4">
        <v>71.120178330375339</v>
      </c>
      <c r="D27" s="2">
        <v>1.3589321966589822</v>
      </c>
      <c r="E27" s="4">
        <f t="shared" si="1"/>
        <v>45.116672275043598</v>
      </c>
      <c r="F27" s="4">
        <f t="shared" si="2"/>
        <v>22.558336137521799</v>
      </c>
      <c r="G27" s="4">
        <f t="shared" si="3"/>
        <v>1598.6890491977927</v>
      </c>
      <c r="H27" s="4">
        <f t="shared" si="4"/>
        <v>1127.3572014211534</v>
      </c>
      <c r="I27" s="20">
        <v>731.8</v>
      </c>
      <c r="J27" s="15">
        <v>825000</v>
      </c>
      <c r="K27" s="24">
        <f t="shared" si="5"/>
        <v>1802293.6124462681</v>
      </c>
      <c r="L27" s="24">
        <f t="shared" si="0"/>
        <v>825000</v>
      </c>
      <c r="M27" s="21" t="s">
        <v>92</v>
      </c>
      <c r="N27">
        <f t="shared" si="6"/>
        <v>674.68843946433458</v>
      </c>
      <c r="O27" s="15">
        <v>493737</v>
      </c>
      <c r="P27" s="24">
        <f t="shared" si="7"/>
        <v>1078617.0197919796</v>
      </c>
      <c r="Q27" s="15">
        <f t="shared" si="8"/>
        <v>493737</v>
      </c>
    </row>
    <row r="28" spans="1:17">
      <c r="A28" t="s">
        <v>43</v>
      </c>
      <c r="B28" s="4">
        <v>58.655633023171944</v>
      </c>
      <c r="C28" s="4">
        <v>65.107752655720873</v>
      </c>
      <c r="D28" s="2">
        <v>1.3312259917708142</v>
      </c>
      <c r="E28" s="4">
        <f t="shared" si="1"/>
        <v>44.06136402516259</v>
      </c>
      <c r="F28" s="4">
        <f t="shared" si="2"/>
        <v>22.030682012581295</v>
      </c>
      <c r="G28" s="4">
        <f t="shared" si="3"/>
        <v>1524.774978742676</v>
      </c>
      <c r="H28" s="4">
        <f t="shared" si="4"/>
        <v>1052.8699196196083</v>
      </c>
      <c r="I28" s="20">
        <v>883.3</v>
      </c>
      <c r="J28" s="15">
        <v>930000</v>
      </c>
      <c r="K28" s="24">
        <f t="shared" si="5"/>
        <v>1605389.7093067912</v>
      </c>
      <c r="L28" s="24">
        <f t="shared" si="0"/>
        <v>930000</v>
      </c>
      <c r="M28" s="22" t="s">
        <v>92</v>
      </c>
      <c r="N28">
        <f t="shared" si="6"/>
        <v>578.7274991509114</v>
      </c>
      <c r="O28" s="15">
        <v>511190</v>
      </c>
      <c r="P28" s="24">
        <f t="shared" si="7"/>
        <v>882429.21021563292</v>
      </c>
      <c r="Q28" s="15">
        <f t="shared" si="8"/>
        <v>511190</v>
      </c>
    </row>
    <row r="29" spans="1:17">
      <c r="A29" t="s">
        <v>44</v>
      </c>
      <c r="B29" s="4">
        <v>59.418221467206827</v>
      </c>
      <c r="C29" s="4">
        <v>67.142590257943709</v>
      </c>
      <c r="D29" s="2">
        <v>1.2176020802066099</v>
      </c>
      <c r="E29" s="4">
        <f t="shared" si="1"/>
        <v>48.799375783855751</v>
      </c>
      <c r="F29" s="4">
        <f t="shared" si="2"/>
        <v>24.399687891927876</v>
      </c>
      <c r="G29" s="4">
        <f t="shared" si="3"/>
        <v>1870.3307533456325</v>
      </c>
      <c r="H29" s="4">
        <f t="shared" si="4"/>
        <v>942.68476621417801</v>
      </c>
      <c r="I29" s="20">
        <v>1326</v>
      </c>
      <c r="J29" s="15">
        <v>1250000</v>
      </c>
      <c r="K29" s="24">
        <f t="shared" si="5"/>
        <v>1763132.308960815</v>
      </c>
      <c r="L29" s="24">
        <f t="shared" si="0"/>
        <v>1250000</v>
      </c>
      <c r="M29" s="21" t="s">
        <v>92</v>
      </c>
      <c r="N29">
        <f t="shared" si="6"/>
        <v>580.19758672699845</v>
      </c>
      <c r="O29" s="15">
        <v>769342</v>
      </c>
      <c r="P29" s="24">
        <f t="shared" si="7"/>
        <v>1085161.389472425</v>
      </c>
      <c r="Q29" s="15">
        <f t="shared" si="8"/>
        <v>769342</v>
      </c>
    </row>
    <row r="30" spans="1:17">
      <c r="A30" t="s">
        <v>45</v>
      </c>
      <c r="B30" s="4">
        <v>61.666324994769361</v>
      </c>
      <c r="C30" s="4">
        <v>72.149600243880144</v>
      </c>
      <c r="D30" s="2">
        <v>1.2383391032002451</v>
      </c>
      <c r="E30" s="4">
        <f t="shared" si="1"/>
        <v>49.797607808236705</v>
      </c>
      <c r="F30" s="4">
        <f t="shared" si="2"/>
        <v>24.898803904118353</v>
      </c>
      <c r="G30" s="4">
        <f t="shared" si="3"/>
        <v>1947.6317348741809</v>
      </c>
      <c r="H30" s="4">
        <f t="shared" si="4"/>
        <v>806.3637354255203</v>
      </c>
      <c r="I30" s="20">
        <v>2753.1</v>
      </c>
      <c r="J30" s="15">
        <v>2220000</v>
      </c>
      <c r="K30" s="24">
        <f t="shared" si="5"/>
        <v>1570499.6009664312</v>
      </c>
      <c r="L30" s="24">
        <f t="shared" si="0"/>
        <v>1570499.6009664312</v>
      </c>
      <c r="M30" s="22" t="s">
        <v>92</v>
      </c>
      <c r="N30">
        <f t="shared" si="6"/>
        <v>558.9905924230867</v>
      </c>
      <c r="O30" s="15">
        <v>1538957</v>
      </c>
      <c r="P30" s="24">
        <f t="shared" si="7"/>
        <v>1088707.8172993225</v>
      </c>
      <c r="Q30" s="15">
        <f t="shared" si="8"/>
        <v>1088707.8172993225</v>
      </c>
    </row>
    <row r="31" spans="1:17">
      <c r="A31" t="s">
        <v>46</v>
      </c>
      <c r="B31" s="4">
        <v>63.17399629918647</v>
      </c>
      <c r="C31" s="4">
        <v>71.386615818080699</v>
      </c>
      <c r="D31" s="2">
        <v>1.353332701277282</v>
      </c>
      <c r="E31" s="4">
        <f t="shared" si="1"/>
        <v>46.680314633321537</v>
      </c>
      <c r="F31" s="4">
        <f t="shared" si="2"/>
        <v>23.340157316660768</v>
      </c>
      <c r="G31" s="4">
        <f t="shared" si="3"/>
        <v>1711.4232614563832</v>
      </c>
      <c r="H31" s="4">
        <f t="shared" si="4"/>
        <v>511.10046318479476</v>
      </c>
      <c r="I31" s="20">
        <v>1252.2</v>
      </c>
      <c r="J31" s="15">
        <v>640000</v>
      </c>
      <c r="K31" s="24">
        <f t="shared" si="5"/>
        <v>874709.22163558961</v>
      </c>
      <c r="L31" s="24">
        <f t="shared" si="0"/>
        <v>640000</v>
      </c>
      <c r="M31" s="21" t="s">
        <v>92</v>
      </c>
      <c r="N31">
        <f t="shared" si="6"/>
        <v>488.76776872704039</v>
      </c>
      <c r="O31" s="15">
        <v>612035</v>
      </c>
      <c r="P31" s="24">
        <f t="shared" si="7"/>
        <v>836488.52884959069</v>
      </c>
      <c r="Q31" s="15">
        <f t="shared" si="8"/>
        <v>612035</v>
      </c>
    </row>
    <row r="32" spans="1:17">
      <c r="A32" t="s">
        <v>47</v>
      </c>
      <c r="B32" s="4">
        <v>58.965101588658143</v>
      </c>
      <c r="C32" s="4">
        <v>67.809866826956863</v>
      </c>
      <c r="D32" s="2">
        <v>1.3763525807002821</v>
      </c>
      <c r="E32" s="4">
        <f t="shared" si="1"/>
        <v>42.841567208496066</v>
      </c>
      <c r="F32" s="4">
        <f t="shared" si="2"/>
        <v>21.420783604248033</v>
      </c>
      <c r="G32" s="4">
        <f t="shared" si="3"/>
        <v>1441.5196955431145</v>
      </c>
      <c r="H32" s="4">
        <f t="shared" si="4"/>
        <v>1551.107934238742</v>
      </c>
      <c r="I32" s="20">
        <v>699.5</v>
      </c>
      <c r="J32" s="15">
        <v>1085000</v>
      </c>
      <c r="K32" s="24">
        <f t="shared" si="5"/>
        <v>2235952.6371183405</v>
      </c>
      <c r="L32" s="24">
        <f t="shared" si="0"/>
        <v>1085000</v>
      </c>
      <c r="M32" s="22" t="s">
        <v>92</v>
      </c>
      <c r="N32">
        <f t="shared" si="6"/>
        <v>763.52537526804861</v>
      </c>
      <c r="O32" s="15">
        <v>534086</v>
      </c>
      <c r="P32" s="24">
        <f t="shared" si="7"/>
        <v>1100636.8664958396</v>
      </c>
      <c r="Q32" s="15">
        <f t="shared" si="8"/>
        <v>534086</v>
      </c>
    </row>
    <row r="33" spans="1:17">
      <c r="A33" t="s">
        <v>65</v>
      </c>
      <c r="B33" s="4">
        <v>58.66228344563627</v>
      </c>
      <c r="C33" s="4">
        <v>72.154608638132601</v>
      </c>
      <c r="D33" s="2">
        <v>1.2603547141344449</v>
      </c>
      <c r="E33" s="4">
        <f t="shared" si="1"/>
        <v>46.544264711956821</v>
      </c>
      <c r="F33" s="4">
        <f t="shared" si="2"/>
        <v>23.27213235597841</v>
      </c>
      <c r="G33" s="4">
        <f t="shared" si="3"/>
        <v>1701.4619020706896</v>
      </c>
      <c r="H33" s="4">
        <f t="shared" si="4"/>
        <v>2117.6348088662126</v>
      </c>
      <c r="I33" s="20">
        <v>7683.1</v>
      </c>
      <c r="J33" s="15">
        <v>16270000</v>
      </c>
      <c r="K33" s="24">
        <f t="shared" si="5"/>
        <v>3603074.9497846072</v>
      </c>
      <c r="L33" s="24">
        <f t="shared" si="0"/>
        <v>3603074.9497846072</v>
      </c>
      <c r="M33" s="21" t="s">
        <v>92</v>
      </c>
      <c r="N33">
        <f t="shared" si="6"/>
        <v>958.84916244744954</v>
      </c>
      <c r="O33" s="15">
        <f>3557965+617736+210152+305726+1019809+895963+759583</f>
        <v>7366934</v>
      </c>
      <c r="P33" s="24">
        <f t="shared" si="7"/>
        <v>1631445.3197367252</v>
      </c>
      <c r="Q33" s="15">
        <f t="shared" si="8"/>
        <v>1631445.3197367252</v>
      </c>
    </row>
    <row r="34" spans="1:17">
      <c r="A34" t="s">
        <v>66</v>
      </c>
      <c r="B34" s="4">
        <v>65.428155552656733</v>
      </c>
      <c r="C34" s="4">
        <v>70.008126441342696</v>
      </c>
      <c r="D34" s="2">
        <v>1.2964577542802127</v>
      </c>
      <c r="E34" s="4">
        <f t="shared" si="1"/>
        <v>50.466862754800786</v>
      </c>
      <c r="F34" s="4">
        <f t="shared" si="2"/>
        <v>25.233431377400393</v>
      </c>
      <c r="G34" s="4">
        <f t="shared" si="3"/>
        <v>2000.333909548546</v>
      </c>
      <c r="H34" s="4">
        <f t="shared" si="4"/>
        <v>447.68101235599596</v>
      </c>
      <c r="I34" s="20">
        <v>1675.3</v>
      </c>
      <c r="J34" s="15">
        <v>750000</v>
      </c>
      <c r="K34" s="24">
        <f t="shared" si="5"/>
        <v>895511.50967672036</v>
      </c>
      <c r="L34" s="24">
        <f t="shared" ref="L34:L53" si="9">MIN(J34,K34)</f>
        <v>750000</v>
      </c>
      <c r="M34" s="22" t="s">
        <v>92</v>
      </c>
      <c r="N34">
        <f t="shared" si="6"/>
        <v>254.53650092520743</v>
      </c>
      <c r="O34" s="15">
        <v>426425</v>
      </c>
      <c r="P34" s="24">
        <f t="shared" si="7"/>
        <v>509157.99401852727</v>
      </c>
      <c r="Q34" s="15">
        <f t="shared" si="8"/>
        <v>426425</v>
      </c>
    </row>
    <row r="35" spans="1:17">
      <c r="A35" t="s">
        <v>48</v>
      </c>
      <c r="B35" s="4">
        <v>51.610670589502462</v>
      </c>
      <c r="C35" s="4">
        <v>65.029444942773097</v>
      </c>
      <c r="D35" s="2">
        <v>1.3247335867180841</v>
      </c>
      <c r="E35" s="4">
        <f t="shared" ref="E35:E53" si="10">B35/D35</f>
        <v>38.959282913150524</v>
      </c>
      <c r="F35" s="4">
        <f t="shared" ref="F35:F53" si="11">E35*0.5</f>
        <v>19.479641456575262</v>
      </c>
      <c r="G35" s="4">
        <f t="shared" ref="G35:G53" si="12">PI()*F35^2</f>
        <v>1192.0975368563613</v>
      </c>
      <c r="H35" s="4">
        <f t="shared" ref="H35:H53" si="13">J35/I35</f>
        <v>1012.6210742588787</v>
      </c>
      <c r="I35" s="20">
        <v>1022.1</v>
      </c>
      <c r="J35" s="15">
        <v>1035000</v>
      </c>
      <c r="K35" s="24">
        <f t="shared" ref="K35:K53" si="14">G35*H35</f>
        <v>1207143.0883928519</v>
      </c>
      <c r="L35" s="24">
        <f t="shared" si="9"/>
        <v>1035000</v>
      </c>
      <c r="M35" s="21" t="s">
        <v>92</v>
      </c>
      <c r="N35">
        <f t="shared" ref="N35:N53" si="15">O35/I35</f>
        <v>729.77692985030819</v>
      </c>
      <c r="O35" s="15">
        <v>745905</v>
      </c>
      <c r="P35" s="24">
        <f t="shared" ref="P35:P53" si="16">G35*N35</f>
        <v>869965.28052915004</v>
      </c>
      <c r="Q35" s="15">
        <f t="shared" ref="Q35:Q53" si="17">MIN(P35,O35)</f>
        <v>745905</v>
      </c>
    </row>
    <row r="36" spans="1:17">
      <c r="A36" t="s">
        <v>67</v>
      </c>
      <c r="B36" s="4">
        <v>57.527407508030159</v>
      </c>
      <c r="C36" s="4">
        <v>67.307066784395289</v>
      </c>
      <c r="D36" s="2">
        <v>1.2151792961844514</v>
      </c>
      <c r="E36" s="4">
        <f t="shared" si="10"/>
        <v>47.340674490308388</v>
      </c>
      <c r="F36" s="4">
        <f t="shared" si="11"/>
        <v>23.670337245154194</v>
      </c>
      <c r="G36" s="4">
        <f t="shared" si="12"/>
        <v>1760.1868167419339</v>
      </c>
      <c r="H36" s="4">
        <f t="shared" si="13"/>
        <v>1548.7679501210491</v>
      </c>
      <c r="I36" s="20">
        <v>3015.3</v>
      </c>
      <c r="J36" s="15">
        <v>4670000</v>
      </c>
      <c r="K36" s="24">
        <f t="shared" si="14"/>
        <v>2726120.9279954997</v>
      </c>
      <c r="L36" s="24">
        <f t="shared" si="9"/>
        <v>2726120.9279954997</v>
      </c>
      <c r="M36" s="22" t="s">
        <v>92</v>
      </c>
      <c r="N36">
        <f t="shared" si="15"/>
        <v>794.65194176367186</v>
      </c>
      <c r="O36" s="15">
        <f>2112593+283521</f>
        <v>2396114</v>
      </c>
      <c r="P36" s="24">
        <f t="shared" si="16"/>
        <v>1398735.8717907942</v>
      </c>
      <c r="Q36" s="15">
        <f t="shared" si="17"/>
        <v>1398735.8717907942</v>
      </c>
    </row>
    <row r="37" spans="1:17">
      <c r="A37" t="s">
        <v>49</v>
      </c>
      <c r="B37" s="4">
        <v>55.217531420841681</v>
      </c>
      <c r="C37" s="4">
        <v>64.60451176238476</v>
      </c>
      <c r="D37" s="2">
        <v>1.3855038567192821</v>
      </c>
      <c r="E37" s="4">
        <f t="shared" si="10"/>
        <v>39.853755118077125</v>
      </c>
      <c r="F37" s="4">
        <f t="shared" si="11"/>
        <v>19.926877559038562</v>
      </c>
      <c r="G37" s="4">
        <f t="shared" si="12"/>
        <v>1247.4650222570913</v>
      </c>
      <c r="H37" s="4">
        <f t="shared" si="13"/>
        <v>1156.611441075336</v>
      </c>
      <c r="I37" s="20">
        <v>1919.4</v>
      </c>
      <c r="J37" s="15">
        <v>2220000</v>
      </c>
      <c r="K37" s="24">
        <f t="shared" si="14"/>
        <v>1442832.3170838505</v>
      </c>
      <c r="L37" s="24">
        <f t="shared" si="9"/>
        <v>1442832.3170838505</v>
      </c>
      <c r="M37" s="21" t="s">
        <v>92</v>
      </c>
      <c r="N37">
        <f t="shared" si="15"/>
        <v>663.9048661039908</v>
      </c>
      <c r="O37" s="15">
        <v>1274299</v>
      </c>
      <c r="P37" s="24">
        <f t="shared" si="16"/>
        <v>828198.09857100609</v>
      </c>
      <c r="Q37" s="15">
        <f t="shared" si="17"/>
        <v>828198.09857100609</v>
      </c>
    </row>
    <row r="38" spans="1:17">
      <c r="A38" t="s">
        <v>50</v>
      </c>
      <c r="B38" s="4">
        <v>60.206377885131687</v>
      </c>
      <c r="C38" s="4">
        <v>66.227015673644857</v>
      </c>
      <c r="D38" s="2">
        <v>1.3073565469845398</v>
      </c>
      <c r="E38" s="4">
        <f t="shared" si="10"/>
        <v>46.051995550869151</v>
      </c>
      <c r="F38" s="4">
        <f t="shared" si="11"/>
        <v>23.025997775434575</v>
      </c>
      <c r="G38" s="4">
        <f t="shared" si="12"/>
        <v>1665.6616604367257</v>
      </c>
      <c r="H38" s="4">
        <f t="shared" si="13"/>
        <v>880.80587534736003</v>
      </c>
      <c r="I38" s="20">
        <v>2015.2</v>
      </c>
      <c r="J38" s="15">
        <v>1775000</v>
      </c>
      <c r="K38" s="24">
        <f t="shared" si="14"/>
        <v>1467124.5768535074</v>
      </c>
      <c r="L38" s="24">
        <f t="shared" si="9"/>
        <v>1467124.5768535074</v>
      </c>
      <c r="M38" s="22" t="s">
        <v>92</v>
      </c>
      <c r="N38">
        <f t="shared" si="15"/>
        <v>499.64370782056369</v>
      </c>
      <c r="O38" s="15">
        <v>1006882</v>
      </c>
      <c r="P38" s="24">
        <f t="shared" si="16"/>
        <v>832237.36799516238</v>
      </c>
      <c r="Q38" s="15">
        <f t="shared" si="17"/>
        <v>832237.36799516238</v>
      </c>
    </row>
    <row r="39" spans="1:17">
      <c r="A39" t="s">
        <v>51</v>
      </c>
      <c r="B39" s="4">
        <v>60.024289113865244</v>
      </c>
      <c r="C39" s="4">
        <v>72.029146936638284</v>
      </c>
      <c r="D39" s="2">
        <v>1.4034944459182461</v>
      </c>
      <c r="E39" s="4">
        <f t="shared" si="10"/>
        <v>42.767742536090999</v>
      </c>
      <c r="F39" s="4">
        <f t="shared" si="11"/>
        <v>21.3838712680455</v>
      </c>
      <c r="G39" s="4">
        <f t="shared" si="12"/>
        <v>1436.5559169102157</v>
      </c>
      <c r="H39" s="4">
        <f t="shared" si="13"/>
        <v>1323.5147775898099</v>
      </c>
      <c r="I39" s="20">
        <v>1004.9</v>
      </c>
      <c r="J39" s="15">
        <v>1330000</v>
      </c>
      <c r="K39" s="24">
        <f t="shared" si="14"/>
        <v>1901302.9848647497</v>
      </c>
      <c r="L39" s="24">
        <f t="shared" si="9"/>
        <v>1330000</v>
      </c>
      <c r="M39" s="21" t="s">
        <v>92</v>
      </c>
      <c r="N39">
        <f t="shared" si="15"/>
        <v>831.47477360931441</v>
      </c>
      <c r="O39" s="15">
        <v>835549</v>
      </c>
      <c r="P39" s="24">
        <f t="shared" si="16"/>
        <v>1194460.0057900427</v>
      </c>
      <c r="Q39" s="15">
        <f t="shared" si="17"/>
        <v>835549</v>
      </c>
    </row>
    <row r="40" spans="1:17">
      <c r="A40" s="20" t="s">
        <v>98</v>
      </c>
      <c r="B40" s="4">
        <v>67.445743119538108</v>
      </c>
      <c r="C40" s="4">
        <v>72.841402569101163</v>
      </c>
      <c r="D40" s="2">
        <v>1.2391400975948115</v>
      </c>
      <c r="E40" s="4">
        <f t="shared" si="10"/>
        <v>54.429473511874285</v>
      </c>
      <c r="F40" s="4">
        <f t="shared" si="11"/>
        <v>27.214736755937142</v>
      </c>
      <c r="G40" s="4">
        <f t="shared" si="12"/>
        <v>2326.7951415976845</v>
      </c>
      <c r="H40" s="4">
        <f t="shared" si="13"/>
        <v>1480.0930713547052</v>
      </c>
      <c r="I40" s="20">
        <v>773.6</v>
      </c>
      <c r="J40" s="15">
        <v>1145000</v>
      </c>
      <c r="K40" s="24">
        <f t="shared" si="14"/>
        <v>3443873.3675405229</v>
      </c>
      <c r="L40" s="24">
        <f t="shared" si="9"/>
        <v>1145000</v>
      </c>
      <c r="M40" s="22" t="s">
        <v>92</v>
      </c>
      <c r="N40">
        <f t="shared" si="15"/>
        <v>485.89451913133399</v>
      </c>
      <c r="O40" s="15">
        <v>375888</v>
      </c>
      <c r="P40" s="24">
        <f t="shared" si="16"/>
        <v>1130577.006443731</v>
      </c>
      <c r="Q40" s="15">
        <f t="shared" si="17"/>
        <v>375888</v>
      </c>
    </row>
    <row r="41" spans="1:17">
      <c r="A41" s="20" t="s">
        <v>15</v>
      </c>
      <c r="B41" s="4">
        <v>61.558627513996477</v>
      </c>
      <c r="C41" s="4">
        <v>68.330076540536098</v>
      </c>
      <c r="D41" s="2">
        <v>1.2413603862790981</v>
      </c>
      <c r="E41" s="4">
        <f t="shared" si="10"/>
        <v>49.589650350060474</v>
      </c>
      <c r="F41" s="4">
        <f t="shared" si="11"/>
        <v>24.794825175030237</v>
      </c>
      <c r="G41" s="4">
        <f t="shared" si="12"/>
        <v>1931.3988730634026</v>
      </c>
      <c r="H41" s="4">
        <f t="shared" si="13"/>
        <v>1338.5999561114768</v>
      </c>
      <c r="I41" s="20">
        <v>455.7</v>
      </c>
      <c r="J41" s="15">
        <v>610000</v>
      </c>
      <c r="K41" s="24">
        <f t="shared" si="14"/>
        <v>2585370.4467164264</v>
      </c>
      <c r="L41" s="24">
        <f t="shared" si="9"/>
        <v>610000</v>
      </c>
      <c r="M41" s="21" t="s">
        <v>92</v>
      </c>
      <c r="N41">
        <f t="shared" si="15"/>
        <v>1185.32367785824</v>
      </c>
      <c r="O41" s="15">
        <v>540152</v>
      </c>
      <c r="P41" s="24">
        <f t="shared" si="16"/>
        <v>2289332.8156307722</v>
      </c>
      <c r="Q41" s="15">
        <f t="shared" si="17"/>
        <v>540152</v>
      </c>
    </row>
    <row r="42" spans="1:17">
      <c r="A42" t="s">
        <v>82</v>
      </c>
      <c r="B42" s="4">
        <v>71.963113135234551</v>
      </c>
      <c r="C42" s="4">
        <v>75.561268791996284</v>
      </c>
      <c r="D42" s="2">
        <v>1.2570037934255704</v>
      </c>
      <c r="E42" s="4">
        <f t="shared" si="10"/>
        <v>57.249718347405782</v>
      </c>
      <c r="F42" s="4">
        <f t="shared" si="11"/>
        <v>28.624859173702891</v>
      </c>
      <c r="G42" s="4">
        <f t="shared" si="12"/>
        <v>2574.1662395028939</v>
      </c>
      <c r="H42" s="4">
        <f t="shared" si="13"/>
        <v>1096.6836287067906</v>
      </c>
      <c r="I42" s="20">
        <v>569.9</v>
      </c>
      <c r="J42" s="15">
        <v>625000</v>
      </c>
      <c r="K42" s="24">
        <f t="shared" si="14"/>
        <v>2823045.9724325472</v>
      </c>
      <c r="L42" s="24">
        <f t="shared" si="9"/>
        <v>625000</v>
      </c>
      <c r="M42" s="22" t="s">
        <v>92</v>
      </c>
      <c r="N42">
        <f t="shared" si="15"/>
        <v>799.00333391823131</v>
      </c>
      <c r="O42" s="15">
        <v>455352</v>
      </c>
      <c r="P42" s="24">
        <f t="shared" si="16"/>
        <v>2056767.4074225684</v>
      </c>
      <c r="Q42" s="15">
        <f t="shared" si="17"/>
        <v>455352</v>
      </c>
    </row>
    <row r="43" spans="1:17">
      <c r="A43" t="s">
        <v>54</v>
      </c>
      <c r="B43" s="4">
        <v>57.718158557678407</v>
      </c>
      <c r="C43" s="4">
        <v>69.261790269214089</v>
      </c>
      <c r="D43" s="2">
        <v>1.4511940967956416</v>
      </c>
      <c r="E43" s="4">
        <f t="shared" si="10"/>
        <v>39.772873032714884</v>
      </c>
      <c r="F43" s="4">
        <f t="shared" si="11"/>
        <v>19.886436516357442</v>
      </c>
      <c r="G43" s="4">
        <f t="shared" si="12"/>
        <v>1242.4067692662613</v>
      </c>
      <c r="H43" s="4">
        <f t="shared" si="13"/>
        <v>1434.0233607031339</v>
      </c>
      <c r="I43" s="20">
        <v>864.7</v>
      </c>
      <c r="J43" s="15">
        <v>1240000</v>
      </c>
      <c r="K43" s="24">
        <f t="shared" si="14"/>
        <v>1781640.3306235271</v>
      </c>
      <c r="L43" s="24">
        <f t="shared" si="9"/>
        <v>1240000</v>
      </c>
      <c r="M43" s="21" t="s">
        <v>92</v>
      </c>
      <c r="N43">
        <f t="shared" si="15"/>
        <v>583.35492078177401</v>
      </c>
      <c r="O43" s="15">
        <v>504427</v>
      </c>
      <c r="P43" s="24">
        <f t="shared" si="16"/>
        <v>724764.10246405972</v>
      </c>
      <c r="Q43" s="15">
        <f t="shared" si="17"/>
        <v>504427</v>
      </c>
    </row>
    <row r="44" spans="1:17">
      <c r="A44" t="s">
        <v>55</v>
      </c>
      <c r="B44" s="4">
        <v>58.26615155396771</v>
      </c>
      <c r="C44" s="4">
        <v>69.336720349221579</v>
      </c>
      <c r="D44" s="2">
        <v>1.3833656311611033</v>
      </c>
      <c r="E44" s="4">
        <f t="shared" si="10"/>
        <v>42.119126167001163</v>
      </c>
      <c r="F44" s="4">
        <f t="shared" si="11"/>
        <v>21.059563083500581</v>
      </c>
      <c r="G44" s="4">
        <f t="shared" si="12"/>
        <v>1393.3126695658539</v>
      </c>
      <c r="H44" s="4">
        <f t="shared" si="13"/>
        <v>1268.8041331104696</v>
      </c>
      <c r="I44" s="20">
        <v>658.1</v>
      </c>
      <c r="J44" s="15">
        <v>835000</v>
      </c>
      <c r="K44" s="24">
        <f t="shared" si="14"/>
        <v>1767840.8738603373</v>
      </c>
      <c r="L44" s="24">
        <f t="shared" si="9"/>
        <v>835000</v>
      </c>
      <c r="M44" s="22" t="s">
        <v>92</v>
      </c>
      <c r="N44">
        <f t="shared" si="15"/>
        <v>896.24677100744566</v>
      </c>
      <c r="O44" s="15">
        <v>589820</v>
      </c>
      <c r="P44" s="24">
        <f t="shared" si="16"/>
        <v>1248751.9811021606</v>
      </c>
      <c r="Q44" s="15">
        <f t="shared" si="17"/>
        <v>589820</v>
      </c>
    </row>
    <row r="45" spans="1:17">
      <c r="A45" t="s">
        <v>68</v>
      </c>
      <c r="B45" s="4">
        <v>68.258757949361893</v>
      </c>
      <c r="C45" s="4">
        <v>75.084633744298088</v>
      </c>
      <c r="D45" s="2">
        <v>1.3944576902357904</v>
      </c>
      <c r="E45" s="4">
        <f t="shared" si="10"/>
        <v>48.9500387335667</v>
      </c>
      <c r="F45" s="4">
        <f t="shared" si="11"/>
        <v>24.47501936678335</v>
      </c>
      <c r="G45" s="4">
        <f t="shared" si="12"/>
        <v>1881.8974810557559</v>
      </c>
      <c r="H45" s="4">
        <f t="shared" si="13"/>
        <v>1075.3635962979286</v>
      </c>
      <c r="I45" s="20">
        <v>1134.5</v>
      </c>
      <c r="J45" s="15">
        <v>1220000</v>
      </c>
      <c r="K45" s="24">
        <f t="shared" si="14"/>
        <v>2023724.0430921305</v>
      </c>
      <c r="L45" s="24">
        <f t="shared" si="9"/>
        <v>1220000</v>
      </c>
      <c r="M45" s="21" t="s">
        <v>92</v>
      </c>
      <c r="N45">
        <f t="shared" si="15"/>
        <v>504.97752313794621</v>
      </c>
      <c r="O45" s="15">
        <v>572897</v>
      </c>
      <c r="P45" s="24">
        <f t="shared" si="16"/>
        <v>950315.92878307565</v>
      </c>
      <c r="Q45" s="15">
        <f t="shared" si="17"/>
        <v>572897</v>
      </c>
    </row>
    <row r="46" spans="1:17">
      <c r="A46" t="s">
        <v>69</v>
      </c>
      <c r="B46" s="4">
        <v>61.114708084337522</v>
      </c>
      <c r="C46" s="4">
        <v>73.948796782048404</v>
      </c>
      <c r="D46" s="2">
        <v>1.4004144662812563</v>
      </c>
      <c r="E46" s="4">
        <f t="shared" si="10"/>
        <v>43.640443280070613</v>
      </c>
      <c r="F46" s="4">
        <f t="shared" si="11"/>
        <v>21.820221640035307</v>
      </c>
      <c r="G46" s="4">
        <f t="shared" si="12"/>
        <v>1495.7816049274522</v>
      </c>
      <c r="H46" s="4">
        <f t="shared" si="13"/>
        <v>1429.3706293706293</v>
      </c>
      <c r="I46" s="20">
        <v>1787.5</v>
      </c>
      <c r="J46" s="15">
        <v>2555000</v>
      </c>
      <c r="K46" s="24">
        <f t="shared" si="14"/>
        <v>2138026.2940361626</v>
      </c>
      <c r="L46" s="24">
        <f t="shared" si="9"/>
        <v>2138026.2940361626</v>
      </c>
      <c r="M46" s="22" t="s">
        <v>92</v>
      </c>
      <c r="N46">
        <f t="shared" si="15"/>
        <v>537.63020979020985</v>
      </c>
      <c r="O46" s="15">
        <v>961014</v>
      </c>
      <c r="P46" s="24">
        <f t="shared" si="16"/>
        <v>804177.37805748289</v>
      </c>
      <c r="Q46" s="15">
        <f t="shared" si="17"/>
        <v>804177.37805748289</v>
      </c>
    </row>
    <row r="47" spans="1:17">
      <c r="A47" t="s">
        <v>70</v>
      </c>
      <c r="B47" s="4">
        <v>56.191337145660896</v>
      </c>
      <c r="C47" s="4">
        <v>74.172565032272388</v>
      </c>
      <c r="D47" s="2">
        <v>1.4169328618734882</v>
      </c>
      <c r="E47" s="4">
        <f t="shared" si="10"/>
        <v>39.657021625826317</v>
      </c>
      <c r="F47" s="4">
        <f t="shared" si="11"/>
        <v>19.828510812913159</v>
      </c>
      <c r="G47" s="4">
        <f t="shared" si="12"/>
        <v>1235.1794842802951</v>
      </c>
      <c r="H47" s="4">
        <f t="shared" si="13"/>
        <v>1713.8566191086179</v>
      </c>
      <c r="I47" s="20">
        <v>2263.9</v>
      </c>
      <c r="J47" s="15">
        <v>3880000</v>
      </c>
      <c r="K47" s="24">
        <f t="shared" si="14"/>
        <v>2116920.5349209527</v>
      </c>
      <c r="L47" s="24">
        <f t="shared" si="9"/>
        <v>2116920.5349209527</v>
      </c>
      <c r="M47" s="21" t="s">
        <v>92</v>
      </c>
      <c r="N47">
        <f t="shared" si="15"/>
        <v>816.73395467997705</v>
      </c>
      <c r="O47" s="15">
        <f>962037+886967</f>
        <v>1849004</v>
      </c>
      <c r="P47" s="24">
        <f t="shared" si="16"/>
        <v>1008813.02493582</v>
      </c>
      <c r="Q47" s="15">
        <f t="shared" si="17"/>
        <v>1008813.02493582</v>
      </c>
    </row>
    <row r="48" spans="1:17">
      <c r="A48" t="s">
        <v>86</v>
      </c>
      <c r="B48" s="4">
        <v>57.512041270506913</v>
      </c>
      <c r="C48" s="4">
        <v>71.314931175428569</v>
      </c>
      <c r="D48" s="2">
        <v>1.415239926121528</v>
      </c>
      <c r="E48" s="4">
        <f t="shared" si="10"/>
        <v>40.63766164944127</v>
      </c>
      <c r="F48" s="4">
        <f t="shared" si="11"/>
        <v>20.318830824720635</v>
      </c>
      <c r="G48" s="4">
        <f t="shared" si="12"/>
        <v>1297.0218771189434</v>
      </c>
      <c r="H48" s="4">
        <f t="shared" si="13"/>
        <v>1768.1953000228154</v>
      </c>
      <c r="I48" s="20">
        <v>876.6</v>
      </c>
      <c r="J48" s="15">
        <v>1550000</v>
      </c>
      <c r="K48" s="24">
        <f t="shared" si="14"/>
        <v>2293387.9871484856</v>
      </c>
      <c r="L48" s="24">
        <f t="shared" si="9"/>
        <v>1550000</v>
      </c>
      <c r="M48" s="22" t="s">
        <v>92</v>
      </c>
      <c r="N48">
        <f t="shared" si="15"/>
        <v>1079.5836185261237</v>
      </c>
      <c r="O48" s="15">
        <v>946363</v>
      </c>
      <c r="P48" s="24">
        <f t="shared" si="16"/>
        <v>1400243.5714076143</v>
      </c>
      <c r="Q48" s="15">
        <f t="shared" si="17"/>
        <v>946363</v>
      </c>
    </row>
    <row r="49" spans="1:17">
      <c r="A49" t="s">
        <v>56</v>
      </c>
      <c r="B49" s="4">
        <v>56.598098982887286</v>
      </c>
      <c r="C49" s="4">
        <v>73.01154768792459</v>
      </c>
      <c r="D49" s="2">
        <v>1.407578059972719</v>
      </c>
      <c r="E49" s="4">
        <f t="shared" si="10"/>
        <v>40.209563215260857</v>
      </c>
      <c r="F49" s="4">
        <f t="shared" si="11"/>
        <v>20.104781607630429</v>
      </c>
      <c r="G49" s="4">
        <f t="shared" si="12"/>
        <v>1269.838798714314</v>
      </c>
      <c r="H49" s="4">
        <f t="shared" si="13"/>
        <v>1664.8059368227491</v>
      </c>
      <c r="I49" s="20">
        <v>1522.7</v>
      </c>
      <c r="J49" s="15">
        <v>2535000</v>
      </c>
      <c r="K49" s="24">
        <f t="shared" si="14"/>
        <v>2114035.1709074578</v>
      </c>
      <c r="L49" s="24">
        <f t="shared" si="9"/>
        <v>2114035.1709074578</v>
      </c>
      <c r="M49" s="21" t="s">
        <v>92</v>
      </c>
      <c r="N49">
        <f t="shared" si="15"/>
        <v>892.9066789255927</v>
      </c>
      <c r="O49" s="15">
        <f>1169062  +190567</f>
        <v>1359629</v>
      </c>
      <c r="P49" s="24">
        <f t="shared" si="16"/>
        <v>1133847.5445308622</v>
      </c>
      <c r="Q49" s="15">
        <f t="shared" si="17"/>
        <v>1133847.5445308622</v>
      </c>
    </row>
    <row r="50" spans="1:17">
      <c r="A50" t="s">
        <v>76</v>
      </c>
      <c r="B50" s="4">
        <v>55.648504040584811</v>
      </c>
      <c r="C50" s="4">
        <v>69.560630050731021</v>
      </c>
      <c r="D50" s="2">
        <v>1.2685017433180505</v>
      </c>
      <c r="E50" s="4">
        <f t="shared" si="10"/>
        <v>43.869473836924875</v>
      </c>
      <c r="F50" s="4">
        <f t="shared" si="11"/>
        <v>21.934736918462438</v>
      </c>
      <c r="G50" s="4">
        <f t="shared" si="12"/>
        <v>1511.5229044578125</v>
      </c>
      <c r="H50" s="4">
        <f t="shared" si="13"/>
        <v>4685.7893584409894</v>
      </c>
      <c r="I50" s="20">
        <v>913.4</v>
      </c>
      <c r="J50" s="15">
        <v>4280000</v>
      </c>
      <c r="K50" s="24">
        <f t="shared" si="14"/>
        <v>7082677.9407482343</v>
      </c>
      <c r="L50" s="24">
        <f t="shared" si="9"/>
        <v>4280000</v>
      </c>
      <c r="M50" s="22" t="s">
        <v>92</v>
      </c>
      <c r="N50">
        <f t="shared" si="15"/>
        <v>1556.3509962776441</v>
      </c>
      <c r="O50" s="15">
        <f>835903+585668</f>
        <v>1421571</v>
      </c>
      <c r="P50" s="24">
        <f t="shared" si="16"/>
        <v>2352460.1782493945</v>
      </c>
      <c r="Q50" s="15">
        <f t="shared" si="17"/>
        <v>1421571</v>
      </c>
    </row>
    <row r="51" spans="1:17">
      <c r="A51" t="s">
        <v>57</v>
      </c>
      <c r="B51" s="4">
        <v>61.481089948215072</v>
      </c>
      <c r="C51" s="4">
        <v>72.547686138893781</v>
      </c>
      <c r="D51" s="2">
        <v>1.3586289847100899</v>
      </c>
      <c r="E51" s="4">
        <f t="shared" si="10"/>
        <v>45.252302608084115</v>
      </c>
      <c r="F51" s="4">
        <f t="shared" si="11"/>
        <v>22.626151304042057</v>
      </c>
      <c r="G51" s="4">
        <f t="shared" si="12"/>
        <v>1608.315497112178</v>
      </c>
      <c r="H51" s="4">
        <f t="shared" si="13"/>
        <v>1057.7942735949098</v>
      </c>
      <c r="I51" s="20">
        <v>1886</v>
      </c>
      <c r="J51" s="15">
        <v>1995000</v>
      </c>
      <c r="K51" s="24">
        <f t="shared" si="14"/>
        <v>1701266.9229792126</v>
      </c>
      <c r="L51" s="24">
        <f t="shared" si="9"/>
        <v>1701266.9229792126</v>
      </c>
      <c r="M51" s="21" t="s">
        <v>92</v>
      </c>
      <c r="N51">
        <f t="shared" si="15"/>
        <v>632.73117709437963</v>
      </c>
      <c r="O51" s="15">
        <v>1193331</v>
      </c>
      <c r="P51" s="24">
        <f t="shared" si="16"/>
        <v>1017631.3576269207</v>
      </c>
      <c r="Q51" s="15">
        <f t="shared" si="17"/>
        <v>1017631.3576269207</v>
      </c>
    </row>
    <row r="52" spans="1:17">
      <c r="A52" t="s">
        <v>71</v>
      </c>
      <c r="B52" s="4">
        <v>49.70438535125249</v>
      </c>
      <c r="C52" s="4">
        <v>64.118657103115709</v>
      </c>
      <c r="D52" s="2">
        <v>1.274255931913912</v>
      </c>
      <c r="E52" s="4">
        <f t="shared" si="10"/>
        <v>39.006595226594158</v>
      </c>
      <c r="F52" s="4">
        <f t="shared" si="11"/>
        <v>19.503297613297079</v>
      </c>
      <c r="G52" s="4">
        <f t="shared" si="12"/>
        <v>1194.9946712406245</v>
      </c>
      <c r="H52" s="4">
        <f t="shared" si="13"/>
        <v>1087.5378855410947</v>
      </c>
      <c r="I52" s="20">
        <v>1682.7</v>
      </c>
      <c r="J52" s="15">
        <v>1830000</v>
      </c>
      <c r="K52" s="24">
        <f t="shared" si="14"/>
        <v>1299601.9779939044</v>
      </c>
      <c r="L52" s="24">
        <f t="shared" si="9"/>
        <v>1299601.9779939044</v>
      </c>
      <c r="M52" s="22" t="s">
        <v>92</v>
      </c>
      <c r="N52">
        <f t="shared" si="15"/>
        <v>580.54495750876561</v>
      </c>
      <c r="O52" s="15">
        <v>976883</v>
      </c>
      <c r="P52" s="24">
        <f t="shared" si="16"/>
        <v>693748.13063858962</v>
      </c>
      <c r="Q52" s="15">
        <f t="shared" si="17"/>
        <v>693748.13063858962</v>
      </c>
    </row>
    <row r="53" spans="1:17">
      <c r="A53" t="s">
        <v>59</v>
      </c>
      <c r="B53" s="4">
        <v>53.455408362533667</v>
      </c>
      <c r="C53" s="4">
        <v>69.492030871293764</v>
      </c>
      <c r="D53" s="2">
        <v>1.2938832051765461</v>
      </c>
      <c r="E53" s="4">
        <f t="shared" si="10"/>
        <v>41.313936334183929</v>
      </c>
      <c r="F53" s="4">
        <f t="shared" si="11"/>
        <v>20.656968167091964</v>
      </c>
      <c r="G53" s="4">
        <f t="shared" si="12"/>
        <v>1340.5500500536455</v>
      </c>
      <c r="H53" s="4">
        <f t="shared" si="13"/>
        <v>1434.643995749203</v>
      </c>
      <c r="I53" s="20">
        <v>2446.6</v>
      </c>
      <c r="J53" s="15">
        <v>3510000</v>
      </c>
      <c r="K53" s="24">
        <f t="shared" si="14"/>
        <v>1923212.0803107561</v>
      </c>
      <c r="L53" s="24">
        <f t="shared" si="9"/>
        <v>1923212.0803107561</v>
      </c>
      <c r="M53" s="21" t="s">
        <v>92</v>
      </c>
      <c r="N53">
        <f t="shared" si="15"/>
        <v>840.12875010218261</v>
      </c>
      <c r="O53" s="15">
        <v>2055459</v>
      </c>
      <c r="P53" s="24">
        <f t="shared" si="16"/>
        <v>1126234.6380009875</v>
      </c>
      <c r="Q53" s="15">
        <f t="shared" si="17"/>
        <v>1126234.6380009875</v>
      </c>
    </row>
    <row r="54" spans="1:17">
      <c r="D54" s="2"/>
    </row>
    <row r="55" spans="1:17">
      <c r="A55" t="s">
        <v>74</v>
      </c>
      <c r="D55"/>
    </row>
    <row r="56" spans="1:17" ht="16">
      <c r="A56" s="20" t="s">
        <v>93</v>
      </c>
      <c r="D56"/>
    </row>
    <row r="57" spans="1:17">
      <c r="A57" s="20" t="s">
        <v>99</v>
      </c>
    </row>
    <row r="59" spans="1:17">
      <c r="A59" s="20" t="s">
        <v>95</v>
      </c>
    </row>
    <row r="60" spans="1:17">
      <c r="A60" s="20" t="s">
        <v>106</v>
      </c>
    </row>
    <row r="61" spans="1:17">
      <c r="A61" s="20" t="s">
        <v>107</v>
      </c>
    </row>
    <row r="62" spans="1:17">
      <c r="A62" s="20" t="s">
        <v>105</v>
      </c>
    </row>
    <row r="63" spans="1:17">
      <c r="A63" s="20" t="s">
        <v>108</v>
      </c>
    </row>
  </sheetData>
  <sortState ref="A3:XFD53">
    <sortCondition ref="A3:A53"/>
  </sortState>
  <phoneticPr fontId="21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"/>
  <sheetViews>
    <sheetView zoomScale="90" zoomScaleNormal="90" zoomScalePageLayoutView="90" workbookViewId="0">
      <selection activeCell="K1" sqref="K1:Q1048576"/>
    </sheetView>
  </sheetViews>
  <sheetFormatPr baseColWidth="10" defaultColWidth="8.83203125" defaultRowHeight="14" x14ac:dyDescent="0"/>
  <cols>
    <col min="1" max="1" width="27.6640625" bestFit="1" customWidth="1"/>
    <col min="2" max="2" width="19.6640625" customWidth="1"/>
    <col min="3" max="3" width="19.1640625" customWidth="1"/>
    <col min="4" max="4" width="10.6640625" bestFit="1" customWidth="1"/>
    <col min="5" max="5" width="18.1640625" bestFit="1" customWidth="1"/>
    <col min="6" max="6" width="18.6640625" customWidth="1"/>
    <col min="7" max="7" width="28.33203125" customWidth="1"/>
    <col min="8" max="8" width="21.6640625" customWidth="1"/>
    <col min="9" max="9" width="10.6640625" customWidth="1"/>
    <col min="10" max="10" width="10.6640625" style="15" customWidth="1"/>
    <col min="11" max="11" width="11.83203125" style="24" customWidth="1"/>
    <col min="12" max="12" width="12.6640625" style="24" customWidth="1"/>
    <col min="14" max="14" width="12.5" customWidth="1"/>
    <col min="15" max="15" width="12.6640625" customWidth="1"/>
    <col min="16" max="16" width="12.83203125" style="24" customWidth="1"/>
    <col min="17" max="17" width="8.83203125" style="20"/>
  </cols>
  <sheetData>
    <row r="1" spans="1:17" ht="30">
      <c r="B1" s="1" t="s">
        <v>60</v>
      </c>
      <c r="C1" s="1" t="s">
        <v>61</v>
      </c>
      <c r="D1" s="7" t="s">
        <v>91</v>
      </c>
      <c r="E1" s="1" t="s">
        <v>21</v>
      </c>
      <c r="F1" s="1" t="s">
        <v>20</v>
      </c>
      <c r="G1" s="1" t="s">
        <v>23</v>
      </c>
      <c r="H1" s="1" t="s">
        <v>25</v>
      </c>
      <c r="I1" s="1" t="s">
        <v>94</v>
      </c>
      <c r="J1" s="25" t="s">
        <v>79</v>
      </c>
      <c r="K1" s="23" t="s">
        <v>77</v>
      </c>
      <c r="L1" s="29" t="s">
        <v>104</v>
      </c>
      <c r="M1" s="21" t="s">
        <v>92</v>
      </c>
      <c r="N1" s="1" t="s">
        <v>90</v>
      </c>
      <c r="O1" s="1" t="s">
        <v>88</v>
      </c>
      <c r="P1" s="23" t="s">
        <v>89</v>
      </c>
      <c r="Q1" s="20" t="s">
        <v>103</v>
      </c>
    </row>
    <row r="2" spans="1:17" ht="16">
      <c r="A2" t="s">
        <v>16</v>
      </c>
      <c r="B2" s="20" t="s">
        <v>18</v>
      </c>
      <c r="C2" s="20"/>
      <c r="D2" s="20" t="s">
        <v>78</v>
      </c>
      <c r="E2" s="20" t="s">
        <v>17</v>
      </c>
      <c r="F2" s="20" t="s">
        <v>19</v>
      </c>
      <c r="G2" s="20" t="s">
        <v>22</v>
      </c>
      <c r="H2" s="20" t="s">
        <v>24</v>
      </c>
      <c r="I2" s="20"/>
      <c r="L2" s="24">
        <f t="shared" ref="L2:L33" si="0">MIN(J2,K2)</f>
        <v>0</v>
      </c>
      <c r="M2" s="21"/>
      <c r="N2" s="20"/>
      <c r="O2" s="20"/>
      <c r="Q2" s="15">
        <f t="shared" ref="Q2:Q33" si="1">MIN(P2,O2)</f>
        <v>0</v>
      </c>
    </row>
    <row r="3" spans="1:17">
      <c r="A3" t="s">
        <v>26</v>
      </c>
      <c r="B3" s="4">
        <v>52.316789999999997</v>
      </c>
      <c r="C3" s="4">
        <v>68.534989999999993</v>
      </c>
      <c r="D3" s="2">
        <v>1.2545032030514984</v>
      </c>
      <c r="E3" s="4">
        <f t="shared" ref="E3:E34" si="2">B3/D3</f>
        <v>41.703193640911216</v>
      </c>
      <c r="F3" s="4">
        <f t="shared" ref="F3:F34" si="3">E3*0.5</f>
        <v>20.851596820455608</v>
      </c>
      <c r="G3" s="4">
        <f t="shared" ref="G3:G34" si="4">PI()*F3^2</f>
        <v>1365.9302108882323</v>
      </c>
      <c r="H3" s="4">
        <v>540.54300000000001</v>
      </c>
      <c r="I3" s="18">
        <v>5083.0589090000003</v>
      </c>
      <c r="J3" s="15">
        <v>3850000</v>
      </c>
      <c r="K3" s="24">
        <f t="shared" ref="K3:K34" si="5">G3*H3</f>
        <v>738344.0139841577</v>
      </c>
      <c r="L3" s="24">
        <f t="shared" si="0"/>
        <v>738344.0139841577</v>
      </c>
      <c r="M3" s="21" t="s">
        <v>92</v>
      </c>
      <c r="N3" s="4">
        <f t="shared" ref="N3:N34" si="6">O3/I3</f>
        <v>418.87926898310906</v>
      </c>
      <c r="O3" s="15">
        <v>2129188</v>
      </c>
      <c r="P3" s="24">
        <f t="shared" ref="P3:P34" si="7">G3*N3</f>
        <v>572159.84821880679</v>
      </c>
      <c r="Q3" s="15">
        <f t="shared" si="1"/>
        <v>572159.84821880679</v>
      </c>
    </row>
    <row r="4" spans="1:17">
      <c r="A4" t="s">
        <v>27</v>
      </c>
      <c r="B4" s="4">
        <v>53.198880000000003</v>
      </c>
      <c r="C4" s="4">
        <v>67.562579999999997</v>
      </c>
      <c r="D4" s="2">
        <v>1.3588386571923918</v>
      </c>
      <c r="E4" s="4">
        <f t="shared" si="2"/>
        <v>39.150255049351173</v>
      </c>
      <c r="F4" s="4">
        <f t="shared" si="3"/>
        <v>19.575127524675587</v>
      </c>
      <c r="G4" s="4">
        <f t="shared" si="4"/>
        <v>1203.8131212363983</v>
      </c>
      <c r="H4" s="4">
        <v>741.31619999999998</v>
      </c>
      <c r="I4" s="18">
        <v>823.94448499999999</v>
      </c>
      <c r="J4" s="15">
        <v>960000</v>
      </c>
      <c r="K4" s="24">
        <f t="shared" si="5"/>
        <v>892406.16854510608</v>
      </c>
      <c r="L4" s="24">
        <f t="shared" si="0"/>
        <v>892406.16854510608</v>
      </c>
      <c r="M4" s="21" t="s">
        <v>92</v>
      </c>
      <c r="N4" s="4">
        <f t="shared" si="6"/>
        <v>704.5195526735032</v>
      </c>
      <c r="O4" s="15">
        <v>580485</v>
      </c>
      <c r="P4" s="24">
        <f t="shared" si="7"/>
        <v>848109.88167596096</v>
      </c>
      <c r="Q4" s="15">
        <f t="shared" si="1"/>
        <v>580485</v>
      </c>
    </row>
    <row r="5" spans="1:17">
      <c r="A5" t="s">
        <v>28</v>
      </c>
      <c r="B5" s="4">
        <v>57.562600000000003</v>
      </c>
      <c r="C5" s="4">
        <v>71.377619999999993</v>
      </c>
      <c r="D5" s="2">
        <v>1.2525850225273614</v>
      </c>
      <c r="E5" s="4">
        <f t="shared" si="2"/>
        <v>45.955044140520698</v>
      </c>
      <c r="F5" s="4">
        <f t="shared" si="3"/>
        <v>22.977522070260349</v>
      </c>
      <c r="G5" s="4">
        <f t="shared" si="4"/>
        <v>1658.6557421105542</v>
      </c>
      <c r="H5" s="4">
        <v>1130.18</v>
      </c>
      <c r="I5" s="18">
        <v>1768.260718</v>
      </c>
      <c r="J5" s="15">
        <v>2210000</v>
      </c>
      <c r="K5" s="24">
        <f t="shared" si="5"/>
        <v>1874579.5466185063</v>
      </c>
      <c r="L5" s="24">
        <f t="shared" si="0"/>
        <v>1874579.5466185063</v>
      </c>
      <c r="M5" s="21" t="s">
        <v>92</v>
      </c>
      <c r="N5" s="4">
        <f t="shared" si="6"/>
        <v>601.54251529326802</v>
      </c>
      <c r="O5" s="15">
        <v>1063684</v>
      </c>
      <c r="P5" s="24">
        <f t="shared" si="7"/>
        <v>997751.94711480488</v>
      </c>
      <c r="Q5" s="15">
        <f t="shared" si="1"/>
        <v>997751.94711480488</v>
      </c>
    </row>
    <row r="6" spans="1:17">
      <c r="A6" t="s">
        <v>29</v>
      </c>
      <c r="B6" s="4">
        <v>60.288020000000003</v>
      </c>
      <c r="C6" s="4">
        <v>74.154269999999997</v>
      </c>
      <c r="D6" s="2">
        <v>1.2192840999182406</v>
      </c>
      <c r="E6" s="4">
        <f t="shared" si="2"/>
        <v>49.445424576636924</v>
      </c>
      <c r="F6" s="4">
        <f t="shared" si="3"/>
        <v>24.722712288318462</v>
      </c>
      <c r="G6" s="4">
        <f t="shared" si="4"/>
        <v>1920.1807088645101</v>
      </c>
      <c r="H6" s="4">
        <v>780.12429999999995</v>
      </c>
      <c r="I6" s="18">
        <v>4496.6740900000004</v>
      </c>
      <c r="J6" s="15">
        <v>3940000</v>
      </c>
      <c r="K6" s="24">
        <f t="shared" si="5"/>
        <v>1497979.6313764297</v>
      </c>
      <c r="L6" s="24">
        <f t="shared" si="0"/>
        <v>1497979.6313764297</v>
      </c>
      <c r="M6" s="21" t="s">
        <v>92</v>
      </c>
      <c r="N6" s="4">
        <f t="shared" si="6"/>
        <v>683.91236243674484</v>
      </c>
      <c r="O6" s="15">
        <v>3075331</v>
      </c>
      <c r="P6" s="24">
        <f t="shared" si="7"/>
        <v>1313235.3249049904</v>
      </c>
      <c r="Q6" s="15">
        <f t="shared" si="1"/>
        <v>1313235.3249049904</v>
      </c>
    </row>
    <row r="7" spans="1:17">
      <c r="A7" t="s">
        <v>30</v>
      </c>
      <c r="B7" s="4">
        <v>60.075479999999999</v>
      </c>
      <c r="C7" s="4">
        <v>64.280760000000001</v>
      </c>
      <c r="D7" s="2">
        <v>1.2197720965912831</v>
      </c>
      <c r="E7" s="4">
        <f t="shared" si="2"/>
        <v>49.251397181394843</v>
      </c>
      <c r="F7" s="4">
        <f t="shared" si="3"/>
        <v>24.625698590697422</v>
      </c>
      <c r="G7" s="4">
        <f t="shared" si="4"/>
        <v>1905.1404225935032</v>
      </c>
      <c r="H7" s="4">
        <v>742.24810000000002</v>
      </c>
      <c r="I7" s="18">
        <v>949.73302000000001</v>
      </c>
      <c r="J7" s="15">
        <v>1115000</v>
      </c>
      <c r="K7" s="24">
        <f t="shared" si="5"/>
        <v>1414086.8589032248</v>
      </c>
      <c r="L7" s="24">
        <f t="shared" si="0"/>
        <v>1115000</v>
      </c>
      <c r="M7" s="21" t="s">
        <v>92</v>
      </c>
      <c r="N7" s="4">
        <f t="shared" si="6"/>
        <v>500.80074082293146</v>
      </c>
      <c r="O7" s="15">
        <v>475627</v>
      </c>
      <c r="P7" s="24">
        <f t="shared" si="7"/>
        <v>954095.73500653915</v>
      </c>
      <c r="Q7" s="15">
        <f t="shared" si="1"/>
        <v>475627</v>
      </c>
    </row>
    <row r="8" spans="1:17">
      <c r="A8" t="s">
        <v>31</v>
      </c>
      <c r="B8" s="4">
        <v>54.739370000000001</v>
      </c>
      <c r="C8" s="4">
        <v>66.782039999999995</v>
      </c>
      <c r="D8" s="2">
        <v>1.2324990260921265</v>
      </c>
      <c r="E8" s="4">
        <f t="shared" si="2"/>
        <v>44.413317042173759</v>
      </c>
      <c r="F8" s="4">
        <f t="shared" si="3"/>
        <v>22.206658521086879</v>
      </c>
      <c r="G8" s="4">
        <f t="shared" si="4"/>
        <v>1549.2314379058469</v>
      </c>
      <c r="H8" s="4">
        <v>612.80430000000001</v>
      </c>
      <c r="I8" s="18">
        <v>1126.4161240000001</v>
      </c>
      <c r="J8" s="15">
        <v>865000</v>
      </c>
      <c r="K8" s="24">
        <f t="shared" si="5"/>
        <v>949375.68684388592</v>
      </c>
      <c r="L8" s="24">
        <f t="shared" si="0"/>
        <v>865000</v>
      </c>
      <c r="M8" s="21" t="s">
        <v>92</v>
      </c>
      <c r="N8" s="4">
        <f t="shared" si="6"/>
        <v>720.43269153345318</v>
      </c>
      <c r="O8" s="15">
        <v>811507</v>
      </c>
      <c r="P8" s="24">
        <f t="shared" si="7"/>
        <v>1116116.9746187511</v>
      </c>
      <c r="Q8" s="15">
        <f t="shared" si="1"/>
        <v>811507</v>
      </c>
    </row>
    <row r="9" spans="1:17">
      <c r="A9" t="s">
        <v>32</v>
      </c>
      <c r="B9" s="4">
        <v>47.502769999999998</v>
      </c>
      <c r="C9" s="4">
        <v>64.128739999999993</v>
      </c>
      <c r="D9" s="2">
        <v>1.2285083022797185</v>
      </c>
      <c r="E9" s="4">
        <f t="shared" si="2"/>
        <v>38.667032133075573</v>
      </c>
      <c r="F9" s="4">
        <f t="shared" si="3"/>
        <v>19.333516066537786</v>
      </c>
      <c r="G9" s="4">
        <f t="shared" si="4"/>
        <v>1174.2797183473374</v>
      </c>
      <c r="H9" s="4">
        <v>1111.92</v>
      </c>
      <c r="I9" s="18">
        <v>5498.0569649999998</v>
      </c>
      <c r="J9" s="15">
        <v>8150000</v>
      </c>
      <c r="K9" s="24">
        <f t="shared" si="5"/>
        <v>1305705.1044247714</v>
      </c>
      <c r="L9" s="24">
        <f t="shared" si="0"/>
        <v>1305705.1044247714</v>
      </c>
      <c r="M9" s="21" t="s">
        <v>92</v>
      </c>
      <c r="N9" s="4">
        <f t="shared" si="6"/>
        <v>762.04903417183857</v>
      </c>
      <c r="O9" s="15">
        <f>3915405+225650+48734</f>
        <v>4189789</v>
      </c>
      <c r="P9" s="24">
        <f t="shared" si="7"/>
        <v>894858.72521416703</v>
      </c>
      <c r="Q9" s="15">
        <f t="shared" si="1"/>
        <v>894858.72521416703</v>
      </c>
    </row>
    <row r="10" spans="1:17">
      <c r="A10" t="s">
        <v>33</v>
      </c>
      <c r="B10" s="4">
        <v>59.701340000000002</v>
      </c>
      <c r="C10" s="4">
        <v>70.447580000000002</v>
      </c>
      <c r="D10" s="2">
        <v>1.3292592058969801</v>
      </c>
      <c r="E10" s="4">
        <f t="shared" si="2"/>
        <v>44.913241702707424</v>
      </c>
      <c r="F10" s="4">
        <f t="shared" si="3"/>
        <v>22.456620851353712</v>
      </c>
      <c r="G10" s="4">
        <f t="shared" si="4"/>
        <v>1584.3046099117196</v>
      </c>
      <c r="H10" s="4">
        <v>725.11869999999999</v>
      </c>
      <c r="I10" s="18">
        <v>1739.864863</v>
      </c>
      <c r="J10" s="15">
        <v>1540000</v>
      </c>
      <c r="K10" s="24">
        <f t="shared" si="5"/>
        <v>1148808.8991431931</v>
      </c>
      <c r="L10" s="24">
        <f t="shared" si="0"/>
        <v>1148808.8991431931</v>
      </c>
      <c r="M10" s="21" t="s">
        <v>92</v>
      </c>
      <c r="N10" s="4">
        <f t="shared" si="6"/>
        <v>537.37104523617245</v>
      </c>
      <c r="O10" s="15">
        <f>820201+114752</f>
        <v>934953</v>
      </c>
      <c r="P10" s="24">
        <f t="shared" si="7"/>
        <v>851359.42420074716</v>
      </c>
      <c r="Q10" s="15">
        <f t="shared" si="1"/>
        <v>851359.42420074716</v>
      </c>
    </row>
    <row r="11" spans="1:17">
      <c r="A11" t="s">
        <v>34</v>
      </c>
      <c r="B11" s="4">
        <v>62.775539999999999</v>
      </c>
      <c r="C11" s="4">
        <v>69.053089999999997</v>
      </c>
      <c r="D11" s="2">
        <v>1.1958825048225283</v>
      </c>
      <c r="E11" s="4">
        <f t="shared" si="2"/>
        <v>52.493066623895487</v>
      </c>
      <c r="F11" s="4">
        <f t="shared" si="3"/>
        <v>26.246533311947744</v>
      </c>
      <c r="G11" s="4">
        <f t="shared" si="4"/>
        <v>2164.1819522294891</v>
      </c>
      <c r="H11" s="4">
        <v>820.46699999999998</v>
      </c>
      <c r="I11" s="18">
        <v>1675.7263399999999</v>
      </c>
      <c r="J11" s="15">
        <v>1785000</v>
      </c>
      <c r="K11" s="24">
        <f t="shared" si="5"/>
        <v>1775639.8737998721</v>
      </c>
      <c r="L11" s="24">
        <f t="shared" si="0"/>
        <v>1775639.8737998721</v>
      </c>
      <c r="M11" s="21" t="s">
        <v>92</v>
      </c>
      <c r="N11" s="4">
        <f t="shared" si="6"/>
        <v>643.10978127848728</v>
      </c>
      <c r="O11" s="15">
        <v>1077676</v>
      </c>
      <c r="P11" s="24">
        <f t="shared" si="7"/>
        <v>1391806.5819451562</v>
      </c>
      <c r="Q11" s="15">
        <f t="shared" si="1"/>
        <v>1077676</v>
      </c>
    </row>
    <row r="12" spans="1:17">
      <c r="A12" t="s">
        <v>35</v>
      </c>
      <c r="B12" s="4">
        <v>60.796750000000003</v>
      </c>
      <c r="C12" s="4">
        <v>71.132189999999994</v>
      </c>
      <c r="D12" s="2">
        <v>1.2517998202968643</v>
      </c>
      <c r="E12" s="4">
        <f t="shared" si="2"/>
        <v>48.567469825632386</v>
      </c>
      <c r="F12" s="4">
        <f t="shared" si="3"/>
        <v>24.283734912816193</v>
      </c>
      <c r="G12" s="4">
        <f t="shared" si="4"/>
        <v>1852.5965008056273</v>
      </c>
      <c r="H12" s="4">
        <v>793.07470000000001</v>
      </c>
      <c r="I12" s="18">
        <v>1030.0578399999999</v>
      </c>
      <c r="J12" s="15">
        <v>1140000</v>
      </c>
      <c r="K12" s="24">
        <f t="shared" si="5"/>
        <v>1469247.4140974726</v>
      </c>
      <c r="L12" s="24">
        <f t="shared" si="0"/>
        <v>1140000</v>
      </c>
      <c r="M12" s="21" t="s">
        <v>92</v>
      </c>
      <c r="N12" s="4">
        <f t="shared" si="6"/>
        <v>750.9364716839591</v>
      </c>
      <c r="O12" s="15">
        <v>773508</v>
      </c>
      <c r="P12" s="24">
        <f t="shared" si="7"/>
        <v>1391182.2797690267</v>
      </c>
      <c r="Q12" s="15">
        <f t="shared" si="1"/>
        <v>773508</v>
      </c>
    </row>
    <row r="13" spans="1:17">
      <c r="A13" t="s">
        <v>62</v>
      </c>
      <c r="B13" s="4">
        <v>56.964039999999997</v>
      </c>
      <c r="C13" s="4">
        <v>70.065770000000001</v>
      </c>
      <c r="D13" s="2">
        <v>1.2688044572054789</v>
      </c>
      <c r="E13" s="4">
        <f t="shared" si="2"/>
        <v>44.895838500963627</v>
      </c>
      <c r="F13" s="4">
        <f t="shared" si="3"/>
        <v>22.447919250481814</v>
      </c>
      <c r="G13" s="4">
        <f t="shared" si="4"/>
        <v>1583.0770596462</v>
      </c>
      <c r="H13" s="4">
        <v>831.13570000000004</v>
      </c>
      <c r="I13" s="18">
        <v>3644.2179059999999</v>
      </c>
      <c r="J13" s="15">
        <v>4090000</v>
      </c>
      <c r="K13" s="24">
        <f t="shared" si="5"/>
        <v>1315751.8601229864</v>
      </c>
      <c r="L13" s="24">
        <f t="shared" si="0"/>
        <v>1315751.8601229864</v>
      </c>
      <c r="M13" s="21" t="s">
        <v>92</v>
      </c>
      <c r="N13" s="4">
        <f t="shared" si="6"/>
        <v>713.75616582023349</v>
      </c>
      <c r="O13" s="15">
        <f>1915132+685951</f>
        <v>2601083</v>
      </c>
      <c r="P13" s="24">
        <f t="shared" si="7"/>
        <v>1129931.0122910407</v>
      </c>
      <c r="Q13" s="15">
        <f t="shared" si="1"/>
        <v>1129931.0122910407</v>
      </c>
    </row>
    <row r="14" spans="1:17">
      <c r="A14" t="s">
        <v>36</v>
      </c>
      <c r="B14" s="4">
        <v>50.872790000000002</v>
      </c>
      <c r="C14" s="4">
        <v>67.152079999999998</v>
      </c>
      <c r="D14" s="2">
        <v>1.3463143949767653</v>
      </c>
      <c r="E14" s="4">
        <f t="shared" si="2"/>
        <v>37.786708802796369</v>
      </c>
      <c r="F14" s="4">
        <f t="shared" si="3"/>
        <v>18.893354401398184</v>
      </c>
      <c r="G14" s="4">
        <f t="shared" si="4"/>
        <v>1121.4192710644425</v>
      </c>
      <c r="H14" s="4">
        <v>919.83150000000001</v>
      </c>
      <c r="I14" s="18">
        <v>1291.9059970000001</v>
      </c>
      <c r="J14" s="15">
        <v>2025000</v>
      </c>
      <c r="K14" s="24">
        <f t="shared" si="5"/>
        <v>1031516.7702321127</v>
      </c>
      <c r="L14" s="24">
        <f t="shared" si="0"/>
        <v>1031516.7702321127</v>
      </c>
      <c r="M14" s="21" t="s">
        <v>92</v>
      </c>
      <c r="N14" s="4">
        <f t="shared" si="6"/>
        <v>836.3681277965303</v>
      </c>
      <c r="O14" s="15">
        <v>1080509</v>
      </c>
      <c r="P14" s="24">
        <f t="shared" si="7"/>
        <v>937919.33621511748</v>
      </c>
      <c r="Q14" s="15">
        <f t="shared" si="1"/>
        <v>937919.33621511748</v>
      </c>
    </row>
    <row r="15" spans="1:17">
      <c r="A15" t="s">
        <v>37</v>
      </c>
      <c r="B15" s="4">
        <v>50.514110000000002</v>
      </c>
      <c r="C15" s="4">
        <v>65.163210000000007</v>
      </c>
      <c r="D15" s="2">
        <v>1.2231188399031905</v>
      </c>
      <c r="E15" s="4">
        <f t="shared" si="2"/>
        <v>41.299429255785299</v>
      </c>
      <c r="F15" s="4">
        <f t="shared" si="3"/>
        <v>20.649714627892649</v>
      </c>
      <c r="G15" s="4">
        <f t="shared" si="4"/>
        <v>1339.6087671848056</v>
      </c>
      <c r="H15" s="4">
        <v>1127.53</v>
      </c>
      <c r="I15" s="18">
        <v>3267.1408769999998</v>
      </c>
      <c r="J15" s="15">
        <v>4030000</v>
      </c>
      <c r="K15" s="24">
        <f t="shared" si="5"/>
        <v>1510449.0732638838</v>
      </c>
      <c r="L15" s="24">
        <f t="shared" si="0"/>
        <v>1510449.0732638838</v>
      </c>
      <c r="M15" s="21" t="s">
        <v>92</v>
      </c>
      <c r="N15" s="4">
        <f t="shared" si="6"/>
        <v>597.85239557639068</v>
      </c>
      <c r="O15" s="15">
        <v>1953268</v>
      </c>
      <c r="P15" s="24">
        <f t="shared" si="7"/>
        <v>800888.31059657142</v>
      </c>
      <c r="Q15" s="15">
        <f t="shared" si="1"/>
        <v>800888.31059657142</v>
      </c>
    </row>
    <row r="16" spans="1:17">
      <c r="A16" t="s">
        <v>80</v>
      </c>
      <c r="B16" s="6">
        <v>56.839145642340362</v>
      </c>
      <c r="C16" s="6">
        <v>63.091451662997805</v>
      </c>
      <c r="D16" s="2">
        <v>1.2876333382733918</v>
      </c>
      <c r="E16" s="4">
        <f t="shared" si="2"/>
        <v>44.142337692620544</v>
      </c>
      <c r="F16" s="4">
        <f t="shared" si="3"/>
        <v>22.071168846310272</v>
      </c>
      <c r="G16" s="4">
        <f t="shared" si="4"/>
        <v>1530.3844316072127</v>
      </c>
      <c r="H16" s="4">
        <v>1048.9459499999998</v>
      </c>
      <c r="I16" s="18">
        <v>666.54415200000005</v>
      </c>
      <c r="J16" s="15">
        <v>555000</v>
      </c>
      <c r="K16" s="24">
        <f t="shared" si="5"/>
        <v>1605290.5514774374</v>
      </c>
      <c r="L16" s="24">
        <f t="shared" si="0"/>
        <v>555000</v>
      </c>
      <c r="M16" s="21" t="s">
        <v>92</v>
      </c>
      <c r="N16" s="4">
        <f t="shared" si="6"/>
        <v>796.59389165265668</v>
      </c>
      <c r="O16" s="15">
        <v>530965</v>
      </c>
      <c r="P16" s="24">
        <f t="shared" si="7"/>
        <v>1219094.8900986286</v>
      </c>
      <c r="Q16" s="15">
        <f t="shared" si="1"/>
        <v>530965</v>
      </c>
    </row>
    <row r="17" spans="1:17">
      <c r="A17" t="s">
        <v>58</v>
      </c>
      <c r="B17" s="4">
        <v>54.516030000000001</v>
      </c>
      <c r="C17" s="4">
        <v>64.328909999999993</v>
      </c>
      <c r="D17" s="2">
        <v>1.314972166684313</v>
      </c>
      <c r="E17" s="4">
        <f t="shared" si="2"/>
        <v>41.457934533672706</v>
      </c>
      <c r="F17" s="4">
        <f t="shared" si="3"/>
        <v>20.728967266836353</v>
      </c>
      <c r="G17" s="4">
        <f t="shared" si="4"/>
        <v>1349.9112110563599</v>
      </c>
      <c r="H17" s="4">
        <v>595.8125</v>
      </c>
      <c r="I17" s="5">
        <v>1364.4098799999999</v>
      </c>
      <c r="J17" s="15">
        <v>1520000</v>
      </c>
      <c r="K17" s="24">
        <f t="shared" si="5"/>
        <v>804293.97343751742</v>
      </c>
      <c r="L17" s="24">
        <f t="shared" si="0"/>
        <v>804293.97343751742</v>
      </c>
      <c r="M17" s="21" t="s">
        <v>92</v>
      </c>
      <c r="N17" s="4">
        <f t="shared" si="6"/>
        <v>420.42644839247282</v>
      </c>
      <c r="O17" s="15">
        <v>573634</v>
      </c>
      <c r="P17" s="24">
        <f t="shared" si="7"/>
        <v>567538.37610960717</v>
      </c>
      <c r="Q17" s="15">
        <f t="shared" si="1"/>
        <v>567538.37610960717</v>
      </c>
    </row>
    <row r="18" spans="1:17">
      <c r="A18" t="s">
        <v>38</v>
      </c>
      <c r="B18" s="4">
        <v>68.568569999999994</v>
      </c>
      <c r="C18" s="4">
        <v>75.425430000000006</v>
      </c>
      <c r="D18" s="2">
        <v>1.3186049657057692</v>
      </c>
      <c r="E18" s="4">
        <f t="shared" si="2"/>
        <v>52.000843151155131</v>
      </c>
      <c r="F18" s="4">
        <f t="shared" si="3"/>
        <v>26.000421575577565</v>
      </c>
      <c r="G18" s="4">
        <f t="shared" si="4"/>
        <v>2123.785504159388</v>
      </c>
      <c r="H18" s="4">
        <v>616.34659999999997</v>
      </c>
      <c r="I18" s="5">
        <v>1215.591516</v>
      </c>
      <c r="J18" s="15">
        <v>870000</v>
      </c>
      <c r="K18" s="24">
        <f t="shared" si="5"/>
        <v>1308987.9746179245</v>
      </c>
      <c r="L18" s="24">
        <f t="shared" si="0"/>
        <v>870000</v>
      </c>
      <c r="M18" s="21" t="s">
        <v>92</v>
      </c>
      <c r="N18" s="4">
        <f t="shared" si="6"/>
        <v>467.19723897776862</v>
      </c>
      <c r="O18" s="15">
        <v>567921</v>
      </c>
      <c r="P18" s="24">
        <f t="shared" si="7"/>
        <v>992226.72372427443</v>
      </c>
      <c r="Q18" s="15">
        <f t="shared" si="1"/>
        <v>567921</v>
      </c>
    </row>
    <row r="19" spans="1:17">
      <c r="A19" t="s">
        <v>81</v>
      </c>
      <c r="B19" s="4">
        <v>58.403202946946948</v>
      </c>
      <c r="C19" s="4">
        <v>68.915779477397393</v>
      </c>
      <c r="D19" s="2">
        <v>1.5656730917026238</v>
      </c>
      <c r="E19" s="4">
        <f t="shared" si="2"/>
        <v>37.30229717586522</v>
      </c>
      <c r="F19" s="4">
        <f t="shared" si="3"/>
        <v>18.65114858793261</v>
      </c>
      <c r="G19" s="4">
        <f t="shared" si="4"/>
        <v>1092.8512080466289</v>
      </c>
      <c r="H19" s="4">
        <v>1930.5093842061167</v>
      </c>
      <c r="I19" s="5">
        <v>399.17985599999997</v>
      </c>
      <c r="J19" s="15">
        <v>700000</v>
      </c>
      <c r="K19" s="24">
        <f t="shared" si="5"/>
        <v>2109759.5126750083</v>
      </c>
      <c r="L19" s="24">
        <f t="shared" si="0"/>
        <v>700000</v>
      </c>
      <c r="M19" s="21" t="s">
        <v>92</v>
      </c>
      <c r="N19" s="4">
        <f t="shared" si="6"/>
        <v>802.79852598574018</v>
      </c>
      <c r="O19" s="15">
        <v>320461</v>
      </c>
      <c r="P19" s="24">
        <f t="shared" si="7"/>
        <v>877339.33894156921</v>
      </c>
      <c r="Q19" s="15">
        <f t="shared" si="1"/>
        <v>320461</v>
      </c>
    </row>
    <row r="20" spans="1:17">
      <c r="A20" t="s">
        <v>39</v>
      </c>
      <c r="B20" s="4">
        <v>53.767299999999999</v>
      </c>
      <c r="C20" s="4">
        <v>68.822140000000005</v>
      </c>
      <c r="D20" s="2">
        <v>1.3120577300131484</v>
      </c>
      <c r="E20" s="4">
        <f t="shared" si="2"/>
        <v>40.979370625301058</v>
      </c>
      <c r="F20" s="4">
        <f t="shared" si="3"/>
        <v>20.489685312650529</v>
      </c>
      <c r="G20" s="4">
        <f t="shared" si="4"/>
        <v>1318.9260605278232</v>
      </c>
      <c r="H20" s="4">
        <v>778.63930000000005</v>
      </c>
      <c r="I20" s="5">
        <v>3354.7213320000001</v>
      </c>
      <c r="J20" s="15">
        <v>3630000</v>
      </c>
      <c r="K20" s="24">
        <f t="shared" si="5"/>
        <v>1026967.6645211419</v>
      </c>
      <c r="L20" s="24">
        <f t="shared" si="0"/>
        <v>1026967.6645211419</v>
      </c>
      <c r="M20" s="21" t="s">
        <v>92</v>
      </c>
      <c r="N20" s="4">
        <f t="shared" si="6"/>
        <v>557.65585718104592</v>
      </c>
      <c r="O20" s="15">
        <v>1870780</v>
      </c>
      <c r="P20" s="24">
        <f t="shared" si="7"/>
        <v>735506.84284206328</v>
      </c>
      <c r="Q20" s="15">
        <f t="shared" si="1"/>
        <v>735506.84284206328</v>
      </c>
    </row>
    <row r="21" spans="1:17">
      <c r="A21" t="s">
        <v>40</v>
      </c>
      <c r="B21" s="4">
        <v>53.336190000000002</v>
      </c>
      <c r="C21" s="4">
        <v>65.070160000000001</v>
      </c>
      <c r="D21" s="2">
        <v>1.2553195423470496</v>
      </c>
      <c r="E21" s="4">
        <f t="shared" si="2"/>
        <v>42.488138040357626</v>
      </c>
      <c r="F21" s="4">
        <f t="shared" si="3"/>
        <v>21.244069020178813</v>
      </c>
      <c r="G21" s="4">
        <f t="shared" si="4"/>
        <v>1417.8336524349627</v>
      </c>
      <c r="H21" s="4">
        <v>795.37049999999999</v>
      </c>
      <c r="I21" s="5">
        <v>1432.0576000000001</v>
      </c>
      <c r="J21" s="15">
        <v>1030000</v>
      </c>
      <c r="K21" s="24">
        <f t="shared" si="5"/>
        <v>1127703.0610540225</v>
      </c>
      <c r="L21" s="24">
        <f t="shared" si="0"/>
        <v>1030000</v>
      </c>
      <c r="M21" s="21" t="s">
        <v>92</v>
      </c>
      <c r="N21" s="4">
        <f t="shared" si="6"/>
        <v>568.03930232973869</v>
      </c>
      <c r="O21" s="15">
        <v>813465</v>
      </c>
      <c r="P21" s="24">
        <f t="shared" si="7"/>
        <v>805385.23874878138</v>
      </c>
      <c r="Q21" s="15">
        <f t="shared" si="1"/>
        <v>805385.23874878138</v>
      </c>
    </row>
    <row r="22" spans="1:17" ht="16">
      <c r="A22" t="s">
        <v>73</v>
      </c>
      <c r="B22" s="4">
        <v>57.819749999999999</v>
      </c>
      <c r="C22" s="4">
        <v>71.696479999999994</v>
      </c>
      <c r="D22" s="2">
        <v>1.3322187706081068</v>
      </c>
      <c r="E22" s="4">
        <f t="shared" si="2"/>
        <v>43.401092429892351</v>
      </c>
      <c r="F22" s="4">
        <f t="shared" si="3"/>
        <v>21.700546214946176</v>
      </c>
      <c r="G22" s="4">
        <f t="shared" si="4"/>
        <v>1479.4190393292131</v>
      </c>
      <c r="H22" s="4">
        <v>1048.9110000000001</v>
      </c>
      <c r="I22" s="5">
        <v>1136.422783</v>
      </c>
      <c r="J22" s="15">
        <v>1630000</v>
      </c>
      <c r="K22" s="24">
        <f t="shared" si="5"/>
        <v>1551778.9039618443</v>
      </c>
      <c r="L22" s="24">
        <f t="shared" si="0"/>
        <v>1551778.9039618443</v>
      </c>
      <c r="M22" s="21" t="s">
        <v>92</v>
      </c>
      <c r="N22" s="4">
        <f t="shared" si="6"/>
        <v>772.15541005217597</v>
      </c>
      <c r="O22" s="15">
        <v>877495</v>
      </c>
      <c r="P22" s="24">
        <f t="shared" si="7"/>
        <v>1142341.4149522448</v>
      </c>
      <c r="Q22" s="15">
        <f t="shared" si="1"/>
        <v>877495</v>
      </c>
    </row>
    <row r="23" spans="1:17">
      <c r="A23" t="s">
        <v>41</v>
      </c>
      <c r="B23" s="4">
        <v>54.3979</v>
      </c>
      <c r="C23" s="4">
        <v>63.645539999999997</v>
      </c>
      <c r="D23" s="2">
        <v>1.367147891752108</v>
      </c>
      <c r="E23" s="4">
        <f t="shared" si="2"/>
        <v>39.789331006673166</v>
      </c>
      <c r="F23" s="4">
        <f t="shared" si="3"/>
        <v>19.894665503336583</v>
      </c>
      <c r="G23" s="4">
        <f t="shared" si="4"/>
        <v>1243.4351952899096</v>
      </c>
      <c r="H23" s="4">
        <v>464.36610000000002</v>
      </c>
      <c r="I23" s="18">
        <v>1063.231603</v>
      </c>
      <c r="J23" s="15">
        <v>890000</v>
      </c>
      <c r="K23" s="24">
        <f t="shared" si="5"/>
        <v>577409.1522395137</v>
      </c>
      <c r="L23" s="24">
        <f t="shared" si="0"/>
        <v>577409.1522395137</v>
      </c>
      <c r="M23" s="21" t="s">
        <v>92</v>
      </c>
      <c r="N23" s="4">
        <f t="shared" si="6"/>
        <v>467.6516373262844</v>
      </c>
      <c r="O23" s="15">
        <v>497222</v>
      </c>
      <c r="P23" s="24">
        <f t="shared" si="7"/>
        <v>581494.5049864545</v>
      </c>
      <c r="Q23" s="15">
        <f t="shared" si="1"/>
        <v>497222</v>
      </c>
    </row>
    <row r="24" spans="1:17">
      <c r="A24" t="s">
        <v>75</v>
      </c>
      <c r="B24" s="4">
        <v>63.341059999999999</v>
      </c>
      <c r="C24" s="4">
        <v>69.041749999999993</v>
      </c>
      <c r="D24" s="2">
        <v>1.3058059031530165</v>
      </c>
      <c r="E24" s="4">
        <f t="shared" si="2"/>
        <v>48.507255057628264</v>
      </c>
      <c r="F24" s="4">
        <f t="shared" si="3"/>
        <v>24.253627528814132</v>
      </c>
      <c r="G24" s="4">
        <f t="shared" si="4"/>
        <v>1848.0055877586046</v>
      </c>
      <c r="H24" s="4">
        <v>534.17049999999995</v>
      </c>
      <c r="I24" s="5">
        <v>1513.6270480000001</v>
      </c>
      <c r="J24" s="15">
        <v>1425000</v>
      </c>
      <c r="K24" s="24">
        <f t="shared" si="5"/>
        <v>987150.06881580758</v>
      </c>
      <c r="L24" s="24">
        <f t="shared" si="0"/>
        <v>987150.06881580758</v>
      </c>
      <c r="M24" s="21" t="s">
        <v>92</v>
      </c>
      <c r="N24" s="4">
        <f t="shared" si="6"/>
        <v>588.92446536143029</v>
      </c>
      <c r="O24" s="15">
        <v>891412</v>
      </c>
      <c r="P24" s="24">
        <f t="shared" si="7"/>
        <v>1088335.7027556719</v>
      </c>
      <c r="Q24" s="15">
        <f t="shared" si="1"/>
        <v>891412</v>
      </c>
    </row>
    <row r="25" spans="1:17">
      <c r="A25" t="s">
        <v>63</v>
      </c>
      <c r="B25" s="4">
        <v>50.764740000000003</v>
      </c>
      <c r="C25" s="4">
        <v>64.471209999999999</v>
      </c>
      <c r="D25" s="2">
        <v>1.3395992902648739</v>
      </c>
      <c r="E25" s="4">
        <f t="shared" si="2"/>
        <v>37.895466479354795</v>
      </c>
      <c r="F25" s="4">
        <f t="shared" si="3"/>
        <v>18.947733239677397</v>
      </c>
      <c r="G25" s="4">
        <f t="shared" si="4"/>
        <v>1127.8838971237014</v>
      </c>
      <c r="H25" s="4">
        <v>1701.4670000000001</v>
      </c>
      <c r="I25" s="5">
        <v>740.49811399999999</v>
      </c>
      <c r="J25" s="15">
        <v>1300000</v>
      </c>
      <c r="K25" s="24">
        <f t="shared" si="5"/>
        <v>1919057.2307873731</v>
      </c>
      <c r="L25" s="24">
        <f t="shared" si="0"/>
        <v>1300000</v>
      </c>
      <c r="M25" s="21" t="s">
        <v>92</v>
      </c>
      <c r="N25" s="4">
        <f t="shared" si="6"/>
        <v>934.33728853494426</v>
      </c>
      <c r="O25" s="15">
        <v>691875</v>
      </c>
      <c r="P25" s="24">
        <f t="shared" si="7"/>
        <v>1053823.9822207852</v>
      </c>
      <c r="Q25" s="15">
        <f t="shared" si="1"/>
        <v>691875</v>
      </c>
    </row>
    <row r="26" spans="1:17">
      <c r="A26" t="s">
        <v>64</v>
      </c>
      <c r="B26" s="4">
        <v>47.966560000000001</v>
      </c>
      <c r="C26" s="4">
        <v>70.990499999999997</v>
      </c>
      <c r="D26" s="2">
        <v>1.3322187706081068</v>
      </c>
      <c r="E26" s="4">
        <f t="shared" si="2"/>
        <v>36.00501738772612</v>
      </c>
      <c r="F26" s="4">
        <f t="shared" si="3"/>
        <v>18.00250869386306</v>
      </c>
      <c r="G26" s="4">
        <f t="shared" si="4"/>
        <v>1018.1597661264179</v>
      </c>
      <c r="H26" s="4">
        <v>2155.5929999999998</v>
      </c>
      <c r="I26" s="18">
        <v>4319.9303110000001</v>
      </c>
      <c r="J26" s="15">
        <v>12450000</v>
      </c>
      <c r="K26" s="24">
        <f t="shared" si="5"/>
        <v>2194738.0647437433</v>
      </c>
      <c r="L26" s="24">
        <f t="shared" si="0"/>
        <v>2194738.0647437433</v>
      </c>
      <c r="M26" s="21" t="s">
        <v>92</v>
      </c>
      <c r="N26" s="4">
        <f t="shared" si="6"/>
        <v>1226.6024260871461</v>
      </c>
      <c r="O26" s="15">
        <f>3889686+1409151</f>
        <v>5298837</v>
      </c>
      <c r="P26" s="24">
        <f t="shared" si="7"/>
        <v>1248877.2392749856</v>
      </c>
      <c r="Q26" s="15">
        <f t="shared" si="1"/>
        <v>1248877.2392749856</v>
      </c>
    </row>
    <row r="27" spans="1:17">
      <c r="A27" t="s">
        <v>42</v>
      </c>
      <c r="B27" s="4">
        <v>57.963749999999997</v>
      </c>
      <c r="C27" s="4">
        <v>68.976879999999994</v>
      </c>
      <c r="D27" s="2">
        <v>1.3589321966589822</v>
      </c>
      <c r="E27" s="4">
        <f t="shared" si="2"/>
        <v>42.65389409604645</v>
      </c>
      <c r="F27" s="4">
        <f t="shared" si="3"/>
        <v>21.326947048023225</v>
      </c>
      <c r="G27" s="4">
        <f t="shared" si="4"/>
        <v>1428.9178254632179</v>
      </c>
      <c r="H27" s="4">
        <v>763.32839999999999</v>
      </c>
      <c r="I27" s="5">
        <v>1013.455139</v>
      </c>
      <c r="J27" s="15">
        <v>860000</v>
      </c>
      <c r="K27" s="24">
        <f t="shared" si="5"/>
        <v>1090733.5574423175</v>
      </c>
      <c r="L27" s="24">
        <f t="shared" si="0"/>
        <v>860000</v>
      </c>
      <c r="M27" s="21" t="s">
        <v>92</v>
      </c>
      <c r="N27" s="4">
        <f t="shared" si="6"/>
        <v>509.17497987051996</v>
      </c>
      <c r="O27" s="15">
        <v>516026</v>
      </c>
      <c r="P27" s="24">
        <f t="shared" si="7"/>
        <v>727569.20501686109</v>
      </c>
      <c r="Q27" s="15">
        <f t="shared" si="1"/>
        <v>516026</v>
      </c>
    </row>
    <row r="28" spans="1:17">
      <c r="A28" t="s">
        <v>43</v>
      </c>
      <c r="B28" s="4">
        <v>57.321390000000001</v>
      </c>
      <c r="C28" s="4">
        <v>64.773169999999993</v>
      </c>
      <c r="D28" s="2">
        <v>1.3251323609388206</v>
      </c>
      <c r="E28" s="4">
        <f t="shared" si="2"/>
        <v>43.257105244482403</v>
      </c>
      <c r="F28" s="4">
        <f t="shared" si="3"/>
        <v>21.628552622241202</v>
      </c>
      <c r="G28" s="4">
        <f t="shared" si="4"/>
        <v>1469.6191002467151</v>
      </c>
      <c r="H28" s="4">
        <v>772.20429999999999</v>
      </c>
      <c r="I28" s="5">
        <v>1035.5225359999999</v>
      </c>
      <c r="J28" s="15">
        <v>980000</v>
      </c>
      <c r="K28" s="24">
        <f t="shared" si="5"/>
        <v>1134846.1885726445</v>
      </c>
      <c r="L28" s="24">
        <f t="shared" si="0"/>
        <v>980000</v>
      </c>
      <c r="M28" s="21" t="s">
        <v>92</v>
      </c>
      <c r="N28" s="4">
        <f t="shared" si="6"/>
        <v>519.02878142673273</v>
      </c>
      <c r="O28" s="15">
        <v>537466</v>
      </c>
      <c r="P28" s="24">
        <f t="shared" si="7"/>
        <v>762774.61076250393</v>
      </c>
      <c r="Q28" s="15">
        <f t="shared" si="1"/>
        <v>537466</v>
      </c>
    </row>
    <row r="29" spans="1:17">
      <c r="A29" t="s">
        <v>44</v>
      </c>
      <c r="B29" s="4">
        <v>57.256279999999997</v>
      </c>
      <c r="C29" s="4">
        <v>65.844710000000006</v>
      </c>
      <c r="D29" s="2">
        <v>1.214710869220379</v>
      </c>
      <c r="E29" s="4">
        <f t="shared" si="2"/>
        <v>47.135727069560183</v>
      </c>
      <c r="F29" s="4">
        <f t="shared" si="3"/>
        <v>23.567863534780091</v>
      </c>
      <c r="G29" s="4">
        <f t="shared" si="4"/>
        <v>1744.979391790886</v>
      </c>
      <c r="H29" s="4">
        <v>931.97069999999997</v>
      </c>
      <c r="I29" s="5">
        <v>1261.4411789999999</v>
      </c>
      <c r="J29" s="15">
        <v>1400000</v>
      </c>
      <c r="K29" s="24">
        <f t="shared" si="5"/>
        <v>1626269.6652529263</v>
      </c>
      <c r="L29" s="24">
        <f t="shared" si="0"/>
        <v>1400000</v>
      </c>
      <c r="M29" s="21" t="s">
        <v>92</v>
      </c>
      <c r="N29" s="4">
        <f t="shared" si="6"/>
        <v>619.65949186759508</v>
      </c>
      <c r="O29" s="15">
        <v>781664</v>
      </c>
      <c r="P29" s="24">
        <f t="shared" si="7"/>
        <v>1081293.0432365655</v>
      </c>
      <c r="Q29" s="15">
        <f t="shared" si="1"/>
        <v>781664</v>
      </c>
    </row>
    <row r="30" spans="1:17">
      <c r="A30" t="s">
        <v>45</v>
      </c>
      <c r="B30" s="4">
        <v>55.30265</v>
      </c>
      <c r="C30" s="4">
        <v>69.681340000000006</v>
      </c>
      <c r="D30" s="2">
        <v>1.2298334736957186</v>
      </c>
      <c r="E30" s="4">
        <f t="shared" si="2"/>
        <v>44.967592103191365</v>
      </c>
      <c r="F30" s="4">
        <f t="shared" si="3"/>
        <v>22.483796051595682</v>
      </c>
      <c r="G30" s="4">
        <f t="shared" si="4"/>
        <v>1588.1413265243796</v>
      </c>
      <c r="H30" s="4">
        <v>756.63570000000004</v>
      </c>
      <c r="I30" s="5">
        <v>2316.0155599999998</v>
      </c>
      <c r="J30" s="15">
        <v>2430000</v>
      </c>
      <c r="K30" s="24">
        <f t="shared" si="5"/>
        <v>1201644.4242937025</v>
      </c>
      <c r="L30" s="24">
        <f t="shared" si="0"/>
        <v>1201644.4242937025</v>
      </c>
      <c r="M30" s="21" t="s">
        <v>92</v>
      </c>
      <c r="N30" s="4">
        <f t="shared" si="6"/>
        <v>709.14808534360634</v>
      </c>
      <c r="O30" s="15">
        <v>1642398</v>
      </c>
      <c r="P30" s="24">
        <f t="shared" si="7"/>
        <v>1126227.3809598188</v>
      </c>
      <c r="Q30" s="15">
        <f t="shared" si="1"/>
        <v>1126227.3809598188</v>
      </c>
    </row>
    <row r="31" spans="1:17">
      <c r="A31" t="s">
        <v>46</v>
      </c>
      <c r="B31" s="4">
        <v>60.804580000000001</v>
      </c>
      <c r="C31" s="4">
        <v>70.533320000000003</v>
      </c>
      <c r="D31" s="2">
        <v>1.3726075001048517</v>
      </c>
      <c r="E31" s="4">
        <f t="shared" si="2"/>
        <v>44.298592274452254</v>
      </c>
      <c r="F31" s="4">
        <f t="shared" si="3"/>
        <v>22.149296137226127</v>
      </c>
      <c r="G31" s="4">
        <f t="shared" si="4"/>
        <v>1541.2380848619794</v>
      </c>
      <c r="H31" s="4">
        <v>455.81509999999997</v>
      </c>
      <c r="I31" s="5">
        <v>1115.688349</v>
      </c>
      <c r="J31" s="15">
        <v>850000</v>
      </c>
      <c r="K31" s="24">
        <f t="shared" si="5"/>
        <v>702519.59177517158</v>
      </c>
      <c r="L31" s="24">
        <f t="shared" si="0"/>
        <v>702519.59177517158</v>
      </c>
      <c r="M31" s="21" t="s">
        <v>92</v>
      </c>
      <c r="N31" s="4">
        <f t="shared" si="6"/>
        <v>568.95099834012876</v>
      </c>
      <c r="O31" s="15">
        <v>634772</v>
      </c>
      <c r="P31" s="24">
        <f t="shared" si="7"/>
        <v>876888.94706205127</v>
      </c>
      <c r="Q31" s="15">
        <f t="shared" si="1"/>
        <v>634772</v>
      </c>
    </row>
    <row r="32" spans="1:17">
      <c r="A32" t="s">
        <v>47</v>
      </c>
      <c r="B32" s="4">
        <v>56.712069999999997</v>
      </c>
      <c r="C32" s="4">
        <v>65.218879999999999</v>
      </c>
      <c r="D32" s="2">
        <v>1.3418186143651714</v>
      </c>
      <c r="E32" s="4">
        <f t="shared" si="2"/>
        <v>42.265079193905116</v>
      </c>
      <c r="F32" s="4">
        <f t="shared" si="3"/>
        <v>21.132539596952558</v>
      </c>
      <c r="G32" s="4">
        <f t="shared" si="4"/>
        <v>1402.9857356014136</v>
      </c>
      <c r="H32" s="4">
        <v>1342.165</v>
      </c>
      <c r="I32" s="5">
        <v>512.39265599999999</v>
      </c>
      <c r="J32" s="15">
        <v>1095000</v>
      </c>
      <c r="K32" s="24">
        <f t="shared" si="5"/>
        <v>1883038.3498234712</v>
      </c>
      <c r="L32" s="24">
        <f t="shared" si="0"/>
        <v>1095000</v>
      </c>
      <c r="M32" s="21" t="s">
        <v>92</v>
      </c>
      <c r="N32" s="4">
        <f t="shared" si="6"/>
        <v>1056.4398097071867</v>
      </c>
      <c r="O32" s="15">
        <v>541312</v>
      </c>
      <c r="P32" s="24">
        <f t="shared" si="7"/>
        <v>1482169.9835406546</v>
      </c>
      <c r="Q32" s="15">
        <f t="shared" si="1"/>
        <v>541312</v>
      </c>
    </row>
    <row r="33" spans="1:17">
      <c r="A33" t="s">
        <v>65</v>
      </c>
      <c r="B33" s="4">
        <v>51.868699999999997</v>
      </c>
      <c r="C33" s="4">
        <v>66.910629999999998</v>
      </c>
      <c r="D33" s="2">
        <v>1.2505759301052708</v>
      </c>
      <c r="E33" s="4">
        <f t="shared" si="2"/>
        <v>41.475850247360668</v>
      </c>
      <c r="F33" s="4">
        <f t="shared" si="3"/>
        <v>20.737925123680334</v>
      </c>
      <c r="G33" s="4">
        <f t="shared" si="4"/>
        <v>1351.0781697400892</v>
      </c>
      <c r="H33" s="4">
        <v>1475.768</v>
      </c>
      <c r="I33" s="5">
        <v>8683.2032749999998</v>
      </c>
      <c r="J33" s="15">
        <v>17200000</v>
      </c>
      <c r="K33" s="24">
        <f t="shared" si="5"/>
        <v>1993877.928400992</v>
      </c>
      <c r="L33" s="24">
        <f t="shared" si="0"/>
        <v>1993877.928400992</v>
      </c>
      <c r="M33" s="21" t="s">
        <v>92</v>
      </c>
      <c r="N33" s="4">
        <f t="shared" si="6"/>
        <v>908.02319723420271</v>
      </c>
      <c r="O33" s="15">
        <f>3845734+647143+223496+331771+1100827+943220+792359</f>
        <v>7884550</v>
      </c>
      <c r="P33" s="24">
        <f t="shared" si="7"/>
        <v>1226810.3194007305</v>
      </c>
      <c r="Q33" s="15">
        <f t="shared" si="1"/>
        <v>1226810.3194007305</v>
      </c>
    </row>
    <row r="34" spans="1:17">
      <c r="A34" t="s">
        <v>66</v>
      </c>
      <c r="B34" s="4">
        <v>59.517719999999997</v>
      </c>
      <c r="C34" s="4">
        <v>65.469489999999993</v>
      </c>
      <c r="D34" s="2">
        <v>1.2823721019197429</v>
      </c>
      <c r="E34" s="4">
        <f t="shared" si="2"/>
        <v>46.412207432538878</v>
      </c>
      <c r="F34" s="4">
        <f t="shared" si="3"/>
        <v>23.206103716269439</v>
      </c>
      <c r="G34" s="4">
        <f t="shared" si="4"/>
        <v>1691.8206850142046</v>
      </c>
      <c r="H34" s="4">
        <v>584.56590000000006</v>
      </c>
      <c r="I34" s="5">
        <v>834.88804500000003</v>
      </c>
      <c r="J34" s="15">
        <v>810000</v>
      </c>
      <c r="K34" s="24">
        <f t="shared" si="5"/>
        <v>988980.68137394509</v>
      </c>
      <c r="L34" s="24">
        <f t="shared" ref="L34:L53" si="8">MIN(J34,K34)</f>
        <v>810000</v>
      </c>
      <c r="M34" s="21" t="s">
        <v>92</v>
      </c>
      <c r="N34" s="4">
        <f t="shared" si="6"/>
        <v>528.7128048407975</v>
      </c>
      <c r="O34" s="15">
        <v>441416</v>
      </c>
      <c r="P34" s="24">
        <f t="shared" si="7"/>
        <v>894487.25966153957</v>
      </c>
      <c r="Q34" s="15">
        <f t="shared" ref="Q34:Q53" si="9">MIN(P34,O34)</f>
        <v>441416</v>
      </c>
    </row>
    <row r="35" spans="1:17">
      <c r="A35" t="s">
        <v>48</v>
      </c>
      <c r="B35" s="4">
        <v>45.740690000000001</v>
      </c>
      <c r="C35" s="4">
        <v>60.835120000000003</v>
      </c>
      <c r="D35" s="2">
        <v>1.3238129951233164</v>
      </c>
      <c r="E35" s="4">
        <f t="shared" ref="E35:E53" si="10">B35/D35</f>
        <v>34.552229180783307</v>
      </c>
      <c r="F35" s="4">
        <f t="shared" ref="F35:F53" si="11">E35*0.5</f>
        <v>17.276114590391654</v>
      </c>
      <c r="G35" s="4">
        <f t="shared" ref="G35:G53" si="12">PI()*F35^2</f>
        <v>937.65273494525252</v>
      </c>
      <c r="H35" s="4">
        <v>708.81449999999995</v>
      </c>
      <c r="I35" s="5">
        <v>1173.7604550000001</v>
      </c>
      <c r="J35" s="15">
        <v>1230000</v>
      </c>
      <c r="K35" s="24">
        <f t="shared" ref="K35:K53" si="13">G35*H35</f>
        <v>664621.85449385166</v>
      </c>
      <c r="L35" s="24">
        <f t="shared" si="8"/>
        <v>664621.85449385166</v>
      </c>
      <c r="M35" s="21" t="s">
        <v>92</v>
      </c>
      <c r="N35" s="4">
        <f t="shared" ref="N35:N53" si="14">O35/I35</f>
        <v>697.01274780125379</v>
      </c>
      <c r="O35" s="15">
        <v>818126</v>
      </c>
      <c r="P35" s="24">
        <f t="shared" ref="P35:P53" si="15">G35*N35</f>
        <v>653555.90926755115</v>
      </c>
      <c r="Q35" s="15">
        <f t="shared" si="9"/>
        <v>653555.90926755115</v>
      </c>
    </row>
    <row r="36" spans="1:17">
      <c r="A36" t="s">
        <v>67</v>
      </c>
      <c r="B36" s="4">
        <v>52.865879999999997</v>
      </c>
      <c r="C36" s="4">
        <v>66.611009999999993</v>
      </c>
      <c r="D36" s="2">
        <v>1.2151792961844514</v>
      </c>
      <c r="E36" s="4">
        <f t="shared" si="10"/>
        <v>43.504592421870484</v>
      </c>
      <c r="F36" s="4">
        <f t="shared" si="11"/>
        <v>21.752296210935242</v>
      </c>
      <c r="G36" s="4">
        <f t="shared" si="12"/>
        <v>1486.4834897872631</v>
      </c>
      <c r="H36" s="4">
        <v>942.2731</v>
      </c>
      <c r="I36" s="5">
        <v>4660.7165379999997</v>
      </c>
      <c r="J36" s="15">
        <v>5125000</v>
      </c>
      <c r="K36" s="24">
        <f t="shared" si="13"/>
        <v>1400673.4060206627</v>
      </c>
      <c r="L36" s="24">
        <f t="shared" si="8"/>
        <v>1400673.4060206627</v>
      </c>
      <c r="M36" s="21" t="s">
        <v>92</v>
      </c>
      <c r="N36" s="4">
        <f t="shared" si="14"/>
        <v>547.27078534034638</v>
      </c>
      <c r="O36" s="15">
        <f>2237898+312776</f>
        <v>2550674</v>
      </c>
      <c r="P36" s="24">
        <f t="shared" si="15"/>
        <v>813508.98685133422</v>
      </c>
      <c r="Q36" s="15">
        <f t="shared" si="9"/>
        <v>813508.98685133422</v>
      </c>
    </row>
    <row r="37" spans="1:17">
      <c r="A37" t="s">
        <v>49</v>
      </c>
      <c r="B37" s="4">
        <v>52.44265</v>
      </c>
      <c r="C37" s="4">
        <v>67.126589999999993</v>
      </c>
      <c r="D37" s="2">
        <v>1.3591592167670952</v>
      </c>
      <c r="E37" s="4">
        <f t="shared" si="10"/>
        <v>38.584625960702695</v>
      </c>
      <c r="F37" s="4">
        <f t="shared" si="11"/>
        <v>19.292312980351348</v>
      </c>
      <c r="G37" s="4">
        <f t="shared" si="12"/>
        <v>1169.2798630732141</v>
      </c>
      <c r="H37" s="4">
        <v>990.88170000000002</v>
      </c>
      <c r="I37" s="5">
        <v>2069.418674</v>
      </c>
      <c r="J37" s="15">
        <v>2900000</v>
      </c>
      <c r="K37" s="24">
        <f t="shared" si="13"/>
        <v>1158618.0184977537</v>
      </c>
      <c r="L37" s="24">
        <f t="shared" si="8"/>
        <v>1158618.0184977537</v>
      </c>
      <c r="M37" s="21" t="s">
        <v>92</v>
      </c>
      <c r="N37" s="4">
        <f t="shared" si="14"/>
        <v>677.88602549355369</v>
      </c>
      <c r="O37" s="15">
        <v>1402830</v>
      </c>
      <c r="P37" s="24">
        <f t="shared" si="15"/>
        <v>792638.47906834772</v>
      </c>
      <c r="Q37" s="15">
        <f t="shared" si="9"/>
        <v>792638.47906834772</v>
      </c>
    </row>
    <row r="38" spans="1:17">
      <c r="A38" t="s">
        <v>50</v>
      </c>
      <c r="B38" s="4">
        <v>58.551130000000001</v>
      </c>
      <c r="C38" s="4">
        <v>64.406239999999997</v>
      </c>
      <c r="D38" s="2">
        <v>1.3100772449532365</v>
      </c>
      <c r="E38" s="4">
        <f t="shared" si="10"/>
        <v>44.692883740675917</v>
      </c>
      <c r="F38" s="4">
        <f t="shared" si="11"/>
        <v>22.346441870337959</v>
      </c>
      <c r="G38" s="4">
        <f t="shared" si="12"/>
        <v>1568.7965908041676</v>
      </c>
      <c r="H38" s="4">
        <v>603.0711</v>
      </c>
      <c r="I38" s="5">
        <v>2207.6965749999999</v>
      </c>
      <c r="J38" s="15">
        <v>1765000</v>
      </c>
      <c r="K38" s="24">
        <f t="shared" si="13"/>
        <v>946095.88569251925</v>
      </c>
      <c r="L38" s="24">
        <f t="shared" si="8"/>
        <v>946095.88569251925</v>
      </c>
      <c r="M38" s="21" t="s">
        <v>92</v>
      </c>
      <c r="N38" s="4">
        <f t="shared" si="14"/>
        <v>470.46365508810919</v>
      </c>
      <c r="O38" s="15">
        <v>1038641</v>
      </c>
      <c r="P38" s="24">
        <f t="shared" si="15"/>
        <v>738061.77819949354</v>
      </c>
      <c r="Q38" s="15">
        <f t="shared" si="9"/>
        <v>738061.77819949354</v>
      </c>
    </row>
    <row r="39" spans="1:17">
      <c r="A39" t="s">
        <v>51</v>
      </c>
      <c r="B39" s="4">
        <v>53.087949999999999</v>
      </c>
      <c r="C39" s="4">
        <v>67.952579999999998</v>
      </c>
      <c r="D39" s="2">
        <v>1.39177069888646</v>
      </c>
      <c r="E39" s="4">
        <f t="shared" si="10"/>
        <v>38.144178521990057</v>
      </c>
      <c r="F39" s="4">
        <f t="shared" si="11"/>
        <v>19.072089260995028</v>
      </c>
      <c r="G39" s="4">
        <f t="shared" si="12"/>
        <v>1142.7373278922837</v>
      </c>
      <c r="H39" s="4">
        <v>1192.0440000000001</v>
      </c>
      <c r="I39" s="5">
        <v>1227.5103140000001</v>
      </c>
      <c r="J39" s="15">
        <v>1590000</v>
      </c>
      <c r="K39" s="24">
        <f t="shared" si="13"/>
        <v>1362193.1752900295</v>
      </c>
      <c r="L39" s="24">
        <f t="shared" si="8"/>
        <v>1362193.1752900295</v>
      </c>
      <c r="M39" s="21" t="s">
        <v>92</v>
      </c>
      <c r="N39" s="4">
        <f t="shared" si="14"/>
        <v>714.74674387135121</v>
      </c>
      <c r="O39" s="15">
        <v>877359</v>
      </c>
      <c r="P39" s="24">
        <f t="shared" si="15"/>
        <v>816767.7842112584</v>
      </c>
      <c r="Q39" s="15">
        <f t="shared" si="9"/>
        <v>816767.7842112584</v>
      </c>
    </row>
    <row r="40" spans="1:17">
      <c r="A40" t="s">
        <v>52</v>
      </c>
      <c r="B40" s="4">
        <v>62.482399999999998</v>
      </c>
      <c r="C40" s="4">
        <v>71.229929999999996</v>
      </c>
      <c r="D40" s="2">
        <v>1.2391400975948115</v>
      </c>
      <c r="E40" s="4">
        <f t="shared" si="10"/>
        <v>50.423999773132373</v>
      </c>
      <c r="F40" s="4">
        <f t="shared" si="11"/>
        <v>25.211999886566186</v>
      </c>
      <c r="G40" s="4">
        <f t="shared" si="12"/>
        <v>1996.937468392656</v>
      </c>
      <c r="H40" s="4">
        <v>595.13840000000005</v>
      </c>
      <c r="I40" s="5">
        <v>1304.4012620000001</v>
      </c>
      <c r="J40" s="15">
        <v>1210000</v>
      </c>
      <c r="K40" s="24">
        <f t="shared" si="13"/>
        <v>1188454.169839256</v>
      </c>
      <c r="L40" s="24">
        <f t="shared" si="8"/>
        <v>1188454.169839256</v>
      </c>
      <c r="M40" s="21" t="s">
        <v>92</v>
      </c>
      <c r="N40" s="4">
        <f t="shared" si="14"/>
        <v>482.44740198664414</v>
      </c>
      <c r="O40" s="15">
        <v>629305</v>
      </c>
      <c r="P40" s="24">
        <f t="shared" si="15"/>
        <v>963417.29355582315</v>
      </c>
      <c r="Q40" s="15">
        <f t="shared" si="9"/>
        <v>629305</v>
      </c>
    </row>
    <row r="41" spans="1:17">
      <c r="A41" t="s">
        <v>53</v>
      </c>
      <c r="B41" s="4">
        <v>61.628950000000003</v>
      </c>
      <c r="C41" s="4">
        <v>70.257009999999994</v>
      </c>
      <c r="D41" s="2">
        <v>1.2413603862790981</v>
      </c>
      <c r="E41" s="4">
        <f t="shared" si="10"/>
        <v>49.646299882928453</v>
      </c>
      <c r="F41" s="4">
        <f t="shared" si="11"/>
        <v>24.823149941464226</v>
      </c>
      <c r="G41" s="4">
        <f t="shared" si="12"/>
        <v>1935.8141225328793</v>
      </c>
      <c r="H41" s="4">
        <v>484.15989999999999</v>
      </c>
      <c r="I41" s="5">
        <v>827.79291000000001</v>
      </c>
      <c r="J41" s="15">
        <v>790000</v>
      </c>
      <c r="K41" s="24">
        <f t="shared" si="13"/>
        <v>937243.57198410656</v>
      </c>
      <c r="L41" s="24">
        <f t="shared" si="8"/>
        <v>790000</v>
      </c>
      <c r="M41" s="21" t="s">
        <v>92</v>
      </c>
      <c r="N41" s="4">
        <f t="shared" si="14"/>
        <v>742.45018600123069</v>
      </c>
      <c r="O41" s="15">
        <v>614595</v>
      </c>
      <c r="P41" s="24">
        <f t="shared" si="15"/>
        <v>1437245.5553383455</v>
      </c>
      <c r="Q41" s="15">
        <f t="shared" si="9"/>
        <v>614595</v>
      </c>
    </row>
    <row r="42" spans="1:17">
      <c r="A42" t="s">
        <v>82</v>
      </c>
      <c r="B42" s="4">
        <v>62.089397559255026</v>
      </c>
      <c r="C42" s="4">
        <v>65.814761412810327</v>
      </c>
      <c r="D42" s="2">
        <v>1.2673100528512509</v>
      </c>
      <c r="E42" s="4">
        <f t="shared" si="10"/>
        <v>48.993060079941387</v>
      </c>
      <c r="F42" s="4">
        <f t="shared" si="11"/>
        <v>24.496530039970693</v>
      </c>
      <c r="G42" s="4">
        <f t="shared" si="12"/>
        <v>1885.206869298125</v>
      </c>
      <c r="H42" s="4">
        <v>723.26126225186908</v>
      </c>
      <c r="I42" s="5">
        <v>764.44365200000004</v>
      </c>
      <c r="J42" s="15">
        <v>665000</v>
      </c>
      <c r="K42" s="24">
        <f t="shared" si="13"/>
        <v>1363497.0998944563</v>
      </c>
      <c r="L42" s="24">
        <f t="shared" si="8"/>
        <v>665000</v>
      </c>
      <c r="M42" s="21" t="s">
        <v>92</v>
      </c>
      <c r="N42" s="4">
        <f t="shared" si="14"/>
        <v>595.44480330121178</v>
      </c>
      <c r="O42" s="15">
        <v>455184</v>
      </c>
      <c r="P42" s="24">
        <f t="shared" si="15"/>
        <v>1122536.6334713153</v>
      </c>
      <c r="Q42" s="15">
        <f t="shared" si="9"/>
        <v>455184</v>
      </c>
    </row>
    <row r="43" spans="1:17">
      <c r="A43" t="s">
        <v>54</v>
      </c>
      <c r="B43" s="4">
        <v>53.297409999999999</v>
      </c>
      <c r="C43" s="4">
        <v>67.687709999999996</v>
      </c>
      <c r="D43" s="2">
        <v>1.408746139914572</v>
      </c>
      <c r="E43" s="4">
        <f t="shared" si="10"/>
        <v>37.833225227670908</v>
      </c>
      <c r="F43" s="4">
        <f t="shared" si="11"/>
        <v>18.916612613835454</v>
      </c>
      <c r="G43" s="4">
        <f t="shared" si="12"/>
        <v>1124.1819632812299</v>
      </c>
      <c r="H43" s="4">
        <v>1367.6389999999999</v>
      </c>
      <c r="I43" s="18">
        <v>955.78454299999999</v>
      </c>
      <c r="J43" s="15">
        <v>1470000</v>
      </c>
      <c r="K43" s="24">
        <f t="shared" si="13"/>
        <v>1537475.0960799777</v>
      </c>
      <c r="L43" s="24">
        <f t="shared" si="8"/>
        <v>1470000</v>
      </c>
      <c r="M43" s="21" t="s">
        <v>92</v>
      </c>
      <c r="N43" s="4">
        <f t="shared" si="14"/>
        <v>612.25827963614597</v>
      </c>
      <c r="O43" s="15">
        <v>585187</v>
      </c>
      <c r="P43" s="24">
        <f t="shared" si="15"/>
        <v>688289.71483655076</v>
      </c>
      <c r="Q43" s="15">
        <f t="shared" si="9"/>
        <v>585187</v>
      </c>
    </row>
    <row r="44" spans="1:17">
      <c r="A44" t="s">
        <v>55</v>
      </c>
      <c r="B44" s="4">
        <v>52.234180000000002</v>
      </c>
      <c r="C44" s="4">
        <v>63.725700000000003</v>
      </c>
      <c r="D44" s="2">
        <v>1.4286295458510965</v>
      </c>
      <c r="E44" s="4">
        <f t="shared" si="10"/>
        <v>36.562438563372872</v>
      </c>
      <c r="F44" s="4">
        <f t="shared" si="11"/>
        <v>18.281219281686436</v>
      </c>
      <c r="G44" s="4">
        <f t="shared" si="12"/>
        <v>1049.9296218281347</v>
      </c>
      <c r="H44" s="4">
        <v>899.27589999999998</v>
      </c>
      <c r="I44" s="5">
        <v>597.56597799999997</v>
      </c>
      <c r="J44" s="15">
        <v>920000</v>
      </c>
      <c r="K44" s="24">
        <f t="shared" si="13"/>
        <v>944176.40560615552</v>
      </c>
      <c r="L44" s="24">
        <f t="shared" si="8"/>
        <v>920000</v>
      </c>
      <c r="M44" s="21" t="s">
        <v>92</v>
      </c>
      <c r="N44" s="4">
        <f t="shared" si="14"/>
        <v>1022.9581711561229</v>
      </c>
      <c r="O44" s="15">
        <v>611285</v>
      </c>
      <c r="P44" s="24">
        <f t="shared" si="15"/>
        <v>1074034.0857879485</v>
      </c>
      <c r="Q44" s="15">
        <f t="shared" si="9"/>
        <v>611285</v>
      </c>
    </row>
    <row r="45" spans="1:17">
      <c r="A45" t="s">
        <v>68</v>
      </c>
      <c r="B45" s="4">
        <v>59.60624</v>
      </c>
      <c r="C45" s="4">
        <v>71.52749</v>
      </c>
      <c r="D45" s="2">
        <v>1.3773596768934178</v>
      </c>
      <c r="E45" s="4">
        <f t="shared" si="10"/>
        <v>43.275726014020975</v>
      </c>
      <c r="F45" s="4">
        <f t="shared" si="11"/>
        <v>21.637863007010488</v>
      </c>
      <c r="G45" s="4">
        <f t="shared" si="12"/>
        <v>1470.8846185186283</v>
      </c>
      <c r="H45" s="4">
        <v>935.55520000000001</v>
      </c>
      <c r="I45" s="5">
        <v>1055.5735119999999</v>
      </c>
      <c r="J45" s="15">
        <v>1260000</v>
      </c>
      <c r="K45" s="24">
        <f t="shared" si="13"/>
        <v>1376093.753455119</v>
      </c>
      <c r="L45" s="24">
        <f t="shared" si="8"/>
        <v>1260000</v>
      </c>
      <c r="M45" s="21" t="s">
        <v>92</v>
      </c>
      <c r="N45" s="4">
        <f t="shared" si="14"/>
        <v>601.99786445569703</v>
      </c>
      <c r="O45" s="15">
        <v>635453</v>
      </c>
      <c r="P45" s="24">
        <f t="shared" si="15"/>
        <v>885469.39920894685</v>
      </c>
      <c r="Q45" s="15">
        <f t="shared" si="9"/>
        <v>635453</v>
      </c>
    </row>
    <row r="46" spans="1:17">
      <c r="A46" t="s">
        <v>69</v>
      </c>
      <c r="B46" s="4">
        <v>53.169829999999997</v>
      </c>
      <c r="C46" s="4">
        <v>70.715869999999995</v>
      </c>
      <c r="D46" s="2">
        <v>1.4004144662812563</v>
      </c>
      <c r="E46" s="4">
        <f t="shared" si="10"/>
        <v>37.967209908356857</v>
      </c>
      <c r="F46" s="4">
        <f t="shared" si="11"/>
        <v>18.983604954178428</v>
      </c>
      <c r="G46" s="4">
        <f t="shared" si="12"/>
        <v>1132.1585432889369</v>
      </c>
      <c r="H46" s="4">
        <v>1412.3209999999999</v>
      </c>
      <c r="I46" s="18">
        <v>2026.112024</v>
      </c>
      <c r="J46" s="15">
        <v>2780000</v>
      </c>
      <c r="K46" s="24">
        <f t="shared" si="13"/>
        <v>1598971.2860163746</v>
      </c>
      <c r="L46" s="24">
        <f t="shared" si="8"/>
        <v>1598971.2860163746</v>
      </c>
      <c r="M46" s="21" t="s">
        <v>92</v>
      </c>
      <c r="N46" s="4">
        <f t="shared" si="14"/>
        <v>533.91026122255516</v>
      </c>
      <c r="O46" s="15">
        <v>1081762</v>
      </c>
      <c r="P46" s="24">
        <f t="shared" si="15"/>
        <v>604471.06359274383</v>
      </c>
      <c r="Q46" s="15">
        <f t="shared" si="9"/>
        <v>604471.06359274383</v>
      </c>
    </row>
    <row r="47" spans="1:17">
      <c r="A47" t="s">
        <v>70</v>
      </c>
      <c r="B47" s="4">
        <v>53.325209999999998</v>
      </c>
      <c r="C47" s="4">
        <v>72.522279999999995</v>
      </c>
      <c r="D47" s="2">
        <v>1.4605972713753022</v>
      </c>
      <c r="E47" s="4">
        <f t="shared" si="10"/>
        <v>36.509180898160139</v>
      </c>
      <c r="F47" s="4">
        <f t="shared" si="11"/>
        <v>18.254590449080069</v>
      </c>
      <c r="G47" s="4">
        <f t="shared" si="12"/>
        <v>1046.8731476069825</v>
      </c>
      <c r="H47" s="4">
        <v>1233.7170000000001</v>
      </c>
      <c r="I47" s="5">
        <v>1107.747057</v>
      </c>
      <c r="J47" s="15">
        <v>4090000</v>
      </c>
      <c r="K47" s="24">
        <f t="shared" si="13"/>
        <v>1291545.1990462437</v>
      </c>
      <c r="L47" s="24">
        <f t="shared" si="8"/>
        <v>1291545.1990462437</v>
      </c>
      <c r="M47" s="21" t="s">
        <v>92</v>
      </c>
      <c r="N47" s="4">
        <f t="shared" si="14"/>
        <v>1849.2479732221034</v>
      </c>
      <c r="O47" s="15">
        <f>1048438+1000061</f>
        <v>2048499</v>
      </c>
      <c r="P47" s="24">
        <f t="shared" si="15"/>
        <v>1935928.0464328562</v>
      </c>
      <c r="Q47" s="15">
        <f t="shared" si="9"/>
        <v>1935928.0464328562</v>
      </c>
    </row>
    <row r="48" spans="1:17" ht="16">
      <c r="A48" t="s">
        <v>72</v>
      </c>
      <c r="B48" s="4">
        <v>50.663890000000002</v>
      </c>
      <c r="C48" s="4">
        <v>67.889619999999994</v>
      </c>
      <c r="D48" s="2">
        <v>1.4605972713753022</v>
      </c>
      <c r="E48" s="4">
        <f t="shared" si="10"/>
        <v>34.687104373606523</v>
      </c>
      <c r="F48" s="4">
        <f t="shared" si="11"/>
        <v>17.343552186803262</v>
      </c>
      <c r="G48" s="4">
        <f t="shared" si="12"/>
        <v>944.98730800553381</v>
      </c>
      <c r="H48" s="4">
        <v>1658.259</v>
      </c>
      <c r="I48" s="5">
        <v>673.68371100000002</v>
      </c>
      <c r="J48" s="15">
        <v>1675000</v>
      </c>
      <c r="K48" s="24">
        <f t="shared" si="13"/>
        <v>1567033.7083859486</v>
      </c>
      <c r="L48" s="24">
        <f t="shared" si="8"/>
        <v>1567033.7083859486</v>
      </c>
      <c r="M48" s="21" t="s">
        <v>92</v>
      </c>
      <c r="N48" s="4">
        <f t="shared" si="14"/>
        <v>1548.2013042170763</v>
      </c>
      <c r="O48" s="15">
        <v>1042998</v>
      </c>
      <c r="P48" s="24">
        <f t="shared" si="15"/>
        <v>1463030.5827227514</v>
      </c>
      <c r="Q48" s="15">
        <f t="shared" si="9"/>
        <v>1042998</v>
      </c>
    </row>
    <row r="49" spans="1:17">
      <c r="A49" t="s">
        <v>56</v>
      </c>
      <c r="B49" s="4">
        <v>58.18665</v>
      </c>
      <c r="C49" s="4">
        <v>73.897040000000004</v>
      </c>
      <c r="D49" s="2">
        <v>1.4023948619686526</v>
      </c>
      <c r="E49" s="4">
        <f t="shared" si="10"/>
        <v>41.4909178420112</v>
      </c>
      <c r="F49" s="4">
        <f t="shared" si="11"/>
        <v>20.7454589210056</v>
      </c>
      <c r="G49" s="4">
        <f t="shared" si="12"/>
        <v>1352.0600035483496</v>
      </c>
      <c r="H49" s="4">
        <v>856.61540000000002</v>
      </c>
      <c r="I49" s="5">
        <v>2469.8811369999999</v>
      </c>
      <c r="J49" s="15">
        <v>2740000</v>
      </c>
      <c r="K49" s="24">
        <f t="shared" si="13"/>
        <v>1158195.420763571</v>
      </c>
      <c r="L49" s="24">
        <f t="shared" si="8"/>
        <v>1158195.420763571</v>
      </c>
      <c r="M49" s="21" t="s">
        <v>92</v>
      </c>
      <c r="N49" s="4">
        <f t="shared" si="14"/>
        <v>599.91348482451292</v>
      </c>
      <c r="O49" s="15">
        <v>1481715</v>
      </c>
      <c r="P49" s="24">
        <f t="shared" si="15"/>
        <v>811119.02842053375</v>
      </c>
      <c r="Q49" s="15">
        <f t="shared" si="9"/>
        <v>811119.02842053375</v>
      </c>
    </row>
    <row r="50" spans="1:17">
      <c r="A50" t="s">
        <v>76</v>
      </c>
      <c r="B50" s="4">
        <v>59.829090000000001</v>
      </c>
      <c r="C50" s="4">
        <v>81.367570000000001</v>
      </c>
      <c r="D50" s="2">
        <v>1.2685017433180505</v>
      </c>
      <c r="E50" s="4">
        <f t="shared" si="10"/>
        <v>47.165161825874684</v>
      </c>
      <c r="F50" s="4">
        <f t="shared" si="11"/>
        <v>23.582580912937342</v>
      </c>
      <c r="G50" s="4">
        <f t="shared" si="12"/>
        <v>1747.1594400750878</v>
      </c>
      <c r="H50" s="4">
        <v>1147.902</v>
      </c>
      <c r="I50" s="18">
        <v>2890.6684540000001</v>
      </c>
      <c r="J50" s="15">
        <v>4965000</v>
      </c>
      <c r="K50" s="24">
        <f t="shared" si="13"/>
        <v>2005567.8155810735</v>
      </c>
      <c r="L50" s="24">
        <f t="shared" si="8"/>
        <v>2005567.8155810735</v>
      </c>
      <c r="M50" s="21" t="s">
        <v>92</v>
      </c>
      <c r="N50" s="4">
        <f t="shared" si="14"/>
        <v>514.0451157391708</v>
      </c>
      <c r="O50" s="15">
        <f>845720+640214</f>
        <v>1485934</v>
      </c>
      <c r="P50" s="24">
        <f t="shared" si="15"/>
        <v>898118.77658818336</v>
      </c>
      <c r="Q50" s="15">
        <f t="shared" si="9"/>
        <v>898118.77658818336</v>
      </c>
    </row>
    <row r="51" spans="1:17">
      <c r="A51" t="s">
        <v>57</v>
      </c>
      <c r="B51" s="4">
        <v>56.502479999999998</v>
      </c>
      <c r="C51" s="4">
        <v>66.672929999999994</v>
      </c>
      <c r="D51" s="2">
        <v>1.3553298397239786</v>
      </c>
      <c r="E51" s="4">
        <f t="shared" si="10"/>
        <v>41.689099098937483</v>
      </c>
      <c r="F51" s="4">
        <f t="shared" si="11"/>
        <v>20.844549549468741</v>
      </c>
      <c r="G51" s="4">
        <f t="shared" si="12"/>
        <v>1365.0070726027716</v>
      </c>
      <c r="H51" s="4">
        <v>699.06600000000003</v>
      </c>
      <c r="I51" s="5">
        <v>2146.9741009999998</v>
      </c>
      <c r="J51" s="15">
        <v>2055000</v>
      </c>
      <c r="K51" s="24">
        <f t="shared" si="13"/>
        <v>954230.03421612922</v>
      </c>
      <c r="L51" s="24">
        <f t="shared" si="8"/>
        <v>954230.03421612922</v>
      </c>
      <c r="M51" s="21" t="s">
        <v>92</v>
      </c>
      <c r="N51" s="4">
        <f t="shared" si="14"/>
        <v>568.5308450770176</v>
      </c>
      <c r="O51" s="15">
        <v>1220621</v>
      </c>
      <c r="P51" s="24">
        <f t="shared" si="15"/>
        <v>776048.6245229597</v>
      </c>
      <c r="Q51" s="15">
        <f t="shared" si="9"/>
        <v>776048.6245229597</v>
      </c>
    </row>
    <row r="52" spans="1:17">
      <c r="A52" t="s">
        <v>71</v>
      </c>
      <c r="B52" s="4">
        <v>47.580840000000002</v>
      </c>
      <c r="C52" s="4">
        <v>59.951860000000003</v>
      </c>
      <c r="D52" s="3">
        <v>1.29</v>
      </c>
      <c r="E52" s="4">
        <f t="shared" si="10"/>
        <v>36.884372093023259</v>
      </c>
      <c r="F52" s="4">
        <f t="shared" si="11"/>
        <v>18.44218604651163</v>
      </c>
      <c r="G52" s="4">
        <f t="shared" si="12"/>
        <v>1068.5003543300816</v>
      </c>
      <c r="H52" s="4">
        <v>576.27189999999996</v>
      </c>
      <c r="I52" s="5">
        <v>2077.87444</v>
      </c>
      <c r="J52" s="15">
        <v>2000000</v>
      </c>
      <c r="K52" s="24">
        <f t="shared" si="13"/>
        <v>615746.72934046923</v>
      </c>
      <c r="L52" s="24">
        <f t="shared" si="8"/>
        <v>615746.72934046923</v>
      </c>
      <c r="M52" s="21" t="s">
        <v>92</v>
      </c>
      <c r="N52" s="4">
        <f t="shared" si="14"/>
        <v>501.91290672982143</v>
      </c>
      <c r="O52" s="15">
        <v>1042912</v>
      </c>
      <c r="P52" s="24">
        <f t="shared" si="15"/>
        <v>536294.1186836554</v>
      </c>
      <c r="Q52" s="15">
        <f t="shared" si="9"/>
        <v>536294.1186836554</v>
      </c>
    </row>
    <row r="53" spans="1:17">
      <c r="A53" t="s">
        <v>59</v>
      </c>
      <c r="B53" s="4">
        <v>49.556579999999997</v>
      </c>
      <c r="C53" s="4">
        <v>67.396950000000004</v>
      </c>
      <c r="D53" s="2">
        <v>1.3045455771997856</v>
      </c>
      <c r="E53" s="4">
        <f t="shared" si="10"/>
        <v>37.987618728027485</v>
      </c>
      <c r="F53" s="4">
        <f t="shared" si="11"/>
        <v>18.993809364013742</v>
      </c>
      <c r="G53" s="4">
        <f t="shared" si="12"/>
        <v>1133.3760269958821</v>
      </c>
      <c r="H53" s="4">
        <v>1265.0340000000001</v>
      </c>
      <c r="I53" s="18">
        <v>2996.0093400000001</v>
      </c>
      <c r="J53" s="15">
        <v>4030000</v>
      </c>
      <c r="K53" s="24">
        <f t="shared" si="13"/>
        <v>1433759.2089347087</v>
      </c>
      <c r="L53" s="24">
        <f t="shared" si="8"/>
        <v>1433759.2089347087</v>
      </c>
      <c r="M53" s="21" t="s">
        <v>92</v>
      </c>
      <c r="N53" s="4">
        <f t="shared" si="14"/>
        <v>760.55704152110548</v>
      </c>
      <c r="O53" s="15">
        <v>2278636</v>
      </c>
      <c r="P53" s="24">
        <f t="shared" si="15"/>
        <v>861997.11802293267</v>
      </c>
      <c r="Q53" s="15">
        <f t="shared" si="9"/>
        <v>861997.11802293267</v>
      </c>
    </row>
    <row r="56" spans="1:17">
      <c r="A56" t="s">
        <v>74</v>
      </c>
      <c r="B56" s="20"/>
      <c r="C56" s="20"/>
      <c r="D56" s="20"/>
      <c r="E56" s="20"/>
      <c r="F56" s="20"/>
      <c r="G56" s="20"/>
      <c r="H56" s="20"/>
      <c r="I56" s="20"/>
      <c r="M56" s="20"/>
      <c r="N56" s="20"/>
      <c r="O56" s="20"/>
    </row>
    <row r="57" spans="1:17" ht="16">
      <c r="A57" s="20" t="s">
        <v>109</v>
      </c>
      <c r="B57" s="20"/>
      <c r="C57" s="20"/>
      <c r="D57" s="20"/>
      <c r="E57" s="20"/>
      <c r="F57" s="20"/>
      <c r="G57" s="20"/>
      <c r="H57" s="20"/>
      <c r="I57" s="20"/>
      <c r="M57" s="20"/>
      <c r="N57" s="20"/>
      <c r="O57" s="20"/>
    </row>
    <row r="58" spans="1:17" ht="16">
      <c r="A58" s="20" t="s">
        <v>110</v>
      </c>
      <c r="B58" s="20"/>
      <c r="C58" s="20"/>
      <c r="D58" s="20"/>
      <c r="E58" s="20"/>
      <c r="F58" s="20"/>
      <c r="G58" s="20"/>
      <c r="H58" s="20"/>
      <c r="I58" s="20"/>
      <c r="M58" s="20"/>
      <c r="N58" s="20"/>
      <c r="O58" s="20"/>
    </row>
    <row r="60" spans="1:17">
      <c r="A60" s="20" t="s">
        <v>95</v>
      </c>
    </row>
    <row r="61" spans="1:17">
      <c r="A61" s="20" t="s">
        <v>5</v>
      </c>
    </row>
    <row r="62" spans="1:17">
      <c r="A62" s="20" t="s">
        <v>111</v>
      </c>
    </row>
    <row r="63" spans="1:17">
      <c r="A63" s="20" t="s">
        <v>112</v>
      </c>
    </row>
    <row r="64" spans="1:17">
      <c r="A64" s="20" t="s">
        <v>113</v>
      </c>
    </row>
  </sheetData>
  <sortState ref="A3:XFD53">
    <sortCondition ref="A3:A53"/>
  </sortState>
  <phoneticPr fontId="21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6"/>
  <sheetViews>
    <sheetView tabSelected="1" workbookViewId="0">
      <selection activeCell="P6" sqref="P6"/>
    </sheetView>
  </sheetViews>
  <sheetFormatPr baseColWidth="10" defaultColWidth="11.5" defaultRowHeight="14" x14ac:dyDescent="0"/>
  <cols>
    <col min="4" max="4" width="11.5" style="20"/>
    <col min="11" max="11" width="12.6640625" bestFit="1" customWidth="1"/>
  </cols>
  <sheetData>
    <row r="1" spans="1:19" ht="56">
      <c r="A1" s="20">
        <f>1/6</f>
        <v>0.16666666666666666</v>
      </c>
      <c r="B1" s="1" t="s">
        <v>60</v>
      </c>
      <c r="C1" s="1" t="s">
        <v>61</v>
      </c>
      <c r="D1" s="1" t="s">
        <v>164</v>
      </c>
      <c r="E1" s="7" t="s">
        <v>91</v>
      </c>
      <c r="F1" s="1" t="s">
        <v>21</v>
      </c>
      <c r="G1" s="1" t="s">
        <v>20</v>
      </c>
      <c r="H1" s="1" t="s">
        <v>131</v>
      </c>
      <c r="I1" s="1" t="s">
        <v>25</v>
      </c>
      <c r="J1" s="8" t="s">
        <v>84</v>
      </c>
      <c r="K1" s="25" t="s">
        <v>79</v>
      </c>
      <c r="L1" s="23" t="s">
        <v>77</v>
      </c>
      <c r="M1" s="29" t="s">
        <v>104</v>
      </c>
      <c r="N1" s="21" t="s">
        <v>92</v>
      </c>
      <c r="O1" s="1" t="s">
        <v>90</v>
      </c>
      <c r="P1" s="1" t="s">
        <v>88</v>
      </c>
      <c r="Q1" s="23" t="s">
        <v>89</v>
      </c>
      <c r="R1" s="20" t="s">
        <v>103</v>
      </c>
      <c r="S1" s="8"/>
    </row>
    <row r="2" spans="1:19" ht="16">
      <c r="A2" s="20" t="s">
        <v>16</v>
      </c>
      <c r="B2" s="20" t="s">
        <v>18</v>
      </c>
      <c r="C2" s="20" t="s">
        <v>122</v>
      </c>
      <c r="E2" s="20" t="s">
        <v>115</v>
      </c>
      <c r="F2" s="20" t="s">
        <v>17</v>
      </c>
      <c r="G2" s="20" t="s">
        <v>19</v>
      </c>
      <c r="H2" s="20" t="s">
        <v>132</v>
      </c>
      <c r="I2" s="20" t="s">
        <v>24</v>
      </c>
      <c r="J2" s="9" t="s">
        <v>16</v>
      </c>
      <c r="K2" s="15" t="s">
        <v>123</v>
      </c>
      <c r="L2" s="24" t="s">
        <v>129</v>
      </c>
      <c r="M2" s="24" t="s">
        <v>124</v>
      </c>
      <c r="N2" s="21" t="s">
        <v>92</v>
      </c>
      <c r="O2" s="20" t="s">
        <v>125</v>
      </c>
      <c r="P2" s="20" t="s">
        <v>126</v>
      </c>
      <c r="Q2" s="24" t="s">
        <v>128</v>
      </c>
      <c r="R2" s="20" t="s">
        <v>127</v>
      </c>
    </row>
    <row r="3" spans="1:19">
      <c r="A3" s="20" t="s">
        <v>26</v>
      </c>
      <c r="B3" s="4">
        <v>57.436750000000011</v>
      </c>
      <c r="C3" s="11">
        <v>68.143250000000009</v>
      </c>
      <c r="D3" s="18">
        <f>C3*$A$1*1000</f>
        <v>11357.208333333334</v>
      </c>
      <c r="E3" s="36">
        <f>'Interval Circuities'!B3</f>
        <v>1.3810679080102386</v>
      </c>
      <c r="F3" s="4">
        <f>B3/E3</f>
        <v>41.588650106823131</v>
      </c>
      <c r="G3" s="4">
        <f>F3*$A$1</f>
        <v>6.9314416844705216</v>
      </c>
      <c r="H3" s="4">
        <f>PI()*G3^2</f>
        <v>150.93745406787224</v>
      </c>
      <c r="I3" s="4">
        <f>K3/J3</f>
        <v>659.04777089359266</v>
      </c>
      <c r="J3" s="35">
        <v>6851.4289849999996</v>
      </c>
      <c r="K3" s="33">
        <v>4515419</v>
      </c>
      <c r="L3" s="24">
        <f>H3*I3</f>
        <v>99474.992647785228</v>
      </c>
      <c r="M3" s="24">
        <f>MIN(K3,L3)</f>
        <v>99474.992647785228</v>
      </c>
      <c r="N3" s="21" t="s">
        <v>92</v>
      </c>
      <c r="O3" s="4">
        <f t="shared" ref="O3:O34" si="0">P3/J3</f>
        <v>323.74122316032441</v>
      </c>
      <c r="P3" s="15">
        <v>2218090</v>
      </c>
      <c r="Q3" s="24">
        <f>H3*O3</f>
        <v>48864.676000638239</v>
      </c>
      <c r="R3" s="15">
        <f>MIN(Q3,P3)</f>
        <v>48864.676000638239</v>
      </c>
      <c r="S3" s="35"/>
    </row>
    <row r="4" spans="1:19">
      <c r="A4" s="20" t="s">
        <v>27</v>
      </c>
      <c r="B4" s="4">
        <v>62.91075</v>
      </c>
      <c r="C4" s="12">
        <v>76.756750000000011</v>
      </c>
      <c r="D4" s="18">
        <f t="shared" ref="D4:D53" si="1">C4*$A$1*1000</f>
        <v>12792.791666666668</v>
      </c>
      <c r="E4" s="36">
        <f>'Interval Circuities'!B4</f>
        <v>1.4404458654112589</v>
      </c>
      <c r="F4" s="4">
        <f t="shared" ref="F4:F34" si="2">B4/E4</f>
        <v>43.674497952783859</v>
      </c>
      <c r="G4" s="4">
        <f t="shared" ref="G4:G34" si="3">F4*$A$1</f>
        <v>7.2790829921306432</v>
      </c>
      <c r="H4" s="4">
        <f t="shared" ref="H4:H34" si="4">PI()*G4^2</f>
        <v>166.4574413366862</v>
      </c>
      <c r="I4" s="4">
        <f t="shared" ref="I4:I34" si="5">K4/J4</f>
        <v>1005.7320851324054</v>
      </c>
      <c r="J4" s="35">
        <v>1354.6510249999999</v>
      </c>
      <c r="K4" s="33">
        <v>1362416</v>
      </c>
      <c r="L4" s="24">
        <f t="shared" ref="L4:L34" si="6">H4*I4</f>
        <v>167411.58956135047</v>
      </c>
      <c r="M4" s="24">
        <f t="shared" ref="M4:M34" si="7">MIN(K4,L4)</f>
        <v>167411.58956135047</v>
      </c>
      <c r="N4" s="21" t="s">
        <v>92</v>
      </c>
      <c r="O4" s="4">
        <f t="shared" si="0"/>
        <v>484.29963724421208</v>
      </c>
      <c r="P4" s="15">
        <v>656057</v>
      </c>
      <c r="Q4" s="24">
        <f t="shared" ref="Q4:Q34" si="8">H4*O4</f>
        <v>80615.278455956839</v>
      </c>
      <c r="R4" s="15">
        <f t="shared" ref="R4:R34" si="9">MIN(Q4,P4)</f>
        <v>80615.278455956839</v>
      </c>
      <c r="S4" s="35"/>
    </row>
    <row r="5" spans="1:19" ht="16">
      <c r="A5" s="20" t="s">
        <v>118</v>
      </c>
      <c r="B5" s="4">
        <v>59.811500000000002</v>
      </c>
      <c r="C5" s="11">
        <v>68.626249999999999</v>
      </c>
      <c r="D5" s="18">
        <f t="shared" si="1"/>
        <v>11437.708333333334</v>
      </c>
      <c r="E5" s="36">
        <f>'Interval Circuities'!B5</f>
        <v>1.3822949804670155</v>
      </c>
      <c r="F5" s="4">
        <f t="shared" si="2"/>
        <v>43.269707873635177</v>
      </c>
      <c r="G5" s="4">
        <f t="shared" si="3"/>
        <v>7.2116179789391959</v>
      </c>
      <c r="H5" s="4">
        <f t="shared" si="4"/>
        <v>163.38617219111504</v>
      </c>
      <c r="I5" s="4">
        <f t="shared" si="5"/>
        <v>1186.6066340855928</v>
      </c>
      <c r="J5" s="35">
        <v>1857.1133319999999</v>
      </c>
      <c r="K5" s="33">
        <v>2203663</v>
      </c>
      <c r="L5" s="24">
        <f t="shared" si="6"/>
        <v>193875.1158398281</v>
      </c>
      <c r="M5" s="24">
        <f t="shared" si="7"/>
        <v>193875.1158398281</v>
      </c>
      <c r="N5" s="21" t="s">
        <v>92</v>
      </c>
      <c r="O5" s="4">
        <f t="shared" si="0"/>
        <v>604.12037362941078</v>
      </c>
      <c r="P5" s="15">
        <v>1121920</v>
      </c>
      <c r="Q5" s="24">
        <f t="shared" si="8"/>
        <v>98704.915389975664</v>
      </c>
      <c r="R5" s="15">
        <f t="shared" si="9"/>
        <v>98704.915389975664</v>
      </c>
      <c r="S5" s="35"/>
    </row>
    <row r="6" spans="1:19">
      <c r="A6" s="20" t="s">
        <v>29</v>
      </c>
      <c r="B6" s="4">
        <v>53.613</v>
      </c>
      <c r="C6" s="11">
        <v>62.8705</v>
      </c>
      <c r="D6" s="18">
        <f t="shared" si="1"/>
        <v>10478.416666666666</v>
      </c>
      <c r="E6" s="36">
        <f>'Interval Circuities'!B6</f>
        <v>1.3221707933341669</v>
      </c>
      <c r="F6" s="4">
        <f t="shared" si="2"/>
        <v>40.549224253246528</v>
      </c>
      <c r="G6" s="4">
        <f t="shared" si="3"/>
        <v>6.7582040422077547</v>
      </c>
      <c r="H6" s="4">
        <f t="shared" si="4"/>
        <v>143.48697247103934</v>
      </c>
      <c r="I6" s="4">
        <f t="shared" si="5"/>
        <v>861.67001828332229</v>
      </c>
      <c r="J6" s="35">
        <v>4852.2275479999998</v>
      </c>
      <c r="K6" s="33">
        <v>4181019</v>
      </c>
      <c r="L6" s="24">
        <f t="shared" si="6"/>
        <v>123638.42219253903</v>
      </c>
      <c r="M6" s="24">
        <f t="shared" si="7"/>
        <v>123638.42219253903</v>
      </c>
      <c r="N6" s="21" t="s">
        <v>92</v>
      </c>
      <c r="O6" s="4">
        <f t="shared" si="0"/>
        <v>598.22977617701781</v>
      </c>
      <c r="P6" s="15">
        <f>2341938+286024+61431+22699+190655</f>
        <v>2902747</v>
      </c>
      <c r="Q6" s="24">
        <f t="shared" si="8"/>
        <v>85838.179425667782</v>
      </c>
      <c r="R6" s="15">
        <f t="shared" si="9"/>
        <v>85838.179425667782</v>
      </c>
      <c r="S6" s="35"/>
    </row>
    <row r="7" spans="1:19">
      <c r="A7" s="20" t="s">
        <v>30</v>
      </c>
      <c r="B7" s="4">
        <v>63.434000000000012</v>
      </c>
      <c r="C7" s="13">
        <v>70.236249999999998</v>
      </c>
      <c r="D7" s="18">
        <f t="shared" si="1"/>
        <v>11706.041666666666</v>
      </c>
      <c r="E7" s="36">
        <f>'Interval Circuities'!B7</f>
        <v>1.2726128167623416</v>
      </c>
      <c r="F7" s="4">
        <f t="shared" si="2"/>
        <v>49.845482588634191</v>
      </c>
      <c r="G7" s="4">
        <f t="shared" si="3"/>
        <v>8.3075804314390318</v>
      </c>
      <c r="H7" s="4">
        <f t="shared" si="4"/>
        <v>216.81982125110389</v>
      </c>
      <c r="I7" s="4">
        <f t="shared" si="5"/>
        <v>951.10925507842603</v>
      </c>
      <c r="J7" s="35">
        <v>984.01523799999995</v>
      </c>
      <c r="K7" s="33">
        <v>935906</v>
      </c>
      <c r="L7" s="24">
        <f t="shared" si="6"/>
        <v>206219.3386763749</v>
      </c>
      <c r="M7" s="24">
        <f t="shared" si="7"/>
        <v>206219.3386763749</v>
      </c>
      <c r="N7" s="21" t="s">
        <v>92</v>
      </c>
      <c r="O7" s="4">
        <f t="shared" si="0"/>
        <v>476.95704484608808</v>
      </c>
      <c r="P7" s="15">
        <v>469333</v>
      </c>
      <c r="Q7" s="24">
        <f t="shared" si="8"/>
        <v>103413.74120798356</v>
      </c>
      <c r="R7" s="15">
        <f t="shared" si="9"/>
        <v>103413.74120798356</v>
      </c>
      <c r="S7" s="35"/>
    </row>
    <row r="8" spans="1:19">
      <c r="A8" s="20" t="s">
        <v>31</v>
      </c>
      <c r="B8" s="4">
        <v>61.2605</v>
      </c>
      <c r="C8" s="13">
        <v>70.799749999999989</v>
      </c>
      <c r="D8" s="18">
        <f t="shared" si="1"/>
        <v>11799.95833333333</v>
      </c>
      <c r="E8" s="36">
        <f>'Interval Circuities'!B8</f>
        <v>1.3548292070349812</v>
      </c>
      <c r="F8" s="4">
        <f t="shared" si="2"/>
        <v>45.216400474615895</v>
      </c>
      <c r="G8" s="4">
        <f t="shared" si="3"/>
        <v>7.5360667457693156</v>
      </c>
      <c r="H8" s="4">
        <f t="shared" si="4"/>
        <v>178.41827873325462</v>
      </c>
      <c r="I8" s="4">
        <f t="shared" si="5"/>
        <v>650.59688341284709</v>
      </c>
      <c r="J8" s="35">
        <v>1920.4549420000001</v>
      </c>
      <c r="K8" s="33">
        <v>1249442</v>
      </c>
      <c r="L8" s="24">
        <f t="shared" si="6"/>
        <v>116078.37608774011</v>
      </c>
      <c r="M8" s="24">
        <f t="shared" si="7"/>
        <v>116078.37608774011</v>
      </c>
      <c r="N8" s="21" t="s">
        <v>92</v>
      </c>
      <c r="O8" s="4">
        <f t="shared" si="0"/>
        <v>424.5301371928777</v>
      </c>
      <c r="P8" s="15">
        <v>815291</v>
      </c>
      <c r="Q8" s="24">
        <f t="shared" si="8"/>
        <v>75743.936348345684</v>
      </c>
      <c r="R8" s="15">
        <f t="shared" si="9"/>
        <v>75743.936348345684</v>
      </c>
      <c r="S8" s="35"/>
    </row>
    <row r="9" spans="1:19">
      <c r="A9" s="20" t="s">
        <v>32</v>
      </c>
      <c r="B9" s="4">
        <v>49.265999999999998</v>
      </c>
      <c r="C9" s="11">
        <v>60.495750000000008</v>
      </c>
      <c r="D9" s="18">
        <f t="shared" si="1"/>
        <v>10082.625</v>
      </c>
      <c r="E9" s="36">
        <f>'Interval Circuities'!B9</f>
        <v>1.3236002256090809</v>
      </c>
      <c r="F9" s="4">
        <f t="shared" si="2"/>
        <v>37.221208524144267</v>
      </c>
      <c r="G9" s="4">
        <f t="shared" si="3"/>
        <v>6.2035347540240444</v>
      </c>
      <c r="H9" s="4">
        <f t="shared" si="4"/>
        <v>120.90055984677701</v>
      </c>
      <c r="I9" s="4">
        <f t="shared" si="5"/>
        <v>1360.6187423043561</v>
      </c>
      <c r="J9" s="35">
        <v>6326.6863320000002</v>
      </c>
      <c r="K9" s="33">
        <v>8608208</v>
      </c>
      <c r="L9" s="24">
        <f t="shared" si="6"/>
        <v>164499.56768261429</v>
      </c>
      <c r="M9" s="24">
        <f t="shared" si="7"/>
        <v>164499.56768261429</v>
      </c>
      <c r="N9" s="21" t="s">
        <v>92</v>
      </c>
      <c r="O9" s="4">
        <f t="shared" si="0"/>
        <v>661.50679524473696</v>
      </c>
      <c r="P9" s="15">
        <v>4185146</v>
      </c>
      <c r="Q9" s="24">
        <f t="shared" si="8"/>
        <v>79976.54188753599</v>
      </c>
      <c r="R9" s="15">
        <f t="shared" si="9"/>
        <v>79976.54188753599</v>
      </c>
      <c r="S9" s="35"/>
    </row>
    <row r="10" spans="1:19">
      <c r="A10" s="20" t="s">
        <v>33</v>
      </c>
      <c r="B10" s="4">
        <v>66.895499999999998</v>
      </c>
      <c r="C10" s="11">
        <v>72.530500000000018</v>
      </c>
      <c r="D10" s="18">
        <f t="shared" si="1"/>
        <v>12088.41666666667</v>
      </c>
      <c r="E10" s="36">
        <f>'Interval Circuities'!B10</f>
        <v>1.4101242469920043</v>
      </c>
      <c r="F10" s="4">
        <f t="shared" si="2"/>
        <v>47.439436732399727</v>
      </c>
      <c r="G10" s="4">
        <f t="shared" si="3"/>
        <v>7.9065727887332873</v>
      </c>
      <c r="H10" s="4">
        <f t="shared" si="4"/>
        <v>196.39318782402643</v>
      </c>
      <c r="I10" s="4">
        <f t="shared" si="5"/>
        <v>796.39106388024629</v>
      </c>
      <c r="J10" s="35">
        <v>2040.237609</v>
      </c>
      <c r="K10" s="33">
        <v>1624827</v>
      </c>
      <c r="L10" s="24">
        <f t="shared" si="6"/>
        <v>156405.77979000943</v>
      </c>
      <c r="M10" s="24">
        <f t="shared" si="7"/>
        <v>156405.77979000943</v>
      </c>
      <c r="N10" s="21" t="s">
        <v>92</v>
      </c>
      <c r="O10" s="4">
        <f t="shared" si="0"/>
        <v>464.30964502429185</v>
      </c>
      <c r="P10" s="15">
        <v>947302</v>
      </c>
      <c r="Q10" s="24">
        <f t="shared" si="8"/>
        <v>91187.251323762786</v>
      </c>
      <c r="R10" s="15">
        <f t="shared" si="9"/>
        <v>91187.251323762786</v>
      </c>
      <c r="S10" s="35"/>
    </row>
    <row r="11" spans="1:19">
      <c r="A11" s="20" t="s">
        <v>34</v>
      </c>
      <c r="B11" s="4">
        <v>66.332000000000008</v>
      </c>
      <c r="C11" s="11">
        <v>73.013500000000008</v>
      </c>
      <c r="D11" s="18">
        <f t="shared" si="1"/>
        <v>12168.916666666668</v>
      </c>
      <c r="E11" s="36">
        <f>'Interval Circuities'!B11</f>
        <v>1.2785144324718047</v>
      </c>
      <c r="F11" s="4">
        <f t="shared" si="2"/>
        <v>51.882089333757158</v>
      </c>
      <c r="G11" s="4">
        <f t="shared" si="3"/>
        <v>8.6470148889595251</v>
      </c>
      <c r="H11" s="4">
        <f t="shared" si="4"/>
        <v>234.89960486717447</v>
      </c>
      <c r="I11" s="4">
        <f t="shared" si="5"/>
        <v>890.6045978114746</v>
      </c>
      <c r="J11" s="35">
        <v>1999.3979420000001</v>
      </c>
      <c r="K11" s="33">
        <v>1780673</v>
      </c>
      <c r="L11" s="24">
        <f t="shared" si="6"/>
        <v>209202.66811880423</v>
      </c>
      <c r="M11" s="24">
        <f t="shared" si="7"/>
        <v>209202.66811880423</v>
      </c>
      <c r="N11" s="21" t="s">
        <v>92</v>
      </c>
      <c r="O11" s="4">
        <f t="shared" si="0"/>
        <v>475.21255275954462</v>
      </c>
      <c r="P11" s="15">
        <v>950139</v>
      </c>
      <c r="Q11" s="24">
        <f t="shared" si="8"/>
        <v>111627.24087113833</v>
      </c>
      <c r="R11" s="15">
        <f t="shared" si="9"/>
        <v>111627.24087113833</v>
      </c>
      <c r="S11" s="35"/>
    </row>
    <row r="12" spans="1:19">
      <c r="A12" s="20" t="s">
        <v>35</v>
      </c>
      <c r="B12" s="4">
        <v>73.174500000000009</v>
      </c>
      <c r="C12" s="13">
        <v>79.775500000000008</v>
      </c>
      <c r="D12" s="18">
        <f t="shared" si="1"/>
        <v>13295.916666666666</v>
      </c>
      <c r="E12" s="36">
        <f>'Interval Circuities'!B12</f>
        <v>1.3249637252937287</v>
      </c>
      <c r="F12" s="4">
        <f t="shared" si="2"/>
        <v>55.227549708033017</v>
      </c>
      <c r="G12" s="4">
        <f t="shared" si="3"/>
        <v>9.2045916180055016</v>
      </c>
      <c r="H12" s="4">
        <f t="shared" si="4"/>
        <v>266.16988831235233</v>
      </c>
      <c r="I12" s="4">
        <f t="shared" si="5"/>
        <v>1034.7499169004755</v>
      </c>
      <c r="J12" s="35">
        <v>1322.0923989999999</v>
      </c>
      <c r="K12" s="33">
        <v>1368035</v>
      </c>
      <c r="L12" s="24">
        <f t="shared" si="6"/>
        <v>275419.26981261541</v>
      </c>
      <c r="M12" s="24">
        <f t="shared" si="7"/>
        <v>275419.26981261541</v>
      </c>
      <c r="N12" s="21" t="s">
        <v>92</v>
      </c>
      <c r="O12" s="4">
        <f t="shared" si="0"/>
        <v>599.78410026393328</v>
      </c>
      <c r="P12" s="15">
        <v>792970</v>
      </c>
      <c r="Q12" s="24">
        <f t="shared" si="8"/>
        <v>159644.46697877586</v>
      </c>
      <c r="R12" s="15">
        <f t="shared" si="9"/>
        <v>159644.46697877586</v>
      </c>
      <c r="S12" s="35"/>
    </row>
    <row r="13" spans="1:19">
      <c r="A13" s="20" t="s">
        <v>62</v>
      </c>
      <c r="B13" s="4">
        <v>53.894749999999995</v>
      </c>
      <c r="C13" s="11">
        <v>63.393750000000004</v>
      </c>
      <c r="D13" s="18">
        <f t="shared" si="1"/>
        <v>10565.625</v>
      </c>
      <c r="E13" s="36">
        <f>'Interval Circuities'!B13</f>
        <v>1.3824701219183075</v>
      </c>
      <c r="F13" s="4">
        <f t="shared" si="2"/>
        <v>38.984386820031922</v>
      </c>
      <c r="G13" s="4">
        <f t="shared" si="3"/>
        <v>6.4973978033386537</v>
      </c>
      <c r="H13" s="4">
        <f t="shared" si="4"/>
        <v>132.62603534234728</v>
      </c>
      <c r="I13" s="4">
        <f t="shared" si="5"/>
        <v>1111.5370303722236</v>
      </c>
      <c r="J13" s="35">
        <v>4607.9364519999999</v>
      </c>
      <c r="K13" s="33">
        <v>5121892</v>
      </c>
      <c r="L13" s="24">
        <f t="shared" si="6"/>
        <v>147418.74947447426</v>
      </c>
      <c r="M13" s="24">
        <f t="shared" si="7"/>
        <v>147418.74947447426</v>
      </c>
      <c r="N13" s="21" t="s">
        <v>92</v>
      </c>
      <c r="O13" s="4">
        <f t="shared" si="0"/>
        <v>577.14684820484149</v>
      </c>
      <c r="P13" s="15">
        <v>2659456</v>
      </c>
      <c r="Q13" s="24">
        <f t="shared" si="8"/>
        <v>76544.698287739651</v>
      </c>
      <c r="R13" s="15">
        <f t="shared" si="9"/>
        <v>76544.698287739651</v>
      </c>
      <c r="S13" s="35"/>
    </row>
    <row r="14" spans="1:19">
      <c r="A14" s="20" t="s">
        <v>36</v>
      </c>
      <c r="B14" s="4">
        <v>54.780250000000002</v>
      </c>
      <c r="C14" s="11">
        <v>64.118250000000003</v>
      </c>
      <c r="D14" s="18">
        <f t="shared" si="1"/>
        <v>10686.375</v>
      </c>
      <c r="E14" s="36">
        <f>'Interval Circuities'!B14</f>
        <v>1.3957008737903487</v>
      </c>
      <c r="F14" s="4">
        <f t="shared" si="2"/>
        <v>39.249276853450382</v>
      </c>
      <c r="G14" s="4">
        <f t="shared" si="3"/>
        <v>6.5415461422417298</v>
      </c>
      <c r="H14" s="4">
        <f t="shared" si="4"/>
        <v>134.43448597876679</v>
      </c>
      <c r="I14" s="4">
        <f t="shared" si="5"/>
        <v>1372.3806261261409</v>
      </c>
      <c r="J14" s="35">
        <v>1729.9887180000001</v>
      </c>
      <c r="K14" s="33">
        <v>2374203</v>
      </c>
      <c r="L14" s="24">
        <f t="shared" si="6"/>
        <v>184495.28404048589</v>
      </c>
      <c r="M14" s="24">
        <f t="shared" si="7"/>
        <v>184495.28404048589</v>
      </c>
      <c r="N14" s="21" t="s">
        <v>92</v>
      </c>
      <c r="O14" s="4">
        <f t="shared" si="0"/>
        <v>661.20142177713319</v>
      </c>
      <c r="P14" s="15">
        <v>1143871</v>
      </c>
      <c r="Q14" s="24">
        <f t="shared" si="8"/>
        <v>88888.273265038675</v>
      </c>
      <c r="R14" s="15">
        <f t="shared" si="9"/>
        <v>88888.273265038675</v>
      </c>
      <c r="S14" s="35"/>
    </row>
    <row r="15" spans="1:19">
      <c r="A15" s="20" t="s">
        <v>37</v>
      </c>
      <c r="B15" s="4">
        <v>57.557500000000005</v>
      </c>
      <c r="C15" s="11">
        <v>65.124499999999998</v>
      </c>
      <c r="D15" s="18">
        <f t="shared" si="1"/>
        <v>10854.083333333332</v>
      </c>
      <c r="E15" s="36">
        <f>'Interval Circuities'!B15</f>
        <v>1.3026208565751525</v>
      </c>
      <c r="F15" s="4">
        <f t="shared" si="2"/>
        <v>44.185919263821738</v>
      </c>
      <c r="G15" s="4">
        <f t="shared" si="3"/>
        <v>7.3643198773036227</v>
      </c>
      <c r="H15" s="4">
        <f t="shared" si="4"/>
        <v>170.37864549370371</v>
      </c>
      <c r="I15" s="4">
        <f t="shared" si="5"/>
        <v>1078.2087468947925</v>
      </c>
      <c r="J15" s="35">
        <v>3463.2347500000001</v>
      </c>
      <c r="K15" s="33">
        <v>3734090</v>
      </c>
      <c r="L15" s="24">
        <f t="shared" si="6"/>
        <v>183703.74585539836</v>
      </c>
      <c r="M15" s="24">
        <f t="shared" si="7"/>
        <v>183703.74585539836</v>
      </c>
      <c r="N15" s="21" t="s">
        <v>92</v>
      </c>
      <c r="O15" s="4">
        <f t="shared" si="0"/>
        <v>492.33307098226589</v>
      </c>
      <c r="P15" s="15">
        <v>1705065</v>
      </c>
      <c r="Q15" s="24">
        <f t="shared" si="8"/>
        <v>83883.041765713948</v>
      </c>
      <c r="R15" s="15">
        <f t="shared" si="9"/>
        <v>83883.041765713948</v>
      </c>
      <c r="S15" s="35"/>
    </row>
    <row r="16" spans="1:19">
      <c r="A16" s="20" t="s">
        <v>80</v>
      </c>
      <c r="B16" s="6">
        <v>72.650000000000006</v>
      </c>
      <c r="C16" s="11">
        <v>79.78</v>
      </c>
      <c r="D16" s="18">
        <f t="shared" si="1"/>
        <v>13296.666666666666</v>
      </c>
      <c r="E16" s="36">
        <f>'Interval Circuities'!B16</f>
        <v>1.3210528558171648</v>
      </c>
      <c r="F16" s="4">
        <f t="shared" si="2"/>
        <v>54.994014569584223</v>
      </c>
      <c r="G16" s="4">
        <f t="shared" si="3"/>
        <v>9.1656690949307027</v>
      </c>
      <c r="H16" s="4">
        <f t="shared" si="4"/>
        <v>263.92359648314886</v>
      </c>
      <c r="I16" s="4">
        <f t="shared" si="5"/>
        <v>784.29737505885555</v>
      </c>
      <c r="J16" s="35">
        <v>726.68227400000001</v>
      </c>
      <c r="K16" s="33">
        <v>569935</v>
      </c>
      <c r="L16" s="24">
        <f t="shared" si="6"/>
        <v>206994.58393782625</v>
      </c>
      <c r="M16" s="24">
        <f t="shared" si="7"/>
        <v>206994.58393782625</v>
      </c>
      <c r="N16" s="21" t="s">
        <v>92</v>
      </c>
      <c r="O16" s="4">
        <f t="shared" si="0"/>
        <v>733.43332990120518</v>
      </c>
      <c r="P16" s="15">
        <f>347964+52598+97277+35134</f>
        <v>532973</v>
      </c>
      <c r="Q16" s="24">
        <f t="shared" si="8"/>
        <v>193570.36220813787</v>
      </c>
      <c r="R16" s="15">
        <f t="shared" si="9"/>
        <v>193570.36220813787</v>
      </c>
      <c r="S16" s="35"/>
    </row>
    <row r="17" spans="1:20">
      <c r="A17" s="20" t="s">
        <v>58</v>
      </c>
      <c r="B17" s="4">
        <v>63.393750000000004</v>
      </c>
      <c r="C17" s="13">
        <v>72.087750000000014</v>
      </c>
      <c r="D17" s="18">
        <f t="shared" si="1"/>
        <v>12014.625000000002</v>
      </c>
      <c r="E17" s="36">
        <f>'Interval Circuities'!B17</f>
        <v>1.4040824100816749</v>
      </c>
      <c r="F17" s="4">
        <f t="shared" si="2"/>
        <v>45.149593460338565</v>
      </c>
      <c r="G17" s="4">
        <f t="shared" si="3"/>
        <v>7.5249322433897605</v>
      </c>
      <c r="H17" s="4">
        <f t="shared" si="4"/>
        <v>177.89144392113559</v>
      </c>
      <c r="I17" s="4">
        <f t="shared" si="5"/>
        <v>1078.4020248075806</v>
      </c>
      <c r="J17" s="35">
        <v>1334.9993480000001</v>
      </c>
      <c r="K17" s="33">
        <v>1439666</v>
      </c>
      <c r="L17" s="24">
        <f t="shared" si="6"/>
        <v>191838.49332049678</v>
      </c>
      <c r="M17" s="24">
        <f t="shared" si="7"/>
        <v>191838.49332049678</v>
      </c>
      <c r="N17" s="21" t="s">
        <v>92</v>
      </c>
      <c r="O17" s="4">
        <f t="shared" si="0"/>
        <v>477.00023296191154</v>
      </c>
      <c r="P17" s="15">
        <v>636795</v>
      </c>
      <c r="Q17" s="24">
        <f t="shared" si="8"/>
        <v>84854.260192312504</v>
      </c>
      <c r="R17" s="15">
        <f t="shared" si="9"/>
        <v>84854.260192312504</v>
      </c>
      <c r="S17" s="35"/>
    </row>
    <row r="18" spans="1:20" s="20" customFormat="1">
      <c r="A18" s="20" t="s">
        <v>38</v>
      </c>
      <c r="B18" s="4">
        <v>65.969749999999991</v>
      </c>
      <c r="C18" s="13">
        <v>73.8185</v>
      </c>
      <c r="D18" s="18">
        <f t="shared" si="1"/>
        <v>12303.083333333334</v>
      </c>
      <c r="E18" s="36">
        <f>'Interval Circuities'!B18</f>
        <v>1.3288885485099737</v>
      </c>
      <c r="F18" s="4">
        <f t="shared" si="2"/>
        <v>49.642801176945248</v>
      </c>
      <c r="G18" s="4">
        <f t="shared" si="3"/>
        <v>8.2738001961575414</v>
      </c>
      <c r="H18" s="4">
        <f t="shared" si="4"/>
        <v>215.0601431411732</v>
      </c>
      <c r="I18" s="4">
        <f t="shared" si="5"/>
        <v>691.70595675577363</v>
      </c>
      <c r="J18" s="35">
        <v>1337.0695900000001</v>
      </c>
      <c r="K18" s="33">
        <v>924859</v>
      </c>
      <c r="L18" s="24">
        <f t="shared" si="6"/>
        <v>148758.38207149884</v>
      </c>
      <c r="M18" s="24">
        <f t="shared" si="7"/>
        <v>148758.38207149884</v>
      </c>
      <c r="N18" s="21" t="s">
        <v>92</v>
      </c>
      <c r="O18" s="4">
        <f t="shared" si="0"/>
        <v>423.74458609891798</v>
      </c>
      <c r="P18" s="15">
        <v>566576</v>
      </c>
      <c r="Q18" s="24">
        <f t="shared" si="8"/>
        <v>91130.571341730494</v>
      </c>
      <c r="R18" s="15">
        <f t="shared" si="9"/>
        <v>91130.571341730494</v>
      </c>
      <c r="S18" s="35"/>
    </row>
    <row r="19" spans="1:20">
      <c r="A19" s="20" t="s">
        <v>81</v>
      </c>
      <c r="B19" s="4">
        <v>61.743500000000004</v>
      </c>
      <c r="C19" s="13">
        <v>74.744249999999994</v>
      </c>
      <c r="D19" s="18">
        <f t="shared" si="1"/>
        <v>12457.374999999998</v>
      </c>
      <c r="E19" s="36">
        <f>'Interval Circuities'!B19</f>
        <v>1.4170125027894218</v>
      </c>
      <c r="F19" s="4">
        <f t="shared" si="2"/>
        <v>43.573010032343753</v>
      </c>
      <c r="G19" s="4">
        <f t="shared" si="3"/>
        <v>7.2621683387239582</v>
      </c>
      <c r="H19" s="4">
        <f t="shared" si="4"/>
        <v>165.6847344964755</v>
      </c>
      <c r="I19" s="4">
        <f t="shared" si="5"/>
        <v>1820.7093992818395</v>
      </c>
      <c r="J19" s="35">
        <v>440.73974700000002</v>
      </c>
      <c r="K19" s="33">
        <v>802459</v>
      </c>
      <c r="L19" s="24">
        <f t="shared" si="6"/>
        <v>301663.753415249</v>
      </c>
      <c r="M19" s="24">
        <f t="shared" si="7"/>
        <v>301663.753415249</v>
      </c>
      <c r="N19" s="21" t="s">
        <v>92</v>
      </c>
      <c r="O19" s="4">
        <f t="shared" si="0"/>
        <v>810.41930624877352</v>
      </c>
      <c r="P19" s="15">
        <v>357184</v>
      </c>
      <c r="Q19" s="24">
        <f t="shared" si="8"/>
        <v>134274.1075866459</v>
      </c>
      <c r="R19" s="15">
        <f t="shared" si="9"/>
        <v>134274.1075866459</v>
      </c>
      <c r="S19" s="35"/>
    </row>
    <row r="20" spans="1:20">
      <c r="A20" s="20" t="s">
        <v>39</v>
      </c>
      <c r="B20" s="4">
        <v>58.402750000000012</v>
      </c>
      <c r="C20" s="11">
        <v>69.592250000000007</v>
      </c>
      <c r="D20" s="18">
        <f t="shared" si="1"/>
        <v>11598.708333333334</v>
      </c>
      <c r="E20" s="36">
        <f>'Interval Circuities'!B20</f>
        <v>1.4112669682919152</v>
      </c>
      <c r="F20" s="4">
        <f t="shared" si="2"/>
        <v>41.383204816793828</v>
      </c>
      <c r="G20" s="4">
        <f t="shared" si="3"/>
        <v>6.8972008027989711</v>
      </c>
      <c r="H20" s="4">
        <f t="shared" si="4"/>
        <v>149.44989451776962</v>
      </c>
      <c r="I20" s="4">
        <f t="shared" si="5"/>
        <v>1149.9995031423985</v>
      </c>
      <c r="J20" s="35">
        <v>4299.4209879999999</v>
      </c>
      <c r="K20" s="33">
        <v>4944332</v>
      </c>
      <c r="L20" s="24">
        <f t="shared" si="6"/>
        <v>171867.30444011893</v>
      </c>
      <c r="M20" s="24">
        <f t="shared" si="7"/>
        <v>171867.30444011893</v>
      </c>
      <c r="N20" s="21" t="s">
        <v>92</v>
      </c>
      <c r="O20" s="4">
        <f t="shared" si="0"/>
        <v>527.05887753832587</v>
      </c>
      <c r="P20" s="15">
        <v>2266048</v>
      </c>
      <c r="Q20" s="24">
        <f t="shared" si="8"/>
        <v>78768.893652756859</v>
      </c>
      <c r="R20" s="15">
        <f t="shared" si="9"/>
        <v>78768.893652756859</v>
      </c>
      <c r="S20" s="35"/>
    </row>
    <row r="21" spans="1:20">
      <c r="A21" s="20" t="s">
        <v>40</v>
      </c>
      <c r="B21" s="4">
        <v>54.53875</v>
      </c>
      <c r="C21" s="13">
        <v>64.440250000000006</v>
      </c>
      <c r="D21" s="18">
        <f t="shared" si="1"/>
        <v>10740.041666666666</v>
      </c>
      <c r="E21" s="36">
        <f>'Interval Circuities'!B21</f>
        <v>1.3307390130691796</v>
      </c>
      <c r="F21" s="4">
        <f t="shared" si="2"/>
        <v>40.983806339466469</v>
      </c>
      <c r="G21" s="4">
        <f t="shared" si="3"/>
        <v>6.8306343899110775</v>
      </c>
      <c r="H21" s="4">
        <f t="shared" si="4"/>
        <v>146.57906710976616</v>
      </c>
      <c r="I21" s="4">
        <f t="shared" si="5"/>
        <v>813.78264340099747</v>
      </c>
      <c r="J21" s="35">
        <v>1827.8627739999999</v>
      </c>
      <c r="K21" s="33">
        <v>1487483</v>
      </c>
      <c r="L21" s="24">
        <f t="shared" si="6"/>
        <v>119283.50069983771</v>
      </c>
      <c r="M21" s="24">
        <f t="shared" si="7"/>
        <v>119283.50069983771</v>
      </c>
      <c r="N21" s="21" t="s">
        <v>92</v>
      </c>
      <c r="O21" s="4">
        <f t="shared" si="0"/>
        <v>435.24164467720595</v>
      </c>
      <c r="P21" s="15">
        <v>795562</v>
      </c>
      <c r="Q21" s="24">
        <f t="shared" si="8"/>
        <v>63797.314244105168</v>
      </c>
      <c r="R21" s="15">
        <f t="shared" si="9"/>
        <v>63797.314244105168</v>
      </c>
      <c r="S21" s="35"/>
    </row>
    <row r="22" spans="1:20" ht="16">
      <c r="A22" s="20" t="s">
        <v>119</v>
      </c>
      <c r="B22" s="4">
        <v>60.173750000000005</v>
      </c>
      <c r="C22" s="11">
        <v>67.821250000000006</v>
      </c>
      <c r="D22" s="18">
        <f t="shared" si="1"/>
        <v>11303.541666666668</v>
      </c>
      <c r="E22" s="36">
        <f>'Interval Circuities'!B22</f>
        <v>1.3734377415845354</v>
      </c>
      <c r="F22" s="4">
        <f t="shared" si="2"/>
        <v>43.81250651418501</v>
      </c>
      <c r="G22" s="4">
        <f t="shared" si="3"/>
        <v>7.3020844190308347</v>
      </c>
      <c r="H22" s="4">
        <f t="shared" si="4"/>
        <v>167.5110927339087</v>
      </c>
      <c r="I22" s="4">
        <f t="shared" si="5"/>
        <v>1369.2709398652264</v>
      </c>
      <c r="J22" s="35">
        <v>1411.4562309999999</v>
      </c>
      <c r="K22" s="33">
        <v>1932666</v>
      </c>
      <c r="L22" s="24">
        <f t="shared" si="6"/>
        <v>229368.07138561027</v>
      </c>
      <c r="M22" s="24">
        <f t="shared" si="7"/>
        <v>229368.07138561027</v>
      </c>
      <c r="N22" s="21" t="s">
        <v>92</v>
      </c>
      <c r="O22" s="4">
        <f t="shared" si="0"/>
        <v>777.85337999616661</v>
      </c>
      <c r="P22" s="15">
        <v>1097906</v>
      </c>
      <c r="Q22" s="24">
        <f t="shared" si="8"/>
        <v>130299.06966992219</v>
      </c>
      <c r="R22" s="15">
        <f t="shared" si="9"/>
        <v>130299.06966992219</v>
      </c>
      <c r="S22" s="35"/>
    </row>
    <row r="23" spans="1:20">
      <c r="A23" s="20" t="s">
        <v>41</v>
      </c>
      <c r="B23" s="4">
        <v>66.332000000000008</v>
      </c>
      <c r="C23" s="13">
        <v>74.180750000000003</v>
      </c>
      <c r="D23" s="18">
        <f t="shared" si="1"/>
        <v>12363.458333333334</v>
      </c>
      <c r="E23" s="36">
        <f>'Interval Circuities'!B23</f>
        <v>1.3923352643282094</v>
      </c>
      <c r="F23" s="4">
        <f t="shared" si="2"/>
        <v>47.640824519376565</v>
      </c>
      <c r="G23" s="4">
        <f t="shared" si="3"/>
        <v>7.9401374198960939</v>
      </c>
      <c r="H23" s="4">
        <f t="shared" si="4"/>
        <v>198.06416634647613</v>
      </c>
      <c r="I23" s="4">
        <f t="shared" si="5"/>
        <v>775.48585132918799</v>
      </c>
      <c r="J23" s="35">
        <v>1373.6150029999999</v>
      </c>
      <c r="K23" s="33">
        <v>1065219</v>
      </c>
      <c r="L23" s="24">
        <f t="shared" si="6"/>
        <v>153595.95865700295</v>
      </c>
      <c r="M23" s="24">
        <f t="shared" si="7"/>
        <v>153595.95865700295</v>
      </c>
      <c r="N23" s="21" t="s">
        <v>92</v>
      </c>
      <c r="O23" s="4">
        <f t="shared" si="0"/>
        <v>393.33583196164324</v>
      </c>
      <c r="P23" s="15">
        <v>540292</v>
      </c>
      <c r="Q23" s="24">
        <f t="shared" si="8"/>
        <v>77905.733651680493</v>
      </c>
      <c r="R23" s="15">
        <f t="shared" si="9"/>
        <v>77905.733651680493</v>
      </c>
      <c r="S23" s="35"/>
    </row>
    <row r="24" spans="1:20">
      <c r="A24" s="20" t="s">
        <v>75</v>
      </c>
      <c r="B24" s="4">
        <v>63.434000000000012</v>
      </c>
      <c r="C24" s="11">
        <v>69.552000000000007</v>
      </c>
      <c r="D24" s="18">
        <f t="shared" si="1"/>
        <v>11592</v>
      </c>
      <c r="E24" s="36">
        <f>'Interval Circuities'!B24</f>
        <v>1.3476779649684636</v>
      </c>
      <c r="F24" s="4">
        <f t="shared" si="2"/>
        <v>47.069108235723363</v>
      </c>
      <c r="G24" s="4">
        <f t="shared" si="3"/>
        <v>7.8448513726205604</v>
      </c>
      <c r="H24" s="4">
        <f t="shared" si="4"/>
        <v>193.33893080208259</v>
      </c>
      <c r="I24" s="4">
        <f t="shared" si="5"/>
        <v>865.47479649931279</v>
      </c>
      <c r="J24" s="35">
        <v>1755.5878070000001</v>
      </c>
      <c r="K24" s="33">
        <v>1519417</v>
      </c>
      <c r="L24" s="24">
        <f t="shared" si="6"/>
        <v>167329.97179132715</v>
      </c>
      <c r="M24" s="24">
        <f t="shared" si="7"/>
        <v>167329.97179132715</v>
      </c>
      <c r="N24" s="21" t="s">
        <v>92</v>
      </c>
      <c r="O24" s="4">
        <f t="shared" si="0"/>
        <v>528.94933326453656</v>
      </c>
      <c r="P24" s="15">
        <v>928617</v>
      </c>
      <c r="Q24" s="24">
        <f t="shared" si="8"/>
        <v>102266.49854183996</v>
      </c>
      <c r="R24" s="15">
        <f t="shared" si="9"/>
        <v>102266.49854183996</v>
      </c>
      <c r="S24" s="35"/>
    </row>
    <row r="25" spans="1:20">
      <c r="A25" s="20" t="s">
        <v>63</v>
      </c>
      <c r="B25" s="4">
        <v>59.529750000000007</v>
      </c>
      <c r="C25" s="11">
        <v>69.833750000000009</v>
      </c>
      <c r="D25" s="18">
        <f t="shared" si="1"/>
        <v>11638.958333333336</v>
      </c>
      <c r="E25" s="36">
        <f>'Interval Circuities'!B25</f>
        <v>1.3286382614132926</v>
      </c>
      <c r="F25" s="4">
        <f t="shared" si="2"/>
        <v>44.805084821716122</v>
      </c>
      <c r="G25" s="4">
        <f t="shared" si="3"/>
        <v>7.467514136952687</v>
      </c>
      <c r="H25" s="4">
        <f t="shared" si="4"/>
        <v>175.1870419550541</v>
      </c>
      <c r="I25" s="4">
        <f t="shared" si="5"/>
        <v>1746.9193703498715</v>
      </c>
      <c r="J25" s="35">
        <v>1079.621093</v>
      </c>
      <c r="K25" s="33">
        <v>1886011</v>
      </c>
      <c r="L25" s="24">
        <f t="shared" si="6"/>
        <v>306037.63702557964</v>
      </c>
      <c r="M25" s="24">
        <f t="shared" si="7"/>
        <v>306037.63702557964</v>
      </c>
      <c r="N25" s="21" t="s">
        <v>92</v>
      </c>
      <c r="O25" s="4">
        <f t="shared" si="0"/>
        <v>779.9930970781802</v>
      </c>
      <c r="P25" s="15">
        <v>842097</v>
      </c>
      <c r="Q25" s="24">
        <f t="shared" si="8"/>
        <v>136644.68342248775</v>
      </c>
      <c r="R25" s="15">
        <f t="shared" si="9"/>
        <v>136644.68342248775</v>
      </c>
      <c r="S25" s="35"/>
    </row>
    <row r="26" spans="1:20" ht="16">
      <c r="A26" s="20" t="s">
        <v>120</v>
      </c>
      <c r="B26" s="4">
        <v>52.928750000000001</v>
      </c>
      <c r="C26" s="13">
        <v>66.090500000000006</v>
      </c>
      <c r="D26" s="18">
        <f t="shared" si="1"/>
        <v>11015.083333333334</v>
      </c>
      <c r="E26" s="36">
        <f>'Interval Circuities'!B26</f>
        <v>1.3492227990003094</v>
      </c>
      <c r="F26" s="4">
        <f t="shared" si="2"/>
        <v>39.229065829021664</v>
      </c>
      <c r="G26" s="4">
        <f t="shared" si="3"/>
        <v>6.5381776381702768</v>
      </c>
      <c r="H26" s="4">
        <f t="shared" si="4"/>
        <v>134.29607022506204</v>
      </c>
      <c r="I26" s="4">
        <f t="shared" si="5"/>
        <v>2702.4637693066888</v>
      </c>
      <c r="J26" s="35">
        <v>4496.2660139999998</v>
      </c>
      <c r="K26" s="33">
        <v>12150996</v>
      </c>
      <c r="L26" s="24">
        <f t="shared" si="6"/>
        <v>362930.26414349693</v>
      </c>
      <c r="M26" s="24">
        <f t="shared" si="7"/>
        <v>362930.26414349693</v>
      </c>
      <c r="N26" s="21" t="s">
        <v>92</v>
      </c>
      <c r="O26" s="4">
        <f t="shared" si="0"/>
        <v>1191.6530257144168</v>
      </c>
      <c r="P26" s="15">
        <v>5357989</v>
      </c>
      <c r="Q26" s="24">
        <f t="shared" si="8"/>
        <v>160034.31842525097</v>
      </c>
      <c r="R26" s="15">
        <f t="shared" si="9"/>
        <v>160034.31842525097</v>
      </c>
      <c r="S26" s="35"/>
    </row>
    <row r="27" spans="1:20">
      <c r="A27" s="20" t="s">
        <v>42</v>
      </c>
      <c r="B27" s="4">
        <v>63.474250000000012</v>
      </c>
      <c r="C27" s="13">
        <v>71.282750000000007</v>
      </c>
      <c r="D27" s="18">
        <f t="shared" si="1"/>
        <v>11880.458333333334</v>
      </c>
      <c r="E27" s="36">
        <f>'Interval Circuities'!B27</f>
        <v>1.415233679267091</v>
      </c>
      <c r="F27" s="4">
        <f t="shared" si="2"/>
        <v>44.850720365043536</v>
      </c>
      <c r="G27" s="4">
        <f t="shared" si="3"/>
        <v>7.475120060840589</v>
      </c>
      <c r="H27" s="4">
        <f t="shared" si="4"/>
        <v>175.54409193473194</v>
      </c>
      <c r="I27" s="4">
        <f t="shared" si="5"/>
        <v>787.6776339629688</v>
      </c>
      <c r="J27" s="35">
        <v>1234.70054</v>
      </c>
      <c r="K27" s="33">
        <v>972546</v>
      </c>
      <c r="L27" s="24">
        <f t="shared" si="6"/>
        <v>138272.15499132752</v>
      </c>
      <c r="M27" s="24">
        <f t="shared" si="7"/>
        <v>138272.15499132752</v>
      </c>
      <c r="N27" s="21" t="s">
        <v>92</v>
      </c>
      <c r="O27" s="4">
        <f t="shared" si="0"/>
        <v>450.35940455650888</v>
      </c>
      <c r="P27" s="15">
        <v>556059</v>
      </c>
      <c r="Q27" s="24">
        <f t="shared" si="8"/>
        <v>79057.93271713893</v>
      </c>
      <c r="R27" s="15">
        <f t="shared" si="9"/>
        <v>79057.93271713893</v>
      </c>
      <c r="S27" s="35"/>
    </row>
    <row r="28" spans="1:20" ht="15">
      <c r="A28" s="20" t="s">
        <v>43</v>
      </c>
      <c r="B28" s="4">
        <v>67.418750000000003</v>
      </c>
      <c r="C28" s="13">
        <v>75.146750000000011</v>
      </c>
      <c r="D28" s="18">
        <f t="shared" si="1"/>
        <v>12524.458333333336</v>
      </c>
      <c r="E28" s="36">
        <f>'Interval Circuities'!B28</f>
        <v>1.3836709660756512</v>
      </c>
      <c r="F28" s="4">
        <f t="shared" si="2"/>
        <v>48.724553490641021</v>
      </c>
      <c r="G28" s="4">
        <f t="shared" si="3"/>
        <v>8.1207589151068369</v>
      </c>
      <c r="H28" s="4">
        <f t="shared" si="4"/>
        <v>207.17774791075709</v>
      </c>
      <c r="I28" s="4">
        <f t="shared" si="5"/>
        <v>823.01437699234145</v>
      </c>
      <c r="J28" s="9">
        <v>1288.022457</v>
      </c>
      <c r="K28" s="33">
        <v>1060061</v>
      </c>
      <c r="L28" s="24">
        <f t="shared" si="6"/>
        <v>170510.26512344813</v>
      </c>
      <c r="M28" s="24">
        <f t="shared" si="7"/>
        <v>170510.26512344813</v>
      </c>
      <c r="N28" s="21" t="s">
        <v>92</v>
      </c>
      <c r="O28" s="4">
        <f t="shared" si="0"/>
        <v>431.02198799628536</v>
      </c>
      <c r="P28" s="15">
        <v>555166</v>
      </c>
      <c r="Q28" s="24">
        <f t="shared" si="8"/>
        <v>89298.164773087774</v>
      </c>
      <c r="R28" s="15">
        <f t="shared" si="9"/>
        <v>89298.164773087774</v>
      </c>
      <c r="S28" s="32"/>
      <c r="T28" s="34"/>
    </row>
    <row r="29" spans="1:20" ht="15">
      <c r="A29" s="20" t="s">
        <v>44</v>
      </c>
      <c r="B29" s="4">
        <v>65.688000000000002</v>
      </c>
      <c r="C29" s="13">
        <v>72.490250000000003</v>
      </c>
      <c r="D29" s="18">
        <f t="shared" si="1"/>
        <v>12081.708333333334</v>
      </c>
      <c r="E29" s="36">
        <f>'Interval Circuities'!B29</f>
        <v>1.2592779729384731</v>
      </c>
      <c r="F29" s="4">
        <f t="shared" si="2"/>
        <v>52.163224809467422</v>
      </c>
      <c r="G29" s="4">
        <f t="shared" si="3"/>
        <v>8.6938708015779032</v>
      </c>
      <c r="H29" s="4">
        <f t="shared" si="4"/>
        <v>237.45222123225955</v>
      </c>
      <c r="I29" s="4">
        <f t="shared" si="5"/>
        <v>974.04787636700348</v>
      </c>
      <c r="J29" s="9">
        <v>1413.1502499999999</v>
      </c>
      <c r="K29" s="33">
        <v>1376476</v>
      </c>
      <c r="L29" s="24">
        <f t="shared" si="6"/>
        <v>231289.83182991031</v>
      </c>
      <c r="M29" s="24">
        <f t="shared" si="7"/>
        <v>231289.83182991031</v>
      </c>
      <c r="N29" s="21" t="s">
        <v>92</v>
      </c>
      <c r="O29" s="4">
        <f t="shared" si="0"/>
        <v>562.62736393387752</v>
      </c>
      <c r="P29" s="15">
        <v>795077</v>
      </c>
      <c r="Q29" s="24">
        <f t="shared" si="8"/>
        <v>133597.1172921501</v>
      </c>
      <c r="R29" s="15">
        <f t="shared" si="9"/>
        <v>133597.1172921501</v>
      </c>
      <c r="S29" s="32"/>
      <c r="T29" s="34"/>
    </row>
    <row r="30" spans="1:20" ht="15">
      <c r="A30" s="20" t="s">
        <v>45</v>
      </c>
      <c r="B30" s="4">
        <v>55.746250000000003</v>
      </c>
      <c r="C30" s="11">
        <v>65.688000000000002</v>
      </c>
      <c r="D30" s="18">
        <f t="shared" si="1"/>
        <v>10948</v>
      </c>
      <c r="E30" s="36">
        <f>'Interval Circuities'!B30</f>
        <v>1.367956699688347</v>
      </c>
      <c r="F30" s="4">
        <f t="shared" si="2"/>
        <v>40.751472625339915</v>
      </c>
      <c r="G30" s="4">
        <f t="shared" si="3"/>
        <v>6.7919121042233188</v>
      </c>
      <c r="H30" s="4">
        <f t="shared" si="4"/>
        <v>144.92188912052808</v>
      </c>
      <c r="I30" s="4">
        <f t="shared" si="5"/>
        <v>1001.6752173390063</v>
      </c>
      <c r="J30" s="9">
        <v>2646.4566100000002</v>
      </c>
      <c r="K30" s="33">
        <v>2650890</v>
      </c>
      <c r="L30" s="24">
        <f t="shared" si="6"/>
        <v>145164.66478198432</v>
      </c>
      <c r="M30" s="24">
        <f t="shared" si="7"/>
        <v>145164.66478198432</v>
      </c>
      <c r="N30" s="21" t="s">
        <v>92</v>
      </c>
      <c r="O30" s="4">
        <f t="shared" si="0"/>
        <v>635.21880300164821</v>
      </c>
      <c r="P30" s="15">
        <v>1681079</v>
      </c>
      <c r="Q30" s="24">
        <f t="shared" si="8"/>
        <v>92057.108935879427</v>
      </c>
      <c r="R30" s="15">
        <f t="shared" si="9"/>
        <v>92057.108935879427</v>
      </c>
      <c r="S30" s="32"/>
      <c r="T30" s="34"/>
    </row>
    <row r="31" spans="1:20" ht="15">
      <c r="A31" s="20" t="s">
        <v>46</v>
      </c>
      <c r="B31" s="4">
        <v>67.579750000000004</v>
      </c>
      <c r="C31" s="13">
        <v>75.871250000000003</v>
      </c>
      <c r="D31" s="18">
        <f t="shared" si="1"/>
        <v>12645.208333333332</v>
      </c>
      <c r="E31" s="36">
        <f>'Interval Circuities'!B31</f>
        <v>1.4297597712771255</v>
      </c>
      <c r="F31" s="4">
        <f t="shared" si="2"/>
        <v>47.266506833966062</v>
      </c>
      <c r="G31" s="4">
        <f t="shared" si="3"/>
        <v>7.8777511389943431</v>
      </c>
      <c r="H31" s="4">
        <f t="shared" si="4"/>
        <v>194.96398227510315</v>
      </c>
      <c r="I31" s="4">
        <f t="shared" si="5"/>
        <v>664.38482730522799</v>
      </c>
      <c r="J31" s="9">
        <v>1459.375591</v>
      </c>
      <c r="K31" s="33">
        <v>969587</v>
      </c>
      <c r="L31" s="24">
        <f t="shared" si="6"/>
        <v>129531.11169458393</v>
      </c>
      <c r="M31" s="24">
        <f t="shared" si="7"/>
        <v>129531.11169458393</v>
      </c>
      <c r="N31" s="21" t="s">
        <v>92</v>
      </c>
      <c r="O31" s="4">
        <f t="shared" si="0"/>
        <v>497.9506334637606</v>
      </c>
      <c r="P31" s="15">
        <v>726697</v>
      </c>
      <c r="Q31" s="24">
        <f t="shared" si="8"/>
        <v>97082.438476505005</v>
      </c>
      <c r="R31" s="15">
        <f t="shared" si="9"/>
        <v>97082.438476505005</v>
      </c>
      <c r="S31" s="32"/>
      <c r="T31" s="34"/>
    </row>
    <row r="32" spans="1:20" ht="15">
      <c r="A32" s="20" t="s">
        <v>47</v>
      </c>
      <c r="B32" s="4">
        <v>56.148750000000007</v>
      </c>
      <c r="C32" s="13">
        <v>67.137</v>
      </c>
      <c r="D32" s="18">
        <f t="shared" si="1"/>
        <v>11189.499999999998</v>
      </c>
      <c r="E32" s="36">
        <f>'Interval Circuities'!B32</f>
        <v>1.4163225470795091</v>
      </c>
      <c r="F32" s="4">
        <f t="shared" si="2"/>
        <v>39.64404161734209</v>
      </c>
      <c r="G32" s="4">
        <f t="shared" si="3"/>
        <v>6.6073402695570147</v>
      </c>
      <c r="H32" s="4">
        <f t="shared" si="4"/>
        <v>137.15233906527945</v>
      </c>
      <c r="I32" s="4">
        <f t="shared" si="5"/>
        <v>1381.8089483990395</v>
      </c>
      <c r="J32" s="18">
        <v>651.10520599999995</v>
      </c>
      <c r="K32" s="33">
        <v>899703</v>
      </c>
      <c r="L32" s="24">
        <f t="shared" si="6"/>
        <v>189518.32941426229</v>
      </c>
      <c r="M32" s="24">
        <f t="shared" si="7"/>
        <v>189518.32941426229</v>
      </c>
      <c r="N32" s="21" t="s">
        <v>92</v>
      </c>
      <c r="O32" s="4">
        <f t="shared" si="0"/>
        <v>707.13764190053189</v>
      </c>
      <c r="P32" s="15">
        <v>460421</v>
      </c>
      <c r="Q32" s="24">
        <f t="shared" si="8"/>
        <v>96985.58162776391</v>
      </c>
      <c r="R32" s="15">
        <f t="shared" si="9"/>
        <v>96985.58162776391</v>
      </c>
      <c r="S32" s="32"/>
      <c r="T32" s="34"/>
    </row>
    <row r="33" spans="1:20" ht="15">
      <c r="A33" s="20" t="s">
        <v>65</v>
      </c>
      <c r="B33" s="4">
        <v>55.142500000000005</v>
      </c>
      <c r="C33" s="11">
        <v>67.660250000000005</v>
      </c>
      <c r="D33" s="18">
        <f t="shared" si="1"/>
        <v>11276.708333333334</v>
      </c>
      <c r="E33" s="36">
        <f>'Interval Circuities'!B33</f>
        <v>1.3157627494011674</v>
      </c>
      <c r="F33" s="4">
        <f t="shared" si="2"/>
        <v>41.909151193934143</v>
      </c>
      <c r="G33" s="4">
        <f t="shared" si="3"/>
        <v>6.9848585323223569</v>
      </c>
      <c r="H33" s="4">
        <f t="shared" si="4"/>
        <v>153.27280374944533</v>
      </c>
      <c r="I33" s="4">
        <f t="shared" si="5"/>
        <v>2053.6406982836411</v>
      </c>
      <c r="J33" s="18">
        <v>8935.9813599999998</v>
      </c>
      <c r="K33" s="33">
        <v>18351295</v>
      </c>
      <c r="L33" s="24">
        <f t="shared" si="6"/>
        <v>314767.26771990239</v>
      </c>
      <c r="M33" s="24">
        <f t="shared" si="7"/>
        <v>314767.26771990239</v>
      </c>
      <c r="N33" s="21" t="s">
        <v>92</v>
      </c>
      <c r="O33" s="4">
        <f t="shared" si="0"/>
        <v>914.58136166031579</v>
      </c>
      <c r="P33" s="15">
        <f>7737401+435281</f>
        <v>8172682</v>
      </c>
      <c r="Q33" s="24">
        <f t="shared" si="8"/>
        <v>140180.44955866208</v>
      </c>
      <c r="R33" s="15">
        <f t="shared" si="9"/>
        <v>140180.44955866208</v>
      </c>
      <c r="S33" s="32"/>
      <c r="T33" s="34"/>
    </row>
    <row r="34" spans="1:20" ht="15">
      <c r="A34" s="20" t="s">
        <v>66</v>
      </c>
      <c r="B34" s="4">
        <v>69.028750000000002</v>
      </c>
      <c r="C34" s="13">
        <v>75.951750000000018</v>
      </c>
      <c r="D34" s="18">
        <f t="shared" si="1"/>
        <v>12658.625000000002</v>
      </c>
      <c r="E34" s="36">
        <f>'Interval Circuities'!B34</f>
        <v>1.3330075580666654</v>
      </c>
      <c r="F34" s="4">
        <f t="shared" si="2"/>
        <v>51.784215012341129</v>
      </c>
      <c r="G34" s="4">
        <f t="shared" si="3"/>
        <v>8.6307025020568542</v>
      </c>
      <c r="H34" s="4">
        <f t="shared" si="4"/>
        <v>234.01417584624065</v>
      </c>
      <c r="I34" s="4">
        <f t="shared" si="5"/>
        <v>810.03967977262835</v>
      </c>
      <c r="J34" s="18">
        <v>1063.53432</v>
      </c>
      <c r="K34" s="33">
        <v>861505</v>
      </c>
      <c r="L34" s="24">
        <f t="shared" si="6"/>
        <v>189560.7680647443</v>
      </c>
      <c r="M34" s="24">
        <f t="shared" si="7"/>
        <v>189560.7680647443</v>
      </c>
      <c r="N34" s="21" t="s">
        <v>92</v>
      </c>
      <c r="O34" s="4">
        <f t="shared" si="0"/>
        <v>452.14901950695867</v>
      </c>
      <c r="P34" s="15">
        <v>480876</v>
      </c>
      <c r="Q34" s="24">
        <f t="shared" si="8"/>
        <v>105809.28015960671</v>
      </c>
      <c r="R34" s="15">
        <f t="shared" si="9"/>
        <v>105809.28015960671</v>
      </c>
      <c r="S34" s="32"/>
      <c r="T34" s="34"/>
    </row>
    <row r="35" spans="1:20" ht="15">
      <c r="A35" s="20" t="s">
        <v>48</v>
      </c>
      <c r="B35" s="4">
        <v>58.161250000000003</v>
      </c>
      <c r="C35" s="11">
        <v>69.069000000000003</v>
      </c>
      <c r="D35" s="18">
        <f t="shared" si="1"/>
        <v>11511.5</v>
      </c>
      <c r="E35" s="36">
        <f>'Interval Circuities'!B35</f>
        <v>1.4073453796667255</v>
      </c>
      <c r="F35" s="4">
        <f t="shared" ref="F35:F53" si="10">B35/E35</f>
        <v>41.326920058367769</v>
      </c>
      <c r="G35" s="4">
        <f t="shared" ref="G35:G53" si="11">F35*$A$1</f>
        <v>6.8878200097279612</v>
      </c>
      <c r="H35" s="4">
        <f t="shared" ref="H35:H53" si="12">PI()*G35^2</f>
        <v>149.04364126163537</v>
      </c>
      <c r="I35" s="4">
        <f t="shared" ref="I35:I53" si="13">K35/J35</f>
        <v>975.7775860793671</v>
      </c>
      <c r="J35" s="18">
        <v>1548.012602</v>
      </c>
      <c r="K35" s="33">
        <v>1510516</v>
      </c>
      <c r="L35" s="24">
        <f t="shared" ref="L35:L53" si="14">H35*I35</f>
        <v>145433.44449075771</v>
      </c>
      <c r="M35" s="24">
        <f t="shared" ref="M35:M53" si="15">MIN(K35,L35)</f>
        <v>145433.44449075771</v>
      </c>
      <c r="N35" s="21" t="s">
        <v>92</v>
      </c>
      <c r="O35" s="4">
        <f t="shared" ref="O35:O53" si="16">P35/J35</f>
        <v>606.66560387600771</v>
      </c>
      <c r="P35" s="15">
        <v>939126</v>
      </c>
      <c r="Q35" s="24">
        <f t="shared" ref="Q35:Q53" si="17">H35*O35</f>
        <v>90419.65062986908</v>
      </c>
      <c r="R35" s="15">
        <f t="shared" ref="R35:R53" si="18">MIN(Q35,P35)</f>
        <v>90419.65062986908</v>
      </c>
      <c r="S35" s="32"/>
      <c r="T35" s="34"/>
    </row>
    <row r="36" spans="1:20" ht="15">
      <c r="A36" s="20" t="s">
        <v>67</v>
      </c>
      <c r="B36" s="4">
        <v>59.771250000000002</v>
      </c>
      <c r="C36" s="11">
        <v>68.062750000000008</v>
      </c>
      <c r="D36" s="18">
        <f t="shared" si="1"/>
        <v>11343.791666666668</v>
      </c>
      <c r="E36" s="36">
        <f>'Interval Circuities'!B36</f>
        <v>1.2908066509637137</v>
      </c>
      <c r="F36" s="4">
        <f t="shared" si="10"/>
        <v>46.305347090809384</v>
      </c>
      <c r="G36" s="4">
        <f t="shared" si="11"/>
        <v>7.7175578484682301</v>
      </c>
      <c r="H36" s="4">
        <f t="shared" si="12"/>
        <v>187.11545487488723</v>
      </c>
      <c r="I36" s="4">
        <f t="shared" si="13"/>
        <v>1060.3784681288619</v>
      </c>
      <c r="J36" s="18">
        <v>5131.7215159999996</v>
      </c>
      <c r="K36" s="33">
        <v>5441567</v>
      </c>
      <c r="L36" s="24">
        <f t="shared" si="14"/>
        <v>198413.19940346811</v>
      </c>
      <c r="M36" s="24">
        <f t="shared" si="15"/>
        <v>198413.19940346811</v>
      </c>
      <c r="N36" s="21" t="s">
        <v>92</v>
      </c>
      <c r="O36" s="4">
        <f t="shared" si="16"/>
        <v>500.02070299404772</v>
      </c>
      <c r="P36" s="15">
        <v>2565967</v>
      </c>
      <c r="Q36" s="24">
        <f t="shared" si="17"/>
        <v>93561.60128759213</v>
      </c>
      <c r="R36" s="15">
        <f t="shared" si="18"/>
        <v>93561.60128759213</v>
      </c>
      <c r="S36" s="32"/>
      <c r="T36" s="34"/>
    </row>
    <row r="37" spans="1:20" ht="15">
      <c r="A37" s="20" t="s">
        <v>49</v>
      </c>
      <c r="B37" s="4">
        <v>63.756000000000007</v>
      </c>
      <c r="C37" s="11">
        <v>70.477750000000015</v>
      </c>
      <c r="D37" s="18">
        <f t="shared" si="1"/>
        <v>11746.291666666668</v>
      </c>
      <c r="E37" s="36">
        <f>'Interval Circuities'!B37</f>
        <v>1.3444279137541839</v>
      </c>
      <c r="F37" s="4">
        <f t="shared" si="10"/>
        <v>47.422401266548825</v>
      </c>
      <c r="G37" s="4">
        <f t="shared" si="11"/>
        <v>7.9037335444248038</v>
      </c>
      <c r="H37" s="4">
        <f t="shared" si="12"/>
        <v>196.25216385895271</v>
      </c>
      <c r="I37" s="4">
        <f t="shared" si="13"/>
        <v>1222.0875996258867</v>
      </c>
      <c r="J37" s="18">
        <v>2969.6021799999999</v>
      </c>
      <c r="K37" s="33">
        <v>3629114</v>
      </c>
      <c r="L37" s="24">
        <f t="shared" si="14"/>
        <v>239837.33585177371</v>
      </c>
      <c r="M37" s="24">
        <f t="shared" si="15"/>
        <v>239837.33585177371</v>
      </c>
      <c r="N37" s="21" t="s">
        <v>92</v>
      </c>
      <c r="O37" s="4">
        <f t="shared" si="16"/>
        <v>553.72770503556137</v>
      </c>
      <c r="P37" s="15">
        <v>1644351</v>
      </c>
      <c r="Q37" s="24">
        <f t="shared" si="17"/>
        <v>108670.26030188083</v>
      </c>
      <c r="R37" s="15">
        <f t="shared" si="18"/>
        <v>108670.26030188083</v>
      </c>
      <c r="S37" s="32"/>
      <c r="T37" s="34"/>
    </row>
    <row r="38" spans="1:20" ht="15">
      <c r="A38" s="20" t="s">
        <v>50</v>
      </c>
      <c r="B38" s="4">
        <v>68.465250000000012</v>
      </c>
      <c r="C38" s="11">
        <v>76.837250000000012</v>
      </c>
      <c r="D38" s="18">
        <f t="shared" si="1"/>
        <v>12806.208333333334</v>
      </c>
      <c r="E38" s="36">
        <f>'Interval Circuities'!B38</f>
        <v>1.4115605231076185</v>
      </c>
      <c r="F38" s="4">
        <f t="shared" si="10"/>
        <v>48.503233746768764</v>
      </c>
      <c r="G38" s="4">
        <f t="shared" si="11"/>
        <v>8.0838722911281273</v>
      </c>
      <c r="H38" s="4">
        <f t="shared" si="12"/>
        <v>205.29991073395976</v>
      </c>
      <c r="I38" s="4">
        <f t="shared" si="13"/>
        <v>739.57535155262258</v>
      </c>
      <c r="J38" s="18">
        <v>2344.389921</v>
      </c>
      <c r="K38" s="33">
        <v>1733853</v>
      </c>
      <c r="L38" s="24">
        <f t="shared" si="14"/>
        <v>151834.75365479031</v>
      </c>
      <c r="M38" s="24">
        <f t="shared" si="15"/>
        <v>151834.75365479031</v>
      </c>
      <c r="N38" s="21" t="s">
        <v>92</v>
      </c>
      <c r="O38" s="4">
        <f t="shared" si="16"/>
        <v>455.62642563502135</v>
      </c>
      <c r="P38" s="15">
        <v>1068166</v>
      </c>
      <c r="Q38" s="24">
        <f t="shared" si="17"/>
        <v>93540.064510903045</v>
      </c>
      <c r="R38" s="15">
        <f t="shared" si="18"/>
        <v>93540.064510903045</v>
      </c>
      <c r="S38" s="32"/>
      <c r="T38" s="34"/>
    </row>
    <row r="39" spans="1:20" ht="15">
      <c r="A39" s="20" t="s">
        <v>51</v>
      </c>
      <c r="B39" s="4">
        <v>60.938500000000005</v>
      </c>
      <c r="C39" s="11">
        <v>71.443750000000009</v>
      </c>
      <c r="D39" s="18">
        <f t="shared" si="1"/>
        <v>11907.291666666668</v>
      </c>
      <c r="E39" s="36">
        <f>'Interval Circuities'!B39</f>
        <v>1.5301276739734433</v>
      </c>
      <c r="F39" s="4">
        <f t="shared" si="10"/>
        <v>39.825761625338494</v>
      </c>
      <c r="G39" s="4">
        <f t="shared" si="11"/>
        <v>6.6376269375564156</v>
      </c>
      <c r="H39" s="4">
        <f t="shared" si="12"/>
        <v>138.41257615459551</v>
      </c>
      <c r="I39" s="4">
        <f t="shared" si="13"/>
        <v>1362.0759506608479</v>
      </c>
      <c r="J39" s="18">
        <v>1358.1459970000001</v>
      </c>
      <c r="K39" s="33">
        <v>1849898</v>
      </c>
      <c r="L39" s="24">
        <f t="shared" si="14"/>
        <v>188528.44124918769</v>
      </c>
      <c r="M39" s="24">
        <f t="shared" si="15"/>
        <v>188528.44124918769</v>
      </c>
      <c r="N39" s="21" t="s">
        <v>92</v>
      </c>
      <c r="O39" s="4">
        <f t="shared" si="16"/>
        <v>697.50822230638278</v>
      </c>
      <c r="P39" s="15">
        <v>947318</v>
      </c>
      <c r="Q39" s="24">
        <f t="shared" si="17"/>
        <v>96543.909938438737</v>
      </c>
      <c r="R39" s="15">
        <f t="shared" si="18"/>
        <v>96543.909938438737</v>
      </c>
      <c r="S39" s="32"/>
      <c r="T39" s="34"/>
    </row>
    <row r="40" spans="1:20" ht="15">
      <c r="A40" s="20" t="s">
        <v>52</v>
      </c>
      <c r="B40" s="4">
        <v>61.542249999999996</v>
      </c>
      <c r="C40" s="13">
        <v>68.062750000000008</v>
      </c>
      <c r="D40" s="18">
        <f t="shared" si="1"/>
        <v>11343.791666666668</v>
      </c>
      <c r="E40" s="36">
        <f>'Interval Circuities'!B40</f>
        <v>1.3413795461632436</v>
      </c>
      <c r="F40" s="4">
        <f t="shared" si="10"/>
        <v>45.879818412342487</v>
      </c>
      <c r="G40" s="4">
        <f t="shared" si="11"/>
        <v>7.646636402057081</v>
      </c>
      <c r="H40" s="4">
        <f t="shared" si="12"/>
        <v>183.69221567784905</v>
      </c>
      <c r="I40" s="4">
        <f t="shared" si="13"/>
        <v>843.65595688883184</v>
      </c>
      <c r="J40" s="18">
        <v>1411.6607489999999</v>
      </c>
      <c r="K40" s="33">
        <v>1190956</v>
      </c>
      <c r="L40" s="24">
        <f t="shared" si="14"/>
        <v>154973.03199072543</v>
      </c>
      <c r="M40" s="24">
        <f t="shared" si="15"/>
        <v>154973.03199072543</v>
      </c>
      <c r="N40" s="21" t="s">
        <v>92</v>
      </c>
      <c r="O40" s="4">
        <f t="shared" si="16"/>
        <v>450.46446212410774</v>
      </c>
      <c r="P40" s="15">
        <v>635903</v>
      </c>
      <c r="Q40" s="24">
        <f t="shared" si="17"/>
        <v>82746.815131707859</v>
      </c>
      <c r="R40" s="15">
        <f t="shared" si="18"/>
        <v>82746.815131707859</v>
      </c>
      <c r="S40" s="32"/>
      <c r="T40" s="34"/>
    </row>
    <row r="41" spans="1:20" ht="15">
      <c r="A41" s="20" t="s">
        <v>53</v>
      </c>
      <c r="B41" s="4">
        <v>67.57974999999999</v>
      </c>
      <c r="C41" s="13">
        <v>75.46875</v>
      </c>
      <c r="D41" s="18">
        <f t="shared" si="1"/>
        <v>12578.125</v>
      </c>
      <c r="E41" s="36">
        <f>'Interval Circuities'!B41</f>
        <v>1.3599560158886321</v>
      </c>
      <c r="F41" s="4">
        <f t="shared" si="10"/>
        <v>49.69259976826644</v>
      </c>
      <c r="G41" s="4">
        <f t="shared" si="11"/>
        <v>8.2820999613777389</v>
      </c>
      <c r="H41" s="4">
        <f t="shared" si="12"/>
        <v>215.49182965259129</v>
      </c>
      <c r="I41" s="4">
        <f t="shared" si="13"/>
        <v>659.39427440794395</v>
      </c>
      <c r="J41" s="18">
        <v>1341.975559</v>
      </c>
      <c r="K41" s="33">
        <v>884891</v>
      </c>
      <c r="L41" s="24">
        <f t="shared" si="14"/>
        <v>142094.0786546107</v>
      </c>
      <c r="M41" s="24">
        <f t="shared" si="15"/>
        <v>142094.0786546107</v>
      </c>
      <c r="N41" s="21" t="s">
        <v>92</v>
      </c>
      <c r="O41" s="4">
        <f t="shared" si="16"/>
        <v>518.08246084457937</v>
      </c>
      <c r="P41" s="15">
        <f>438888+235541+20825</f>
        <v>695254</v>
      </c>
      <c r="Q41" s="24">
        <f t="shared" si="17"/>
        <v>111642.5373983154</v>
      </c>
      <c r="R41" s="15">
        <f t="shared" si="18"/>
        <v>111642.5373983154</v>
      </c>
      <c r="S41" s="32"/>
      <c r="T41" s="34"/>
    </row>
    <row r="42" spans="1:20" ht="15">
      <c r="A42" s="20" t="s">
        <v>161</v>
      </c>
      <c r="B42" s="4">
        <v>63.595000000000006</v>
      </c>
      <c r="C42" s="13">
        <v>70.84</v>
      </c>
      <c r="D42" s="18">
        <f t="shared" si="1"/>
        <v>11806.666666666666</v>
      </c>
      <c r="E42" s="36">
        <f>'Interval Circuities'!B42</f>
        <v>1.3054372101690606</v>
      </c>
      <c r="F42" s="4">
        <f t="shared" si="10"/>
        <v>48.715479767704906</v>
      </c>
      <c r="G42" s="4">
        <f t="shared" si="11"/>
        <v>8.1192466279508171</v>
      </c>
      <c r="H42" s="4">
        <f t="shared" si="12"/>
        <v>207.10059180325791</v>
      </c>
      <c r="I42" s="4">
        <f t="shared" si="13"/>
        <v>857.44540355569529</v>
      </c>
      <c r="J42" s="18">
        <v>840.37070700000004</v>
      </c>
      <c r="K42" s="33">
        <v>720572</v>
      </c>
      <c r="L42" s="24">
        <f t="shared" si="14"/>
        <v>177577.45051536779</v>
      </c>
      <c r="M42" s="24">
        <f t="shared" si="15"/>
        <v>177577.45051536779</v>
      </c>
      <c r="N42" s="21" t="s">
        <v>92</v>
      </c>
      <c r="O42" s="4">
        <f t="shared" si="16"/>
        <v>542.26664042919811</v>
      </c>
      <c r="P42" s="15">
        <f>430223+17339+8143</f>
        <v>455705</v>
      </c>
      <c r="Q42" s="24">
        <f t="shared" si="17"/>
        <v>112303.74214805139</v>
      </c>
      <c r="R42" s="15">
        <f t="shared" si="18"/>
        <v>112303.74214805139</v>
      </c>
      <c r="S42" s="32"/>
      <c r="T42" s="34"/>
    </row>
    <row r="43" spans="1:20" ht="15">
      <c r="A43" s="20" t="s">
        <v>54</v>
      </c>
      <c r="B43" s="4">
        <v>56.873250000000006</v>
      </c>
      <c r="C43" s="11">
        <v>65.688000000000017</v>
      </c>
      <c r="D43" s="18">
        <f t="shared" si="1"/>
        <v>10948.000000000002</v>
      </c>
      <c r="E43" s="36">
        <f>'Interval Circuities'!B43</f>
        <v>1.4338792967235054</v>
      </c>
      <c r="F43" s="4">
        <f t="shared" si="10"/>
        <v>39.663903461022535</v>
      </c>
      <c r="G43" s="4">
        <f t="shared" si="11"/>
        <v>6.6106505768370889</v>
      </c>
      <c r="H43" s="4">
        <f t="shared" si="12"/>
        <v>137.28980137237696</v>
      </c>
      <c r="I43" s="4">
        <f t="shared" si="13"/>
        <v>1413.0147860308737</v>
      </c>
      <c r="J43" s="18">
        <v>1219.8272919999999</v>
      </c>
      <c r="K43" s="33">
        <v>1723634</v>
      </c>
      <c r="L43" s="24">
        <f t="shared" si="14"/>
        <v>193992.51931041037</v>
      </c>
      <c r="M43" s="24">
        <f t="shared" si="15"/>
        <v>193992.51931041037</v>
      </c>
      <c r="N43" s="21" t="s">
        <v>92</v>
      </c>
      <c r="O43" s="4">
        <f t="shared" si="16"/>
        <v>570.37418703696301</v>
      </c>
      <c r="P43" s="15">
        <v>695758</v>
      </c>
      <c r="Q43" s="24">
        <f t="shared" si="17"/>
        <v>78306.558846235639</v>
      </c>
      <c r="R43" s="15">
        <f t="shared" si="18"/>
        <v>78306.558846235639</v>
      </c>
      <c r="S43" s="32"/>
      <c r="T43" s="34"/>
    </row>
    <row r="44" spans="1:20" ht="15">
      <c r="A44" s="20" t="s">
        <v>55</v>
      </c>
      <c r="B44" s="4">
        <v>78.084999999999994</v>
      </c>
      <c r="C44" s="13">
        <v>86.658249999999995</v>
      </c>
      <c r="D44" s="18">
        <f t="shared" si="1"/>
        <v>14443.041666666666</v>
      </c>
      <c r="E44" s="36">
        <f>'Interval Circuities'!B44</f>
        <v>1.3973954385618328</v>
      </c>
      <c r="F44" s="4">
        <f t="shared" si="10"/>
        <v>55.878957269506529</v>
      </c>
      <c r="G44" s="4">
        <f t="shared" si="11"/>
        <v>9.3131595449177542</v>
      </c>
      <c r="H44" s="4">
        <f t="shared" si="12"/>
        <v>272.48585254123179</v>
      </c>
      <c r="I44" s="4">
        <f t="shared" si="13"/>
        <v>1418.9468389746553</v>
      </c>
      <c r="J44" s="18">
        <v>719.71900000000005</v>
      </c>
      <c r="K44" s="33">
        <v>1021243</v>
      </c>
      <c r="L44" s="24">
        <f t="shared" si="14"/>
        <v>386642.93912869488</v>
      </c>
      <c r="M44" s="24">
        <f t="shared" si="15"/>
        <v>386642.93912869488</v>
      </c>
      <c r="N44" s="21" t="s">
        <v>92</v>
      </c>
      <c r="O44" s="4">
        <f t="shared" si="16"/>
        <v>998.50636151053391</v>
      </c>
      <c r="P44" s="15">
        <f>563242+155402</f>
        <v>718644</v>
      </c>
      <c r="Q44" s="24">
        <f t="shared" si="17"/>
        <v>272078.85718404123</v>
      </c>
      <c r="R44" s="15">
        <f t="shared" si="18"/>
        <v>272078.85718404123</v>
      </c>
      <c r="S44" s="32"/>
      <c r="T44" s="34"/>
    </row>
    <row r="45" spans="1:20" ht="15">
      <c r="A45" s="20" t="s">
        <v>68</v>
      </c>
      <c r="B45" s="4">
        <v>64.078000000000003</v>
      </c>
      <c r="C45" s="11">
        <v>74.422249999999991</v>
      </c>
      <c r="D45" s="18">
        <f t="shared" si="1"/>
        <v>12403.70833333333</v>
      </c>
      <c r="E45" s="36">
        <f>'Interval Circuities'!B45</f>
        <v>1.4317823771593792</v>
      </c>
      <c r="F45" s="4">
        <f t="shared" si="10"/>
        <v>44.754008026784888</v>
      </c>
      <c r="G45" s="4">
        <f t="shared" si="11"/>
        <v>7.4590013377974813</v>
      </c>
      <c r="H45" s="4">
        <f t="shared" si="12"/>
        <v>174.78785099731473</v>
      </c>
      <c r="I45" s="4">
        <f t="shared" si="13"/>
        <v>1136.9073371227814</v>
      </c>
      <c r="J45" s="18">
        <v>1546.484874</v>
      </c>
      <c r="K45" s="33">
        <v>1758210</v>
      </c>
      <c r="L45" s="24">
        <f t="shared" si="14"/>
        <v>198717.59023877059</v>
      </c>
      <c r="M45" s="24">
        <f t="shared" si="15"/>
        <v>198717.59023877059</v>
      </c>
      <c r="N45" s="21" t="s">
        <v>92</v>
      </c>
      <c r="O45" s="4">
        <f t="shared" si="16"/>
        <v>475.832006100824</v>
      </c>
      <c r="P45" s="15">
        <v>735867</v>
      </c>
      <c r="Q45" s="24">
        <f t="shared" si="17"/>
        <v>83169.653782104186</v>
      </c>
      <c r="R45" s="15">
        <f t="shared" si="18"/>
        <v>83169.653782104186</v>
      </c>
      <c r="S45" s="32"/>
      <c r="T45" s="34"/>
    </row>
    <row r="46" spans="1:20" ht="15">
      <c r="A46" s="20" t="s">
        <v>69</v>
      </c>
      <c r="B46" s="4">
        <v>60.495750000000008</v>
      </c>
      <c r="C46" s="11">
        <v>69.672750000000008</v>
      </c>
      <c r="D46" s="18">
        <f t="shared" si="1"/>
        <v>11612.125</v>
      </c>
      <c r="E46" s="36">
        <f>'Interval Circuities'!B46</f>
        <v>1.4519495177769537</v>
      </c>
      <c r="F46" s="4">
        <f t="shared" si="10"/>
        <v>41.665188258489628</v>
      </c>
      <c r="G46" s="4">
        <f t="shared" si="11"/>
        <v>6.9441980430816042</v>
      </c>
      <c r="H46" s="4">
        <f t="shared" si="12"/>
        <v>151.49352424981009</v>
      </c>
      <c r="I46" s="4">
        <f t="shared" si="13"/>
        <v>1558.6954968295993</v>
      </c>
      <c r="J46" s="18">
        <v>1896.936256</v>
      </c>
      <c r="K46" s="33">
        <v>2956746</v>
      </c>
      <c r="L46" s="24">
        <f t="shared" si="14"/>
        <v>236132.27404702469</v>
      </c>
      <c r="M46" s="24">
        <f t="shared" si="15"/>
        <v>236132.27404702469</v>
      </c>
      <c r="N46" s="21" t="s">
        <v>92</v>
      </c>
      <c r="O46" s="4">
        <f t="shared" si="16"/>
        <v>626.51709894884311</v>
      </c>
      <c r="P46" s="15">
        <v>1188463</v>
      </c>
      <c r="Q46" s="24">
        <f t="shared" si="17"/>
        <v>94913.283322527233</v>
      </c>
      <c r="R46" s="15">
        <f t="shared" si="18"/>
        <v>94913.283322527233</v>
      </c>
      <c r="S46" s="32"/>
      <c r="T46" s="34"/>
    </row>
    <row r="47" spans="1:20" ht="16">
      <c r="A47" s="20" t="s">
        <v>114</v>
      </c>
      <c r="B47" s="4">
        <v>53.250750000000011</v>
      </c>
      <c r="C47" s="13">
        <v>64.118250000000003</v>
      </c>
      <c r="D47" s="18">
        <f t="shared" si="1"/>
        <v>10686.375</v>
      </c>
      <c r="E47" s="36">
        <f>'Interval Circuities'!B47</f>
        <v>1.4529772069649314</v>
      </c>
      <c r="F47" s="4">
        <f t="shared" si="10"/>
        <v>36.649404921659759</v>
      </c>
      <c r="G47" s="4">
        <f t="shared" si="11"/>
        <v>6.1082341536099598</v>
      </c>
      <c r="H47" s="4">
        <f t="shared" si="12"/>
        <v>117.21446959327005</v>
      </c>
      <c r="I47" s="4">
        <f t="shared" si="13"/>
        <v>2419.4675820015173</v>
      </c>
      <c r="J47" s="18">
        <v>1356.1710949999999</v>
      </c>
      <c r="K47" s="33">
        <v>3281212</v>
      </c>
      <c r="L47" s="24">
        <f t="shared" si="14"/>
        <v>283596.60932241945</v>
      </c>
      <c r="M47" s="24">
        <f t="shared" si="15"/>
        <v>283596.60932241945</v>
      </c>
      <c r="N47" s="21" t="s">
        <v>92</v>
      </c>
      <c r="O47" s="4">
        <f t="shared" si="16"/>
        <v>1448.4256501573645</v>
      </c>
      <c r="P47" s="15">
        <v>1964313</v>
      </c>
      <c r="Q47" s="24">
        <f t="shared" si="17"/>
        <v>169776.44432848282</v>
      </c>
      <c r="R47" s="15">
        <f t="shared" si="18"/>
        <v>169776.44432848282</v>
      </c>
      <c r="S47" s="32"/>
      <c r="T47" s="34"/>
    </row>
    <row r="48" spans="1:20" ht="16">
      <c r="A48" s="20" t="s">
        <v>72</v>
      </c>
      <c r="B48" s="4">
        <v>63.71575</v>
      </c>
      <c r="C48" s="4">
        <v>74.382000000000005</v>
      </c>
      <c r="D48" s="18">
        <f t="shared" si="1"/>
        <v>12397</v>
      </c>
      <c r="E48" s="36">
        <f>'Interval Circuities'!B48</f>
        <v>1.3990667972183513</v>
      </c>
      <c r="F48" s="4">
        <f t="shared" si="10"/>
        <v>45.541606824406635</v>
      </c>
      <c r="G48" s="4">
        <f t="shared" si="11"/>
        <v>7.5902678040677722</v>
      </c>
      <c r="H48" s="4">
        <f t="shared" si="12"/>
        <v>180.99395538158936</v>
      </c>
      <c r="I48" s="4">
        <f t="shared" si="13"/>
        <v>2247.211920874815</v>
      </c>
      <c r="J48" s="18">
        <v>740.69382800000005</v>
      </c>
      <c r="K48" s="33">
        <v>1664496</v>
      </c>
      <c r="L48" s="24">
        <f t="shared" si="14"/>
        <v>406731.77413979196</v>
      </c>
      <c r="M48" s="24">
        <f t="shared" si="15"/>
        <v>406731.77413979196</v>
      </c>
      <c r="N48" s="21" t="s">
        <v>92</v>
      </c>
      <c r="O48" s="4">
        <f t="shared" si="16"/>
        <v>1259.1086421203445</v>
      </c>
      <c r="P48" s="15">
        <v>932614</v>
      </c>
      <c r="Q48" s="24">
        <f t="shared" si="17"/>
        <v>227891.05339250321</v>
      </c>
      <c r="R48" s="15">
        <f t="shared" si="18"/>
        <v>227891.05339250321</v>
      </c>
      <c r="S48" s="32"/>
      <c r="T48" s="34"/>
    </row>
    <row r="49" spans="1:20" ht="15">
      <c r="A49" s="20" t="s">
        <v>56</v>
      </c>
      <c r="B49" s="4">
        <v>52.928750000000001</v>
      </c>
      <c r="C49" s="11">
        <v>63.23275000000001</v>
      </c>
      <c r="D49" s="18">
        <f t="shared" si="1"/>
        <v>10538.791666666668</v>
      </c>
      <c r="E49" s="36">
        <f>'Interval Circuities'!B49</f>
        <v>1.4725838457083096</v>
      </c>
      <c r="F49" s="4">
        <f t="shared" si="10"/>
        <v>35.942775112096513</v>
      </c>
      <c r="G49" s="4">
        <f t="shared" si="11"/>
        <v>5.9904625186827518</v>
      </c>
      <c r="H49" s="4">
        <f t="shared" si="12"/>
        <v>112.73806672477238</v>
      </c>
      <c r="I49" s="4">
        <f t="shared" si="13"/>
        <v>1169.1810890127867</v>
      </c>
      <c r="J49" s="18">
        <v>2616.6973010000002</v>
      </c>
      <c r="K49" s="33">
        <v>3059393</v>
      </c>
      <c r="L49" s="24">
        <f t="shared" si="14"/>
        <v>131811.21562646559</v>
      </c>
      <c r="M49" s="24">
        <f t="shared" si="15"/>
        <v>131811.21562646559</v>
      </c>
      <c r="N49" s="21" t="s">
        <v>92</v>
      </c>
      <c r="O49" s="4">
        <f t="shared" si="16"/>
        <v>601.78378270891938</v>
      </c>
      <c r="P49" s="15">
        <v>1574686</v>
      </c>
      <c r="Q49" s="24">
        <f t="shared" si="17"/>
        <v>67843.940248924075</v>
      </c>
      <c r="R49" s="15">
        <f t="shared" si="18"/>
        <v>67843.940248924075</v>
      </c>
      <c r="S49" s="32"/>
      <c r="T49" s="34"/>
    </row>
    <row r="50" spans="1:20" ht="15">
      <c r="A50" s="20" t="s">
        <v>76</v>
      </c>
      <c r="B50" s="4">
        <v>60.375000000000007</v>
      </c>
      <c r="C50" s="11">
        <v>66.814999999999998</v>
      </c>
      <c r="D50" s="18">
        <f t="shared" si="1"/>
        <v>11135.833333333332</v>
      </c>
      <c r="E50" s="36">
        <f>'Interval Circuities'!B50</f>
        <v>1.336871859668785</v>
      </c>
      <c r="F50" s="4">
        <f t="shared" si="10"/>
        <v>45.161396407100781</v>
      </c>
      <c r="G50" s="4">
        <f t="shared" si="11"/>
        <v>7.5268994011834636</v>
      </c>
      <c r="H50" s="4">
        <f t="shared" si="12"/>
        <v>177.98446436823548</v>
      </c>
      <c r="I50" s="4">
        <f t="shared" si="13"/>
        <v>1715.2084870415904</v>
      </c>
      <c r="J50" s="18">
        <v>3207.994271</v>
      </c>
      <c r="K50" s="33">
        <v>5502379</v>
      </c>
      <c r="L50" s="24">
        <f t="shared" si="14"/>
        <v>305280.46384594904</v>
      </c>
      <c r="M50" s="24">
        <f t="shared" si="15"/>
        <v>305280.46384594904</v>
      </c>
      <c r="N50" s="21" t="s">
        <v>92</v>
      </c>
      <c r="O50" s="4">
        <f t="shared" si="16"/>
        <v>624.50298559152259</v>
      </c>
      <c r="P50" s="15">
        <v>2003402</v>
      </c>
      <c r="Q50" s="24">
        <f t="shared" si="17"/>
        <v>111151.82938687103</v>
      </c>
      <c r="R50" s="15">
        <f t="shared" si="18"/>
        <v>111151.82938687103</v>
      </c>
      <c r="S50" s="32"/>
      <c r="T50" s="34"/>
    </row>
    <row r="51" spans="1:20" ht="15">
      <c r="A51" s="20" t="s">
        <v>57</v>
      </c>
      <c r="B51" s="4">
        <v>59.771250000000002</v>
      </c>
      <c r="C51" s="13">
        <v>67.539500000000004</v>
      </c>
      <c r="D51" s="18">
        <f t="shared" si="1"/>
        <v>11256.583333333334</v>
      </c>
      <c r="E51" s="36">
        <f>'Interval Circuities'!B51</f>
        <v>1.443560196227148</v>
      </c>
      <c r="F51" s="4">
        <f t="shared" si="10"/>
        <v>41.405443400432219</v>
      </c>
      <c r="G51" s="4">
        <f t="shared" si="11"/>
        <v>6.9009072334053698</v>
      </c>
      <c r="H51" s="4">
        <f t="shared" si="12"/>
        <v>149.61056100082774</v>
      </c>
      <c r="I51" s="4">
        <f t="shared" si="13"/>
        <v>899.04720299169355</v>
      </c>
      <c r="J51" s="18">
        <v>2392.2058740000002</v>
      </c>
      <c r="K51" s="33">
        <v>2150706</v>
      </c>
      <c r="L51" s="24">
        <f t="shared" si="14"/>
        <v>134506.95640581232</v>
      </c>
      <c r="M51" s="24">
        <f t="shared" si="15"/>
        <v>134506.95640581232</v>
      </c>
      <c r="N51" s="21" t="s">
        <v>92</v>
      </c>
      <c r="O51" s="4">
        <f t="shared" si="16"/>
        <v>527.69413106122988</v>
      </c>
      <c r="P51" s="15">
        <v>1262353</v>
      </c>
      <c r="Q51" s="24">
        <f t="shared" si="17"/>
        <v>78948.614984914922</v>
      </c>
      <c r="R51" s="15">
        <f t="shared" si="18"/>
        <v>78948.614984914922</v>
      </c>
      <c r="S51" s="32"/>
      <c r="T51" s="34"/>
    </row>
    <row r="52" spans="1:20" ht="15">
      <c r="A52" s="20" t="s">
        <v>71</v>
      </c>
      <c r="B52" s="4">
        <v>61.099500000000006</v>
      </c>
      <c r="C52" s="11">
        <v>68.384749999999997</v>
      </c>
      <c r="D52" s="18">
        <f t="shared" si="1"/>
        <v>11397.458333333332</v>
      </c>
      <c r="E52" s="36">
        <f>'Interval Circuities'!B52</f>
        <v>1.3634427948695305</v>
      </c>
      <c r="F52" s="4">
        <f t="shared" si="10"/>
        <v>44.812661176479132</v>
      </c>
      <c r="G52" s="4">
        <f t="shared" si="11"/>
        <v>7.4687768627465214</v>
      </c>
      <c r="H52" s="4">
        <f t="shared" si="12"/>
        <v>175.24629377451737</v>
      </c>
      <c r="I52" s="4">
        <f t="shared" si="13"/>
        <v>985.14575645956916</v>
      </c>
      <c r="J52" s="18">
        <v>2478.5875430000001</v>
      </c>
      <c r="K52" s="33">
        <v>2441770</v>
      </c>
      <c r="L52" s="24">
        <f t="shared" si="14"/>
        <v>172643.1426472328</v>
      </c>
      <c r="M52" s="24">
        <f t="shared" si="15"/>
        <v>172643.1426472328</v>
      </c>
      <c r="N52" s="21" t="s">
        <v>92</v>
      </c>
      <c r="O52" s="4">
        <f t="shared" si="16"/>
        <v>405.59511518532634</v>
      </c>
      <c r="P52" s="15">
        <v>1005303</v>
      </c>
      <c r="Q52" s="24">
        <f t="shared" si="17"/>
        <v>71079.040709276916</v>
      </c>
      <c r="R52" s="15">
        <f t="shared" si="18"/>
        <v>71079.040709276916</v>
      </c>
      <c r="S52" s="32"/>
      <c r="T52" s="34"/>
    </row>
    <row r="53" spans="1:20" ht="16">
      <c r="A53" s="20" t="s">
        <v>117</v>
      </c>
      <c r="B53" s="4">
        <v>57.074500000000008</v>
      </c>
      <c r="C53" s="11">
        <v>69.189749999999989</v>
      </c>
      <c r="D53" s="18">
        <f t="shared" si="1"/>
        <v>11531.624999999998</v>
      </c>
      <c r="E53" s="36">
        <f>'Interval Circuities'!B53</f>
        <v>1.4280755763678319</v>
      </c>
      <c r="F53" s="4">
        <f t="shared" si="10"/>
        <v>39.966022068078018</v>
      </c>
      <c r="G53" s="4">
        <f t="shared" si="11"/>
        <v>6.6610036780130031</v>
      </c>
      <c r="H53" s="4">
        <f t="shared" si="12"/>
        <v>139.38923019464218</v>
      </c>
      <c r="I53" s="4">
        <f t="shared" si="13"/>
        <v>1339.8831695910785</v>
      </c>
      <c r="J53" s="18">
        <v>3423.2611499999998</v>
      </c>
      <c r="K53" s="33">
        <v>4586770</v>
      </c>
      <c r="L53" s="24">
        <f t="shared" si="14"/>
        <v>186765.28356005764</v>
      </c>
      <c r="M53" s="24">
        <f t="shared" si="15"/>
        <v>186765.28356005764</v>
      </c>
      <c r="N53" s="21" t="s">
        <v>92</v>
      </c>
      <c r="O53" s="4">
        <f t="shared" si="16"/>
        <v>721.59846758988874</v>
      </c>
      <c r="P53" s="15">
        <v>2470220</v>
      </c>
      <c r="Q53" s="24">
        <f t="shared" si="17"/>
        <v>100583.05490698805</v>
      </c>
      <c r="R53" s="15">
        <f t="shared" si="18"/>
        <v>100583.05490698805</v>
      </c>
      <c r="S53" s="32"/>
      <c r="T53" s="34"/>
    </row>
    <row r="54" spans="1:20">
      <c r="A54" s="20"/>
      <c r="B54" s="4"/>
      <c r="C54" s="11"/>
      <c r="E54" s="2"/>
      <c r="F54" s="4"/>
      <c r="G54" s="4"/>
      <c r="H54" s="4"/>
      <c r="I54" s="4"/>
      <c r="J54" s="18"/>
      <c r="K54" s="15"/>
      <c r="L54" s="24"/>
      <c r="M54" s="24"/>
      <c r="N54" s="21"/>
      <c r="O54" s="4"/>
      <c r="P54" s="15"/>
      <c r="Q54" s="24"/>
      <c r="R54" s="15"/>
    </row>
    <row r="55" spans="1:20">
      <c r="A55" s="20"/>
      <c r="B55" s="20"/>
      <c r="C55" s="20"/>
      <c r="E55" s="20"/>
      <c r="F55" s="20"/>
      <c r="G55" s="20"/>
      <c r="H55" s="20"/>
      <c r="I55" s="20"/>
      <c r="J55" s="10"/>
      <c r="K55" s="15"/>
      <c r="L55" s="24"/>
      <c r="M55" s="24"/>
      <c r="N55" s="20"/>
      <c r="O55" s="20"/>
      <c r="P55" s="20"/>
      <c r="Q55" s="24"/>
      <c r="R55" s="20"/>
    </row>
    <row r="56" spans="1:20">
      <c r="A56" s="20" t="s">
        <v>74</v>
      </c>
      <c r="B56" s="20"/>
      <c r="C56" s="20"/>
      <c r="E56" s="20"/>
      <c r="F56" s="20"/>
      <c r="G56" s="20"/>
      <c r="H56" s="20"/>
      <c r="I56" s="20"/>
      <c r="J56" s="9"/>
      <c r="K56" s="15"/>
      <c r="L56" s="24"/>
      <c r="M56" s="24"/>
      <c r="N56" s="20"/>
      <c r="O56" s="20"/>
      <c r="P56" s="20"/>
      <c r="Q56" s="24"/>
      <c r="R56" s="20"/>
    </row>
    <row r="57" spans="1:20" ht="16">
      <c r="A57" s="20" t="s">
        <v>160</v>
      </c>
      <c r="B57" s="20"/>
      <c r="C57" s="20"/>
      <c r="E57" s="20"/>
      <c r="F57" s="20"/>
      <c r="G57" s="20"/>
      <c r="H57" s="20"/>
      <c r="I57" s="20"/>
      <c r="J57" s="9"/>
      <c r="K57" s="15"/>
      <c r="L57" s="24"/>
      <c r="M57" s="24"/>
      <c r="N57" s="20"/>
      <c r="O57" s="20"/>
      <c r="P57" s="20"/>
      <c r="Q57" s="24"/>
      <c r="R57" s="20"/>
    </row>
    <row r="58" spans="1:20" ht="16">
      <c r="A58" s="20" t="s">
        <v>116</v>
      </c>
      <c r="B58" s="20"/>
      <c r="C58" s="20"/>
      <c r="E58" s="20"/>
      <c r="F58" s="20"/>
      <c r="G58" s="20"/>
      <c r="H58" s="20"/>
      <c r="I58" s="20"/>
      <c r="J58" s="9"/>
      <c r="K58" s="15"/>
      <c r="L58" s="24"/>
      <c r="M58" s="24"/>
      <c r="N58" s="20"/>
      <c r="O58" s="20"/>
      <c r="P58" s="20"/>
      <c r="Q58" s="24"/>
      <c r="R58" s="20"/>
    </row>
    <row r="59" spans="1:20" ht="16">
      <c r="A59" s="20" t="s">
        <v>157</v>
      </c>
      <c r="B59" s="20"/>
      <c r="C59" s="20"/>
      <c r="E59" s="20"/>
      <c r="F59" s="20"/>
      <c r="G59" s="20"/>
      <c r="H59" s="20"/>
      <c r="I59" s="20"/>
      <c r="J59" s="10"/>
      <c r="K59" s="15"/>
      <c r="L59" s="24"/>
      <c r="M59" s="24"/>
      <c r="N59" s="20"/>
      <c r="O59" s="20"/>
      <c r="P59" s="20"/>
      <c r="Q59" s="24"/>
      <c r="R59" s="20"/>
    </row>
    <row r="60" spans="1:20">
      <c r="A60" s="20"/>
      <c r="B60" s="20"/>
      <c r="C60" s="20"/>
      <c r="E60" s="20"/>
      <c r="F60" s="20"/>
      <c r="G60" s="20"/>
      <c r="H60" s="20"/>
      <c r="I60" s="20"/>
      <c r="J60" s="10"/>
      <c r="K60" s="15"/>
      <c r="L60" s="24"/>
      <c r="M60" s="24"/>
      <c r="N60" s="20"/>
      <c r="O60" s="20"/>
      <c r="P60" s="20"/>
      <c r="Q60" s="24"/>
      <c r="R60" s="20"/>
    </row>
    <row r="61" spans="1:20">
      <c r="A61" s="20" t="s">
        <v>95</v>
      </c>
      <c r="B61" s="20"/>
      <c r="C61" s="20"/>
      <c r="E61" s="20"/>
      <c r="F61" s="20"/>
      <c r="G61" s="20"/>
      <c r="H61" s="20"/>
      <c r="I61" s="20"/>
      <c r="J61" s="10"/>
      <c r="K61" s="15"/>
      <c r="L61" s="24"/>
      <c r="M61" s="24"/>
      <c r="N61" s="20"/>
      <c r="O61" s="20"/>
      <c r="P61" s="20"/>
      <c r="Q61" s="24"/>
      <c r="R61" s="20"/>
    </row>
    <row r="62" spans="1:20">
      <c r="A62" s="20"/>
      <c r="B62" s="20"/>
      <c r="C62" s="20"/>
      <c r="E62" s="20"/>
      <c r="F62" s="20"/>
      <c r="G62" s="20"/>
      <c r="H62" s="20"/>
      <c r="I62" s="20"/>
      <c r="J62" s="10"/>
      <c r="K62" s="15"/>
      <c r="L62" s="24"/>
      <c r="M62" s="24"/>
      <c r="N62" s="20"/>
      <c r="O62" s="20"/>
      <c r="P62" s="20"/>
      <c r="Q62" s="24"/>
      <c r="R62" s="20"/>
    </row>
    <row r="63" spans="1:20">
      <c r="A63" s="20" t="s">
        <v>158</v>
      </c>
      <c r="B63" s="20"/>
      <c r="C63" s="20"/>
      <c r="E63" s="20"/>
      <c r="F63" s="20"/>
      <c r="G63" s="20"/>
      <c r="H63" s="20"/>
      <c r="I63" s="20"/>
      <c r="J63" s="9"/>
      <c r="K63" s="15"/>
      <c r="L63" s="24"/>
      <c r="M63" s="24"/>
      <c r="N63" s="20"/>
      <c r="O63" s="20"/>
      <c r="P63" s="20"/>
      <c r="Q63" s="24"/>
      <c r="R63" s="20"/>
    </row>
    <row r="64" spans="1:20">
      <c r="A64" s="20" t="s">
        <v>159</v>
      </c>
      <c r="B64" s="20"/>
      <c r="C64" s="20"/>
      <c r="E64" s="20"/>
      <c r="F64" s="20"/>
      <c r="G64" s="20"/>
      <c r="H64" s="20"/>
      <c r="I64" s="20"/>
      <c r="J64" s="10"/>
      <c r="K64" s="15"/>
      <c r="L64" s="24"/>
      <c r="M64" s="24"/>
      <c r="N64" s="20"/>
      <c r="O64" s="20"/>
      <c r="P64" s="20"/>
      <c r="Q64" s="24"/>
      <c r="R64" s="20"/>
    </row>
    <row r="65" spans="1:18">
      <c r="A65" s="20" t="s">
        <v>121</v>
      </c>
      <c r="B65" s="20"/>
      <c r="C65" s="20"/>
      <c r="E65" s="20"/>
      <c r="F65" s="20"/>
      <c r="G65" s="20"/>
      <c r="H65" s="20"/>
      <c r="I65" s="20"/>
      <c r="J65" s="10"/>
      <c r="K65" s="15"/>
      <c r="L65" s="24"/>
      <c r="M65" s="24"/>
      <c r="N65" s="20"/>
      <c r="O65" s="20"/>
      <c r="P65" s="20"/>
      <c r="Q65" s="24"/>
      <c r="R65" s="20"/>
    </row>
    <row r="66" spans="1:18">
      <c r="A66" t="s">
        <v>133</v>
      </c>
    </row>
  </sheetData>
  <sortState ref="A3:Q53">
    <sortCondition ref="A3:A53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E4" sqref="E3:E53"/>
    </sheetView>
  </sheetViews>
  <sheetFormatPr baseColWidth="10" defaultColWidth="11.5" defaultRowHeight="14" x14ac:dyDescent="0"/>
  <cols>
    <col min="4" max="4" width="11.5" style="20"/>
  </cols>
  <sheetData>
    <row r="1" spans="1:18" ht="56">
      <c r="A1" s="20">
        <f>2/6</f>
        <v>0.33333333333333331</v>
      </c>
      <c r="B1" s="1" t="s">
        <v>60</v>
      </c>
      <c r="C1" s="1" t="s">
        <v>61</v>
      </c>
      <c r="D1" s="1" t="s">
        <v>162</v>
      </c>
      <c r="E1" s="7" t="s">
        <v>163</v>
      </c>
      <c r="F1" s="1" t="s">
        <v>21</v>
      </c>
      <c r="G1" s="1" t="s">
        <v>20</v>
      </c>
      <c r="H1" s="1" t="s">
        <v>131</v>
      </c>
      <c r="I1" s="1" t="s">
        <v>25</v>
      </c>
      <c r="J1" s="8" t="s">
        <v>84</v>
      </c>
      <c r="K1" s="25" t="s">
        <v>79</v>
      </c>
      <c r="L1" s="23" t="s">
        <v>77</v>
      </c>
      <c r="M1" s="29" t="s">
        <v>104</v>
      </c>
      <c r="N1" s="21" t="s">
        <v>92</v>
      </c>
      <c r="O1" s="1" t="s">
        <v>90</v>
      </c>
      <c r="P1" s="1" t="s">
        <v>88</v>
      </c>
      <c r="Q1" s="23" t="s">
        <v>89</v>
      </c>
      <c r="R1" s="20" t="s">
        <v>103</v>
      </c>
    </row>
    <row r="2" spans="1:18" ht="16">
      <c r="A2" s="20" t="s">
        <v>16</v>
      </c>
      <c r="B2" s="20" t="s">
        <v>18</v>
      </c>
      <c r="C2" s="20" t="s">
        <v>122</v>
      </c>
      <c r="E2" s="20" t="s">
        <v>115</v>
      </c>
      <c r="F2" s="20" t="s">
        <v>17</v>
      </c>
      <c r="G2" s="20" t="s">
        <v>19</v>
      </c>
      <c r="H2" s="20" t="s">
        <v>132</v>
      </c>
      <c r="I2" s="20" t="s">
        <v>24</v>
      </c>
      <c r="J2" s="9" t="s">
        <v>16</v>
      </c>
      <c r="K2" s="15" t="s">
        <v>123</v>
      </c>
      <c r="L2" s="24" t="s">
        <v>129</v>
      </c>
      <c r="M2" s="24" t="s">
        <v>124</v>
      </c>
      <c r="N2" s="21" t="s">
        <v>92</v>
      </c>
      <c r="O2" s="20" t="s">
        <v>125</v>
      </c>
      <c r="P2" s="20" t="s">
        <v>126</v>
      </c>
      <c r="Q2" s="24" t="s">
        <v>128</v>
      </c>
      <c r="R2" s="20" t="s">
        <v>127</v>
      </c>
    </row>
    <row r="3" spans="1:18">
      <c r="A3" s="20" t="s">
        <v>26</v>
      </c>
      <c r="B3" s="4">
        <f>'2010-10'!B3</f>
        <v>57.436750000000011</v>
      </c>
      <c r="C3" s="4">
        <f>'2010-10'!C3</f>
        <v>68.143250000000009</v>
      </c>
      <c r="D3" s="18">
        <f>C3*$A$1*1000</f>
        <v>22714.416666666668</v>
      </c>
      <c r="E3" s="4">
        <f>'Interval Circuities'!C3</f>
        <v>1.3087124907830403</v>
      </c>
      <c r="F3" s="4">
        <f t="shared" ref="F3:F34" si="0">B3/E3</f>
        <v>43.887981817636621</v>
      </c>
      <c r="G3" s="4">
        <f t="shared" ref="G3:G34" si="1">F3*$A$1</f>
        <v>14.62932727254554</v>
      </c>
      <c r="H3" s="4">
        <f t="shared" ref="H3:H34" si="2">PI()*G3^2</f>
        <v>672.35491493240067</v>
      </c>
      <c r="I3" s="4">
        <f t="shared" ref="I3:I34" si="3">K3/J3</f>
        <v>873.48977839674285</v>
      </c>
      <c r="J3" s="9">
        <v>5083.0589090000003</v>
      </c>
      <c r="K3" s="15">
        <v>4440000</v>
      </c>
      <c r="L3" s="24">
        <f t="shared" ref="L3:L34" si="4">H3*I3</f>
        <v>587295.14564826351</v>
      </c>
      <c r="M3" s="24">
        <f t="shared" ref="M3:M34" si="5">MIN(K3,L3)</f>
        <v>587295.14564826351</v>
      </c>
      <c r="N3" s="21" t="s">
        <v>92</v>
      </c>
      <c r="O3" s="4">
        <f t="shared" ref="O3:O34" si="6">P3/J3</f>
        <v>436.36913120811522</v>
      </c>
      <c r="P3" s="15">
        <v>2218090</v>
      </c>
      <c r="Q3" s="24">
        <f t="shared" ref="Q3:Q34" si="7">H3*O3</f>
        <v>293394.93009255792</v>
      </c>
      <c r="R3" s="15">
        <f t="shared" ref="R3:R34" si="8">MIN(Q3,P3)</f>
        <v>293394.93009255792</v>
      </c>
    </row>
    <row r="4" spans="1:18">
      <c r="A4" s="20" t="s">
        <v>27</v>
      </c>
      <c r="B4" s="4">
        <f>'2010-10'!B4</f>
        <v>62.91075</v>
      </c>
      <c r="C4" s="4">
        <f>'2010-10'!C4</f>
        <v>76.756750000000011</v>
      </c>
      <c r="D4" s="18">
        <f t="shared" ref="D4:D53" si="9">C4*$A$1*1000</f>
        <v>25585.583333333336</v>
      </c>
      <c r="E4" s="4">
        <f>'Interval Circuities'!C4</f>
        <v>1.3723222910878397</v>
      </c>
      <c r="F4" s="4">
        <f t="shared" si="0"/>
        <v>45.842547635170057</v>
      </c>
      <c r="G4" s="4">
        <f t="shared" si="1"/>
        <v>15.280849211723352</v>
      </c>
      <c r="H4" s="4">
        <f t="shared" si="2"/>
        <v>733.5755588081289</v>
      </c>
      <c r="I4" s="4">
        <f t="shared" si="3"/>
        <v>1256.1525913969799</v>
      </c>
      <c r="J4" s="9">
        <v>823.94448499999999</v>
      </c>
      <c r="K4" s="15">
        <v>1035000</v>
      </c>
      <c r="L4" s="24">
        <f t="shared" si="4"/>
        <v>921482.83918231877</v>
      </c>
      <c r="M4" s="24">
        <f t="shared" si="5"/>
        <v>921482.83918231877</v>
      </c>
      <c r="N4" s="21" t="s">
        <v>92</v>
      </c>
      <c r="O4" s="4">
        <f t="shared" si="6"/>
        <v>796.23932430350578</v>
      </c>
      <c r="P4" s="15">
        <v>656057</v>
      </c>
      <c r="Q4" s="24">
        <f t="shared" si="7"/>
        <v>584101.70727095124</v>
      </c>
      <c r="R4" s="15">
        <f t="shared" si="8"/>
        <v>584101.70727095124</v>
      </c>
    </row>
    <row r="5" spans="1:18" ht="16">
      <c r="A5" s="20" t="s">
        <v>118</v>
      </c>
      <c r="B5" s="4">
        <f>'2010-10'!B5</f>
        <v>59.811500000000002</v>
      </c>
      <c r="C5" s="4">
        <f>'2010-10'!C5</f>
        <v>68.626249999999999</v>
      </c>
      <c r="D5" s="18">
        <f t="shared" si="9"/>
        <v>22875.416666666668</v>
      </c>
      <c r="E5" s="4">
        <f>'Interval Circuities'!C5</f>
        <v>1.3092658889264803</v>
      </c>
      <c r="F5" s="4">
        <f t="shared" si="0"/>
        <v>45.683234021350586</v>
      </c>
      <c r="G5" s="4">
        <f t="shared" si="1"/>
        <v>15.227744673783528</v>
      </c>
      <c r="H5" s="4">
        <f t="shared" si="2"/>
        <v>728.48572386486831</v>
      </c>
      <c r="I5" s="4">
        <f t="shared" si="3"/>
        <v>1312.0237170817477</v>
      </c>
      <c r="J5" s="9">
        <v>1768.260718</v>
      </c>
      <c r="K5" s="15">
        <v>2320000</v>
      </c>
      <c r="L5" s="24">
        <f t="shared" si="4"/>
        <v>955790.54726617213</v>
      </c>
      <c r="M5" s="24">
        <f t="shared" si="5"/>
        <v>955790.54726617213</v>
      </c>
      <c r="N5" s="21" t="s">
        <v>92</v>
      </c>
      <c r="O5" s="4">
        <f t="shared" si="6"/>
        <v>634.47657270187688</v>
      </c>
      <c r="P5" s="15">
        <v>1121920</v>
      </c>
      <c r="Q5" s="24">
        <f t="shared" si="7"/>
        <v>462207.1253400275</v>
      </c>
      <c r="R5" s="15">
        <f t="shared" si="8"/>
        <v>462207.1253400275</v>
      </c>
    </row>
    <row r="6" spans="1:18">
      <c r="A6" s="20" t="s">
        <v>29</v>
      </c>
      <c r="B6" s="4">
        <f>'2010-10'!B6</f>
        <v>53.613</v>
      </c>
      <c r="C6" s="4">
        <f>'2010-10'!C6</f>
        <v>62.8705</v>
      </c>
      <c r="D6" s="18">
        <f t="shared" si="9"/>
        <v>20956.833333333332</v>
      </c>
      <c r="E6" s="4">
        <f>'Interval Circuities'!C6</f>
        <v>1.2579493722607327</v>
      </c>
      <c r="F6" s="4">
        <f t="shared" si="0"/>
        <v>42.619362259109849</v>
      </c>
      <c r="G6" s="4">
        <f t="shared" si="1"/>
        <v>14.206454086369948</v>
      </c>
      <c r="H6" s="4">
        <f t="shared" si="2"/>
        <v>634.04671506685634</v>
      </c>
      <c r="I6" s="4">
        <f t="shared" si="3"/>
        <v>934.02366191942531</v>
      </c>
      <c r="J6" s="9">
        <v>4496.6740900000004</v>
      </c>
      <c r="K6" s="15">
        <v>4200000</v>
      </c>
      <c r="L6" s="24">
        <f t="shared" si="4"/>
        <v>592214.63463472761</v>
      </c>
      <c r="M6" s="24">
        <f t="shared" si="5"/>
        <v>592214.63463472761</v>
      </c>
      <c r="N6" s="21" t="s">
        <v>92</v>
      </c>
      <c r="O6" s="4">
        <f t="shared" si="6"/>
        <v>645.53199584895856</v>
      </c>
      <c r="P6" s="15">
        <f>2341938+286024+61431+22699+190655</f>
        <v>2902747</v>
      </c>
      <c r="Q6" s="24">
        <f t="shared" si="7"/>
        <v>409297.44143858372</v>
      </c>
      <c r="R6" s="15">
        <f t="shared" si="8"/>
        <v>409297.44143858372</v>
      </c>
    </row>
    <row r="7" spans="1:18">
      <c r="A7" s="20" t="s">
        <v>30</v>
      </c>
      <c r="B7" s="4">
        <f>'2010-10'!B7</f>
        <v>63.434000000000012</v>
      </c>
      <c r="C7" s="4">
        <f>'2010-10'!C7</f>
        <v>70.236249999999998</v>
      </c>
      <c r="D7" s="18">
        <f t="shared" si="9"/>
        <v>23412.083333333332</v>
      </c>
      <c r="E7" s="4">
        <f>'Interval Circuities'!C7</f>
        <v>1.2242186729132589</v>
      </c>
      <c r="F7" s="4">
        <f t="shared" si="0"/>
        <v>51.81590626211154</v>
      </c>
      <c r="G7" s="4">
        <f t="shared" si="1"/>
        <v>17.271968754037179</v>
      </c>
      <c r="H7" s="4">
        <f t="shared" si="2"/>
        <v>937.20276243065678</v>
      </c>
      <c r="I7" s="4">
        <f t="shared" si="3"/>
        <v>1184.5434204235628</v>
      </c>
      <c r="J7" s="9">
        <v>949.73302000000001</v>
      </c>
      <c r="K7" s="15">
        <v>1125000</v>
      </c>
      <c r="L7" s="24">
        <f t="shared" si="4"/>
        <v>1110157.365840022</v>
      </c>
      <c r="M7" s="24">
        <f t="shared" si="5"/>
        <v>1110157.365840022</v>
      </c>
      <c r="N7" s="21" t="s">
        <v>92</v>
      </c>
      <c r="O7" s="4">
        <f t="shared" si="6"/>
        <v>494.17361523346847</v>
      </c>
      <c r="P7" s="15">
        <v>469333</v>
      </c>
      <c r="Q7" s="24">
        <f t="shared" si="7"/>
        <v>463140.87731715111</v>
      </c>
      <c r="R7" s="15">
        <f t="shared" si="8"/>
        <v>463140.87731715111</v>
      </c>
    </row>
    <row r="8" spans="1:18">
      <c r="A8" s="20" t="s">
        <v>31</v>
      </c>
      <c r="B8" s="4">
        <f>'2010-10'!B8</f>
        <v>61.2605</v>
      </c>
      <c r="C8" s="4">
        <f>'2010-10'!C8</f>
        <v>70.799749999999989</v>
      </c>
      <c r="D8" s="18">
        <f t="shared" si="9"/>
        <v>23599.916666666661</v>
      </c>
      <c r="E8" s="4">
        <f>'Interval Circuities'!C8</f>
        <v>1.2718268758603823</v>
      </c>
      <c r="F8" s="4">
        <f t="shared" si="0"/>
        <v>48.167326200397902</v>
      </c>
      <c r="G8" s="4">
        <f t="shared" si="1"/>
        <v>16.055775400132632</v>
      </c>
      <c r="H8" s="4">
        <f t="shared" si="2"/>
        <v>809.86464727852842</v>
      </c>
      <c r="I8" s="4">
        <f t="shared" si="3"/>
        <v>949.91537958488948</v>
      </c>
      <c r="J8" s="9">
        <v>1126.4161240000001</v>
      </c>
      <c r="K8" s="15">
        <v>1070000</v>
      </c>
      <c r="L8" s="24">
        <f t="shared" si="4"/>
        <v>769302.88383196597</v>
      </c>
      <c r="M8" s="24">
        <f t="shared" si="5"/>
        <v>769302.88383196597</v>
      </c>
      <c r="N8" s="21" t="s">
        <v>92</v>
      </c>
      <c r="O8" s="4">
        <f t="shared" si="6"/>
        <v>723.7920184459291</v>
      </c>
      <c r="P8" s="15">
        <v>815291</v>
      </c>
      <c r="Q8" s="24">
        <f t="shared" si="7"/>
        <v>586173.56772172649</v>
      </c>
      <c r="R8" s="15">
        <f t="shared" si="8"/>
        <v>586173.56772172649</v>
      </c>
    </row>
    <row r="9" spans="1:18">
      <c r="A9" s="20" t="s">
        <v>32</v>
      </c>
      <c r="B9" s="4">
        <f>'2010-10'!B9</f>
        <v>49.265999999999998</v>
      </c>
      <c r="C9" s="4">
        <f>'2010-10'!C9</f>
        <v>60.495750000000008</v>
      </c>
      <c r="D9" s="18">
        <f t="shared" si="9"/>
        <v>20165.25</v>
      </c>
      <c r="E9" s="4">
        <f>'Interval Circuities'!C9</f>
        <v>1.2622043331825756</v>
      </c>
      <c r="F9" s="4">
        <f t="shared" si="0"/>
        <v>39.031715154850254</v>
      </c>
      <c r="G9" s="4">
        <f t="shared" si="1"/>
        <v>13.010571718283417</v>
      </c>
      <c r="H9" s="4">
        <f t="shared" si="2"/>
        <v>531.79302240979632</v>
      </c>
      <c r="I9" s="4">
        <f t="shared" si="3"/>
        <v>1535.0877689569375</v>
      </c>
      <c r="J9" s="9">
        <v>5498.0569649999998</v>
      </c>
      <c r="K9" s="15">
        <v>8440000</v>
      </c>
      <c r="L9" s="24">
        <f t="shared" si="4"/>
        <v>816348.96431792085</v>
      </c>
      <c r="M9" s="24">
        <f t="shared" si="5"/>
        <v>816348.96431792085</v>
      </c>
      <c r="N9" s="21" t="s">
        <v>92</v>
      </c>
      <c r="O9" s="4">
        <f t="shared" si="6"/>
        <v>761.20455401647519</v>
      </c>
      <c r="P9" s="15">
        <v>4185146</v>
      </c>
      <c r="Q9" s="24">
        <f t="shared" si="7"/>
        <v>404803.27045252238</v>
      </c>
      <c r="R9" s="15">
        <f t="shared" si="8"/>
        <v>404803.27045252238</v>
      </c>
    </row>
    <row r="10" spans="1:18">
      <c r="A10" s="20" t="s">
        <v>33</v>
      </c>
      <c r="B10" s="4">
        <f>'2010-10'!B10</f>
        <v>66.895499999999998</v>
      </c>
      <c r="C10" s="4">
        <f>'2010-10'!C10</f>
        <v>72.530500000000018</v>
      </c>
      <c r="D10" s="18">
        <f t="shared" si="9"/>
        <v>24176.833333333339</v>
      </c>
      <c r="E10" s="4">
        <f>'Interval Circuities'!C10</f>
        <v>1.3346635676863023</v>
      </c>
      <c r="F10" s="4">
        <f t="shared" si="0"/>
        <v>50.121619874562299</v>
      </c>
      <c r="G10" s="4">
        <f t="shared" si="1"/>
        <v>16.707206624854098</v>
      </c>
      <c r="H10" s="4">
        <f t="shared" si="2"/>
        <v>876.91512366160021</v>
      </c>
      <c r="I10" s="4">
        <f t="shared" si="3"/>
        <v>959.84466122297908</v>
      </c>
      <c r="J10" s="9">
        <v>1739.864863</v>
      </c>
      <c r="K10" s="15">
        <v>1670000</v>
      </c>
      <c r="L10" s="24">
        <f t="shared" si="4"/>
        <v>841702.29979227541</v>
      </c>
      <c r="M10" s="24">
        <f t="shared" si="5"/>
        <v>841702.29979227541</v>
      </c>
      <c r="N10" s="21" t="s">
        <v>92</v>
      </c>
      <c r="O10" s="4">
        <f t="shared" si="6"/>
        <v>544.468722913683</v>
      </c>
      <c r="P10" s="15">
        <v>947302</v>
      </c>
      <c r="Q10" s="24">
        <f t="shared" si="7"/>
        <v>477452.85748372588</v>
      </c>
      <c r="R10" s="15">
        <f t="shared" si="8"/>
        <v>477452.85748372588</v>
      </c>
    </row>
    <row r="11" spans="1:18">
      <c r="A11" s="20" t="s">
        <v>34</v>
      </c>
      <c r="B11" s="4">
        <f>'2010-10'!B11</f>
        <v>66.332000000000008</v>
      </c>
      <c r="C11" s="4">
        <f>'2010-10'!C11</f>
        <v>73.013500000000008</v>
      </c>
      <c r="D11" s="18">
        <f t="shared" si="9"/>
        <v>24337.833333333336</v>
      </c>
      <c r="E11" s="4">
        <f>'Interval Circuities'!C11</f>
        <v>1.2210242271152514</v>
      </c>
      <c r="F11" s="4">
        <f t="shared" si="0"/>
        <v>54.324884410126444</v>
      </c>
      <c r="G11" s="4">
        <f t="shared" si="1"/>
        <v>18.108294803375479</v>
      </c>
      <c r="H11" s="4">
        <f t="shared" si="2"/>
        <v>1030.1607173351235</v>
      </c>
      <c r="I11" s="4">
        <f t="shared" si="3"/>
        <v>1068.1935094485655</v>
      </c>
      <c r="J11" s="9">
        <v>1675.7263399999999</v>
      </c>
      <c r="K11" s="15">
        <v>1790000</v>
      </c>
      <c r="L11" s="24">
        <f t="shared" si="4"/>
        <v>1100410.9919462572</v>
      </c>
      <c r="M11" s="24">
        <f t="shared" si="5"/>
        <v>1100410.9919462572</v>
      </c>
      <c r="N11" s="21" t="s">
        <v>92</v>
      </c>
      <c r="O11" s="4">
        <f t="shared" si="6"/>
        <v>567.00129210835223</v>
      </c>
      <c r="P11" s="15">
        <v>950139</v>
      </c>
      <c r="Q11" s="24">
        <f t="shared" si="7"/>
        <v>584102.45780828211</v>
      </c>
      <c r="R11" s="15">
        <f t="shared" si="8"/>
        <v>584102.45780828211</v>
      </c>
    </row>
    <row r="12" spans="1:18">
      <c r="A12" s="20" t="s">
        <v>35</v>
      </c>
      <c r="B12" s="4">
        <f>'2010-10'!B12</f>
        <v>73.174500000000009</v>
      </c>
      <c r="C12" s="4">
        <f>'2010-10'!C12</f>
        <v>79.775500000000008</v>
      </c>
      <c r="D12" s="18">
        <f t="shared" si="9"/>
        <v>26591.833333333332</v>
      </c>
      <c r="E12" s="4">
        <f>'Interval Circuities'!C12</f>
        <v>1.247954909153181</v>
      </c>
      <c r="F12" s="4">
        <f t="shared" si="0"/>
        <v>58.635531991819875</v>
      </c>
      <c r="G12" s="4">
        <f t="shared" si="1"/>
        <v>19.545177330606624</v>
      </c>
      <c r="H12" s="4">
        <f t="shared" si="2"/>
        <v>1200.1322405182411</v>
      </c>
      <c r="I12" s="4">
        <f t="shared" si="3"/>
        <v>1189.2536054091877</v>
      </c>
      <c r="J12" s="9">
        <v>1030.0578399999999</v>
      </c>
      <c r="K12" s="15">
        <v>1225000</v>
      </c>
      <c r="L12" s="24">
        <f t="shared" si="4"/>
        <v>1427261.5940041246</v>
      </c>
      <c r="M12" s="24">
        <f t="shared" si="5"/>
        <v>1225000</v>
      </c>
      <c r="N12" s="21" t="s">
        <v>92</v>
      </c>
      <c r="O12" s="4">
        <f t="shared" si="6"/>
        <v>769.83055631128445</v>
      </c>
      <c r="P12" s="15">
        <v>792970</v>
      </c>
      <c r="Q12" s="24">
        <f t="shared" si="7"/>
        <v>923898.47036526585</v>
      </c>
      <c r="R12" s="15">
        <f t="shared" si="8"/>
        <v>792970</v>
      </c>
    </row>
    <row r="13" spans="1:18">
      <c r="A13" s="20" t="s">
        <v>62</v>
      </c>
      <c r="B13" s="4">
        <f>'2010-10'!B13</f>
        <v>53.894749999999995</v>
      </c>
      <c r="C13" s="4">
        <f>'2010-10'!C13</f>
        <v>63.393750000000004</v>
      </c>
      <c r="D13" s="18">
        <f t="shared" si="9"/>
        <v>21131.25</v>
      </c>
      <c r="E13" s="4">
        <f>'Interval Circuities'!C13</f>
        <v>1.3241222203723044</v>
      </c>
      <c r="F13" s="4">
        <f t="shared" si="0"/>
        <v>40.702247247875931</v>
      </c>
      <c r="G13" s="4">
        <f t="shared" si="1"/>
        <v>13.567415749291976</v>
      </c>
      <c r="H13" s="4">
        <f t="shared" si="2"/>
        <v>578.28794550179953</v>
      </c>
      <c r="I13" s="4">
        <f t="shared" si="3"/>
        <v>1219.7404531385341</v>
      </c>
      <c r="J13" s="9">
        <v>3644.2179059999999</v>
      </c>
      <c r="K13" s="15">
        <v>4445000</v>
      </c>
      <c r="L13" s="24">
        <f t="shared" si="4"/>
        <v>705361.20069091686</v>
      </c>
      <c r="M13" s="24">
        <f t="shared" si="5"/>
        <v>705361.20069091686</v>
      </c>
      <c r="N13" s="21" t="s">
        <v>92</v>
      </c>
      <c r="O13" s="4">
        <f t="shared" si="6"/>
        <v>729.77414320404807</v>
      </c>
      <c r="P13" s="15">
        <v>2659456</v>
      </c>
      <c r="Q13" s="24">
        <f t="shared" si="7"/>
        <v>422019.58995380497</v>
      </c>
      <c r="R13" s="15">
        <f t="shared" si="8"/>
        <v>422019.58995380497</v>
      </c>
    </row>
    <row r="14" spans="1:18">
      <c r="A14" s="20" t="s">
        <v>36</v>
      </c>
      <c r="B14" s="4">
        <f>'2010-10'!B14</f>
        <v>54.780250000000002</v>
      </c>
      <c r="C14" s="4">
        <f>'2010-10'!C14</f>
        <v>64.118250000000003</v>
      </c>
      <c r="D14" s="18">
        <f t="shared" si="9"/>
        <v>21372.75</v>
      </c>
      <c r="E14" s="4">
        <f>'Interval Circuities'!C14</f>
        <v>1.382383812463321</v>
      </c>
      <c r="F14" s="4">
        <f t="shared" si="0"/>
        <v>39.627380982120329</v>
      </c>
      <c r="G14" s="4">
        <f t="shared" si="1"/>
        <v>13.209126994040108</v>
      </c>
      <c r="H14" s="4">
        <f t="shared" si="2"/>
        <v>548.14834071454038</v>
      </c>
      <c r="I14" s="4">
        <f t="shared" si="3"/>
        <v>1687.4292750883483</v>
      </c>
      <c r="J14" s="9">
        <v>1291.9059970000001</v>
      </c>
      <c r="K14" s="15">
        <v>2180000</v>
      </c>
      <c r="L14" s="24">
        <f t="shared" si="4"/>
        <v>924961.55721281783</v>
      </c>
      <c r="M14" s="24">
        <f t="shared" si="5"/>
        <v>924961.55721281783</v>
      </c>
      <c r="N14" s="21" t="s">
        <v>92</v>
      </c>
      <c r="O14" s="4">
        <f t="shared" si="6"/>
        <v>885.41349189201105</v>
      </c>
      <c r="P14" s="15">
        <v>1143871</v>
      </c>
      <c r="Q14" s="24">
        <f t="shared" si="7"/>
        <v>485337.93642687303</v>
      </c>
      <c r="R14" s="15">
        <f t="shared" si="8"/>
        <v>485337.93642687303</v>
      </c>
    </row>
    <row r="15" spans="1:18">
      <c r="A15" s="20" t="s">
        <v>37</v>
      </c>
      <c r="B15" s="4">
        <f>'2010-10'!B15</f>
        <v>57.557500000000005</v>
      </c>
      <c r="C15" s="4">
        <f>'2010-10'!C15</f>
        <v>65.124499999999998</v>
      </c>
      <c r="D15" s="18">
        <f t="shared" si="9"/>
        <v>21708.166666666664</v>
      </c>
      <c r="E15" s="4">
        <f>'Interval Circuities'!C15</f>
        <v>1.2461037288193979</v>
      </c>
      <c r="F15" s="4">
        <f t="shared" si="0"/>
        <v>46.189974934536139</v>
      </c>
      <c r="G15" s="4">
        <f t="shared" si="1"/>
        <v>15.396658311512045</v>
      </c>
      <c r="H15" s="4">
        <f t="shared" si="2"/>
        <v>744.73680350781581</v>
      </c>
      <c r="I15" s="4">
        <f t="shared" si="3"/>
        <v>1239.6159677445094</v>
      </c>
      <c r="J15" s="9">
        <v>3267.1408769999998</v>
      </c>
      <c r="K15" s="15">
        <v>4050000</v>
      </c>
      <c r="L15" s="24">
        <f t="shared" si="4"/>
        <v>923187.63339529361</v>
      </c>
      <c r="M15" s="24">
        <f t="shared" si="5"/>
        <v>923187.63339529361</v>
      </c>
      <c r="N15" s="21" t="s">
        <v>92</v>
      </c>
      <c r="O15" s="4">
        <f t="shared" si="6"/>
        <v>521.88291359068933</v>
      </c>
      <c r="P15" s="15">
        <v>1705065</v>
      </c>
      <c r="Q15" s="24">
        <f t="shared" si="7"/>
        <v>388665.41287287563</v>
      </c>
      <c r="R15" s="15">
        <f t="shared" si="8"/>
        <v>388665.41287287563</v>
      </c>
    </row>
    <row r="16" spans="1:18">
      <c r="A16" s="20" t="s">
        <v>80</v>
      </c>
      <c r="B16" s="4">
        <f>'2010-10'!B16</f>
        <v>72.650000000000006</v>
      </c>
      <c r="C16" s="4">
        <f>'2010-10'!C16</f>
        <v>79.78</v>
      </c>
      <c r="D16" s="18">
        <f t="shared" si="9"/>
        <v>26593.333333333332</v>
      </c>
      <c r="E16" s="4">
        <f>'Interval Circuities'!C16</f>
        <v>1.276401235569196</v>
      </c>
      <c r="F16" s="4">
        <f t="shared" si="0"/>
        <v>56.917838979999573</v>
      </c>
      <c r="G16" s="4">
        <f t="shared" si="1"/>
        <v>18.97261299333319</v>
      </c>
      <c r="H16" s="4">
        <f t="shared" si="2"/>
        <v>1130.8478291715892</v>
      </c>
      <c r="I16" s="4">
        <f t="shared" si="3"/>
        <v>900.16542520051985</v>
      </c>
      <c r="J16" s="9">
        <v>666.54415200000005</v>
      </c>
      <c r="K16" s="15">
        <v>600000</v>
      </c>
      <c r="L16" s="24">
        <f t="shared" si="4"/>
        <v>1017950.1169833284</v>
      </c>
      <c r="M16" s="24">
        <f t="shared" si="5"/>
        <v>600000</v>
      </c>
      <c r="N16" s="21" t="s">
        <v>92</v>
      </c>
      <c r="O16" s="4">
        <f t="shared" si="6"/>
        <v>799.60644527566114</v>
      </c>
      <c r="P16" s="15">
        <f>347964+52598+97277+35134</f>
        <v>532973</v>
      </c>
      <c r="Q16" s="24">
        <f t="shared" si="7"/>
        <v>904233.21283159254</v>
      </c>
      <c r="R16" s="15">
        <f t="shared" si="8"/>
        <v>532973</v>
      </c>
    </row>
    <row r="17" spans="1:18">
      <c r="A17" s="20" t="s">
        <v>58</v>
      </c>
      <c r="B17" s="4">
        <f>'2010-10'!B17</f>
        <v>63.393750000000004</v>
      </c>
      <c r="C17" s="4">
        <f>'2010-10'!C17</f>
        <v>72.087750000000014</v>
      </c>
      <c r="D17" s="18">
        <f t="shared" si="9"/>
        <v>24029.250000000004</v>
      </c>
      <c r="E17" s="4">
        <f>'Interval Circuities'!C17</f>
        <v>1.3392188111212502</v>
      </c>
      <c r="F17" s="4">
        <f t="shared" si="0"/>
        <v>47.33636465793375</v>
      </c>
      <c r="G17" s="4">
        <f t="shared" si="1"/>
        <v>15.778788219311249</v>
      </c>
      <c r="H17" s="4">
        <f t="shared" si="2"/>
        <v>782.16281829877323</v>
      </c>
      <c r="I17" s="4">
        <f t="shared" si="3"/>
        <v>1132.3576753929692</v>
      </c>
      <c r="J17" s="18">
        <v>1364.4098799999999</v>
      </c>
      <c r="K17" s="15">
        <v>1545000</v>
      </c>
      <c r="L17" s="24">
        <f t="shared" si="4"/>
        <v>885688.07070761221</v>
      </c>
      <c r="M17" s="24">
        <f t="shared" si="5"/>
        <v>885688.07070761221</v>
      </c>
      <c r="N17" s="21" t="s">
        <v>92</v>
      </c>
      <c r="O17" s="4">
        <f t="shared" si="6"/>
        <v>466.71825624716234</v>
      </c>
      <c r="P17" s="15">
        <v>636795</v>
      </c>
      <c r="Q17" s="24">
        <f t="shared" si="7"/>
        <v>365049.66665776953</v>
      </c>
      <c r="R17" s="15">
        <f t="shared" si="8"/>
        <v>365049.66665776953</v>
      </c>
    </row>
    <row r="18" spans="1:18">
      <c r="A18" s="20" t="s">
        <v>38</v>
      </c>
      <c r="B18" s="4">
        <f>'2010-10'!B18</f>
        <v>65.969749999999991</v>
      </c>
      <c r="C18" s="4">
        <f>'2010-10'!C18</f>
        <v>73.8185</v>
      </c>
      <c r="D18" s="18">
        <f t="shared" si="9"/>
        <v>24606.166666666668</v>
      </c>
      <c r="E18" s="4">
        <f>'Interval Circuities'!C18</f>
        <v>1.2718012066329836</v>
      </c>
      <c r="F18" s="4">
        <f t="shared" si="0"/>
        <v>51.871117636891455</v>
      </c>
      <c r="G18" s="4">
        <f t="shared" si="1"/>
        <v>17.290372545630483</v>
      </c>
      <c r="H18" s="4">
        <f t="shared" si="2"/>
        <v>939.20106079921106</v>
      </c>
      <c r="I18" s="4">
        <f t="shared" si="3"/>
        <v>736.26706687215813</v>
      </c>
      <c r="J18" s="18">
        <v>1215.591516</v>
      </c>
      <c r="K18" s="15">
        <v>895000</v>
      </c>
      <c r="L18" s="24">
        <f t="shared" si="4"/>
        <v>691502.8102378546</v>
      </c>
      <c r="M18" s="24">
        <f t="shared" si="5"/>
        <v>691502.8102378546</v>
      </c>
      <c r="N18" s="21" t="s">
        <v>92</v>
      </c>
      <c r="O18" s="4">
        <f t="shared" si="6"/>
        <v>466.09078176554175</v>
      </c>
      <c r="P18" s="15">
        <v>566576</v>
      </c>
      <c r="Q18" s="24">
        <f t="shared" si="7"/>
        <v>437752.95666293037</v>
      </c>
      <c r="R18" s="15">
        <f t="shared" si="8"/>
        <v>437752.95666293037</v>
      </c>
    </row>
    <row r="19" spans="1:18">
      <c r="A19" s="20" t="s">
        <v>81</v>
      </c>
      <c r="B19" s="4">
        <f>'2010-10'!B19</f>
        <v>61.743500000000004</v>
      </c>
      <c r="C19" s="4">
        <f>'2010-10'!C19</f>
        <v>74.744249999999994</v>
      </c>
      <c r="D19" s="18">
        <f t="shared" si="9"/>
        <v>24914.749999999996</v>
      </c>
      <c r="E19" s="4">
        <f>'Interval Circuities'!C19</f>
        <v>1.4172580385913462</v>
      </c>
      <c r="F19" s="4">
        <f t="shared" si="0"/>
        <v>43.565461136045947</v>
      </c>
      <c r="G19" s="4">
        <f t="shared" si="1"/>
        <v>14.521820378681982</v>
      </c>
      <c r="H19" s="4">
        <f t="shared" si="2"/>
        <v>662.50932271999943</v>
      </c>
      <c r="I19" s="4">
        <f t="shared" si="3"/>
        <v>1766.1211842313005</v>
      </c>
      <c r="J19" s="18">
        <v>399.17985599999997</v>
      </c>
      <c r="K19" s="15">
        <v>705000</v>
      </c>
      <c r="L19" s="24">
        <f t="shared" si="4"/>
        <v>1170071.7496065223</v>
      </c>
      <c r="M19" s="24">
        <f t="shared" si="5"/>
        <v>705000</v>
      </c>
      <c r="N19" s="21" t="s">
        <v>92</v>
      </c>
      <c r="O19" s="4">
        <f t="shared" si="6"/>
        <v>894.79465116095446</v>
      </c>
      <c r="P19" s="15">
        <v>357184</v>
      </c>
      <c r="Q19" s="24">
        <f t="shared" si="7"/>
        <v>592809.79831412213</v>
      </c>
      <c r="R19" s="15">
        <f t="shared" si="8"/>
        <v>357184</v>
      </c>
    </row>
    <row r="20" spans="1:18">
      <c r="A20" s="20" t="s">
        <v>39</v>
      </c>
      <c r="B20" s="4">
        <f>'2010-10'!B20</f>
        <v>58.402750000000012</v>
      </c>
      <c r="C20" s="4">
        <f>'2010-10'!C20</f>
        <v>69.592250000000007</v>
      </c>
      <c r="D20" s="18">
        <f t="shared" si="9"/>
        <v>23197.416666666668</v>
      </c>
      <c r="E20" s="4">
        <f>'Interval Circuities'!C20</f>
        <v>1.3398457759675975</v>
      </c>
      <c r="F20" s="4">
        <f t="shared" si="0"/>
        <v>43.589158578959022</v>
      </c>
      <c r="G20" s="4">
        <f t="shared" si="1"/>
        <v>14.529719526319674</v>
      </c>
      <c r="H20" s="4">
        <f t="shared" si="2"/>
        <v>663.2302629508016</v>
      </c>
      <c r="I20" s="4">
        <f t="shared" si="3"/>
        <v>1137.2032495246315</v>
      </c>
      <c r="J20" s="18">
        <v>3354.7213320000001</v>
      </c>
      <c r="K20" s="15">
        <v>3815000</v>
      </c>
      <c r="L20" s="24">
        <f t="shared" si="4"/>
        <v>754227.61021072743</v>
      </c>
      <c r="M20" s="24">
        <f t="shared" si="5"/>
        <v>754227.61021072743</v>
      </c>
      <c r="N20" s="21" t="s">
        <v>92</v>
      </c>
      <c r="O20" s="4">
        <f t="shared" si="6"/>
        <v>675.48024880178036</v>
      </c>
      <c r="P20" s="15">
        <v>2266048</v>
      </c>
      <c r="Q20" s="24">
        <f t="shared" si="7"/>
        <v>447998.94303087768</v>
      </c>
      <c r="R20" s="15">
        <f t="shared" si="8"/>
        <v>447998.94303087768</v>
      </c>
    </row>
    <row r="21" spans="1:18">
      <c r="A21" s="20" t="s">
        <v>40</v>
      </c>
      <c r="B21" s="4">
        <f>'2010-10'!B21</f>
        <v>54.53875</v>
      </c>
      <c r="C21" s="4">
        <f>'2010-10'!C21</f>
        <v>64.440250000000006</v>
      </c>
      <c r="D21" s="18">
        <f t="shared" si="9"/>
        <v>21480.083333333332</v>
      </c>
      <c r="E21" s="4">
        <f>'Interval Circuities'!C21</f>
        <v>1.271809639354645</v>
      </c>
      <c r="F21" s="4">
        <f t="shared" si="0"/>
        <v>42.882793393258623</v>
      </c>
      <c r="G21" s="4">
        <f t="shared" si="1"/>
        <v>14.294264464419541</v>
      </c>
      <c r="H21" s="4">
        <f t="shared" si="2"/>
        <v>641.90904978926847</v>
      </c>
      <c r="I21" s="4">
        <f t="shared" si="3"/>
        <v>747.17664987777027</v>
      </c>
      <c r="J21" s="18">
        <v>1432.0576000000001</v>
      </c>
      <c r="K21" s="15">
        <v>1070000</v>
      </c>
      <c r="L21" s="24">
        <f t="shared" si="4"/>
        <v>479619.45334776846</v>
      </c>
      <c r="M21" s="24">
        <f t="shared" si="5"/>
        <v>479619.45334776846</v>
      </c>
      <c r="N21" s="21" t="s">
        <v>92</v>
      </c>
      <c r="O21" s="4">
        <f t="shared" si="6"/>
        <v>555.53771021500802</v>
      </c>
      <c r="P21" s="15">
        <v>795562</v>
      </c>
      <c r="Q21" s="24">
        <f t="shared" si="7"/>
        <v>356604.68368622178</v>
      </c>
      <c r="R21" s="15">
        <f t="shared" si="8"/>
        <v>356604.68368622178</v>
      </c>
    </row>
    <row r="22" spans="1:18" ht="16">
      <c r="A22" s="20" t="s">
        <v>119</v>
      </c>
      <c r="B22" s="4">
        <f>'2010-10'!B22</f>
        <v>60.173750000000005</v>
      </c>
      <c r="C22" s="4">
        <f>'2010-10'!C22</f>
        <v>67.821250000000006</v>
      </c>
      <c r="D22" s="18">
        <f t="shared" si="9"/>
        <v>22607.083333333336</v>
      </c>
      <c r="E22" s="4">
        <f>'Interval Circuities'!C22</f>
        <v>1.3661627731164396</v>
      </c>
      <c r="F22" s="4">
        <f t="shared" si="0"/>
        <v>44.045812976395112</v>
      </c>
      <c r="G22" s="4">
        <f t="shared" si="1"/>
        <v>14.68193765879837</v>
      </c>
      <c r="H22" s="4">
        <f t="shared" si="2"/>
        <v>677.19949261135673</v>
      </c>
      <c r="I22" s="4">
        <f t="shared" si="3"/>
        <v>1786.307024434233</v>
      </c>
      <c r="J22" s="18">
        <v>1136.422783</v>
      </c>
      <c r="K22" s="15">
        <v>2030000</v>
      </c>
      <c r="L22" s="24">
        <f t="shared" si="4"/>
        <v>1209686.2105949649</v>
      </c>
      <c r="M22" s="24">
        <f t="shared" si="5"/>
        <v>1209686.2105949649</v>
      </c>
      <c r="N22" s="21" t="s">
        <v>92</v>
      </c>
      <c r="O22" s="4">
        <f t="shared" si="6"/>
        <v>966.10699505836999</v>
      </c>
      <c r="P22" s="15">
        <v>1097906</v>
      </c>
      <c r="Q22" s="24">
        <f t="shared" si="7"/>
        <v>654247.16686181072</v>
      </c>
      <c r="R22" s="15">
        <f t="shared" si="8"/>
        <v>654247.16686181072</v>
      </c>
    </row>
    <row r="23" spans="1:18">
      <c r="A23" s="20" t="s">
        <v>41</v>
      </c>
      <c r="B23" s="4">
        <f>'2010-10'!B23</f>
        <v>66.332000000000008</v>
      </c>
      <c r="C23" s="4">
        <f>'2010-10'!C23</f>
        <v>74.180750000000003</v>
      </c>
      <c r="D23" s="18">
        <f t="shared" si="9"/>
        <v>24726.916666666668</v>
      </c>
      <c r="E23" s="4">
        <f>'Interval Circuities'!C23</f>
        <v>1.3647991426543529</v>
      </c>
      <c r="F23" s="4">
        <f t="shared" si="0"/>
        <v>48.602023497020291</v>
      </c>
      <c r="G23" s="4">
        <f t="shared" si="1"/>
        <v>16.200674499006762</v>
      </c>
      <c r="H23" s="4">
        <f t="shared" si="2"/>
        <v>824.5482330738032</v>
      </c>
      <c r="I23" s="4">
        <f t="shared" si="3"/>
        <v>978.15000707799697</v>
      </c>
      <c r="J23" s="18">
        <v>1063.231603</v>
      </c>
      <c r="K23" s="15">
        <v>1040000</v>
      </c>
      <c r="L23" s="24">
        <f t="shared" si="4"/>
        <v>806531.86001729046</v>
      </c>
      <c r="M23" s="24">
        <f t="shared" si="5"/>
        <v>806531.86001729046</v>
      </c>
      <c r="N23" s="21" t="s">
        <v>92</v>
      </c>
      <c r="O23" s="4">
        <f t="shared" si="6"/>
        <v>508.16021502325492</v>
      </c>
      <c r="P23" s="15">
        <v>540292</v>
      </c>
      <c r="Q23" s="24">
        <f t="shared" si="7"/>
        <v>419002.60741582874</v>
      </c>
      <c r="R23" s="15">
        <f t="shared" si="8"/>
        <v>419002.60741582874</v>
      </c>
    </row>
    <row r="24" spans="1:18">
      <c r="A24" s="20" t="s">
        <v>75</v>
      </c>
      <c r="B24" s="4">
        <f>'2010-10'!B24</f>
        <v>63.434000000000012</v>
      </c>
      <c r="C24" s="4">
        <f>'2010-10'!C24</f>
        <v>69.552000000000007</v>
      </c>
      <c r="D24" s="18">
        <f t="shared" si="9"/>
        <v>23184</v>
      </c>
      <c r="E24" s="4">
        <f>'Interval Circuities'!C24</f>
        <v>1.2987080429934756</v>
      </c>
      <c r="F24" s="4">
        <f t="shared" si="0"/>
        <v>48.843926348363027</v>
      </c>
      <c r="G24" s="4">
        <f t="shared" si="1"/>
        <v>16.281308782787676</v>
      </c>
      <c r="H24" s="4">
        <f t="shared" si="2"/>
        <v>832.77657146791387</v>
      </c>
      <c r="I24" s="4">
        <f t="shared" si="3"/>
        <v>1007.5137082249074</v>
      </c>
      <c r="J24" s="18">
        <v>1513.6270480000001</v>
      </c>
      <c r="K24" s="15">
        <v>1525000</v>
      </c>
      <c r="L24" s="24">
        <f t="shared" si="4"/>
        <v>839033.8116424625</v>
      </c>
      <c r="M24" s="24">
        <f t="shared" si="5"/>
        <v>839033.8116424625</v>
      </c>
      <c r="N24" s="21" t="s">
        <v>92</v>
      </c>
      <c r="O24" s="4">
        <f t="shared" si="6"/>
        <v>613.50449651848453</v>
      </c>
      <c r="P24" s="15">
        <v>928617</v>
      </c>
      <c r="Q24" s="24">
        <f t="shared" si="7"/>
        <v>510912.17119081225</v>
      </c>
      <c r="R24" s="15">
        <f t="shared" si="8"/>
        <v>510912.17119081225</v>
      </c>
    </row>
    <row r="25" spans="1:18">
      <c r="A25" s="20" t="s">
        <v>63</v>
      </c>
      <c r="B25" s="4">
        <f>'2010-10'!B25</f>
        <v>59.529750000000007</v>
      </c>
      <c r="C25" s="4">
        <f>'2010-10'!C25</f>
        <v>69.833750000000009</v>
      </c>
      <c r="D25" s="18">
        <f t="shared" si="9"/>
        <v>23277.916666666672</v>
      </c>
      <c r="E25" s="4">
        <f>'Interval Circuities'!C25</f>
        <v>1.3223049937334725</v>
      </c>
      <c r="F25" s="4">
        <f t="shared" si="0"/>
        <v>45.019681754298048</v>
      </c>
      <c r="G25" s="4">
        <f t="shared" si="1"/>
        <v>15.006560584766016</v>
      </c>
      <c r="H25" s="4">
        <f t="shared" si="2"/>
        <v>707.47680282297381</v>
      </c>
      <c r="I25" s="4">
        <f t="shared" si="3"/>
        <v>1897.3714766274206</v>
      </c>
      <c r="J25" s="18">
        <v>740.49811399999999</v>
      </c>
      <c r="K25" s="15">
        <v>1405000</v>
      </c>
      <c r="L25" s="24">
        <f t="shared" si="4"/>
        <v>1342346.3060518724</v>
      </c>
      <c r="M25" s="24">
        <f t="shared" si="5"/>
        <v>1342346.3060518724</v>
      </c>
      <c r="N25" s="21" t="s">
        <v>92</v>
      </c>
      <c r="O25" s="4">
        <f t="shared" si="6"/>
        <v>1137.2034365505488</v>
      </c>
      <c r="P25" s="15">
        <v>842097</v>
      </c>
      <c r="Q25" s="24">
        <f t="shared" si="7"/>
        <v>804545.05145008082</v>
      </c>
      <c r="R25" s="15">
        <f t="shared" si="8"/>
        <v>804545.05145008082</v>
      </c>
    </row>
    <row r="26" spans="1:18" ht="16">
      <c r="A26" s="20" t="s">
        <v>120</v>
      </c>
      <c r="B26" s="4">
        <f>'2010-10'!B26</f>
        <v>52.928750000000001</v>
      </c>
      <c r="C26" s="4">
        <f>'2010-10'!C26</f>
        <v>66.090500000000006</v>
      </c>
      <c r="D26" s="18">
        <f t="shared" si="9"/>
        <v>22030.166666666668</v>
      </c>
      <c r="E26" s="4">
        <f>'Interval Circuities'!C26</f>
        <v>1.2809084236066279</v>
      </c>
      <c r="F26" s="4">
        <f t="shared" si="0"/>
        <v>41.321259993723508</v>
      </c>
      <c r="G26" s="4">
        <f t="shared" si="1"/>
        <v>13.773753331241169</v>
      </c>
      <c r="H26" s="4">
        <f t="shared" si="2"/>
        <v>596.01127412152039</v>
      </c>
      <c r="I26" s="4">
        <f t="shared" si="3"/>
        <v>2963.0107614020721</v>
      </c>
      <c r="J26" s="18">
        <v>4319.9303110000001</v>
      </c>
      <c r="K26" s="15">
        <v>12800000</v>
      </c>
      <c r="L26" s="24">
        <f t="shared" si="4"/>
        <v>1765987.8191390252</v>
      </c>
      <c r="M26" s="24">
        <f t="shared" si="5"/>
        <v>1765987.8191390252</v>
      </c>
      <c r="N26" s="21" t="s">
        <v>92</v>
      </c>
      <c r="O26" s="4">
        <f t="shared" si="6"/>
        <v>1240.2952395682755</v>
      </c>
      <c r="P26" s="15">
        <v>5357989</v>
      </c>
      <c r="Q26" s="24">
        <f t="shared" si="7"/>
        <v>739229.94602194428</v>
      </c>
      <c r="R26" s="15">
        <f t="shared" si="8"/>
        <v>739229.94602194428</v>
      </c>
    </row>
    <row r="27" spans="1:18">
      <c r="A27" s="20" t="s">
        <v>42</v>
      </c>
      <c r="B27" s="4">
        <f>'2010-10'!B27</f>
        <v>63.474250000000012</v>
      </c>
      <c r="C27" s="4">
        <f>'2010-10'!C27</f>
        <v>71.282750000000007</v>
      </c>
      <c r="D27" s="18">
        <f t="shared" si="9"/>
        <v>23760.916666666668</v>
      </c>
      <c r="E27" s="4">
        <f>'Interval Circuities'!C27</f>
        <v>1.3522400482999783</v>
      </c>
      <c r="F27" s="4">
        <f t="shared" si="0"/>
        <v>46.940075528600971</v>
      </c>
      <c r="G27" s="4">
        <f t="shared" si="1"/>
        <v>15.646691842866989</v>
      </c>
      <c r="H27" s="4">
        <f t="shared" si="2"/>
        <v>769.12146386896393</v>
      </c>
      <c r="I27" s="4">
        <f t="shared" si="3"/>
        <v>902.85200083237225</v>
      </c>
      <c r="J27" s="18">
        <v>1013.455139</v>
      </c>
      <c r="K27" s="15">
        <v>915000</v>
      </c>
      <c r="L27" s="24">
        <f t="shared" si="4"/>
        <v>694402.8525372172</v>
      </c>
      <c r="M27" s="24">
        <f t="shared" si="5"/>
        <v>694402.8525372172</v>
      </c>
      <c r="N27" s="21" t="s">
        <v>92</v>
      </c>
      <c r="O27" s="4">
        <f t="shared" si="6"/>
        <v>548.67648167305799</v>
      </c>
      <c r="P27" s="15">
        <v>556059</v>
      </c>
      <c r="Q27" s="24">
        <f t="shared" si="7"/>
        <v>421998.85877485515</v>
      </c>
      <c r="R27" s="15">
        <f t="shared" si="8"/>
        <v>421998.85877485515</v>
      </c>
    </row>
    <row r="28" spans="1:18">
      <c r="A28" s="20" t="s">
        <v>43</v>
      </c>
      <c r="B28" s="4">
        <f>'2010-10'!B28</f>
        <v>67.418750000000003</v>
      </c>
      <c r="C28" s="4">
        <f>'2010-10'!C28</f>
        <v>75.146750000000011</v>
      </c>
      <c r="D28" s="18">
        <f t="shared" si="9"/>
        <v>25048.916666666672</v>
      </c>
      <c r="E28" s="4">
        <f>'Interval Circuities'!C28</f>
        <v>1.3247813076937356</v>
      </c>
      <c r="F28" s="4">
        <f t="shared" si="0"/>
        <v>50.890474985163323</v>
      </c>
      <c r="G28" s="4">
        <f t="shared" si="1"/>
        <v>16.963491661721108</v>
      </c>
      <c r="H28" s="4">
        <f t="shared" si="2"/>
        <v>904.02485705747199</v>
      </c>
      <c r="I28" s="4">
        <f t="shared" si="3"/>
        <v>999.49538906027249</v>
      </c>
      <c r="J28" s="18">
        <v>1035.5225359999999</v>
      </c>
      <c r="K28" s="15">
        <v>1035000</v>
      </c>
      <c r="L28" s="24">
        <f t="shared" si="4"/>
        <v>903568.67622481519</v>
      </c>
      <c r="M28" s="24">
        <f t="shared" si="5"/>
        <v>903568.67622481519</v>
      </c>
      <c r="N28" s="21" t="s">
        <v>92</v>
      </c>
      <c r="O28" s="4">
        <f t="shared" si="6"/>
        <v>536.12160112370555</v>
      </c>
      <c r="P28" s="15">
        <v>555166</v>
      </c>
      <c r="Q28" s="24">
        <f t="shared" si="7"/>
        <v>484667.2538212809</v>
      </c>
      <c r="R28" s="15">
        <f t="shared" si="8"/>
        <v>484667.2538212809</v>
      </c>
    </row>
    <row r="29" spans="1:18">
      <c r="A29" s="20" t="s">
        <v>44</v>
      </c>
      <c r="B29" s="4">
        <f>'2010-10'!B29</f>
        <v>65.688000000000002</v>
      </c>
      <c r="C29" s="4">
        <f>'2010-10'!C29</f>
        <v>72.490250000000003</v>
      </c>
      <c r="D29" s="18">
        <f t="shared" si="9"/>
        <v>24163.416666666668</v>
      </c>
      <c r="E29" s="4">
        <f>'Interval Circuities'!C29</f>
        <v>1.2090730434913919</v>
      </c>
      <c r="F29" s="4">
        <f t="shared" si="0"/>
        <v>54.329223824489041</v>
      </c>
      <c r="G29" s="4">
        <f t="shared" si="1"/>
        <v>18.10974127482968</v>
      </c>
      <c r="H29" s="4">
        <f t="shared" si="2"/>
        <v>1030.3253002073129</v>
      </c>
      <c r="I29" s="4">
        <f t="shared" si="3"/>
        <v>1161.3700459353722</v>
      </c>
      <c r="J29" s="18">
        <v>1261.4411789999999</v>
      </c>
      <c r="K29" s="15">
        <v>1465000</v>
      </c>
      <c r="L29" s="24">
        <f t="shared" si="4"/>
        <v>1196588.9412301432</v>
      </c>
      <c r="M29" s="24">
        <f t="shared" si="5"/>
        <v>1196588.9412301432</v>
      </c>
      <c r="N29" s="21" t="s">
        <v>92</v>
      </c>
      <c r="O29" s="4">
        <f t="shared" si="6"/>
        <v>630.29256792638762</v>
      </c>
      <c r="P29" s="15">
        <v>795077</v>
      </c>
      <c r="Q29" s="24">
        <f t="shared" si="7"/>
        <v>649406.37926719349</v>
      </c>
      <c r="R29" s="15">
        <f t="shared" si="8"/>
        <v>649406.37926719349</v>
      </c>
    </row>
    <row r="30" spans="1:18">
      <c r="A30" s="20" t="s">
        <v>45</v>
      </c>
      <c r="B30" s="4">
        <f>'2010-10'!B30</f>
        <v>55.746250000000003</v>
      </c>
      <c r="C30" s="4">
        <f>'2010-10'!C30</f>
        <v>65.688000000000002</v>
      </c>
      <c r="D30" s="18">
        <f t="shared" si="9"/>
        <v>21896</v>
      </c>
      <c r="E30" s="4">
        <f>'Interval Circuities'!C30</f>
        <v>1.3031870861864812</v>
      </c>
      <c r="F30" s="4">
        <f t="shared" si="0"/>
        <v>42.776858818583264</v>
      </c>
      <c r="G30" s="4">
        <f t="shared" si="1"/>
        <v>14.258952939527754</v>
      </c>
      <c r="H30" s="4">
        <f t="shared" si="2"/>
        <v>638.74151497221305</v>
      </c>
      <c r="I30" s="4">
        <f t="shared" si="3"/>
        <v>1090.2344714817029</v>
      </c>
      <c r="J30" s="18">
        <v>2316.0155599999998</v>
      </c>
      <c r="K30" s="15">
        <v>2525000</v>
      </c>
      <c r="L30" s="24">
        <f t="shared" si="4"/>
        <v>696378.01798915293</v>
      </c>
      <c r="M30" s="24">
        <f t="shared" si="5"/>
        <v>696378.01798915293</v>
      </c>
      <c r="N30" s="21" t="s">
        <v>92</v>
      </c>
      <c r="O30" s="4">
        <f t="shared" si="6"/>
        <v>725.84961389464934</v>
      </c>
      <c r="P30" s="15">
        <v>1681079</v>
      </c>
      <c r="Q30" s="24">
        <f t="shared" si="7"/>
        <v>463630.28202106419</v>
      </c>
      <c r="R30" s="15">
        <f t="shared" si="8"/>
        <v>463630.28202106419</v>
      </c>
    </row>
    <row r="31" spans="1:18">
      <c r="A31" s="20" t="s">
        <v>46</v>
      </c>
      <c r="B31" s="4">
        <f>'2010-10'!B31</f>
        <v>67.579750000000004</v>
      </c>
      <c r="C31" s="4">
        <f>'2010-10'!C31</f>
        <v>75.871250000000003</v>
      </c>
      <c r="D31" s="18">
        <f t="shared" si="9"/>
        <v>25290.416666666664</v>
      </c>
      <c r="E31" s="4">
        <f>'Interval Circuities'!C31</f>
        <v>1.359871384808002</v>
      </c>
      <c r="F31" s="4">
        <f t="shared" si="0"/>
        <v>49.695692368393708</v>
      </c>
      <c r="G31" s="4">
        <f t="shared" si="1"/>
        <v>16.565230789464568</v>
      </c>
      <c r="H31" s="4">
        <f t="shared" si="2"/>
        <v>862.07461036816062</v>
      </c>
      <c r="I31" s="4">
        <f t="shared" si="3"/>
        <v>891.82610976607054</v>
      </c>
      <c r="J31" s="18">
        <v>1115.688349</v>
      </c>
      <c r="K31" s="15">
        <v>995000</v>
      </c>
      <c r="L31" s="24">
        <f t="shared" si="4"/>
        <v>768820.64609273768</v>
      </c>
      <c r="M31" s="24">
        <f t="shared" si="5"/>
        <v>768820.64609273768</v>
      </c>
      <c r="N31" s="21" t="s">
        <v>92</v>
      </c>
      <c r="O31" s="4">
        <f t="shared" si="6"/>
        <v>651.34407888308954</v>
      </c>
      <c r="P31" s="15">
        <v>726697</v>
      </c>
      <c r="Q31" s="24">
        <f t="shared" si="7"/>
        <v>561507.19301874784</v>
      </c>
      <c r="R31" s="15">
        <f t="shared" si="8"/>
        <v>561507.19301874784</v>
      </c>
    </row>
    <row r="32" spans="1:18">
      <c r="A32" s="20" t="s">
        <v>47</v>
      </c>
      <c r="B32" s="4">
        <f>'2010-10'!B32</f>
        <v>56.148750000000007</v>
      </c>
      <c r="C32" s="4">
        <f>'2010-10'!C32</f>
        <v>67.137</v>
      </c>
      <c r="D32" s="18">
        <f t="shared" si="9"/>
        <v>22378.999999999996</v>
      </c>
      <c r="E32" s="4">
        <f>'Interval Circuities'!C32</f>
        <v>1.3838875737878413</v>
      </c>
      <c r="F32" s="4">
        <f t="shared" si="0"/>
        <v>40.573201944660255</v>
      </c>
      <c r="G32" s="4">
        <f t="shared" si="1"/>
        <v>13.524400648220084</v>
      </c>
      <c r="H32" s="4">
        <f t="shared" si="2"/>
        <v>574.62686781887999</v>
      </c>
      <c r="I32" s="4">
        <f t="shared" si="3"/>
        <v>2146.7911124783959</v>
      </c>
      <c r="J32" s="18">
        <v>512.39265599999999</v>
      </c>
      <c r="K32" s="15">
        <v>1100000</v>
      </c>
      <c r="L32" s="24">
        <f t="shared" si="4"/>
        <v>1233603.8528248696</v>
      </c>
      <c r="M32" s="24">
        <f t="shared" si="5"/>
        <v>1100000</v>
      </c>
      <c r="N32" s="21" t="s">
        <v>92</v>
      </c>
      <c r="O32" s="4">
        <f t="shared" si="6"/>
        <v>898.57064618037771</v>
      </c>
      <c r="P32" s="15">
        <v>460421</v>
      </c>
      <c r="Q32" s="24">
        <f t="shared" si="7"/>
        <v>516342.83592861745</v>
      </c>
      <c r="R32" s="15">
        <f t="shared" si="8"/>
        <v>460421</v>
      </c>
    </row>
    <row r="33" spans="1:18">
      <c r="A33" s="20" t="s">
        <v>65</v>
      </c>
      <c r="B33" s="4">
        <f>'2010-10'!B33</f>
        <v>55.142500000000005</v>
      </c>
      <c r="C33" s="4">
        <f>'2010-10'!C33</f>
        <v>67.660250000000005</v>
      </c>
      <c r="D33" s="18">
        <f t="shared" si="9"/>
        <v>22553.416666666668</v>
      </c>
      <c r="E33" s="4">
        <f>'Interval Circuities'!C33</f>
        <v>1.2629348483479246</v>
      </c>
      <c r="F33" s="4">
        <f t="shared" si="0"/>
        <v>43.662188965751668</v>
      </c>
      <c r="G33" s="4">
        <f t="shared" si="1"/>
        <v>14.554062988583889</v>
      </c>
      <c r="H33" s="4">
        <f t="shared" si="2"/>
        <v>665.45451043064065</v>
      </c>
      <c r="I33" s="4">
        <f t="shared" si="3"/>
        <v>2098.879805390713</v>
      </c>
      <c r="J33" s="18">
        <v>8683.2032749999998</v>
      </c>
      <c r="K33" s="15">
        <v>18225000</v>
      </c>
      <c r="L33" s="24">
        <f t="shared" si="4"/>
        <v>1396709.0333490353</v>
      </c>
      <c r="M33" s="24">
        <f t="shared" si="5"/>
        <v>1396709.0333490353</v>
      </c>
      <c r="N33" s="21" t="s">
        <v>92</v>
      </c>
      <c r="O33" s="4">
        <f t="shared" si="6"/>
        <v>941.20588234184811</v>
      </c>
      <c r="P33" s="15">
        <f>7737401+435281</f>
        <v>8172682</v>
      </c>
      <c r="Q33" s="24">
        <f t="shared" si="7"/>
        <v>626329.69964823371</v>
      </c>
      <c r="R33" s="15">
        <f t="shared" si="8"/>
        <v>626329.69964823371</v>
      </c>
    </row>
    <row r="34" spans="1:18">
      <c r="A34" s="20" t="s">
        <v>66</v>
      </c>
      <c r="B34" s="4">
        <f>'2010-10'!B34</f>
        <v>69.028750000000002</v>
      </c>
      <c r="C34" s="4">
        <f>'2010-10'!C34</f>
        <v>75.951750000000018</v>
      </c>
      <c r="D34" s="18">
        <f t="shared" si="9"/>
        <v>25317.250000000004</v>
      </c>
      <c r="E34" s="4">
        <f>'Interval Circuities'!C34</f>
        <v>1.302577181329865</v>
      </c>
      <c r="F34" s="4">
        <f t="shared" si="0"/>
        <v>52.993980694122989</v>
      </c>
      <c r="G34" s="4">
        <f t="shared" si="1"/>
        <v>17.664660231374327</v>
      </c>
      <c r="H34" s="4">
        <f t="shared" si="2"/>
        <v>980.30326620055757</v>
      </c>
      <c r="I34" s="4">
        <f t="shared" si="3"/>
        <v>1048.044711192385</v>
      </c>
      <c r="J34" s="18">
        <v>834.88804500000003</v>
      </c>
      <c r="K34" s="15">
        <v>875000</v>
      </c>
      <c r="L34" s="24">
        <f t="shared" si="4"/>
        <v>1027401.6535061151</v>
      </c>
      <c r="M34" s="24">
        <f t="shared" si="5"/>
        <v>875000</v>
      </c>
      <c r="N34" s="21" t="s">
        <v>92</v>
      </c>
      <c r="O34" s="4">
        <f t="shared" si="6"/>
        <v>575.97662690211359</v>
      </c>
      <c r="P34" s="15">
        <v>480876</v>
      </c>
      <c r="Q34" s="24">
        <f t="shared" si="7"/>
        <v>564631.76860732189</v>
      </c>
      <c r="R34" s="15">
        <f t="shared" si="8"/>
        <v>480876</v>
      </c>
    </row>
    <row r="35" spans="1:18">
      <c r="A35" s="20" t="s">
        <v>48</v>
      </c>
      <c r="B35" s="4">
        <f>'2010-10'!B35</f>
        <v>58.161250000000003</v>
      </c>
      <c r="C35" s="4">
        <f>'2010-10'!C35</f>
        <v>69.069000000000003</v>
      </c>
      <c r="D35" s="18">
        <f t="shared" si="9"/>
        <v>23023</v>
      </c>
      <c r="E35" s="4">
        <f>'Interval Circuities'!C35</f>
        <v>1.368037812411222</v>
      </c>
      <c r="F35" s="4">
        <f t="shared" ref="F35:F53" si="10">B35/E35</f>
        <v>42.51435850116485</v>
      </c>
      <c r="G35" s="4">
        <f t="shared" ref="G35:G53" si="11">F35*$A$1</f>
        <v>14.171452833721617</v>
      </c>
      <c r="H35" s="4">
        <f t="shared" ref="H35:H53" si="12">PI()*G35^2</f>
        <v>630.92628955431837</v>
      </c>
      <c r="I35" s="4">
        <f t="shared" ref="I35:I53" si="13">K35/J35</f>
        <v>1197.0074422042101</v>
      </c>
      <c r="J35" s="18">
        <v>1173.7604550000001</v>
      </c>
      <c r="K35" s="15">
        <v>1405000</v>
      </c>
      <c r="L35" s="24">
        <f t="shared" ref="L35:L53" si="14">H35*I35</f>
        <v>755223.4640788075</v>
      </c>
      <c r="M35" s="24">
        <f t="shared" ref="M35:M53" si="15">MIN(K35,L35)</f>
        <v>755223.4640788075</v>
      </c>
      <c r="N35" s="21" t="s">
        <v>92</v>
      </c>
      <c r="O35" s="4">
        <f t="shared" ref="O35:O53" si="16">P35/J35</f>
        <v>800.1002214715096</v>
      </c>
      <c r="P35" s="15">
        <v>939126</v>
      </c>
      <c r="Q35" s="24">
        <f t="shared" ref="Q35:Q53" si="17">H35*O35</f>
        <v>504804.26400460792</v>
      </c>
      <c r="R35" s="15">
        <f t="shared" ref="R35:R53" si="18">MIN(Q35,P35)</f>
        <v>504804.26400460792</v>
      </c>
    </row>
    <row r="36" spans="1:18">
      <c r="A36" s="20" t="s">
        <v>67</v>
      </c>
      <c r="B36" s="4">
        <f>'2010-10'!B36</f>
        <v>59.771250000000002</v>
      </c>
      <c r="C36" s="4">
        <f>'2010-10'!C36</f>
        <v>68.062750000000008</v>
      </c>
      <c r="D36" s="18">
        <f t="shared" si="9"/>
        <v>22687.583333333336</v>
      </c>
      <c r="E36" s="4">
        <f>'Interval Circuities'!C36</f>
        <v>1.221294302281372</v>
      </c>
      <c r="F36" s="4">
        <f t="shared" si="10"/>
        <v>48.940906289620436</v>
      </c>
      <c r="G36" s="4">
        <f t="shared" si="11"/>
        <v>16.313635429873479</v>
      </c>
      <c r="H36" s="4">
        <f t="shared" si="12"/>
        <v>836.08682133472371</v>
      </c>
      <c r="I36" s="4">
        <f t="shared" si="13"/>
        <v>1139.3097942572194</v>
      </c>
      <c r="J36" s="18">
        <v>4660.7165379999997</v>
      </c>
      <c r="K36" s="15">
        <v>5310000</v>
      </c>
      <c r="L36" s="24">
        <f t="shared" si="14"/>
        <v>952561.90439603664</v>
      </c>
      <c r="M36" s="24">
        <f t="shared" si="15"/>
        <v>952561.90439603664</v>
      </c>
      <c r="N36" s="21" t="s">
        <v>92</v>
      </c>
      <c r="O36" s="4">
        <f t="shared" si="16"/>
        <v>550.55204045966377</v>
      </c>
      <c r="P36" s="15">
        <v>2565967</v>
      </c>
      <c r="Q36" s="24">
        <f t="shared" si="17"/>
        <v>460309.30548726651</v>
      </c>
      <c r="R36" s="15">
        <f t="shared" si="18"/>
        <v>460309.30548726651</v>
      </c>
    </row>
    <row r="37" spans="1:18">
      <c r="A37" s="20" t="s">
        <v>49</v>
      </c>
      <c r="B37" s="4">
        <f>'2010-10'!B37</f>
        <v>63.756000000000007</v>
      </c>
      <c r="C37" s="4">
        <f>'2010-10'!C37</f>
        <v>70.477750000000015</v>
      </c>
      <c r="D37" s="18">
        <f t="shared" si="9"/>
        <v>23492.583333333336</v>
      </c>
      <c r="E37" s="4">
        <f>'Interval Circuities'!C37</f>
        <v>1.3330034239016018</v>
      </c>
      <c r="F37" s="4">
        <f t="shared" si="10"/>
        <v>47.828834387679926</v>
      </c>
      <c r="G37" s="4">
        <f t="shared" si="11"/>
        <v>15.942944795893307</v>
      </c>
      <c r="H37" s="4">
        <f t="shared" si="12"/>
        <v>798.52213141171671</v>
      </c>
      <c r="I37" s="4">
        <f t="shared" si="13"/>
        <v>1655.0541671588298</v>
      </c>
      <c r="J37" s="18">
        <v>2069.418674</v>
      </c>
      <c r="K37" s="15">
        <v>3425000</v>
      </c>
      <c r="L37" s="24">
        <f t="shared" si="14"/>
        <v>1321597.3811615126</v>
      </c>
      <c r="M37" s="24">
        <f t="shared" si="15"/>
        <v>1321597.3811615126</v>
      </c>
      <c r="N37" s="21" t="s">
        <v>92</v>
      </c>
      <c r="O37" s="4">
        <f t="shared" si="16"/>
        <v>794.59561308665377</v>
      </c>
      <c r="P37" s="15">
        <v>1644351</v>
      </c>
      <c r="Q37" s="24">
        <f t="shared" si="17"/>
        <v>634502.18257235456</v>
      </c>
      <c r="R37" s="15">
        <f t="shared" si="18"/>
        <v>634502.18257235456</v>
      </c>
    </row>
    <row r="38" spans="1:18">
      <c r="A38" s="20" t="s">
        <v>50</v>
      </c>
      <c r="B38" s="4">
        <f>'2010-10'!B38</f>
        <v>68.465250000000012</v>
      </c>
      <c r="C38" s="4">
        <f>'2010-10'!C38</f>
        <v>76.837250000000012</v>
      </c>
      <c r="D38" s="18">
        <f t="shared" si="9"/>
        <v>25612.416666666668</v>
      </c>
      <c r="E38" s="4">
        <f>'Interval Circuities'!C38</f>
        <v>1.3399770609126298</v>
      </c>
      <c r="F38" s="4">
        <f t="shared" si="10"/>
        <v>51.094344819134285</v>
      </c>
      <c r="G38" s="4">
        <f t="shared" si="11"/>
        <v>17.031448273044759</v>
      </c>
      <c r="H38" s="4">
        <f t="shared" si="12"/>
        <v>911.2825044645773</v>
      </c>
      <c r="I38" s="4">
        <f t="shared" si="13"/>
        <v>822.12384643482994</v>
      </c>
      <c r="J38" s="18">
        <v>2207.6965749999999</v>
      </c>
      <c r="K38" s="15">
        <v>1815000</v>
      </c>
      <c r="L38" s="24">
        <f t="shared" si="14"/>
        <v>749187.07775918336</v>
      </c>
      <c r="M38" s="24">
        <f t="shared" si="15"/>
        <v>749187.07775918336</v>
      </c>
      <c r="N38" s="21" t="s">
        <v>92</v>
      </c>
      <c r="O38" s="4">
        <f t="shared" si="16"/>
        <v>483.83732261757939</v>
      </c>
      <c r="P38" s="15">
        <v>1068166</v>
      </c>
      <c r="Q38" s="24">
        <f t="shared" si="17"/>
        <v>440912.48710838344</v>
      </c>
      <c r="R38" s="15">
        <f t="shared" si="18"/>
        <v>440912.48710838344</v>
      </c>
    </row>
    <row r="39" spans="1:18">
      <c r="A39" s="20" t="s">
        <v>51</v>
      </c>
      <c r="B39" s="4">
        <f>'2010-10'!B39</f>
        <v>60.938500000000005</v>
      </c>
      <c r="C39" s="4">
        <f>'2010-10'!C39</f>
        <v>71.443750000000009</v>
      </c>
      <c r="D39" s="18">
        <f t="shared" si="9"/>
        <v>23814.583333333336</v>
      </c>
      <c r="E39" s="4">
        <f>'Interval Circuities'!C39</f>
        <v>1.4913588455422746</v>
      </c>
      <c r="F39" s="4">
        <f t="shared" si="10"/>
        <v>40.861057807882645</v>
      </c>
      <c r="G39" s="4">
        <f t="shared" si="11"/>
        <v>13.620352602627548</v>
      </c>
      <c r="H39" s="4">
        <f t="shared" si="12"/>
        <v>582.80943530854734</v>
      </c>
      <c r="I39" s="4">
        <f t="shared" si="13"/>
        <v>1466.3827908170226</v>
      </c>
      <c r="J39" s="18">
        <v>1227.5103140000001</v>
      </c>
      <c r="K39" s="15">
        <v>1800000</v>
      </c>
      <c r="L39" s="24">
        <f t="shared" si="14"/>
        <v>854621.72626224067</v>
      </c>
      <c r="M39" s="24">
        <f t="shared" si="15"/>
        <v>854621.72626224067</v>
      </c>
      <c r="N39" s="21" t="s">
        <v>92</v>
      </c>
      <c r="O39" s="4">
        <f t="shared" si="16"/>
        <v>771.73934035066679</v>
      </c>
      <c r="P39" s="15">
        <v>947318</v>
      </c>
      <c r="Q39" s="24">
        <f t="shared" si="17"/>
        <v>449776.96915516292</v>
      </c>
      <c r="R39" s="15">
        <f t="shared" si="18"/>
        <v>449776.96915516292</v>
      </c>
    </row>
    <row r="40" spans="1:18">
      <c r="A40" s="20" t="s">
        <v>52</v>
      </c>
      <c r="B40" s="4">
        <f>'2010-10'!B40</f>
        <v>61.542249999999996</v>
      </c>
      <c r="C40" s="4">
        <f>'2010-10'!C40</f>
        <v>68.062750000000008</v>
      </c>
      <c r="D40" s="18">
        <f t="shared" si="9"/>
        <v>22687.583333333336</v>
      </c>
      <c r="E40" s="4">
        <f>'Interval Circuities'!C40</f>
        <v>1.2792927288201636</v>
      </c>
      <c r="F40" s="4">
        <f t="shared" si="10"/>
        <v>48.10646430919509</v>
      </c>
      <c r="G40" s="4">
        <f t="shared" si="11"/>
        <v>16.035488103065028</v>
      </c>
      <c r="H40" s="4">
        <f t="shared" si="12"/>
        <v>807.81932910205114</v>
      </c>
      <c r="I40" s="4">
        <f t="shared" si="13"/>
        <v>954.46089809134196</v>
      </c>
      <c r="J40" s="18">
        <v>1304.4012620000001</v>
      </c>
      <c r="K40" s="15">
        <v>1245000</v>
      </c>
      <c r="L40" s="24">
        <f t="shared" si="14"/>
        <v>771031.9623502891</v>
      </c>
      <c r="M40" s="24">
        <f t="shared" si="15"/>
        <v>771031.9623502891</v>
      </c>
      <c r="N40" s="21" t="s">
        <v>92</v>
      </c>
      <c r="O40" s="4">
        <f t="shared" si="16"/>
        <v>487.50566142889852</v>
      </c>
      <c r="P40" s="15">
        <v>635903</v>
      </c>
      <c r="Q40" s="24">
        <f t="shared" si="17"/>
        <v>393816.49634894449</v>
      </c>
      <c r="R40" s="15">
        <f t="shared" si="18"/>
        <v>393816.49634894449</v>
      </c>
    </row>
    <row r="41" spans="1:18">
      <c r="A41" s="20" t="s">
        <v>53</v>
      </c>
      <c r="B41" s="4">
        <f>'2010-10'!B41</f>
        <v>67.57974999999999</v>
      </c>
      <c r="C41" s="4">
        <f>'2010-10'!C41</f>
        <v>75.46875</v>
      </c>
      <c r="D41" s="18">
        <f t="shared" si="9"/>
        <v>25156.25</v>
      </c>
      <c r="E41" s="4">
        <f>'Interval Circuities'!C41</f>
        <v>1.2841673699040268</v>
      </c>
      <c r="F41" s="4">
        <f t="shared" si="10"/>
        <v>52.625344315554919</v>
      </c>
      <c r="G41" s="4">
        <f t="shared" si="11"/>
        <v>17.541781438518306</v>
      </c>
      <c r="H41" s="4">
        <f t="shared" si="12"/>
        <v>966.71234351506337</v>
      </c>
      <c r="I41" s="4">
        <f t="shared" si="13"/>
        <v>1238.2323980039887</v>
      </c>
      <c r="J41" s="18">
        <v>827.79291000000001</v>
      </c>
      <c r="K41" s="15">
        <v>1025000</v>
      </c>
      <c r="L41" s="24">
        <f t="shared" si="14"/>
        <v>1197014.5432907126</v>
      </c>
      <c r="M41" s="24">
        <f t="shared" si="15"/>
        <v>1025000</v>
      </c>
      <c r="N41" s="21" t="s">
        <v>92</v>
      </c>
      <c r="O41" s="4">
        <f t="shared" si="16"/>
        <v>839.88880745547817</v>
      </c>
      <c r="P41" s="15">
        <f>438888+235541+20825</f>
        <v>695254</v>
      </c>
      <c r="Q41" s="24">
        <f t="shared" si="17"/>
        <v>811930.87734735711</v>
      </c>
      <c r="R41" s="15">
        <f t="shared" si="18"/>
        <v>695254</v>
      </c>
    </row>
    <row r="42" spans="1:18">
      <c r="A42" s="20" t="s">
        <v>82</v>
      </c>
      <c r="B42" s="4">
        <f>'2010-10'!B42</f>
        <v>63.595000000000006</v>
      </c>
      <c r="C42" s="4">
        <f>'2010-10'!C42</f>
        <v>70.84</v>
      </c>
      <c r="D42" s="18">
        <f t="shared" si="9"/>
        <v>23613.333333333332</v>
      </c>
      <c r="E42" s="4">
        <f>'Interval Circuities'!C42</f>
        <v>1.2619074783498458</v>
      </c>
      <c r="F42" s="4">
        <f t="shared" si="10"/>
        <v>50.395929250820402</v>
      </c>
      <c r="G42" s="4">
        <f t="shared" si="11"/>
        <v>16.798643083606798</v>
      </c>
      <c r="H42" s="4">
        <f t="shared" si="12"/>
        <v>886.53988361351969</v>
      </c>
      <c r="I42" s="4">
        <f t="shared" si="13"/>
        <v>974.56496374961057</v>
      </c>
      <c r="J42" s="18">
        <v>764.44365200000004</v>
      </c>
      <c r="K42" s="15">
        <v>745000</v>
      </c>
      <c r="L42" s="24">
        <f t="shared" si="14"/>
        <v>863990.70953639376</v>
      </c>
      <c r="M42" s="24">
        <f t="shared" si="15"/>
        <v>745000</v>
      </c>
      <c r="N42" s="21" t="s">
        <v>92</v>
      </c>
      <c r="O42" s="4">
        <f t="shared" si="16"/>
        <v>596.12634470539103</v>
      </c>
      <c r="P42" s="15">
        <f>430223+17339+8143</f>
        <v>455705</v>
      </c>
      <c r="Q42" s="24">
        <f t="shared" si="17"/>
        <v>528489.7802540703</v>
      </c>
      <c r="R42" s="15">
        <f t="shared" si="18"/>
        <v>455705</v>
      </c>
    </row>
    <row r="43" spans="1:18">
      <c r="A43" s="20" t="s">
        <v>54</v>
      </c>
      <c r="B43" s="4">
        <f>'2010-10'!B43</f>
        <v>56.873250000000006</v>
      </c>
      <c r="C43" s="4">
        <f>'2010-10'!C43</f>
        <v>65.688000000000017</v>
      </c>
      <c r="D43" s="18">
        <f t="shared" si="9"/>
        <v>21896.000000000004</v>
      </c>
      <c r="E43" s="4">
        <f>'Interval Circuities'!C43</f>
        <v>1.4013492588209344</v>
      </c>
      <c r="F43" s="4">
        <f t="shared" si="10"/>
        <v>40.584636301054566</v>
      </c>
      <c r="G43" s="4">
        <f t="shared" si="11"/>
        <v>13.528212100351521</v>
      </c>
      <c r="H43" s="4">
        <f t="shared" si="12"/>
        <v>574.95079661593263</v>
      </c>
      <c r="I43" s="4">
        <f t="shared" si="13"/>
        <v>1946.0452814625608</v>
      </c>
      <c r="J43" s="18">
        <v>955.78454299999999</v>
      </c>
      <c r="K43" s="15">
        <v>1860000</v>
      </c>
      <c r="L43" s="24">
        <f t="shared" si="14"/>
        <v>1118880.2848275763</v>
      </c>
      <c r="M43" s="24">
        <f t="shared" si="15"/>
        <v>1118880.2848275763</v>
      </c>
      <c r="N43" s="21" t="s">
        <v>92</v>
      </c>
      <c r="O43" s="4">
        <f t="shared" si="16"/>
        <v>727.9443940536712</v>
      </c>
      <c r="P43" s="15">
        <v>695758</v>
      </c>
      <c r="Q43" s="24">
        <f t="shared" si="17"/>
        <v>418532.20925326063</v>
      </c>
      <c r="R43" s="15">
        <f t="shared" si="18"/>
        <v>418532.20925326063</v>
      </c>
    </row>
    <row r="44" spans="1:18">
      <c r="A44" s="20" t="s">
        <v>55</v>
      </c>
      <c r="B44" s="4">
        <f>'2010-10'!B44</f>
        <v>78.084999999999994</v>
      </c>
      <c r="C44" s="4">
        <f>'2010-10'!C44</f>
        <v>86.658249999999995</v>
      </c>
      <c r="D44" s="18">
        <f t="shared" si="9"/>
        <v>28886.083333333332</v>
      </c>
      <c r="E44" s="4">
        <f>'Interval Circuities'!C44</f>
        <v>1.3751662227690009</v>
      </c>
      <c r="F44" s="4">
        <f t="shared" si="10"/>
        <v>56.782226546235229</v>
      </c>
      <c r="G44" s="4">
        <f t="shared" si="11"/>
        <v>18.927408848745074</v>
      </c>
      <c r="H44" s="4">
        <f t="shared" si="12"/>
        <v>1125.4655330456915</v>
      </c>
      <c r="I44" s="4">
        <f t="shared" si="13"/>
        <v>1631.618994212552</v>
      </c>
      <c r="J44" s="18">
        <v>597.56597799999997</v>
      </c>
      <c r="K44" s="15">
        <v>975000</v>
      </c>
      <c r="L44" s="24">
        <f t="shared" si="14"/>
        <v>1836330.9410489048</v>
      </c>
      <c r="M44" s="24">
        <f t="shared" si="15"/>
        <v>975000</v>
      </c>
      <c r="N44" s="21" t="s">
        <v>92</v>
      </c>
      <c r="O44" s="4">
        <f t="shared" si="16"/>
        <v>1202.6186671557798</v>
      </c>
      <c r="P44" s="15">
        <f>563242+155402</f>
        <v>718644</v>
      </c>
      <c r="Q44" s="24">
        <f t="shared" si="17"/>
        <v>1353505.8592811788</v>
      </c>
      <c r="R44" s="15">
        <f t="shared" si="18"/>
        <v>718644</v>
      </c>
    </row>
    <row r="45" spans="1:18">
      <c r="A45" s="20" t="s">
        <v>68</v>
      </c>
      <c r="B45" s="4">
        <f>'2010-10'!B45</f>
        <v>64.078000000000003</v>
      </c>
      <c r="C45" s="4">
        <f>'2010-10'!C45</f>
        <v>74.422249999999991</v>
      </c>
      <c r="D45" s="18">
        <f t="shared" si="9"/>
        <v>24807.416666666661</v>
      </c>
      <c r="E45" s="4">
        <f>'Interval Circuities'!C45</f>
        <v>1.3730841421652697</v>
      </c>
      <c r="F45" s="4">
        <f t="shared" si="10"/>
        <v>46.667205622921927</v>
      </c>
      <c r="G45" s="4">
        <f t="shared" si="11"/>
        <v>15.555735207640641</v>
      </c>
      <c r="H45" s="4">
        <f t="shared" si="12"/>
        <v>760.2054109953466</v>
      </c>
      <c r="I45" s="4">
        <f t="shared" si="13"/>
        <v>1373.6608426756356</v>
      </c>
      <c r="J45" s="18">
        <v>1055.5735119999999</v>
      </c>
      <c r="K45" s="15">
        <v>1450000</v>
      </c>
      <c r="L45" s="24">
        <f t="shared" si="14"/>
        <v>1044264.4054744458</v>
      </c>
      <c r="M45" s="24">
        <f t="shared" si="15"/>
        <v>1044264.4054744458</v>
      </c>
      <c r="N45" s="21" t="s">
        <v>92</v>
      </c>
      <c r="O45" s="4">
        <f t="shared" si="16"/>
        <v>697.12529883944273</v>
      </c>
      <c r="P45" s="15">
        <v>735867</v>
      </c>
      <c r="Q45" s="24">
        <f t="shared" si="17"/>
        <v>529958.42431949242</v>
      </c>
      <c r="R45" s="15">
        <f t="shared" si="18"/>
        <v>529958.42431949242</v>
      </c>
    </row>
    <row r="46" spans="1:18">
      <c r="A46" s="20" t="s">
        <v>69</v>
      </c>
      <c r="B46" s="4">
        <f>'2010-10'!B46</f>
        <v>60.495750000000008</v>
      </c>
      <c r="C46" s="4">
        <f>'2010-10'!C46</f>
        <v>69.672750000000008</v>
      </c>
      <c r="D46" s="18">
        <f t="shared" si="9"/>
        <v>23224.25</v>
      </c>
      <c r="E46" s="4">
        <f>'Interval Circuities'!C46</f>
        <v>1.4206259686722074</v>
      </c>
      <c r="F46" s="4">
        <f t="shared" si="10"/>
        <v>42.583868895866061</v>
      </c>
      <c r="G46" s="4">
        <f t="shared" si="11"/>
        <v>14.194622965288687</v>
      </c>
      <c r="H46" s="4">
        <f t="shared" si="12"/>
        <v>632.99108784313137</v>
      </c>
      <c r="I46" s="4">
        <f t="shared" si="13"/>
        <v>1455.9905696507528</v>
      </c>
      <c r="J46" s="18">
        <v>2026.112024</v>
      </c>
      <c r="K46" s="15">
        <v>2950000</v>
      </c>
      <c r="L46" s="24">
        <f t="shared" si="14"/>
        <v>921629.0545725706</v>
      </c>
      <c r="M46" s="24">
        <f t="shared" si="15"/>
        <v>921629.0545725706</v>
      </c>
      <c r="N46" s="21" t="s">
        <v>92</v>
      </c>
      <c r="O46" s="4">
        <f t="shared" si="16"/>
        <v>586.57319334876024</v>
      </c>
      <c r="P46" s="15">
        <v>1188463</v>
      </c>
      <c r="Q46" s="24">
        <f t="shared" si="17"/>
        <v>371295.60375745117</v>
      </c>
      <c r="R46" s="15">
        <f t="shared" si="18"/>
        <v>371295.60375745117</v>
      </c>
    </row>
    <row r="47" spans="1:18" ht="16">
      <c r="A47" s="20" t="s">
        <v>114</v>
      </c>
      <c r="B47" s="4">
        <f>'2010-10'!B47</f>
        <v>53.250750000000011</v>
      </c>
      <c r="C47" s="4">
        <f>'2010-10'!C47</f>
        <v>64.118250000000003</v>
      </c>
      <c r="D47" s="18">
        <f t="shared" si="9"/>
        <v>21372.75</v>
      </c>
      <c r="E47" s="4">
        <f>'Interval Circuities'!C47</f>
        <v>1.4357618484653247</v>
      </c>
      <c r="F47" s="4">
        <f t="shared" si="10"/>
        <v>37.0888459370329</v>
      </c>
      <c r="G47" s="4">
        <f t="shared" si="11"/>
        <v>12.362948645677633</v>
      </c>
      <c r="H47" s="4">
        <f t="shared" si="12"/>
        <v>480.16887269222877</v>
      </c>
      <c r="I47" s="4">
        <f t="shared" si="13"/>
        <v>4044.244551759617</v>
      </c>
      <c r="J47" s="18">
        <v>1107.747057</v>
      </c>
      <c r="K47" s="15">
        <v>4480000</v>
      </c>
      <c r="L47" s="24">
        <f t="shared" si="14"/>
        <v>1941920.3473101035</v>
      </c>
      <c r="M47" s="24">
        <f t="shared" si="15"/>
        <v>1941920.3473101035</v>
      </c>
      <c r="N47" s="21" t="s">
        <v>92</v>
      </c>
      <c r="O47" s="4">
        <f t="shared" si="16"/>
        <v>1773.2504795090599</v>
      </c>
      <c r="P47" s="15">
        <v>1964313</v>
      </c>
      <c r="Q47" s="24">
        <f t="shared" si="17"/>
        <v>851459.68374681938</v>
      </c>
      <c r="R47" s="15">
        <f t="shared" si="18"/>
        <v>851459.68374681938</v>
      </c>
    </row>
    <row r="48" spans="1:18" ht="16">
      <c r="A48" s="20" t="s">
        <v>72</v>
      </c>
      <c r="B48" s="4">
        <f>'2010-10'!B48</f>
        <v>63.71575</v>
      </c>
      <c r="C48" s="4">
        <f>'2010-10'!C48</f>
        <v>74.382000000000005</v>
      </c>
      <c r="D48" s="18">
        <f t="shared" si="9"/>
        <v>24794</v>
      </c>
      <c r="E48" s="4">
        <f>'Interval Circuities'!C48</f>
        <v>1.4014055067960625</v>
      </c>
      <c r="F48" s="4">
        <f t="shared" si="10"/>
        <v>45.465605558857092</v>
      </c>
      <c r="G48" s="4">
        <f t="shared" si="11"/>
        <v>15.155201852952363</v>
      </c>
      <c r="H48" s="4">
        <f t="shared" si="12"/>
        <v>721.56145056429204</v>
      </c>
      <c r="I48" s="4">
        <f t="shared" si="13"/>
        <v>2530.8612515940731</v>
      </c>
      <c r="J48" s="18">
        <v>673.68371100000002</v>
      </c>
      <c r="K48" s="15">
        <v>1705000</v>
      </c>
      <c r="L48" s="24">
        <f t="shared" si="14"/>
        <v>1826171.915877179</v>
      </c>
      <c r="M48" s="24">
        <f t="shared" si="15"/>
        <v>1705000</v>
      </c>
      <c r="N48" s="21" t="s">
        <v>92</v>
      </c>
      <c r="O48" s="4">
        <f t="shared" si="16"/>
        <v>1384.3499327238446</v>
      </c>
      <c r="P48" s="15">
        <v>932614</v>
      </c>
      <c r="Q48" s="24">
        <f t="shared" si="17"/>
        <v>998893.54554479744</v>
      </c>
      <c r="R48" s="15">
        <f t="shared" si="18"/>
        <v>932614</v>
      </c>
    </row>
    <row r="49" spans="1:18">
      <c r="A49" s="20" t="s">
        <v>56</v>
      </c>
      <c r="B49" s="4">
        <f>'2010-10'!B49</f>
        <v>52.928750000000001</v>
      </c>
      <c r="C49" s="4">
        <f>'2010-10'!C49</f>
        <v>63.23275000000001</v>
      </c>
      <c r="D49" s="18">
        <f t="shared" si="9"/>
        <v>21077.583333333336</v>
      </c>
      <c r="E49" s="4">
        <f>'Interval Circuities'!C49</f>
        <v>1.4789578076803838</v>
      </c>
      <c r="F49" s="4">
        <f t="shared" si="10"/>
        <v>35.787870164473539</v>
      </c>
      <c r="G49" s="4">
        <f t="shared" si="11"/>
        <v>11.929290054824513</v>
      </c>
      <c r="H49" s="4">
        <f t="shared" si="12"/>
        <v>447.0736454913847</v>
      </c>
      <c r="I49" s="4">
        <f t="shared" si="13"/>
        <v>1255.1211285274092</v>
      </c>
      <c r="J49" s="18">
        <v>2469.8811369999999</v>
      </c>
      <c r="K49" s="15">
        <v>3100000</v>
      </c>
      <c r="L49" s="24">
        <f t="shared" si="14"/>
        <v>561131.57846400957</v>
      </c>
      <c r="M49" s="24">
        <f t="shared" si="15"/>
        <v>561131.57846400957</v>
      </c>
      <c r="N49" s="21" t="s">
        <v>92</v>
      </c>
      <c r="O49" s="4">
        <f t="shared" si="16"/>
        <v>637.55537722461668</v>
      </c>
      <c r="P49" s="15">
        <v>1574686</v>
      </c>
      <c r="Q49" s="24">
        <f t="shared" si="17"/>
        <v>285034.20669844432</v>
      </c>
      <c r="R49" s="15">
        <f t="shared" si="18"/>
        <v>285034.20669844432</v>
      </c>
    </row>
    <row r="50" spans="1:18">
      <c r="A50" s="20" t="s">
        <v>76</v>
      </c>
      <c r="B50" s="4">
        <f>'2010-10'!B50</f>
        <v>60.375000000000007</v>
      </c>
      <c r="C50" s="4">
        <f>'2010-10'!C50</f>
        <v>66.814999999999998</v>
      </c>
      <c r="D50" s="18">
        <f t="shared" si="9"/>
        <v>22271.666666666664</v>
      </c>
      <c r="E50" s="4">
        <f>'Interval Circuities'!C50</f>
        <v>1.2828613575676235</v>
      </c>
      <c r="F50" s="4">
        <f t="shared" si="10"/>
        <v>47.062762974226899</v>
      </c>
      <c r="G50" s="4">
        <f t="shared" si="11"/>
        <v>15.687587658075632</v>
      </c>
      <c r="H50" s="4">
        <f t="shared" si="12"/>
        <v>773.14722919950293</v>
      </c>
      <c r="I50" s="4">
        <f t="shared" si="13"/>
        <v>1874.9988406660766</v>
      </c>
      <c r="J50" s="18">
        <v>2890.6684540000001</v>
      </c>
      <c r="K50" s="15">
        <v>5420000</v>
      </c>
      <c r="L50" s="24">
        <f t="shared" si="14"/>
        <v>1449650.1584132574</v>
      </c>
      <c r="M50" s="24">
        <f t="shared" si="15"/>
        <v>1449650.1584132574</v>
      </c>
      <c r="N50" s="21" t="s">
        <v>92</v>
      </c>
      <c r="O50" s="4">
        <f t="shared" si="16"/>
        <v>693.05838143691869</v>
      </c>
      <c r="P50" s="15">
        <v>2003402</v>
      </c>
      <c r="Q50" s="24">
        <f t="shared" si="17"/>
        <v>535836.16728144593</v>
      </c>
      <c r="R50" s="15">
        <f t="shared" si="18"/>
        <v>535836.16728144593</v>
      </c>
    </row>
    <row r="51" spans="1:18">
      <c r="A51" s="20" t="s">
        <v>57</v>
      </c>
      <c r="B51" s="4">
        <f>'2010-10'!B51</f>
        <v>59.771250000000002</v>
      </c>
      <c r="C51" s="4">
        <f>'2010-10'!C51</f>
        <v>67.539500000000004</v>
      </c>
      <c r="D51" s="18">
        <f t="shared" si="9"/>
        <v>22513.166666666668</v>
      </c>
      <c r="E51" s="4">
        <f>'Interval Circuities'!C51</f>
        <v>1.399372508003506</v>
      </c>
      <c r="F51" s="4">
        <f t="shared" si="10"/>
        <v>42.712894285222198</v>
      </c>
      <c r="G51" s="4">
        <f t="shared" si="11"/>
        <v>14.237631428407399</v>
      </c>
      <c r="H51" s="4">
        <f t="shared" si="12"/>
        <v>636.83271393628718</v>
      </c>
      <c r="I51" s="4">
        <f t="shared" si="13"/>
        <v>1031.684545690754</v>
      </c>
      <c r="J51" s="18">
        <v>2146.9741009999998</v>
      </c>
      <c r="K51" s="15">
        <v>2215000</v>
      </c>
      <c r="L51" s="24">
        <f t="shared" si="14"/>
        <v>657010.4691583683</v>
      </c>
      <c r="M51" s="24">
        <f t="shared" si="15"/>
        <v>657010.4691583683</v>
      </c>
      <c r="N51" s="21" t="s">
        <v>92</v>
      </c>
      <c r="O51" s="4">
        <f t="shared" si="16"/>
        <v>587.96843399835689</v>
      </c>
      <c r="P51" s="15">
        <v>1262353</v>
      </c>
      <c r="Q51" s="24">
        <f t="shared" si="17"/>
        <v>374437.53353204235</v>
      </c>
      <c r="R51" s="15">
        <f t="shared" si="18"/>
        <v>374437.53353204235</v>
      </c>
    </row>
    <row r="52" spans="1:18">
      <c r="A52" s="20" t="s">
        <v>71</v>
      </c>
      <c r="B52" s="4">
        <f>'2010-10'!B52</f>
        <v>61.099500000000006</v>
      </c>
      <c r="C52" s="4">
        <f>'2010-10'!C52</f>
        <v>68.384749999999997</v>
      </c>
      <c r="D52" s="18">
        <f t="shared" si="9"/>
        <v>22794.916666666664</v>
      </c>
      <c r="E52" s="4">
        <f>'Interval Circuities'!C52</f>
        <v>1.3116335868847857</v>
      </c>
      <c r="F52" s="4">
        <f t="shared" si="10"/>
        <v>46.582750404490064</v>
      </c>
      <c r="G52" s="4">
        <f t="shared" si="11"/>
        <v>15.527583468163353</v>
      </c>
      <c r="H52" s="4">
        <f t="shared" si="12"/>
        <v>757.45636194776068</v>
      </c>
      <c r="I52" s="4">
        <f t="shared" si="13"/>
        <v>1116.5255971867098</v>
      </c>
      <c r="J52" s="18">
        <v>2077.87444</v>
      </c>
      <c r="K52" s="15">
        <v>2320000</v>
      </c>
      <c r="L52" s="24">
        <f t="shared" si="14"/>
        <v>845719.41686659609</v>
      </c>
      <c r="M52" s="24">
        <f t="shared" si="15"/>
        <v>845719.41686659609</v>
      </c>
      <c r="N52" s="21" t="s">
        <v>92</v>
      </c>
      <c r="O52" s="4">
        <f t="shared" si="16"/>
        <v>483.81316052956498</v>
      </c>
      <c r="P52" s="15">
        <v>1005303</v>
      </c>
      <c r="Q52" s="24">
        <f t="shared" si="17"/>
        <v>366467.35643717222</v>
      </c>
      <c r="R52" s="15">
        <f t="shared" si="18"/>
        <v>366467.35643717222</v>
      </c>
    </row>
    <row r="53" spans="1:18" ht="16">
      <c r="A53" s="20" t="s">
        <v>117</v>
      </c>
      <c r="B53" s="4">
        <f>'2010-10'!B53</f>
        <v>57.074500000000008</v>
      </c>
      <c r="C53" s="4">
        <f>'2010-10'!C53</f>
        <v>69.189749999999989</v>
      </c>
      <c r="D53" s="18">
        <f t="shared" si="9"/>
        <v>23063.249999999996</v>
      </c>
      <c r="E53" s="4">
        <f>'Interval Circuities'!C53</f>
        <v>1.3586072661967159</v>
      </c>
      <c r="F53" s="4">
        <f t="shared" si="10"/>
        <v>42.009564809537871</v>
      </c>
      <c r="G53" s="4">
        <f t="shared" si="11"/>
        <v>14.003188269845957</v>
      </c>
      <c r="H53" s="4">
        <f t="shared" si="12"/>
        <v>616.032646901612</v>
      </c>
      <c r="I53" s="4">
        <f t="shared" si="13"/>
        <v>1445.2558415588917</v>
      </c>
      <c r="J53" s="18">
        <v>2996.0093400000001</v>
      </c>
      <c r="K53" s="15">
        <v>4330000</v>
      </c>
      <c r="L53" s="24">
        <f t="shared" si="14"/>
        <v>890324.78152554086</v>
      </c>
      <c r="M53" s="24">
        <f t="shared" si="15"/>
        <v>890324.78152554086</v>
      </c>
      <c r="N53" s="21" t="s">
        <v>92</v>
      </c>
      <c r="O53" s="4">
        <f t="shared" si="16"/>
        <v>824.50343762947011</v>
      </c>
      <c r="P53" s="15">
        <v>2470220</v>
      </c>
      <c r="Q53" s="24">
        <f t="shared" si="17"/>
        <v>507921.03506236064</v>
      </c>
      <c r="R53" s="15">
        <f t="shared" si="18"/>
        <v>507921.03506236064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E3" sqref="E3:E53"/>
    </sheetView>
  </sheetViews>
  <sheetFormatPr baseColWidth="10" defaultColWidth="11.5" defaultRowHeight="14" x14ac:dyDescent="0"/>
  <cols>
    <col min="4" max="4" width="11.5" style="20"/>
  </cols>
  <sheetData>
    <row r="1" spans="1:18" ht="56">
      <c r="A1" s="20">
        <f>3/6</f>
        <v>0.5</v>
      </c>
      <c r="B1" s="1" t="s">
        <v>60</v>
      </c>
      <c r="C1" s="1" t="s">
        <v>61</v>
      </c>
      <c r="D1" s="1" t="s">
        <v>165</v>
      </c>
      <c r="E1" s="7" t="s">
        <v>91</v>
      </c>
      <c r="F1" s="1" t="s">
        <v>21</v>
      </c>
      <c r="G1" s="1" t="s">
        <v>20</v>
      </c>
      <c r="H1" s="1" t="s">
        <v>131</v>
      </c>
      <c r="I1" s="1" t="s">
        <v>25</v>
      </c>
      <c r="J1" s="8" t="s">
        <v>84</v>
      </c>
      <c r="K1" s="25" t="s">
        <v>79</v>
      </c>
      <c r="L1" s="23" t="s">
        <v>77</v>
      </c>
      <c r="M1" s="29" t="s">
        <v>104</v>
      </c>
      <c r="N1" s="21" t="s">
        <v>92</v>
      </c>
      <c r="O1" s="1" t="s">
        <v>90</v>
      </c>
      <c r="P1" s="1" t="s">
        <v>88</v>
      </c>
      <c r="Q1" s="23" t="s">
        <v>89</v>
      </c>
      <c r="R1" s="20" t="s">
        <v>103</v>
      </c>
    </row>
    <row r="2" spans="1:18" ht="16">
      <c r="A2" s="20" t="s">
        <v>16</v>
      </c>
      <c r="B2" s="20" t="s">
        <v>18</v>
      </c>
      <c r="C2" s="20" t="s">
        <v>122</v>
      </c>
      <c r="E2" s="20" t="s">
        <v>115</v>
      </c>
      <c r="F2" s="20" t="s">
        <v>17</v>
      </c>
      <c r="G2" s="20" t="s">
        <v>19</v>
      </c>
      <c r="H2" s="20" t="s">
        <v>132</v>
      </c>
      <c r="I2" s="20" t="s">
        <v>24</v>
      </c>
      <c r="J2" s="9" t="s">
        <v>16</v>
      </c>
      <c r="K2" s="15" t="s">
        <v>123</v>
      </c>
      <c r="L2" s="24" t="s">
        <v>129</v>
      </c>
      <c r="M2" s="24" t="s">
        <v>124</v>
      </c>
      <c r="N2" s="21" t="s">
        <v>92</v>
      </c>
      <c r="O2" s="20" t="s">
        <v>125</v>
      </c>
      <c r="P2" s="20" t="s">
        <v>126</v>
      </c>
      <c r="Q2" s="24" t="s">
        <v>128</v>
      </c>
      <c r="R2" s="20" t="s">
        <v>127</v>
      </c>
    </row>
    <row r="3" spans="1:18">
      <c r="A3" s="20" t="s">
        <v>26</v>
      </c>
      <c r="B3" s="4">
        <f>'2010-10'!B3</f>
        <v>57.436750000000011</v>
      </c>
      <c r="C3" s="4">
        <f>'2010-10'!C3</f>
        <v>68.143250000000009</v>
      </c>
      <c r="D3" s="18">
        <f>C3*$A$1*1000</f>
        <v>34071.625000000007</v>
      </c>
      <c r="E3" s="4">
        <f>'Interval Circuities'!D3</f>
        <v>1.2678601947095567</v>
      </c>
      <c r="F3" s="4">
        <f t="shared" ref="F3:F34" si="0">B3/E3</f>
        <v>45.302116305621304</v>
      </c>
      <c r="G3" s="4">
        <f t="shared" ref="G3:G34" si="1">F3*$A$1</f>
        <v>22.651058152810652</v>
      </c>
      <c r="H3" s="4">
        <f t="shared" ref="H3:H34" si="2">PI()*G3^2</f>
        <v>1611.8583107587344</v>
      </c>
      <c r="I3" s="4">
        <f t="shared" ref="I3:I34" si="3">K3/J3</f>
        <v>873.48977839674285</v>
      </c>
      <c r="J3" s="9">
        <v>5083.0589090000003</v>
      </c>
      <c r="K3" s="15">
        <v>4440000</v>
      </c>
      <c r="L3" s="24">
        <f t="shared" ref="L3:L34" si="4">H3*I3</f>
        <v>1407941.7586715952</v>
      </c>
      <c r="M3" s="24">
        <f t="shared" ref="M3:M34" si="5">MIN(K3,L3)</f>
        <v>1407941.7586715952</v>
      </c>
      <c r="N3" s="21" t="s">
        <v>92</v>
      </c>
      <c r="O3" s="4">
        <f t="shared" ref="O3:O34" si="6">P3/J3</f>
        <v>436.36913120811522</v>
      </c>
      <c r="P3" s="15">
        <v>2218090</v>
      </c>
      <c r="Q3" s="24">
        <f t="shared" ref="Q3:Q34" si="7">H3*O3</f>
        <v>703365.21069636918</v>
      </c>
      <c r="R3" s="15">
        <f t="shared" ref="R3:R34" si="8">MIN(Q3,P3)</f>
        <v>703365.21069636918</v>
      </c>
    </row>
    <row r="4" spans="1:18">
      <c r="A4" s="20" t="s">
        <v>27</v>
      </c>
      <c r="B4" s="4">
        <f>'2010-10'!B4</f>
        <v>62.91075</v>
      </c>
      <c r="C4" s="4">
        <f>'2010-10'!C4</f>
        <v>76.756750000000011</v>
      </c>
      <c r="D4" s="18">
        <f t="shared" ref="D4:D53" si="9">C4*$A$1*1000</f>
        <v>38378.375000000007</v>
      </c>
      <c r="E4" s="4">
        <f>'Interval Circuities'!D4</f>
        <v>1.3315156958904781</v>
      </c>
      <c r="F4" s="4">
        <f t="shared" si="0"/>
        <v>47.24747158006813</v>
      </c>
      <c r="G4" s="4">
        <f t="shared" si="1"/>
        <v>23.623735790034065</v>
      </c>
      <c r="H4" s="4">
        <f t="shared" si="2"/>
        <v>1753.2628325439537</v>
      </c>
      <c r="I4" s="4">
        <f t="shared" si="3"/>
        <v>1256.1525913969799</v>
      </c>
      <c r="J4" s="9">
        <v>823.94448499999999</v>
      </c>
      <c r="K4" s="15">
        <v>1035000</v>
      </c>
      <c r="L4" s="24">
        <f t="shared" si="4"/>
        <v>2202365.6505000968</v>
      </c>
      <c r="M4" s="24">
        <f t="shared" si="5"/>
        <v>1035000</v>
      </c>
      <c r="N4" s="21" t="s">
        <v>92</v>
      </c>
      <c r="O4" s="4">
        <f t="shared" si="6"/>
        <v>796.23932430350578</v>
      </c>
      <c r="P4" s="15">
        <v>656057</v>
      </c>
      <c r="Q4" s="24">
        <f t="shared" si="7"/>
        <v>1396016.8131112482</v>
      </c>
      <c r="R4" s="15">
        <f t="shared" si="8"/>
        <v>656057</v>
      </c>
    </row>
    <row r="5" spans="1:18" ht="16">
      <c r="A5" s="20" t="s">
        <v>118</v>
      </c>
      <c r="B5" s="4">
        <f>'2010-10'!B5</f>
        <v>59.811500000000002</v>
      </c>
      <c r="C5" s="4">
        <f>'2010-10'!C5</f>
        <v>68.626249999999999</v>
      </c>
      <c r="D5" s="18">
        <f t="shared" si="9"/>
        <v>34313.125</v>
      </c>
      <c r="E5" s="4">
        <f>'Interval Circuities'!D5</f>
        <v>1.2716628995034032</v>
      </c>
      <c r="F5" s="4">
        <f t="shared" si="0"/>
        <v>47.034084287083452</v>
      </c>
      <c r="G5" s="4">
        <f t="shared" si="1"/>
        <v>23.517042143541726</v>
      </c>
      <c r="H5" s="4">
        <f t="shared" si="2"/>
        <v>1737.4618106010955</v>
      </c>
      <c r="I5" s="4">
        <f t="shared" si="3"/>
        <v>1312.0237170817477</v>
      </c>
      <c r="J5" s="9">
        <v>1768.260718</v>
      </c>
      <c r="K5" s="15">
        <v>2320000</v>
      </c>
      <c r="L5" s="24">
        <f t="shared" si="4"/>
        <v>2279591.103032433</v>
      </c>
      <c r="M5" s="24">
        <f t="shared" si="5"/>
        <v>2279591.103032433</v>
      </c>
      <c r="N5" s="21" t="s">
        <v>92</v>
      </c>
      <c r="O5" s="4">
        <f t="shared" si="6"/>
        <v>634.47657270187688</v>
      </c>
      <c r="P5" s="15">
        <v>1121920</v>
      </c>
      <c r="Q5" s="24">
        <f t="shared" si="7"/>
        <v>1102378.8147905807</v>
      </c>
      <c r="R5" s="15">
        <f t="shared" si="8"/>
        <v>1102378.8147905807</v>
      </c>
    </row>
    <row r="6" spans="1:18">
      <c r="A6" s="20" t="s">
        <v>29</v>
      </c>
      <c r="B6" s="4">
        <f>'2010-10'!B6</f>
        <v>53.613</v>
      </c>
      <c r="C6" s="4">
        <f>'2010-10'!C6</f>
        <v>62.8705</v>
      </c>
      <c r="D6" s="18">
        <f t="shared" si="9"/>
        <v>31435.25</v>
      </c>
      <c r="E6" s="4">
        <f>'Interval Circuities'!D6</f>
        <v>1.225852846145757</v>
      </c>
      <c r="F6" s="4">
        <f t="shared" si="0"/>
        <v>43.735265752791079</v>
      </c>
      <c r="G6" s="4">
        <f t="shared" si="1"/>
        <v>21.86763287639554</v>
      </c>
      <c r="H6" s="4">
        <f t="shared" si="2"/>
        <v>1502.2887707003495</v>
      </c>
      <c r="I6" s="4">
        <f t="shared" si="3"/>
        <v>934.02366191942531</v>
      </c>
      <c r="J6" s="9">
        <v>4496.6740900000004</v>
      </c>
      <c r="K6" s="15">
        <v>4200000</v>
      </c>
      <c r="L6" s="24">
        <f t="shared" si="4"/>
        <v>1403173.2588699723</v>
      </c>
      <c r="M6" s="24">
        <f t="shared" si="5"/>
        <v>1403173.2588699723</v>
      </c>
      <c r="N6" s="21" t="s">
        <v>92</v>
      </c>
      <c r="O6" s="4">
        <f t="shared" si="6"/>
        <v>645.53199584895856</v>
      </c>
      <c r="P6" s="15">
        <f>2341938+286024+61431+22699+190655</f>
        <v>2902747</v>
      </c>
      <c r="Q6" s="24">
        <f t="shared" si="7"/>
        <v>969775.4684916751</v>
      </c>
      <c r="R6" s="15">
        <f t="shared" si="8"/>
        <v>969775.4684916751</v>
      </c>
    </row>
    <row r="7" spans="1:18">
      <c r="A7" s="20" t="s">
        <v>30</v>
      </c>
      <c r="B7" s="4">
        <f>'2010-10'!B7</f>
        <v>63.434000000000012</v>
      </c>
      <c r="C7" s="4">
        <f>'2010-10'!C7</f>
        <v>70.236249999999998</v>
      </c>
      <c r="D7" s="18">
        <f t="shared" si="9"/>
        <v>35118.125</v>
      </c>
      <c r="E7" s="4">
        <f>'Interval Circuities'!D7</f>
        <v>1.2021720891550782</v>
      </c>
      <c r="F7" s="4">
        <f t="shared" si="0"/>
        <v>52.766156003990481</v>
      </c>
      <c r="G7" s="4">
        <f t="shared" si="1"/>
        <v>26.383078001995241</v>
      </c>
      <c r="H7" s="4">
        <f t="shared" si="2"/>
        <v>2186.7583605539021</v>
      </c>
      <c r="I7" s="4">
        <f t="shared" si="3"/>
        <v>1184.5434204235628</v>
      </c>
      <c r="J7" s="9">
        <v>949.73302000000001</v>
      </c>
      <c r="K7" s="15">
        <v>1125000</v>
      </c>
      <c r="L7" s="24">
        <f t="shared" si="4"/>
        <v>2590310.2280503418</v>
      </c>
      <c r="M7" s="24">
        <f t="shared" si="5"/>
        <v>1125000</v>
      </c>
      <c r="N7" s="21" t="s">
        <v>92</v>
      </c>
      <c r="O7" s="4">
        <f t="shared" si="6"/>
        <v>494.17361523346847</v>
      </c>
      <c r="P7" s="15">
        <v>469333</v>
      </c>
      <c r="Q7" s="24">
        <f t="shared" si="7"/>
        <v>1080638.2846769344</v>
      </c>
      <c r="R7" s="15">
        <f t="shared" si="8"/>
        <v>469333</v>
      </c>
    </row>
    <row r="8" spans="1:18">
      <c r="A8" s="20" t="s">
        <v>31</v>
      </c>
      <c r="B8" s="4">
        <f>'2010-10'!B8</f>
        <v>61.2605</v>
      </c>
      <c r="C8" s="4">
        <f>'2010-10'!C8</f>
        <v>70.799749999999989</v>
      </c>
      <c r="D8" s="18">
        <f t="shared" si="9"/>
        <v>35399.874999999993</v>
      </c>
      <c r="E8" s="4">
        <f>'Interval Circuities'!D8</f>
        <v>1.2406030547023881</v>
      </c>
      <c r="F8" s="4">
        <f t="shared" si="0"/>
        <v>49.379614025451488</v>
      </c>
      <c r="G8" s="4">
        <f t="shared" si="1"/>
        <v>24.689807012725744</v>
      </c>
      <c r="H8" s="4">
        <f t="shared" si="2"/>
        <v>1915.0726910620326</v>
      </c>
      <c r="I8" s="4">
        <f t="shared" si="3"/>
        <v>949.91537958488948</v>
      </c>
      <c r="J8" s="9">
        <v>1126.4161240000001</v>
      </c>
      <c r="K8" s="15">
        <v>1070000</v>
      </c>
      <c r="L8" s="24">
        <f t="shared" si="4"/>
        <v>1819157.0022628466</v>
      </c>
      <c r="M8" s="24">
        <f t="shared" si="5"/>
        <v>1070000</v>
      </c>
      <c r="N8" s="21" t="s">
        <v>92</v>
      </c>
      <c r="O8" s="4">
        <f t="shared" si="6"/>
        <v>723.7920184459291</v>
      </c>
      <c r="P8" s="15">
        <v>815291</v>
      </c>
      <c r="Q8" s="24">
        <f t="shared" si="7"/>
        <v>1386114.3285344657</v>
      </c>
      <c r="R8" s="15">
        <f t="shared" si="8"/>
        <v>815291</v>
      </c>
    </row>
    <row r="9" spans="1:18">
      <c r="A9" s="20" t="s">
        <v>32</v>
      </c>
      <c r="B9" s="4">
        <f>'2010-10'!B9</f>
        <v>49.265999999999998</v>
      </c>
      <c r="C9" s="4">
        <f>'2010-10'!C9</f>
        <v>60.495750000000008</v>
      </c>
      <c r="D9" s="18">
        <f t="shared" si="9"/>
        <v>30247.875000000004</v>
      </c>
      <c r="E9" s="4">
        <f>'Interval Circuities'!D9</f>
        <v>1.237014203266307</v>
      </c>
      <c r="F9" s="4">
        <f t="shared" si="0"/>
        <v>39.82654351899459</v>
      </c>
      <c r="G9" s="4">
        <f t="shared" si="1"/>
        <v>19.913271759497295</v>
      </c>
      <c r="H9" s="4">
        <f t="shared" si="2"/>
        <v>1245.762099700017</v>
      </c>
      <c r="I9" s="4">
        <f t="shared" si="3"/>
        <v>1535.0877689569375</v>
      </c>
      <c r="J9" s="9">
        <v>5498.0569649999998</v>
      </c>
      <c r="K9" s="15">
        <v>8440000</v>
      </c>
      <c r="L9" s="24">
        <f t="shared" si="4"/>
        <v>1912354.1622796089</v>
      </c>
      <c r="M9" s="24">
        <f t="shared" si="5"/>
        <v>1912354.1622796089</v>
      </c>
      <c r="N9" s="21" t="s">
        <v>92</v>
      </c>
      <c r="O9" s="4">
        <f t="shared" si="6"/>
        <v>761.20455401647519</v>
      </c>
      <c r="P9" s="15">
        <v>4185146</v>
      </c>
      <c r="Q9" s="24">
        <f t="shared" si="7"/>
        <v>948279.78351277916</v>
      </c>
      <c r="R9" s="15">
        <f t="shared" si="8"/>
        <v>948279.78351277916</v>
      </c>
    </row>
    <row r="10" spans="1:18">
      <c r="A10" s="20" t="s">
        <v>33</v>
      </c>
      <c r="B10" s="4">
        <f>'2010-10'!B10</f>
        <v>66.895499999999998</v>
      </c>
      <c r="C10" s="4">
        <f>'2010-10'!C10</f>
        <v>72.530500000000018</v>
      </c>
      <c r="D10" s="18">
        <f t="shared" si="9"/>
        <v>36265.250000000007</v>
      </c>
      <c r="E10" s="4">
        <f>'Interval Circuities'!D10</f>
        <v>1.3006549921101749</v>
      </c>
      <c r="F10" s="4">
        <f t="shared" si="0"/>
        <v>51.432163337542065</v>
      </c>
      <c r="G10" s="4">
        <f t="shared" si="1"/>
        <v>25.716081668771032</v>
      </c>
      <c r="H10" s="4">
        <f t="shared" si="2"/>
        <v>2077.5881777453187</v>
      </c>
      <c r="I10" s="4">
        <f t="shared" si="3"/>
        <v>959.84466122297908</v>
      </c>
      <c r="J10" s="9">
        <v>1739.864863</v>
      </c>
      <c r="K10" s="15">
        <v>1670000</v>
      </c>
      <c r="L10" s="24">
        <f t="shared" si="4"/>
        <v>1994161.9206288219</v>
      </c>
      <c r="M10" s="24">
        <f t="shared" si="5"/>
        <v>1670000</v>
      </c>
      <c r="N10" s="21" t="s">
        <v>92</v>
      </c>
      <c r="O10" s="4">
        <f t="shared" si="6"/>
        <v>544.468722913683</v>
      </c>
      <c r="P10" s="15">
        <v>947302</v>
      </c>
      <c r="Q10" s="24">
        <f t="shared" si="7"/>
        <v>1131181.7818775596</v>
      </c>
      <c r="R10" s="15">
        <f t="shared" si="8"/>
        <v>947302</v>
      </c>
    </row>
    <row r="11" spans="1:18">
      <c r="A11" s="20" t="s">
        <v>34</v>
      </c>
      <c r="B11" s="4">
        <f>'2010-10'!B11</f>
        <v>66.332000000000008</v>
      </c>
      <c r="C11" s="4">
        <f>'2010-10'!C11</f>
        <v>73.013500000000008</v>
      </c>
      <c r="D11" s="18">
        <f t="shared" si="9"/>
        <v>36506.750000000007</v>
      </c>
      <c r="E11" s="4">
        <f>'Interval Circuities'!D11</f>
        <v>1.1941029193577641</v>
      </c>
      <c r="F11" s="4">
        <f t="shared" si="0"/>
        <v>55.549650641232823</v>
      </c>
      <c r="G11" s="4">
        <f t="shared" si="1"/>
        <v>27.774825320616412</v>
      </c>
      <c r="H11" s="4">
        <f t="shared" si="2"/>
        <v>2423.5531319480542</v>
      </c>
      <c r="I11" s="4">
        <f t="shared" si="3"/>
        <v>1068.1935094485655</v>
      </c>
      <c r="J11" s="9">
        <v>1675.7263399999999</v>
      </c>
      <c r="K11" s="15">
        <v>1790000</v>
      </c>
      <c r="L11" s="24">
        <f t="shared" si="4"/>
        <v>2588823.7253506542</v>
      </c>
      <c r="M11" s="24">
        <f t="shared" si="5"/>
        <v>1790000</v>
      </c>
      <c r="N11" s="21" t="s">
        <v>92</v>
      </c>
      <c r="O11" s="4">
        <f t="shared" si="6"/>
        <v>567.00129210835223</v>
      </c>
      <c r="P11" s="15">
        <v>950139</v>
      </c>
      <c r="Q11" s="24">
        <f t="shared" si="7"/>
        <v>1374157.7573077907</v>
      </c>
      <c r="R11" s="15">
        <f t="shared" si="8"/>
        <v>950139</v>
      </c>
    </row>
    <row r="12" spans="1:18">
      <c r="A12" s="20" t="s">
        <v>35</v>
      </c>
      <c r="B12" s="4">
        <f>'2010-10'!B12</f>
        <v>73.174500000000009</v>
      </c>
      <c r="C12" s="4">
        <f>'2010-10'!C12</f>
        <v>79.775500000000008</v>
      </c>
      <c r="D12" s="18">
        <f t="shared" si="9"/>
        <v>39887.750000000007</v>
      </c>
      <c r="E12" s="4">
        <f>'Interval Circuities'!D12</f>
        <v>1.2132024431612698</v>
      </c>
      <c r="F12" s="4">
        <f t="shared" si="0"/>
        <v>60.315160435489659</v>
      </c>
      <c r="G12" s="4">
        <f t="shared" si="1"/>
        <v>30.15758021774483</v>
      </c>
      <c r="H12" s="4">
        <f t="shared" si="2"/>
        <v>2857.2145700325027</v>
      </c>
      <c r="I12" s="4">
        <f t="shared" si="3"/>
        <v>1189.2536054091877</v>
      </c>
      <c r="J12" s="9">
        <v>1030.0578399999999</v>
      </c>
      <c r="K12" s="15">
        <v>1225000</v>
      </c>
      <c r="L12" s="24">
        <f t="shared" si="4"/>
        <v>3397952.7288388158</v>
      </c>
      <c r="M12" s="24">
        <f t="shared" si="5"/>
        <v>1225000</v>
      </c>
      <c r="N12" s="21" t="s">
        <v>92</v>
      </c>
      <c r="O12" s="4">
        <f t="shared" si="6"/>
        <v>769.83055631128445</v>
      </c>
      <c r="P12" s="15">
        <v>792970</v>
      </c>
      <c r="Q12" s="24">
        <f t="shared" si="7"/>
        <v>2199571.0819488289</v>
      </c>
      <c r="R12" s="15">
        <f t="shared" si="8"/>
        <v>792970</v>
      </c>
    </row>
    <row r="13" spans="1:18">
      <c r="A13" s="20" t="s">
        <v>62</v>
      </c>
      <c r="B13" s="4">
        <f>'2010-10'!B13</f>
        <v>53.894749999999995</v>
      </c>
      <c r="C13" s="4">
        <f>'2010-10'!C13</f>
        <v>63.393750000000004</v>
      </c>
      <c r="D13" s="18">
        <f t="shared" si="9"/>
        <v>31696.875000000004</v>
      </c>
      <c r="E13" s="4">
        <f>'Interval Circuities'!D13</f>
        <v>1.2867507208792124</v>
      </c>
      <c r="F13" s="4">
        <f t="shared" si="0"/>
        <v>41.884375213852401</v>
      </c>
      <c r="G13" s="4">
        <f t="shared" si="1"/>
        <v>20.942187606926201</v>
      </c>
      <c r="H13" s="4">
        <f t="shared" si="2"/>
        <v>1377.8246947393334</v>
      </c>
      <c r="I13" s="4">
        <f t="shared" si="3"/>
        <v>1219.7404531385341</v>
      </c>
      <c r="J13" s="9">
        <v>3644.2179059999999</v>
      </c>
      <c r="K13" s="15">
        <v>4445000</v>
      </c>
      <c r="L13" s="24">
        <f t="shared" si="4"/>
        <v>1680588.5175068169</v>
      </c>
      <c r="M13" s="24">
        <f t="shared" si="5"/>
        <v>1680588.5175068169</v>
      </c>
      <c r="N13" s="21" t="s">
        <v>92</v>
      </c>
      <c r="O13" s="4">
        <f t="shared" si="6"/>
        <v>729.77414320404807</v>
      </c>
      <c r="P13" s="15">
        <v>2659456</v>
      </c>
      <c r="Q13" s="24">
        <f t="shared" si="7"/>
        <v>1005500.8360887761</v>
      </c>
      <c r="R13" s="15">
        <f t="shared" si="8"/>
        <v>1005500.8360887761</v>
      </c>
    </row>
    <row r="14" spans="1:18">
      <c r="A14" s="20" t="s">
        <v>36</v>
      </c>
      <c r="B14" s="4">
        <f>'2010-10'!B14</f>
        <v>54.780250000000002</v>
      </c>
      <c r="C14" s="4">
        <f>'2010-10'!C14</f>
        <v>64.118250000000003</v>
      </c>
      <c r="D14" s="18">
        <f t="shared" si="9"/>
        <v>32059.125</v>
      </c>
      <c r="E14" s="4">
        <f>'Interval Circuities'!D14</f>
        <v>1.3693023353302707</v>
      </c>
      <c r="F14" s="4">
        <f t="shared" si="0"/>
        <v>40.00595674642387</v>
      </c>
      <c r="G14" s="4">
        <f t="shared" si="1"/>
        <v>20.002978373211935</v>
      </c>
      <c r="H14" s="4">
        <f t="shared" si="2"/>
        <v>1257.0113627201556</v>
      </c>
      <c r="I14" s="4">
        <f t="shared" si="3"/>
        <v>1687.4292750883483</v>
      </c>
      <c r="J14" s="9">
        <v>1291.9059970000001</v>
      </c>
      <c r="K14" s="15">
        <v>2180000</v>
      </c>
      <c r="L14" s="24">
        <f t="shared" si="4"/>
        <v>2121117.7725726888</v>
      </c>
      <c r="M14" s="24">
        <f t="shared" si="5"/>
        <v>2121117.7725726888</v>
      </c>
      <c r="N14" s="21" t="s">
        <v>92</v>
      </c>
      <c r="O14" s="4">
        <f t="shared" si="6"/>
        <v>885.41349189201105</v>
      </c>
      <c r="P14" s="15">
        <v>1143871</v>
      </c>
      <c r="Q14" s="24">
        <f t="shared" si="7"/>
        <v>1112974.8200139883</v>
      </c>
      <c r="R14" s="15">
        <f t="shared" si="8"/>
        <v>1112974.8200139883</v>
      </c>
    </row>
    <row r="15" spans="1:18">
      <c r="A15" s="20" t="s">
        <v>37</v>
      </c>
      <c r="B15" s="4">
        <f>'2010-10'!B15</f>
        <v>57.557500000000005</v>
      </c>
      <c r="C15" s="4">
        <f>'2010-10'!C15</f>
        <v>65.124499999999998</v>
      </c>
      <c r="D15" s="18">
        <f t="shared" si="9"/>
        <v>32562.25</v>
      </c>
      <c r="E15" s="4">
        <f>'Interval Circuities'!D15</f>
        <v>1.2213340937624941</v>
      </c>
      <c r="F15" s="4">
        <f t="shared" si="0"/>
        <v>47.126744675313127</v>
      </c>
      <c r="G15" s="4">
        <f t="shared" si="1"/>
        <v>23.563372337656563</v>
      </c>
      <c r="H15" s="4">
        <f t="shared" si="2"/>
        <v>1744.3143930579959</v>
      </c>
      <c r="I15" s="4">
        <f t="shared" si="3"/>
        <v>1239.6159677445094</v>
      </c>
      <c r="J15" s="9">
        <v>3267.1408769999998</v>
      </c>
      <c r="K15" s="15">
        <v>4050000</v>
      </c>
      <c r="L15" s="24">
        <f t="shared" si="4"/>
        <v>2162279.974401264</v>
      </c>
      <c r="M15" s="24">
        <f t="shared" si="5"/>
        <v>2162279.974401264</v>
      </c>
      <c r="N15" s="21" t="s">
        <v>92</v>
      </c>
      <c r="O15" s="4">
        <f t="shared" si="6"/>
        <v>521.88291359068933</v>
      </c>
      <c r="P15" s="15">
        <v>1705065</v>
      </c>
      <c r="Q15" s="24">
        <f t="shared" si="7"/>
        <v>910327.87766728178</v>
      </c>
      <c r="R15" s="15">
        <f t="shared" si="8"/>
        <v>910327.87766728178</v>
      </c>
    </row>
    <row r="16" spans="1:18">
      <c r="A16" s="20" t="s">
        <v>80</v>
      </c>
      <c r="B16" s="4">
        <f>'2010-10'!B16</f>
        <v>72.650000000000006</v>
      </c>
      <c r="C16" s="4">
        <f>'2010-10'!C16</f>
        <v>79.78</v>
      </c>
      <c r="D16" s="18">
        <f t="shared" si="9"/>
        <v>39890</v>
      </c>
      <c r="E16" s="4">
        <f>'Interval Circuities'!D16</f>
        <v>1.2534629398347654</v>
      </c>
      <c r="F16" s="4">
        <f t="shared" si="0"/>
        <v>57.959431979358648</v>
      </c>
      <c r="G16" s="4">
        <f t="shared" si="1"/>
        <v>28.979715989679324</v>
      </c>
      <c r="H16" s="4">
        <f t="shared" si="2"/>
        <v>2638.3847165763646</v>
      </c>
      <c r="I16" s="4">
        <f t="shared" si="3"/>
        <v>900.16542520051985</v>
      </c>
      <c r="J16" s="9">
        <v>666.54415200000005</v>
      </c>
      <c r="K16" s="15">
        <v>600000</v>
      </c>
      <c r="L16" s="24">
        <f t="shared" si="4"/>
        <v>2374982.7002395163</v>
      </c>
      <c r="M16" s="24">
        <f t="shared" si="5"/>
        <v>600000</v>
      </c>
      <c r="N16" s="21" t="s">
        <v>92</v>
      </c>
      <c r="O16" s="4">
        <f t="shared" si="6"/>
        <v>799.60644527566114</v>
      </c>
      <c r="P16" s="15">
        <f>347964+52598+97277+35134</f>
        <v>532973</v>
      </c>
      <c r="Q16" s="24">
        <f t="shared" si="7"/>
        <v>2109669.4244912597</v>
      </c>
      <c r="R16" s="15">
        <f t="shared" si="8"/>
        <v>532973</v>
      </c>
    </row>
    <row r="17" spans="1:18">
      <c r="A17" s="20" t="s">
        <v>58</v>
      </c>
      <c r="B17" s="4">
        <f>'2010-10'!B17</f>
        <v>63.393750000000004</v>
      </c>
      <c r="C17" s="4">
        <f>'2010-10'!C17</f>
        <v>72.087750000000014</v>
      </c>
      <c r="D17" s="18">
        <f t="shared" si="9"/>
        <v>36043.875000000007</v>
      </c>
      <c r="E17" s="4">
        <f>'Interval Circuities'!D17</f>
        <v>1.3109661328414999</v>
      </c>
      <c r="F17" s="4">
        <f t="shared" si="0"/>
        <v>48.356512355200955</v>
      </c>
      <c r="G17" s="4">
        <f t="shared" si="1"/>
        <v>24.178256177600478</v>
      </c>
      <c r="H17" s="4">
        <f t="shared" si="2"/>
        <v>1836.5375917106676</v>
      </c>
      <c r="I17" s="4">
        <f t="shared" si="3"/>
        <v>1132.3576753929692</v>
      </c>
      <c r="J17" s="18">
        <v>1364.4098799999999</v>
      </c>
      <c r="K17" s="15">
        <v>1545000</v>
      </c>
      <c r="L17" s="24">
        <f t="shared" si="4"/>
        <v>2079617.4381212934</v>
      </c>
      <c r="M17" s="24">
        <f t="shared" si="5"/>
        <v>1545000</v>
      </c>
      <c r="N17" s="21" t="s">
        <v>92</v>
      </c>
      <c r="O17" s="4">
        <f t="shared" si="6"/>
        <v>466.71825624716234</v>
      </c>
      <c r="P17" s="15">
        <v>636795</v>
      </c>
      <c r="Q17" s="24">
        <f t="shared" si="7"/>
        <v>857145.62233556574</v>
      </c>
      <c r="R17" s="15">
        <f t="shared" si="8"/>
        <v>636795</v>
      </c>
    </row>
    <row r="18" spans="1:18">
      <c r="A18" s="20" t="s">
        <v>38</v>
      </c>
      <c r="B18" s="4">
        <f>'2010-10'!B18</f>
        <v>65.969749999999991</v>
      </c>
      <c r="C18" s="4">
        <f>'2010-10'!C18</f>
        <v>73.8185</v>
      </c>
      <c r="D18" s="18">
        <f t="shared" si="9"/>
        <v>36909.25</v>
      </c>
      <c r="E18" s="4">
        <f>'Interval Circuities'!D18</f>
        <v>1.2482031115877554</v>
      </c>
      <c r="F18" s="4">
        <f t="shared" si="0"/>
        <v>52.851774993642096</v>
      </c>
      <c r="G18" s="4">
        <f t="shared" si="1"/>
        <v>26.425887496821048</v>
      </c>
      <c r="H18" s="4">
        <f t="shared" si="2"/>
        <v>2193.8606380306765</v>
      </c>
      <c r="I18" s="4">
        <f t="shared" si="3"/>
        <v>736.26706687215813</v>
      </c>
      <c r="J18" s="18">
        <v>1215.591516</v>
      </c>
      <c r="K18" s="15">
        <v>895000</v>
      </c>
      <c r="L18" s="24">
        <f t="shared" si="4"/>
        <v>1615267.3370891276</v>
      </c>
      <c r="M18" s="24">
        <f t="shared" si="5"/>
        <v>895000</v>
      </c>
      <c r="N18" s="21" t="s">
        <v>92</v>
      </c>
      <c r="O18" s="4">
        <f t="shared" si="6"/>
        <v>466.09078176554175</v>
      </c>
      <c r="P18" s="15">
        <v>566576</v>
      </c>
      <c r="Q18" s="24">
        <f t="shared" si="7"/>
        <v>1022538.2198643682</v>
      </c>
      <c r="R18" s="15">
        <f t="shared" si="8"/>
        <v>566576</v>
      </c>
    </row>
    <row r="19" spans="1:18">
      <c r="A19" s="20" t="s">
        <v>81</v>
      </c>
      <c r="B19" s="4">
        <f>'2010-10'!B19</f>
        <v>61.743500000000004</v>
      </c>
      <c r="C19" s="4">
        <f>'2010-10'!C19</f>
        <v>74.744249999999994</v>
      </c>
      <c r="D19" s="18">
        <f t="shared" si="9"/>
        <v>37372.125</v>
      </c>
      <c r="E19" s="4">
        <f>'Interval Circuities'!D19</f>
        <v>1.4345819636227921</v>
      </c>
      <c r="F19" s="4">
        <f t="shared" si="0"/>
        <v>43.039367262137695</v>
      </c>
      <c r="G19" s="4">
        <f t="shared" si="1"/>
        <v>21.519683631068848</v>
      </c>
      <c r="H19" s="4">
        <f t="shared" si="2"/>
        <v>1454.8614532000508</v>
      </c>
      <c r="I19" s="4">
        <f t="shared" si="3"/>
        <v>1766.1211842313005</v>
      </c>
      <c r="J19" s="18">
        <v>399.17985599999997</v>
      </c>
      <c r="K19" s="15">
        <v>705000</v>
      </c>
      <c r="L19" s="24">
        <f t="shared" si="4"/>
        <v>2569461.6326181446</v>
      </c>
      <c r="M19" s="24">
        <f t="shared" si="5"/>
        <v>705000</v>
      </c>
      <c r="N19" s="21" t="s">
        <v>92</v>
      </c>
      <c r="O19" s="4">
        <f t="shared" si="6"/>
        <v>894.79465116095446</v>
      </c>
      <c r="P19" s="15">
        <v>357184</v>
      </c>
      <c r="Q19" s="24">
        <f t="shared" si="7"/>
        <v>1301802.2465036588</v>
      </c>
      <c r="R19" s="15">
        <f t="shared" si="8"/>
        <v>357184</v>
      </c>
    </row>
    <row r="20" spans="1:18">
      <c r="A20" s="20" t="s">
        <v>39</v>
      </c>
      <c r="B20" s="4">
        <f>'2010-10'!B20</f>
        <v>58.402750000000012</v>
      </c>
      <c r="C20" s="4">
        <f>'2010-10'!C20</f>
        <v>69.592250000000007</v>
      </c>
      <c r="D20" s="18">
        <f t="shared" si="9"/>
        <v>34796.125</v>
      </c>
      <c r="E20" s="4">
        <f>'Interval Circuities'!D20</f>
        <v>1.3068171566560105</v>
      </c>
      <c r="F20" s="4">
        <f t="shared" si="0"/>
        <v>44.690835058705304</v>
      </c>
      <c r="G20" s="4">
        <f t="shared" si="1"/>
        <v>22.345417529352652</v>
      </c>
      <c r="H20" s="4">
        <f t="shared" si="2"/>
        <v>1568.6527696246199</v>
      </c>
      <c r="I20" s="4">
        <f t="shared" si="3"/>
        <v>1137.2032495246315</v>
      </c>
      <c r="J20" s="18">
        <v>3354.7213320000001</v>
      </c>
      <c r="K20" s="15">
        <v>3815000</v>
      </c>
      <c r="L20" s="24">
        <f t="shared" si="4"/>
        <v>1783877.0269929308</v>
      </c>
      <c r="M20" s="24">
        <f t="shared" si="5"/>
        <v>1783877.0269929308</v>
      </c>
      <c r="N20" s="21" t="s">
        <v>92</v>
      </c>
      <c r="O20" s="4">
        <f t="shared" si="6"/>
        <v>675.48024880178036</v>
      </c>
      <c r="P20" s="15">
        <v>2266048</v>
      </c>
      <c r="Q20" s="24">
        <f t="shared" si="7"/>
        <v>1059593.9631096402</v>
      </c>
      <c r="R20" s="15">
        <f t="shared" si="8"/>
        <v>1059593.9631096402</v>
      </c>
    </row>
    <row r="21" spans="1:18">
      <c r="A21" s="20" t="s">
        <v>40</v>
      </c>
      <c r="B21" s="4">
        <f>'2010-10'!B21</f>
        <v>54.53875</v>
      </c>
      <c r="C21" s="4">
        <f>'2010-10'!C21</f>
        <v>64.440250000000006</v>
      </c>
      <c r="D21" s="18">
        <f t="shared" si="9"/>
        <v>32220.125000000004</v>
      </c>
      <c r="E21" s="4">
        <f>'Interval Circuities'!D21</f>
        <v>1.2377454480083434</v>
      </c>
      <c r="F21" s="4">
        <f t="shared" si="0"/>
        <v>44.062977640320405</v>
      </c>
      <c r="G21" s="4">
        <f t="shared" si="1"/>
        <v>22.031488820160202</v>
      </c>
      <c r="H21" s="4">
        <f t="shared" si="2"/>
        <v>1524.8866613982075</v>
      </c>
      <c r="I21" s="4">
        <f t="shared" si="3"/>
        <v>747.17664987777027</v>
      </c>
      <c r="J21" s="18">
        <v>1432.0576000000001</v>
      </c>
      <c r="K21" s="15">
        <v>1070000</v>
      </c>
      <c r="L21" s="24">
        <f t="shared" si="4"/>
        <v>1139359.7071068105</v>
      </c>
      <c r="M21" s="24">
        <f t="shared" si="5"/>
        <v>1070000</v>
      </c>
      <c r="N21" s="21" t="s">
        <v>92</v>
      </c>
      <c r="O21" s="4">
        <f t="shared" si="6"/>
        <v>555.53771021500802</v>
      </c>
      <c r="P21" s="15">
        <v>795562</v>
      </c>
      <c r="Q21" s="24">
        <f t="shared" si="7"/>
        <v>847132.04421056842</v>
      </c>
      <c r="R21" s="15">
        <f t="shared" si="8"/>
        <v>795562</v>
      </c>
    </row>
    <row r="22" spans="1:18" ht="16">
      <c r="A22" s="20" t="s">
        <v>119</v>
      </c>
      <c r="B22" s="4">
        <f>'2010-10'!B22</f>
        <v>60.173750000000005</v>
      </c>
      <c r="C22" s="4">
        <f>'2010-10'!C22</f>
        <v>67.821250000000006</v>
      </c>
      <c r="D22" s="18">
        <f t="shared" si="9"/>
        <v>33910.625</v>
      </c>
      <c r="E22" s="4">
        <f>'Interval Circuities'!D22</f>
        <v>1.3623371102112816</v>
      </c>
      <c r="F22" s="4">
        <f t="shared" si="0"/>
        <v>44.169500741756792</v>
      </c>
      <c r="G22" s="4">
        <f t="shared" si="1"/>
        <v>22.084750370878396</v>
      </c>
      <c r="H22" s="4">
        <f t="shared" si="2"/>
        <v>1532.2684594923223</v>
      </c>
      <c r="I22" s="4">
        <f t="shared" si="3"/>
        <v>1786.307024434233</v>
      </c>
      <c r="J22" s="18">
        <v>1136.422783</v>
      </c>
      <c r="K22" s="15">
        <v>2030000</v>
      </c>
      <c r="L22" s="24">
        <f t="shared" si="4"/>
        <v>2737101.9125101562</v>
      </c>
      <c r="M22" s="24">
        <f t="shared" si="5"/>
        <v>2030000</v>
      </c>
      <c r="N22" s="21" t="s">
        <v>92</v>
      </c>
      <c r="O22" s="4">
        <f t="shared" si="6"/>
        <v>966.10699505836999</v>
      </c>
      <c r="P22" s="15">
        <v>1097906</v>
      </c>
      <c r="Q22" s="24">
        <f t="shared" si="7"/>
        <v>1480335.2770228453</v>
      </c>
      <c r="R22" s="15">
        <f t="shared" si="8"/>
        <v>1097906</v>
      </c>
    </row>
    <row r="23" spans="1:18">
      <c r="A23" s="20" t="s">
        <v>41</v>
      </c>
      <c r="B23" s="4">
        <f>'2010-10'!B23</f>
        <v>66.332000000000008</v>
      </c>
      <c r="C23" s="4">
        <f>'2010-10'!C23</f>
        <v>74.180750000000003</v>
      </c>
      <c r="D23" s="18">
        <f t="shared" si="9"/>
        <v>37090.375</v>
      </c>
      <c r="E23" s="4">
        <f>'Interval Circuities'!D23</f>
        <v>1.3385303871253407</v>
      </c>
      <c r="F23" s="4">
        <f t="shared" si="0"/>
        <v>49.555841718659948</v>
      </c>
      <c r="G23" s="4">
        <f t="shared" si="1"/>
        <v>24.777920859329974</v>
      </c>
      <c r="H23" s="4">
        <f t="shared" si="2"/>
        <v>1928.7662393141322</v>
      </c>
      <c r="I23" s="4">
        <f t="shared" si="3"/>
        <v>978.15000707799697</v>
      </c>
      <c r="J23" s="18">
        <v>1063.231603</v>
      </c>
      <c r="K23" s="15">
        <v>1040000</v>
      </c>
      <c r="L23" s="24">
        <f t="shared" si="4"/>
        <v>1886622.7106369201</v>
      </c>
      <c r="M23" s="24">
        <f t="shared" si="5"/>
        <v>1040000</v>
      </c>
      <c r="N23" s="21" t="s">
        <v>92</v>
      </c>
      <c r="O23" s="4">
        <f t="shared" si="6"/>
        <v>508.16021502325492</v>
      </c>
      <c r="P23" s="15">
        <v>540292</v>
      </c>
      <c r="Q23" s="24">
        <f t="shared" si="7"/>
        <v>980122.26689946419</v>
      </c>
      <c r="R23" s="15">
        <f t="shared" si="8"/>
        <v>540292</v>
      </c>
    </row>
    <row r="24" spans="1:18">
      <c r="A24" s="20" t="s">
        <v>75</v>
      </c>
      <c r="B24" s="4">
        <f>'2010-10'!B24</f>
        <v>63.434000000000012</v>
      </c>
      <c r="C24" s="4">
        <f>'2010-10'!C24</f>
        <v>69.552000000000007</v>
      </c>
      <c r="D24" s="18">
        <f t="shared" si="9"/>
        <v>34776</v>
      </c>
      <c r="E24" s="4">
        <f>'Interval Circuities'!D24</f>
        <v>1.2759958465633252</v>
      </c>
      <c r="F24" s="4">
        <f t="shared" si="0"/>
        <v>49.713327963291221</v>
      </c>
      <c r="G24" s="4">
        <f t="shared" si="1"/>
        <v>24.85666398164561</v>
      </c>
      <c r="H24" s="4">
        <f t="shared" si="2"/>
        <v>1941.0447840746367</v>
      </c>
      <c r="I24" s="4">
        <f t="shared" si="3"/>
        <v>1007.5137082249074</v>
      </c>
      <c r="J24" s="18">
        <v>1513.6270480000001</v>
      </c>
      <c r="K24" s="15">
        <v>1525000</v>
      </c>
      <c r="L24" s="24">
        <f t="shared" si="4"/>
        <v>1955629.228233652</v>
      </c>
      <c r="M24" s="24">
        <f t="shared" si="5"/>
        <v>1525000</v>
      </c>
      <c r="N24" s="21" t="s">
        <v>92</v>
      </c>
      <c r="O24" s="4">
        <f t="shared" si="6"/>
        <v>613.50449651848453</v>
      </c>
      <c r="P24" s="15">
        <v>928617</v>
      </c>
      <c r="Q24" s="24">
        <f t="shared" si="7"/>
        <v>1190839.7029735404</v>
      </c>
      <c r="R24" s="15">
        <f t="shared" si="8"/>
        <v>928617</v>
      </c>
    </row>
    <row r="25" spans="1:18">
      <c r="A25" s="20" t="s">
        <v>63</v>
      </c>
      <c r="B25" s="4">
        <f>'2010-10'!B25</f>
        <v>59.529750000000007</v>
      </c>
      <c r="C25" s="4">
        <f>'2010-10'!C25</f>
        <v>69.833750000000009</v>
      </c>
      <c r="D25" s="18">
        <f t="shared" si="9"/>
        <v>34916.875000000007</v>
      </c>
      <c r="E25" s="4">
        <f>'Interval Circuities'!D25</f>
        <v>1.3201192530937347</v>
      </c>
      <c r="F25" s="4">
        <f t="shared" si="0"/>
        <v>45.094221495891716</v>
      </c>
      <c r="G25" s="4">
        <f t="shared" si="1"/>
        <v>22.547110747945858</v>
      </c>
      <c r="H25" s="4">
        <f t="shared" si="2"/>
        <v>1597.0983784858126</v>
      </c>
      <c r="I25" s="4">
        <f t="shared" si="3"/>
        <v>1897.3714766274206</v>
      </c>
      <c r="J25" s="18">
        <v>740.49811399999999</v>
      </c>
      <c r="K25" s="15">
        <v>1405000</v>
      </c>
      <c r="L25" s="24">
        <f t="shared" si="4"/>
        <v>3030288.9087068853</v>
      </c>
      <c r="M25" s="24">
        <f t="shared" si="5"/>
        <v>1405000</v>
      </c>
      <c r="N25" s="21" t="s">
        <v>92</v>
      </c>
      <c r="O25" s="4">
        <f t="shared" si="6"/>
        <v>1137.2034365505488</v>
      </c>
      <c r="P25" s="15">
        <v>842097</v>
      </c>
      <c r="Q25" s="24">
        <f t="shared" si="7"/>
        <v>1816225.7645233751</v>
      </c>
      <c r="R25" s="15">
        <f t="shared" si="8"/>
        <v>842097</v>
      </c>
    </row>
    <row r="26" spans="1:18" ht="16">
      <c r="A26" s="20" t="s">
        <v>120</v>
      </c>
      <c r="B26" s="4">
        <f>'2010-10'!B26</f>
        <v>52.928750000000001</v>
      </c>
      <c r="C26" s="4">
        <f>'2010-10'!C26</f>
        <v>66.090500000000006</v>
      </c>
      <c r="D26" s="18">
        <f t="shared" si="9"/>
        <v>33045.25</v>
      </c>
      <c r="E26" s="4">
        <f>'Interval Circuities'!D26</f>
        <v>1.2573733592111536</v>
      </c>
      <c r="F26" s="4">
        <f t="shared" si="0"/>
        <v>42.094696545190246</v>
      </c>
      <c r="G26" s="4">
        <f t="shared" si="1"/>
        <v>21.047348272595123</v>
      </c>
      <c r="H26" s="4">
        <f t="shared" si="2"/>
        <v>1391.6968606250955</v>
      </c>
      <c r="I26" s="4">
        <f t="shared" si="3"/>
        <v>2963.0107614020721</v>
      </c>
      <c r="J26" s="18">
        <v>4319.9303110000001</v>
      </c>
      <c r="K26" s="15">
        <v>12800000</v>
      </c>
      <c r="L26" s="24">
        <f t="shared" si="4"/>
        <v>4123612.7746416377</v>
      </c>
      <c r="M26" s="24">
        <f t="shared" si="5"/>
        <v>4123612.7746416377</v>
      </c>
      <c r="N26" s="21" t="s">
        <v>92</v>
      </c>
      <c r="O26" s="4">
        <f t="shared" si="6"/>
        <v>1240.2952395682755</v>
      </c>
      <c r="P26" s="15">
        <v>5357989</v>
      </c>
      <c r="Q26" s="24">
        <f t="shared" si="7"/>
        <v>1726114.9911554197</v>
      </c>
      <c r="R26" s="15">
        <f t="shared" si="8"/>
        <v>1726114.9911554197</v>
      </c>
    </row>
    <row r="27" spans="1:18">
      <c r="A27" s="20" t="s">
        <v>42</v>
      </c>
      <c r="B27" s="4">
        <f>'2010-10'!B27</f>
        <v>63.474250000000012</v>
      </c>
      <c r="C27" s="4">
        <f>'2010-10'!C27</f>
        <v>71.282750000000007</v>
      </c>
      <c r="D27" s="18">
        <f t="shared" si="9"/>
        <v>35641.375</v>
      </c>
      <c r="E27" s="4">
        <f>'Interval Circuities'!D27</f>
        <v>1.3257298869873992</v>
      </c>
      <c r="F27" s="4">
        <f t="shared" si="0"/>
        <v>47.878719958738714</v>
      </c>
      <c r="G27" s="4">
        <f t="shared" si="1"/>
        <v>23.939359979369357</v>
      </c>
      <c r="H27" s="4">
        <f t="shared" si="2"/>
        <v>1800.4246210905617</v>
      </c>
      <c r="I27" s="4">
        <f t="shared" si="3"/>
        <v>902.85200083237225</v>
      </c>
      <c r="J27" s="18">
        <v>1013.455139</v>
      </c>
      <c r="K27" s="15">
        <v>915000</v>
      </c>
      <c r="L27" s="24">
        <f t="shared" si="4"/>
        <v>1625516.9714994794</v>
      </c>
      <c r="M27" s="24">
        <f t="shared" si="5"/>
        <v>915000</v>
      </c>
      <c r="N27" s="21" t="s">
        <v>92</v>
      </c>
      <c r="O27" s="4">
        <f t="shared" si="6"/>
        <v>548.67648167305799</v>
      </c>
      <c r="P27" s="15">
        <v>556059</v>
      </c>
      <c r="Q27" s="24">
        <f t="shared" si="7"/>
        <v>987850.64661751792</v>
      </c>
      <c r="R27" s="15">
        <f t="shared" si="8"/>
        <v>556059</v>
      </c>
    </row>
    <row r="28" spans="1:18">
      <c r="A28" s="20" t="s">
        <v>43</v>
      </c>
      <c r="B28" s="4">
        <f>'2010-10'!B28</f>
        <v>67.418750000000003</v>
      </c>
      <c r="C28" s="4">
        <f>'2010-10'!C28</f>
        <v>75.146750000000011</v>
      </c>
      <c r="D28" s="18">
        <f t="shared" si="9"/>
        <v>37573.375000000007</v>
      </c>
      <c r="E28" s="4">
        <f>'Interval Circuities'!D28</f>
        <v>1.2910194406980002</v>
      </c>
      <c r="F28" s="4">
        <f t="shared" si="0"/>
        <v>52.22132825788394</v>
      </c>
      <c r="G28" s="4">
        <f t="shared" si="1"/>
        <v>26.11066412894197</v>
      </c>
      <c r="H28" s="4">
        <f t="shared" si="2"/>
        <v>2141.8335114504357</v>
      </c>
      <c r="I28" s="4">
        <f t="shared" si="3"/>
        <v>999.49538906027249</v>
      </c>
      <c r="J28" s="18">
        <v>1035.5225359999999</v>
      </c>
      <c r="K28" s="15">
        <v>1035000</v>
      </c>
      <c r="L28" s="24">
        <f t="shared" si="4"/>
        <v>2140752.7188294828</v>
      </c>
      <c r="M28" s="24">
        <f t="shared" si="5"/>
        <v>1035000</v>
      </c>
      <c r="N28" s="21" t="s">
        <v>92</v>
      </c>
      <c r="O28" s="4">
        <f t="shared" si="6"/>
        <v>536.12160112370555</v>
      </c>
      <c r="P28" s="15">
        <v>555166</v>
      </c>
      <c r="Q28" s="24">
        <f t="shared" si="7"/>
        <v>1148283.211499216</v>
      </c>
      <c r="R28" s="15">
        <f t="shared" si="8"/>
        <v>555166</v>
      </c>
    </row>
    <row r="29" spans="1:18">
      <c r="A29" s="20" t="s">
        <v>44</v>
      </c>
      <c r="B29" s="4">
        <f>'2010-10'!B29</f>
        <v>65.688000000000002</v>
      </c>
      <c r="C29" s="4">
        <f>'2010-10'!C29</f>
        <v>72.490250000000003</v>
      </c>
      <c r="D29" s="18">
        <f t="shared" si="9"/>
        <v>36245.125</v>
      </c>
      <c r="E29" s="4">
        <f>'Interval Circuities'!D29</f>
        <v>1.1867090038683803</v>
      </c>
      <c r="F29" s="4">
        <f t="shared" si="0"/>
        <v>55.353081324800968</v>
      </c>
      <c r="G29" s="4">
        <f t="shared" si="1"/>
        <v>27.676540662400484</v>
      </c>
      <c r="H29" s="4">
        <f t="shared" si="2"/>
        <v>2406.4313936992448</v>
      </c>
      <c r="I29" s="4">
        <f t="shared" si="3"/>
        <v>1161.3700459353722</v>
      </c>
      <c r="J29" s="18">
        <v>1261.4411789999999</v>
      </c>
      <c r="K29" s="15">
        <v>1465000</v>
      </c>
      <c r="L29" s="24">
        <f t="shared" si="4"/>
        <v>2794757.3382408139</v>
      </c>
      <c r="M29" s="24">
        <f t="shared" si="5"/>
        <v>1465000</v>
      </c>
      <c r="N29" s="21" t="s">
        <v>92</v>
      </c>
      <c r="O29" s="4">
        <f t="shared" si="6"/>
        <v>630.29256792638762</v>
      </c>
      <c r="P29" s="15">
        <v>795077</v>
      </c>
      <c r="Q29" s="24">
        <f t="shared" si="7"/>
        <v>1516755.8226733729</v>
      </c>
      <c r="R29" s="15">
        <f t="shared" si="8"/>
        <v>795077</v>
      </c>
    </row>
    <row r="30" spans="1:18">
      <c r="A30" s="20" t="s">
        <v>45</v>
      </c>
      <c r="B30" s="4">
        <f>'2010-10'!B30</f>
        <v>55.746250000000003</v>
      </c>
      <c r="C30" s="4">
        <f>'2010-10'!C30</f>
        <v>65.688000000000002</v>
      </c>
      <c r="D30" s="18">
        <f t="shared" si="9"/>
        <v>32844</v>
      </c>
      <c r="E30" s="4">
        <f>'Interval Circuities'!D30</f>
        <v>1.2701199260392533</v>
      </c>
      <c r="F30" s="4">
        <f t="shared" si="0"/>
        <v>43.890540457734033</v>
      </c>
      <c r="G30" s="4">
        <f t="shared" si="1"/>
        <v>21.945270228867017</v>
      </c>
      <c r="H30" s="4">
        <f t="shared" si="2"/>
        <v>1512.9749540355974</v>
      </c>
      <c r="I30" s="4">
        <f t="shared" si="3"/>
        <v>1090.2344714817029</v>
      </c>
      <c r="J30" s="18">
        <v>2316.0155599999998</v>
      </c>
      <c r="K30" s="15">
        <v>2525000</v>
      </c>
      <c r="L30" s="24">
        <f t="shared" si="4"/>
        <v>1649497.4493780534</v>
      </c>
      <c r="M30" s="24">
        <f t="shared" si="5"/>
        <v>1649497.4493780534</v>
      </c>
      <c r="N30" s="21" t="s">
        <v>92</v>
      </c>
      <c r="O30" s="4">
        <f t="shared" si="6"/>
        <v>725.84961389464934</v>
      </c>
      <c r="P30" s="15">
        <v>1681079</v>
      </c>
      <c r="Q30" s="24">
        <f t="shared" si="7"/>
        <v>1098192.2862190132</v>
      </c>
      <c r="R30" s="15">
        <f t="shared" si="8"/>
        <v>1098192.2862190132</v>
      </c>
    </row>
    <row r="31" spans="1:18">
      <c r="A31" s="20" t="s">
        <v>46</v>
      </c>
      <c r="B31" s="4">
        <f>'2010-10'!B31</f>
        <v>67.579750000000004</v>
      </c>
      <c r="C31" s="4">
        <f>'2010-10'!C31</f>
        <v>75.871250000000003</v>
      </c>
      <c r="D31" s="18">
        <f t="shared" si="9"/>
        <v>37935.625</v>
      </c>
      <c r="E31" s="4">
        <f>'Interval Circuities'!D31</f>
        <v>1.3223570330949683</v>
      </c>
      <c r="F31" s="4">
        <f t="shared" si="0"/>
        <v>51.105524687103625</v>
      </c>
      <c r="G31" s="4">
        <f t="shared" si="1"/>
        <v>25.552762343551812</v>
      </c>
      <c r="H31" s="4">
        <f t="shared" si="2"/>
        <v>2051.2830161015886</v>
      </c>
      <c r="I31" s="4">
        <f t="shared" si="3"/>
        <v>891.82610976607054</v>
      </c>
      <c r="J31" s="18">
        <v>1115.688349</v>
      </c>
      <c r="K31" s="15">
        <v>995000</v>
      </c>
      <c r="L31" s="24">
        <f t="shared" si="4"/>
        <v>1829387.7522790916</v>
      </c>
      <c r="M31" s="24">
        <f t="shared" si="5"/>
        <v>995000</v>
      </c>
      <c r="N31" s="21" t="s">
        <v>92</v>
      </c>
      <c r="O31" s="4">
        <f t="shared" si="6"/>
        <v>651.34407888308954</v>
      </c>
      <c r="P31" s="15">
        <v>726697</v>
      </c>
      <c r="Q31" s="24">
        <f t="shared" si="7"/>
        <v>1336091.0466512151</v>
      </c>
      <c r="R31" s="15">
        <f t="shared" si="8"/>
        <v>726697</v>
      </c>
    </row>
    <row r="32" spans="1:18">
      <c r="A32" s="20" t="s">
        <v>47</v>
      </c>
      <c r="B32" s="4">
        <f>'2010-10'!B32</f>
        <v>56.148750000000007</v>
      </c>
      <c r="C32" s="4">
        <f>'2010-10'!C32</f>
        <v>67.137</v>
      </c>
      <c r="D32" s="18">
        <f t="shared" si="9"/>
        <v>33568.5</v>
      </c>
      <c r="E32" s="4">
        <f>'Interval Circuities'!D32</f>
        <v>1.3489148947289156</v>
      </c>
      <c r="F32" s="4">
        <f t="shared" si="0"/>
        <v>41.625124179004587</v>
      </c>
      <c r="G32" s="4">
        <f t="shared" si="1"/>
        <v>20.812562089502293</v>
      </c>
      <c r="H32" s="4">
        <f t="shared" si="2"/>
        <v>1360.8208840842658</v>
      </c>
      <c r="I32" s="4">
        <f t="shared" si="3"/>
        <v>2146.7911124783959</v>
      </c>
      <c r="J32" s="18">
        <v>512.39265599999999</v>
      </c>
      <c r="K32" s="15">
        <v>1100000</v>
      </c>
      <c r="L32" s="24">
        <f t="shared" si="4"/>
        <v>2921398.1796270953</v>
      </c>
      <c r="M32" s="24">
        <f t="shared" si="5"/>
        <v>1100000</v>
      </c>
      <c r="N32" s="21" t="s">
        <v>92</v>
      </c>
      <c r="O32" s="4">
        <f t="shared" si="6"/>
        <v>898.57064618037771</v>
      </c>
      <c r="P32" s="15">
        <v>460421</v>
      </c>
      <c r="Q32" s="24">
        <f t="shared" si="7"/>
        <v>1222793.7011473516</v>
      </c>
      <c r="R32" s="15">
        <f t="shared" si="8"/>
        <v>460421</v>
      </c>
    </row>
    <row r="33" spans="1:18">
      <c r="A33" s="20" t="s">
        <v>65</v>
      </c>
      <c r="B33" s="4">
        <f>'2010-10'!B33</f>
        <v>55.142500000000005</v>
      </c>
      <c r="C33" s="4">
        <f>'2010-10'!C33</f>
        <v>67.660250000000005</v>
      </c>
      <c r="D33" s="18">
        <f t="shared" si="9"/>
        <v>33830.125</v>
      </c>
      <c r="E33" s="4">
        <f>'Interval Circuities'!D33</f>
        <v>1.2364276854478877</v>
      </c>
      <c r="F33" s="4">
        <f t="shared" si="0"/>
        <v>44.59824108518324</v>
      </c>
      <c r="G33" s="4">
        <f t="shared" si="1"/>
        <v>22.29912054259162</v>
      </c>
      <c r="H33" s="4">
        <f t="shared" si="2"/>
        <v>1562.1593879302927</v>
      </c>
      <c r="I33" s="4">
        <f t="shared" si="3"/>
        <v>2098.879805390713</v>
      </c>
      <c r="J33" s="18">
        <v>8683.2032749999998</v>
      </c>
      <c r="K33" s="15">
        <v>18225000</v>
      </c>
      <c r="L33" s="24">
        <f t="shared" si="4"/>
        <v>3278784.7921284083</v>
      </c>
      <c r="M33" s="24">
        <f t="shared" si="5"/>
        <v>3278784.7921284083</v>
      </c>
      <c r="N33" s="21" t="s">
        <v>92</v>
      </c>
      <c r="O33" s="4">
        <f t="shared" si="6"/>
        <v>941.20588234184811</v>
      </c>
      <c r="P33" s="15">
        <f>7737401+435281</f>
        <v>8172682</v>
      </c>
      <c r="Q33" s="24">
        <f t="shared" si="7"/>
        <v>1470313.6050755326</v>
      </c>
      <c r="R33" s="15">
        <f t="shared" si="8"/>
        <v>1470313.6050755326</v>
      </c>
    </row>
    <row r="34" spans="1:18">
      <c r="A34" s="20" t="s">
        <v>66</v>
      </c>
      <c r="B34" s="4">
        <f>'2010-10'!B34</f>
        <v>69.028750000000002</v>
      </c>
      <c r="C34" s="4">
        <f>'2010-10'!C34</f>
        <v>75.951750000000018</v>
      </c>
      <c r="D34" s="18">
        <f t="shared" si="9"/>
        <v>37975.875000000007</v>
      </c>
      <c r="E34" s="4">
        <f>'Interval Circuities'!D34</f>
        <v>1.2782037611934325</v>
      </c>
      <c r="F34" s="4">
        <f t="shared" si="0"/>
        <v>54.004496071541269</v>
      </c>
      <c r="G34" s="4">
        <f t="shared" si="1"/>
        <v>27.002248035770634</v>
      </c>
      <c r="H34" s="4">
        <f t="shared" si="2"/>
        <v>2290.6024306272652</v>
      </c>
      <c r="I34" s="4">
        <f t="shared" si="3"/>
        <v>1048.044711192385</v>
      </c>
      <c r="J34" s="18">
        <v>834.88804500000003</v>
      </c>
      <c r="K34" s="15">
        <v>875000</v>
      </c>
      <c r="L34" s="24">
        <f t="shared" si="4"/>
        <v>2400653.7628633273</v>
      </c>
      <c r="M34" s="24">
        <f t="shared" si="5"/>
        <v>875000</v>
      </c>
      <c r="N34" s="21" t="s">
        <v>92</v>
      </c>
      <c r="O34" s="4">
        <f t="shared" si="6"/>
        <v>575.97662690211359</v>
      </c>
      <c r="P34" s="15">
        <v>480876</v>
      </c>
      <c r="Q34" s="24">
        <f t="shared" si="7"/>
        <v>1319333.461566475</v>
      </c>
      <c r="R34" s="15">
        <f t="shared" si="8"/>
        <v>480876</v>
      </c>
    </row>
    <row r="35" spans="1:18">
      <c r="A35" s="20" t="s">
        <v>48</v>
      </c>
      <c r="B35" s="4">
        <f>'2010-10'!B35</f>
        <v>58.161250000000003</v>
      </c>
      <c r="C35" s="4">
        <f>'2010-10'!C35</f>
        <v>69.069000000000003</v>
      </c>
      <c r="D35" s="18">
        <f t="shared" si="9"/>
        <v>34534.5</v>
      </c>
      <c r="E35" s="4">
        <f>'Interval Circuities'!D35</f>
        <v>1.3529409382116724</v>
      </c>
      <c r="F35" s="4">
        <f t="shared" ref="F35:F53" si="10">B35/E35</f>
        <v>42.988757570510053</v>
      </c>
      <c r="G35" s="4">
        <f t="shared" ref="G35:G53" si="11">F35*$A$1</f>
        <v>21.494378785255027</v>
      </c>
      <c r="H35" s="4">
        <f t="shared" ref="H35:H53" si="12">PI()*G35^2</f>
        <v>1451.4419420113766</v>
      </c>
      <c r="I35" s="4">
        <f t="shared" ref="I35:I53" si="13">K35/J35</f>
        <v>1197.0074422042101</v>
      </c>
      <c r="J35" s="18">
        <v>1173.7604550000001</v>
      </c>
      <c r="K35" s="15">
        <v>1405000</v>
      </c>
      <c r="L35" s="24">
        <f t="shared" ref="L35:L53" si="14">H35*I35</f>
        <v>1737386.8065149493</v>
      </c>
      <c r="M35" s="24">
        <f t="shared" ref="M35:M53" si="15">MIN(K35,L35)</f>
        <v>1405000</v>
      </c>
      <c r="N35" s="21" t="s">
        <v>92</v>
      </c>
      <c r="O35" s="4">
        <f t="shared" ref="O35:O53" si="16">P35/J35</f>
        <v>800.1002214715096</v>
      </c>
      <c r="P35" s="15">
        <v>939126</v>
      </c>
      <c r="Q35" s="24">
        <f t="shared" ref="Q35:Q53" si="17">H35*O35</f>
        <v>1161299.0192563403</v>
      </c>
      <c r="R35" s="15">
        <f t="shared" ref="R35:R53" si="18">MIN(Q35,P35)</f>
        <v>939126</v>
      </c>
    </row>
    <row r="36" spans="1:18">
      <c r="A36" s="20" t="s">
        <v>67</v>
      </c>
      <c r="B36" s="4">
        <f>'2010-10'!B36</f>
        <v>59.771250000000002</v>
      </c>
      <c r="C36" s="4">
        <f>'2010-10'!C36</f>
        <v>68.062750000000008</v>
      </c>
      <c r="D36" s="18">
        <f t="shared" si="9"/>
        <v>34031.375000000007</v>
      </c>
      <c r="E36" s="4">
        <f>'Interval Circuities'!D36</f>
        <v>1.20124627478735</v>
      </c>
      <c r="F36" s="4">
        <f t="shared" si="10"/>
        <v>49.757698529038912</v>
      </c>
      <c r="G36" s="4">
        <f t="shared" si="11"/>
        <v>24.878849264519456</v>
      </c>
      <c r="H36" s="4">
        <f t="shared" si="12"/>
        <v>1944.5112061938823</v>
      </c>
      <c r="I36" s="4">
        <f t="shared" si="13"/>
        <v>1139.3097942572194</v>
      </c>
      <c r="J36" s="18">
        <v>4660.7165379999997</v>
      </c>
      <c r="K36" s="15">
        <v>5310000</v>
      </c>
      <c r="L36" s="24">
        <f t="shared" si="14"/>
        <v>2215400.6622596099</v>
      </c>
      <c r="M36" s="24">
        <f t="shared" si="15"/>
        <v>2215400.6622596099</v>
      </c>
      <c r="N36" s="21" t="s">
        <v>92</v>
      </c>
      <c r="O36" s="4">
        <f t="shared" si="16"/>
        <v>550.55204045966377</v>
      </c>
      <c r="P36" s="15">
        <v>2565967</v>
      </c>
      <c r="Q36" s="24">
        <f t="shared" si="17"/>
        <v>1070554.612266724</v>
      </c>
      <c r="R36" s="15">
        <f t="shared" si="18"/>
        <v>1070554.612266724</v>
      </c>
    </row>
    <row r="37" spans="1:18">
      <c r="A37" s="20" t="s">
        <v>49</v>
      </c>
      <c r="B37" s="4">
        <f>'2010-10'!B37</f>
        <v>63.756000000000007</v>
      </c>
      <c r="C37" s="4">
        <f>'2010-10'!C37</f>
        <v>70.477750000000015</v>
      </c>
      <c r="D37" s="18">
        <f t="shared" si="9"/>
        <v>35238.875000000007</v>
      </c>
      <c r="E37" s="4">
        <f>'Interval Circuities'!D37</f>
        <v>1.3052617006945595</v>
      </c>
      <c r="F37" s="4">
        <f t="shared" si="10"/>
        <v>48.84537711178838</v>
      </c>
      <c r="G37" s="4">
        <f t="shared" si="11"/>
        <v>24.42268855589419</v>
      </c>
      <c r="H37" s="4">
        <f t="shared" si="12"/>
        <v>1873.8585956259217</v>
      </c>
      <c r="I37" s="4">
        <f t="shared" si="13"/>
        <v>1655.0541671588298</v>
      </c>
      <c r="J37" s="18">
        <v>2069.418674</v>
      </c>
      <c r="K37" s="15">
        <v>3425000</v>
      </c>
      <c r="L37" s="24">
        <f t="shared" si="14"/>
        <v>3101337.4773570742</v>
      </c>
      <c r="M37" s="24">
        <f t="shared" si="15"/>
        <v>3101337.4773570742</v>
      </c>
      <c r="N37" s="21" t="s">
        <v>92</v>
      </c>
      <c r="O37" s="4">
        <f t="shared" si="16"/>
        <v>794.59561308665377</v>
      </c>
      <c r="P37" s="15">
        <v>1644351</v>
      </c>
      <c r="Q37" s="24">
        <f t="shared" si="17"/>
        <v>1488959.8196290752</v>
      </c>
      <c r="R37" s="15">
        <f t="shared" si="18"/>
        <v>1488959.8196290752</v>
      </c>
    </row>
    <row r="38" spans="1:18">
      <c r="A38" s="20" t="s">
        <v>50</v>
      </c>
      <c r="B38" s="4">
        <f>'2010-10'!B38</f>
        <v>68.465250000000012</v>
      </c>
      <c r="C38" s="4">
        <f>'2010-10'!C38</f>
        <v>76.837250000000012</v>
      </c>
      <c r="D38" s="18">
        <f t="shared" si="9"/>
        <v>38418.625000000007</v>
      </c>
      <c r="E38" s="4">
        <f>'Interval Circuities'!D38</f>
        <v>1.3051406812780726</v>
      </c>
      <c r="F38" s="4">
        <f t="shared" si="10"/>
        <v>52.458138024595712</v>
      </c>
      <c r="G38" s="4">
        <f t="shared" si="11"/>
        <v>26.229069012297856</v>
      </c>
      <c r="H38" s="4">
        <f t="shared" si="12"/>
        <v>2161.3028407627162</v>
      </c>
      <c r="I38" s="4">
        <f t="shared" si="13"/>
        <v>822.12384643482994</v>
      </c>
      <c r="J38" s="18">
        <v>2207.6965749999999</v>
      </c>
      <c r="K38" s="15">
        <v>1815000</v>
      </c>
      <c r="L38" s="24">
        <f t="shared" si="14"/>
        <v>1776858.604758369</v>
      </c>
      <c r="M38" s="24">
        <f t="shared" si="15"/>
        <v>1776858.604758369</v>
      </c>
      <c r="N38" s="21" t="s">
        <v>92</v>
      </c>
      <c r="O38" s="4">
        <f t="shared" si="16"/>
        <v>483.83732261757939</v>
      </c>
      <c r="P38" s="15">
        <v>1068166</v>
      </c>
      <c r="Q38" s="24">
        <f t="shared" si="17"/>
        <v>1045718.9798404011</v>
      </c>
      <c r="R38" s="15">
        <f t="shared" si="18"/>
        <v>1045718.9798404011</v>
      </c>
    </row>
    <row r="39" spans="1:18">
      <c r="A39" s="20" t="s">
        <v>51</v>
      </c>
      <c r="B39" s="4">
        <f>'2010-10'!B39</f>
        <v>60.938500000000005</v>
      </c>
      <c r="C39" s="4">
        <f>'2010-10'!C39</f>
        <v>71.443750000000009</v>
      </c>
      <c r="D39" s="18">
        <f t="shared" si="9"/>
        <v>35721.875000000007</v>
      </c>
      <c r="E39" s="4">
        <f>'Interval Circuities'!D39</f>
        <v>1.4731281162210448</v>
      </c>
      <c r="F39" s="4">
        <f t="shared" si="10"/>
        <v>41.366734725234245</v>
      </c>
      <c r="G39" s="4">
        <f t="shared" si="11"/>
        <v>20.683367362617123</v>
      </c>
      <c r="H39" s="4">
        <f t="shared" si="12"/>
        <v>1343.9786322249647</v>
      </c>
      <c r="I39" s="4">
        <f t="shared" si="13"/>
        <v>1466.3827908170226</v>
      </c>
      <c r="J39" s="18">
        <v>1227.5103140000001</v>
      </c>
      <c r="K39" s="15">
        <v>1800000</v>
      </c>
      <c r="L39" s="24">
        <f t="shared" si="14"/>
        <v>1970787.1375204886</v>
      </c>
      <c r="M39" s="24">
        <f t="shared" si="15"/>
        <v>1800000</v>
      </c>
      <c r="N39" s="21" t="s">
        <v>92</v>
      </c>
      <c r="O39" s="4">
        <f t="shared" si="16"/>
        <v>771.73934035066679</v>
      </c>
      <c r="P39" s="15">
        <v>947318</v>
      </c>
      <c r="Q39" s="24">
        <f t="shared" si="17"/>
        <v>1037201.1830786857</v>
      </c>
      <c r="R39" s="15">
        <f t="shared" si="18"/>
        <v>947318</v>
      </c>
    </row>
    <row r="40" spans="1:18">
      <c r="A40" s="20" t="s">
        <v>52</v>
      </c>
      <c r="B40" s="4">
        <f>'2010-10'!B40</f>
        <v>61.542249999999996</v>
      </c>
      <c r="C40" s="4">
        <f>'2010-10'!C40</f>
        <v>68.062750000000008</v>
      </c>
      <c r="D40" s="18">
        <f t="shared" si="9"/>
        <v>34031.375000000007</v>
      </c>
      <c r="E40" s="4">
        <f>'Interval Circuities'!D40</f>
        <v>1.2492145533947989</v>
      </c>
      <c r="F40" s="4">
        <f t="shared" si="10"/>
        <v>49.264755868202187</v>
      </c>
      <c r="G40" s="4">
        <f t="shared" si="11"/>
        <v>24.632377934101093</v>
      </c>
      <c r="H40" s="4">
        <f t="shared" si="12"/>
        <v>1906.1740430457551</v>
      </c>
      <c r="I40" s="4">
        <f t="shared" si="13"/>
        <v>954.46089809134196</v>
      </c>
      <c r="J40" s="18">
        <v>1304.4012620000001</v>
      </c>
      <c r="K40" s="15">
        <v>1245000</v>
      </c>
      <c r="L40" s="24">
        <f t="shared" si="14"/>
        <v>1819368.5890438557</v>
      </c>
      <c r="M40" s="24">
        <f t="shared" si="15"/>
        <v>1245000</v>
      </c>
      <c r="N40" s="21" t="s">
        <v>92</v>
      </c>
      <c r="O40" s="4">
        <f t="shared" si="16"/>
        <v>487.50566142889852</v>
      </c>
      <c r="P40" s="15">
        <v>635903</v>
      </c>
      <c r="Q40" s="24">
        <f t="shared" si="17"/>
        <v>929270.63765361847</v>
      </c>
      <c r="R40" s="15">
        <f t="shared" si="18"/>
        <v>635903</v>
      </c>
    </row>
    <row r="41" spans="1:18">
      <c r="A41" s="20" t="s">
        <v>53</v>
      </c>
      <c r="B41" s="4">
        <f>'2010-10'!B41</f>
        <v>67.57974999999999</v>
      </c>
      <c r="C41" s="4">
        <f>'2010-10'!C41</f>
        <v>75.46875</v>
      </c>
      <c r="D41" s="18">
        <f t="shared" si="9"/>
        <v>37734.375</v>
      </c>
      <c r="E41" s="4">
        <f>'Interval Circuities'!D41</f>
        <v>1.2442193027437145</v>
      </c>
      <c r="F41" s="4">
        <f t="shared" si="10"/>
        <v>54.314982777533821</v>
      </c>
      <c r="G41" s="4">
        <f t="shared" si="11"/>
        <v>27.15749138876691</v>
      </c>
      <c r="H41" s="4">
        <f t="shared" si="12"/>
        <v>2317.0167517357686</v>
      </c>
      <c r="I41" s="4">
        <f t="shared" si="13"/>
        <v>1238.2323980039887</v>
      </c>
      <c r="J41" s="18">
        <v>827.79291000000001</v>
      </c>
      <c r="K41" s="15">
        <v>1025000</v>
      </c>
      <c r="L41" s="24">
        <f t="shared" si="14"/>
        <v>2869005.2087171935</v>
      </c>
      <c r="M41" s="24">
        <f t="shared" si="15"/>
        <v>1025000</v>
      </c>
      <c r="N41" s="21" t="s">
        <v>92</v>
      </c>
      <c r="O41" s="4">
        <f t="shared" si="16"/>
        <v>839.88880745547817</v>
      </c>
      <c r="P41" s="15">
        <f>438888+235541+20825</f>
        <v>695254</v>
      </c>
      <c r="Q41" s="24">
        <f t="shared" si="17"/>
        <v>1946036.4364697204</v>
      </c>
      <c r="R41" s="15">
        <f t="shared" si="18"/>
        <v>695254</v>
      </c>
    </row>
    <row r="42" spans="1:18">
      <c r="A42" s="20" t="s">
        <v>82</v>
      </c>
      <c r="B42" s="4">
        <f>'2010-10'!B42</f>
        <v>63.595000000000006</v>
      </c>
      <c r="C42" s="4">
        <f>'2010-10'!C42</f>
        <v>70.84</v>
      </c>
      <c r="D42" s="18">
        <f t="shared" si="9"/>
        <v>35420</v>
      </c>
      <c r="E42" s="4">
        <f>'Interval Circuities'!D42</f>
        <v>1.235017216450139</v>
      </c>
      <c r="F42" s="4">
        <f t="shared" si="10"/>
        <v>51.49320928723062</v>
      </c>
      <c r="G42" s="4">
        <f t="shared" si="11"/>
        <v>25.74660464361531</v>
      </c>
      <c r="H42" s="4">
        <f t="shared" si="12"/>
        <v>2082.5229735148255</v>
      </c>
      <c r="I42" s="4">
        <f t="shared" si="13"/>
        <v>974.56496374961057</v>
      </c>
      <c r="J42" s="18">
        <v>764.44365200000004</v>
      </c>
      <c r="K42" s="15">
        <v>745000</v>
      </c>
      <c r="L42" s="24">
        <f t="shared" si="14"/>
        <v>2029553.926191207</v>
      </c>
      <c r="M42" s="24">
        <f t="shared" si="15"/>
        <v>745000</v>
      </c>
      <c r="N42" s="21" t="s">
        <v>92</v>
      </c>
      <c r="O42" s="4">
        <f t="shared" si="16"/>
        <v>596.12634470539103</v>
      </c>
      <c r="P42" s="15">
        <f>430223+17339+8143</f>
        <v>455705</v>
      </c>
      <c r="Q42" s="24">
        <f t="shared" si="17"/>
        <v>1241446.8079663948</v>
      </c>
      <c r="R42" s="15">
        <f t="shared" si="18"/>
        <v>455705</v>
      </c>
    </row>
    <row r="43" spans="1:18">
      <c r="A43" s="20" t="s">
        <v>54</v>
      </c>
      <c r="B43" s="4">
        <f>'2010-10'!B43</f>
        <v>56.873250000000006</v>
      </c>
      <c r="C43" s="4">
        <f>'2010-10'!C43</f>
        <v>65.688000000000017</v>
      </c>
      <c r="D43" s="18">
        <f t="shared" si="9"/>
        <v>32844.000000000007</v>
      </c>
      <c r="E43" s="4">
        <f>'Interval Circuities'!D43</f>
        <v>1.4014419587257636</v>
      </c>
      <c r="F43" s="4">
        <f t="shared" si="10"/>
        <v>40.581951786081106</v>
      </c>
      <c r="G43" s="4">
        <f t="shared" si="11"/>
        <v>20.290975893040553</v>
      </c>
      <c r="H43" s="4">
        <f t="shared" si="12"/>
        <v>1293.4681596858272</v>
      </c>
      <c r="I43" s="4">
        <f t="shared" si="13"/>
        <v>1946.0452814625608</v>
      </c>
      <c r="J43" s="18">
        <v>955.78454299999999</v>
      </c>
      <c r="K43" s="15">
        <v>1860000</v>
      </c>
      <c r="L43" s="24">
        <f t="shared" si="14"/>
        <v>2517147.6088786661</v>
      </c>
      <c r="M43" s="24">
        <f t="shared" si="15"/>
        <v>1860000</v>
      </c>
      <c r="N43" s="21" t="s">
        <v>92</v>
      </c>
      <c r="O43" s="4">
        <f t="shared" si="16"/>
        <v>727.9443940536712</v>
      </c>
      <c r="P43" s="15">
        <v>695758</v>
      </c>
      <c r="Q43" s="24">
        <f t="shared" si="17"/>
        <v>941572.89573021675</v>
      </c>
      <c r="R43" s="15">
        <f t="shared" si="18"/>
        <v>695758</v>
      </c>
    </row>
    <row r="44" spans="1:18">
      <c r="A44" s="20" t="s">
        <v>55</v>
      </c>
      <c r="B44" s="4">
        <f>'2010-10'!B44</f>
        <v>78.084999999999994</v>
      </c>
      <c r="C44" s="4">
        <f>'2010-10'!C44</f>
        <v>86.658249999999995</v>
      </c>
      <c r="D44" s="18">
        <f t="shared" si="9"/>
        <v>43329.125</v>
      </c>
      <c r="E44" s="4">
        <f>'Interval Circuities'!D44</f>
        <v>1.37473562290319</v>
      </c>
      <c r="F44" s="4">
        <f t="shared" si="10"/>
        <v>56.800012088941706</v>
      </c>
      <c r="G44" s="4">
        <f t="shared" si="11"/>
        <v>28.400006044470853</v>
      </c>
      <c r="H44" s="4">
        <f t="shared" si="12"/>
        <v>2533.8840492697632</v>
      </c>
      <c r="I44" s="4">
        <f t="shared" si="13"/>
        <v>1631.618994212552</v>
      </c>
      <c r="J44" s="18">
        <v>597.56597799999997</v>
      </c>
      <c r="K44" s="15">
        <v>975000</v>
      </c>
      <c r="L44" s="24">
        <f t="shared" si="14"/>
        <v>4134333.3439207594</v>
      </c>
      <c r="M44" s="24">
        <f t="shared" si="15"/>
        <v>975000</v>
      </c>
      <c r="N44" s="21" t="s">
        <v>92</v>
      </c>
      <c r="O44" s="4">
        <f t="shared" si="16"/>
        <v>1202.6186671557798</v>
      </c>
      <c r="P44" s="15">
        <f>563242+155402</f>
        <v>718644</v>
      </c>
      <c r="Q44" s="24">
        <f t="shared" si="17"/>
        <v>3047296.258060093</v>
      </c>
      <c r="R44" s="15">
        <f t="shared" si="18"/>
        <v>718644</v>
      </c>
    </row>
    <row r="45" spans="1:18">
      <c r="A45" s="20" t="s">
        <v>68</v>
      </c>
      <c r="B45" s="4">
        <f>'2010-10'!B45</f>
        <v>64.078000000000003</v>
      </c>
      <c r="C45" s="4">
        <f>'2010-10'!C45</f>
        <v>74.422249999999991</v>
      </c>
      <c r="D45" s="18">
        <f t="shared" si="9"/>
        <v>37211.124999999993</v>
      </c>
      <c r="E45" s="4">
        <f>'Interval Circuities'!D45</f>
        <v>1.3398515854253352</v>
      </c>
      <c r="F45" s="4">
        <f t="shared" si="10"/>
        <v>47.824699912310415</v>
      </c>
      <c r="G45" s="4">
        <f t="shared" si="11"/>
        <v>23.912349956155207</v>
      </c>
      <c r="H45" s="4">
        <f t="shared" si="12"/>
        <v>1796.364188624292</v>
      </c>
      <c r="I45" s="4">
        <f t="shared" si="13"/>
        <v>1373.6608426756356</v>
      </c>
      <c r="J45" s="18">
        <v>1055.5735119999999</v>
      </c>
      <c r="K45" s="15">
        <v>1450000</v>
      </c>
      <c r="L45" s="24">
        <f t="shared" si="14"/>
        <v>2467595.1450979793</v>
      </c>
      <c r="M45" s="24">
        <f t="shared" si="15"/>
        <v>1450000</v>
      </c>
      <c r="N45" s="21" t="s">
        <v>92</v>
      </c>
      <c r="O45" s="4">
        <f t="shared" si="16"/>
        <v>697.12529883944273</v>
      </c>
      <c r="P45" s="15">
        <v>735867</v>
      </c>
      <c r="Q45" s="24">
        <f t="shared" si="17"/>
        <v>1252290.9218191826</v>
      </c>
      <c r="R45" s="15">
        <f t="shared" si="18"/>
        <v>735867</v>
      </c>
    </row>
    <row r="46" spans="1:18">
      <c r="A46" s="20" t="s">
        <v>69</v>
      </c>
      <c r="B46" s="4">
        <f>'2010-10'!B46</f>
        <v>60.495750000000008</v>
      </c>
      <c r="C46" s="4">
        <f>'2010-10'!C46</f>
        <v>69.672750000000008</v>
      </c>
      <c r="D46" s="18">
        <f t="shared" si="9"/>
        <v>34836.375000000007</v>
      </c>
      <c r="E46" s="4">
        <f>'Interval Circuities'!D46</f>
        <v>1.4062579681100151</v>
      </c>
      <c r="F46" s="4">
        <f t="shared" si="10"/>
        <v>43.018956245492554</v>
      </c>
      <c r="G46" s="4">
        <f t="shared" si="11"/>
        <v>21.509478122746277</v>
      </c>
      <c r="H46" s="4">
        <f t="shared" si="12"/>
        <v>1453.481871580213</v>
      </c>
      <c r="I46" s="4">
        <f t="shared" si="13"/>
        <v>1455.9905696507528</v>
      </c>
      <c r="J46" s="18">
        <v>2026.112024</v>
      </c>
      <c r="K46" s="15">
        <v>2950000</v>
      </c>
      <c r="L46" s="24">
        <f t="shared" si="14"/>
        <v>2116255.8981791167</v>
      </c>
      <c r="M46" s="24">
        <f t="shared" si="15"/>
        <v>2116255.8981791167</v>
      </c>
      <c r="N46" s="21" t="s">
        <v>92</v>
      </c>
      <c r="O46" s="4">
        <f t="shared" si="16"/>
        <v>586.57319334876024</v>
      </c>
      <c r="P46" s="15">
        <v>1188463</v>
      </c>
      <c r="Q46" s="24">
        <f t="shared" si="17"/>
        <v>852573.50288733817</v>
      </c>
      <c r="R46" s="15">
        <f t="shared" si="18"/>
        <v>852573.50288733817</v>
      </c>
    </row>
    <row r="47" spans="1:18" ht="16">
      <c r="A47" s="20" t="s">
        <v>114</v>
      </c>
      <c r="B47" s="4">
        <f>'2010-10'!B47</f>
        <v>53.250750000000011</v>
      </c>
      <c r="C47" s="4">
        <f>'2010-10'!C47</f>
        <v>64.118250000000003</v>
      </c>
      <c r="D47" s="18">
        <f t="shared" si="9"/>
        <v>32059.125</v>
      </c>
      <c r="E47" s="4">
        <f>'Interval Circuities'!D47</f>
        <v>1.424503733426794</v>
      </c>
      <c r="F47" s="4">
        <f t="shared" si="10"/>
        <v>37.381965908857055</v>
      </c>
      <c r="G47" s="4">
        <f t="shared" si="11"/>
        <v>18.690982954428527</v>
      </c>
      <c r="H47" s="4">
        <f t="shared" si="12"/>
        <v>1097.5243276013834</v>
      </c>
      <c r="I47" s="4">
        <f t="shared" si="13"/>
        <v>4044.244551759617</v>
      </c>
      <c r="J47" s="18">
        <v>1107.747057</v>
      </c>
      <c r="K47" s="15">
        <v>4480000</v>
      </c>
      <c r="L47" s="24">
        <f t="shared" si="14"/>
        <v>4438656.7823255323</v>
      </c>
      <c r="M47" s="24">
        <f t="shared" si="15"/>
        <v>4438656.7823255323</v>
      </c>
      <c r="N47" s="21" t="s">
        <v>92</v>
      </c>
      <c r="O47" s="4">
        <f t="shared" si="16"/>
        <v>1773.2504795090599</v>
      </c>
      <c r="P47" s="15">
        <v>1964313</v>
      </c>
      <c r="Q47" s="24">
        <f t="shared" si="17"/>
        <v>1946185.5401920117</v>
      </c>
      <c r="R47" s="15">
        <f t="shared" si="18"/>
        <v>1946185.5401920117</v>
      </c>
    </row>
    <row r="48" spans="1:18" ht="16">
      <c r="A48" s="20" t="s">
        <v>72</v>
      </c>
      <c r="B48" s="4">
        <f>'2010-10'!B48</f>
        <v>63.71575</v>
      </c>
      <c r="C48" s="4">
        <f>'2010-10'!C48</f>
        <v>74.382000000000005</v>
      </c>
      <c r="D48" s="18">
        <f t="shared" si="9"/>
        <v>37191</v>
      </c>
      <c r="E48" s="4">
        <f>'Interval Circuities'!D48</f>
        <v>1.3973659459287573</v>
      </c>
      <c r="F48" s="4">
        <f t="shared" si="10"/>
        <v>45.597039333638129</v>
      </c>
      <c r="G48" s="4">
        <f t="shared" si="11"/>
        <v>22.798519666819065</v>
      </c>
      <c r="H48" s="4">
        <f t="shared" si="12"/>
        <v>1632.9134643911793</v>
      </c>
      <c r="I48" s="4">
        <f t="shared" si="13"/>
        <v>2530.8612515940731</v>
      </c>
      <c r="J48" s="18">
        <v>673.68371100000002</v>
      </c>
      <c r="K48" s="15">
        <v>1705000</v>
      </c>
      <c r="L48" s="24">
        <f t="shared" si="14"/>
        <v>4132677.4142338741</v>
      </c>
      <c r="M48" s="24">
        <f t="shared" si="15"/>
        <v>1705000</v>
      </c>
      <c r="N48" s="21" t="s">
        <v>92</v>
      </c>
      <c r="O48" s="4">
        <f t="shared" si="16"/>
        <v>1384.3499327238446</v>
      </c>
      <c r="P48" s="15">
        <v>932614</v>
      </c>
      <c r="Q48" s="24">
        <f t="shared" si="17"/>
        <v>2260523.6445737891</v>
      </c>
      <c r="R48" s="15">
        <f t="shared" si="18"/>
        <v>932614</v>
      </c>
    </row>
    <row r="49" spans="1:18">
      <c r="A49" s="20" t="s">
        <v>56</v>
      </c>
      <c r="B49" s="4">
        <f>'2010-10'!B49</f>
        <v>52.928750000000001</v>
      </c>
      <c r="C49" s="4">
        <f>'2010-10'!C49</f>
        <v>63.23275000000001</v>
      </c>
      <c r="D49" s="18">
        <f t="shared" si="9"/>
        <v>31616.375000000004</v>
      </c>
      <c r="E49" s="4">
        <f>'Interval Circuities'!D49</f>
        <v>1.4529281790243918</v>
      </c>
      <c r="F49" s="4">
        <f t="shared" si="10"/>
        <v>36.429020211818354</v>
      </c>
      <c r="G49" s="4">
        <f t="shared" si="11"/>
        <v>18.214510105909177</v>
      </c>
      <c r="H49" s="4">
        <f t="shared" si="12"/>
        <v>1042.2811002693959</v>
      </c>
      <c r="I49" s="4">
        <f t="shared" si="13"/>
        <v>1255.1211285274092</v>
      </c>
      <c r="J49" s="18">
        <v>2469.8811369999999</v>
      </c>
      <c r="K49" s="15">
        <v>3100000</v>
      </c>
      <c r="L49" s="24">
        <f t="shared" si="14"/>
        <v>1308189.0308129138</v>
      </c>
      <c r="M49" s="24">
        <f t="shared" si="15"/>
        <v>1308189.0308129138</v>
      </c>
      <c r="N49" s="21" t="s">
        <v>92</v>
      </c>
      <c r="O49" s="4">
        <f t="shared" si="16"/>
        <v>637.55537722461668</v>
      </c>
      <c r="P49" s="15">
        <v>1574686</v>
      </c>
      <c r="Q49" s="24">
        <f t="shared" si="17"/>
        <v>664511.9200563432</v>
      </c>
      <c r="R49" s="15">
        <f t="shared" si="18"/>
        <v>664511.9200563432</v>
      </c>
    </row>
    <row r="50" spans="1:18">
      <c r="A50" s="20" t="s">
        <v>76</v>
      </c>
      <c r="B50" s="4">
        <f>'2010-10'!B50</f>
        <v>60.375000000000007</v>
      </c>
      <c r="C50" s="4">
        <f>'2010-10'!C50</f>
        <v>66.814999999999998</v>
      </c>
      <c r="D50" s="18">
        <f t="shared" si="9"/>
        <v>33407.5</v>
      </c>
      <c r="E50" s="4">
        <f>'Interval Circuities'!D50</f>
        <v>1.2629261489074812</v>
      </c>
      <c r="F50" s="4">
        <f t="shared" si="10"/>
        <v>47.805645684214056</v>
      </c>
      <c r="G50" s="4">
        <f t="shared" si="11"/>
        <v>23.902822842107028</v>
      </c>
      <c r="H50" s="4">
        <f t="shared" si="12"/>
        <v>1794.9330656078382</v>
      </c>
      <c r="I50" s="4">
        <f t="shared" si="13"/>
        <v>1874.9988406660766</v>
      </c>
      <c r="J50" s="18">
        <v>2890.6684540000001</v>
      </c>
      <c r="K50" s="15">
        <v>5420000</v>
      </c>
      <c r="L50" s="24">
        <f t="shared" si="14"/>
        <v>3365497.4170879032</v>
      </c>
      <c r="M50" s="24">
        <f t="shared" si="15"/>
        <v>3365497.4170879032</v>
      </c>
      <c r="N50" s="21" t="s">
        <v>92</v>
      </c>
      <c r="O50" s="4">
        <f t="shared" si="16"/>
        <v>693.05838143691869</v>
      </c>
      <c r="P50" s="15">
        <v>2003402</v>
      </c>
      <c r="Q50" s="24">
        <f t="shared" si="17"/>
        <v>1243993.4052377748</v>
      </c>
      <c r="R50" s="15">
        <f t="shared" si="18"/>
        <v>1243993.4052377748</v>
      </c>
    </row>
    <row r="51" spans="1:18">
      <c r="A51" s="20" t="s">
        <v>57</v>
      </c>
      <c r="B51" s="4">
        <f>'2010-10'!B51</f>
        <v>59.771250000000002</v>
      </c>
      <c r="C51" s="4">
        <f>'2010-10'!C51</f>
        <v>67.539500000000004</v>
      </c>
      <c r="D51" s="18">
        <f t="shared" si="9"/>
        <v>33769.75</v>
      </c>
      <c r="E51" s="4">
        <f>'Interval Circuities'!D51</f>
        <v>1.3725412244961106</v>
      </c>
      <c r="F51" s="4">
        <f t="shared" si="10"/>
        <v>43.547872321243624</v>
      </c>
      <c r="G51" s="4">
        <f t="shared" si="11"/>
        <v>21.773936160621812</v>
      </c>
      <c r="H51" s="4">
        <f t="shared" si="12"/>
        <v>1489.4425731191034</v>
      </c>
      <c r="I51" s="4">
        <f t="shared" si="13"/>
        <v>1031.684545690754</v>
      </c>
      <c r="J51" s="18">
        <v>2146.9741009999998</v>
      </c>
      <c r="K51" s="15">
        <v>2215000</v>
      </c>
      <c r="L51" s="24">
        <f t="shared" si="14"/>
        <v>1536634.8843808498</v>
      </c>
      <c r="M51" s="24">
        <f t="shared" si="15"/>
        <v>1536634.8843808498</v>
      </c>
      <c r="N51" s="21" t="s">
        <v>92</v>
      </c>
      <c r="O51" s="4">
        <f t="shared" si="16"/>
        <v>587.96843399835689</v>
      </c>
      <c r="P51" s="15">
        <v>1262353</v>
      </c>
      <c r="Q51" s="24">
        <f t="shared" si="17"/>
        <v>875745.21724732243</v>
      </c>
      <c r="R51" s="15">
        <f t="shared" si="18"/>
        <v>875745.21724732243</v>
      </c>
    </row>
    <row r="52" spans="1:18">
      <c r="A52" s="20" t="s">
        <v>71</v>
      </c>
      <c r="B52" s="4">
        <f>'2010-10'!B52</f>
        <v>61.099500000000006</v>
      </c>
      <c r="C52" s="4">
        <f>'2010-10'!C52</f>
        <v>68.384749999999997</v>
      </c>
      <c r="D52" s="18">
        <f t="shared" si="9"/>
        <v>34192.375</v>
      </c>
      <c r="E52" s="4">
        <f>'Interval Circuities'!D52</f>
        <v>1.288975134924683</v>
      </c>
      <c r="F52" s="4">
        <f t="shared" si="10"/>
        <v>47.401612602534925</v>
      </c>
      <c r="G52" s="4">
        <f t="shared" si="11"/>
        <v>23.700806301267463</v>
      </c>
      <c r="H52" s="4">
        <f t="shared" si="12"/>
        <v>1764.7212471618304</v>
      </c>
      <c r="I52" s="4">
        <f t="shared" si="13"/>
        <v>1116.5255971867098</v>
      </c>
      <c r="J52" s="18">
        <v>2077.87444</v>
      </c>
      <c r="K52" s="15">
        <v>2320000</v>
      </c>
      <c r="L52" s="24">
        <f t="shared" si="14"/>
        <v>1970356.444355438</v>
      </c>
      <c r="M52" s="24">
        <f t="shared" si="15"/>
        <v>1970356.444355438</v>
      </c>
      <c r="N52" s="21" t="s">
        <v>92</v>
      </c>
      <c r="O52" s="4">
        <f t="shared" si="16"/>
        <v>483.81316052956498</v>
      </c>
      <c r="P52" s="15">
        <v>1005303</v>
      </c>
      <c r="Q52" s="24">
        <f t="shared" si="17"/>
        <v>853795.36404304078</v>
      </c>
      <c r="R52" s="15">
        <f t="shared" si="18"/>
        <v>853795.36404304078</v>
      </c>
    </row>
    <row r="53" spans="1:18" ht="16">
      <c r="A53" s="20" t="s">
        <v>117</v>
      </c>
      <c r="B53" s="4">
        <f>'2010-10'!B53</f>
        <v>57.074500000000008</v>
      </c>
      <c r="C53" s="4">
        <f>'2010-10'!C53</f>
        <v>69.189749999999989</v>
      </c>
      <c r="D53" s="18">
        <f t="shared" si="9"/>
        <v>34594.874999999993</v>
      </c>
      <c r="E53" s="4">
        <f>'Interval Circuities'!D53</f>
        <v>1.3128038200118335</v>
      </c>
      <c r="F53" s="4">
        <f t="shared" si="10"/>
        <v>43.475269594725539</v>
      </c>
      <c r="G53" s="4">
        <f t="shared" si="11"/>
        <v>21.737634797362769</v>
      </c>
      <c r="H53" s="4">
        <f t="shared" si="12"/>
        <v>1484.480335338008</v>
      </c>
      <c r="I53" s="4">
        <f t="shared" si="13"/>
        <v>1445.2558415588917</v>
      </c>
      <c r="J53" s="18">
        <v>2996.0093400000001</v>
      </c>
      <c r="K53" s="15">
        <v>4330000</v>
      </c>
      <c r="L53" s="24">
        <f t="shared" si="14"/>
        <v>2145453.8763265586</v>
      </c>
      <c r="M53" s="24">
        <f t="shared" si="15"/>
        <v>2145453.8763265586</v>
      </c>
      <c r="N53" s="21" t="s">
        <v>92</v>
      </c>
      <c r="O53" s="4">
        <f t="shared" si="16"/>
        <v>824.50343762947011</v>
      </c>
      <c r="P53" s="15">
        <v>2470220</v>
      </c>
      <c r="Q53" s="24">
        <f t="shared" si="17"/>
        <v>1223959.1395795362</v>
      </c>
      <c r="R53" s="15">
        <f t="shared" si="18"/>
        <v>1223959.1395795362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E3" sqref="E3:E53"/>
    </sheetView>
  </sheetViews>
  <sheetFormatPr baseColWidth="10" defaultColWidth="11.5" defaultRowHeight="14" x14ac:dyDescent="0"/>
  <cols>
    <col min="4" max="4" width="11.5" style="20"/>
  </cols>
  <sheetData>
    <row r="1" spans="1:18" ht="56">
      <c r="A1" s="20">
        <f>4/6</f>
        <v>0.66666666666666663</v>
      </c>
      <c r="B1" s="1" t="s">
        <v>60</v>
      </c>
      <c r="C1" s="1" t="s">
        <v>61</v>
      </c>
      <c r="D1" s="1" t="s">
        <v>166</v>
      </c>
      <c r="E1" s="7" t="s">
        <v>91</v>
      </c>
      <c r="F1" s="1" t="s">
        <v>21</v>
      </c>
      <c r="G1" s="1" t="s">
        <v>20</v>
      </c>
      <c r="H1" s="1" t="s">
        <v>131</v>
      </c>
      <c r="I1" s="1" t="s">
        <v>25</v>
      </c>
      <c r="J1" s="8" t="s">
        <v>84</v>
      </c>
      <c r="K1" s="25" t="s">
        <v>79</v>
      </c>
      <c r="L1" s="23" t="s">
        <v>77</v>
      </c>
      <c r="M1" s="29" t="s">
        <v>104</v>
      </c>
      <c r="N1" s="21" t="s">
        <v>92</v>
      </c>
      <c r="O1" s="1" t="s">
        <v>90</v>
      </c>
      <c r="P1" s="1" t="s">
        <v>88</v>
      </c>
      <c r="Q1" s="23" t="s">
        <v>89</v>
      </c>
      <c r="R1" s="20" t="s">
        <v>103</v>
      </c>
    </row>
    <row r="2" spans="1:18" ht="16">
      <c r="A2" s="20" t="s">
        <v>16</v>
      </c>
      <c r="B2" s="20" t="s">
        <v>18</v>
      </c>
      <c r="C2" s="20" t="s">
        <v>122</v>
      </c>
      <c r="E2" s="20" t="s">
        <v>115</v>
      </c>
      <c r="F2" s="20" t="s">
        <v>17</v>
      </c>
      <c r="G2" s="20" t="s">
        <v>19</v>
      </c>
      <c r="H2" s="20" t="s">
        <v>132</v>
      </c>
      <c r="I2" s="20" t="s">
        <v>24</v>
      </c>
      <c r="J2" s="9" t="s">
        <v>16</v>
      </c>
      <c r="K2" s="15" t="s">
        <v>123</v>
      </c>
      <c r="L2" s="24" t="s">
        <v>129</v>
      </c>
      <c r="M2" s="24" t="s">
        <v>124</v>
      </c>
      <c r="N2" s="21" t="s">
        <v>92</v>
      </c>
      <c r="O2" s="20" t="s">
        <v>125</v>
      </c>
      <c r="P2" s="20" t="s">
        <v>126</v>
      </c>
      <c r="Q2" s="24" t="s">
        <v>128</v>
      </c>
      <c r="R2" s="20" t="s">
        <v>127</v>
      </c>
    </row>
    <row r="3" spans="1:18">
      <c r="A3" s="20" t="s">
        <v>26</v>
      </c>
      <c r="B3" s="4">
        <f>'2010-10'!B3</f>
        <v>57.436750000000011</v>
      </c>
      <c r="C3" s="4">
        <f>'2010-10'!C3</f>
        <v>68.143250000000009</v>
      </c>
      <c r="D3" s="18">
        <f>C3*$A$1*1000</f>
        <v>45428.833333333336</v>
      </c>
      <c r="E3" s="4">
        <f>'Interval Circuities'!E3</f>
        <v>1.2411800167011908</v>
      </c>
      <c r="F3" s="4">
        <f t="shared" ref="F3:F34" si="0">B3/E3</f>
        <v>46.275922289383495</v>
      </c>
      <c r="G3" s="4">
        <f t="shared" ref="G3:G34" si="1">F3*$A$1</f>
        <v>30.850614859588994</v>
      </c>
      <c r="H3" s="4">
        <f t="shared" ref="H3:H34" si="2">PI()*G3^2</f>
        <v>2990.0435975310902</v>
      </c>
      <c r="I3" s="4">
        <f t="shared" ref="I3:I34" si="3">K3/J3</f>
        <v>873.48977839674285</v>
      </c>
      <c r="J3" s="9">
        <v>5083.0589090000003</v>
      </c>
      <c r="K3" s="15">
        <v>4440000</v>
      </c>
      <c r="L3" s="24">
        <f t="shared" ref="L3:L34" si="4">H3*I3</f>
        <v>2611772.5194040318</v>
      </c>
      <c r="M3" s="24">
        <f t="shared" ref="M3:M34" si="5">MIN(K3,L3)</f>
        <v>2611772.5194040318</v>
      </c>
      <c r="N3" s="21" t="s">
        <v>92</v>
      </c>
      <c r="O3" s="4">
        <f t="shared" ref="O3:O34" si="6">P3/J3</f>
        <v>436.36913120811522</v>
      </c>
      <c r="P3" s="15">
        <v>2218090</v>
      </c>
      <c r="Q3" s="24">
        <f t="shared" ref="Q3:Q34" si="7">H3*O3</f>
        <v>1304762.7269290292</v>
      </c>
      <c r="R3" s="15">
        <f t="shared" ref="R3:R34" si="8">MIN(Q3,P3)</f>
        <v>1304762.7269290292</v>
      </c>
    </row>
    <row r="4" spans="1:18">
      <c r="A4" s="20" t="s">
        <v>27</v>
      </c>
      <c r="B4" s="4">
        <f>'2010-10'!B4</f>
        <v>62.91075</v>
      </c>
      <c r="C4" s="4">
        <f>'2010-10'!C4</f>
        <v>76.756750000000011</v>
      </c>
      <c r="D4" s="18">
        <f t="shared" ref="D4:D53" si="9">C4*$A$1*1000</f>
        <v>51171.166666666672</v>
      </c>
      <c r="E4" s="4">
        <f>'Interval Circuities'!E4</f>
        <v>1.3069706181282645</v>
      </c>
      <c r="F4" s="4">
        <f t="shared" si="0"/>
        <v>48.134785225773157</v>
      </c>
      <c r="G4" s="4">
        <f t="shared" si="1"/>
        <v>32.089856817182103</v>
      </c>
      <c r="H4" s="4">
        <f t="shared" si="2"/>
        <v>3235.0830283438654</v>
      </c>
      <c r="I4" s="4">
        <f t="shared" si="3"/>
        <v>1256.1525913969799</v>
      </c>
      <c r="J4" s="9">
        <v>823.94448499999999</v>
      </c>
      <c r="K4" s="15">
        <v>1035000</v>
      </c>
      <c r="L4" s="24">
        <f t="shared" si="4"/>
        <v>4063757.9294385361</v>
      </c>
      <c r="M4" s="24">
        <f t="shared" si="5"/>
        <v>1035000</v>
      </c>
      <c r="N4" s="21" t="s">
        <v>92</v>
      </c>
      <c r="O4" s="4">
        <f t="shared" si="6"/>
        <v>796.23932430350578</v>
      </c>
      <c r="P4" s="15">
        <v>656057</v>
      </c>
      <c r="Q4" s="24">
        <f t="shared" si="7"/>
        <v>2575900.3245542585</v>
      </c>
      <c r="R4" s="15">
        <f t="shared" si="8"/>
        <v>656057</v>
      </c>
    </row>
    <row r="5" spans="1:18" ht="16">
      <c r="A5" s="20" t="s">
        <v>118</v>
      </c>
      <c r="B5" s="4">
        <f>'2010-10'!B5</f>
        <v>59.811500000000002</v>
      </c>
      <c r="C5" s="4">
        <f>'2010-10'!C5</f>
        <v>68.626249999999999</v>
      </c>
      <c r="D5" s="18">
        <f t="shared" si="9"/>
        <v>45750.833333333336</v>
      </c>
      <c r="E5" s="4">
        <f>'Interval Circuities'!E5</f>
        <v>1.2476796419595966</v>
      </c>
      <c r="F5" s="4">
        <f t="shared" si="0"/>
        <v>47.938187006129631</v>
      </c>
      <c r="G5" s="4">
        <f t="shared" si="1"/>
        <v>31.958791337419754</v>
      </c>
      <c r="H5" s="4">
        <f t="shared" si="2"/>
        <v>3208.710718959589</v>
      </c>
      <c r="I5" s="4">
        <f t="shared" si="3"/>
        <v>1312.0237170817477</v>
      </c>
      <c r="J5" s="9">
        <v>1768.260718</v>
      </c>
      <c r="K5" s="15">
        <v>2320000</v>
      </c>
      <c r="L5" s="24">
        <f t="shared" si="4"/>
        <v>4209904.5645294068</v>
      </c>
      <c r="M5" s="24">
        <f t="shared" si="5"/>
        <v>2320000</v>
      </c>
      <c r="N5" s="21" t="s">
        <v>92</v>
      </c>
      <c r="O5" s="4">
        <f t="shared" si="6"/>
        <v>634.47657270187688</v>
      </c>
      <c r="P5" s="15">
        <v>1121920</v>
      </c>
      <c r="Q5" s="24">
        <f t="shared" si="7"/>
        <v>2035851.7797572552</v>
      </c>
      <c r="R5" s="15">
        <f t="shared" si="8"/>
        <v>1121920</v>
      </c>
    </row>
    <row r="6" spans="1:18">
      <c r="A6" s="20" t="s">
        <v>29</v>
      </c>
      <c r="B6" s="4">
        <f>'2010-10'!B6</f>
        <v>53.613</v>
      </c>
      <c r="C6" s="4">
        <f>'2010-10'!C6</f>
        <v>62.8705</v>
      </c>
      <c r="D6" s="18">
        <f t="shared" si="9"/>
        <v>41913.666666666664</v>
      </c>
      <c r="E6" s="4">
        <f>'Interval Circuities'!E6</f>
        <v>1.2078231024802963</v>
      </c>
      <c r="F6" s="4">
        <f t="shared" si="0"/>
        <v>44.388122639734497</v>
      </c>
      <c r="G6" s="4">
        <f t="shared" si="1"/>
        <v>29.592081759822996</v>
      </c>
      <c r="H6" s="4">
        <f t="shared" si="2"/>
        <v>2751.0653639404359</v>
      </c>
      <c r="I6" s="4">
        <f t="shared" si="3"/>
        <v>934.02366191942531</v>
      </c>
      <c r="J6" s="9">
        <v>4496.6740900000004</v>
      </c>
      <c r="K6" s="15">
        <v>4200000</v>
      </c>
      <c r="L6" s="24">
        <f t="shared" si="4"/>
        <v>2569560.1454073424</v>
      </c>
      <c r="M6" s="24">
        <f t="shared" si="5"/>
        <v>2569560.1454073424</v>
      </c>
      <c r="N6" s="21" t="s">
        <v>92</v>
      </c>
      <c r="O6" s="4">
        <f t="shared" si="6"/>
        <v>645.53199584895856</v>
      </c>
      <c r="P6" s="15">
        <f>2341938+286024+61431+22699+190655</f>
        <v>2902747</v>
      </c>
      <c r="Q6" s="24">
        <f t="shared" si="7"/>
        <v>1775900.7150954111</v>
      </c>
      <c r="R6" s="15">
        <f t="shared" si="8"/>
        <v>1775900.7150954111</v>
      </c>
    </row>
    <row r="7" spans="1:18">
      <c r="A7" s="20" t="s">
        <v>30</v>
      </c>
      <c r="B7" s="4">
        <f>'2010-10'!B7</f>
        <v>63.434000000000012</v>
      </c>
      <c r="C7" s="4">
        <f>'2010-10'!C7</f>
        <v>70.236249999999998</v>
      </c>
      <c r="D7" s="18">
        <f t="shared" si="9"/>
        <v>46824.166666666664</v>
      </c>
      <c r="E7" s="4">
        <f>'Interval Circuities'!E7</f>
        <v>1.1895929057749248</v>
      </c>
      <c r="F7" s="4">
        <f t="shared" si="0"/>
        <v>53.324124321906432</v>
      </c>
      <c r="G7" s="4">
        <f t="shared" si="1"/>
        <v>35.549416214604285</v>
      </c>
      <c r="H7" s="4">
        <f t="shared" si="2"/>
        <v>3970.2222521278532</v>
      </c>
      <c r="I7" s="4">
        <f t="shared" si="3"/>
        <v>1184.5434204235628</v>
      </c>
      <c r="J7" s="9">
        <v>949.73302000000001</v>
      </c>
      <c r="K7" s="15">
        <v>1125000</v>
      </c>
      <c r="L7" s="24">
        <f t="shared" si="4"/>
        <v>4702900.6463772682</v>
      </c>
      <c r="M7" s="24">
        <f t="shared" si="5"/>
        <v>1125000</v>
      </c>
      <c r="N7" s="21" t="s">
        <v>92</v>
      </c>
      <c r="O7" s="4">
        <f t="shared" si="6"/>
        <v>494.17361523346847</v>
      </c>
      <c r="P7" s="15">
        <v>469333</v>
      </c>
      <c r="Q7" s="24">
        <f t="shared" si="7"/>
        <v>1961979.0836143843</v>
      </c>
      <c r="R7" s="15">
        <f t="shared" si="8"/>
        <v>469333</v>
      </c>
    </row>
    <row r="8" spans="1:18">
      <c r="A8" s="20" t="s">
        <v>31</v>
      </c>
      <c r="B8" s="4">
        <f>'2010-10'!B8</f>
        <v>61.2605</v>
      </c>
      <c r="C8" s="4">
        <f>'2010-10'!C8</f>
        <v>70.799749999999989</v>
      </c>
      <c r="D8" s="18">
        <f t="shared" si="9"/>
        <v>47199.833333333321</v>
      </c>
      <c r="E8" s="4">
        <f>'Interval Circuities'!E8</f>
        <v>1.2259980336163547</v>
      </c>
      <c r="F8" s="4">
        <f t="shared" si="0"/>
        <v>49.967861546481025</v>
      </c>
      <c r="G8" s="4">
        <f t="shared" si="1"/>
        <v>33.311907697654014</v>
      </c>
      <c r="H8" s="4">
        <f t="shared" si="2"/>
        <v>3486.1725715182306</v>
      </c>
      <c r="I8" s="4">
        <f t="shared" si="3"/>
        <v>949.91537958488948</v>
      </c>
      <c r="J8" s="9">
        <v>1126.4161240000001</v>
      </c>
      <c r="K8" s="15">
        <v>1070000</v>
      </c>
      <c r="L8" s="24">
        <f t="shared" si="4"/>
        <v>3311568.9415721702</v>
      </c>
      <c r="M8" s="24">
        <f t="shared" si="5"/>
        <v>1070000</v>
      </c>
      <c r="N8" s="21" t="s">
        <v>92</v>
      </c>
      <c r="O8" s="4">
        <f t="shared" si="6"/>
        <v>723.7920184459291</v>
      </c>
      <c r="P8" s="15">
        <v>815291</v>
      </c>
      <c r="Q8" s="24">
        <f t="shared" si="7"/>
        <v>2523263.8821900152</v>
      </c>
      <c r="R8" s="15">
        <f t="shared" si="8"/>
        <v>815291</v>
      </c>
    </row>
    <row r="9" spans="1:18">
      <c r="A9" s="20" t="s">
        <v>32</v>
      </c>
      <c r="B9" s="4">
        <f>'2010-10'!B9</f>
        <v>49.265999999999998</v>
      </c>
      <c r="C9" s="4">
        <f>'2010-10'!C9</f>
        <v>60.495750000000008</v>
      </c>
      <c r="D9" s="18">
        <f t="shared" si="9"/>
        <v>40330.5</v>
      </c>
      <c r="E9" s="4">
        <f>'Interval Circuities'!E9</f>
        <v>1.2158976337091789</v>
      </c>
      <c r="F9" s="4">
        <f t="shared" si="0"/>
        <v>40.518213568448765</v>
      </c>
      <c r="G9" s="4">
        <f t="shared" si="1"/>
        <v>27.012142378965841</v>
      </c>
      <c r="H9" s="4">
        <f t="shared" si="2"/>
        <v>2292.2814137171422</v>
      </c>
      <c r="I9" s="4">
        <f t="shared" si="3"/>
        <v>1535.0877689569375</v>
      </c>
      <c r="J9" s="9">
        <v>5498.0569649999998</v>
      </c>
      <c r="K9" s="15">
        <v>8440000</v>
      </c>
      <c r="L9" s="24">
        <f t="shared" si="4"/>
        <v>3518853.1612045025</v>
      </c>
      <c r="M9" s="24">
        <f t="shared" si="5"/>
        <v>3518853.1612045025</v>
      </c>
      <c r="N9" s="21" t="s">
        <v>92</v>
      </c>
      <c r="O9" s="4">
        <f t="shared" si="6"/>
        <v>761.20455401647519</v>
      </c>
      <c r="P9" s="15">
        <v>4185146</v>
      </c>
      <c r="Q9" s="24">
        <f t="shared" si="7"/>
        <v>1744895.0512088125</v>
      </c>
      <c r="R9" s="15">
        <f t="shared" si="8"/>
        <v>1744895.0512088125</v>
      </c>
    </row>
    <row r="10" spans="1:18">
      <c r="A10" s="20" t="s">
        <v>33</v>
      </c>
      <c r="B10" s="4">
        <f>'2010-10'!B10</f>
        <v>66.895499999999998</v>
      </c>
      <c r="C10" s="4">
        <f>'2010-10'!C10</f>
        <v>72.530500000000018</v>
      </c>
      <c r="D10" s="18">
        <f t="shared" si="9"/>
        <v>48353.666666666679</v>
      </c>
      <c r="E10" s="4">
        <f>'Interval Circuities'!E10</f>
        <v>1.2806447263853369</v>
      </c>
      <c r="F10" s="4">
        <f t="shared" si="0"/>
        <v>52.23579859561427</v>
      </c>
      <c r="G10" s="4">
        <f t="shared" si="1"/>
        <v>34.823865730409509</v>
      </c>
      <c r="H10" s="4">
        <f t="shared" si="2"/>
        <v>3809.814514241576</v>
      </c>
      <c r="I10" s="4">
        <f t="shared" si="3"/>
        <v>959.84466122297908</v>
      </c>
      <c r="J10" s="9">
        <v>1739.864863</v>
      </c>
      <c r="K10" s="15">
        <v>1670000</v>
      </c>
      <c r="L10" s="24">
        <f t="shared" si="4"/>
        <v>3656830.1217445941</v>
      </c>
      <c r="M10" s="24">
        <f t="shared" si="5"/>
        <v>1670000</v>
      </c>
      <c r="N10" s="21" t="s">
        <v>92</v>
      </c>
      <c r="O10" s="4">
        <f t="shared" si="6"/>
        <v>544.468722913683</v>
      </c>
      <c r="P10" s="15">
        <v>947302</v>
      </c>
      <c r="Q10" s="24">
        <f t="shared" si="7"/>
        <v>2074324.8431071243</v>
      </c>
      <c r="R10" s="15">
        <f t="shared" si="8"/>
        <v>947302</v>
      </c>
    </row>
    <row r="11" spans="1:18">
      <c r="A11" s="20" t="s">
        <v>34</v>
      </c>
      <c r="B11" s="4">
        <f>'2010-10'!B11</f>
        <v>66.332000000000008</v>
      </c>
      <c r="C11" s="4">
        <f>'2010-10'!C11</f>
        <v>73.013500000000008</v>
      </c>
      <c r="D11" s="18">
        <f t="shared" si="9"/>
        <v>48675.666666666672</v>
      </c>
      <c r="E11" s="4">
        <f>'Interval Circuities'!E11</f>
        <v>1.1762375387586297</v>
      </c>
      <c r="F11" s="4">
        <f t="shared" si="0"/>
        <v>56.39337107877467</v>
      </c>
      <c r="G11" s="4">
        <f t="shared" si="1"/>
        <v>37.595580719183111</v>
      </c>
      <c r="H11" s="4">
        <f t="shared" si="2"/>
        <v>4440.4140460673789</v>
      </c>
      <c r="I11" s="4">
        <f t="shared" si="3"/>
        <v>1068.1935094485655</v>
      </c>
      <c r="J11" s="9">
        <v>1675.7263399999999</v>
      </c>
      <c r="K11" s="15">
        <v>1790000</v>
      </c>
      <c r="L11" s="24">
        <f t="shared" si="4"/>
        <v>4743221.4632734172</v>
      </c>
      <c r="M11" s="24">
        <f t="shared" si="5"/>
        <v>1790000</v>
      </c>
      <c r="N11" s="21" t="s">
        <v>92</v>
      </c>
      <c r="O11" s="4">
        <f t="shared" si="6"/>
        <v>567.00129210835223</v>
      </c>
      <c r="P11" s="15">
        <v>950139</v>
      </c>
      <c r="Q11" s="24">
        <f t="shared" si="7"/>
        <v>2517720.5016162801</v>
      </c>
      <c r="R11" s="15">
        <f t="shared" si="8"/>
        <v>950139</v>
      </c>
    </row>
    <row r="12" spans="1:18">
      <c r="A12" s="20" t="s">
        <v>35</v>
      </c>
      <c r="B12" s="4">
        <f>'2010-10'!B12</f>
        <v>73.174500000000009</v>
      </c>
      <c r="C12" s="4">
        <f>'2010-10'!C12</f>
        <v>79.775500000000008</v>
      </c>
      <c r="D12" s="18">
        <f t="shared" si="9"/>
        <v>53183.666666666664</v>
      </c>
      <c r="E12" s="4">
        <f>'Interval Circuities'!E12</f>
        <v>1.1959404878863944</v>
      </c>
      <c r="F12" s="4">
        <f t="shared" si="0"/>
        <v>61.185736866658409</v>
      </c>
      <c r="G12" s="4">
        <f t="shared" si="1"/>
        <v>40.79049124443894</v>
      </c>
      <c r="H12" s="4">
        <f t="shared" si="2"/>
        <v>5227.1834717754955</v>
      </c>
      <c r="I12" s="4">
        <f t="shared" si="3"/>
        <v>1189.2536054091877</v>
      </c>
      <c r="J12" s="9">
        <v>1030.0578399999999</v>
      </c>
      <c r="K12" s="15">
        <v>1225000</v>
      </c>
      <c r="L12" s="24">
        <f t="shared" si="4"/>
        <v>6216446.7899443228</v>
      </c>
      <c r="M12" s="24">
        <f t="shared" si="5"/>
        <v>1225000</v>
      </c>
      <c r="N12" s="21" t="s">
        <v>92</v>
      </c>
      <c r="O12" s="4">
        <f t="shared" si="6"/>
        <v>769.83055631128445</v>
      </c>
      <c r="P12" s="15">
        <v>792970</v>
      </c>
      <c r="Q12" s="24">
        <f t="shared" si="7"/>
        <v>4024045.5600180808</v>
      </c>
      <c r="R12" s="15">
        <f t="shared" si="8"/>
        <v>792970</v>
      </c>
    </row>
    <row r="13" spans="1:18">
      <c r="A13" s="20" t="s">
        <v>62</v>
      </c>
      <c r="B13" s="4">
        <f>'2010-10'!B13</f>
        <v>53.894749999999995</v>
      </c>
      <c r="C13" s="4">
        <f>'2010-10'!C13</f>
        <v>63.393750000000004</v>
      </c>
      <c r="D13" s="18">
        <f t="shared" si="9"/>
        <v>42262.5</v>
      </c>
      <c r="E13" s="4">
        <f>'Interval Circuities'!E13</f>
        <v>1.2625860685913481</v>
      </c>
      <c r="F13" s="4">
        <f t="shared" si="0"/>
        <v>42.686000852306023</v>
      </c>
      <c r="G13" s="4">
        <f t="shared" si="1"/>
        <v>28.457333901537346</v>
      </c>
      <c r="H13" s="4">
        <f t="shared" si="2"/>
        <v>2544.1241002360839</v>
      </c>
      <c r="I13" s="4">
        <f t="shared" si="3"/>
        <v>1219.7404531385341</v>
      </c>
      <c r="J13" s="9">
        <v>3644.2179059999999</v>
      </c>
      <c r="K13" s="15">
        <v>4445000</v>
      </c>
      <c r="L13" s="24">
        <f t="shared" si="4"/>
        <v>3103171.0828626263</v>
      </c>
      <c r="M13" s="24">
        <f t="shared" si="5"/>
        <v>3103171.0828626263</v>
      </c>
      <c r="N13" s="21" t="s">
        <v>92</v>
      </c>
      <c r="O13" s="4">
        <f t="shared" si="6"/>
        <v>729.77414320404807</v>
      </c>
      <c r="P13" s="15">
        <v>2659456</v>
      </c>
      <c r="Q13" s="24">
        <f t="shared" si="7"/>
        <v>1856635.9854545579</v>
      </c>
      <c r="R13" s="15">
        <f t="shared" si="8"/>
        <v>1856635.9854545579</v>
      </c>
    </row>
    <row r="14" spans="1:18">
      <c r="A14" s="20" t="s">
        <v>36</v>
      </c>
      <c r="B14" s="4">
        <f>'2010-10'!B14</f>
        <v>54.780250000000002</v>
      </c>
      <c r="C14" s="4">
        <f>'2010-10'!C14</f>
        <v>64.118250000000003</v>
      </c>
      <c r="D14" s="18">
        <f t="shared" si="9"/>
        <v>42745.5</v>
      </c>
      <c r="E14" s="4">
        <f>'Interval Circuities'!E14</f>
        <v>1.3585032737296159</v>
      </c>
      <c r="F14" s="4">
        <f t="shared" si="0"/>
        <v>40.323973492980308</v>
      </c>
      <c r="G14" s="4">
        <f t="shared" si="1"/>
        <v>26.882648995320203</v>
      </c>
      <c r="H14" s="4">
        <f t="shared" si="2"/>
        <v>2270.3561792244177</v>
      </c>
      <c r="I14" s="4">
        <f t="shared" si="3"/>
        <v>1687.4292750883483</v>
      </c>
      <c r="J14" s="9">
        <v>1291.9059970000001</v>
      </c>
      <c r="K14" s="15">
        <v>2180000</v>
      </c>
      <c r="L14" s="24">
        <f t="shared" si="4"/>
        <v>3831065.4817010113</v>
      </c>
      <c r="M14" s="24">
        <f t="shared" si="5"/>
        <v>2180000</v>
      </c>
      <c r="N14" s="21" t="s">
        <v>92</v>
      </c>
      <c r="O14" s="4">
        <f t="shared" si="6"/>
        <v>885.41349189201105</v>
      </c>
      <c r="P14" s="15">
        <v>1143871</v>
      </c>
      <c r="Q14" s="24">
        <f t="shared" si="7"/>
        <v>2010203.9924856962</v>
      </c>
      <c r="R14" s="15">
        <f t="shared" si="8"/>
        <v>1143871</v>
      </c>
    </row>
    <row r="15" spans="1:18">
      <c r="A15" s="20" t="s">
        <v>37</v>
      </c>
      <c r="B15" s="4">
        <f>'2010-10'!B15</f>
        <v>57.557500000000005</v>
      </c>
      <c r="C15" s="4">
        <f>'2010-10'!C15</f>
        <v>65.124499999999998</v>
      </c>
      <c r="D15" s="18">
        <f t="shared" si="9"/>
        <v>43416.333333333328</v>
      </c>
      <c r="E15" s="4">
        <f>'Interval Circuities'!E15</f>
        <v>1.2059623625482374</v>
      </c>
      <c r="F15" s="4">
        <f t="shared" si="0"/>
        <v>47.727443067442955</v>
      </c>
      <c r="G15" s="4">
        <f t="shared" si="1"/>
        <v>31.818295378295304</v>
      </c>
      <c r="H15" s="4">
        <f t="shared" si="2"/>
        <v>3180.5607199893593</v>
      </c>
      <c r="I15" s="4">
        <f t="shared" si="3"/>
        <v>1239.6159677445094</v>
      </c>
      <c r="J15" s="9">
        <v>3267.1408769999998</v>
      </c>
      <c r="K15" s="15">
        <v>4050000</v>
      </c>
      <c r="L15" s="24">
        <f t="shared" si="4"/>
        <v>3942673.854879783</v>
      </c>
      <c r="M15" s="24">
        <f t="shared" si="5"/>
        <v>3942673.854879783</v>
      </c>
      <c r="N15" s="21" t="s">
        <v>92</v>
      </c>
      <c r="O15" s="4">
        <f t="shared" si="6"/>
        <v>521.88291359068933</v>
      </c>
      <c r="P15" s="15">
        <v>1705065</v>
      </c>
      <c r="Q15" s="24">
        <f t="shared" si="7"/>
        <v>1659880.2954001473</v>
      </c>
      <c r="R15" s="15">
        <f t="shared" si="8"/>
        <v>1659880.2954001473</v>
      </c>
    </row>
    <row r="16" spans="1:18">
      <c r="A16" s="20" t="s">
        <v>80</v>
      </c>
      <c r="B16" s="4">
        <f>'2010-10'!B16</f>
        <v>72.650000000000006</v>
      </c>
      <c r="C16" s="4">
        <f>'2010-10'!C16</f>
        <v>79.78</v>
      </c>
      <c r="D16" s="18">
        <f t="shared" si="9"/>
        <v>53186.666666666664</v>
      </c>
      <c r="E16" s="4">
        <f>'Interval Circuities'!E16</f>
        <v>1.2427824351070944</v>
      </c>
      <c r="F16" s="4">
        <f t="shared" si="0"/>
        <v>58.457536852570279</v>
      </c>
      <c r="G16" s="4">
        <f t="shared" si="1"/>
        <v>38.971691235046848</v>
      </c>
      <c r="H16" s="4">
        <f t="shared" si="2"/>
        <v>4771.4280443142861</v>
      </c>
      <c r="I16" s="4">
        <f t="shared" si="3"/>
        <v>900.16542520051985</v>
      </c>
      <c r="J16" s="9">
        <v>666.54415200000005</v>
      </c>
      <c r="K16" s="15">
        <v>600000</v>
      </c>
      <c r="L16" s="24">
        <f t="shared" si="4"/>
        <v>4295074.5543238539</v>
      </c>
      <c r="M16" s="24">
        <f t="shared" si="5"/>
        <v>600000</v>
      </c>
      <c r="N16" s="21" t="s">
        <v>92</v>
      </c>
      <c r="O16" s="4">
        <f t="shared" si="6"/>
        <v>799.60644527566114</v>
      </c>
      <c r="P16" s="15">
        <f>347964+52598+97277+35134</f>
        <v>532973</v>
      </c>
      <c r="Q16" s="24">
        <f t="shared" si="7"/>
        <v>3815264.6174027459</v>
      </c>
      <c r="R16" s="15">
        <f t="shared" si="8"/>
        <v>532973</v>
      </c>
    </row>
    <row r="17" spans="1:18">
      <c r="A17" s="20" t="s">
        <v>58</v>
      </c>
      <c r="B17" s="4">
        <f>'2010-10'!B17</f>
        <v>63.393750000000004</v>
      </c>
      <c r="C17" s="4">
        <f>'2010-10'!C17</f>
        <v>72.087750000000014</v>
      </c>
      <c r="D17" s="18">
        <f t="shared" si="9"/>
        <v>48058.500000000007</v>
      </c>
      <c r="E17" s="4">
        <f>'Interval Circuities'!E17</f>
        <v>1.3015601427125245</v>
      </c>
      <c r="F17" s="4">
        <f t="shared" si="0"/>
        <v>48.705970565358484</v>
      </c>
      <c r="G17" s="4">
        <f t="shared" si="1"/>
        <v>32.47064704357232</v>
      </c>
      <c r="H17" s="4">
        <f t="shared" si="2"/>
        <v>3312.3159700402111</v>
      </c>
      <c r="I17" s="4">
        <f t="shared" si="3"/>
        <v>1132.3576753929692</v>
      </c>
      <c r="J17" s="18">
        <v>1364.4098799999999</v>
      </c>
      <c r="K17" s="15">
        <v>1545000</v>
      </c>
      <c r="L17" s="24">
        <f t="shared" si="4"/>
        <v>3750726.4120017411</v>
      </c>
      <c r="M17" s="24">
        <f t="shared" si="5"/>
        <v>1545000</v>
      </c>
      <c r="N17" s="21" t="s">
        <v>92</v>
      </c>
      <c r="O17" s="4">
        <f t="shared" si="6"/>
        <v>466.71825624716234</v>
      </c>
      <c r="P17" s="15">
        <v>636795</v>
      </c>
      <c r="Q17" s="24">
        <f t="shared" si="7"/>
        <v>1545918.3336767955</v>
      </c>
      <c r="R17" s="15">
        <f t="shared" si="8"/>
        <v>636795</v>
      </c>
    </row>
    <row r="18" spans="1:18">
      <c r="A18" s="20" t="s">
        <v>38</v>
      </c>
      <c r="B18" s="4">
        <f>'2010-10'!B18</f>
        <v>65.969749999999991</v>
      </c>
      <c r="C18" s="4">
        <f>'2010-10'!C18</f>
        <v>73.8185</v>
      </c>
      <c r="D18" s="18">
        <f t="shared" si="9"/>
        <v>49212.333333333336</v>
      </c>
      <c r="E18" s="4">
        <f>'Interval Circuities'!E18</f>
        <v>1.2343532827288761</v>
      </c>
      <c r="F18" s="4">
        <f t="shared" si="0"/>
        <v>53.44478839490408</v>
      </c>
      <c r="G18" s="4">
        <f t="shared" si="1"/>
        <v>35.629858929936049</v>
      </c>
      <c r="H18" s="4">
        <f t="shared" si="2"/>
        <v>3988.2105535174851</v>
      </c>
      <c r="I18" s="4">
        <f t="shared" si="3"/>
        <v>736.26706687215813</v>
      </c>
      <c r="J18" s="18">
        <v>1215.591516</v>
      </c>
      <c r="K18" s="15">
        <v>895000</v>
      </c>
      <c r="L18" s="24">
        <f t="shared" si="4"/>
        <v>2936388.0863069049</v>
      </c>
      <c r="M18" s="24">
        <f t="shared" si="5"/>
        <v>895000</v>
      </c>
      <c r="N18" s="21" t="s">
        <v>92</v>
      </c>
      <c r="O18" s="4">
        <f t="shared" si="6"/>
        <v>466.09078176554175</v>
      </c>
      <c r="P18" s="15">
        <v>566576</v>
      </c>
      <c r="Q18" s="24">
        <f t="shared" si="7"/>
        <v>1858868.1747345487</v>
      </c>
      <c r="R18" s="15">
        <f t="shared" si="8"/>
        <v>566576</v>
      </c>
    </row>
    <row r="19" spans="1:18">
      <c r="A19" s="20" t="s">
        <v>81</v>
      </c>
      <c r="B19" s="4">
        <f>'2010-10'!B19</f>
        <v>61.743500000000004</v>
      </c>
      <c r="C19" s="4">
        <f>'2010-10'!C19</f>
        <v>74.744249999999994</v>
      </c>
      <c r="D19" s="18">
        <f t="shared" si="9"/>
        <v>49829.499999999993</v>
      </c>
      <c r="E19" s="4">
        <f>'Interval Circuities'!E19</f>
        <v>1.4322616900458065</v>
      </c>
      <c r="F19" s="4">
        <f t="shared" si="0"/>
        <v>43.109091326757003</v>
      </c>
      <c r="G19" s="4">
        <f t="shared" si="1"/>
        <v>28.739394217838001</v>
      </c>
      <c r="H19" s="4">
        <f t="shared" si="2"/>
        <v>2594.8071858861431</v>
      </c>
      <c r="I19" s="4">
        <f t="shared" si="3"/>
        <v>1766.1211842313005</v>
      </c>
      <c r="J19" s="18">
        <v>399.17985599999997</v>
      </c>
      <c r="K19" s="15">
        <v>705000</v>
      </c>
      <c r="L19" s="24">
        <f t="shared" si="4"/>
        <v>4582743.9399891235</v>
      </c>
      <c r="M19" s="24">
        <f t="shared" si="5"/>
        <v>705000</v>
      </c>
      <c r="N19" s="21" t="s">
        <v>92</v>
      </c>
      <c r="O19" s="4">
        <f t="shared" si="6"/>
        <v>894.79465116095446</v>
      </c>
      <c r="P19" s="15">
        <v>357184</v>
      </c>
      <c r="Q19" s="24">
        <f t="shared" si="7"/>
        <v>2321819.5907249292</v>
      </c>
      <c r="R19" s="15">
        <f t="shared" si="8"/>
        <v>357184</v>
      </c>
    </row>
    <row r="20" spans="1:18">
      <c r="A20" s="20" t="s">
        <v>39</v>
      </c>
      <c r="B20" s="4">
        <f>'2010-10'!B20</f>
        <v>58.402750000000012</v>
      </c>
      <c r="C20" s="4">
        <f>'2010-10'!C20</f>
        <v>69.592250000000007</v>
      </c>
      <c r="D20" s="18">
        <f t="shared" si="9"/>
        <v>46394.833333333336</v>
      </c>
      <c r="E20" s="4">
        <f>'Interval Circuities'!E20</f>
        <v>1.2834405439564254</v>
      </c>
      <c r="F20" s="4">
        <f t="shared" si="0"/>
        <v>45.50483485581929</v>
      </c>
      <c r="G20" s="4">
        <f t="shared" si="1"/>
        <v>30.336556570546193</v>
      </c>
      <c r="H20" s="4">
        <f t="shared" si="2"/>
        <v>2891.2286564249798</v>
      </c>
      <c r="I20" s="4">
        <f t="shared" si="3"/>
        <v>1137.2032495246315</v>
      </c>
      <c r="J20" s="18">
        <v>3354.7213320000001</v>
      </c>
      <c r="K20" s="15">
        <v>3815000</v>
      </c>
      <c r="L20" s="24">
        <f t="shared" si="4"/>
        <v>3287914.6232052213</v>
      </c>
      <c r="M20" s="24">
        <f t="shared" si="5"/>
        <v>3287914.6232052213</v>
      </c>
      <c r="N20" s="21" t="s">
        <v>92</v>
      </c>
      <c r="O20" s="4">
        <f t="shared" si="6"/>
        <v>675.48024880178036</v>
      </c>
      <c r="P20" s="15">
        <v>2266048</v>
      </c>
      <c r="Q20" s="24">
        <f t="shared" si="7"/>
        <v>1952967.8521847825</v>
      </c>
      <c r="R20" s="15">
        <f t="shared" si="8"/>
        <v>1952967.8521847825</v>
      </c>
    </row>
    <row r="21" spans="1:18">
      <c r="A21" s="20" t="s">
        <v>40</v>
      </c>
      <c r="B21" s="4">
        <f>'2010-10'!B21</f>
        <v>54.53875</v>
      </c>
      <c r="C21" s="4">
        <f>'2010-10'!C21</f>
        <v>64.440250000000006</v>
      </c>
      <c r="D21" s="18">
        <f t="shared" si="9"/>
        <v>42960.166666666664</v>
      </c>
      <c r="E21" s="4">
        <f>'Interval Circuities'!E21</f>
        <v>1.217214506898558</v>
      </c>
      <c r="F21" s="4">
        <f t="shared" si="0"/>
        <v>44.806194545745115</v>
      </c>
      <c r="G21" s="4">
        <f t="shared" si="1"/>
        <v>29.870796363830074</v>
      </c>
      <c r="H21" s="4">
        <f t="shared" si="2"/>
        <v>2803.131521005334</v>
      </c>
      <c r="I21" s="4">
        <f t="shared" si="3"/>
        <v>747.17664987777027</v>
      </c>
      <c r="J21" s="18">
        <v>1432.0576000000001</v>
      </c>
      <c r="K21" s="15">
        <v>1070000</v>
      </c>
      <c r="L21" s="24">
        <f t="shared" si="4"/>
        <v>2094434.4190315441</v>
      </c>
      <c r="M21" s="24">
        <f t="shared" si="5"/>
        <v>1070000</v>
      </c>
      <c r="N21" s="21" t="s">
        <v>92</v>
      </c>
      <c r="O21" s="4">
        <f t="shared" si="6"/>
        <v>555.53771021500802</v>
      </c>
      <c r="P21" s="15">
        <v>795562</v>
      </c>
      <c r="Q21" s="24">
        <f t="shared" si="7"/>
        <v>1557245.2666108159</v>
      </c>
      <c r="R21" s="15">
        <f t="shared" si="8"/>
        <v>795562</v>
      </c>
    </row>
    <row r="22" spans="1:18" ht="16">
      <c r="A22" s="20" t="s">
        <v>119</v>
      </c>
      <c r="B22" s="4">
        <f>'2010-10'!B22</f>
        <v>60.173750000000005</v>
      </c>
      <c r="C22" s="4">
        <f>'2010-10'!C22</f>
        <v>67.821250000000006</v>
      </c>
      <c r="D22" s="18">
        <f t="shared" si="9"/>
        <v>45214.166666666672</v>
      </c>
      <c r="E22" s="4">
        <f>'Interval Circuities'!E22</f>
        <v>1.35986028467875</v>
      </c>
      <c r="F22" s="4">
        <f t="shared" si="0"/>
        <v>44.249950291191354</v>
      </c>
      <c r="G22" s="4">
        <f t="shared" si="1"/>
        <v>29.499966860794235</v>
      </c>
      <c r="H22" s="4">
        <f t="shared" si="2"/>
        <v>2733.9648643067303</v>
      </c>
      <c r="I22" s="4">
        <f t="shared" si="3"/>
        <v>1786.307024434233</v>
      </c>
      <c r="J22" s="18">
        <v>1136.422783</v>
      </c>
      <c r="K22" s="15">
        <v>2030000</v>
      </c>
      <c r="L22" s="24">
        <f t="shared" si="4"/>
        <v>4883700.6416674973</v>
      </c>
      <c r="M22" s="24">
        <f t="shared" si="5"/>
        <v>2030000</v>
      </c>
      <c r="N22" s="21" t="s">
        <v>92</v>
      </c>
      <c r="O22" s="4">
        <f t="shared" si="6"/>
        <v>966.10699505836999</v>
      </c>
      <c r="P22" s="15">
        <v>1097906</v>
      </c>
      <c r="Q22" s="24">
        <f t="shared" si="7"/>
        <v>2641302.5796505394</v>
      </c>
      <c r="R22" s="15">
        <f t="shared" si="8"/>
        <v>1097906</v>
      </c>
    </row>
    <row r="23" spans="1:18">
      <c r="A23" s="20" t="s">
        <v>41</v>
      </c>
      <c r="B23" s="4">
        <f>'2010-10'!B23</f>
        <v>66.332000000000008</v>
      </c>
      <c r="C23" s="4">
        <f>'2010-10'!C23</f>
        <v>74.180750000000003</v>
      </c>
      <c r="D23" s="18">
        <f t="shared" si="9"/>
        <v>49453.833333333336</v>
      </c>
      <c r="E23" s="4">
        <f>'Interval Circuities'!E23</f>
        <v>1.3181635459497134</v>
      </c>
      <c r="F23" s="4">
        <f t="shared" si="0"/>
        <v>50.321525127755663</v>
      </c>
      <c r="G23" s="4">
        <f t="shared" si="1"/>
        <v>33.547683418503773</v>
      </c>
      <c r="H23" s="4">
        <f t="shared" si="2"/>
        <v>3535.6962243338085</v>
      </c>
      <c r="I23" s="4">
        <f t="shared" si="3"/>
        <v>978.15000707799697</v>
      </c>
      <c r="J23" s="18">
        <v>1063.231603</v>
      </c>
      <c r="K23" s="15">
        <v>1040000</v>
      </c>
      <c r="L23" s="24">
        <f t="shared" si="4"/>
        <v>3458441.2868577619</v>
      </c>
      <c r="M23" s="24">
        <f t="shared" si="5"/>
        <v>1040000</v>
      </c>
      <c r="N23" s="21" t="s">
        <v>92</v>
      </c>
      <c r="O23" s="4">
        <f t="shared" si="6"/>
        <v>508.16021502325492</v>
      </c>
      <c r="P23" s="15">
        <v>540292</v>
      </c>
      <c r="Q23" s="24">
        <f t="shared" si="7"/>
        <v>1796700.1536143788</v>
      </c>
      <c r="R23" s="15">
        <f t="shared" si="8"/>
        <v>540292</v>
      </c>
    </row>
    <row r="24" spans="1:18">
      <c r="A24" s="20" t="s">
        <v>75</v>
      </c>
      <c r="B24" s="4">
        <f>'2010-10'!B24</f>
        <v>63.434000000000012</v>
      </c>
      <c r="C24" s="4">
        <f>'2010-10'!C24</f>
        <v>69.552000000000007</v>
      </c>
      <c r="D24" s="18">
        <f t="shared" si="9"/>
        <v>46368</v>
      </c>
      <c r="E24" s="4">
        <f>'Interval Circuities'!E24</f>
        <v>1.2592053557284943</v>
      </c>
      <c r="F24" s="4">
        <f t="shared" si="0"/>
        <v>50.376215214952943</v>
      </c>
      <c r="G24" s="4">
        <f t="shared" si="1"/>
        <v>33.58414347663529</v>
      </c>
      <c r="H24" s="4">
        <f t="shared" si="2"/>
        <v>3543.385681737775</v>
      </c>
      <c r="I24" s="4">
        <f t="shared" si="3"/>
        <v>1007.5137082249074</v>
      </c>
      <c r="J24" s="18">
        <v>1513.6270480000001</v>
      </c>
      <c r="K24" s="15">
        <v>1525000</v>
      </c>
      <c r="L24" s="24">
        <f t="shared" si="4"/>
        <v>3570009.6478786673</v>
      </c>
      <c r="M24" s="24">
        <f t="shared" si="5"/>
        <v>1525000</v>
      </c>
      <c r="N24" s="21" t="s">
        <v>92</v>
      </c>
      <c r="O24" s="4">
        <f t="shared" si="6"/>
        <v>613.50449651848453</v>
      </c>
      <c r="P24" s="15">
        <v>928617</v>
      </c>
      <c r="Q24" s="24">
        <f t="shared" si="7"/>
        <v>2173883.0486453408</v>
      </c>
      <c r="R24" s="15">
        <f t="shared" si="8"/>
        <v>928617</v>
      </c>
    </row>
    <row r="25" spans="1:18">
      <c r="A25" s="20" t="s">
        <v>63</v>
      </c>
      <c r="B25" s="4">
        <f>'2010-10'!B25</f>
        <v>59.529750000000007</v>
      </c>
      <c r="C25" s="4">
        <f>'2010-10'!C25</f>
        <v>69.833750000000009</v>
      </c>
      <c r="D25" s="18">
        <f t="shared" si="9"/>
        <v>46555.833333333343</v>
      </c>
      <c r="E25" s="4">
        <f>'Interval Circuities'!E25</f>
        <v>1.3200789561058746</v>
      </c>
      <c r="F25" s="4">
        <f t="shared" si="0"/>
        <v>45.095598050898353</v>
      </c>
      <c r="G25" s="4">
        <f t="shared" si="1"/>
        <v>30.063732033932233</v>
      </c>
      <c r="H25" s="4">
        <f t="shared" si="2"/>
        <v>2839.4593540403484</v>
      </c>
      <c r="I25" s="4">
        <f t="shared" si="3"/>
        <v>1897.3714766274206</v>
      </c>
      <c r="J25" s="18">
        <v>740.49811399999999</v>
      </c>
      <c r="K25" s="15">
        <v>1405000</v>
      </c>
      <c r="L25" s="24">
        <f t="shared" si="4"/>
        <v>5387509.1873990782</v>
      </c>
      <c r="M25" s="24">
        <f t="shared" si="5"/>
        <v>1405000</v>
      </c>
      <c r="N25" s="21" t="s">
        <v>92</v>
      </c>
      <c r="O25" s="4">
        <f t="shared" si="6"/>
        <v>1137.2034365505488</v>
      </c>
      <c r="P25" s="15">
        <v>842097</v>
      </c>
      <c r="Q25" s="24">
        <f t="shared" si="7"/>
        <v>3229042.9353602855</v>
      </c>
      <c r="R25" s="15">
        <f t="shared" si="8"/>
        <v>842097</v>
      </c>
    </row>
    <row r="26" spans="1:18" ht="16">
      <c r="A26" s="20" t="s">
        <v>120</v>
      </c>
      <c r="B26" s="4">
        <f>'2010-10'!B26</f>
        <v>52.928750000000001</v>
      </c>
      <c r="C26" s="4">
        <f>'2010-10'!C26</f>
        <v>66.090500000000006</v>
      </c>
      <c r="D26" s="18">
        <f t="shared" si="9"/>
        <v>44060.333333333336</v>
      </c>
      <c r="E26" s="4">
        <f>'Interval Circuities'!E26</f>
        <v>1.2436425461187828</v>
      </c>
      <c r="F26" s="4">
        <f t="shared" si="0"/>
        <v>42.559455822078853</v>
      </c>
      <c r="G26" s="4">
        <f t="shared" si="1"/>
        <v>28.372970548052567</v>
      </c>
      <c r="H26" s="4">
        <f t="shared" si="2"/>
        <v>2529.0620639279809</v>
      </c>
      <c r="I26" s="4">
        <f t="shared" si="3"/>
        <v>2963.0107614020721</v>
      </c>
      <c r="J26" s="18">
        <v>4319.9303110000001</v>
      </c>
      <c r="K26" s="15">
        <v>12800000</v>
      </c>
      <c r="L26" s="24">
        <f t="shared" si="4"/>
        <v>7493638.1116723428</v>
      </c>
      <c r="M26" s="24">
        <f t="shared" si="5"/>
        <v>7493638.1116723428</v>
      </c>
      <c r="N26" s="21" t="s">
        <v>92</v>
      </c>
      <c r="O26" s="4">
        <f t="shared" si="6"/>
        <v>1240.2952395682755</v>
      </c>
      <c r="P26" s="15">
        <v>5357989</v>
      </c>
      <c r="Q26" s="24">
        <f t="shared" si="7"/>
        <v>3136783.6384625924</v>
      </c>
      <c r="R26" s="15">
        <f t="shared" si="8"/>
        <v>3136783.6384625924</v>
      </c>
    </row>
    <row r="27" spans="1:18">
      <c r="A27" s="20" t="s">
        <v>42</v>
      </c>
      <c r="B27" s="4">
        <f>'2010-10'!B27</f>
        <v>63.474250000000012</v>
      </c>
      <c r="C27" s="4">
        <f>'2010-10'!C27</f>
        <v>71.282750000000007</v>
      </c>
      <c r="D27" s="18">
        <f t="shared" si="9"/>
        <v>47521.833333333336</v>
      </c>
      <c r="E27" s="4">
        <f>'Interval Circuities'!E27</f>
        <v>1.3143591509138175</v>
      </c>
      <c r="F27" s="4">
        <f t="shared" si="0"/>
        <v>48.292926599148409</v>
      </c>
      <c r="G27" s="4">
        <f t="shared" si="1"/>
        <v>32.195284399432268</v>
      </c>
      <c r="H27" s="4">
        <f t="shared" si="2"/>
        <v>3256.3749432583922</v>
      </c>
      <c r="I27" s="4">
        <f t="shared" si="3"/>
        <v>902.85200083237225</v>
      </c>
      <c r="J27" s="18">
        <v>1013.455139</v>
      </c>
      <c r="K27" s="15">
        <v>915000</v>
      </c>
      <c r="L27" s="24">
        <f t="shared" si="4"/>
        <v>2940024.6329812421</v>
      </c>
      <c r="M27" s="24">
        <f t="shared" si="5"/>
        <v>915000</v>
      </c>
      <c r="N27" s="21" t="s">
        <v>92</v>
      </c>
      <c r="O27" s="4">
        <f t="shared" si="6"/>
        <v>548.67648167305799</v>
      </c>
      <c r="P27" s="15">
        <v>556059</v>
      </c>
      <c r="Q27" s="24">
        <f t="shared" si="7"/>
        <v>1786696.3468753186</v>
      </c>
      <c r="R27" s="15">
        <f t="shared" si="8"/>
        <v>556059</v>
      </c>
    </row>
    <row r="28" spans="1:18">
      <c r="A28" s="20" t="s">
        <v>43</v>
      </c>
      <c r="B28" s="4">
        <f>'2010-10'!B28</f>
        <v>67.418750000000003</v>
      </c>
      <c r="C28" s="4">
        <f>'2010-10'!C28</f>
        <v>75.146750000000011</v>
      </c>
      <c r="D28" s="18">
        <f t="shared" si="9"/>
        <v>50097.833333333343</v>
      </c>
      <c r="E28" s="4">
        <f>'Interval Circuities'!E28</f>
        <v>1.2669879637731756</v>
      </c>
      <c r="F28" s="4">
        <f t="shared" si="0"/>
        <v>53.211831467776868</v>
      </c>
      <c r="G28" s="4">
        <f t="shared" si="1"/>
        <v>35.474554311851243</v>
      </c>
      <c r="H28" s="4">
        <f t="shared" si="2"/>
        <v>3953.5184367408051</v>
      </c>
      <c r="I28" s="4">
        <f t="shared" si="3"/>
        <v>999.49538906027249</v>
      </c>
      <c r="J28" s="18">
        <v>1035.5225359999999</v>
      </c>
      <c r="K28" s="15">
        <v>1035000</v>
      </c>
      <c r="L28" s="24">
        <f t="shared" si="4"/>
        <v>3951523.4480872112</v>
      </c>
      <c r="M28" s="24">
        <f t="shared" si="5"/>
        <v>1035000</v>
      </c>
      <c r="N28" s="21" t="s">
        <v>92</v>
      </c>
      <c r="O28" s="4">
        <f t="shared" si="6"/>
        <v>536.12160112370555</v>
      </c>
      <c r="P28" s="15">
        <v>555166</v>
      </c>
      <c r="Q28" s="24">
        <f t="shared" si="7"/>
        <v>2119566.6343775699</v>
      </c>
      <c r="R28" s="15">
        <f t="shared" si="8"/>
        <v>555166</v>
      </c>
    </row>
    <row r="29" spans="1:18">
      <c r="A29" s="20" t="s">
        <v>44</v>
      </c>
      <c r="B29" s="4">
        <f>'2010-10'!B29</f>
        <v>65.688000000000002</v>
      </c>
      <c r="C29" s="4">
        <f>'2010-10'!C29</f>
        <v>72.490250000000003</v>
      </c>
      <c r="D29" s="18">
        <f t="shared" si="9"/>
        <v>48326.833333333336</v>
      </c>
      <c r="E29" s="4">
        <f>'Interval Circuities'!E29</f>
        <v>1.1751798551073691</v>
      </c>
      <c r="F29" s="4">
        <f t="shared" si="0"/>
        <v>55.896124933147775</v>
      </c>
      <c r="G29" s="4">
        <f t="shared" si="1"/>
        <v>37.264083288765178</v>
      </c>
      <c r="H29" s="4">
        <f t="shared" si="2"/>
        <v>4362.4529542580722</v>
      </c>
      <c r="I29" s="4">
        <f t="shared" si="3"/>
        <v>1161.3700459353722</v>
      </c>
      <c r="J29" s="18">
        <v>1261.4411789999999</v>
      </c>
      <c r="K29" s="15">
        <v>1465000</v>
      </c>
      <c r="L29" s="24">
        <f t="shared" si="4"/>
        <v>5066422.1878775973</v>
      </c>
      <c r="M29" s="24">
        <f t="shared" si="5"/>
        <v>1465000</v>
      </c>
      <c r="N29" s="21" t="s">
        <v>92</v>
      </c>
      <c r="O29" s="4">
        <f t="shared" si="6"/>
        <v>630.29256792638762</v>
      </c>
      <c r="P29" s="15">
        <v>795077</v>
      </c>
      <c r="Q29" s="24">
        <f t="shared" si="7"/>
        <v>2749621.6749973763</v>
      </c>
      <c r="R29" s="15">
        <f t="shared" si="8"/>
        <v>795077</v>
      </c>
    </row>
    <row r="30" spans="1:18">
      <c r="A30" s="20" t="s">
        <v>45</v>
      </c>
      <c r="B30" s="4">
        <f>'2010-10'!B30</f>
        <v>55.746250000000003</v>
      </c>
      <c r="C30" s="4">
        <f>'2010-10'!C30</f>
        <v>65.688000000000002</v>
      </c>
      <c r="D30" s="18">
        <f t="shared" si="9"/>
        <v>43792</v>
      </c>
      <c r="E30" s="4">
        <f>'Interval Circuities'!E30</f>
        <v>1.2488143236567024</v>
      </c>
      <c r="F30" s="4">
        <f t="shared" si="0"/>
        <v>44.639342249668637</v>
      </c>
      <c r="G30" s="4">
        <f t="shared" si="1"/>
        <v>29.759561499779089</v>
      </c>
      <c r="H30" s="4">
        <f t="shared" si="2"/>
        <v>2782.2934162584388</v>
      </c>
      <c r="I30" s="4">
        <f t="shared" si="3"/>
        <v>1090.2344714817029</v>
      </c>
      <c r="J30" s="18">
        <v>2316.0155599999998</v>
      </c>
      <c r="K30" s="15">
        <v>2525000</v>
      </c>
      <c r="L30" s="24">
        <f t="shared" si="4"/>
        <v>3033352.1921815407</v>
      </c>
      <c r="M30" s="24">
        <f t="shared" si="5"/>
        <v>2525000</v>
      </c>
      <c r="N30" s="21" t="s">
        <v>92</v>
      </c>
      <c r="O30" s="4">
        <f t="shared" si="6"/>
        <v>725.84961389464934</v>
      </c>
      <c r="P30" s="15">
        <v>1681079</v>
      </c>
      <c r="Q30" s="24">
        <f t="shared" si="7"/>
        <v>2019526.6019328127</v>
      </c>
      <c r="R30" s="15">
        <f t="shared" si="8"/>
        <v>1681079</v>
      </c>
    </row>
    <row r="31" spans="1:18">
      <c r="A31" s="20" t="s">
        <v>46</v>
      </c>
      <c r="B31" s="4">
        <f>'2010-10'!B31</f>
        <v>67.579750000000004</v>
      </c>
      <c r="C31" s="4">
        <f>'2010-10'!C31</f>
        <v>75.871250000000003</v>
      </c>
      <c r="D31" s="18">
        <f t="shared" si="9"/>
        <v>50580.833333333328</v>
      </c>
      <c r="E31" s="4">
        <f>'Interval Circuities'!E31</f>
        <v>1.2979029443773333</v>
      </c>
      <c r="F31" s="4">
        <f t="shared" si="0"/>
        <v>52.068415664486587</v>
      </c>
      <c r="G31" s="4">
        <f t="shared" si="1"/>
        <v>34.71227710965772</v>
      </c>
      <c r="H31" s="4">
        <f t="shared" si="2"/>
        <v>3785.43750740415</v>
      </c>
      <c r="I31" s="4">
        <f t="shared" si="3"/>
        <v>891.82610976607054</v>
      </c>
      <c r="J31" s="18">
        <v>1115.688349</v>
      </c>
      <c r="K31" s="15">
        <v>995000</v>
      </c>
      <c r="L31" s="24">
        <f t="shared" si="4"/>
        <v>3375952.005990814</v>
      </c>
      <c r="M31" s="24">
        <f t="shared" si="5"/>
        <v>995000</v>
      </c>
      <c r="N31" s="21" t="s">
        <v>92</v>
      </c>
      <c r="O31" s="4">
        <f t="shared" si="6"/>
        <v>651.34407888308954</v>
      </c>
      <c r="P31" s="15">
        <v>726697</v>
      </c>
      <c r="Q31" s="24">
        <f t="shared" si="7"/>
        <v>2465622.3064296544</v>
      </c>
      <c r="R31" s="15">
        <f t="shared" si="8"/>
        <v>726697</v>
      </c>
    </row>
    <row r="32" spans="1:18">
      <c r="A32" s="20" t="s">
        <v>47</v>
      </c>
      <c r="B32" s="4">
        <f>'2010-10'!B32</f>
        <v>56.148750000000007</v>
      </c>
      <c r="C32" s="4">
        <f>'2010-10'!C32</f>
        <v>67.137</v>
      </c>
      <c r="D32" s="18">
        <f t="shared" si="9"/>
        <v>44757.999999999993</v>
      </c>
      <c r="E32" s="4">
        <f>'Interval Circuities'!E32</f>
        <v>1.3389833968635285</v>
      </c>
      <c r="F32" s="4">
        <f t="shared" si="0"/>
        <v>41.933865745851953</v>
      </c>
      <c r="G32" s="4">
        <f t="shared" si="1"/>
        <v>27.955910497234633</v>
      </c>
      <c r="H32" s="4">
        <f t="shared" si="2"/>
        <v>2455.2581168595561</v>
      </c>
      <c r="I32" s="4">
        <f t="shared" si="3"/>
        <v>2146.7911124783959</v>
      </c>
      <c r="J32" s="18">
        <v>512.39265599999999</v>
      </c>
      <c r="K32" s="15">
        <v>1100000</v>
      </c>
      <c r="L32" s="24">
        <f t="shared" si="4"/>
        <v>5270926.3041145382</v>
      </c>
      <c r="M32" s="24">
        <f t="shared" si="5"/>
        <v>1100000</v>
      </c>
      <c r="N32" s="21" t="s">
        <v>92</v>
      </c>
      <c r="O32" s="4">
        <f t="shared" si="6"/>
        <v>898.57064618037771</v>
      </c>
      <c r="P32" s="15">
        <v>460421</v>
      </c>
      <c r="Q32" s="24">
        <f t="shared" si="7"/>
        <v>2206222.8726061089</v>
      </c>
      <c r="R32" s="15">
        <f t="shared" si="8"/>
        <v>460421</v>
      </c>
    </row>
    <row r="33" spans="1:18">
      <c r="A33" s="20" t="s">
        <v>65</v>
      </c>
      <c r="B33" s="4">
        <f>'2010-10'!B33</f>
        <v>55.142500000000005</v>
      </c>
      <c r="C33" s="4">
        <f>'2010-10'!C33</f>
        <v>67.660250000000005</v>
      </c>
      <c r="D33" s="18">
        <f t="shared" si="9"/>
        <v>45106.833333333336</v>
      </c>
      <c r="E33" s="4">
        <f>'Interval Circuities'!E33</f>
        <v>1.222552045843428</v>
      </c>
      <c r="F33" s="4">
        <f t="shared" si="0"/>
        <v>45.104419224915432</v>
      </c>
      <c r="G33" s="4">
        <f t="shared" si="1"/>
        <v>30.069612816610288</v>
      </c>
      <c r="H33" s="4">
        <f t="shared" si="2"/>
        <v>2840.5703190091413</v>
      </c>
      <c r="I33" s="4">
        <f t="shared" si="3"/>
        <v>2098.879805390713</v>
      </c>
      <c r="J33" s="18">
        <v>8683.2032749999998</v>
      </c>
      <c r="K33" s="15">
        <v>18225000</v>
      </c>
      <c r="L33" s="24">
        <f t="shared" si="4"/>
        <v>5962015.6783605423</v>
      </c>
      <c r="M33" s="24">
        <f t="shared" si="5"/>
        <v>5962015.6783605423</v>
      </c>
      <c r="N33" s="21" t="s">
        <v>92</v>
      </c>
      <c r="O33" s="4">
        <f t="shared" si="6"/>
        <v>941.20588234184811</v>
      </c>
      <c r="P33" s="15">
        <f>7737401+435281</f>
        <v>8172682</v>
      </c>
      <c r="Q33" s="24">
        <f t="shared" si="7"/>
        <v>2673561.4934570636</v>
      </c>
      <c r="R33" s="15">
        <f t="shared" si="8"/>
        <v>2673561.4934570636</v>
      </c>
    </row>
    <row r="34" spans="1:18">
      <c r="A34" s="20" t="s">
        <v>66</v>
      </c>
      <c r="B34" s="4">
        <f>'2010-10'!B34</f>
        <v>69.028750000000002</v>
      </c>
      <c r="C34" s="4">
        <f>'2010-10'!C34</f>
        <v>75.951750000000018</v>
      </c>
      <c r="D34" s="18">
        <f t="shared" si="9"/>
        <v>50634.500000000007</v>
      </c>
      <c r="E34" s="4">
        <f>'Interval Circuities'!E34</f>
        <v>1.2586490530021517</v>
      </c>
      <c r="F34" s="4">
        <f t="shared" si="0"/>
        <v>54.843524360783036</v>
      </c>
      <c r="G34" s="4">
        <f t="shared" si="1"/>
        <v>36.562349573855357</v>
      </c>
      <c r="H34" s="4">
        <f t="shared" si="2"/>
        <v>4199.6980439022109</v>
      </c>
      <c r="I34" s="4">
        <f t="shared" si="3"/>
        <v>1048.044711192385</v>
      </c>
      <c r="J34" s="18">
        <v>834.88804500000003</v>
      </c>
      <c r="K34" s="15">
        <v>875000</v>
      </c>
      <c r="L34" s="24">
        <f t="shared" si="4"/>
        <v>4401471.3235167162</v>
      </c>
      <c r="M34" s="24">
        <f t="shared" si="5"/>
        <v>875000</v>
      </c>
      <c r="N34" s="21" t="s">
        <v>92</v>
      </c>
      <c r="O34" s="4">
        <f t="shared" si="6"/>
        <v>575.97662690211359</v>
      </c>
      <c r="P34" s="15">
        <v>480876</v>
      </c>
      <c r="Q34" s="24">
        <f t="shared" si="7"/>
        <v>2418927.9133342002</v>
      </c>
      <c r="R34" s="15">
        <f t="shared" si="8"/>
        <v>480876</v>
      </c>
    </row>
    <row r="35" spans="1:18">
      <c r="A35" s="20" t="s">
        <v>48</v>
      </c>
      <c r="B35" s="4">
        <f>'2010-10'!B35</f>
        <v>58.161250000000003</v>
      </c>
      <c r="C35" s="4">
        <f>'2010-10'!C35</f>
        <v>69.069000000000003</v>
      </c>
      <c r="D35" s="18">
        <f t="shared" si="9"/>
        <v>46046</v>
      </c>
      <c r="E35" s="4">
        <f>'Interval Circuities'!E35</f>
        <v>1.3357222696848219</v>
      </c>
      <c r="F35" s="4">
        <f t="shared" ref="F35:F53" si="10">B35/E35</f>
        <v>43.542921548896373</v>
      </c>
      <c r="G35" s="4">
        <f t="shared" ref="G35:G53" si="11">F35*$A$1</f>
        <v>29.028614365930913</v>
      </c>
      <c r="H35" s="4">
        <f t="shared" ref="H35:H53" si="12">PI()*G35^2</f>
        <v>2647.2958854924859</v>
      </c>
      <c r="I35" s="4">
        <f t="shared" ref="I35:I53" si="13">K35/J35</f>
        <v>1197.0074422042101</v>
      </c>
      <c r="J35" s="18">
        <v>1173.7604550000001</v>
      </c>
      <c r="K35" s="15">
        <v>1405000</v>
      </c>
      <c r="L35" s="24">
        <f t="shared" ref="L35:L53" si="14">H35*I35</f>
        <v>3168832.8766510901</v>
      </c>
      <c r="M35" s="24">
        <f t="shared" ref="M35:M53" si="15">MIN(K35,L35)</f>
        <v>1405000</v>
      </c>
      <c r="N35" s="21" t="s">
        <v>92</v>
      </c>
      <c r="O35" s="4">
        <f t="shared" ref="O35:O53" si="16">P35/J35</f>
        <v>800.1002214715096</v>
      </c>
      <c r="P35" s="15">
        <v>939126</v>
      </c>
      <c r="Q35" s="24">
        <f t="shared" ref="Q35:Q53" si="17">H35*O35</f>
        <v>2118102.0242831539</v>
      </c>
      <c r="R35" s="15">
        <f t="shared" ref="R35:R53" si="18">MIN(Q35,P35)</f>
        <v>939126</v>
      </c>
    </row>
    <row r="36" spans="1:18">
      <c r="A36" s="20" t="s">
        <v>67</v>
      </c>
      <c r="B36" s="4">
        <f>'2010-10'!B36</f>
        <v>59.771250000000002</v>
      </c>
      <c r="C36" s="4">
        <f>'2010-10'!C36</f>
        <v>68.062750000000008</v>
      </c>
      <c r="D36" s="18">
        <f t="shared" si="9"/>
        <v>45375.166666666672</v>
      </c>
      <c r="E36" s="4">
        <f>'Interval Circuities'!E36</f>
        <v>1.1855169545716866</v>
      </c>
      <c r="F36" s="4">
        <f t="shared" si="10"/>
        <v>50.417878689549958</v>
      </c>
      <c r="G36" s="4">
        <f t="shared" si="11"/>
        <v>33.611919126366637</v>
      </c>
      <c r="H36" s="4">
        <f t="shared" si="12"/>
        <v>3549.2491951855127</v>
      </c>
      <c r="I36" s="4">
        <f t="shared" si="13"/>
        <v>1139.3097942572194</v>
      </c>
      <c r="J36" s="18">
        <v>4660.7165379999997</v>
      </c>
      <c r="K36" s="15">
        <v>5310000</v>
      </c>
      <c r="L36" s="24">
        <f t="shared" si="14"/>
        <v>4043694.3703344082</v>
      </c>
      <c r="M36" s="24">
        <f t="shared" si="15"/>
        <v>4043694.3703344082</v>
      </c>
      <c r="N36" s="21" t="s">
        <v>92</v>
      </c>
      <c r="O36" s="4">
        <f t="shared" si="16"/>
        <v>550.55204045966377</v>
      </c>
      <c r="P36" s="15">
        <v>2565967</v>
      </c>
      <c r="Q36" s="24">
        <f t="shared" si="17"/>
        <v>1954046.3865092034</v>
      </c>
      <c r="R36" s="15">
        <f t="shared" si="18"/>
        <v>1954046.3865092034</v>
      </c>
    </row>
    <row r="37" spans="1:18">
      <c r="A37" s="20" t="s">
        <v>49</v>
      </c>
      <c r="B37" s="4">
        <f>'2010-10'!B37</f>
        <v>63.756000000000007</v>
      </c>
      <c r="C37" s="4">
        <f>'2010-10'!C37</f>
        <v>70.477750000000015</v>
      </c>
      <c r="D37" s="18">
        <f t="shared" si="9"/>
        <v>46985.166666666672</v>
      </c>
      <c r="E37" s="4">
        <f>'Interval Circuities'!E37</f>
        <v>1.2881022315645838</v>
      </c>
      <c r="F37" s="4">
        <f t="shared" si="10"/>
        <v>49.496071381352436</v>
      </c>
      <c r="G37" s="4">
        <f t="shared" si="11"/>
        <v>32.99738092090162</v>
      </c>
      <c r="H37" s="4">
        <f t="shared" si="12"/>
        <v>3420.6513680520693</v>
      </c>
      <c r="I37" s="4">
        <f t="shared" si="13"/>
        <v>1655.0541671588298</v>
      </c>
      <c r="J37" s="18">
        <v>2069.418674</v>
      </c>
      <c r="K37" s="15">
        <v>3425000</v>
      </c>
      <c r="L37" s="24">
        <f t="shared" si="14"/>
        <v>5661363.3010921292</v>
      </c>
      <c r="M37" s="24">
        <f t="shared" si="15"/>
        <v>3425000</v>
      </c>
      <c r="N37" s="21" t="s">
        <v>92</v>
      </c>
      <c r="O37" s="4">
        <f t="shared" si="16"/>
        <v>794.59561308665377</v>
      </c>
      <c r="P37" s="15">
        <v>1644351</v>
      </c>
      <c r="Q37" s="24">
        <f t="shared" si="17"/>
        <v>2718034.5709530348</v>
      </c>
      <c r="R37" s="15">
        <f t="shared" si="18"/>
        <v>1644351</v>
      </c>
    </row>
    <row r="38" spans="1:18">
      <c r="A38" s="20" t="s">
        <v>50</v>
      </c>
      <c r="B38" s="4">
        <f>'2010-10'!B38</f>
        <v>68.465250000000012</v>
      </c>
      <c r="C38" s="4">
        <f>'2010-10'!C38</f>
        <v>76.837250000000012</v>
      </c>
      <c r="D38" s="18">
        <f t="shared" si="9"/>
        <v>51224.833333333336</v>
      </c>
      <c r="E38" s="4">
        <f>'Interval Circuities'!E38</f>
        <v>1.2817943808930483</v>
      </c>
      <c r="F38" s="4">
        <f t="shared" si="10"/>
        <v>53.413598171883926</v>
      </c>
      <c r="G38" s="4">
        <f t="shared" si="11"/>
        <v>35.609065447922617</v>
      </c>
      <c r="H38" s="4">
        <f t="shared" si="12"/>
        <v>3983.5568956921925</v>
      </c>
      <c r="I38" s="4">
        <f t="shared" si="13"/>
        <v>822.12384643482994</v>
      </c>
      <c r="J38" s="18">
        <v>2207.6965749999999</v>
      </c>
      <c r="K38" s="15">
        <v>1815000</v>
      </c>
      <c r="L38" s="24">
        <f t="shared" si="14"/>
        <v>3274977.1175784557</v>
      </c>
      <c r="M38" s="24">
        <f t="shared" si="15"/>
        <v>1815000</v>
      </c>
      <c r="N38" s="21" t="s">
        <v>92</v>
      </c>
      <c r="O38" s="4">
        <f t="shared" si="16"/>
        <v>483.83732261757939</v>
      </c>
      <c r="P38" s="15">
        <v>1068166</v>
      </c>
      <c r="Q38" s="24">
        <f t="shared" si="17"/>
        <v>1927393.5029065064</v>
      </c>
      <c r="R38" s="15">
        <f t="shared" si="18"/>
        <v>1068166</v>
      </c>
    </row>
    <row r="39" spans="1:18">
      <c r="A39" s="20" t="s">
        <v>51</v>
      </c>
      <c r="B39" s="4">
        <f>'2010-10'!B39</f>
        <v>60.938500000000005</v>
      </c>
      <c r="C39" s="4">
        <f>'2010-10'!C39</f>
        <v>71.443750000000009</v>
      </c>
      <c r="D39" s="18">
        <f t="shared" si="9"/>
        <v>47629.166666666672</v>
      </c>
      <c r="E39" s="4">
        <f>'Interval Circuities'!E39</f>
        <v>1.4562699715471381</v>
      </c>
      <c r="F39" s="4">
        <f t="shared" si="10"/>
        <v>41.845606371502029</v>
      </c>
      <c r="G39" s="4">
        <f t="shared" si="11"/>
        <v>27.897070914334684</v>
      </c>
      <c r="H39" s="4">
        <f t="shared" si="12"/>
        <v>2444.9336931686194</v>
      </c>
      <c r="I39" s="4">
        <f t="shared" si="13"/>
        <v>1466.3827908170226</v>
      </c>
      <c r="J39" s="18">
        <v>1227.5103140000001</v>
      </c>
      <c r="K39" s="15">
        <v>1800000</v>
      </c>
      <c r="L39" s="24">
        <f t="shared" si="14"/>
        <v>3585208.6923511703</v>
      </c>
      <c r="M39" s="24">
        <f t="shared" si="15"/>
        <v>1800000</v>
      </c>
      <c r="N39" s="21" t="s">
        <v>92</v>
      </c>
      <c r="O39" s="4">
        <f t="shared" si="16"/>
        <v>771.73934035066679</v>
      </c>
      <c r="P39" s="15">
        <v>947318</v>
      </c>
      <c r="Q39" s="24">
        <f t="shared" si="17"/>
        <v>1886851.5155670699</v>
      </c>
      <c r="R39" s="15">
        <f t="shared" si="18"/>
        <v>947318</v>
      </c>
    </row>
    <row r="40" spans="1:18">
      <c r="A40" s="20" t="s">
        <v>52</v>
      </c>
      <c r="B40" s="4">
        <f>'2010-10'!B40</f>
        <v>61.542249999999996</v>
      </c>
      <c r="C40" s="4">
        <f>'2010-10'!C40</f>
        <v>68.062750000000008</v>
      </c>
      <c r="D40" s="18">
        <f t="shared" si="9"/>
        <v>45375.166666666672</v>
      </c>
      <c r="E40" s="4">
        <f>'Interval Circuities'!E40</f>
        <v>1.2359886141697098</v>
      </c>
      <c r="F40" s="4">
        <f t="shared" si="10"/>
        <v>49.79192307636405</v>
      </c>
      <c r="G40" s="4">
        <f t="shared" si="11"/>
        <v>33.194615384242695</v>
      </c>
      <c r="H40" s="4">
        <f t="shared" si="12"/>
        <v>3461.665937298535</v>
      </c>
      <c r="I40" s="4">
        <f t="shared" si="13"/>
        <v>954.46089809134196</v>
      </c>
      <c r="J40" s="18">
        <v>1304.4012620000001</v>
      </c>
      <c r="K40" s="15">
        <v>1245000</v>
      </c>
      <c r="L40" s="24">
        <f t="shared" si="14"/>
        <v>3304024.7794061666</v>
      </c>
      <c r="M40" s="24">
        <f t="shared" si="15"/>
        <v>1245000</v>
      </c>
      <c r="N40" s="21" t="s">
        <v>92</v>
      </c>
      <c r="O40" s="4">
        <f t="shared" si="16"/>
        <v>487.50566142889852</v>
      </c>
      <c r="P40" s="15">
        <v>635903</v>
      </c>
      <c r="Q40" s="24">
        <f t="shared" si="17"/>
        <v>1687581.7424086102</v>
      </c>
      <c r="R40" s="15">
        <f t="shared" si="18"/>
        <v>635903</v>
      </c>
    </row>
    <row r="41" spans="1:18">
      <c r="A41" s="20" t="s">
        <v>53</v>
      </c>
      <c r="B41" s="4">
        <f>'2010-10'!B41</f>
        <v>67.57974999999999</v>
      </c>
      <c r="C41" s="4">
        <f>'2010-10'!C41</f>
        <v>75.46875</v>
      </c>
      <c r="D41" s="18">
        <f t="shared" si="9"/>
        <v>50312.5</v>
      </c>
      <c r="E41" s="4">
        <f>'Interval Circuities'!E41</f>
        <v>1.2214655452556848</v>
      </c>
      <c r="F41" s="4">
        <f t="shared" si="10"/>
        <v>55.326775497260357</v>
      </c>
      <c r="G41" s="4">
        <f t="shared" si="11"/>
        <v>36.884516998173567</v>
      </c>
      <c r="H41" s="4">
        <f t="shared" si="12"/>
        <v>4274.0349993497439</v>
      </c>
      <c r="I41" s="4">
        <f t="shared" si="13"/>
        <v>1238.2323980039887</v>
      </c>
      <c r="J41" s="18">
        <v>827.79291000000001</v>
      </c>
      <c r="K41" s="15">
        <v>1025000</v>
      </c>
      <c r="L41" s="24">
        <f t="shared" si="14"/>
        <v>5292248.6063978095</v>
      </c>
      <c r="M41" s="24">
        <f t="shared" si="15"/>
        <v>1025000</v>
      </c>
      <c r="N41" s="21" t="s">
        <v>92</v>
      </c>
      <c r="O41" s="4">
        <f t="shared" si="16"/>
        <v>839.88880745547817</v>
      </c>
      <c r="P41" s="15">
        <f>438888+235541+20825</f>
        <v>695254</v>
      </c>
      <c r="Q41" s="24">
        <f t="shared" si="17"/>
        <v>3589714.1586268316</v>
      </c>
      <c r="R41" s="15">
        <f t="shared" si="18"/>
        <v>695254</v>
      </c>
    </row>
    <row r="42" spans="1:18">
      <c r="A42" s="20" t="s">
        <v>82</v>
      </c>
      <c r="B42" s="4">
        <f>'2010-10'!B42</f>
        <v>63.595000000000006</v>
      </c>
      <c r="C42" s="4">
        <f>'2010-10'!C42</f>
        <v>70.84</v>
      </c>
      <c r="D42" s="18">
        <f t="shared" si="9"/>
        <v>47226.666666666664</v>
      </c>
      <c r="E42" s="4">
        <f>'Interval Circuities'!E42</f>
        <v>1.2194277529157018</v>
      </c>
      <c r="F42" s="4">
        <f t="shared" si="10"/>
        <v>52.15151110669882</v>
      </c>
      <c r="G42" s="4">
        <f t="shared" si="11"/>
        <v>34.767674071132546</v>
      </c>
      <c r="H42" s="4">
        <f t="shared" si="12"/>
        <v>3797.5294289746057</v>
      </c>
      <c r="I42" s="4">
        <f t="shared" si="13"/>
        <v>974.56496374961057</v>
      </c>
      <c r="J42" s="18">
        <v>764.44365200000004</v>
      </c>
      <c r="K42" s="15">
        <v>745000</v>
      </c>
      <c r="L42" s="24">
        <f t="shared" si="14"/>
        <v>3700939.1302867159</v>
      </c>
      <c r="M42" s="24">
        <f t="shared" si="15"/>
        <v>745000</v>
      </c>
      <c r="N42" s="21" t="s">
        <v>92</v>
      </c>
      <c r="O42" s="4">
        <f t="shared" si="16"/>
        <v>596.12634470539103</v>
      </c>
      <c r="P42" s="15">
        <f>430223+17339+8143</f>
        <v>455705</v>
      </c>
      <c r="Q42" s="24">
        <f t="shared" si="17"/>
        <v>2263807.3374057827</v>
      </c>
      <c r="R42" s="15">
        <f t="shared" si="18"/>
        <v>455705</v>
      </c>
    </row>
    <row r="43" spans="1:18">
      <c r="A43" s="20" t="s">
        <v>54</v>
      </c>
      <c r="B43" s="4">
        <f>'2010-10'!B43</f>
        <v>56.873250000000006</v>
      </c>
      <c r="C43" s="4">
        <f>'2010-10'!C43</f>
        <v>65.688000000000017</v>
      </c>
      <c r="D43" s="18">
        <f t="shared" si="9"/>
        <v>43792.000000000007</v>
      </c>
      <c r="E43" s="4">
        <f>'Interval Circuities'!E43</f>
        <v>1.400056122836252</v>
      </c>
      <c r="F43" s="4">
        <f t="shared" si="10"/>
        <v>40.622121550945707</v>
      </c>
      <c r="G43" s="4">
        <f t="shared" si="11"/>
        <v>27.081414367297135</v>
      </c>
      <c r="H43" s="4">
        <f t="shared" si="12"/>
        <v>2304.0534899056956</v>
      </c>
      <c r="I43" s="4">
        <f t="shared" si="13"/>
        <v>1946.0452814625608</v>
      </c>
      <c r="J43" s="18">
        <v>955.78454299999999</v>
      </c>
      <c r="K43" s="15">
        <v>1860000</v>
      </c>
      <c r="L43" s="24">
        <f t="shared" si="14"/>
        <v>4483792.4222683245</v>
      </c>
      <c r="M43" s="24">
        <f t="shared" si="15"/>
        <v>1860000</v>
      </c>
      <c r="N43" s="21" t="s">
        <v>92</v>
      </c>
      <c r="O43" s="4">
        <f t="shared" si="16"/>
        <v>727.9443940536712</v>
      </c>
      <c r="P43" s="15">
        <v>695758</v>
      </c>
      <c r="Q43" s="24">
        <f t="shared" si="17"/>
        <v>1677222.8215766482</v>
      </c>
      <c r="R43" s="15">
        <f t="shared" si="18"/>
        <v>695758</v>
      </c>
    </row>
    <row r="44" spans="1:18">
      <c r="A44" s="20" t="s">
        <v>55</v>
      </c>
      <c r="B44" s="4">
        <f>'2010-10'!B44</f>
        <v>78.084999999999994</v>
      </c>
      <c r="C44" s="4">
        <f>'2010-10'!C44</f>
        <v>86.658249999999995</v>
      </c>
      <c r="D44" s="18">
        <f t="shared" si="9"/>
        <v>57772.166666666664</v>
      </c>
      <c r="E44" s="4">
        <f>'Interval Circuities'!E44</f>
        <v>1.3815334547515212</v>
      </c>
      <c r="F44" s="4">
        <f t="shared" si="10"/>
        <v>56.520527774004677</v>
      </c>
      <c r="G44" s="4">
        <f t="shared" si="11"/>
        <v>37.680351849336446</v>
      </c>
      <c r="H44" s="4">
        <f t="shared" si="12"/>
        <v>4460.4612584040233</v>
      </c>
      <c r="I44" s="4">
        <f t="shared" si="13"/>
        <v>1631.618994212552</v>
      </c>
      <c r="J44" s="18">
        <v>597.56597799999997</v>
      </c>
      <c r="K44" s="15">
        <v>975000</v>
      </c>
      <c r="L44" s="24">
        <f t="shared" si="14"/>
        <v>7277773.3121612268</v>
      </c>
      <c r="M44" s="24">
        <f t="shared" si="15"/>
        <v>975000</v>
      </c>
      <c r="N44" s="21" t="s">
        <v>92</v>
      </c>
      <c r="O44" s="4">
        <f t="shared" si="16"/>
        <v>1202.6186671557798</v>
      </c>
      <c r="P44" s="15">
        <f>563242+155402</f>
        <v>718644</v>
      </c>
      <c r="Q44" s="24">
        <f t="shared" si="17"/>
        <v>5364233.9734818386</v>
      </c>
      <c r="R44" s="15">
        <f t="shared" si="18"/>
        <v>718644</v>
      </c>
    </row>
    <row r="45" spans="1:18">
      <c r="A45" s="20" t="s">
        <v>68</v>
      </c>
      <c r="B45" s="4">
        <f>'2010-10'!B45</f>
        <v>64.078000000000003</v>
      </c>
      <c r="C45" s="4">
        <f>'2010-10'!C45</f>
        <v>74.422249999999991</v>
      </c>
      <c r="D45" s="18">
        <f t="shared" si="9"/>
        <v>49614.833333333321</v>
      </c>
      <c r="E45" s="4">
        <f>'Interval Circuities'!E45</f>
        <v>1.3117239067101567</v>
      </c>
      <c r="F45" s="4">
        <f t="shared" si="10"/>
        <v>48.850218915891809</v>
      </c>
      <c r="G45" s="4">
        <f t="shared" si="11"/>
        <v>32.566812610594539</v>
      </c>
      <c r="H45" s="4">
        <f t="shared" si="12"/>
        <v>3331.9646346177119</v>
      </c>
      <c r="I45" s="4">
        <f t="shared" si="13"/>
        <v>1373.6608426756356</v>
      </c>
      <c r="J45" s="18">
        <v>1055.5735119999999</v>
      </c>
      <c r="K45" s="15">
        <v>1450000</v>
      </c>
      <c r="L45" s="24">
        <f t="shared" si="14"/>
        <v>4576989.3477543825</v>
      </c>
      <c r="M45" s="24">
        <f t="shared" si="15"/>
        <v>1450000</v>
      </c>
      <c r="N45" s="21" t="s">
        <v>92</v>
      </c>
      <c r="O45" s="4">
        <f t="shared" si="16"/>
        <v>697.12529883944273</v>
      </c>
      <c r="P45" s="15">
        <v>735867</v>
      </c>
      <c r="Q45" s="24">
        <f t="shared" si="17"/>
        <v>2322796.841630327</v>
      </c>
      <c r="R45" s="15">
        <f t="shared" si="18"/>
        <v>735867</v>
      </c>
    </row>
    <row r="46" spans="1:18">
      <c r="A46" s="20" t="s">
        <v>69</v>
      </c>
      <c r="B46" s="4">
        <f>'2010-10'!B46</f>
        <v>60.495750000000008</v>
      </c>
      <c r="C46" s="4">
        <f>'2010-10'!C46</f>
        <v>69.672750000000008</v>
      </c>
      <c r="D46" s="18">
        <f t="shared" si="9"/>
        <v>46448.5</v>
      </c>
      <c r="E46" s="4">
        <f>'Interval Circuities'!E46</f>
        <v>1.4002313458230131</v>
      </c>
      <c r="F46" s="4">
        <f t="shared" si="10"/>
        <v>43.204110649617299</v>
      </c>
      <c r="G46" s="4">
        <f t="shared" si="11"/>
        <v>28.802740433078199</v>
      </c>
      <c r="H46" s="4">
        <f t="shared" si="12"/>
        <v>2606.2585312737401</v>
      </c>
      <c r="I46" s="4">
        <f t="shared" si="13"/>
        <v>1455.9905696507528</v>
      </c>
      <c r="J46" s="18">
        <v>2026.112024</v>
      </c>
      <c r="K46" s="15">
        <v>2950000</v>
      </c>
      <c r="L46" s="24">
        <f t="shared" si="14"/>
        <v>3794687.8436063873</v>
      </c>
      <c r="M46" s="24">
        <f t="shared" si="15"/>
        <v>2950000</v>
      </c>
      <c r="N46" s="21" t="s">
        <v>92</v>
      </c>
      <c r="O46" s="4">
        <f t="shared" si="16"/>
        <v>586.57319334876024</v>
      </c>
      <c r="P46" s="15">
        <v>1188463</v>
      </c>
      <c r="Q46" s="24">
        <f t="shared" si="17"/>
        <v>1528761.3893816874</v>
      </c>
      <c r="R46" s="15">
        <f t="shared" si="18"/>
        <v>1188463</v>
      </c>
    </row>
    <row r="47" spans="1:18" ht="16">
      <c r="A47" s="20" t="s">
        <v>114</v>
      </c>
      <c r="B47" s="4">
        <f>'2010-10'!B47</f>
        <v>53.250750000000011</v>
      </c>
      <c r="C47" s="4">
        <f>'2010-10'!C47</f>
        <v>64.118250000000003</v>
      </c>
      <c r="D47" s="18">
        <f t="shared" si="9"/>
        <v>42745.5</v>
      </c>
      <c r="E47" s="4">
        <f>'Interval Circuities'!E47</f>
        <v>1.4139365512475086</v>
      </c>
      <c r="F47" s="4">
        <f t="shared" si="10"/>
        <v>37.66134339834214</v>
      </c>
      <c r="G47" s="4">
        <f t="shared" si="11"/>
        <v>25.107562265561427</v>
      </c>
      <c r="H47" s="4">
        <f t="shared" si="12"/>
        <v>1980.4275967572678</v>
      </c>
      <c r="I47" s="4">
        <f t="shared" si="13"/>
        <v>4044.244551759617</v>
      </c>
      <c r="J47" s="18">
        <v>1107.747057</v>
      </c>
      <c r="K47" s="15">
        <v>4480000</v>
      </c>
      <c r="L47" s="24">
        <f t="shared" si="14"/>
        <v>8009333.518339972</v>
      </c>
      <c r="M47" s="24">
        <f t="shared" si="15"/>
        <v>4480000</v>
      </c>
      <c r="N47" s="21" t="s">
        <v>92</v>
      </c>
      <c r="O47" s="4">
        <f t="shared" si="16"/>
        <v>1773.2504795090599</v>
      </c>
      <c r="P47" s="15">
        <v>1964313</v>
      </c>
      <c r="Q47" s="24">
        <f t="shared" si="17"/>
        <v>3511794.1855828003</v>
      </c>
      <c r="R47" s="15">
        <f t="shared" si="18"/>
        <v>1964313</v>
      </c>
    </row>
    <row r="48" spans="1:18" ht="16">
      <c r="A48" s="20" t="s">
        <v>72</v>
      </c>
      <c r="B48" s="4">
        <f>'2010-10'!B48</f>
        <v>63.71575</v>
      </c>
      <c r="C48" s="4">
        <f>'2010-10'!C48</f>
        <v>74.382000000000005</v>
      </c>
      <c r="D48" s="18">
        <f t="shared" si="9"/>
        <v>49588</v>
      </c>
      <c r="E48" s="4">
        <f>'Interval Circuities'!E48</f>
        <v>1.4014142336739903</v>
      </c>
      <c r="F48" s="4">
        <f t="shared" si="10"/>
        <v>45.465322435723266</v>
      </c>
      <c r="G48" s="4">
        <f t="shared" si="11"/>
        <v>30.310214957148844</v>
      </c>
      <c r="H48" s="4">
        <f t="shared" si="12"/>
        <v>2886.2098559455703</v>
      </c>
      <c r="I48" s="4">
        <f t="shared" si="13"/>
        <v>2530.8612515940731</v>
      </c>
      <c r="J48" s="18">
        <v>673.68371100000002</v>
      </c>
      <c r="K48" s="15">
        <v>1705000</v>
      </c>
      <c r="L48" s="24">
        <f t="shared" si="14"/>
        <v>7304596.6883815555</v>
      </c>
      <c r="M48" s="24">
        <f t="shared" si="15"/>
        <v>1705000</v>
      </c>
      <c r="N48" s="21" t="s">
        <v>92</v>
      </c>
      <c r="O48" s="4">
        <f t="shared" si="16"/>
        <v>1384.3499327238446</v>
      </c>
      <c r="P48" s="15">
        <v>932614</v>
      </c>
      <c r="Q48" s="24">
        <f t="shared" si="17"/>
        <v>3995524.4199051475</v>
      </c>
      <c r="R48" s="15">
        <f t="shared" si="18"/>
        <v>932614</v>
      </c>
    </row>
    <row r="49" spans="1:18">
      <c r="A49" s="20" t="s">
        <v>56</v>
      </c>
      <c r="B49" s="4">
        <f>'2010-10'!B49</f>
        <v>52.928750000000001</v>
      </c>
      <c r="C49" s="4">
        <f>'2010-10'!C49</f>
        <v>63.23275000000001</v>
      </c>
      <c r="D49" s="18">
        <f t="shared" si="9"/>
        <v>42155.166666666672</v>
      </c>
      <c r="E49" s="4">
        <f>'Interval Circuities'!E49</f>
        <v>1.4364536820651199</v>
      </c>
      <c r="F49" s="4">
        <f t="shared" si="10"/>
        <v>36.846819818030539</v>
      </c>
      <c r="G49" s="4">
        <f t="shared" si="11"/>
        <v>24.564546545353693</v>
      </c>
      <c r="H49" s="4">
        <f t="shared" si="12"/>
        <v>1895.6902476803307</v>
      </c>
      <c r="I49" s="4">
        <f t="shared" si="13"/>
        <v>1255.1211285274092</v>
      </c>
      <c r="J49" s="18">
        <v>2469.8811369999999</v>
      </c>
      <c r="K49" s="15">
        <v>3100000</v>
      </c>
      <c r="L49" s="24">
        <f t="shared" si="14"/>
        <v>2379320.8830069406</v>
      </c>
      <c r="M49" s="24">
        <f t="shared" si="15"/>
        <v>2379320.8830069406</v>
      </c>
      <c r="N49" s="21" t="s">
        <v>92</v>
      </c>
      <c r="O49" s="4">
        <f t="shared" si="16"/>
        <v>637.55537722461668</v>
      </c>
      <c r="P49" s="15">
        <v>1574686</v>
      </c>
      <c r="Q49" s="24">
        <f t="shared" si="17"/>
        <v>1208607.5109608602</v>
      </c>
      <c r="R49" s="15">
        <f t="shared" si="18"/>
        <v>1208607.5109608602</v>
      </c>
    </row>
    <row r="50" spans="1:18">
      <c r="A50" s="20" t="s">
        <v>76</v>
      </c>
      <c r="B50" s="4">
        <f>'2010-10'!B50</f>
        <v>60.375000000000007</v>
      </c>
      <c r="C50" s="4">
        <f>'2010-10'!C50</f>
        <v>66.814999999999998</v>
      </c>
      <c r="D50" s="18">
        <f t="shared" si="9"/>
        <v>44543.333333333328</v>
      </c>
      <c r="E50" s="4">
        <f>'Interval Circuities'!E50</f>
        <v>1.2494539986202935</v>
      </c>
      <c r="F50" s="4">
        <f t="shared" si="10"/>
        <v>48.321106712747287</v>
      </c>
      <c r="G50" s="4">
        <f t="shared" si="11"/>
        <v>32.214071141831525</v>
      </c>
      <c r="H50" s="4">
        <f t="shared" si="12"/>
        <v>3260.1764022239404</v>
      </c>
      <c r="I50" s="4">
        <f t="shared" si="13"/>
        <v>1874.9988406660766</v>
      </c>
      <c r="J50" s="18">
        <v>2890.6684540000001</v>
      </c>
      <c r="K50" s="15">
        <v>5420000</v>
      </c>
      <c r="L50" s="24">
        <f t="shared" si="14"/>
        <v>6112826.9745367886</v>
      </c>
      <c r="M50" s="24">
        <f t="shared" si="15"/>
        <v>5420000</v>
      </c>
      <c r="N50" s="21" t="s">
        <v>92</v>
      </c>
      <c r="O50" s="4">
        <f t="shared" si="16"/>
        <v>693.05838143691869</v>
      </c>
      <c r="P50" s="15">
        <v>2003402</v>
      </c>
      <c r="Q50" s="24">
        <f t="shared" si="17"/>
        <v>2259492.580524161</v>
      </c>
      <c r="R50" s="15">
        <f t="shared" si="18"/>
        <v>2003402</v>
      </c>
    </row>
    <row r="51" spans="1:18">
      <c r="A51" s="20" t="s">
        <v>57</v>
      </c>
      <c r="B51" s="4">
        <f>'2010-10'!B51</f>
        <v>59.771250000000002</v>
      </c>
      <c r="C51" s="4">
        <f>'2010-10'!C51</f>
        <v>67.539500000000004</v>
      </c>
      <c r="D51" s="18">
        <f t="shared" si="9"/>
        <v>45026.333333333336</v>
      </c>
      <c r="E51" s="4">
        <f>'Interval Circuities'!E51</f>
        <v>1.3484888260380745</v>
      </c>
      <c r="F51" s="4">
        <f t="shared" si="10"/>
        <v>44.324616449074206</v>
      </c>
      <c r="G51" s="4">
        <f t="shared" si="11"/>
        <v>29.549744299382802</v>
      </c>
      <c r="H51" s="4">
        <f t="shared" si="12"/>
        <v>2743.1990838472793</v>
      </c>
      <c r="I51" s="4">
        <f t="shared" si="13"/>
        <v>1031.684545690754</v>
      </c>
      <c r="J51" s="18">
        <v>2146.9741009999998</v>
      </c>
      <c r="K51" s="15">
        <v>2215000</v>
      </c>
      <c r="L51" s="24">
        <f t="shared" si="14"/>
        <v>2830116.100558273</v>
      </c>
      <c r="M51" s="24">
        <f t="shared" si="15"/>
        <v>2215000</v>
      </c>
      <c r="N51" s="21" t="s">
        <v>92</v>
      </c>
      <c r="O51" s="4">
        <f t="shared" si="16"/>
        <v>587.96843399835689</v>
      </c>
      <c r="P51" s="15">
        <v>1262353</v>
      </c>
      <c r="Q51" s="24">
        <f t="shared" si="17"/>
        <v>1612914.469475412</v>
      </c>
      <c r="R51" s="15">
        <f t="shared" si="18"/>
        <v>1262353</v>
      </c>
    </row>
    <row r="52" spans="1:18">
      <c r="A52" s="20" t="s">
        <v>71</v>
      </c>
      <c r="B52" s="4">
        <f>'2010-10'!B52</f>
        <v>61.099500000000006</v>
      </c>
      <c r="C52" s="4">
        <f>'2010-10'!C52</f>
        <v>68.384749999999997</v>
      </c>
      <c r="D52" s="18">
        <f t="shared" si="9"/>
        <v>45589.833333333328</v>
      </c>
      <c r="E52" s="4">
        <f>'Interval Circuities'!E52</f>
        <v>1.2770054812680482</v>
      </c>
      <c r="F52" s="4">
        <f t="shared" si="10"/>
        <v>47.845918358415403</v>
      </c>
      <c r="G52" s="4">
        <f t="shared" si="11"/>
        <v>31.897278905610268</v>
      </c>
      <c r="H52" s="4">
        <f t="shared" si="12"/>
        <v>3196.3707247057559</v>
      </c>
      <c r="I52" s="4">
        <f t="shared" si="13"/>
        <v>1116.5255971867098</v>
      </c>
      <c r="J52" s="18">
        <v>2077.87444</v>
      </c>
      <c r="K52" s="15">
        <v>2320000</v>
      </c>
      <c r="L52" s="24">
        <f t="shared" si="14"/>
        <v>3568829.7322322107</v>
      </c>
      <c r="M52" s="24">
        <f t="shared" si="15"/>
        <v>2320000</v>
      </c>
      <c r="N52" s="21" t="s">
        <v>92</v>
      </c>
      <c r="O52" s="4">
        <f t="shared" si="16"/>
        <v>483.81316052956498</v>
      </c>
      <c r="P52" s="15">
        <v>1005303</v>
      </c>
      <c r="Q52" s="24">
        <f t="shared" si="17"/>
        <v>1546446.2225440678</v>
      </c>
      <c r="R52" s="15">
        <f t="shared" si="18"/>
        <v>1005303</v>
      </c>
    </row>
    <row r="53" spans="1:18" ht="16">
      <c r="A53" s="20" t="s">
        <v>117</v>
      </c>
      <c r="B53" s="4">
        <f>'2010-10'!B53</f>
        <v>57.074500000000008</v>
      </c>
      <c r="C53" s="4">
        <f>'2010-10'!C53</f>
        <v>69.189749999999989</v>
      </c>
      <c r="D53" s="18">
        <f t="shared" si="9"/>
        <v>46126.499999999993</v>
      </c>
      <c r="E53" s="4">
        <f>'Interval Circuities'!E53</f>
        <v>1.2903552897310631</v>
      </c>
      <c r="F53" s="4">
        <f t="shared" si="10"/>
        <v>44.231616248805025</v>
      </c>
      <c r="G53" s="4">
        <f t="shared" si="11"/>
        <v>29.487744165870016</v>
      </c>
      <c r="H53" s="4">
        <f t="shared" si="12"/>
        <v>2731.699811201403</v>
      </c>
      <c r="I53" s="4">
        <f t="shared" si="13"/>
        <v>1445.2558415588917</v>
      </c>
      <c r="J53" s="18">
        <v>2996.0093400000001</v>
      </c>
      <c r="K53" s="15">
        <v>4330000</v>
      </c>
      <c r="L53" s="24">
        <f t="shared" si="14"/>
        <v>3948005.1095241494</v>
      </c>
      <c r="M53" s="24">
        <f t="shared" si="15"/>
        <v>3948005.1095241494</v>
      </c>
      <c r="N53" s="21" t="s">
        <v>92</v>
      </c>
      <c r="O53" s="4">
        <f t="shared" si="16"/>
        <v>824.50343762947011</v>
      </c>
      <c r="P53" s="15">
        <v>2470220</v>
      </c>
      <c r="Q53" s="24">
        <f t="shared" si="17"/>
        <v>2252295.8849073313</v>
      </c>
      <c r="R53" s="15">
        <f t="shared" si="18"/>
        <v>2252295.8849073313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E3" sqref="E3:E53"/>
    </sheetView>
  </sheetViews>
  <sheetFormatPr baseColWidth="10" defaultColWidth="11.5" defaultRowHeight="14" x14ac:dyDescent="0"/>
  <cols>
    <col min="4" max="4" width="11.5" style="20"/>
  </cols>
  <sheetData>
    <row r="1" spans="1:18" ht="56">
      <c r="A1" s="20">
        <f>5/6</f>
        <v>0.83333333333333337</v>
      </c>
      <c r="B1" s="1" t="s">
        <v>60</v>
      </c>
      <c r="C1" s="1" t="s">
        <v>61</v>
      </c>
      <c r="D1" s="1" t="s">
        <v>167</v>
      </c>
      <c r="E1" s="7" t="s">
        <v>91</v>
      </c>
      <c r="F1" s="1" t="s">
        <v>21</v>
      </c>
      <c r="G1" s="1" t="s">
        <v>20</v>
      </c>
      <c r="H1" s="1" t="s">
        <v>131</v>
      </c>
      <c r="I1" s="1" t="s">
        <v>25</v>
      </c>
      <c r="J1" s="8" t="s">
        <v>84</v>
      </c>
      <c r="K1" s="25" t="s">
        <v>79</v>
      </c>
      <c r="L1" s="23" t="s">
        <v>77</v>
      </c>
      <c r="M1" s="29" t="s">
        <v>104</v>
      </c>
      <c r="N1" s="21" t="s">
        <v>92</v>
      </c>
      <c r="O1" s="1" t="s">
        <v>90</v>
      </c>
      <c r="P1" s="1" t="s">
        <v>88</v>
      </c>
      <c r="Q1" s="23" t="s">
        <v>89</v>
      </c>
      <c r="R1" s="20" t="s">
        <v>103</v>
      </c>
    </row>
    <row r="2" spans="1:18" ht="16">
      <c r="A2" s="20" t="s">
        <v>16</v>
      </c>
      <c r="B2" s="20" t="s">
        <v>18</v>
      </c>
      <c r="C2" s="20" t="s">
        <v>122</v>
      </c>
      <c r="E2" s="20" t="s">
        <v>115</v>
      </c>
      <c r="F2" s="20" t="s">
        <v>17</v>
      </c>
      <c r="G2" s="20" t="s">
        <v>19</v>
      </c>
      <c r="H2" s="20" t="s">
        <v>132</v>
      </c>
      <c r="I2" s="20" t="s">
        <v>24</v>
      </c>
      <c r="J2" s="9" t="s">
        <v>16</v>
      </c>
      <c r="K2" s="15" t="s">
        <v>123</v>
      </c>
      <c r="L2" s="24" t="s">
        <v>129</v>
      </c>
      <c r="M2" s="24" t="s">
        <v>124</v>
      </c>
      <c r="N2" s="21" t="s">
        <v>92</v>
      </c>
      <c r="O2" s="20" t="s">
        <v>125</v>
      </c>
      <c r="P2" s="20" t="s">
        <v>126</v>
      </c>
      <c r="Q2" s="24" t="s">
        <v>128</v>
      </c>
      <c r="R2" s="20" t="s">
        <v>127</v>
      </c>
    </row>
    <row r="3" spans="1:18">
      <c r="A3" s="20" t="s">
        <v>26</v>
      </c>
      <c r="B3" s="4">
        <f>'2010-10'!B3</f>
        <v>57.436750000000011</v>
      </c>
      <c r="C3" s="4">
        <f>'2010-10'!C3</f>
        <v>68.143250000000009</v>
      </c>
      <c r="D3" s="18">
        <f>C3*$A$1*1000</f>
        <v>56786.041666666679</v>
      </c>
      <c r="E3" s="4">
        <f>'Interval Circuities'!F3</f>
        <v>1.2210426501549614</v>
      </c>
      <c r="F3" s="4">
        <f t="shared" ref="F3:F34" si="0">B3/E3</f>
        <v>47.039102190829098</v>
      </c>
      <c r="G3" s="4">
        <f t="shared" ref="G3:G34" si="1">F3*$A$1</f>
        <v>39.199251825690915</v>
      </c>
      <c r="H3" s="4">
        <f t="shared" ref="H3:H34" si="2">PI()*G3^2</f>
        <v>4827.3126609919909</v>
      </c>
      <c r="I3" s="4">
        <f t="shared" ref="I3:I34" si="3">K3/J3</f>
        <v>873.48977839674285</v>
      </c>
      <c r="J3" s="9">
        <v>5083.0589090000003</v>
      </c>
      <c r="K3" s="15">
        <v>4440000</v>
      </c>
      <c r="L3" s="24">
        <f t="shared" ref="L3:L34" si="4">H3*I3</f>
        <v>4216608.2665016856</v>
      </c>
      <c r="M3" s="24">
        <f t="shared" ref="M3:M34" si="5">MIN(K3,L3)</f>
        <v>4216608.2665016856</v>
      </c>
      <c r="N3" s="21" t="s">
        <v>92</v>
      </c>
      <c r="O3" s="4">
        <f t="shared" ref="O3:O34" si="6">P3/J3</f>
        <v>436.36913120811522</v>
      </c>
      <c r="P3" s="15">
        <v>2218090</v>
      </c>
      <c r="Q3" s="24">
        <f t="shared" ref="Q3:Q34" si="7">H3*O3</f>
        <v>2106490.2319470099</v>
      </c>
      <c r="R3" s="15">
        <f t="shared" ref="R3:R34" si="8">MIN(Q3,P3)</f>
        <v>2106490.2319470099</v>
      </c>
    </row>
    <row r="4" spans="1:18">
      <c r="A4" s="20" t="s">
        <v>27</v>
      </c>
      <c r="B4" s="4">
        <f>'2010-10'!B4</f>
        <v>62.91075</v>
      </c>
      <c r="C4" s="4">
        <f>'2010-10'!C4</f>
        <v>76.756750000000011</v>
      </c>
      <c r="D4" s="18">
        <f t="shared" ref="D4:D53" si="9">C4*$A$1*1000</f>
        <v>63963.958333333343</v>
      </c>
      <c r="E4" s="4">
        <f>'Interval Circuities'!F4</f>
        <v>1.2879992795041273</v>
      </c>
      <c r="F4" s="4">
        <f t="shared" si="0"/>
        <v>48.843777322779481</v>
      </c>
      <c r="G4" s="4">
        <f t="shared" si="1"/>
        <v>40.703147768982902</v>
      </c>
      <c r="H4" s="4">
        <f t="shared" si="2"/>
        <v>5204.8218111172955</v>
      </c>
      <c r="I4" s="4">
        <f t="shared" si="3"/>
        <v>1256.1525913969799</v>
      </c>
      <c r="J4" s="9">
        <v>823.94448499999999</v>
      </c>
      <c r="K4" s="15">
        <v>1035000</v>
      </c>
      <c r="L4" s="24">
        <f t="shared" si="4"/>
        <v>6538050.4057945134</v>
      </c>
      <c r="M4" s="24">
        <f t="shared" si="5"/>
        <v>1035000</v>
      </c>
      <c r="N4" s="21" t="s">
        <v>92</v>
      </c>
      <c r="O4" s="4">
        <f t="shared" si="6"/>
        <v>796.23932430350578</v>
      </c>
      <c r="P4" s="15">
        <v>656057</v>
      </c>
      <c r="Q4" s="24">
        <f t="shared" si="7"/>
        <v>4144283.8020041846</v>
      </c>
      <c r="R4" s="15">
        <f t="shared" si="8"/>
        <v>656057</v>
      </c>
    </row>
    <row r="5" spans="1:18" ht="16">
      <c r="A5" s="20" t="s">
        <v>118</v>
      </c>
      <c r="B5" s="4">
        <f>'2010-10'!B5</f>
        <v>59.811500000000002</v>
      </c>
      <c r="C5" s="4">
        <f>'2010-10'!C5</f>
        <v>68.626249999999999</v>
      </c>
      <c r="D5" s="18">
        <f t="shared" si="9"/>
        <v>57188.541666666664</v>
      </c>
      <c r="E5" s="4">
        <f>'Interval Circuities'!F5</f>
        <v>1.2338763577562017</v>
      </c>
      <c r="F5" s="4">
        <f t="shared" si="0"/>
        <v>48.474467983783178</v>
      </c>
      <c r="G5" s="4">
        <f t="shared" si="1"/>
        <v>40.395389986485981</v>
      </c>
      <c r="H5" s="4">
        <f t="shared" si="2"/>
        <v>5126.4117232541912</v>
      </c>
      <c r="I5" s="4">
        <f t="shared" si="3"/>
        <v>1312.0237170817477</v>
      </c>
      <c r="J5" s="9">
        <v>1768.260718</v>
      </c>
      <c r="K5" s="15">
        <v>2320000</v>
      </c>
      <c r="L5" s="24">
        <f t="shared" si="4"/>
        <v>6725973.7644354114</v>
      </c>
      <c r="M5" s="24">
        <f t="shared" si="5"/>
        <v>2320000</v>
      </c>
      <c r="N5" s="21" t="s">
        <v>92</v>
      </c>
      <c r="O5" s="4">
        <f t="shared" si="6"/>
        <v>634.47657270187688</v>
      </c>
      <c r="P5" s="15">
        <v>1121920</v>
      </c>
      <c r="Q5" s="24">
        <f t="shared" si="7"/>
        <v>3252588.1404290418</v>
      </c>
      <c r="R5" s="15">
        <f t="shared" si="8"/>
        <v>1121920</v>
      </c>
    </row>
    <row r="6" spans="1:18">
      <c r="A6" s="20" t="s">
        <v>29</v>
      </c>
      <c r="B6" s="4">
        <f>'2010-10'!B6</f>
        <v>53.613</v>
      </c>
      <c r="C6" s="4">
        <f>'2010-10'!C6</f>
        <v>62.8705</v>
      </c>
      <c r="D6" s="18">
        <f t="shared" si="9"/>
        <v>52392.083333333328</v>
      </c>
      <c r="E6" s="4">
        <f>'Interval Circuities'!F6</f>
        <v>1.1956866082763671</v>
      </c>
      <c r="F6" s="4">
        <f t="shared" si="0"/>
        <v>44.838672298325235</v>
      </c>
      <c r="G6" s="4">
        <f t="shared" si="1"/>
        <v>37.365560248604368</v>
      </c>
      <c r="H6" s="4">
        <f t="shared" si="2"/>
        <v>4386.244830253032</v>
      </c>
      <c r="I6" s="4">
        <f t="shared" si="3"/>
        <v>934.02366191942531</v>
      </c>
      <c r="J6" s="9">
        <v>4496.6740900000004</v>
      </c>
      <c r="K6" s="15">
        <v>4200000</v>
      </c>
      <c r="L6" s="24">
        <f t="shared" si="4"/>
        <v>4096856.4584280849</v>
      </c>
      <c r="M6" s="24">
        <f t="shared" si="5"/>
        <v>4096856.4584280849</v>
      </c>
      <c r="N6" s="21" t="s">
        <v>92</v>
      </c>
      <c r="O6" s="4">
        <f t="shared" si="6"/>
        <v>645.53199584895856</v>
      </c>
      <c r="P6" s="15">
        <f>2341938+286024+61431+22699+190655</f>
        <v>2902747</v>
      </c>
      <c r="Q6" s="24">
        <f t="shared" si="7"/>
        <v>2831461.3795554163</v>
      </c>
      <c r="R6" s="15">
        <f t="shared" si="8"/>
        <v>2831461.3795554163</v>
      </c>
    </row>
    <row r="7" spans="1:18">
      <c r="A7" s="20" t="s">
        <v>30</v>
      </c>
      <c r="B7" s="4">
        <f>'2010-10'!B7</f>
        <v>63.434000000000012</v>
      </c>
      <c r="C7" s="4">
        <f>'2010-10'!C7</f>
        <v>70.236249999999998</v>
      </c>
      <c r="D7" s="18">
        <f t="shared" si="9"/>
        <v>58530.208333333336</v>
      </c>
      <c r="E7" s="4">
        <f>'Interval Circuities'!F7</f>
        <v>1.1803913897988716</v>
      </c>
      <c r="F7" s="4">
        <f t="shared" si="0"/>
        <v>53.739802364035043</v>
      </c>
      <c r="G7" s="4">
        <f t="shared" si="1"/>
        <v>44.783168636695869</v>
      </c>
      <c r="H7" s="4">
        <f t="shared" si="2"/>
        <v>6300.56520451506</v>
      </c>
      <c r="I7" s="4">
        <f t="shared" si="3"/>
        <v>1184.5434204235628</v>
      </c>
      <c r="J7" s="9">
        <v>949.73302000000001</v>
      </c>
      <c r="K7" s="15">
        <v>1125000</v>
      </c>
      <c r="L7" s="24">
        <f t="shared" si="4"/>
        <v>7463293.0579579538</v>
      </c>
      <c r="M7" s="24">
        <f t="shared" si="5"/>
        <v>1125000</v>
      </c>
      <c r="N7" s="21" t="s">
        <v>92</v>
      </c>
      <c r="O7" s="4">
        <f t="shared" si="6"/>
        <v>494.17361523346847</v>
      </c>
      <c r="P7" s="15">
        <v>469333</v>
      </c>
      <c r="Q7" s="24">
        <f t="shared" si="7"/>
        <v>3113573.0851294049</v>
      </c>
      <c r="R7" s="15">
        <f t="shared" si="8"/>
        <v>469333</v>
      </c>
    </row>
    <row r="8" spans="1:18">
      <c r="A8" s="20" t="s">
        <v>31</v>
      </c>
      <c r="B8" s="4">
        <f>'2010-10'!B8</f>
        <v>61.2605</v>
      </c>
      <c r="C8" s="4">
        <f>'2010-10'!C8</f>
        <v>70.799749999999989</v>
      </c>
      <c r="D8" s="18">
        <f t="shared" si="9"/>
        <v>58999.791666666657</v>
      </c>
      <c r="E8" s="4">
        <f>'Interval Circuities'!F8</f>
        <v>1.219339743976918</v>
      </c>
      <c r="F8" s="4">
        <f t="shared" si="0"/>
        <v>50.240714536374249</v>
      </c>
      <c r="G8" s="4">
        <f t="shared" si="1"/>
        <v>41.867262113645211</v>
      </c>
      <c r="H8" s="4">
        <f t="shared" si="2"/>
        <v>5506.7960907773186</v>
      </c>
      <c r="I8" s="4">
        <f t="shared" si="3"/>
        <v>949.91537958488948</v>
      </c>
      <c r="J8" s="9">
        <v>1126.4161240000001</v>
      </c>
      <c r="K8" s="15">
        <v>1070000</v>
      </c>
      <c r="L8" s="24">
        <f t="shared" si="4"/>
        <v>5230990.2988673225</v>
      </c>
      <c r="M8" s="24">
        <f t="shared" si="5"/>
        <v>1070000</v>
      </c>
      <c r="N8" s="21" t="s">
        <v>92</v>
      </c>
      <c r="O8" s="4">
        <f t="shared" si="6"/>
        <v>723.7920184459291</v>
      </c>
      <c r="P8" s="15">
        <v>815291</v>
      </c>
      <c r="Q8" s="24">
        <f t="shared" si="7"/>
        <v>3985775.0577138672</v>
      </c>
      <c r="R8" s="15">
        <f t="shared" si="8"/>
        <v>815291</v>
      </c>
    </row>
    <row r="9" spans="1:18">
      <c r="A9" s="20" t="s">
        <v>32</v>
      </c>
      <c r="B9" s="4">
        <f>'2010-10'!B9</f>
        <v>49.265999999999998</v>
      </c>
      <c r="C9" s="4">
        <f>'2010-10'!C9</f>
        <v>60.495750000000008</v>
      </c>
      <c r="D9" s="18">
        <f t="shared" si="9"/>
        <v>50413.125000000007</v>
      </c>
      <c r="E9" s="4">
        <f>'Interval Circuities'!F9</f>
        <v>1.2018060236875545</v>
      </c>
      <c r="F9" s="4">
        <f t="shared" si="0"/>
        <v>40.993304267884227</v>
      </c>
      <c r="G9" s="4">
        <f t="shared" si="1"/>
        <v>34.161086889903522</v>
      </c>
      <c r="H9" s="4">
        <f t="shared" si="2"/>
        <v>3666.1753472078135</v>
      </c>
      <c r="I9" s="4">
        <f t="shared" si="3"/>
        <v>1535.0877689569375</v>
      </c>
      <c r="J9" s="9">
        <v>5498.0569649999998</v>
      </c>
      <c r="K9" s="15">
        <v>8440000</v>
      </c>
      <c r="L9" s="24">
        <f t="shared" si="4"/>
        <v>5627900.9343501683</v>
      </c>
      <c r="M9" s="24">
        <f t="shared" si="5"/>
        <v>5627900.9343501683</v>
      </c>
      <c r="N9" s="21" t="s">
        <v>92</v>
      </c>
      <c r="O9" s="4">
        <f t="shared" si="6"/>
        <v>761.20455401647519</v>
      </c>
      <c r="P9" s="15">
        <v>4185146</v>
      </c>
      <c r="Q9" s="24">
        <f t="shared" si="7"/>
        <v>2790709.3701175195</v>
      </c>
      <c r="R9" s="15">
        <f t="shared" si="8"/>
        <v>2790709.3701175195</v>
      </c>
    </row>
    <row r="10" spans="1:18">
      <c r="A10" s="20" t="s">
        <v>33</v>
      </c>
      <c r="B10" s="4">
        <f>'2010-10'!B10</f>
        <v>66.895499999999998</v>
      </c>
      <c r="C10" s="4">
        <f>'2010-10'!C10</f>
        <v>72.530500000000018</v>
      </c>
      <c r="D10" s="18">
        <f t="shared" si="9"/>
        <v>60442.08333333335</v>
      </c>
      <c r="E10" s="4">
        <f>'Interval Circuities'!F10</f>
        <v>1.2719049532677678</v>
      </c>
      <c r="F10" s="4">
        <f t="shared" si="0"/>
        <v>52.59473188474707</v>
      </c>
      <c r="G10" s="4">
        <f t="shared" si="1"/>
        <v>43.828943237289224</v>
      </c>
      <c r="H10" s="4">
        <f t="shared" si="2"/>
        <v>6034.9249227790488</v>
      </c>
      <c r="I10" s="4">
        <f t="shared" si="3"/>
        <v>959.84466122297908</v>
      </c>
      <c r="J10" s="9">
        <v>1739.864863</v>
      </c>
      <c r="K10" s="15">
        <v>1670000</v>
      </c>
      <c r="L10" s="24">
        <f t="shared" si="4"/>
        <v>5792590.4680109695</v>
      </c>
      <c r="M10" s="24">
        <f t="shared" si="5"/>
        <v>1670000</v>
      </c>
      <c r="N10" s="21" t="s">
        <v>92</v>
      </c>
      <c r="O10" s="4">
        <f t="shared" si="6"/>
        <v>544.468722913683</v>
      </c>
      <c r="P10" s="15">
        <v>947302</v>
      </c>
      <c r="Q10" s="24">
        <f t="shared" si="7"/>
        <v>3285827.8655854654</v>
      </c>
      <c r="R10" s="15">
        <f t="shared" si="8"/>
        <v>947302</v>
      </c>
    </row>
    <row r="11" spans="1:18">
      <c r="A11" s="20" t="s">
        <v>34</v>
      </c>
      <c r="B11" s="4">
        <f>'2010-10'!B11</f>
        <v>66.332000000000008</v>
      </c>
      <c r="C11" s="4">
        <f>'2010-10'!C11</f>
        <v>73.013500000000008</v>
      </c>
      <c r="D11" s="18">
        <f t="shared" si="9"/>
        <v>60844.583333333343</v>
      </c>
      <c r="E11" s="4">
        <f>'Interval Circuities'!F11</f>
        <v>1.1657850372312006</v>
      </c>
      <c r="F11" s="4">
        <f t="shared" si="0"/>
        <v>56.89899756951926</v>
      </c>
      <c r="G11" s="4">
        <f t="shared" si="1"/>
        <v>47.41583130793272</v>
      </c>
      <c r="H11" s="4">
        <f t="shared" si="2"/>
        <v>7063.1204251199315</v>
      </c>
      <c r="I11" s="4">
        <f t="shared" si="3"/>
        <v>1068.1935094485655</v>
      </c>
      <c r="J11" s="9">
        <v>1675.7263399999999</v>
      </c>
      <c r="K11" s="15">
        <v>1790000</v>
      </c>
      <c r="L11" s="24">
        <f t="shared" si="4"/>
        <v>7544779.3945667036</v>
      </c>
      <c r="M11" s="24">
        <f t="shared" si="5"/>
        <v>1790000</v>
      </c>
      <c r="N11" s="21" t="s">
        <v>92</v>
      </c>
      <c r="O11" s="4">
        <f t="shared" si="6"/>
        <v>567.00129210835223</v>
      </c>
      <c r="P11" s="15">
        <v>950139</v>
      </c>
      <c r="Q11" s="24">
        <f t="shared" si="7"/>
        <v>4004798.4073598953</v>
      </c>
      <c r="R11" s="15">
        <f t="shared" si="8"/>
        <v>950139</v>
      </c>
    </row>
    <row r="12" spans="1:18">
      <c r="A12" s="20" t="s">
        <v>35</v>
      </c>
      <c r="B12" s="4">
        <f>'2010-10'!B12</f>
        <v>73.174500000000009</v>
      </c>
      <c r="C12" s="4">
        <f>'2010-10'!C12</f>
        <v>79.775500000000008</v>
      </c>
      <c r="D12" s="18">
        <f t="shared" si="9"/>
        <v>66479.583333333343</v>
      </c>
      <c r="E12" s="4">
        <f>'Interval Circuities'!F12</f>
        <v>1.184989187914482</v>
      </c>
      <c r="F12" s="4">
        <f t="shared" si="0"/>
        <v>61.751196336890835</v>
      </c>
      <c r="G12" s="4">
        <f t="shared" si="1"/>
        <v>51.459330280742364</v>
      </c>
      <c r="H12" s="4">
        <f t="shared" si="2"/>
        <v>8319.1342395615975</v>
      </c>
      <c r="I12" s="4">
        <f t="shared" si="3"/>
        <v>1189.2536054091877</v>
      </c>
      <c r="J12" s="9">
        <v>1030.0578399999999</v>
      </c>
      <c r="K12" s="15">
        <v>1225000</v>
      </c>
      <c r="L12" s="24">
        <f t="shared" si="4"/>
        <v>9893560.3882816508</v>
      </c>
      <c r="M12" s="24">
        <f t="shared" si="5"/>
        <v>1225000</v>
      </c>
      <c r="N12" s="21" t="s">
        <v>92</v>
      </c>
      <c r="O12" s="4">
        <f t="shared" si="6"/>
        <v>769.83055631128445</v>
      </c>
      <c r="P12" s="15">
        <v>792970</v>
      </c>
      <c r="Q12" s="24">
        <f t="shared" si="7"/>
        <v>6404323.7396699591</v>
      </c>
      <c r="R12" s="15">
        <f t="shared" si="8"/>
        <v>792970</v>
      </c>
    </row>
    <row r="13" spans="1:18">
      <c r="A13" s="20" t="s">
        <v>62</v>
      </c>
      <c r="B13" s="4">
        <f>'2010-10'!B13</f>
        <v>53.894749999999995</v>
      </c>
      <c r="C13" s="4">
        <f>'2010-10'!C13</f>
        <v>63.393750000000004</v>
      </c>
      <c r="D13" s="18">
        <f t="shared" si="9"/>
        <v>52828.125000000007</v>
      </c>
      <c r="E13" s="4">
        <f>'Interval Circuities'!F13</f>
        <v>1.2464302544174806</v>
      </c>
      <c r="F13" s="4">
        <f t="shared" si="0"/>
        <v>43.239282590414753</v>
      </c>
      <c r="G13" s="4">
        <f t="shared" si="1"/>
        <v>36.032735492012293</v>
      </c>
      <c r="H13" s="4">
        <f t="shared" si="2"/>
        <v>4078.9120394697902</v>
      </c>
      <c r="I13" s="4">
        <f t="shared" si="3"/>
        <v>1219.7404531385341</v>
      </c>
      <c r="J13" s="9">
        <v>3644.2179059999999</v>
      </c>
      <c r="K13" s="15">
        <v>4445000</v>
      </c>
      <c r="L13" s="24">
        <f t="shared" si="4"/>
        <v>4975214.0193351042</v>
      </c>
      <c r="M13" s="24">
        <f t="shared" si="5"/>
        <v>4445000</v>
      </c>
      <c r="N13" s="21" t="s">
        <v>92</v>
      </c>
      <c r="O13" s="4">
        <f t="shared" si="6"/>
        <v>729.77414320404807</v>
      </c>
      <c r="P13" s="15">
        <v>2659456</v>
      </c>
      <c r="Q13" s="24">
        <f t="shared" si="7"/>
        <v>2976684.5388087425</v>
      </c>
      <c r="R13" s="15">
        <f t="shared" si="8"/>
        <v>2659456</v>
      </c>
    </row>
    <row r="14" spans="1:18">
      <c r="A14" s="20" t="s">
        <v>36</v>
      </c>
      <c r="B14" s="4">
        <f>'2010-10'!B14</f>
        <v>54.780250000000002</v>
      </c>
      <c r="C14" s="4">
        <f>'2010-10'!C14</f>
        <v>64.118250000000003</v>
      </c>
      <c r="D14" s="18">
        <f t="shared" si="9"/>
        <v>53431.875000000007</v>
      </c>
      <c r="E14" s="4">
        <f>'Interval Circuities'!F14</f>
        <v>1.3458448279862103</v>
      </c>
      <c r="F14" s="4">
        <f t="shared" si="0"/>
        <v>40.703243688180436</v>
      </c>
      <c r="G14" s="4">
        <f t="shared" si="1"/>
        <v>33.919369740150366</v>
      </c>
      <c r="H14" s="4">
        <f t="shared" si="2"/>
        <v>3614.4766264178211</v>
      </c>
      <c r="I14" s="4">
        <f t="shared" si="3"/>
        <v>1687.4292750883483</v>
      </c>
      <c r="J14" s="9">
        <v>1291.9059970000001</v>
      </c>
      <c r="K14" s="15">
        <v>2180000</v>
      </c>
      <c r="L14" s="24">
        <f t="shared" si="4"/>
        <v>6099173.6735400027</v>
      </c>
      <c r="M14" s="24">
        <f t="shared" si="5"/>
        <v>2180000</v>
      </c>
      <c r="N14" s="21" t="s">
        <v>92</v>
      </c>
      <c r="O14" s="4">
        <f t="shared" si="6"/>
        <v>885.41349189201105</v>
      </c>
      <c r="P14" s="15">
        <v>1143871</v>
      </c>
      <c r="Q14" s="24">
        <f t="shared" si="7"/>
        <v>3200306.371158659</v>
      </c>
      <c r="R14" s="15">
        <f t="shared" si="8"/>
        <v>1143871</v>
      </c>
    </row>
    <row r="15" spans="1:18">
      <c r="A15" s="20" t="s">
        <v>37</v>
      </c>
      <c r="B15" s="4">
        <f>'2010-10'!B15</f>
        <v>57.557500000000005</v>
      </c>
      <c r="C15" s="4">
        <f>'2010-10'!C15</f>
        <v>65.124499999999998</v>
      </c>
      <c r="D15" s="18">
        <f t="shared" si="9"/>
        <v>54270.416666666672</v>
      </c>
      <c r="E15" s="4">
        <f>'Interval Circuities'!F15</f>
        <v>1.1960712699174072</v>
      </c>
      <c r="F15" s="4">
        <f t="shared" si="0"/>
        <v>48.122132390969099</v>
      </c>
      <c r="G15" s="4">
        <f t="shared" si="1"/>
        <v>40.10177699247425</v>
      </c>
      <c r="H15" s="4">
        <f t="shared" si="2"/>
        <v>5052.1601362566444</v>
      </c>
      <c r="I15" s="4">
        <f t="shared" si="3"/>
        <v>1239.6159677445094</v>
      </c>
      <c r="J15" s="9">
        <v>3267.1408769999998</v>
      </c>
      <c r="K15" s="15">
        <v>4050000</v>
      </c>
      <c r="L15" s="24">
        <f t="shared" si="4"/>
        <v>6262738.3765060129</v>
      </c>
      <c r="M15" s="24">
        <f t="shared" si="5"/>
        <v>4050000</v>
      </c>
      <c r="N15" s="21" t="s">
        <v>92</v>
      </c>
      <c r="O15" s="4">
        <f t="shared" si="6"/>
        <v>521.88291359068933</v>
      </c>
      <c r="P15" s="15">
        <v>1705065</v>
      </c>
      <c r="Q15" s="24">
        <f t="shared" si="7"/>
        <v>2636636.0518363514</v>
      </c>
      <c r="R15" s="15">
        <f t="shared" si="8"/>
        <v>1705065</v>
      </c>
    </row>
    <row r="16" spans="1:18">
      <c r="A16" s="20" t="s">
        <v>80</v>
      </c>
      <c r="B16" s="4">
        <f>'2010-10'!B16</f>
        <v>72.650000000000006</v>
      </c>
      <c r="C16" s="4">
        <f>'2010-10'!C16</f>
        <v>79.78</v>
      </c>
      <c r="D16" s="18">
        <f t="shared" si="9"/>
        <v>66483.333333333328</v>
      </c>
      <c r="E16" s="4">
        <f>'Interval Circuities'!F16</f>
        <v>1.2372127864425393</v>
      </c>
      <c r="F16" s="4">
        <f t="shared" si="0"/>
        <v>58.720699297730818</v>
      </c>
      <c r="G16" s="4">
        <f t="shared" si="1"/>
        <v>48.933916081442348</v>
      </c>
      <c r="H16" s="4">
        <f t="shared" si="2"/>
        <v>7522.6320230690299</v>
      </c>
      <c r="I16" s="4">
        <f t="shared" si="3"/>
        <v>900.16542520051985</v>
      </c>
      <c r="J16" s="9">
        <v>666.54415200000005</v>
      </c>
      <c r="K16" s="15">
        <v>600000</v>
      </c>
      <c r="L16" s="24">
        <f t="shared" si="4"/>
        <v>6771613.2536729798</v>
      </c>
      <c r="M16" s="24">
        <f t="shared" si="5"/>
        <v>600000</v>
      </c>
      <c r="N16" s="21" t="s">
        <v>92</v>
      </c>
      <c r="O16" s="4">
        <f t="shared" si="6"/>
        <v>799.60644527566114</v>
      </c>
      <c r="P16" s="15">
        <f>347964+52598+97277+35134</f>
        <v>532973</v>
      </c>
      <c r="Q16" s="24">
        <f t="shared" si="7"/>
        <v>6015145.0510830823</v>
      </c>
      <c r="R16" s="15">
        <f t="shared" si="8"/>
        <v>532973</v>
      </c>
    </row>
    <row r="17" spans="1:18">
      <c r="A17" s="20" t="s">
        <v>58</v>
      </c>
      <c r="B17" s="4">
        <f>'2010-10'!B17</f>
        <v>63.393750000000004</v>
      </c>
      <c r="C17" s="4">
        <f>'2010-10'!C17</f>
        <v>72.087750000000014</v>
      </c>
      <c r="D17" s="18">
        <f t="shared" si="9"/>
        <v>60073.125000000015</v>
      </c>
      <c r="E17" s="4">
        <f>'Interval Circuities'!F17</f>
        <v>1.3069173513439627</v>
      </c>
      <c r="F17" s="4">
        <f t="shared" si="0"/>
        <v>48.506319037549943</v>
      </c>
      <c r="G17" s="4">
        <f t="shared" si="1"/>
        <v>40.421932531291624</v>
      </c>
      <c r="H17" s="4">
        <f t="shared" si="2"/>
        <v>5133.1507454998327</v>
      </c>
      <c r="I17" s="4">
        <f t="shared" si="3"/>
        <v>1132.3576753929692</v>
      </c>
      <c r="J17" s="18">
        <v>1364.4098799999999</v>
      </c>
      <c r="K17" s="15">
        <v>1545000</v>
      </c>
      <c r="L17" s="24">
        <f t="shared" si="4"/>
        <v>5812562.6456158776</v>
      </c>
      <c r="M17" s="24">
        <f t="shared" si="5"/>
        <v>1545000</v>
      </c>
      <c r="N17" s="21" t="s">
        <v>92</v>
      </c>
      <c r="O17" s="4">
        <f t="shared" si="6"/>
        <v>466.71825624716234</v>
      </c>
      <c r="P17" s="15">
        <v>636795</v>
      </c>
      <c r="Q17" s="24">
        <f t="shared" si="7"/>
        <v>2395735.1649935031</v>
      </c>
      <c r="R17" s="15">
        <f t="shared" si="8"/>
        <v>636795</v>
      </c>
    </row>
    <row r="18" spans="1:18">
      <c r="A18" s="20" t="s">
        <v>38</v>
      </c>
      <c r="B18" s="4">
        <f>'2010-10'!B18</f>
        <v>65.969749999999991</v>
      </c>
      <c r="C18" s="4">
        <f>'2010-10'!C18</f>
        <v>73.8185</v>
      </c>
      <c r="D18" s="18">
        <f t="shared" si="9"/>
        <v>61515.416666666664</v>
      </c>
      <c r="E18" s="4">
        <f>'Interval Circuities'!F18</f>
        <v>1.2269265395465623</v>
      </c>
      <c r="F18" s="4">
        <f t="shared" si="0"/>
        <v>53.768296530923983</v>
      </c>
      <c r="G18" s="4">
        <f t="shared" si="1"/>
        <v>44.806913775769985</v>
      </c>
      <c r="H18" s="4">
        <f t="shared" si="2"/>
        <v>6307.248405568128</v>
      </c>
      <c r="I18" s="4">
        <f t="shared" si="3"/>
        <v>736.26706687215813</v>
      </c>
      <c r="J18" s="18">
        <v>1215.591516</v>
      </c>
      <c r="K18" s="15">
        <v>895000</v>
      </c>
      <c r="L18" s="24">
        <f t="shared" si="4"/>
        <v>4643819.2836017413</v>
      </c>
      <c r="M18" s="24">
        <f t="shared" si="5"/>
        <v>895000</v>
      </c>
      <c r="N18" s="21" t="s">
        <v>92</v>
      </c>
      <c r="O18" s="4">
        <f t="shared" si="6"/>
        <v>466.09078176554175</v>
      </c>
      <c r="P18" s="15">
        <v>566576</v>
      </c>
      <c r="Q18" s="24">
        <f t="shared" si="7"/>
        <v>2939750.3401407157</v>
      </c>
      <c r="R18" s="15">
        <f t="shared" si="8"/>
        <v>566576</v>
      </c>
    </row>
    <row r="19" spans="1:18">
      <c r="A19" s="20" t="s">
        <v>81</v>
      </c>
      <c r="B19" s="4">
        <f>'2010-10'!B19</f>
        <v>61.743500000000004</v>
      </c>
      <c r="C19" s="4">
        <f>'2010-10'!C19</f>
        <v>74.744249999999994</v>
      </c>
      <c r="D19" s="18">
        <f t="shared" si="9"/>
        <v>62286.874999999993</v>
      </c>
      <c r="E19" s="4">
        <f>'Interval Circuities'!F19</f>
        <v>1.4435399462955427</v>
      </c>
      <c r="F19" s="4">
        <f t="shared" si="0"/>
        <v>42.772283620171443</v>
      </c>
      <c r="G19" s="4">
        <f t="shared" si="1"/>
        <v>35.643569683476201</v>
      </c>
      <c r="H19" s="4">
        <f t="shared" si="2"/>
        <v>3991.2805568572999</v>
      </c>
      <c r="I19" s="4">
        <f t="shared" si="3"/>
        <v>1766.1211842313005</v>
      </c>
      <c r="J19" s="18">
        <v>399.17985599999997</v>
      </c>
      <c r="K19" s="15">
        <v>705000</v>
      </c>
      <c r="L19" s="24">
        <f t="shared" si="4"/>
        <v>7049085.1436761785</v>
      </c>
      <c r="M19" s="24">
        <f t="shared" si="5"/>
        <v>705000</v>
      </c>
      <c r="N19" s="21" t="s">
        <v>92</v>
      </c>
      <c r="O19" s="4">
        <f t="shared" si="6"/>
        <v>894.79465116095446</v>
      </c>
      <c r="P19" s="15">
        <v>357184</v>
      </c>
      <c r="Q19" s="24">
        <f t="shared" si="7"/>
        <v>3571376.4935586276</v>
      </c>
      <c r="R19" s="15">
        <f t="shared" si="8"/>
        <v>357184</v>
      </c>
    </row>
    <row r="20" spans="1:18">
      <c r="A20" s="20" t="s">
        <v>39</v>
      </c>
      <c r="B20" s="4">
        <f>'2010-10'!B20</f>
        <v>58.402750000000012</v>
      </c>
      <c r="C20" s="4">
        <f>'2010-10'!C20</f>
        <v>69.592250000000007</v>
      </c>
      <c r="D20" s="18">
        <f t="shared" si="9"/>
        <v>57993.541666666672</v>
      </c>
      <c r="E20" s="4">
        <f>'Interval Circuities'!F20</f>
        <v>1.2654610127146704</v>
      </c>
      <c r="F20" s="4">
        <f t="shared" si="0"/>
        <v>46.151362557361033</v>
      </c>
      <c r="G20" s="4">
        <f t="shared" si="1"/>
        <v>38.459468797800859</v>
      </c>
      <c r="H20" s="4">
        <f t="shared" si="2"/>
        <v>4646.8262671394832</v>
      </c>
      <c r="I20" s="4">
        <f t="shared" si="3"/>
        <v>1137.2032495246315</v>
      </c>
      <c r="J20" s="18">
        <v>3354.7213320000001</v>
      </c>
      <c r="K20" s="15">
        <v>3815000</v>
      </c>
      <c r="L20" s="24">
        <f t="shared" si="4"/>
        <v>5284385.9309674334</v>
      </c>
      <c r="M20" s="24">
        <f t="shared" si="5"/>
        <v>3815000</v>
      </c>
      <c r="N20" s="21" t="s">
        <v>92</v>
      </c>
      <c r="O20" s="4">
        <f t="shared" si="6"/>
        <v>675.48024880178036</v>
      </c>
      <c r="P20" s="15">
        <v>2266048</v>
      </c>
      <c r="Q20" s="24">
        <f t="shared" si="7"/>
        <v>3138839.3630660265</v>
      </c>
      <c r="R20" s="15">
        <f t="shared" si="8"/>
        <v>2266048</v>
      </c>
    </row>
    <row r="21" spans="1:18">
      <c r="A21" s="20" t="s">
        <v>40</v>
      </c>
      <c r="B21" s="4">
        <f>'2010-10'!B21</f>
        <v>54.53875</v>
      </c>
      <c r="C21" s="4">
        <f>'2010-10'!C21</f>
        <v>64.440250000000006</v>
      </c>
      <c r="D21" s="18">
        <f t="shared" si="9"/>
        <v>53700.208333333343</v>
      </c>
      <c r="E21" s="4">
        <f>'Interval Circuities'!F21</f>
        <v>1.2032297568764418</v>
      </c>
      <c r="F21" s="4">
        <f t="shared" si="0"/>
        <v>45.326962442801786</v>
      </c>
      <c r="G21" s="4">
        <f t="shared" si="1"/>
        <v>37.772468702334827</v>
      </c>
      <c r="H21" s="4">
        <f t="shared" si="2"/>
        <v>4482.2968239354641</v>
      </c>
      <c r="I21" s="4">
        <f t="shared" si="3"/>
        <v>747.17664987777027</v>
      </c>
      <c r="J21" s="18">
        <v>1432.0576000000001</v>
      </c>
      <c r="K21" s="15">
        <v>1070000</v>
      </c>
      <c r="L21" s="24">
        <f t="shared" si="4"/>
        <v>3349067.5246658698</v>
      </c>
      <c r="M21" s="24">
        <f t="shared" si="5"/>
        <v>1070000</v>
      </c>
      <c r="N21" s="21" t="s">
        <v>92</v>
      </c>
      <c r="O21" s="4">
        <f t="shared" si="6"/>
        <v>555.53771021500802</v>
      </c>
      <c r="P21" s="15">
        <v>795562</v>
      </c>
      <c r="Q21" s="24">
        <f t="shared" si="7"/>
        <v>2490084.9140731106</v>
      </c>
      <c r="R21" s="15">
        <f t="shared" si="8"/>
        <v>795562</v>
      </c>
    </row>
    <row r="22" spans="1:18" ht="16">
      <c r="A22" s="20" t="s">
        <v>119</v>
      </c>
      <c r="B22" s="4">
        <f>'2010-10'!B22</f>
        <v>60.173750000000005</v>
      </c>
      <c r="C22" s="4">
        <f>'2010-10'!C22</f>
        <v>67.821250000000006</v>
      </c>
      <c r="D22" s="18">
        <f t="shared" si="9"/>
        <v>56517.708333333336</v>
      </c>
      <c r="E22" s="4">
        <f>'Interval Circuities'!F22</f>
        <v>1.3524307658097707</v>
      </c>
      <c r="F22" s="4">
        <f t="shared" si="0"/>
        <v>44.493035444938911</v>
      </c>
      <c r="G22" s="4">
        <f t="shared" si="1"/>
        <v>37.077529537449095</v>
      </c>
      <c r="H22" s="4">
        <f t="shared" si="2"/>
        <v>4318.8831270123974</v>
      </c>
      <c r="I22" s="4">
        <f t="shared" si="3"/>
        <v>1786.307024434233</v>
      </c>
      <c r="J22" s="18">
        <v>1136.422783</v>
      </c>
      <c r="K22" s="15">
        <v>2030000</v>
      </c>
      <c r="L22" s="24">
        <f t="shared" si="4"/>
        <v>7714851.2674927311</v>
      </c>
      <c r="M22" s="24">
        <f t="shared" si="5"/>
        <v>2030000</v>
      </c>
      <c r="N22" s="21" t="s">
        <v>92</v>
      </c>
      <c r="O22" s="4">
        <f t="shared" si="6"/>
        <v>966.10699505836999</v>
      </c>
      <c r="P22" s="15">
        <v>1097906</v>
      </c>
      <c r="Q22" s="24">
        <f t="shared" si="7"/>
        <v>4172503.199846244</v>
      </c>
      <c r="R22" s="15">
        <f t="shared" si="8"/>
        <v>1097906</v>
      </c>
    </row>
    <row r="23" spans="1:18">
      <c r="A23" s="20" t="s">
        <v>41</v>
      </c>
      <c r="B23" s="4">
        <f>'2010-10'!B23</f>
        <v>66.332000000000008</v>
      </c>
      <c r="C23" s="4">
        <f>'2010-10'!C23</f>
        <v>74.180750000000003</v>
      </c>
      <c r="D23" s="18">
        <f t="shared" si="9"/>
        <v>61817.291666666672</v>
      </c>
      <c r="E23" s="4">
        <f>'Interval Circuities'!F23</f>
        <v>1.3025038256942751</v>
      </c>
      <c r="F23" s="4">
        <f t="shared" si="0"/>
        <v>50.926529881509552</v>
      </c>
      <c r="G23" s="4">
        <f t="shared" si="1"/>
        <v>42.438774901257965</v>
      </c>
      <c r="H23" s="4">
        <f t="shared" si="2"/>
        <v>5658.1642396105944</v>
      </c>
      <c r="I23" s="4">
        <f t="shared" si="3"/>
        <v>978.15000707799697</v>
      </c>
      <c r="J23" s="18">
        <v>1063.231603</v>
      </c>
      <c r="K23" s="15">
        <v>1040000</v>
      </c>
      <c r="L23" s="24">
        <f t="shared" si="4"/>
        <v>5534533.3910235725</v>
      </c>
      <c r="M23" s="24">
        <f t="shared" si="5"/>
        <v>1040000</v>
      </c>
      <c r="N23" s="21" t="s">
        <v>92</v>
      </c>
      <c r="O23" s="4">
        <f t="shared" si="6"/>
        <v>508.16021502325492</v>
      </c>
      <c r="P23" s="15">
        <v>540292</v>
      </c>
      <c r="Q23" s="24">
        <f t="shared" si="7"/>
        <v>2875253.9566374114</v>
      </c>
      <c r="R23" s="15">
        <f t="shared" si="8"/>
        <v>540292</v>
      </c>
    </row>
    <row r="24" spans="1:18">
      <c r="A24" s="20" t="s">
        <v>75</v>
      </c>
      <c r="B24" s="4">
        <f>'2010-10'!B24</f>
        <v>63.434000000000012</v>
      </c>
      <c r="C24" s="4">
        <f>'2010-10'!C24</f>
        <v>69.552000000000007</v>
      </c>
      <c r="D24" s="18">
        <f t="shared" si="9"/>
        <v>57960.000000000007</v>
      </c>
      <c r="E24" s="4">
        <f>'Interval Circuities'!F24</f>
        <v>1.2489204814532937</v>
      </c>
      <c r="F24" s="4">
        <f t="shared" si="0"/>
        <v>50.791063916403772</v>
      </c>
      <c r="G24" s="4">
        <f t="shared" si="1"/>
        <v>42.325886597003148</v>
      </c>
      <c r="H24" s="4">
        <f t="shared" si="2"/>
        <v>5628.1025314682747</v>
      </c>
      <c r="I24" s="4">
        <f t="shared" si="3"/>
        <v>1007.5137082249074</v>
      </c>
      <c r="J24" s="18">
        <v>1513.6270480000001</v>
      </c>
      <c r="K24" s="15">
        <v>1525000</v>
      </c>
      <c r="L24" s="24">
        <f t="shared" si="4"/>
        <v>5670390.4517495902</v>
      </c>
      <c r="M24" s="24">
        <f t="shared" si="5"/>
        <v>1525000</v>
      </c>
      <c r="N24" s="21" t="s">
        <v>92</v>
      </c>
      <c r="O24" s="4">
        <f t="shared" si="6"/>
        <v>613.50449651848453</v>
      </c>
      <c r="P24" s="15">
        <v>928617</v>
      </c>
      <c r="Q24" s="24">
        <f t="shared" si="7"/>
        <v>3452866.209922852</v>
      </c>
      <c r="R24" s="15">
        <f t="shared" si="8"/>
        <v>928617</v>
      </c>
    </row>
    <row r="25" spans="1:18">
      <c r="A25" s="20" t="s">
        <v>63</v>
      </c>
      <c r="B25" s="4">
        <f>'2010-10'!B25</f>
        <v>59.529750000000007</v>
      </c>
      <c r="C25" s="4">
        <f>'2010-10'!C25</f>
        <v>69.833750000000009</v>
      </c>
      <c r="D25" s="18">
        <f t="shared" si="9"/>
        <v>58194.791666666672</v>
      </c>
      <c r="E25" s="4">
        <f>'Interval Circuities'!F25</f>
        <v>1.3166391133124675</v>
      </c>
      <c r="F25" s="4">
        <f t="shared" si="0"/>
        <v>45.213414517385893</v>
      </c>
      <c r="G25" s="4">
        <f t="shared" si="1"/>
        <v>37.677845431154914</v>
      </c>
      <c r="H25" s="4">
        <f t="shared" si="2"/>
        <v>4459.8678770357737</v>
      </c>
      <c r="I25" s="4">
        <f t="shared" si="3"/>
        <v>1897.3714766274206</v>
      </c>
      <c r="J25" s="18">
        <v>740.49811399999999</v>
      </c>
      <c r="K25" s="15">
        <v>1405000</v>
      </c>
      <c r="L25" s="24">
        <f t="shared" si="4"/>
        <v>8462026.0994145665</v>
      </c>
      <c r="M25" s="24">
        <f t="shared" si="5"/>
        <v>1405000</v>
      </c>
      <c r="N25" s="21" t="s">
        <v>92</v>
      </c>
      <c r="O25" s="4">
        <f t="shared" si="6"/>
        <v>1137.2034365505488</v>
      </c>
      <c r="P25" s="15">
        <v>842097</v>
      </c>
      <c r="Q25" s="24">
        <f t="shared" si="7"/>
        <v>5071777.076326482</v>
      </c>
      <c r="R25" s="15">
        <f t="shared" si="8"/>
        <v>842097</v>
      </c>
    </row>
    <row r="26" spans="1:18" ht="16">
      <c r="A26" s="20" t="s">
        <v>120</v>
      </c>
      <c r="B26" s="4">
        <f>'2010-10'!B26</f>
        <v>52.928750000000001</v>
      </c>
      <c r="C26" s="4">
        <f>'2010-10'!C26</f>
        <v>66.090500000000006</v>
      </c>
      <c r="D26" s="18">
        <f t="shared" si="9"/>
        <v>55075.416666666679</v>
      </c>
      <c r="E26" s="4">
        <f>'Interval Circuities'!F26</f>
        <v>1.2373045629983925</v>
      </c>
      <c r="F26" s="4">
        <f t="shared" si="0"/>
        <v>42.777462867942859</v>
      </c>
      <c r="G26" s="4">
        <f t="shared" si="1"/>
        <v>35.647885723285718</v>
      </c>
      <c r="H26" s="4">
        <f t="shared" si="2"/>
        <v>3992.2472147368362</v>
      </c>
      <c r="I26" s="4">
        <f t="shared" si="3"/>
        <v>2963.0107614020721</v>
      </c>
      <c r="J26" s="18">
        <v>4319.9303110000001</v>
      </c>
      <c r="K26" s="15">
        <v>12800000</v>
      </c>
      <c r="L26" s="24">
        <f t="shared" si="4"/>
        <v>11829071.459442696</v>
      </c>
      <c r="M26" s="24">
        <f t="shared" si="5"/>
        <v>11829071.459442696</v>
      </c>
      <c r="N26" s="21" t="s">
        <v>92</v>
      </c>
      <c r="O26" s="4">
        <f t="shared" si="6"/>
        <v>1240.2952395682755</v>
      </c>
      <c r="P26" s="15">
        <v>5357989</v>
      </c>
      <c r="Q26" s="24">
        <f t="shared" si="7"/>
        <v>4951565.2156178048</v>
      </c>
      <c r="R26" s="15">
        <f t="shared" si="8"/>
        <v>4951565.2156178048</v>
      </c>
    </row>
    <row r="27" spans="1:18">
      <c r="A27" s="20" t="s">
        <v>42</v>
      </c>
      <c r="B27" s="4">
        <f>'2010-10'!B27</f>
        <v>63.474250000000012</v>
      </c>
      <c r="C27" s="4">
        <f>'2010-10'!C27</f>
        <v>71.282750000000007</v>
      </c>
      <c r="D27" s="18">
        <f t="shared" si="9"/>
        <v>59402.291666666679</v>
      </c>
      <c r="E27" s="4">
        <f>'Interval Circuities'!F27</f>
        <v>1.3072061245298374</v>
      </c>
      <c r="F27" s="4">
        <f t="shared" si="0"/>
        <v>48.557185289221152</v>
      </c>
      <c r="G27" s="4">
        <f t="shared" si="1"/>
        <v>40.464321074350963</v>
      </c>
      <c r="H27" s="4">
        <f t="shared" si="2"/>
        <v>5143.9221685460261</v>
      </c>
      <c r="I27" s="4">
        <f t="shared" si="3"/>
        <v>902.85200083237225</v>
      </c>
      <c r="J27" s="18">
        <v>1013.455139</v>
      </c>
      <c r="K27" s="15">
        <v>915000</v>
      </c>
      <c r="L27" s="24">
        <f t="shared" si="4"/>
        <v>4644200.4219977753</v>
      </c>
      <c r="M27" s="24">
        <f t="shared" si="5"/>
        <v>915000</v>
      </c>
      <c r="N27" s="21" t="s">
        <v>92</v>
      </c>
      <c r="O27" s="4">
        <f t="shared" si="6"/>
        <v>548.67648167305799</v>
      </c>
      <c r="P27" s="15">
        <v>556059</v>
      </c>
      <c r="Q27" s="24">
        <f t="shared" si="7"/>
        <v>2822349.1174378805</v>
      </c>
      <c r="R27" s="15">
        <f t="shared" si="8"/>
        <v>556059</v>
      </c>
    </row>
    <row r="28" spans="1:18">
      <c r="A28" s="20" t="s">
        <v>43</v>
      </c>
      <c r="B28" s="4">
        <f>'2010-10'!B28</f>
        <v>67.418750000000003</v>
      </c>
      <c r="C28" s="4">
        <f>'2010-10'!C28</f>
        <v>75.146750000000011</v>
      </c>
      <c r="D28" s="18">
        <f t="shared" si="9"/>
        <v>62622.291666666679</v>
      </c>
      <c r="E28" s="4">
        <f>'Interval Circuities'!F28</f>
        <v>1.2518208107538271</v>
      </c>
      <c r="F28" s="4">
        <f t="shared" si="0"/>
        <v>53.856549931776158</v>
      </c>
      <c r="G28" s="4">
        <f t="shared" si="1"/>
        <v>44.880458276480134</v>
      </c>
      <c r="H28" s="4">
        <f t="shared" si="2"/>
        <v>6327.9703915443333</v>
      </c>
      <c r="I28" s="4">
        <f t="shared" si="3"/>
        <v>999.49538906027249</v>
      </c>
      <c r="J28" s="18">
        <v>1035.5225359999999</v>
      </c>
      <c r="K28" s="15">
        <v>1035000</v>
      </c>
      <c r="L28" s="24">
        <f t="shared" si="4"/>
        <v>6324777.2284584884</v>
      </c>
      <c r="M28" s="24">
        <f t="shared" si="5"/>
        <v>1035000</v>
      </c>
      <c r="N28" s="21" t="s">
        <v>92</v>
      </c>
      <c r="O28" s="4">
        <f t="shared" si="6"/>
        <v>536.12160112370555</v>
      </c>
      <c r="P28" s="15">
        <v>555166</v>
      </c>
      <c r="Q28" s="24">
        <f t="shared" si="7"/>
        <v>3392561.6181781497</v>
      </c>
      <c r="R28" s="15">
        <f t="shared" si="8"/>
        <v>555166</v>
      </c>
    </row>
    <row r="29" spans="1:18">
      <c r="A29" s="20" t="s">
        <v>44</v>
      </c>
      <c r="B29" s="4">
        <f>'2010-10'!B29</f>
        <v>65.688000000000002</v>
      </c>
      <c r="C29" s="4">
        <f>'2010-10'!C29</f>
        <v>72.490250000000003</v>
      </c>
      <c r="D29" s="18">
        <f t="shared" si="9"/>
        <v>60408.541666666672</v>
      </c>
      <c r="E29" s="4">
        <f>'Interval Circuities'!F29</f>
        <v>1.1682466585186182</v>
      </c>
      <c r="F29" s="4">
        <f t="shared" si="0"/>
        <v>56.227851816237951</v>
      </c>
      <c r="G29" s="4">
        <f t="shared" si="1"/>
        <v>46.856543180198294</v>
      </c>
      <c r="H29" s="4">
        <f t="shared" si="2"/>
        <v>6897.478633541702</v>
      </c>
      <c r="I29" s="4">
        <f t="shared" si="3"/>
        <v>1161.3700459353722</v>
      </c>
      <c r="J29" s="18">
        <v>1261.4411789999999</v>
      </c>
      <c r="K29" s="15">
        <v>1465000</v>
      </c>
      <c r="L29" s="24">
        <f t="shared" si="4"/>
        <v>8010525.0774745746</v>
      </c>
      <c r="M29" s="24">
        <f t="shared" si="5"/>
        <v>1465000</v>
      </c>
      <c r="N29" s="21" t="s">
        <v>92</v>
      </c>
      <c r="O29" s="4">
        <f t="shared" si="6"/>
        <v>630.29256792638762</v>
      </c>
      <c r="P29" s="15">
        <v>795077</v>
      </c>
      <c r="Q29" s="24">
        <f t="shared" si="7"/>
        <v>4347429.5201523909</v>
      </c>
      <c r="R29" s="15">
        <f t="shared" si="8"/>
        <v>795077</v>
      </c>
    </row>
    <row r="30" spans="1:18">
      <c r="A30" s="20" t="s">
        <v>45</v>
      </c>
      <c r="B30" s="4">
        <f>'2010-10'!B30</f>
        <v>55.746250000000003</v>
      </c>
      <c r="C30" s="4">
        <f>'2010-10'!C30</f>
        <v>65.688000000000002</v>
      </c>
      <c r="D30" s="18">
        <f t="shared" si="9"/>
        <v>54740</v>
      </c>
      <c r="E30" s="4">
        <f>'Interval Circuities'!F30</f>
        <v>1.2342826281339614</v>
      </c>
      <c r="F30" s="4">
        <f t="shared" si="0"/>
        <v>45.16489880788442</v>
      </c>
      <c r="G30" s="4">
        <f t="shared" si="1"/>
        <v>37.637415673237015</v>
      </c>
      <c r="H30" s="4">
        <f t="shared" si="2"/>
        <v>4450.3017972307134</v>
      </c>
      <c r="I30" s="4">
        <f t="shared" si="3"/>
        <v>1090.2344714817029</v>
      </c>
      <c r="J30" s="18">
        <v>2316.0155599999998</v>
      </c>
      <c r="K30" s="15">
        <v>2525000</v>
      </c>
      <c r="L30" s="24">
        <f t="shared" si="4"/>
        <v>4851872.4278378999</v>
      </c>
      <c r="M30" s="24">
        <f t="shared" si="5"/>
        <v>2525000</v>
      </c>
      <c r="N30" s="21" t="s">
        <v>92</v>
      </c>
      <c r="O30" s="4">
        <f t="shared" si="6"/>
        <v>725.84961389464934</v>
      </c>
      <c r="P30" s="15">
        <v>1681079</v>
      </c>
      <c r="Q30" s="24">
        <f t="shared" si="7"/>
        <v>3230249.8412345774</v>
      </c>
      <c r="R30" s="15">
        <f t="shared" si="8"/>
        <v>1681079</v>
      </c>
    </row>
    <row r="31" spans="1:18">
      <c r="A31" s="20" t="s">
        <v>46</v>
      </c>
      <c r="B31" s="4">
        <f>'2010-10'!B31</f>
        <v>67.579750000000004</v>
      </c>
      <c r="C31" s="4">
        <f>'2010-10'!C31</f>
        <v>75.871250000000003</v>
      </c>
      <c r="D31" s="18">
        <f t="shared" si="9"/>
        <v>63226.041666666672</v>
      </c>
      <c r="E31" s="4">
        <f>'Interval Circuities'!F31</f>
        <v>1.2809747773730242</v>
      </c>
      <c r="F31" s="4">
        <f t="shared" si="0"/>
        <v>52.756503245590878</v>
      </c>
      <c r="G31" s="4">
        <f t="shared" si="1"/>
        <v>43.963752704659065</v>
      </c>
      <c r="H31" s="4">
        <f t="shared" si="2"/>
        <v>6072.1065721484401</v>
      </c>
      <c r="I31" s="4">
        <f t="shared" si="3"/>
        <v>891.82610976607054</v>
      </c>
      <c r="J31" s="18">
        <v>1115.688349</v>
      </c>
      <c r="K31" s="15">
        <v>995000</v>
      </c>
      <c r="L31" s="24">
        <f t="shared" si="4"/>
        <v>5415263.1823241329</v>
      </c>
      <c r="M31" s="24">
        <f t="shared" si="5"/>
        <v>995000</v>
      </c>
      <c r="N31" s="21" t="s">
        <v>92</v>
      </c>
      <c r="O31" s="4">
        <f t="shared" si="6"/>
        <v>651.34407888308954</v>
      </c>
      <c r="P31" s="15">
        <v>726697</v>
      </c>
      <c r="Q31" s="24">
        <f t="shared" si="7"/>
        <v>3955030.6621159799</v>
      </c>
      <c r="R31" s="15">
        <f t="shared" si="8"/>
        <v>726697</v>
      </c>
    </row>
    <row r="32" spans="1:18">
      <c r="A32" s="20" t="s">
        <v>47</v>
      </c>
      <c r="B32" s="4">
        <f>'2010-10'!B32</f>
        <v>56.148750000000007</v>
      </c>
      <c r="C32" s="4">
        <f>'2010-10'!C32</f>
        <v>67.137</v>
      </c>
      <c r="D32" s="18">
        <f t="shared" si="9"/>
        <v>55947.500000000007</v>
      </c>
      <c r="E32" s="4">
        <f>'Interval Circuities'!F32</f>
        <v>1.3343557809401991</v>
      </c>
      <c r="F32" s="4">
        <f t="shared" si="0"/>
        <v>42.07929459445748</v>
      </c>
      <c r="G32" s="4">
        <f t="shared" si="1"/>
        <v>35.066078828714566</v>
      </c>
      <c r="H32" s="4">
        <f t="shared" si="2"/>
        <v>3862.9962115334401</v>
      </c>
      <c r="I32" s="4">
        <f t="shared" si="3"/>
        <v>2146.7911124783959</v>
      </c>
      <c r="J32" s="18">
        <v>512.39265599999999</v>
      </c>
      <c r="K32" s="15">
        <v>1100000</v>
      </c>
      <c r="L32" s="24">
        <f t="shared" si="4"/>
        <v>8293045.9344577026</v>
      </c>
      <c r="M32" s="24">
        <f t="shared" si="5"/>
        <v>1100000</v>
      </c>
      <c r="N32" s="21" t="s">
        <v>92</v>
      </c>
      <c r="O32" s="4">
        <f t="shared" si="6"/>
        <v>898.57064618037771</v>
      </c>
      <c r="P32" s="15">
        <v>460421</v>
      </c>
      <c r="Q32" s="24">
        <f t="shared" si="7"/>
        <v>3471175.0019899542</v>
      </c>
      <c r="R32" s="15">
        <f t="shared" si="8"/>
        <v>460421</v>
      </c>
    </row>
    <row r="33" spans="1:18">
      <c r="A33" s="20" t="s">
        <v>65</v>
      </c>
      <c r="B33" s="4">
        <f>'2010-10'!B33</f>
        <v>55.142500000000005</v>
      </c>
      <c r="C33" s="4">
        <f>'2010-10'!C33</f>
        <v>67.660250000000005</v>
      </c>
      <c r="D33" s="18">
        <f t="shared" si="9"/>
        <v>56383.541666666672</v>
      </c>
      <c r="E33" s="4">
        <f>'Interval Circuities'!F33</f>
        <v>1.2136941168258051</v>
      </c>
      <c r="F33" s="4">
        <f t="shared" si="0"/>
        <v>45.433605745914896</v>
      </c>
      <c r="G33" s="4">
        <f t="shared" si="1"/>
        <v>37.86133812159575</v>
      </c>
      <c r="H33" s="4">
        <f t="shared" si="2"/>
        <v>4503.4131410235696</v>
      </c>
      <c r="I33" s="4">
        <f t="shared" si="3"/>
        <v>2098.879805390713</v>
      </c>
      <c r="J33" s="18">
        <v>8683.2032749999998</v>
      </c>
      <c r="K33" s="15">
        <v>18225000</v>
      </c>
      <c r="L33" s="24">
        <f t="shared" si="4"/>
        <v>9452122.8970255293</v>
      </c>
      <c r="M33" s="24">
        <f t="shared" si="5"/>
        <v>9452122.8970255293</v>
      </c>
      <c r="N33" s="21" t="s">
        <v>92</v>
      </c>
      <c r="O33" s="4">
        <f t="shared" si="6"/>
        <v>941.20588234184811</v>
      </c>
      <c r="P33" s="15">
        <f>7737401+435281</f>
        <v>8172682</v>
      </c>
      <c r="Q33" s="24">
        <f t="shared" si="7"/>
        <v>4238638.9389469624</v>
      </c>
      <c r="R33" s="15">
        <f t="shared" si="8"/>
        <v>4238638.9389469624</v>
      </c>
    </row>
    <row r="34" spans="1:18">
      <c r="A34" s="20" t="s">
        <v>66</v>
      </c>
      <c r="B34" s="4">
        <f>'2010-10'!B34</f>
        <v>69.028750000000002</v>
      </c>
      <c r="C34" s="4">
        <f>'2010-10'!C34</f>
        <v>75.951750000000018</v>
      </c>
      <c r="D34" s="18">
        <f t="shared" si="9"/>
        <v>63293.125000000015</v>
      </c>
      <c r="E34" s="4">
        <f>'Interval Circuities'!F34</f>
        <v>1.243847517949237</v>
      </c>
      <c r="F34" s="4">
        <f t="shared" si="0"/>
        <v>55.496151259608943</v>
      </c>
      <c r="G34" s="4">
        <f t="shared" si="1"/>
        <v>46.246792716340785</v>
      </c>
      <c r="H34" s="4">
        <f t="shared" si="2"/>
        <v>6719.1310398486257</v>
      </c>
      <c r="I34" s="4">
        <f t="shared" si="3"/>
        <v>1048.044711192385</v>
      </c>
      <c r="J34" s="18">
        <v>834.88804500000003</v>
      </c>
      <c r="K34" s="15">
        <v>875000</v>
      </c>
      <c r="L34" s="24">
        <f t="shared" si="4"/>
        <v>7041949.7501219418</v>
      </c>
      <c r="M34" s="24">
        <f t="shared" si="5"/>
        <v>875000</v>
      </c>
      <c r="N34" s="21" t="s">
        <v>92</v>
      </c>
      <c r="O34" s="4">
        <f t="shared" si="6"/>
        <v>575.97662690211359</v>
      </c>
      <c r="P34" s="15">
        <v>480876</v>
      </c>
      <c r="Q34" s="24">
        <f t="shared" si="7"/>
        <v>3870062.4320453024</v>
      </c>
      <c r="R34" s="15">
        <f t="shared" si="8"/>
        <v>480876</v>
      </c>
    </row>
    <row r="35" spans="1:18">
      <c r="A35" s="20" t="s">
        <v>48</v>
      </c>
      <c r="B35" s="4">
        <f>'2010-10'!B35</f>
        <v>58.161250000000003</v>
      </c>
      <c r="C35" s="4">
        <f>'2010-10'!C35</f>
        <v>69.069000000000003</v>
      </c>
      <c r="D35" s="18">
        <f t="shared" si="9"/>
        <v>57557.500000000007</v>
      </c>
      <c r="E35" s="4">
        <f>'Interval Circuities'!F35</f>
        <v>1.3227647345428062</v>
      </c>
      <c r="F35" s="4">
        <f t="shared" ref="F35:F53" si="10">B35/E35</f>
        <v>43.969459179831077</v>
      </c>
      <c r="G35" s="4">
        <f t="shared" ref="G35:G53" si="11">F35*$A$1</f>
        <v>36.641215983192566</v>
      </c>
      <c r="H35" s="4">
        <f t="shared" ref="H35:H53" si="12">PI()*G35^2</f>
        <v>4217.8354082027081</v>
      </c>
      <c r="I35" s="4">
        <f t="shared" ref="I35:I53" si="13">K35/J35</f>
        <v>1197.0074422042101</v>
      </c>
      <c r="J35" s="18">
        <v>1173.7604550000001</v>
      </c>
      <c r="K35" s="15">
        <v>1405000</v>
      </c>
      <c r="L35" s="24">
        <f t="shared" ref="L35:L53" si="14">H35*I35</f>
        <v>5048780.3736110739</v>
      </c>
      <c r="M35" s="24">
        <f t="shared" ref="M35:M53" si="15">MIN(K35,L35)</f>
        <v>1405000</v>
      </c>
      <c r="N35" s="21" t="s">
        <v>92</v>
      </c>
      <c r="O35" s="4">
        <f t="shared" ref="O35:O53" si="16">P35/J35</f>
        <v>800.1002214715096</v>
      </c>
      <c r="P35" s="15">
        <v>939126</v>
      </c>
      <c r="Q35" s="24">
        <f t="shared" ref="Q35:Q53" si="17">H35*O35</f>
        <v>3374691.0442333617</v>
      </c>
      <c r="R35" s="15">
        <f t="shared" ref="R35:R53" si="18">MIN(Q35,P35)</f>
        <v>939126</v>
      </c>
    </row>
    <row r="36" spans="1:18">
      <c r="A36" s="20" t="s">
        <v>67</v>
      </c>
      <c r="B36" s="4">
        <f>'2010-10'!B36</f>
        <v>59.771250000000002</v>
      </c>
      <c r="C36" s="4">
        <f>'2010-10'!C36</f>
        <v>68.062750000000008</v>
      </c>
      <c r="D36" s="18">
        <f t="shared" si="9"/>
        <v>56718.958333333343</v>
      </c>
      <c r="E36" s="4">
        <f>'Interval Circuities'!F36</f>
        <v>1.1733077141049333</v>
      </c>
      <c r="F36" s="4">
        <f t="shared" si="10"/>
        <v>50.942518557970068</v>
      </c>
      <c r="G36" s="4">
        <f t="shared" si="11"/>
        <v>42.452098798308391</v>
      </c>
      <c r="H36" s="4">
        <f t="shared" si="12"/>
        <v>5661.7176236265741</v>
      </c>
      <c r="I36" s="4">
        <f t="shared" si="13"/>
        <v>1139.3097942572194</v>
      </c>
      <c r="J36" s="18">
        <v>4660.7165379999997</v>
      </c>
      <c r="K36" s="15">
        <v>5310000</v>
      </c>
      <c r="L36" s="24">
        <f t="shared" si="14"/>
        <v>6450450.340916465</v>
      </c>
      <c r="M36" s="24">
        <f t="shared" si="15"/>
        <v>5310000</v>
      </c>
      <c r="N36" s="21" t="s">
        <v>92</v>
      </c>
      <c r="O36" s="4">
        <f t="shared" si="16"/>
        <v>550.55204045966377</v>
      </c>
      <c r="P36" s="15">
        <v>2565967</v>
      </c>
      <c r="Q36" s="24">
        <f t="shared" si="17"/>
        <v>3117070.1901940489</v>
      </c>
      <c r="R36" s="15">
        <f t="shared" si="18"/>
        <v>2565967</v>
      </c>
    </row>
    <row r="37" spans="1:18">
      <c r="A37" s="20" t="s">
        <v>49</v>
      </c>
      <c r="B37" s="4">
        <f>'2010-10'!B37</f>
        <v>63.756000000000007</v>
      </c>
      <c r="C37" s="4">
        <f>'2010-10'!C37</f>
        <v>70.477750000000015</v>
      </c>
      <c r="D37" s="18">
        <f t="shared" si="9"/>
        <v>58731.45833333335</v>
      </c>
      <c r="E37" s="4">
        <f>'Interval Circuities'!F37</f>
        <v>1.2802850434359947</v>
      </c>
      <c r="F37" s="4">
        <f t="shared" si="10"/>
        <v>49.79828541064056</v>
      </c>
      <c r="G37" s="4">
        <f t="shared" si="11"/>
        <v>41.498571175533804</v>
      </c>
      <c r="H37" s="4">
        <f t="shared" si="12"/>
        <v>5410.2353849496658</v>
      </c>
      <c r="I37" s="4">
        <f t="shared" si="13"/>
        <v>1655.0541671588298</v>
      </c>
      <c r="J37" s="18">
        <v>2069.418674</v>
      </c>
      <c r="K37" s="15">
        <v>3425000</v>
      </c>
      <c r="L37" s="24">
        <f t="shared" si="14"/>
        <v>8954232.6191710997</v>
      </c>
      <c r="M37" s="24">
        <f t="shared" si="15"/>
        <v>3425000</v>
      </c>
      <c r="N37" s="21" t="s">
        <v>92</v>
      </c>
      <c r="O37" s="4">
        <f t="shared" si="16"/>
        <v>794.59561308665377</v>
      </c>
      <c r="P37" s="15">
        <v>1644351</v>
      </c>
      <c r="Q37" s="24">
        <f t="shared" si="17"/>
        <v>4298949.3026471883</v>
      </c>
      <c r="R37" s="15">
        <f t="shared" si="18"/>
        <v>1644351</v>
      </c>
    </row>
    <row r="38" spans="1:18">
      <c r="A38" s="20" t="s">
        <v>50</v>
      </c>
      <c r="B38" s="4">
        <f>'2010-10'!B38</f>
        <v>68.465250000000012</v>
      </c>
      <c r="C38" s="4">
        <f>'2010-10'!C38</f>
        <v>76.837250000000012</v>
      </c>
      <c r="D38" s="18">
        <f t="shared" si="9"/>
        <v>64031.041666666679</v>
      </c>
      <c r="E38" s="4">
        <f>'Interval Circuities'!F38</f>
        <v>1.2648153813211274</v>
      </c>
      <c r="F38" s="4">
        <f t="shared" si="10"/>
        <v>54.130627292408917</v>
      </c>
      <c r="G38" s="4">
        <f t="shared" si="11"/>
        <v>45.108856077007431</v>
      </c>
      <c r="H38" s="4">
        <f t="shared" si="12"/>
        <v>6392.5406809428496</v>
      </c>
      <c r="I38" s="4">
        <f t="shared" si="13"/>
        <v>822.12384643482994</v>
      </c>
      <c r="J38" s="18">
        <v>2207.6965749999999</v>
      </c>
      <c r="K38" s="15">
        <v>1815000</v>
      </c>
      <c r="L38" s="24">
        <f t="shared" si="14"/>
        <v>5255460.1331078624</v>
      </c>
      <c r="M38" s="24">
        <f t="shared" si="15"/>
        <v>1815000</v>
      </c>
      <c r="N38" s="21" t="s">
        <v>92</v>
      </c>
      <c r="O38" s="4">
        <f t="shared" si="16"/>
        <v>483.83732261757939</v>
      </c>
      <c r="P38" s="15">
        <v>1068166</v>
      </c>
      <c r="Q38" s="24">
        <f t="shared" si="17"/>
        <v>3092949.7677913462</v>
      </c>
      <c r="R38" s="15">
        <f t="shared" si="18"/>
        <v>1068166</v>
      </c>
    </row>
    <row r="39" spans="1:18">
      <c r="A39" s="20" t="s">
        <v>51</v>
      </c>
      <c r="B39" s="4">
        <f>'2010-10'!B39</f>
        <v>60.938500000000005</v>
      </c>
      <c r="C39" s="4">
        <f>'2010-10'!C39</f>
        <v>71.443750000000009</v>
      </c>
      <c r="D39" s="18">
        <f t="shared" si="9"/>
        <v>59536.458333333343</v>
      </c>
      <c r="E39" s="4">
        <f>'Interval Circuities'!F39</f>
        <v>1.4407046826983154</v>
      </c>
      <c r="F39" s="4">
        <f t="shared" si="10"/>
        <v>42.297703847166972</v>
      </c>
      <c r="G39" s="4">
        <f t="shared" si="11"/>
        <v>35.24808653930581</v>
      </c>
      <c r="H39" s="4">
        <f t="shared" si="12"/>
        <v>3903.2014354873645</v>
      </c>
      <c r="I39" s="4">
        <f t="shared" si="13"/>
        <v>1466.3827908170226</v>
      </c>
      <c r="J39" s="18">
        <v>1227.5103140000001</v>
      </c>
      <c r="K39" s="15">
        <v>1800000</v>
      </c>
      <c r="L39" s="24">
        <f t="shared" si="14"/>
        <v>5723587.4140909705</v>
      </c>
      <c r="M39" s="24">
        <f t="shared" si="15"/>
        <v>1800000</v>
      </c>
      <c r="N39" s="21" t="s">
        <v>92</v>
      </c>
      <c r="O39" s="4">
        <f t="shared" si="16"/>
        <v>771.73934035066679</v>
      </c>
      <c r="P39" s="15">
        <v>947318</v>
      </c>
      <c r="Q39" s="24">
        <f t="shared" si="17"/>
        <v>3012254.1010787943</v>
      </c>
      <c r="R39" s="15">
        <f t="shared" si="18"/>
        <v>947318</v>
      </c>
    </row>
    <row r="40" spans="1:18">
      <c r="A40" s="20" t="s">
        <v>52</v>
      </c>
      <c r="B40" s="4">
        <f>'2010-10'!B40</f>
        <v>61.542249999999996</v>
      </c>
      <c r="C40" s="4">
        <f>'2010-10'!C40</f>
        <v>68.062750000000008</v>
      </c>
      <c r="D40" s="18">
        <f t="shared" si="9"/>
        <v>56718.958333333343</v>
      </c>
      <c r="E40" s="4">
        <f>'Interval Circuities'!F40</f>
        <v>1.2335825315465978</v>
      </c>
      <c r="F40" s="4">
        <f t="shared" si="10"/>
        <v>49.889041410826167</v>
      </c>
      <c r="G40" s="4">
        <f t="shared" si="11"/>
        <v>41.574201175688472</v>
      </c>
      <c r="H40" s="4">
        <f t="shared" si="12"/>
        <v>5429.9733637510662</v>
      </c>
      <c r="I40" s="4">
        <f t="shared" si="13"/>
        <v>954.46089809134196</v>
      </c>
      <c r="J40" s="18">
        <v>1304.4012620000001</v>
      </c>
      <c r="K40" s="15">
        <v>1245000</v>
      </c>
      <c r="L40" s="24">
        <f t="shared" si="14"/>
        <v>5182697.2533779079</v>
      </c>
      <c r="M40" s="24">
        <f t="shared" si="15"/>
        <v>1245000</v>
      </c>
      <c r="N40" s="21" t="s">
        <v>92</v>
      </c>
      <c r="O40" s="4">
        <f t="shared" si="16"/>
        <v>487.50566142889852</v>
      </c>
      <c r="P40" s="15">
        <v>635903</v>
      </c>
      <c r="Q40" s="24">
        <f t="shared" si="17"/>
        <v>2647142.7562367646</v>
      </c>
      <c r="R40" s="15">
        <f t="shared" si="18"/>
        <v>635903</v>
      </c>
    </row>
    <row r="41" spans="1:18">
      <c r="A41" s="20" t="s">
        <v>53</v>
      </c>
      <c r="B41" s="4">
        <f>'2010-10'!B41</f>
        <v>67.57974999999999</v>
      </c>
      <c r="C41" s="4">
        <f>'2010-10'!C41</f>
        <v>75.46875</v>
      </c>
      <c r="D41" s="18">
        <f t="shared" si="9"/>
        <v>62890.625</v>
      </c>
      <c r="E41" s="4">
        <f>'Interval Circuities'!F41</f>
        <v>1.205287459552572</v>
      </c>
      <c r="F41" s="4">
        <f t="shared" si="10"/>
        <v>56.069404410037592</v>
      </c>
      <c r="G41" s="4">
        <f t="shared" si="11"/>
        <v>46.724503675031329</v>
      </c>
      <c r="H41" s="4">
        <f t="shared" si="12"/>
        <v>6858.6598734085765</v>
      </c>
      <c r="I41" s="4">
        <f t="shared" si="13"/>
        <v>1238.2323980039887</v>
      </c>
      <c r="J41" s="18">
        <v>827.79291000000001</v>
      </c>
      <c r="K41" s="15">
        <v>1025000</v>
      </c>
      <c r="L41" s="24">
        <f t="shared" si="14"/>
        <v>8492614.8621444348</v>
      </c>
      <c r="M41" s="24">
        <f t="shared" si="15"/>
        <v>1025000</v>
      </c>
      <c r="N41" s="21" t="s">
        <v>92</v>
      </c>
      <c r="O41" s="4">
        <f t="shared" si="16"/>
        <v>839.88880745547817</v>
      </c>
      <c r="P41" s="15">
        <f>438888+235541+20825</f>
        <v>695254</v>
      </c>
      <c r="Q41" s="24">
        <f t="shared" si="17"/>
        <v>5760511.6618198706</v>
      </c>
      <c r="R41" s="15">
        <f t="shared" si="18"/>
        <v>695254</v>
      </c>
    </row>
    <row r="42" spans="1:18">
      <c r="A42" s="20" t="s">
        <v>82</v>
      </c>
      <c r="B42" s="4">
        <f>'2010-10'!B42</f>
        <v>63.595000000000006</v>
      </c>
      <c r="C42" s="4">
        <f>'2010-10'!C42</f>
        <v>70.84</v>
      </c>
      <c r="D42" s="18">
        <f t="shared" si="9"/>
        <v>59033.333333333336</v>
      </c>
      <c r="E42" s="4">
        <f>'Interval Circuities'!F42</f>
        <v>1.2093921289472145</v>
      </c>
      <c r="F42" s="4">
        <f t="shared" si="10"/>
        <v>52.584268144162607</v>
      </c>
      <c r="G42" s="4">
        <f t="shared" si="11"/>
        <v>43.820223453468842</v>
      </c>
      <c r="H42" s="4">
        <f t="shared" si="12"/>
        <v>6032.523860736198</v>
      </c>
      <c r="I42" s="4">
        <f t="shared" si="13"/>
        <v>974.56496374961057</v>
      </c>
      <c r="J42" s="18">
        <v>764.44365200000004</v>
      </c>
      <c r="K42" s="15">
        <v>745000</v>
      </c>
      <c r="L42" s="24">
        <f t="shared" si="14"/>
        <v>5879086.397657034</v>
      </c>
      <c r="M42" s="24">
        <f t="shared" si="15"/>
        <v>745000</v>
      </c>
      <c r="N42" s="21" t="s">
        <v>92</v>
      </c>
      <c r="O42" s="4">
        <f t="shared" si="16"/>
        <v>596.12634470539103</v>
      </c>
      <c r="P42" s="15">
        <f>430223+17339+8143</f>
        <v>455705</v>
      </c>
      <c r="Q42" s="24">
        <f t="shared" si="17"/>
        <v>3596146.3984487229</v>
      </c>
      <c r="R42" s="15">
        <f t="shared" si="18"/>
        <v>455705</v>
      </c>
    </row>
    <row r="43" spans="1:18">
      <c r="A43" s="20" t="s">
        <v>54</v>
      </c>
      <c r="B43" s="4">
        <f>'2010-10'!B43</f>
        <v>56.873250000000006</v>
      </c>
      <c r="C43" s="4">
        <f>'2010-10'!C43</f>
        <v>65.688000000000017</v>
      </c>
      <c r="D43" s="18">
        <f t="shared" si="9"/>
        <v>54740.000000000015</v>
      </c>
      <c r="E43" s="4">
        <f>'Interval Circuities'!F43</f>
        <v>1.3967920476447633</v>
      </c>
      <c r="F43" s="4">
        <f t="shared" si="10"/>
        <v>40.717048823336512</v>
      </c>
      <c r="G43" s="4">
        <f t="shared" si="11"/>
        <v>33.930874019447096</v>
      </c>
      <c r="H43" s="4">
        <f t="shared" si="12"/>
        <v>3616.928853597818</v>
      </c>
      <c r="I43" s="4">
        <f t="shared" si="13"/>
        <v>1946.0452814625608</v>
      </c>
      <c r="J43" s="18">
        <v>955.78454299999999</v>
      </c>
      <c r="K43" s="15">
        <v>1860000</v>
      </c>
      <c r="L43" s="24">
        <f t="shared" si="14"/>
        <v>7038707.3289298229</v>
      </c>
      <c r="M43" s="24">
        <f t="shared" si="15"/>
        <v>1860000</v>
      </c>
      <c r="N43" s="21" t="s">
        <v>92</v>
      </c>
      <c r="O43" s="4">
        <f t="shared" si="16"/>
        <v>727.9443940536712</v>
      </c>
      <c r="P43" s="15">
        <v>695758</v>
      </c>
      <c r="Q43" s="24">
        <f t="shared" si="17"/>
        <v>2632923.0826675035</v>
      </c>
      <c r="R43" s="15">
        <f t="shared" si="18"/>
        <v>695758</v>
      </c>
    </row>
    <row r="44" spans="1:18">
      <c r="A44" s="20" t="s">
        <v>55</v>
      </c>
      <c r="B44" s="4">
        <f>'2010-10'!B44</f>
        <v>78.084999999999994</v>
      </c>
      <c r="C44" s="4">
        <f>'2010-10'!C44</f>
        <v>86.658249999999995</v>
      </c>
      <c r="D44" s="18">
        <f t="shared" si="9"/>
        <v>72215.208333333343</v>
      </c>
      <c r="E44" s="4">
        <f>'Interval Circuities'!F44</f>
        <v>1.3850097173055014</v>
      </c>
      <c r="F44" s="4">
        <f t="shared" si="10"/>
        <v>56.378665813198936</v>
      </c>
      <c r="G44" s="4">
        <f t="shared" si="11"/>
        <v>46.982221510999118</v>
      </c>
      <c r="H44" s="4">
        <f t="shared" si="12"/>
        <v>6934.5290043366304</v>
      </c>
      <c r="I44" s="4">
        <f t="shared" si="13"/>
        <v>1631.618994212552</v>
      </c>
      <c r="J44" s="18">
        <v>597.56597799999997</v>
      </c>
      <c r="K44" s="15">
        <v>975000</v>
      </c>
      <c r="L44" s="24">
        <f t="shared" si="14"/>
        <v>11314509.239393502</v>
      </c>
      <c r="M44" s="24">
        <f t="shared" si="15"/>
        <v>975000</v>
      </c>
      <c r="N44" s="21" t="s">
        <v>92</v>
      </c>
      <c r="O44" s="4">
        <f t="shared" si="16"/>
        <v>1202.6186671557798</v>
      </c>
      <c r="P44" s="15">
        <f>563242+155402</f>
        <v>718644</v>
      </c>
      <c r="Q44" s="24">
        <f t="shared" si="17"/>
        <v>8339594.0285484148</v>
      </c>
      <c r="R44" s="15">
        <f t="shared" si="18"/>
        <v>718644</v>
      </c>
    </row>
    <row r="45" spans="1:18">
      <c r="A45" s="20" t="s">
        <v>68</v>
      </c>
      <c r="B45" s="4">
        <f>'2010-10'!B45</f>
        <v>64.078000000000003</v>
      </c>
      <c r="C45" s="4">
        <f>'2010-10'!C45</f>
        <v>74.422249999999991</v>
      </c>
      <c r="D45" s="18">
        <f t="shared" si="9"/>
        <v>62018.541666666664</v>
      </c>
      <c r="E45" s="4">
        <f>'Interval Circuities'!F45</f>
        <v>1.2913153607253793</v>
      </c>
      <c r="F45" s="4">
        <f t="shared" si="10"/>
        <v>49.622270398770006</v>
      </c>
      <c r="G45" s="4">
        <f t="shared" si="11"/>
        <v>41.351891998975006</v>
      </c>
      <c r="H45" s="4">
        <f t="shared" si="12"/>
        <v>5372.0573758980236</v>
      </c>
      <c r="I45" s="4">
        <f t="shared" si="13"/>
        <v>1373.6608426756356</v>
      </c>
      <c r="J45" s="18">
        <v>1055.5735119999999</v>
      </c>
      <c r="K45" s="15">
        <v>1450000</v>
      </c>
      <c r="L45" s="24">
        <f t="shared" si="14"/>
        <v>7379384.8618779434</v>
      </c>
      <c r="M45" s="24">
        <f t="shared" si="15"/>
        <v>1450000</v>
      </c>
      <c r="N45" s="21" t="s">
        <v>92</v>
      </c>
      <c r="O45" s="4">
        <f t="shared" si="16"/>
        <v>697.12529883944273</v>
      </c>
      <c r="P45" s="15">
        <v>735867</v>
      </c>
      <c r="Q45" s="24">
        <f t="shared" si="17"/>
        <v>3744997.1035555424</v>
      </c>
      <c r="R45" s="15">
        <f t="shared" si="18"/>
        <v>735867</v>
      </c>
    </row>
    <row r="46" spans="1:18">
      <c r="A46" s="20" t="s">
        <v>69</v>
      </c>
      <c r="B46" s="4">
        <f>'2010-10'!B46</f>
        <v>60.495750000000008</v>
      </c>
      <c r="C46" s="4">
        <f>'2010-10'!C46</f>
        <v>69.672750000000008</v>
      </c>
      <c r="D46" s="18">
        <f t="shared" si="9"/>
        <v>58060.625000000007</v>
      </c>
      <c r="E46" s="4">
        <f>'Interval Circuities'!F46</f>
        <v>1.3933131344330476</v>
      </c>
      <c r="F46" s="4">
        <f t="shared" si="10"/>
        <v>43.418631824364667</v>
      </c>
      <c r="G46" s="4">
        <f t="shared" si="11"/>
        <v>36.182193186970558</v>
      </c>
      <c r="H46" s="4">
        <f t="shared" si="12"/>
        <v>4112.8194901975512</v>
      </c>
      <c r="I46" s="4">
        <f t="shared" si="13"/>
        <v>1455.9905696507528</v>
      </c>
      <c r="J46" s="18">
        <v>2026.112024</v>
      </c>
      <c r="K46" s="15">
        <v>2950000</v>
      </c>
      <c r="L46" s="24">
        <f t="shared" si="14"/>
        <v>5988226.3924034517</v>
      </c>
      <c r="M46" s="24">
        <f t="shared" si="15"/>
        <v>2950000</v>
      </c>
      <c r="N46" s="21" t="s">
        <v>92</v>
      </c>
      <c r="O46" s="4">
        <f t="shared" si="16"/>
        <v>586.57319334876024</v>
      </c>
      <c r="P46" s="15">
        <v>1188463</v>
      </c>
      <c r="Q46" s="24">
        <f t="shared" si="17"/>
        <v>2412469.6620321977</v>
      </c>
      <c r="R46" s="15">
        <f t="shared" si="18"/>
        <v>1188463</v>
      </c>
    </row>
    <row r="47" spans="1:18" ht="16">
      <c r="A47" s="20" t="s">
        <v>114</v>
      </c>
      <c r="B47" s="4">
        <f>'2010-10'!B47</f>
        <v>53.250750000000011</v>
      </c>
      <c r="C47" s="4">
        <f>'2010-10'!C47</f>
        <v>64.118250000000003</v>
      </c>
      <c r="D47" s="18">
        <f t="shared" si="9"/>
        <v>53431.875000000007</v>
      </c>
      <c r="E47" s="4">
        <f>'Interval Circuities'!F47</f>
        <v>1.4012673218427656</v>
      </c>
      <c r="F47" s="4">
        <f t="shared" si="10"/>
        <v>38.001849589963683</v>
      </c>
      <c r="G47" s="4">
        <f t="shared" si="11"/>
        <v>31.668207991636404</v>
      </c>
      <c r="H47" s="4">
        <f t="shared" si="12"/>
        <v>3150.6259809426342</v>
      </c>
      <c r="I47" s="4">
        <f t="shared" si="13"/>
        <v>4044.244551759617</v>
      </c>
      <c r="J47" s="18">
        <v>1107.747057</v>
      </c>
      <c r="K47" s="15">
        <v>4480000</v>
      </c>
      <c r="L47" s="24">
        <f t="shared" si="14"/>
        <v>12741901.958059547</v>
      </c>
      <c r="M47" s="24">
        <f t="shared" si="15"/>
        <v>4480000</v>
      </c>
      <c r="N47" s="21" t="s">
        <v>92</v>
      </c>
      <c r="O47" s="4">
        <f t="shared" si="16"/>
        <v>1773.2504795090599</v>
      </c>
      <c r="P47" s="15">
        <v>1964313</v>
      </c>
      <c r="Q47" s="24">
        <f t="shared" si="17"/>
        <v>5586849.0314602284</v>
      </c>
      <c r="R47" s="15">
        <f t="shared" si="18"/>
        <v>1964313</v>
      </c>
    </row>
    <row r="48" spans="1:18" ht="16">
      <c r="A48" s="20" t="s">
        <v>72</v>
      </c>
      <c r="B48" s="4">
        <f>'2010-10'!B48</f>
        <v>63.71575</v>
      </c>
      <c r="C48" s="4">
        <f>'2010-10'!C48</f>
        <v>74.382000000000005</v>
      </c>
      <c r="D48" s="18">
        <f t="shared" si="9"/>
        <v>61985.000000000007</v>
      </c>
      <c r="E48" s="4">
        <f>'Interval Circuities'!F48</f>
        <v>1.4030034944504302</v>
      </c>
      <c r="F48" s="4">
        <f t="shared" si="10"/>
        <v>45.41382131407881</v>
      </c>
      <c r="G48" s="4">
        <f t="shared" si="11"/>
        <v>37.844851095065678</v>
      </c>
      <c r="H48" s="4">
        <f t="shared" si="12"/>
        <v>4499.4918994778855</v>
      </c>
      <c r="I48" s="4">
        <f t="shared" si="13"/>
        <v>2530.8612515940731</v>
      </c>
      <c r="J48" s="18">
        <v>673.68371100000002</v>
      </c>
      <c r="K48" s="15">
        <v>1705000</v>
      </c>
      <c r="L48" s="24">
        <f t="shared" si="14"/>
        <v>11387589.700249994</v>
      </c>
      <c r="M48" s="24">
        <f t="shared" si="15"/>
        <v>1705000</v>
      </c>
      <c r="N48" s="21" t="s">
        <v>92</v>
      </c>
      <c r="O48" s="4">
        <f t="shared" si="16"/>
        <v>1384.3499327238446</v>
      </c>
      <c r="P48" s="15">
        <v>932614</v>
      </c>
      <c r="Q48" s="24">
        <f t="shared" si="17"/>
        <v>6228871.3083336949</v>
      </c>
      <c r="R48" s="15">
        <f t="shared" si="18"/>
        <v>932614</v>
      </c>
    </row>
    <row r="49" spans="1:18">
      <c r="A49" s="20" t="s">
        <v>56</v>
      </c>
      <c r="B49" s="4">
        <f>'2010-10'!B49</f>
        <v>52.928750000000001</v>
      </c>
      <c r="C49" s="4">
        <f>'2010-10'!C49</f>
        <v>63.23275000000001</v>
      </c>
      <c r="D49" s="18">
        <f t="shared" si="9"/>
        <v>52693.958333333343</v>
      </c>
      <c r="E49" s="4">
        <f>'Interval Circuities'!F49</f>
        <v>1.4185698685624268</v>
      </c>
      <c r="F49" s="4">
        <f t="shared" si="10"/>
        <v>37.311345160346448</v>
      </c>
      <c r="G49" s="4">
        <f t="shared" si="11"/>
        <v>31.092787633622041</v>
      </c>
      <c r="H49" s="4">
        <f t="shared" si="12"/>
        <v>3037.1706465670882</v>
      </c>
      <c r="I49" s="4">
        <f t="shared" si="13"/>
        <v>1255.1211285274092</v>
      </c>
      <c r="J49" s="18">
        <v>2469.8811369999999</v>
      </c>
      <c r="K49" s="15">
        <v>3100000</v>
      </c>
      <c r="L49" s="24">
        <f t="shared" si="14"/>
        <v>3812017.0494496045</v>
      </c>
      <c r="M49" s="24">
        <f t="shared" si="15"/>
        <v>3100000</v>
      </c>
      <c r="N49" s="21" t="s">
        <v>92</v>
      </c>
      <c r="O49" s="4">
        <f t="shared" si="16"/>
        <v>637.55537722461668</v>
      </c>
      <c r="P49" s="15">
        <v>1574686</v>
      </c>
      <c r="Q49" s="24">
        <f t="shared" si="17"/>
        <v>1936364.4772676129</v>
      </c>
      <c r="R49" s="15">
        <f t="shared" si="18"/>
        <v>1574686</v>
      </c>
    </row>
    <row r="50" spans="1:18">
      <c r="A50" s="20" t="s">
        <v>76</v>
      </c>
      <c r="B50" s="4">
        <f>'2010-10'!B50</f>
        <v>60.375000000000007</v>
      </c>
      <c r="C50" s="4">
        <f>'2010-10'!C50</f>
        <v>66.814999999999998</v>
      </c>
      <c r="D50" s="18">
        <f t="shared" si="9"/>
        <v>55679.166666666664</v>
      </c>
      <c r="E50" s="4">
        <f>'Interval Circuities'!F50</f>
        <v>1.2404318709255826</v>
      </c>
      <c r="F50" s="4">
        <f t="shared" si="10"/>
        <v>48.672564302100305</v>
      </c>
      <c r="G50" s="4">
        <f t="shared" si="11"/>
        <v>40.560470251750253</v>
      </c>
      <c r="H50" s="4">
        <f t="shared" si="12"/>
        <v>5168.3966425510707</v>
      </c>
      <c r="I50" s="4">
        <f t="shared" si="13"/>
        <v>1874.9988406660766</v>
      </c>
      <c r="J50" s="18">
        <v>2890.6684540000001</v>
      </c>
      <c r="K50" s="15">
        <v>5420000</v>
      </c>
      <c r="L50" s="24">
        <f t="shared" si="14"/>
        <v>9690737.7128857002</v>
      </c>
      <c r="M50" s="24">
        <f t="shared" si="15"/>
        <v>5420000</v>
      </c>
      <c r="N50" s="21" t="s">
        <v>92</v>
      </c>
      <c r="O50" s="4">
        <f t="shared" si="16"/>
        <v>693.05838143691869</v>
      </c>
      <c r="P50" s="15">
        <v>2003402</v>
      </c>
      <c r="Q50" s="24">
        <f t="shared" si="17"/>
        <v>3582000.6117104497</v>
      </c>
      <c r="R50" s="15">
        <f t="shared" si="18"/>
        <v>2003402</v>
      </c>
    </row>
    <row r="51" spans="1:18">
      <c r="A51" s="20" t="s">
        <v>57</v>
      </c>
      <c r="B51" s="4">
        <f>'2010-10'!B51</f>
        <v>59.771250000000002</v>
      </c>
      <c r="C51" s="4">
        <f>'2010-10'!C51</f>
        <v>67.539500000000004</v>
      </c>
      <c r="D51" s="18">
        <f t="shared" si="9"/>
        <v>56282.916666666672</v>
      </c>
      <c r="E51" s="4">
        <f>'Interval Circuities'!F51</f>
        <v>1.3285645889956852</v>
      </c>
      <c r="F51" s="4">
        <f t="shared" si="10"/>
        <v>44.989344511420001</v>
      </c>
      <c r="G51" s="4">
        <f t="shared" si="11"/>
        <v>37.491120426183336</v>
      </c>
      <c r="H51" s="4">
        <f t="shared" si="12"/>
        <v>4415.7727165250644</v>
      </c>
      <c r="I51" s="4">
        <f t="shared" si="13"/>
        <v>1031.684545690754</v>
      </c>
      <c r="J51" s="18">
        <v>2146.9741009999998</v>
      </c>
      <c r="K51" s="15">
        <v>2215000</v>
      </c>
      <c r="L51" s="24">
        <f t="shared" si="14"/>
        <v>4555684.468921788</v>
      </c>
      <c r="M51" s="24">
        <f t="shared" si="15"/>
        <v>2215000</v>
      </c>
      <c r="N51" s="21" t="s">
        <v>92</v>
      </c>
      <c r="O51" s="4">
        <f t="shared" si="16"/>
        <v>587.96843399835689</v>
      </c>
      <c r="P51" s="15">
        <v>1262353</v>
      </c>
      <c r="Q51" s="24">
        <f t="shared" si="17"/>
        <v>2596334.9690279122</v>
      </c>
      <c r="R51" s="15">
        <f t="shared" si="18"/>
        <v>1262353</v>
      </c>
    </row>
    <row r="52" spans="1:18">
      <c r="A52" s="20" t="s">
        <v>71</v>
      </c>
      <c r="B52" s="4">
        <f>'2010-10'!B52</f>
        <v>61.099500000000006</v>
      </c>
      <c r="C52" s="4">
        <f>'2010-10'!C52</f>
        <v>68.384749999999997</v>
      </c>
      <c r="D52" s="18">
        <f t="shared" si="9"/>
        <v>56987.291666666664</v>
      </c>
      <c r="E52" s="4">
        <f>'Interval Circuities'!F52</f>
        <v>1.270428052024559</v>
      </c>
      <c r="F52" s="4">
        <f t="shared" si="10"/>
        <v>48.093632616685071</v>
      </c>
      <c r="G52" s="4">
        <f t="shared" si="11"/>
        <v>40.078027180570892</v>
      </c>
      <c r="H52" s="4">
        <f t="shared" si="12"/>
        <v>5046.1777418975253</v>
      </c>
      <c r="I52" s="4">
        <f t="shared" si="13"/>
        <v>1116.5255971867098</v>
      </c>
      <c r="J52" s="18">
        <v>2077.87444</v>
      </c>
      <c r="K52" s="15">
        <v>2320000</v>
      </c>
      <c r="L52" s="24">
        <f t="shared" si="14"/>
        <v>5634186.6167824166</v>
      </c>
      <c r="M52" s="24">
        <f t="shared" si="15"/>
        <v>2320000</v>
      </c>
      <c r="N52" s="21" t="s">
        <v>92</v>
      </c>
      <c r="O52" s="4">
        <f t="shared" si="16"/>
        <v>483.81316052956498</v>
      </c>
      <c r="P52" s="15">
        <v>1005303</v>
      </c>
      <c r="Q52" s="24">
        <f t="shared" si="17"/>
        <v>2441407.2019013851</v>
      </c>
      <c r="R52" s="15">
        <f t="shared" si="18"/>
        <v>1005303</v>
      </c>
    </row>
    <row r="53" spans="1:18" ht="16">
      <c r="A53" s="20" t="s">
        <v>117</v>
      </c>
      <c r="B53" s="4">
        <f>'2010-10'!B53</f>
        <v>57.074500000000008</v>
      </c>
      <c r="C53" s="4">
        <f>'2010-10'!C53</f>
        <v>69.189749999999989</v>
      </c>
      <c r="D53" s="18">
        <f t="shared" si="9"/>
        <v>57658.124999999993</v>
      </c>
      <c r="E53" s="4">
        <f>'Interval Circuities'!F53</f>
        <v>1.2769936789718903</v>
      </c>
      <c r="F53" s="4">
        <f t="shared" si="10"/>
        <v>44.69442640150794</v>
      </c>
      <c r="G53" s="4">
        <f t="shared" si="11"/>
        <v>37.245355334589952</v>
      </c>
      <c r="H53" s="4">
        <f t="shared" si="12"/>
        <v>4358.0691464885749</v>
      </c>
      <c r="I53" s="4">
        <f t="shared" si="13"/>
        <v>1445.2558415588917</v>
      </c>
      <c r="J53" s="18">
        <v>2996.0093400000001</v>
      </c>
      <c r="K53" s="15">
        <v>4330000</v>
      </c>
      <c r="L53" s="24">
        <f t="shared" si="14"/>
        <v>6298524.8918801863</v>
      </c>
      <c r="M53" s="24">
        <f t="shared" si="15"/>
        <v>4330000</v>
      </c>
      <c r="N53" s="21" t="s">
        <v>92</v>
      </c>
      <c r="O53" s="4">
        <f t="shared" si="16"/>
        <v>824.50343762947011</v>
      </c>
      <c r="P53" s="15">
        <v>2470220</v>
      </c>
      <c r="Q53" s="24">
        <f t="shared" si="17"/>
        <v>3593242.9927067608</v>
      </c>
      <c r="R53" s="15">
        <f t="shared" si="18"/>
        <v>2470220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E3" sqref="E3:E53"/>
    </sheetView>
  </sheetViews>
  <sheetFormatPr baseColWidth="10" defaultColWidth="11.5" defaultRowHeight="14" x14ac:dyDescent="0"/>
  <cols>
    <col min="4" max="4" width="11.5" style="20"/>
  </cols>
  <sheetData>
    <row r="1" spans="1:18" ht="56">
      <c r="A1" s="20">
        <f>6/6</f>
        <v>1</v>
      </c>
      <c r="B1" s="1" t="s">
        <v>60</v>
      </c>
      <c r="C1" s="1" t="s">
        <v>61</v>
      </c>
      <c r="D1" s="1" t="s">
        <v>168</v>
      </c>
      <c r="E1" s="7" t="s">
        <v>91</v>
      </c>
      <c r="F1" s="1" t="s">
        <v>21</v>
      </c>
      <c r="G1" s="1" t="s">
        <v>20</v>
      </c>
      <c r="H1" s="1" t="s">
        <v>131</v>
      </c>
      <c r="I1" s="1" t="s">
        <v>25</v>
      </c>
      <c r="J1" s="8" t="s">
        <v>84</v>
      </c>
      <c r="K1" s="25" t="s">
        <v>79</v>
      </c>
      <c r="L1" s="23" t="s">
        <v>77</v>
      </c>
      <c r="M1" s="29" t="s">
        <v>104</v>
      </c>
      <c r="N1" s="21" t="s">
        <v>92</v>
      </c>
      <c r="O1" s="1" t="s">
        <v>90</v>
      </c>
      <c r="P1" s="1" t="s">
        <v>88</v>
      </c>
      <c r="Q1" s="23" t="s">
        <v>89</v>
      </c>
      <c r="R1" s="20" t="s">
        <v>103</v>
      </c>
    </row>
    <row r="2" spans="1:18" ht="16">
      <c r="A2" s="20" t="s">
        <v>16</v>
      </c>
      <c r="B2" s="20" t="s">
        <v>18</v>
      </c>
      <c r="C2" s="20" t="s">
        <v>122</v>
      </c>
      <c r="E2" s="20" t="s">
        <v>115</v>
      </c>
      <c r="F2" s="20" t="s">
        <v>17</v>
      </c>
      <c r="G2" s="20" t="s">
        <v>19</v>
      </c>
      <c r="H2" s="20" t="s">
        <v>132</v>
      </c>
      <c r="I2" s="20" t="s">
        <v>24</v>
      </c>
      <c r="J2" s="9" t="s">
        <v>16</v>
      </c>
      <c r="K2" s="15" t="s">
        <v>123</v>
      </c>
      <c r="L2" s="24" t="s">
        <v>129</v>
      </c>
      <c r="M2" s="24" t="s">
        <v>124</v>
      </c>
      <c r="N2" s="21" t="s">
        <v>92</v>
      </c>
      <c r="O2" s="20" t="s">
        <v>125</v>
      </c>
      <c r="P2" s="20" t="s">
        <v>126</v>
      </c>
      <c r="Q2" s="24" t="s">
        <v>128</v>
      </c>
      <c r="R2" s="20" t="s">
        <v>127</v>
      </c>
    </row>
    <row r="3" spans="1:18">
      <c r="A3" s="20" t="s">
        <v>26</v>
      </c>
      <c r="B3" s="4">
        <f>'2010-10'!B3</f>
        <v>57.436750000000011</v>
      </c>
      <c r="C3" s="4">
        <f>'2010-10'!C3</f>
        <v>68.143250000000009</v>
      </c>
      <c r="D3" s="18">
        <f>C3*$A$1*1000</f>
        <v>68143.250000000015</v>
      </c>
      <c r="E3" s="4">
        <f>'Interval Circuities'!G3</f>
        <v>1.2084405776911233</v>
      </c>
      <c r="F3" s="4">
        <f t="shared" ref="F3:F34" si="0">B3/E3</f>
        <v>47.529643625291115</v>
      </c>
      <c r="G3" s="4">
        <f t="shared" ref="G3:G34" si="1">F3*$A$1</f>
        <v>47.529643625291115</v>
      </c>
      <c r="H3" s="4">
        <f t="shared" ref="H3:H34" si="2">PI()*G3^2</f>
        <v>7097.0683638861319</v>
      </c>
      <c r="I3" s="4">
        <f t="shared" ref="I3:I34" si="3">K3/J3</f>
        <v>873.48977839674285</v>
      </c>
      <c r="J3" s="9">
        <v>5083.0589090000003</v>
      </c>
      <c r="K3" s="15">
        <v>4440000</v>
      </c>
      <c r="L3" s="24">
        <f t="shared" ref="L3:L34" si="4">H3*I3</f>
        <v>6199216.6724374313</v>
      </c>
      <c r="M3" s="24">
        <f t="shared" ref="M3:M34" si="5">MIN(K3,L3)</f>
        <v>4440000</v>
      </c>
      <c r="N3" s="21" t="s">
        <v>92</v>
      </c>
      <c r="O3" s="4">
        <f t="shared" ref="O3:O34" si="6">P3/J3</f>
        <v>436.36913120811522</v>
      </c>
      <c r="P3" s="15">
        <v>2218090</v>
      </c>
      <c r="Q3" s="24">
        <f t="shared" ref="Q3:Q34" si="7">H3*O3</f>
        <v>3096941.5560735911</v>
      </c>
      <c r="R3" s="15">
        <f t="shared" ref="R3:R34" si="8">MIN(Q3,P3)</f>
        <v>2218090</v>
      </c>
    </row>
    <row r="4" spans="1:18">
      <c r="A4" s="20" t="s">
        <v>27</v>
      </c>
      <c r="B4" s="4">
        <f>'2010-10'!B4</f>
        <v>62.91075</v>
      </c>
      <c r="C4" s="4">
        <f>'2010-10'!C4</f>
        <v>76.756750000000011</v>
      </c>
      <c r="D4" s="18">
        <f t="shared" ref="D4:D53" si="9">C4*$A$1*1000</f>
        <v>76756.750000000015</v>
      </c>
      <c r="E4" s="4">
        <f>'Interval Circuities'!G4</f>
        <v>1.2747371883868555</v>
      </c>
      <c r="F4" s="4">
        <f t="shared" si="0"/>
        <v>49.351937460624185</v>
      </c>
      <c r="G4" s="4">
        <f t="shared" si="1"/>
        <v>49.351937460624185</v>
      </c>
      <c r="H4" s="4">
        <f t="shared" si="2"/>
        <v>7651.7062046607261</v>
      </c>
      <c r="I4" s="4">
        <f t="shared" si="3"/>
        <v>1256.1525913969799</v>
      </c>
      <c r="J4" s="9">
        <v>823.94448499999999</v>
      </c>
      <c r="K4" s="15">
        <v>1035000</v>
      </c>
      <c r="L4" s="24">
        <f t="shared" si="4"/>
        <v>9611710.5775929205</v>
      </c>
      <c r="M4" s="24">
        <f t="shared" si="5"/>
        <v>1035000</v>
      </c>
      <c r="N4" s="21" t="s">
        <v>92</v>
      </c>
      <c r="O4" s="4">
        <f t="shared" si="6"/>
        <v>796.23932430350578</v>
      </c>
      <c r="P4" s="15">
        <v>656057</v>
      </c>
      <c r="Q4" s="24">
        <f t="shared" si="7"/>
        <v>6092589.378167999</v>
      </c>
      <c r="R4" s="15">
        <f t="shared" si="8"/>
        <v>656057</v>
      </c>
    </row>
    <row r="5" spans="1:18" ht="16">
      <c r="A5" s="20" t="s">
        <v>118</v>
      </c>
      <c r="B5" s="4">
        <f>'2010-10'!B5</f>
        <v>59.811500000000002</v>
      </c>
      <c r="C5" s="4">
        <f>'2010-10'!C5</f>
        <v>68.626249999999999</v>
      </c>
      <c r="D5" s="18">
        <f t="shared" si="9"/>
        <v>68626.25</v>
      </c>
      <c r="E5" s="4">
        <f>'Interval Circuities'!G5</f>
        <v>1.2261163596071283</v>
      </c>
      <c r="F5" s="4">
        <f t="shared" si="0"/>
        <v>48.781259242935782</v>
      </c>
      <c r="G5" s="4">
        <f t="shared" si="1"/>
        <v>48.781259242935782</v>
      </c>
      <c r="H5" s="4">
        <f t="shared" si="2"/>
        <v>7475.7692318501568</v>
      </c>
      <c r="I5" s="4">
        <f t="shared" si="3"/>
        <v>1312.0237170817477</v>
      </c>
      <c r="J5" s="9">
        <v>1768.260718</v>
      </c>
      <c r="K5" s="15">
        <v>2320000</v>
      </c>
      <c r="L5" s="24">
        <f t="shared" si="4"/>
        <v>9808386.5356174037</v>
      </c>
      <c r="M5" s="24">
        <f t="shared" si="5"/>
        <v>2320000</v>
      </c>
      <c r="N5" s="21" t="s">
        <v>92</v>
      </c>
      <c r="O5" s="4">
        <f t="shared" si="6"/>
        <v>634.47657270187688</v>
      </c>
      <c r="P5" s="15">
        <v>1121920</v>
      </c>
      <c r="Q5" s="24">
        <f t="shared" si="7"/>
        <v>4743200.4405344306</v>
      </c>
      <c r="R5" s="15">
        <f t="shared" si="8"/>
        <v>1121920</v>
      </c>
    </row>
    <row r="6" spans="1:18">
      <c r="A6" s="20" t="s">
        <v>29</v>
      </c>
      <c r="B6" s="4">
        <f>'2010-10'!B6</f>
        <v>53.613</v>
      </c>
      <c r="C6" s="4">
        <f>'2010-10'!C6</f>
        <v>62.8705</v>
      </c>
      <c r="D6" s="18">
        <f t="shared" si="9"/>
        <v>62870.5</v>
      </c>
      <c r="E6" s="4">
        <f>'Interval Circuities'!G6</f>
        <v>1.1905717622441363</v>
      </c>
      <c r="F6" s="4">
        <f t="shared" si="0"/>
        <v>45.031304874007439</v>
      </c>
      <c r="G6" s="4">
        <f t="shared" si="1"/>
        <v>45.031304874007439</v>
      </c>
      <c r="H6" s="4">
        <f t="shared" si="2"/>
        <v>6370.579446863152</v>
      </c>
      <c r="I6" s="4">
        <f t="shared" si="3"/>
        <v>934.02366191942531</v>
      </c>
      <c r="J6" s="9">
        <v>4496.6740900000004</v>
      </c>
      <c r="K6" s="15">
        <v>4200000</v>
      </c>
      <c r="L6" s="24">
        <f t="shared" si="4"/>
        <v>5950271.9435077487</v>
      </c>
      <c r="M6" s="24">
        <f t="shared" si="5"/>
        <v>4200000</v>
      </c>
      <c r="N6" s="21" t="s">
        <v>92</v>
      </c>
      <c r="O6" s="4">
        <f t="shared" si="6"/>
        <v>645.53199584895856</v>
      </c>
      <c r="P6" s="15">
        <f>2341938+286024+61431+22699+190655</f>
        <v>2902747</v>
      </c>
      <c r="Q6" s="24">
        <f t="shared" si="7"/>
        <v>4112412.8650479252</v>
      </c>
      <c r="R6" s="15">
        <f t="shared" si="8"/>
        <v>2902747</v>
      </c>
    </row>
    <row r="7" spans="1:18">
      <c r="A7" s="20" t="s">
        <v>30</v>
      </c>
      <c r="B7" s="4">
        <f>'2010-10'!B7</f>
        <v>63.434000000000012</v>
      </c>
      <c r="C7" s="4">
        <f>'2010-10'!C7</f>
        <v>70.236249999999998</v>
      </c>
      <c r="D7" s="18">
        <f t="shared" si="9"/>
        <v>70236.25</v>
      </c>
      <c r="E7" s="4">
        <f>'Interval Circuities'!G7</f>
        <v>1.1734589731007847</v>
      </c>
      <c r="F7" s="4">
        <f t="shared" si="0"/>
        <v>54.057279763586472</v>
      </c>
      <c r="G7" s="4">
        <f t="shared" si="1"/>
        <v>54.057279763586472</v>
      </c>
      <c r="H7" s="4">
        <f t="shared" si="2"/>
        <v>9180.3290512673429</v>
      </c>
      <c r="I7" s="4">
        <f t="shared" si="3"/>
        <v>1184.5434204235628</v>
      </c>
      <c r="J7" s="9">
        <v>949.73302000000001</v>
      </c>
      <c r="K7" s="15">
        <v>1125000</v>
      </c>
      <c r="L7" s="24">
        <f t="shared" si="4"/>
        <v>10874498.375002019</v>
      </c>
      <c r="M7" s="24">
        <f t="shared" si="5"/>
        <v>1125000</v>
      </c>
      <c r="N7" s="21" t="s">
        <v>92</v>
      </c>
      <c r="O7" s="4">
        <f t="shared" si="6"/>
        <v>494.17361523346847</v>
      </c>
      <c r="P7" s="15">
        <v>469333</v>
      </c>
      <c r="Q7" s="24">
        <f t="shared" si="7"/>
        <v>4536676.3962976206</v>
      </c>
      <c r="R7" s="15">
        <f t="shared" si="8"/>
        <v>469333</v>
      </c>
    </row>
    <row r="8" spans="1:18">
      <c r="A8" s="20" t="s">
        <v>31</v>
      </c>
      <c r="B8" s="4">
        <f>'2010-10'!B8</f>
        <v>61.2605</v>
      </c>
      <c r="C8" s="4">
        <f>'2010-10'!C8</f>
        <v>70.799749999999989</v>
      </c>
      <c r="D8" s="18">
        <f t="shared" si="9"/>
        <v>70799.749999999985</v>
      </c>
      <c r="E8" s="4">
        <f>'Interval Circuities'!G8</f>
        <v>1.2204535484710273</v>
      </c>
      <c r="F8" s="4">
        <f t="shared" si="0"/>
        <v>50.194864095193608</v>
      </c>
      <c r="G8" s="4">
        <f t="shared" si="1"/>
        <v>50.194864095193608</v>
      </c>
      <c r="H8" s="4">
        <f t="shared" si="2"/>
        <v>7915.3192875705854</v>
      </c>
      <c r="I8" s="4">
        <f t="shared" si="3"/>
        <v>949.91537958488948</v>
      </c>
      <c r="J8" s="9">
        <v>1126.4161240000001</v>
      </c>
      <c r="K8" s="15">
        <v>1070000</v>
      </c>
      <c r="L8" s="24">
        <f t="shared" si="4"/>
        <v>7518883.5255882097</v>
      </c>
      <c r="M8" s="24">
        <f t="shared" si="5"/>
        <v>1070000</v>
      </c>
      <c r="N8" s="21" t="s">
        <v>92</v>
      </c>
      <c r="O8" s="4">
        <f t="shared" si="6"/>
        <v>723.7920184459291</v>
      </c>
      <c r="P8" s="15">
        <v>815291</v>
      </c>
      <c r="Q8" s="24">
        <f t="shared" si="7"/>
        <v>5729044.9237947073</v>
      </c>
      <c r="R8" s="15">
        <f t="shared" si="8"/>
        <v>815291</v>
      </c>
    </row>
    <row r="9" spans="1:18">
      <c r="A9" s="20" t="s">
        <v>32</v>
      </c>
      <c r="B9" s="4">
        <f>'2010-10'!B9</f>
        <v>49.265999999999998</v>
      </c>
      <c r="C9" s="4">
        <f>'2010-10'!C9</f>
        <v>60.495750000000008</v>
      </c>
      <c r="D9" s="18">
        <f t="shared" si="9"/>
        <v>60495.750000000007</v>
      </c>
      <c r="E9" s="4">
        <f>'Interval Circuities'!G9</f>
        <v>1.1904326141515926</v>
      </c>
      <c r="F9" s="4">
        <f t="shared" si="0"/>
        <v>41.384954859550199</v>
      </c>
      <c r="G9" s="4">
        <f t="shared" si="1"/>
        <v>41.384954859550199</v>
      </c>
      <c r="H9" s="4">
        <f t="shared" si="2"/>
        <v>5380.6512554815654</v>
      </c>
      <c r="I9" s="4">
        <f t="shared" si="3"/>
        <v>1535.0877689569375</v>
      </c>
      <c r="J9" s="9">
        <v>5498.0569649999998</v>
      </c>
      <c r="K9" s="15">
        <v>8440000</v>
      </c>
      <c r="L9" s="24">
        <f t="shared" si="4"/>
        <v>8259771.9313125405</v>
      </c>
      <c r="M9" s="24">
        <f t="shared" si="5"/>
        <v>8259771.9313125405</v>
      </c>
      <c r="N9" s="21" t="s">
        <v>92</v>
      </c>
      <c r="O9" s="4">
        <f t="shared" si="6"/>
        <v>761.20455401647519</v>
      </c>
      <c r="P9" s="15">
        <v>4185146</v>
      </c>
      <c r="Q9" s="24">
        <f t="shared" si="7"/>
        <v>4095776.2392470324</v>
      </c>
      <c r="R9" s="15">
        <f t="shared" si="8"/>
        <v>4095776.2392470324</v>
      </c>
    </row>
    <row r="10" spans="1:18">
      <c r="A10" s="20" t="s">
        <v>33</v>
      </c>
      <c r="B10" s="4">
        <f>'2010-10'!B10</f>
        <v>66.895499999999998</v>
      </c>
      <c r="C10" s="4">
        <f>'2010-10'!C10</f>
        <v>72.530500000000018</v>
      </c>
      <c r="D10" s="18">
        <f t="shared" si="9"/>
        <v>72530.500000000015</v>
      </c>
      <c r="E10" s="4">
        <f>'Interval Circuities'!G10</f>
        <v>1.2662934799155141</v>
      </c>
      <c r="F10" s="4">
        <f t="shared" si="0"/>
        <v>52.827801027975916</v>
      </c>
      <c r="G10" s="4">
        <f t="shared" si="1"/>
        <v>52.827801027975916</v>
      </c>
      <c r="H10" s="4">
        <f t="shared" si="2"/>
        <v>8767.4831432663432</v>
      </c>
      <c r="I10" s="4">
        <f t="shared" si="3"/>
        <v>959.84466122297908</v>
      </c>
      <c r="J10" s="9">
        <v>1739.864863</v>
      </c>
      <c r="K10" s="15">
        <v>1670000</v>
      </c>
      <c r="L10" s="24">
        <f t="shared" si="4"/>
        <v>8415421.8874266632</v>
      </c>
      <c r="M10" s="24">
        <f t="shared" si="5"/>
        <v>1670000</v>
      </c>
      <c r="N10" s="21" t="s">
        <v>92</v>
      </c>
      <c r="O10" s="4">
        <f t="shared" si="6"/>
        <v>544.468722913683</v>
      </c>
      <c r="P10" s="15">
        <v>947302</v>
      </c>
      <c r="Q10" s="24">
        <f t="shared" si="7"/>
        <v>4773620.3501814688</v>
      </c>
      <c r="R10" s="15">
        <f t="shared" si="8"/>
        <v>947302</v>
      </c>
    </row>
    <row r="11" spans="1:18">
      <c r="A11" s="20" t="s">
        <v>34</v>
      </c>
      <c r="B11" s="4">
        <f>'2010-10'!B11</f>
        <v>66.332000000000008</v>
      </c>
      <c r="C11" s="4">
        <f>'2010-10'!C11</f>
        <v>73.013500000000008</v>
      </c>
      <c r="D11" s="18">
        <f t="shared" si="9"/>
        <v>73013.500000000015</v>
      </c>
      <c r="E11" s="4">
        <f>'Interval Circuities'!G11</f>
        <v>1.1590296676460083</v>
      </c>
      <c r="F11" s="4">
        <f t="shared" si="0"/>
        <v>57.230631666849767</v>
      </c>
      <c r="G11" s="4">
        <f t="shared" si="1"/>
        <v>57.230631666849767</v>
      </c>
      <c r="H11" s="4">
        <f t="shared" si="2"/>
        <v>10289.800421390173</v>
      </c>
      <c r="I11" s="4">
        <f t="shared" si="3"/>
        <v>1068.1935094485655</v>
      </c>
      <c r="J11" s="9">
        <v>1675.7263399999999</v>
      </c>
      <c r="K11" s="15">
        <v>1790000</v>
      </c>
      <c r="L11" s="24">
        <f t="shared" si="4"/>
        <v>10991498.023650097</v>
      </c>
      <c r="M11" s="24">
        <f t="shared" si="5"/>
        <v>1790000</v>
      </c>
      <c r="N11" s="21" t="s">
        <v>92</v>
      </c>
      <c r="O11" s="4">
        <f t="shared" si="6"/>
        <v>567.00129210835223</v>
      </c>
      <c r="P11" s="15">
        <v>950139</v>
      </c>
      <c r="Q11" s="24">
        <f t="shared" si="7"/>
        <v>5834330.1344652958</v>
      </c>
      <c r="R11" s="15">
        <f t="shared" si="8"/>
        <v>950139</v>
      </c>
    </row>
    <row r="12" spans="1:18">
      <c r="A12" s="20" t="s">
        <v>35</v>
      </c>
      <c r="B12" s="4">
        <f>'2010-10'!B12</f>
        <v>73.174500000000009</v>
      </c>
      <c r="C12" s="4">
        <f>'2010-10'!C12</f>
        <v>79.775500000000008</v>
      </c>
      <c r="D12" s="18">
        <f t="shared" si="9"/>
        <v>79775.500000000015</v>
      </c>
      <c r="E12" s="4">
        <f>'Interval Circuities'!G12</f>
        <v>1.1775894338342325</v>
      </c>
      <c r="F12" s="4">
        <f t="shared" si="0"/>
        <v>62.139229427138929</v>
      </c>
      <c r="G12" s="4">
        <f t="shared" si="1"/>
        <v>62.139229427138929</v>
      </c>
      <c r="H12" s="4">
        <f t="shared" si="2"/>
        <v>12130.58092568674</v>
      </c>
      <c r="I12" s="4">
        <f t="shared" si="3"/>
        <v>1189.2536054091877</v>
      </c>
      <c r="J12" s="9">
        <v>1030.0578399999999</v>
      </c>
      <c r="K12" s="15">
        <v>1225000</v>
      </c>
      <c r="L12" s="24">
        <f t="shared" si="4"/>
        <v>14426337.101580877</v>
      </c>
      <c r="M12" s="24">
        <f t="shared" si="5"/>
        <v>1225000</v>
      </c>
      <c r="N12" s="21" t="s">
        <v>92</v>
      </c>
      <c r="O12" s="4">
        <f t="shared" si="6"/>
        <v>769.83055631128445</v>
      </c>
      <c r="P12" s="15">
        <v>792970</v>
      </c>
      <c r="Q12" s="24">
        <f t="shared" si="7"/>
        <v>9338491.8624004796</v>
      </c>
      <c r="R12" s="15">
        <f t="shared" si="8"/>
        <v>792970</v>
      </c>
    </row>
    <row r="13" spans="1:18">
      <c r="A13" s="20" t="s">
        <v>62</v>
      </c>
      <c r="B13" s="4">
        <f>'2010-10'!B13</f>
        <v>53.894749999999995</v>
      </c>
      <c r="C13" s="4">
        <f>'2010-10'!C13</f>
        <v>63.393750000000004</v>
      </c>
      <c r="D13" s="18">
        <f t="shared" si="9"/>
        <v>63393.750000000007</v>
      </c>
      <c r="E13" s="4">
        <f>'Interval Circuities'!G13</f>
        <v>1.2313593343456124</v>
      </c>
      <c r="F13" s="4">
        <f t="shared" si="0"/>
        <v>43.768499167338149</v>
      </c>
      <c r="G13" s="4">
        <f t="shared" si="1"/>
        <v>43.768499167338149</v>
      </c>
      <c r="H13" s="4">
        <f t="shared" si="2"/>
        <v>6018.290987843131</v>
      </c>
      <c r="I13" s="4">
        <f t="shared" si="3"/>
        <v>1219.7404531385341</v>
      </c>
      <c r="J13" s="9">
        <v>3644.2179059999999</v>
      </c>
      <c r="K13" s="15">
        <v>4445000</v>
      </c>
      <c r="L13" s="24">
        <f t="shared" si="4"/>
        <v>7340752.9766313368</v>
      </c>
      <c r="M13" s="24">
        <f t="shared" si="5"/>
        <v>4445000</v>
      </c>
      <c r="N13" s="21" t="s">
        <v>92</v>
      </c>
      <c r="O13" s="4">
        <f t="shared" si="6"/>
        <v>729.77414320404807</v>
      </c>
      <c r="P13" s="15">
        <v>2659456</v>
      </c>
      <c r="Q13" s="24">
        <f t="shared" si="7"/>
        <v>4391993.1492058653</v>
      </c>
      <c r="R13" s="15">
        <f t="shared" si="8"/>
        <v>2659456</v>
      </c>
    </row>
    <row r="14" spans="1:18">
      <c r="A14" s="20" t="s">
        <v>36</v>
      </c>
      <c r="B14" s="4">
        <f>'2010-10'!B14</f>
        <v>54.780250000000002</v>
      </c>
      <c r="C14" s="4">
        <f>'2010-10'!C14</f>
        <v>64.118250000000003</v>
      </c>
      <c r="D14" s="18">
        <f t="shared" si="9"/>
        <v>64118.25</v>
      </c>
      <c r="E14" s="4">
        <f>'Interval Circuities'!G14</f>
        <v>1.338527756308961</v>
      </c>
      <c r="F14" s="4">
        <f t="shared" si="0"/>
        <v>40.925748264689361</v>
      </c>
      <c r="G14" s="4">
        <f t="shared" si="1"/>
        <v>40.925748264689361</v>
      </c>
      <c r="H14" s="4">
        <f t="shared" si="2"/>
        <v>5261.9065373848771</v>
      </c>
      <c r="I14" s="4">
        <f t="shared" si="3"/>
        <v>1687.4292750883483</v>
      </c>
      <c r="J14" s="9">
        <v>1291.9059970000001</v>
      </c>
      <c r="K14" s="15">
        <v>2180000</v>
      </c>
      <c r="L14" s="24">
        <f t="shared" si="4"/>
        <v>8879095.1339620035</v>
      </c>
      <c r="M14" s="24">
        <f t="shared" si="5"/>
        <v>2180000</v>
      </c>
      <c r="N14" s="21" t="s">
        <v>92</v>
      </c>
      <c r="O14" s="4">
        <f t="shared" si="6"/>
        <v>885.41349189201105</v>
      </c>
      <c r="P14" s="15">
        <v>1143871</v>
      </c>
      <c r="Q14" s="24">
        <f t="shared" si="7"/>
        <v>4658963.0412753448</v>
      </c>
      <c r="R14" s="15">
        <f t="shared" si="8"/>
        <v>1143871</v>
      </c>
    </row>
    <row r="15" spans="1:18">
      <c r="A15" s="20" t="s">
        <v>37</v>
      </c>
      <c r="B15" s="4">
        <f>'2010-10'!B15</f>
        <v>57.557500000000005</v>
      </c>
      <c r="C15" s="4">
        <f>'2010-10'!C15</f>
        <v>65.124499999999998</v>
      </c>
      <c r="D15" s="18">
        <f t="shared" si="9"/>
        <v>65124.5</v>
      </c>
      <c r="E15" s="4">
        <f>'Interval Circuities'!G15</f>
        <v>1.1893966318471174</v>
      </c>
      <c r="F15" s="4">
        <f t="shared" si="0"/>
        <v>48.392183447345026</v>
      </c>
      <c r="G15" s="4">
        <f t="shared" si="1"/>
        <v>48.392183447345026</v>
      </c>
      <c r="H15" s="4">
        <f t="shared" si="2"/>
        <v>7356.992416658235</v>
      </c>
      <c r="I15" s="4">
        <f t="shared" si="3"/>
        <v>1239.6159677445094</v>
      </c>
      <c r="J15" s="9">
        <v>3267.1408769999998</v>
      </c>
      <c r="K15" s="15">
        <v>4050000</v>
      </c>
      <c r="L15" s="24">
        <f t="shared" si="4"/>
        <v>9119845.2742648143</v>
      </c>
      <c r="M15" s="24">
        <f t="shared" si="5"/>
        <v>4050000</v>
      </c>
      <c r="N15" s="21" t="s">
        <v>92</v>
      </c>
      <c r="O15" s="4">
        <f t="shared" si="6"/>
        <v>521.88291359068933</v>
      </c>
      <c r="P15" s="15">
        <v>1705065</v>
      </c>
      <c r="Q15" s="24">
        <f t="shared" si="7"/>
        <v>3839488.6376702064</v>
      </c>
      <c r="R15" s="15">
        <f t="shared" si="8"/>
        <v>1705065</v>
      </c>
    </row>
    <row r="16" spans="1:18">
      <c r="A16" s="20" t="s">
        <v>80</v>
      </c>
      <c r="B16" s="4">
        <f>'2010-10'!B16</f>
        <v>72.650000000000006</v>
      </c>
      <c r="C16" s="4">
        <f>'2010-10'!C16</f>
        <v>79.78</v>
      </c>
      <c r="D16" s="18">
        <f t="shared" si="9"/>
        <v>79780</v>
      </c>
      <c r="E16" s="4">
        <f>'Interval Circuities'!G16</f>
        <v>1.2335421845251597</v>
      </c>
      <c r="F16" s="4">
        <f t="shared" si="0"/>
        <v>58.895432123357764</v>
      </c>
      <c r="G16" s="4">
        <f t="shared" si="1"/>
        <v>58.895432123357764</v>
      </c>
      <c r="H16" s="4">
        <f t="shared" si="2"/>
        <v>10897.154237283872</v>
      </c>
      <c r="I16" s="4">
        <f t="shared" si="3"/>
        <v>900.16542520051985</v>
      </c>
      <c r="J16" s="9">
        <v>666.54415200000005</v>
      </c>
      <c r="K16" s="15">
        <v>600000</v>
      </c>
      <c r="L16" s="24">
        <f t="shared" si="4"/>
        <v>9809241.477480283</v>
      </c>
      <c r="M16" s="24">
        <f t="shared" si="5"/>
        <v>600000</v>
      </c>
      <c r="N16" s="21" t="s">
        <v>92</v>
      </c>
      <c r="O16" s="4">
        <f t="shared" si="6"/>
        <v>799.60644527566114</v>
      </c>
      <c r="P16" s="15">
        <f>347964+52598+97277+35134</f>
        <v>532973</v>
      </c>
      <c r="Q16" s="24">
        <f t="shared" si="7"/>
        <v>8713434.7632951662</v>
      </c>
      <c r="R16" s="15">
        <f t="shared" si="8"/>
        <v>532973</v>
      </c>
    </row>
    <row r="17" spans="1:18">
      <c r="A17" s="20" t="s">
        <v>58</v>
      </c>
      <c r="B17" s="4">
        <f>'2010-10'!B17</f>
        <v>63.393750000000004</v>
      </c>
      <c r="C17" s="4">
        <f>'2010-10'!C17</f>
        <v>72.087750000000014</v>
      </c>
      <c r="D17" s="18">
        <f t="shared" si="9"/>
        <v>72087.750000000015</v>
      </c>
      <c r="E17" s="4">
        <f>'Interval Circuities'!G17</f>
        <v>1.3154823264242705</v>
      </c>
      <c r="F17" s="4">
        <f t="shared" si="0"/>
        <v>48.19049920063631</v>
      </c>
      <c r="G17" s="4">
        <f t="shared" si="1"/>
        <v>48.19049920063631</v>
      </c>
      <c r="H17" s="4">
        <f t="shared" si="2"/>
        <v>7295.7966874633275</v>
      </c>
      <c r="I17" s="4">
        <f t="shared" si="3"/>
        <v>1132.3576753929692</v>
      </c>
      <c r="J17" s="18">
        <v>1364.4098799999999</v>
      </c>
      <c r="K17" s="15">
        <v>1545000</v>
      </c>
      <c r="L17" s="24">
        <f t="shared" si="4"/>
        <v>8261451.3771556988</v>
      </c>
      <c r="M17" s="24">
        <f t="shared" si="5"/>
        <v>1545000</v>
      </c>
      <c r="N17" s="21" t="s">
        <v>92</v>
      </c>
      <c r="O17" s="4">
        <f t="shared" si="6"/>
        <v>466.71825624716234</v>
      </c>
      <c r="P17" s="15">
        <v>636795</v>
      </c>
      <c r="Q17" s="24">
        <f t="shared" si="7"/>
        <v>3405081.5079067075</v>
      </c>
      <c r="R17" s="15">
        <f t="shared" si="8"/>
        <v>636795</v>
      </c>
    </row>
    <row r="18" spans="1:18">
      <c r="A18" s="20" t="s">
        <v>38</v>
      </c>
      <c r="B18" s="4">
        <f>'2010-10'!B18</f>
        <v>65.969749999999991</v>
      </c>
      <c r="C18" s="4">
        <f>'2010-10'!C18</f>
        <v>73.8185</v>
      </c>
      <c r="D18" s="18">
        <f t="shared" si="9"/>
        <v>73818.5</v>
      </c>
      <c r="E18" s="4">
        <f>'Interval Circuities'!G18</f>
        <v>1.2229075630591091</v>
      </c>
      <c r="F18" s="4">
        <f t="shared" si="0"/>
        <v>53.945001235397015</v>
      </c>
      <c r="G18" s="4">
        <f t="shared" si="1"/>
        <v>53.945001235397015</v>
      </c>
      <c r="H18" s="4">
        <f t="shared" si="2"/>
        <v>9142.2330395567042</v>
      </c>
      <c r="I18" s="4">
        <f t="shared" si="3"/>
        <v>736.26706687215813</v>
      </c>
      <c r="J18" s="18">
        <v>1215.591516</v>
      </c>
      <c r="K18" s="15">
        <v>895000</v>
      </c>
      <c r="L18" s="24">
        <f t="shared" si="4"/>
        <v>6731125.104696149</v>
      </c>
      <c r="M18" s="24">
        <f t="shared" si="5"/>
        <v>895000</v>
      </c>
      <c r="N18" s="21" t="s">
        <v>92</v>
      </c>
      <c r="O18" s="4">
        <f t="shared" si="6"/>
        <v>466.09078176554175</v>
      </c>
      <c r="P18" s="15">
        <v>566576</v>
      </c>
      <c r="Q18" s="24">
        <f t="shared" si="7"/>
        <v>4261110.5444897488</v>
      </c>
      <c r="R18" s="15">
        <f t="shared" si="8"/>
        <v>566576</v>
      </c>
    </row>
    <row r="19" spans="1:18">
      <c r="A19" s="20" t="s">
        <v>81</v>
      </c>
      <c r="B19" s="4">
        <f>'2010-10'!B19</f>
        <v>61.743500000000004</v>
      </c>
      <c r="C19" s="4">
        <f>'2010-10'!C19</f>
        <v>74.744249999999994</v>
      </c>
      <c r="D19" s="18">
        <f t="shared" si="9"/>
        <v>74744.25</v>
      </c>
      <c r="E19" s="4">
        <f>'Interval Circuities'!G19</f>
        <v>1.4453004287893763</v>
      </c>
      <c r="F19" s="4">
        <f t="shared" si="0"/>
        <v>42.720183824838465</v>
      </c>
      <c r="G19" s="4">
        <f t="shared" si="1"/>
        <v>42.720183824838465</v>
      </c>
      <c r="H19" s="4">
        <f t="shared" si="2"/>
        <v>5733.4509081952774</v>
      </c>
      <c r="I19" s="4">
        <f t="shared" si="3"/>
        <v>1766.1211842313005</v>
      </c>
      <c r="J19" s="18">
        <v>399.17985599999997</v>
      </c>
      <c r="K19" s="15">
        <v>705000</v>
      </c>
      <c r="L19" s="24">
        <f t="shared" si="4"/>
        <v>10125969.107713869</v>
      </c>
      <c r="M19" s="24">
        <f t="shared" si="5"/>
        <v>705000</v>
      </c>
      <c r="N19" s="21" t="s">
        <v>92</v>
      </c>
      <c r="O19" s="4">
        <f t="shared" si="6"/>
        <v>894.79465116095446</v>
      </c>
      <c r="P19" s="15">
        <v>357184</v>
      </c>
      <c r="Q19" s="24">
        <f t="shared" si="7"/>
        <v>5130261.2053470509</v>
      </c>
      <c r="R19" s="15">
        <f t="shared" si="8"/>
        <v>357184</v>
      </c>
    </row>
    <row r="20" spans="1:18">
      <c r="A20" s="20" t="s">
        <v>39</v>
      </c>
      <c r="B20" s="4">
        <f>'2010-10'!B20</f>
        <v>58.402750000000012</v>
      </c>
      <c r="C20" s="4">
        <f>'2010-10'!C20</f>
        <v>69.592250000000007</v>
      </c>
      <c r="D20" s="18">
        <f t="shared" si="9"/>
        <v>69592.25</v>
      </c>
      <c r="E20" s="4">
        <f>'Interval Circuities'!G20</f>
        <v>1.2531681942574937</v>
      </c>
      <c r="F20" s="4">
        <f t="shared" si="0"/>
        <v>46.604079378669383</v>
      </c>
      <c r="G20" s="4">
        <f t="shared" si="1"/>
        <v>46.604079378669383</v>
      </c>
      <c r="H20" s="4">
        <f t="shared" si="2"/>
        <v>6823.3514226424259</v>
      </c>
      <c r="I20" s="4">
        <f t="shared" si="3"/>
        <v>1137.2032495246315</v>
      </c>
      <c r="J20" s="18">
        <v>3354.7213320000001</v>
      </c>
      <c r="K20" s="15">
        <v>3815000</v>
      </c>
      <c r="L20" s="24">
        <f t="shared" si="4"/>
        <v>7759537.4104774836</v>
      </c>
      <c r="M20" s="24">
        <f t="shared" si="5"/>
        <v>3815000</v>
      </c>
      <c r="N20" s="21" t="s">
        <v>92</v>
      </c>
      <c r="O20" s="4">
        <f t="shared" si="6"/>
        <v>675.48024880178036</v>
      </c>
      <c r="P20" s="15">
        <v>2266048</v>
      </c>
      <c r="Q20" s="24">
        <f t="shared" si="7"/>
        <v>4609039.1166284876</v>
      </c>
      <c r="R20" s="15">
        <f t="shared" si="8"/>
        <v>2266048</v>
      </c>
    </row>
    <row r="21" spans="1:18">
      <c r="A21" s="20" t="s">
        <v>40</v>
      </c>
      <c r="B21" s="4">
        <f>'2010-10'!B21</f>
        <v>54.53875</v>
      </c>
      <c r="C21" s="4">
        <f>'2010-10'!C21</f>
        <v>64.440250000000006</v>
      </c>
      <c r="D21" s="18">
        <f t="shared" si="9"/>
        <v>64440.250000000007</v>
      </c>
      <c r="E21" s="4">
        <f>'Interval Circuities'!G21</f>
        <v>1.1942370623952343</v>
      </c>
      <c r="F21" s="4">
        <f t="shared" si="0"/>
        <v>45.668277863202285</v>
      </c>
      <c r="G21" s="4">
        <f t="shared" si="1"/>
        <v>45.668277863202285</v>
      </c>
      <c r="H21" s="4">
        <f t="shared" si="2"/>
        <v>6552.0792583439916</v>
      </c>
      <c r="I21" s="4">
        <f t="shared" si="3"/>
        <v>747.17664987777027</v>
      </c>
      <c r="J21" s="18">
        <v>1432.0576000000001</v>
      </c>
      <c r="K21" s="15">
        <v>1070000</v>
      </c>
      <c r="L21" s="24">
        <f t="shared" si="4"/>
        <v>4895560.6299830889</v>
      </c>
      <c r="M21" s="24">
        <f t="shared" si="5"/>
        <v>1070000</v>
      </c>
      <c r="N21" s="21" t="s">
        <v>92</v>
      </c>
      <c r="O21" s="4">
        <f t="shared" si="6"/>
        <v>555.53771021500802</v>
      </c>
      <c r="P21" s="15">
        <v>795562</v>
      </c>
      <c r="Q21" s="24">
        <f t="shared" si="7"/>
        <v>3639927.1083276691</v>
      </c>
      <c r="R21" s="15">
        <f t="shared" si="8"/>
        <v>795562</v>
      </c>
    </row>
    <row r="22" spans="1:18" ht="16">
      <c r="A22" s="20" t="s">
        <v>119</v>
      </c>
      <c r="B22" s="4">
        <f>'2010-10'!B22</f>
        <v>60.173750000000005</v>
      </c>
      <c r="C22" s="4">
        <f>'2010-10'!C22</f>
        <v>67.821250000000006</v>
      </c>
      <c r="D22" s="18">
        <f t="shared" si="9"/>
        <v>67821.25</v>
      </c>
      <c r="E22" s="4">
        <f>'Interval Circuities'!G22</f>
        <v>1.3458390291766396</v>
      </c>
      <c r="F22" s="4">
        <f t="shared" si="0"/>
        <v>44.710956284878463</v>
      </c>
      <c r="G22" s="4">
        <f t="shared" si="1"/>
        <v>44.710956284878463</v>
      </c>
      <c r="H22" s="4">
        <f t="shared" si="2"/>
        <v>6280.262406785755</v>
      </c>
      <c r="I22" s="4">
        <f t="shared" si="3"/>
        <v>1786.307024434233</v>
      </c>
      <c r="J22" s="18">
        <v>1136.422783</v>
      </c>
      <c r="K22" s="15">
        <v>2030000</v>
      </c>
      <c r="L22" s="24">
        <f t="shared" si="4"/>
        <v>11218476.852531636</v>
      </c>
      <c r="M22" s="24">
        <f t="shared" si="5"/>
        <v>2030000</v>
      </c>
      <c r="N22" s="21" t="s">
        <v>92</v>
      </c>
      <c r="O22" s="4">
        <f t="shared" si="6"/>
        <v>966.10699505836999</v>
      </c>
      <c r="P22" s="15">
        <v>1097906</v>
      </c>
      <c r="Q22" s="24">
        <f t="shared" si="7"/>
        <v>6067405.4419978326</v>
      </c>
      <c r="R22" s="15">
        <f t="shared" si="8"/>
        <v>1097906</v>
      </c>
    </row>
    <row r="23" spans="1:18">
      <c r="A23" s="20" t="s">
        <v>41</v>
      </c>
      <c r="B23" s="4">
        <f>'2010-10'!B23</f>
        <v>66.332000000000008</v>
      </c>
      <c r="C23" s="4">
        <f>'2010-10'!C23</f>
        <v>74.180750000000003</v>
      </c>
      <c r="D23" s="18">
        <f t="shared" si="9"/>
        <v>74180.75</v>
      </c>
      <c r="E23" s="4">
        <f>'Interval Circuities'!G23</f>
        <v>1.2915527198385739</v>
      </c>
      <c r="F23" s="4">
        <f t="shared" si="0"/>
        <v>51.358337124860519</v>
      </c>
      <c r="G23" s="4">
        <f t="shared" si="1"/>
        <v>51.358337124860519</v>
      </c>
      <c r="H23" s="4">
        <f t="shared" si="2"/>
        <v>8286.5123162019627</v>
      </c>
      <c r="I23" s="4">
        <f t="shared" si="3"/>
        <v>978.15000707799697</v>
      </c>
      <c r="J23" s="18">
        <v>1063.231603</v>
      </c>
      <c r="K23" s="15">
        <v>1040000</v>
      </c>
      <c r="L23" s="24">
        <f t="shared" si="4"/>
        <v>8105452.0807448588</v>
      </c>
      <c r="M23" s="24">
        <f t="shared" si="5"/>
        <v>1040000</v>
      </c>
      <c r="N23" s="21" t="s">
        <v>92</v>
      </c>
      <c r="O23" s="4">
        <f t="shared" si="6"/>
        <v>508.16021502325492</v>
      </c>
      <c r="P23" s="15">
        <v>540292</v>
      </c>
      <c r="Q23" s="24">
        <f t="shared" si="7"/>
        <v>4210875.8803940397</v>
      </c>
      <c r="R23" s="15">
        <f t="shared" si="8"/>
        <v>540292</v>
      </c>
    </row>
    <row r="24" spans="1:18">
      <c r="A24" s="20" t="s">
        <v>75</v>
      </c>
      <c r="B24" s="4">
        <f>'2010-10'!B24</f>
        <v>63.434000000000012</v>
      </c>
      <c r="C24" s="4">
        <f>'2010-10'!C24</f>
        <v>69.552000000000007</v>
      </c>
      <c r="D24" s="18">
        <f t="shared" si="9"/>
        <v>69552</v>
      </c>
      <c r="E24" s="4">
        <f>'Interval Circuities'!G24</f>
        <v>1.2416589206724986</v>
      </c>
      <c r="F24" s="4">
        <f t="shared" si="0"/>
        <v>51.088103942138417</v>
      </c>
      <c r="G24" s="4">
        <f t="shared" si="1"/>
        <v>51.088103942138417</v>
      </c>
      <c r="H24" s="4">
        <f t="shared" si="2"/>
        <v>8199.5391211184069</v>
      </c>
      <c r="I24" s="4">
        <f t="shared" si="3"/>
        <v>1007.5137082249074</v>
      </c>
      <c r="J24" s="18">
        <v>1513.6270480000001</v>
      </c>
      <c r="K24" s="15">
        <v>1525000</v>
      </c>
      <c r="L24" s="24">
        <f t="shared" si="4"/>
        <v>8261148.065653204</v>
      </c>
      <c r="M24" s="24">
        <f t="shared" si="5"/>
        <v>1525000</v>
      </c>
      <c r="N24" s="21" t="s">
        <v>92</v>
      </c>
      <c r="O24" s="4">
        <f t="shared" si="6"/>
        <v>613.50449651848453</v>
      </c>
      <c r="P24" s="15">
        <v>928617</v>
      </c>
      <c r="Q24" s="24">
        <f t="shared" si="7"/>
        <v>5030454.120185365</v>
      </c>
      <c r="R24" s="15">
        <f t="shared" si="8"/>
        <v>928617</v>
      </c>
    </row>
    <row r="25" spans="1:18">
      <c r="A25" s="20" t="s">
        <v>63</v>
      </c>
      <c r="B25" s="4">
        <f>'2010-10'!B25</f>
        <v>59.529750000000007</v>
      </c>
      <c r="C25" s="4">
        <f>'2010-10'!C25</f>
        <v>69.833750000000009</v>
      </c>
      <c r="D25" s="18">
        <f t="shared" si="9"/>
        <v>69833.750000000015</v>
      </c>
      <c r="E25" s="4">
        <f>'Interval Circuities'!G25</f>
        <v>1.3134289998384046</v>
      </c>
      <c r="F25" s="4">
        <f t="shared" si="0"/>
        <v>45.323919303840668</v>
      </c>
      <c r="G25" s="4">
        <f t="shared" si="1"/>
        <v>45.323919303840668</v>
      </c>
      <c r="H25" s="4">
        <f t="shared" si="2"/>
        <v>6453.6407765699796</v>
      </c>
      <c r="I25" s="4">
        <f t="shared" si="3"/>
        <v>1897.3714766274206</v>
      </c>
      <c r="J25" s="18">
        <v>740.49811399999999</v>
      </c>
      <c r="K25" s="15">
        <v>1405000</v>
      </c>
      <c r="L25" s="24">
        <f t="shared" si="4"/>
        <v>12244953.929863516</v>
      </c>
      <c r="M25" s="24">
        <f t="shared" si="5"/>
        <v>1405000</v>
      </c>
      <c r="N25" s="21" t="s">
        <v>92</v>
      </c>
      <c r="O25" s="4">
        <f t="shared" si="6"/>
        <v>1137.2034365505488</v>
      </c>
      <c r="P25" s="15">
        <v>842097</v>
      </c>
      <c r="Q25" s="24">
        <f t="shared" si="7"/>
        <v>7339102.4693781333</v>
      </c>
      <c r="R25" s="15">
        <f t="shared" si="8"/>
        <v>842097</v>
      </c>
    </row>
    <row r="26" spans="1:18" ht="16">
      <c r="A26" s="20" t="s">
        <v>120</v>
      </c>
      <c r="B26" s="4">
        <f>'2010-10'!B26</f>
        <v>52.928750000000001</v>
      </c>
      <c r="C26" s="4">
        <f>'2010-10'!C26</f>
        <v>66.090500000000006</v>
      </c>
      <c r="D26" s="18">
        <f t="shared" si="9"/>
        <v>66090.5</v>
      </c>
      <c r="E26" s="4">
        <f>'Interval Circuities'!G26</f>
        <v>1.234819235892737</v>
      </c>
      <c r="F26" s="4">
        <f t="shared" si="0"/>
        <v>42.86356129019493</v>
      </c>
      <c r="G26" s="4">
        <f t="shared" si="1"/>
        <v>42.86356129019493</v>
      </c>
      <c r="H26" s="4">
        <f t="shared" si="2"/>
        <v>5772.0007019117756</v>
      </c>
      <c r="I26" s="4">
        <f t="shared" si="3"/>
        <v>2963.0107614020721</v>
      </c>
      <c r="J26" s="18">
        <v>4319.9303110000001</v>
      </c>
      <c r="K26" s="15">
        <v>12800000</v>
      </c>
      <c r="L26" s="24">
        <f t="shared" si="4"/>
        <v>17102500.194584906</v>
      </c>
      <c r="M26" s="24">
        <f t="shared" si="5"/>
        <v>12800000</v>
      </c>
      <c r="N26" s="21" t="s">
        <v>92</v>
      </c>
      <c r="O26" s="4">
        <f t="shared" si="6"/>
        <v>1240.2952395682755</v>
      </c>
      <c r="P26" s="15">
        <v>5357989</v>
      </c>
      <c r="Q26" s="24">
        <f t="shared" si="7"/>
        <v>7158984.9933659201</v>
      </c>
      <c r="R26" s="15">
        <f t="shared" si="8"/>
        <v>5357989</v>
      </c>
    </row>
    <row r="27" spans="1:18">
      <c r="A27" s="20" t="s">
        <v>42</v>
      </c>
      <c r="B27" s="4">
        <f>'2010-10'!B27</f>
        <v>63.474250000000012</v>
      </c>
      <c r="C27" s="4">
        <f>'2010-10'!C27</f>
        <v>71.282750000000007</v>
      </c>
      <c r="D27" s="18">
        <f t="shared" si="9"/>
        <v>71282.75</v>
      </c>
      <c r="E27" s="4">
        <f>'Interval Circuities'!G27</f>
        <v>1.3030928137601026</v>
      </c>
      <c r="F27" s="4">
        <f t="shared" si="0"/>
        <v>48.710459707657883</v>
      </c>
      <c r="G27" s="4">
        <f t="shared" si="1"/>
        <v>48.710459707657883</v>
      </c>
      <c r="H27" s="4">
        <f t="shared" si="2"/>
        <v>7454.0848020075973</v>
      </c>
      <c r="I27" s="4">
        <f t="shared" si="3"/>
        <v>902.85200083237225</v>
      </c>
      <c r="J27" s="18">
        <v>1013.455139</v>
      </c>
      <c r="K27" s="15">
        <v>915000</v>
      </c>
      <c r="L27" s="24">
        <f t="shared" si="4"/>
        <v>6729935.3778667366</v>
      </c>
      <c r="M27" s="24">
        <f t="shared" si="5"/>
        <v>915000</v>
      </c>
      <c r="N27" s="21" t="s">
        <v>92</v>
      </c>
      <c r="O27" s="4">
        <f t="shared" si="6"/>
        <v>548.67648167305799</v>
      </c>
      <c r="P27" s="15">
        <v>556059</v>
      </c>
      <c r="Q27" s="24">
        <f t="shared" si="7"/>
        <v>4089881.0232581417</v>
      </c>
      <c r="R27" s="15">
        <f t="shared" si="8"/>
        <v>556059</v>
      </c>
    </row>
    <row r="28" spans="1:18">
      <c r="A28" s="20" t="s">
        <v>43</v>
      </c>
      <c r="B28" s="4">
        <f>'2010-10'!B28</f>
        <v>67.418750000000003</v>
      </c>
      <c r="C28" s="4">
        <f>'2010-10'!C28</f>
        <v>75.146750000000011</v>
      </c>
      <c r="D28" s="18">
        <f t="shared" si="9"/>
        <v>75146.750000000015</v>
      </c>
      <c r="E28" s="4">
        <f>'Interval Circuities'!G28</f>
        <v>1.2434385553193854</v>
      </c>
      <c r="F28" s="4">
        <f t="shared" si="0"/>
        <v>54.2196071624006</v>
      </c>
      <c r="G28" s="4">
        <f t="shared" si="1"/>
        <v>54.2196071624006</v>
      </c>
      <c r="H28" s="4">
        <f t="shared" si="2"/>
        <v>9235.5466432092999</v>
      </c>
      <c r="I28" s="4">
        <f t="shared" si="3"/>
        <v>999.49538906027249</v>
      </c>
      <c r="J28" s="18">
        <v>1035.5225359999999</v>
      </c>
      <c r="K28" s="15">
        <v>1035000</v>
      </c>
      <c r="L28" s="24">
        <f t="shared" si="4"/>
        <v>9230886.2853387725</v>
      </c>
      <c r="M28" s="24">
        <f t="shared" si="5"/>
        <v>1035000</v>
      </c>
      <c r="N28" s="21" t="s">
        <v>92</v>
      </c>
      <c r="O28" s="4">
        <f t="shared" si="6"/>
        <v>536.12160112370555</v>
      </c>
      <c r="P28" s="15">
        <v>555166</v>
      </c>
      <c r="Q28" s="24">
        <f t="shared" si="7"/>
        <v>4951376.0536100343</v>
      </c>
      <c r="R28" s="15">
        <f t="shared" si="8"/>
        <v>555166</v>
      </c>
    </row>
    <row r="29" spans="1:18">
      <c r="A29" s="20" t="s">
        <v>44</v>
      </c>
      <c r="B29" s="4">
        <f>'2010-10'!B29</f>
        <v>65.688000000000002</v>
      </c>
      <c r="C29" s="4">
        <f>'2010-10'!C29</f>
        <v>72.490250000000003</v>
      </c>
      <c r="D29" s="18">
        <f t="shared" si="9"/>
        <v>72490.25</v>
      </c>
      <c r="E29" s="4">
        <f>'Interval Circuities'!G29</f>
        <v>1.1641474476052645</v>
      </c>
      <c r="F29" s="4">
        <f t="shared" si="0"/>
        <v>56.425842048724128</v>
      </c>
      <c r="G29" s="4">
        <f t="shared" si="1"/>
        <v>56.425842048724128</v>
      </c>
      <c r="H29" s="4">
        <f t="shared" si="2"/>
        <v>10002.440354834624</v>
      </c>
      <c r="I29" s="4">
        <f t="shared" si="3"/>
        <v>1161.3700459353722</v>
      </c>
      <c r="J29" s="18">
        <v>1261.4411789999999</v>
      </c>
      <c r="K29" s="15">
        <v>1465000</v>
      </c>
      <c r="L29" s="24">
        <f t="shared" si="4"/>
        <v>11616534.614360107</v>
      </c>
      <c r="M29" s="24">
        <f t="shared" si="5"/>
        <v>1465000</v>
      </c>
      <c r="N29" s="21" t="s">
        <v>92</v>
      </c>
      <c r="O29" s="4">
        <f t="shared" si="6"/>
        <v>630.29256792638762</v>
      </c>
      <c r="P29" s="15">
        <v>795077</v>
      </c>
      <c r="Q29" s="24">
        <f t="shared" si="7"/>
        <v>6304463.8167792428</v>
      </c>
      <c r="R29" s="15">
        <f t="shared" si="8"/>
        <v>795077</v>
      </c>
    </row>
    <row r="30" spans="1:18">
      <c r="A30" s="20" t="s">
        <v>45</v>
      </c>
      <c r="B30" s="4">
        <f>'2010-10'!B30</f>
        <v>55.746250000000003</v>
      </c>
      <c r="C30" s="4">
        <f>'2010-10'!C30</f>
        <v>65.688000000000002</v>
      </c>
      <c r="D30" s="18">
        <f t="shared" si="9"/>
        <v>65688</v>
      </c>
      <c r="E30" s="4">
        <f>'Interval Circuities'!G30</f>
        <v>1.2240781563469771</v>
      </c>
      <c r="F30" s="4">
        <f t="shared" si="0"/>
        <v>45.54141392929013</v>
      </c>
      <c r="G30" s="4">
        <f t="shared" si="1"/>
        <v>45.54141392929013</v>
      </c>
      <c r="H30" s="4">
        <f t="shared" si="2"/>
        <v>6515.7271976196525</v>
      </c>
      <c r="I30" s="4">
        <f t="shared" si="3"/>
        <v>1090.2344714817029</v>
      </c>
      <c r="J30" s="18">
        <v>2316.0155599999998</v>
      </c>
      <c r="K30" s="15">
        <v>2525000</v>
      </c>
      <c r="L30" s="24">
        <f t="shared" si="4"/>
        <v>7103670.3976158192</v>
      </c>
      <c r="M30" s="24">
        <f t="shared" si="5"/>
        <v>2525000</v>
      </c>
      <c r="N30" s="21" t="s">
        <v>92</v>
      </c>
      <c r="O30" s="4">
        <f t="shared" si="6"/>
        <v>725.84961389464934</v>
      </c>
      <c r="P30" s="15">
        <v>1681079</v>
      </c>
      <c r="Q30" s="24">
        <f t="shared" si="7"/>
        <v>4729438.0706350906</v>
      </c>
      <c r="R30" s="15">
        <f t="shared" si="8"/>
        <v>1681079</v>
      </c>
    </row>
    <row r="31" spans="1:18">
      <c r="A31" s="20" t="s">
        <v>46</v>
      </c>
      <c r="B31" s="4">
        <f>'2010-10'!B31</f>
        <v>67.579750000000004</v>
      </c>
      <c r="C31" s="4">
        <f>'2010-10'!C31</f>
        <v>75.871250000000003</v>
      </c>
      <c r="D31" s="18">
        <f t="shared" si="9"/>
        <v>75871.25</v>
      </c>
      <c r="E31" s="4">
        <f>'Interval Circuities'!G31</f>
        <v>1.2671990831726268</v>
      </c>
      <c r="F31" s="4">
        <f t="shared" si="0"/>
        <v>53.330018066935274</v>
      </c>
      <c r="G31" s="4">
        <f t="shared" si="1"/>
        <v>53.330018066935274</v>
      </c>
      <c r="H31" s="4">
        <f t="shared" si="2"/>
        <v>8934.9748483070289</v>
      </c>
      <c r="I31" s="4">
        <f t="shared" si="3"/>
        <v>891.82610976607054</v>
      </c>
      <c r="J31" s="18">
        <v>1115.688349</v>
      </c>
      <c r="K31" s="15">
        <v>995000</v>
      </c>
      <c r="L31" s="24">
        <f t="shared" si="4"/>
        <v>7968443.8598233443</v>
      </c>
      <c r="M31" s="24">
        <f t="shared" si="5"/>
        <v>995000</v>
      </c>
      <c r="N31" s="21" t="s">
        <v>92</v>
      </c>
      <c r="O31" s="4">
        <f t="shared" si="6"/>
        <v>651.34407888308954</v>
      </c>
      <c r="P31" s="15">
        <v>726697</v>
      </c>
      <c r="Q31" s="24">
        <f t="shared" si="7"/>
        <v>5819742.9624141147</v>
      </c>
      <c r="R31" s="15">
        <f t="shared" si="8"/>
        <v>726697</v>
      </c>
    </row>
    <row r="32" spans="1:18">
      <c r="A32" s="20" t="s">
        <v>47</v>
      </c>
      <c r="B32" s="4">
        <f>'2010-10'!B32</f>
        <v>56.148750000000007</v>
      </c>
      <c r="C32" s="4">
        <f>'2010-10'!C32</f>
        <v>67.137</v>
      </c>
      <c r="D32" s="18">
        <f t="shared" si="9"/>
        <v>67137</v>
      </c>
      <c r="E32" s="4">
        <f>'Interval Circuities'!G32</f>
        <v>1.3385224152730324</v>
      </c>
      <c r="F32" s="4">
        <f t="shared" si="0"/>
        <v>41.94830759598954</v>
      </c>
      <c r="G32" s="4">
        <f t="shared" si="1"/>
        <v>41.94830759598954</v>
      </c>
      <c r="H32" s="4">
        <f t="shared" si="2"/>
        <v>5528.1365315550829</v>
      </c>
      <c r="I32" s="4">
        <f t="shared" si="3"/>
        <v>2146.7911124783959</v>
      </c>
      <c r="J32" s="18">
        <v>512.39265599999999</v>
      </c>
      <c r="K32" s="15">
        <v>1100000</v>
      </c>
      <c r="L32" s="24">
        <f t="shared" si="4"/>
        <v>11867754.374509597</v>
      </c>
      <c r="M32" s="24">
        <f t="shared" si="5"/>
        <v>1100000</v>
      </c>
      <c r="N32" s="21" t="s">
        <v>92</v>
      </c>
      <c r="O32" s="4">
        <f t="shared" si="6"/>
        <v>898.57064618037771</v>
      </c>
      <c r="P32" s="15">
        <v>460421</v>
      </c>
      <c r="Q32" s="24">
        <f t="shared" si="7"/>
        <v>4967421.2153328024</v>
      </c>
      <c r="R32" s="15">
        <f t="shared" si="8"/>
        <v>460421</v>
      </c>
    </row>
    <row r="33" spans="1:18">
      <c r="A33" s="20" t="s">
        <v>65</v>
      </c>
      <c r="B33" s="4">
        <f>'2010-10'!B33</f>
        <v>55.142500000000005</v>
      </c>
      <c r="C33" s="4">
        <f>'2010-10'!C33</f>
        <v>67.660250000000005</v>
      </c>
      <c r="D33" s="18">
        <f t="shared" si="9"/>
        <v>67660.25</v>
      </c>
      <c r="E33" s="4">
        <f>'Interval Circuities'!G33</f>
        <v>1.208396652771828</v>
      </c>
      <c r="F33" s="4">
        <f t="shared" si="0"/>
        <v>45.632781151382524</v>
      </c>
      <c r="G33" s="4">
        <f t="shared" si="1"/>
        <v>45.632781151382524</v>
      </c>
      <c r="H33" s="4">
        <f t="shared" si="2"/>
        <v>6541.8977103577372</v>
      </c>
      <c r="I33" s="4">
        <f t="shared" si="3"/>
        <v>2098.879805390713</v>
      </c>
      <c r="J33" s="18">
        <v>8683.2032749999998</v>
      </c>
      <c r="K33" s="15">
        <v>18225000</v>
      </c>
      <c r="L33" s="24">
        <f t="shared" si="4"/>
        <v>13730656.993201599</v>
      </c>
      <c r="M33" s="24">
        <f t="shared" si="5"/>
        <v>13730656.993201599</v>
      </c>
      <c r="N33" s="21" t="s">
        <v>92</v>
      </c>
      <c r="O33" s="4">
        <f t="shared" si="6"/>
        <v>941.20588234184811</v>
      </c>
      <c r="P33" s="15">
        <f>7737401+435281</f>
        <v>8172682</v>
      </c>
      <c r="Q33" s="24">
        <f t="shared" si="7"/>
        <v>6157272.6066673696</v>
      </c>
      <c r="R33" s="15">
        <f t="shared" si="8"/>
        <v>6157272.6066673696</v>
      </c>
    </row>
    <row r="34" spans="1:18">
      <c r="A34" s="20" t="s">
        <v>66</v>
      </c>
      <c r="B34" s="4">
        <f>'2010-10'!B34</f>
        <v>69.028750000000002</v>
      </c>
      <c r="C34" s="4">
        <f>'2010-10'!C34</f>
        <v>75.951750000000018</v>
      </c>
      <c r="D34" s="18">
        <f t="shared" si="9"/>
        <v>75951.750000000015</v>
      </c>
      <c r="E34" s="4">
        <f>'Interval Circuities'!G34</f>
        <v>1.2344875734787604</v>
      </c>
      <c r="F34" s="4">
        <f t="shared" si="0"/>
        <v>55.916925761738064</v>
      </c>
      <c r="G34" s="4">
        <f t="shared" si="1"/>
        <v>55.916925761738064</v>
      </c>
      <c r="H34" s="4">
        <f t="shared" si="2"/>
        <v>9822.8258761601337</v>
      </c>
      <c r="I34" s="4">
        <f t="shared" si="3"/>
        <v>1048.044711192385</v>
      </c>
      <c r="J34" s="18">
        <v>834.88804500000003</v>
      </c>
      <c r="K34" s="15">
        <v>875000</v>
      </c>
      <c r="L34" s="24">
        <f t="shared" si="4"/>
        <v>10294760.708473332</v>
      </c>
      <c r="M34" s="24">
        <f t="shared" si="5"/>
        <v>875000</v>
      </c>
      <c r="N34" s="21" t="s">
        <v>92</v>
      </c>
      <c r="O34" s="4">
        <f t="shared" si="6"/>
        <v>575.97662690211359</v>
      </c>
      <c r="P34" s="15">
        <v>480876</v>
      </c>
      <c r="Q34" s="24">
        <f t="shared" si="7"/>
        <v>5657718.1147975121</v>
      </c>
      <c r="R34" s="15">
        <f t="shared" si="8"/>
        <v>480876</v>
      </c>
    </row>
    <row r="35" spans="1:18">
      <c r="A35" s="20" t="s">
        <v>48</v>
      </c>
      <c r="B35" s="4">
        <f>'2010-10'!B35</f>
        <v>58.161250000000003</v>
      </c>
      <c r="C35" s="4">
        <f>'2010-10'!C35</f>
        <v>69.069000000000003</v>
      </c>
      <c r="D35" s="18">
        <f t="shared" si="9"/>
        <v>69069</v>
      </c>
      <c r="E35" s="4">
        <f>'Interval Circuities'!G35</f>
        <v>1.3109961293844155</v>
      </c>
      <c r="F35" s="4">
        <f t="shared" ref="F35:F53" si="10">B35/E35</f>
        <v>44.364166069132409</v>
      </c>
      <c r="G35" s="4">
        <f t="shared" ref="G35:G53" si="11">F35*$A$1</f>
        <v>44.364166069132409</v>
      </c>
      <c r="H35" s="4">
        <f t="shared" ref="H35:H53" si="12">PI()*G35^2</f>
        <v>6183.2174130876401</v>
      </c>
      <c r="I35" s="4">
        <f t="shared" ref="I35:I53" si="13">K35/J35</f>
        <v>1197.0074422042101</v>
      </c>
      <c r="J35" s="18">
        <v>1173.7604550000001</v>
      </c>
      <c r="K35" s="15">
        <v>1405000</v>
      </c>
      <c r="L35" s="24">
        <f t="shared" ref="L35:L53" si="14">H35*I35</f>
        <v>7401357.2602325687</v>
      </c>
      <c r="M35" s="24">
        <f t="shared" ref="M35:M53" si="15">MIN(K35,L35)</f>
        <v>1405000</v>
      </c>
      <c r="N35" s="21" t="s">
        <v>92</v>
      </c>
      <c r="O35" s="4">
        <f t="shared" ref="O35:O53" si="16">P35/J35</f>
        <v>800.1002214715096</v>
      </c>
      <c r="P35" s="15">
        <v>939126</v>
      </c>
      <c r="Q35" s="24">
        <f t="shared" ref="Q35:Q53" si="17">H35*O35</f>
        <v>4947193.6216179151</v>
      </c>
      <c r="R35" s="15">
        <f t="shared" ref="R35:R53" si="18">MIN(Q35,P35)</f>
        <v>939126</v>
      </c>
    </row>
    <row r="36" spans="1:18">
      <c r="A36" s="20" t="s">
        <v>67</v>
      </c>
      <c r="B36" s="4">
        <f>'2010-10'!B36</f>
        <v>59.771250000000002</v>
      </c>
      <c r="C36" s="4">
        <f>'2010-10'!C36</f>
        <v>68.062750000000008</v>
      </c>
      <c r="D36" s="18">
        <f t="shared" si="9"/>
        <v>68062.750000000015</v>
      </c>
      <c r="E36" s="4">
        <f>'Interval Circuities'!G36</f>
        <v>1.1653283208068956</v>
      </c>
      <c r="F36" s="4">
        <f t="shared" si="10"/>
        <v>51.291339043929909</v>
      </c>
      <c r="G36" s="4">
        <f t="shared" si="11"/>
        <v>51.291339043929909</v>
      </c>
      <c r="H36" s="4">
        <f t="shared" si="12"/>
        <v>8264.9065426775833</v>
      </c>
      <c r="I36" s="4">
        <f t="shared" si="13"/>
        <v>1139.3097942572194</v>
      </c>
      <c r="J36" s="18">
        <v>4660.7165379999997</v>
      </c>
      <c r="K36" s="15">
        <v>5310000</v>
      </c>
      <c r="L36" s="24">
        <f t="shared" si="14"/>
        <v>9416288.9726931434</v>
      </c>
      <c r="M36" s="24">
        <f t="shared" si="15"/>
        <v>5310000</v>
      </c>
      <c r="N36" s="21" t="s">
        <v>92</v>
      </c>
      <c r="O36" s="4">
        <f t="shared" si="16"/>
        <v>550.55204045966377</v>
      </c>
      <c r="P36" s="15">
        <v>2565967</v>
      </c>
      <c r="Q36" s="24">
        <f t="shared" si="17"/>
        <v>4550261.1612795684</v>
      </c>
      <c r="R36" s="15">
        <f t="shared" si="18"/>
        <v>2565967</v>
      </c>
    </row>
    <row r="37" spans="1:18">
      <c r="A37" s="20" t="s">
        <v>49</v>
      </c>
      <c r="B37" s="4">
        <f>'2010-10'!B37</f>
        <v>63.756000000000007</v>
      </c>
      <c r="C37" s="4">
        <f>'2010-10'!C37</f>
        <v>70.477750000000015</v>
      </c>
      <c r="D37" s="18">
        <f t="shared" si="9"/>
        <v>70477.750000000015</v>
      </c>
      <c r="E37" s="4">
        <f>'Interval Circuities'!G37</f>
        <v>1.2712116017778166</v>
      </c>
      <c r="F37" s="4">
        <f t="shared" si="10"/>
        <v>50.15372728728709</v>
      </c>
      <c r="G37" s="4">
        <f t="shared" si="11"/>
        <v>50.15372728728709</v>
      </c>
      <c r="H37" s="4">
        <f t="shared" si="12"/>
        <v>7902.3507279795485</v>
      </c>
      <c r="I37" s="4">
        <f t="shared" si="13"/>
        <v>1655.0541671588298</v>
      </c>
      <c r="J37" s="18">
        <v>2069.418674</v>
      </c>
      <c r="K37" s="15">
        <v>3425000</v>
      </c>
      <c r="L37" s="24">
        <f t="shared" si="14"/>
        <v>13078818.502693165</v>
      </c>
      <c r="M37" s="24">
        <f t="shared" si="15"/>
        <v>3425000</v>
      </c>
      <c r="N37" s="21" t="s">
        <v>92</v>
      </c>
      <c r="O37" s="4">
        <f t="shared" si="16"/>
        <v>794.59561308665377</v>
      </c>
      <c r="P37" s="15">
        <v>1644351</v>
      </c>
      <c r="Q37" s="24">
        <f t="shared" si="17"/>
        <v>6279173.2215246744</v>
      </c>
      <c r="R37" s="15">
        <f t="shared" si="18"/>
        <v>1644351</v>
      </c>
    </row>
    <row r="38" spans="1:18">
      <c r="A38" s="20" t="s">
        <v>50</v>
      </c>
      <c r="B38" s="4">
        <f>'2010-10'!B38</f>
        <v>68.465250000000012</v>
      </c>
      <c r="C38" s="4">
        <f>'2010-10'!C38</f>
        <v>76.837250000000012</v>
      </c>
      <c r="D38" s="18">
        <f t="shared" si="9"/>
        <v>76837.250000000015</v>
      </c>
      <c r="E38" s="4">
        <f>'Interval Circuities'!G38</f>
        <v>1.2535936164248203</v>
      </c>
      <c r="F38" s="4">
        <f t="shared" si="10"/>
        <v>54.615187173064207</v>
      </c>
      <c r="G38" s="4">
        <f t="shared" si="11"/>
        <v>54.615187173064207</v>
      </c>
      <c r="H38" s="4">
        <f t="shared" si="12"/>
        <v>9370.801220501744</v>
      </c>
      <c r="I38" s="4">
        <f t="shared" si="13"/>
        <v>822.12384643482994</v>
      </c>
      <c r="J38" s="18">
        <v>2207.6965749999999</v>
      </c>
      <c r="K38" s="15">
        <v>1815000</v>
      </c>
      <c r="L38" s="24">
        <f t="shared" si="14"/>
        <v>7703959.1435750928</v>
      </c>
      <c r="M38" s="24">
        <f t="shared" si="15"/>
        <v>1815000</v>
      </c>
      <c r="N38" s="21" t="s">
        <v>92</v>
      </c>
      <c r="O38" s="4">
        <f t="shared" si="16"/>
        <v>483.83732261757939</v>
      </c>
      <c r="P38" s="15">
        <v>1068166</v>
      </c>
      <c r="Q38" s="24">
        <f t="shared" si="17"/>
        <v>4533943.3733091094</v>
      </c>
      <c r="R38" s="15">
        <f t="shared" si="18"/>
        <v>1068166</v>
      </c>
    </row>
    <row r="39" spans="1:18">
      <c r="A39" s="20" t="s">
        <v>51</v>
      </c>
      <c r="B39" s="4">
        <f>'2010-10'!B39</f>
        <v>60.938500000000005</v>
      </c>
      <c r="C39" s="4">
        <f>'2010-10'!C39</f>
        <v>71.443750000000009</v>
      </c>
      <c r="D39" s="18">
        <f t="shared" si="9"/>
        <v>71443.750000000015</v>
      </c>
      <c r="E39" s="4">
        <f>'Interval Circuities'!G39</f>
        <v>1.4297790976947944</v>
      </c>
      <c r="F39" s="4">
        <f t="shared" si="10"/>
        <v>42.620919621954179</v>
      </c>
      <c r="G39" s="4">
        <f t="shared" si="11"/>
        <v>42.620919621954179</v>
      </c>
      <c r="H39" s="4">
        <f t="shared" si="12"/>
        <v>5706.837482176772</v>
      </c>
      <c r="I39" s="4">
        <f t="shared" si="13"/>
        <v>1466.3827908170226</v>
      </c>
      <c r="J39" s="18">
        <v>1227.5103140000001</v>
      </c>
      <c r="K39" s="15">
        <v>1800000</v>
      </c>
      <c r="L39" s="24">
        <f t="shared" si="14"/>
        <v>8368408.2738535656</v>
      </c>
      <c r="M39" s="24">
        <f t="shared" si="15"/>
        <v>1800000</v>
      </c>
      <c r="N39" s="21" t="s">
        <v>92</v>
      </c>
      <c r="O39" s="4">
        <f t="shared" si="16"/>
        <v>771.73934035066679</v>
      </c>
      <c r="P39" s="15">
        <v>947318</v>
      </c>
      <c r="Q39" s="24">
        <f t="shared" si="17"/>
        <v>4404190.9939835621</v>
      </c>
      <c r="R39" s="15">
        <f t="shared" si="18"/>
        <v>947318</v>
      </c>
    </row>
    <row r="40" spans="1:18">
      <c r="A40" s="20" t="s">
        <v>52</v>
      </c>
      <c r="B40" s="4">
        <f>'2010-10'!B40</f>
        <v>61.542249999999996</v>
      </c>
      <c r="C40" s="4">
        <f>'2010-10'!C40</f>
        <v>68.062750000000008</v>
      </c>
      <c r="D40" s="18">
        <f t="shared" si="9"/>
        <v>68062.750000000015</v>
      </c>
      <c r="E40" s="4">
        <f>'Interval Circuities'!G40</f>
        <v>1.2346713669311957</v>
      </c>
      <c r="F40" s="4">
        <f t="shared" si="10"/>
        <v>49.845045125622931</v>
      </c>
      <c r="G40" s="4">
        <f t="shared" si="11"/>
        <v>49.845045125622931</v>
      </c>
      <c r="H40" s="4">
        <f t="shared" si="12"/>
        <v>7805.3765572987286</v>
      </c>
      <c r="I40" s="4">
        <f t="shared" si="13"/>
        <v>954.46089809134196</v>
      </c>
      <c r="J40" s="18">
        <v>1304.4012620000001</v>
      </c>
      <c r="K40" s="15">
        <v>1245000</v>
      </c>
      <c r="L40" s="24">
        <f t="shared" si="14"/>
        <v>7449926.7188204518</v>
      </c>
      <c r="M40" s="24">
        <f t="shared" si="15"/>
        <v>1245000</v>
      </c>
      <c r="N40" s="21" t="s">
        <v>92</v>
      </c>
      <c r="O40" s="4">
        <f t="shared" si="16"/>
        <v>487.50566142889852</v>
      </c>
      <c r="P40" s="15">
        <v>635903</v>
      </c>
      <c r="Q40" s="24">
        <f t="shared" si="17"/>
        <v>3805165.2612675354</v>
      </c>
      <c r="R40" s="15">
        <f t="shared" si="18"/>
        <v>635903</v>
      </c>
    </row>
    <row r="41" spans="1:18">
      <c r="A41" s="20" t="s">
        <v>53</v>
      </c>
      <c r="B41" s="4">
        <f>'2010-10'!B41</f>
        <v>67.57974999999999</v>
      </c>
      <c r="C41" s="4">
        <f>'2010-10'!C41</f>
        <v>75.46875</v>
      </c>
      <c r="D41" s="18">
        <f t="shared" si="9"/>
        <v>75468.75</v>
      </c>
      <c r="E41" s="4">
        <f>'Interval Circuities'!G41</f>
        <v>1.1953550018287182</v>
      </c>
      <c r="F41" s="4">
        <f t="shared" si="10"/>
        <v>56.535296959156788</v>
      </c>
      <c r="G41" s="4">
        <f t="shared" si="11"/>
        <v>56.535296959156788</v>
      </c>
      <c r="H41" s="4">
        <f t="shared" si="12"/>
        <v>10041.283481891443</v>
      </c>
      <c r="I41" s="4">
        <f t="shared" si="13"/>
        <v>1238.2323980039887</v>
      </c>
      <c r="J41" s="18">
        <v>827.79291000000001</v>
      </c>
      <c r="K41" s="15">
        <v>1025000</v>
      </c>
      <c r="L41" s="24">
        <f t="shared" si="14"/>
        <v>12433442.524820283</v>
      </c>
      <c r="M41" s="24">
        <f t="shared" si="15"/>
        <v>1025000</v>
      </c>
      <c r="N41" s="21" t="s">
        <v>92</v>
      </c>
      <c r="O41" s="4">
        <f t="shared" si="16"/>
        <v>839.88880745547817</v>
      </c>
      <c r="P41" s="15">
        <f>438888+235541+20825</f>
        <v>695254</v>
      </c>
      <c r="Q41" s="24">
        <f t="shared" si="17"/>
        <v>8433561.6089281961</v>
      </c>
      <c r="R41" s="15">
        <f t="shared" si="18"/>
        <v>695254</v>
      </c>
    </row>
    <row r="42" spans="1:18">
      <c r="A42" s="20" t="s">
        <v>82</v>
      </c>
      <c r="B42" s="4">
        <f>'2010-10'!B42</f>
        <v>63.595000000000006</v>
      </c>
      <c r="C42" s="4">
        <f>'2010-10'!C42</f>
        <v>70.84</v>
      </c>
      <c r="D42" s="18">
        <f t="shared" si="9"/>
        <v>70840</v>
      </c>
      <c r="E42" s="4">
        <f>'Interval Circuities'!G42</f>
        <v>1.2027779213679537</v>
      </c>
      <c r="F42" s="4">
        <f t="shared" si="10"/>
        <v>52.873434796401646</v>
      </c>
      <c r="G42" s="4">
        <f t="shared" si="11"/>
        <v>52.873434796401646</v>
      </c>
      <c r="H42" s="4">
        <f t="shared" si="12"/>
        <v>8782.6367590580248</v>
      </c>
      <c r="I42" s="4">
        <f t="shared" si="13"/>
        <v>974.56496374961057</v>
      </c>
      <c r="J42" s="18">
        <v>764.44365200000004</v>
      </c>
      <c r="K42" s="15">
        <v>745000</v>
      </c>
      <c r="L42" s="24">
        <f t="shared" si="14"/>
        <v>8559250.074717382</v>
      </c>
      <c r="M42" s="24">
        <f t="shared" si="15"/>
        <v>745000</v>
      </c>
      <c r="N42" s="21" t="s">
        <v>92</v>
      </c>
      <c r="O42" s="4">
        <f t="shared" si="16"/>
        <v>596.12634470539103</v>
      </c>
      <c r="P42" s="15">
        <f>430223+17339+8143</f>
        <v>455705</v>
      </c>
      <c r="Q42" s="24">
        <f t="shared" si="17"/>
        <v>5235561.1480524624</v>
      </c>
      <c r="R42" s="15">
        <f t="shared" si="18"/>
        <v>455705</v>
      </c>
    </row>
    <row r="43" spans="1:18">
      <c r="A43" s="20" t="s">
        <v>54</v>
      </c>
      <c r="B43" s="4">
        <f>'2010-10'!B43</f>
        <v>56.873250000000006</v>
      </c>
      <c r="C43" s="4">
        <f>'2010-10'!C43</f>
        <v>65.688000000000017</v>
      </c>
      <c r="D43" s="18">
        <f t="shared" si="9"/>
        <v>65688.000000000015</v>
      </c>
      <c r="E43" s="4">
        <f>'Interval Circuities'!G43</f>
        <v>1.3967267442968094</v>
      </c>
      <c r="F43" s="4">
        <f t="shared" si="10"/>
        <v>40.718952531143223</v>
      </c>
      <c r="G43" s="4">
        <f t="shared" si="11"/>
        <v>40.718952531143223</v>
      </c>
      <c r="H43" s="4">
        <f t="shared" si="12"/>
        <v>5208.8645913942937</v>
      </c>
      <c r="I43" s="4">
        <f t="shared" si="13"/>
        <v>1946.0452814625608</v>
      </c>
      <c r="J43" s="18">
        <v>955.78454299999999</v>
      </c>
      <c r="K43" s="15">
        <v>1860000</v>
      </c>
      <c r="L43" s="24">
        <f t="shared" si="14"/>
        <v>10136686.359860275</v>
      </c>
      <c r="M43" s="24">
        <f t="shared" si="15"/>
        <v>1860000</v>
      </c>
      <c r="N43" s="21" t="s">
        <v>92</v>
      </c>
      <c r="O43" s="4">
        <f t="shared" si="16"/>
        <v>727.9443940536712</v>
      </c>
      <c r="P43" s="15">
        <v>695758</v>
      </c>
      <c r="Q43" s="24">
        <f t="shared" si="17"/>
        <v>3791763.7786901426</v>
      </c>
      <c r="R43" s="15">
        <f t="shared" si="18"/>
        <v>695758</v>
      </c>
    </row>
    <row r="44" spans="1:18">
      <c r="A44" s="20" t="s">
        <v>55</v>
      </c>
      <c r="B44" s="4">
        <f>'2010-10'!B44</f>
        <v>78.084999999999994</v>
      </c>
      <c r="C44" s="4">
        <f>'2010-10'!C44</f>
        <v>86.658249999999995</v>
      </c>
      <c r="D44" s="18">
        <f t="shared" si="9"/>
        <v>86658.25</v>
      </c>
      <c r="E44" s="4">
        <f>'Interval Circuities'!G44</f>
        <v>1.3899925563291859</v>
      </c>
      <c r="F44" s="4">
        <f t="shared" si="10"/>
        <v>56.176559827207782</v>
      </c>
      <c r="G44" s="4">
        <f t="shared" si="11"/>
        <v>56.176559827207782</v>
      </c>
      <c r="H44" s="4">
        <f t="shared" si="12"/>
        <v>9914.2565499762932</v>
      </c>
      <c r="I44" s="4">
        <f t="shared" si="13"/>
        <v>1631.618994212552</v>
      </c>
      <c r="J44" s="18">
        <v>597.56597799999997</v>
      </c>
      <c r="K44" s="15">
        <v>975000</v>
      </c>
      <c r="L44" s="24">
        <f t="shared" si="14"/>
        <v>16176289.300437525</v>
      </c>
      <c r="M44" s="24">
        <f t="shared" si="15"/>
        <v>975000</v>
      </c>
      <c r="N44" s="21" t="s">
        <v>92</v>
      </c>
      <c r="O44" s="4">
        <f t="shared" si="16"/>
        <v>1202.6186671557798</v>
      </c>
      <c r="P44" s="15">
        <f>563242+155402</f>
        <v>718644</v>
      </c>
      <c r="Q44" s="24">
        <f t="shared" si="17"/>
        <v>11923069.99797295</v>
      </c>
      <c r="R44" s="15">
        <f t="shared" si="18"/>
        <v>718644</v>
      </c>
    </row>
    <row r="45" spans="1:18">
      <c r="A45" s="20" t="s">
        <v>68</v>
      </c>
      <c r="B45" s="4">
        <f>'2010-10'!B45</f>
        <v>64.078000000000003</v>
      </c>
      <c r="C45" s="4">
        <f>'2010-10'!C45</f>
        <v>74.422249999999991</v>
      </c>
      <c r="D45" s="18">
        <f t="shared" si="9"/>
        <v>74422.249999999985</v>
      </c>
      <c r="E45" s="4">
        <f>'Interval Circuities'!G45</f>
        <v>1.2757965860482567</v>
      </c>
      <c r="F45" s="4">
        <f t="shared" si="10"/>
        <v>50.225875112646108</v>
      </c>
      <c r="G45" s="4">
        <f t="shared" si="11"/>
        <v>50.225875112646108</v>
      </c>
      <c r="H45" s="4">
        <f t="shared" si="12"/>
        <v>7925.1026761216071</v>
      </c>
      <c r="I45" s="4">
        <f t="shared" si="13"/>
        <v>1373.6608426756356</v>
      </c>
      <c r="J45" s="18">
        <v>1055.5735119999999</v>
      </c>
      <c r="K45" s="15">
        <v>1450000</v>
      </c>
      <c r="L45" s="24">
        <f t="shared" si="14"/>
        <v>10886403.220372142</v>
      </c>
      <c r="M45" s="24">
        <f t="shared" si="15"/>
        <v>1450000</v>
      </c>
      <c r="N45" s="21" t="s">
        <v>92</v>
      </c>
      <c r="O45" s="4">
        <f t="shared" si="16"/>
        <v>697.12529883944273</v>
      </c>
      <c r="P45" s="15">
        <v>735867</v>
      </c>
      <c r="Q45" s="24">
        <f t="shared" si="17"/>
        <v>5524789.5714245429</v>
      </c>
      <c r="R45" s="15">
        <f t="shared" si="18"/>
        <v>735867</v>
      </c>
    </row>
    <row r="46" spans="1:18">
      <c r="A46" s="20" t="s">
        <v>69</v>
      </c>
      <c r="B46" s="4">
        <f>'2010-10'!B46</f>
        <v>60.495750000000008</v>
      </c>
      <c r="C46" s="4">
        <f>'2010-10'!C46</f>
        <v>69.672750000000008</v>
      </c>
      <c r="D46" s="18">
        <f t="shared" si="9"/>
        <v>69672.750000000015</v>
      </c>
      <c r="E46" s="4">
        <f>'Interval Circuities'!G46</f>
        <v>1.3922798957924276</v>
      </c>
      <c r="F46" s="4">
        <f t="shared" si="10"/>
        <v>43.450853655807727</v>
      </c>
      <c r="G46" s="4">
        <f t="shared" si="11"/>
        <v>43.450853655807727</v>
      </c>
      <c r="H46" s="4">
        <f t="shared" si="12"/>
        <v>5931.2536787761301</v>
      </c>
      <c r="I46" s="4">
        <f t="shared" si="13"/>
        <v>1455.9905696507528</v>
      </c>
      <c r="J46" s="18">
        <v>2026.112024</v>
      </c>
      <c r="K46" s="15">
        <v>2950000</v>
      </c>
      <c r="L46" s="24">
        <f t="shared" si="14"/>
        <v>8635849.4225043803</v>
      </c>
      <c r="M46" s="24">
        <f t="shared" si="15"/>
        <v>2950000</v>
      </c>
      <c r="N46" s="21" t="s">
        <v>92</v>
      </c>
      <c r="O46" s="4">
        <f t="shared" si="16"/>
        <v>586.57319334876024</v>
      </c>
      <c r="P46" s="15">
        <v>1188463</v>
      </c>
      <c r="Q46" s="24">
        <f t="shared" si="17"/>
        <v>3479114.4109212966</v>
      </c>
      <c r="R46" s="15">
        <f t="shared" si="18"/>
        <v>1188463</v>
      </c>
    </row>
    <row r="47" spans="1:18" ht="16">
      <c r="A47" s="20" t="s">
        <v>114</v>
      </c>
      <c r="B47" s="4">
        <f>'2010-10'!B47</f>
        <v>53.250750000000011</v>
      </c>
      <c r="C47" s="4">
        <f>'2010-10'!C47</f>
        <v>64.118250000000003</v>
      </c>
      <c r="D47" s="18">
        <f t="shared" si="9"/>
        <v>64118.25</v>
      </c>
      <c r="E47" s="4">
        <f>'Interval Circuities'!G47</f>
        <v>1.3884703455577154</v>
      </c>
      <c r="F47" s="4">
        <f t="shared" si="10"/>
        <v>38.352097450529598</v>
      </c>
      <c r="G47" s="4">
        <f t="shared" si="11"/>
        <v>38.352097450529598</v>
      </c>
      <c r="H47" s="4">
        <f t="shared" si="12"/>
        <v>4620.9164172979454</v>
      </c>
      <c r="I47" s="4">
        <f t="shared" si="13"/>
        <v>4044.244551759617</v>
      </c>
      <c r="J47" s="18">
        <v>1107.747057</v>
      </c>
      <c r="K47" s="15">
        <v>4480000</v>
      </c>
      <c r="L47" s="24">
        <f t="shared" si="14"/>
        <v>18688116.044793785</v>
      </c>
      <c r="M47" s="24">
        <f t="shared" si="15"/>
        <v>4480000</v>
      </c>
      <c r="N47" s="21" t="s">
        <v>92</v>
      </c>
      <c r="O47" s="4">
        <f t="shared" si="16"/>
        <v>1773.2504795090599</v>
      </c>
      <c r="P47" s="15">
        <v>1964313</v>
      </c>
      <c r="Q47" s="24">
        <f t="shared" si="17"/>
        <v>8194042.2527448684</v>
      </c>
      <c r="R47" s="15">
        <f t="shared" si="18"/>
        <v>1964313</v>
      </c>
    </row>
    <row r="48" spans="1:18" ht="16">
      <c r="A48" s="20" t="s">
        <v>72</v>
      </c>
      <c r="B48" s="4">
        <f>'2010-10'!B48</f>
        <v>63.71575</v>
      </c>
      <c r="C48" s="4">
        <f>'2010-10'!C48</f>
        <v>74.382000000000005</v>
      </c>
      <c r="D48" s="18">
        <f t="shared" si="9"/>
        <v>74382</v>
      </c>
      <c r="E48" s="4">
        <f>'Interval Circuities'!G48</f>
        <v>1.4006797245444369</v>
      </c>
      <c r="F48" s="4">
        <f t="shared" si="10"/>
        <v>45.489164213270229</v>
      </c>
      <c r="G48" s="4">
        <f t="shared" si="11"/>
        <v>45.489164213270229</v>
      </c>
      <c r="H48" s="4">
        <f t="shared" si="12"/>
        <v>6500.7847718153535</v>
      </c>
      <c r="I48" s="4">
        <f t="shared" si="13"/>
        <v>2530.8612515940731</v>
      </c>
      <c r="J48" s="18">
        <v>673.68371100000002</v>
      </c>
      <c r="K48" s="15">
        <v>1705000</v>
      </c>
      <c r="L48" s="24">
        <f t="shared" si="14"/>
        <v>16452584.283940297</v>
      </c>
      <c r="M48" s="24">
        <f t="shared" si="15"/>
        <v>1705000</v>
      </c>
      <c r="N48" s="21" t="s">
        <v>92</v>
      </c>
      <c r="O48" s="4">
        <f t="shared" si="16"/>
        <v>1384.3499327238446</v>
      </c>
      <c r="P48" s="15">
        <v>932614</v>
      </c>
      <c r="Q48" s="24">
        <f t="shared" si="17"/>
        <v>8999360.9615147784</v>
      </c>
      <c r="R48" s="15">
        <f t="shared" si="18"/>
        <v>932614</v>
      </c>
    </row>
    <row r="49" spans="1:18">
      <c r="A49" s="20" t="s">
        <v>56</v>
      </c>
      <c r="B49" s="4">
        <f>'2010-10'!B49</f>
        <v>52.928750000000001</v>
      </c>
      <c r="C49" s="4">
        <f>'2010-10'!C49</f>
        <v>63.23275000000001</v>
      </c>
      <c r="D49" s="18">
        <f t="shared" si="9"/>
        <v>63232.750000000007</v>
      </c>
      <c r="E49" s="4">
        <f>'Interval Circuities'!G49</f>
        <v>1.4052977562776781</v>
      </c>
      <c r="F49" s="4">
        <f t="shared" si="10"/>
        <v>37.663726255563461</v>
      </c>
      <c r="G49" s="4">
        <f t="shared" si="11"/>
        <v>37.663726255563461</v>
      </c>
      <c r="H49" s="4">
        <f t="shared" si="12"/>
        <v>4456.5259736700491</v>
      </c>
      <c r="I49" s="4">
        <f t="shared" si="13"/>
        <v>1255.1211285274092</v>
      </c>
      <c r="J49" s="18">
        <v>2469.8811369999999</v>
      </c>
      <c r="K49" s="15">
        <v>3100000</v>
      </c>
      <c r="L49" s="24">
        <f t="shared" si="14"/>
        <v>5593479.909384463</v>
      </c>
      <c r="M49" s="24">
        <f t="shared" si="15"/>
        <v>3100000</v>
      </c>
      <c r="N49" s="21" t="s">
        <v>92</v>
      </c>
      <c r="O49" s="4">
        <f t="shared" si="16"/>
        <v>637.55537722461668</v>
      </c>
      <c r="P49" s="15">
        <v>1574686</v>
      </c>
      <c r="Q49" s="24">
        <f t="shared" si="17"/>
        <v>2841282.0982545102</v>
      </c>
      <c r="R49" s="15">
        <f t="shared" si="18"/>
        <v>1574686</v>
      </c>
    </row>
    <row r="50" spans="1:18">
      <c r="A50" s="20" t="s">
        <v>76</v>
      </c>
      <c r="B50" s="4">
        <f>'2010-10'!B50</f>
        <v>60.375000000000007</v>
      </c>
      <c r="C50" s="4">
        <f>'2010-10'!C50</f>
        <v>66.814999999999998</v>
      </c>
      <c r="D50" s="18">
        <f t="shared" si="9"/>
        <v>66815</v>
      </c>
      <c r="E50" s="4">
        <f>'Interval Circuities'!G50</f>
        <v>1.2361288587570294</v>
      </c>
      <c r="F50" s="4">
        <f t="shared" si="10"/>
        <v>48.84199537312734</v>
      </c>
      <c r="G50" s="4">
        <f t="shared" si="11"/>
        <v>48.84199537312734</v>
      </c>
      <c r="H50" s="4">
        <f t="shared" si="12"/>
        <v>7494.3965474298593</v>
      </c>
      <c r="I50" s="4">
        <f t="shared" si="13"/>
        <v>1874.9988406660766</v>
      </c>
      <c r="J50" s="18">
        <v>2890.6684540000001</v>
      </c>
      <c r="K50" s="15">
        <v>5420000</v>
      </c>
      <c r="L50" s="24">
        <f t="shared" si="14"/>
        <v>14051984.837922834</v>
      </c>
      <c r="M50" s="24">
        <f t="shared" si="15"/>
        <v>5420000</v>
      </c>
      <c r="N50" s="21" t="s">
        <v>92</v>
      </c>
      <c r="O50" s="4">
        <f t="shared" si="16"/>
        <v>693.05838143691869</v>
      </c>
      <c r="P50" s="15">
        <v>2003402</v>
      </c>
      <c r="Q50" s="24">
        <f t="shared" si="17"/>
        <v>5194054.3410081696</v>
      </c>
      <c r="R50" s="15">
        <f t="shared" si="18"/>
        <v>2003402</v>
      </c>
    </row>
    <row r="51" spans="1:18">
      <c r="A51" s="20" t="s">
        <v>57</v>
      </c>
      <c r="B51" s="4">
        <f>'2010-10'!B51</f>
        <v>59.771250000000002</v>
      </c>
      <c r="C51" s="4">
        <f>'2010-10'!C51</f>
        <v>67.539500000000004</v>
      </c>
      <c r="D51" s="18">
        <f t="shared" si="9"/>
        <v>67539.5</v>
      </c>
      <c r="E51" s="4">
        <f>'Interval Circuities'!G51</f>
        <v>1.3133949871020121</v>
      </c>
      <c r="F51" s="4">
        <f t="shared" si="10"/>
        <v>45.508967665457931</v>
      </c>
      <c r="G51" s="4">
        <f t="shared" si="11"/>
        <v>45.508967665457931</v>
      </c>
      <c r="H51" s="4">
        <f t="shared" si="12"/>
        <v>6506.4461641630287</v>
      </c>
      <c r="I51" s="4">
        <f t="shared" si="13"/>
        <v>1031.684545690754</v>
      </c>
      <c r="J51" s="18">
        <v>2146.9741009999998</v>
      </c>
      <c r="K51" s="15">
        <v>2215000</v>
      </c>
      <c r="L51" s="24">
        <f t="shared" si="14"/>
        <v>6712599.9549358832</v>
      </c>
      <c r="M51" s="24">
        <f t="shared" si="15"/>
        <v>2215000</v>
      </c>
      <c r="N51" s="21" t="s">
        <v>92</v>
      </c>
      <c r="O51" s="4">
        <f t="shared" si="16"/>
        <v>587.96843399835689</v>
      </c>
      <c r="P51" s="15">
        <v>1262353</v>
      </c>
      <c r="Q51" s="24">
        <f t="shared" si="17"/>
        <v>3825584.9620375521</v>
      </c>
      <c r="R51" s="15">
        <f t="shared" si="18"/>
        <v>1262353</v>
      </c>
    </row>
    <row r="52" spans="1:18">
      <c r="A52" s="20" t="s">
        <v>71</v>
      </c>
      <c r="B52" s="4">
        <f>'2010-10'!B52</f>
        <v>61.099500000000006</v>
      </c>
      <c r="C52" s="4">
        <f>'2010-10'!C52</f>
        <v>68.384749999999997</v>
      </c>
      <c r="D52" s="18">
        <f t="shared" si="9"/>
        <v>68384.75</v>
      </c>
      <c r="E52" s="4">
        <f>'Interval Circuities'!G52</f>
        <v>1.264854950694025</v>
      </c>
      <c r="F52" s="4">
        <f t="shared" si="10"/>
        <v>48.305538881335565</v>
      </c>
      <c r="G52" s="4">
        <f t="shared" si="11"/>
        <v>48.305538881335565</v>
      </c>
      <c r="H52" s="4">
        <f t="shared" si="12"/>
        <v>7330.6711098156493</v>
      </c>
      <c r="I52" s="4">
        <f t="shared" si="13"/>
        <v>1116.5255971867098</v>
      </c>
      <c r="J52" s="18">
        <v>2077.87444</v>
      </c>
      <c r="K52" s="15">
        <v>2320000</v>
      </c>
      <c r="L52" s="24">
        <f t="shared" si="14"/>
        <v>8184881.9386662785</v>
      </c>
      <c r="M52" s="24">
        <f t="shared" si="15"/>
        <v>2320000</v>
      </c>
      <c r="N52" s="21" t="s">
        <v>92</v>
      </c>
      <c r="O52" s="4">
        <f t="shared" si="16"/>
        <v>483.81316052956498</v>
      </c>
      <c r="P52" s="15">
        <v>1005303</v>
      </c>
      <c r="Q52" s="24">
        <f t="shared" si="17"/>
        <v>3546675.1584426831</v>
      </c>
      <c r="R52" s="15">
        <f t="shared" si="18"/>
        <v>1005303</v>
      </c>
    </row>
    <row r="53" spans="1:18" ht="16">
      <c r="A53" s="20" t="s">
        <v>117</v>
      </c>
      <c r="B53" s="4">
        <f>'2010-10'!B53</f>
        <v>57.074500000000008</v>
      </c>
      <c r="C53" s="4">
        <f>'2010-10'!C53</f>
        <v>69.189749999999989</v>
      </c>
      <c r="D53" s="18">
        <f t="shared" si="9"/>
        <v>69189.749999999985</v>
      </c>
      <c r="E53" s="4">
        <f>'Interval Circuities'!G53</f>
        <v>1.271908405391577</v>
      </c>
      <c r="F53" s="4">
        <f t="shared" si="10"/>
        <v>44.873121176071422</v>
      </c>
      <c r="G53" s="4">
        <f t="shared" si="11"/>
        <v>44.873121176071422</v>
      </c>
      <c r="H53" s="4">
        <f t="shared" si="12"/>
        <v>6325.9015553156514</v>
      </c>
      <c r="I53" s="4">
        <f t="shared" si="13"/>
        <v>1445.2558415588917</v>
      </c>
      <c r="J53" s="18">
        <v>2996.0093400000001</v>
      </c>
      <c r="K53" s="15">
        <v>4330000</v>
      </c>
      <c r="L53" s="24">
        <f t="shared" si="14"/>
        <v>9142546.1759464238</v>
      </c>
      <c r="M53" s="24">
        <f t="shared" si="15"/>
        <v>4330000</v>
      </c>
      <c r="N53" s="21" t="s">
        <v>92</v>
      </c>
      <c r="O53" s="4">
        <f t="shared" si="16"/>
        <v>824.50343762947011</v>
      </c>
      <c r="P53" s="15">
        <v>2470220</v>
      </c>
      <c r="Q53" s="24">
        <f t="shared" si="17"/>
        <v>5215727.5784633663</v>
      </c>
      <c r="R53" s="15">
        <f t="shared" si="18"/>
        <v>2470220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E3" sqref="E3:E53"/>
    </sheetView>
  </sheetViews>
  <sheetFormatPr baseColWidth="10" defaultColWidth="11.5" defaultRowHeight="14" x14ac:dyDescent="0"/>
  <cols>
    <col min="4" max="4" width="11.5" style="20"/>
  </cols>
  <sheetData>
    <row r="1" spans="1:18" ht="56">
      <c r="A1" s="20">
        <f>7/6</f>
        <v>1.1666666666666667</v>
      </c>
      <c r="B1" s="1" t="s">
        <v>60</v>
      </c>
      <c r="C1" s="1" t="s">
        <v>61</v>
      </c>
      <c r="D1" s="1" t="s">
        <v>169</v>
      </c>
      <c r="E1" s="7" t="s">
        <v>91</v>
      </c>
      <c r="F1" s="1" t="s">
        <v>21</v>
      </c>
      <c r="G1" s="1" t="s">
        <v>20</v>
      </c>
      <c r="H1" s="1" t="s">
        <v>131</v>
      </c>
      <c r="I1" s="1" t="s">
        <v>25</v>
      </c>
      <c r="J1" s="8" t="s">
        <v>84</v>
      </c>
      <c r="K1" s="25" t="s">
        <v>79</v>
      </c>
      <c r="L1" s="23" t="s">
        <v>77</v>
      </c>
      <c r="M1" s="29" t="s">
        <v>104</v>
      </c>
      <c r="N1" s="21" t="s">
        <v>92</v>
      </c>
      <c r="O1" s="1" t="s">
        <v>90</v>
      </c>
      <c r="P1" s="1" t="s">
        <v>88</v>
      </c>
      <c r="Q1" s="23" t="s">
        <v>89</v>
      </c>
      <c r="R1" s="20" t="s">
        <v>103</v>
      </c>
    </row>
    <row r="2" spans="1:18" ht="16">
      <c r="A2" s="20" t="s">
        <v>16</v>
      </c>
      <c r="B2" s="20" t="s">
        <v>18</v>
      </c>
      <c r="C2" s="20" t="s">
        <v>122</v>
      </c>
      <c r="E2" s="20" t="s">
        <v>115</v>
      </c>
      <c r="F2" s="20" t="s">
        <v>17</v>
      </c>
      <c r="G2" s="20" t="s">
        <v>19</v>
      </c>
      <c r="H2" s="20" t="s">
        <v>132</v>
      </c>
      <c r="I2" s="20" t="s">
        <v>24</v>
      </c>
      <c r="J2" s="9" t="s">
        <v>16</v>
      </c>
      <c r="K2" s="15" t="s">
        <v>123</v>
      </c>
      <c r="L2" s="24" t="s">
        <v>129</v>
      </c>
      <c r="M2" s="24" t="s">
        <v>124</v>
      </c>
      <c r="N2" s="21" t="s">
        <v>92</v>
      </c>
      <c r="O2" s="20" t="s">
        <v>125</v>
      </c>
      <c r="P2" s="20" t="s">
        <v>126</v>
      </c>
      <c r="Q2" s="24" t="s">
        <v>128</v>
      </c>
      <c r="R2" s="20" t="s">
        <v>127</v>
      </c>
    </row>
    <row r="3" spans="1:18">
      <c r="A3" s="20" t="s">
        <v>26</v>
      </c>
      <c r="B3" s="4">
        <f>'2010-10'!B3</f>
        <v>57.436750000000011</v>
      </c>
      <c r="C3" s="4">
        <f>'2010-10'!C3</f>
        <v>68.143250000000009</v>
      </c>
      <c r="D3" s="18">
        <f>C3*$A$1*1000</f>
        <v>79500.458333333358</v>
      </c>
      <c r="E3" s="4">
        <f>'Interval Circuities'!H3</f>
        <v>1.1994894097934046</v>
      </c>
      <c r="F3" s="4">
        <f t="shared" ref="F3:F53" si="0">B3/E3</f>
        <v>47.884332726116099</v>
      </c>
      <c r="G3" s="4">
        <f t="shared" ref="G3:G53" si="1">F3*$A$1</f>
        <v>55.865054847135454</v>
      </c>
      <c r="H3" s="4">
        <f t="shared" ref="H3:H53" si="2">PI()*G3^2</f>
        <v>9804.6101881719642</v>
      </c>
      <c r="I3" s="4">
        <f t="shared" ref="I3:I53" si="3">K3/J3</f>
        <v>873.48977839674285</v>
      </c>
      <c r="J3" s="9">
        <v>5083.0589090000003</v>
      </c>
      <c r="K3" s="15">
        <v>4440000</v>
      </c>
      <c r="L3" s="24">
        <f t="shared" ref="L3:L53" si="4">H3*I3</f>
        <v>8564226.7805327754</v>
      </c>
      <c r="M3" s="24">
        <f t="shared" ref="M3:M53" si="5">MIN(K3,L3)</f>
        <v>4440000</v>
      </c>
      <c r="N3" s="21" t="s">
        <v>92</v>
      </c>
      <c r="O3" s="4">
        <f t="shared" ref="O3:O53" si="6">P3/J3</f>
        <v>436.36913120811522</v>
      </c>
      <c r="P3" s="15">
        <v>2218090</v>
      </c>
      <c r="Q3" s="24">
        <f t="shared" ref="Q3:Q53" si="7">H3*O3</f>
        <v>4278429.2296468355</v>
      </c>
      <c r="R3" s="15">
        <f t="shared" ref="R3:R53" si="8">MIN(Q3,P3)</f>
        <v>2218090</v>
      </c>
    </row>
    <row r="4" spans="1:18">
      <c r="A4" s="20" t="s">
        <v>27</v>
      </c>
      <c r="B4" s="4">
        <f>'2010-10'!B4</f>
        <v>62.91075</v>
      </c>
      <c r="C4" s="4">
        <f>'2010-10'!C4</f>
        <v>76.756750000000011</v>
      </c>
      <c r="D4" s="18">
        <f t="shared" ref="D4:D53" si="9">C4*$A$1*1000</f>
        <v>89549.541666666686</v>
      </c>
      <c r="E4" s="4">
        <f>'Interval Circuities'!H4</f>
        <v>1.2686558801685661</v>
      </c>
      <c r="F4" s="4">
        <f t="shared" si="0"/>
        <v>49.588506216233405</v>
      </c>
      <c r="G4" s="4">
        <f t="shared" si="1"/>
        <v>57.853257252272307</v>
      </c>
      <c r="H4" s="4">
        <f t="shared" si="2"/>
        <v>10514.908647119606</v>
      </c>
      <c r="I4" s="4">
        <f t="shared" si="3"/>
        <v>1256.1525913969799</v>
      </c>
      <c r="J4" s="9">
        <v>823.94448499999999</v>
      </c>
      <c r="K4" s="15">
        <v>1035000</v>
      </c>
      <c r="L4" s="24">
        <f t="shared" si="4"/>
        <v>13208329.745381806</v>
      </c>
      <c r="M4" s="24">
        <f t="shared" si="5"/>
        <v>1035000</v>
      </c>
      <c r="N4" s="21" t="s">
        <v>92</v>
      </c>
      <c r="O4" s="4">
        <f t="shared" si="6"/>
        <v>796.23932430350578</v>
      </c>
      <c r="P4" s="15">
        <v>656057</v>
      </c>
      <c r="Q4" s="24">
        <f t="shared" si="7"/>
        <v>8372383.7562956056</v>
      </c>
      <c r="R4" s="15">
        <f t="shared" si="8"/>
        <v>656057</v>
      </c>
    </row>
    <row r="5" spans="1:18" ht="16">
      <c r="A5" s="20" t="s">
        <v>118</v>
      </c>
      <c r="B5" s="4">
        <f>'2010-10'!B5</f>
        <v>59.811500000000002</v>
      </c>
      <c r="C5" s="4">
        <f>'2010-10'!C5</f>
        <v>68.626249999999999</v>
      </c>
      <c r="D5" s="18">
        <f t="shared" si="9"/>
        <v>80063.958333333328</v>
      </c>
      <c r="E5" s="4">
        <f>'Interval Circuities'!H5</f>
        <v>1.2246097283275779</v>
      </c>
      <c r="F5" s="4">
        <f t="shared" si="0"/>
        <v>48.841274584420646</v>
      </c>
      <c r="G5" s="4">
        <f t="shared" si="1"/>
        <v>56.981487015157427</v>
      </c>
      <c r="H5" s="4">
        <f t="shared" si="2"/>
        <v>10200.405338914969</v>
      </c>
      <c r="I5" s="4">
        <f t="shared" si="3"/>
        <v>1312.0237170817477</v>
      </c>
      <c r="J5" s="9">
        <v>1768.260718</v>
      </c>
      <c r="K5" s="15">
        <v>2320000</v>
      </c>
      <c r="L5" s="24">
        <f t="shared" si="4"/>
        <v>13383173.728503721</v>
      </c>
      <c r="M5" s="24">
        <f t="shared" si="5"/>
        <v>2320000</v>
      </c>
      <c r="N5" s="21" t="s">
        <v>92</v>
      </c>
      <c r="O5" s="4">
        <f t="shared" si="6"/>
        <v>634.47657270187688</v>
      </c>
      <c r="P5" s="15">
        <v>1121920</v>
      </c>
      <c r="Q5" s="24">
        <f t="shared" si="7"/>
        <v>6471918.2196046961</v>
      </c>
      <c r="R5" s="15">
        <f t="shared" si="8"/>
        <v>1121920</v>
      </c>
    </row>
    <row r="6" spans="1:18">
      <c r="A6" s="20" t="s">
        <v>29</v>
      </c>
      <c r="B6" s="4">
        <f>'2010-10'!B6</f>
        <v>53.613</v>
      </c>
      <c r="C6" s="4">
        <f>'2010-10'!C6</f>
        <v>62.8705</v>
      </c>
      <c r="D6" s="18">
        <f t="shared" si="9"/>
        <v>73348.916666666672</v>
      </c>
      <c r="E6" s="4">
        <f>'Interval Circuities'!H6</f>
        <v>1.1860014644783186</v>
      </c>
      <c r="F6" s="4">
        <f t="shared" si="0"/>
        <v>45.204834568718283</v>
      </c>
      <c r="G6" s="4">
        <f t="shared" si="1"/>
        <v>52.738973663504666</v>
      </c>
      <c r="H6" s="4">
        <f t="shared" si="2"/>
        <v>8738.0237429190984</v>
      </c>
      <c r="I6" s="4">
        <f t="shared" si="3"/>
        <v>934.02366191942531</v>
      </c>
      <c r="J6" s="9">
        <v>4496.6740900000004</v>
      </c>
      <c r="K6" s="15">
        <v>4200000</v>
      </c>
      <c r="L6" s="24">
        <f t="shared" si="4"/>
        <v>8161520.9343001796</v>
      </c>
      <c r="M6" s="24">
        <f t="shared" si="5"/>
        <v>4200000</v>
      </c>
      <c r="N6" s="21" t="s">
        <v>92</v>
      </c>
      <c r="O6" s="4">
        <f t="shared" si="6"/>
        <v>645.53199584895856</v>
      </c>
      <c r="P6" s="15">
        <f>2341938+286024+61431+22699+190655</f>
        <v>2902747</v>
      </c>
      <c r="Q6" s="24">
        <f t="shared" si="7"/>
        <v>5640673.9065421531</v>
      </c>
      <c r="R6" s="15">
        <f t="shared" si="8"/>
        <v>2902747</v>
      </c>
    </row>
    <row r="7" spans="1:18">
      <c r="A7" s="20" t="s">
        <v>30</v>
      </c>
      <c r="B7" s="4">
        <f>'2010-10'!B7</f>
        <v>63.434000000000012</v>
      </c>
      <c r="C7" s="4">
        <f>'2010-10'!C7</f>
        <v>70.236249999999998</v>
      </c>
      <c r="D7" s="18">
        <f t="shared" si="9"/>
        <v>81942.291666666672</v>
      </c>
      <c r="E7" s="4">
        <f>'Interval Circuities'!H7</f>
        <v>1.1689289949876671</v>
      </c>
      <c r="F7" s="4">
        <f t="shared" si="0"/>
        <v>54.266769215241581</v>
      </c>
      <c r="G7" s="4">
        <f t="shared" si="1"/>
        <v>63.311230751115183</v>
      </c>
      <c r="H7" s="4">
        <f t="shared" si="2"/>
        <v>12592.483341552803</v>
      </c>
      <c r="I7" s="4">
        <f t="shared" si="3"/>
        <v>1184.5434204235628</v>
      </c>
      <c r="J7" s="9">
        <v>949.73302000000001</v>
      </c>
      <c r="K7" s="15">
        <v>1125000</v>
      </c>
      <c r="L7" s="24">
        <f t="shared" si="4"/>
        <v>14916343.289029693</v>
      </c>
      <c r="M7" s="24">
        <f t="shared" si="5"/>
        <v>1125000</v>
      </c>
      <c r="N7" s="21" t="s">
        <v>92</v>
      </c>
      <c r="O7" s="4">
        <f t="shared" si="6"/>
        <v>494.17361523346847</v>
      </c>
      <c r="P7" s="15">
        <v>469333</v>
      </c>
      <c r="Q7" s="24">
        <f t="shared" si="7"/>
        <v>6222873.0176623762</v>
      </c>
      <c r="R7" s="15">
        <f t="shared" si="8"/>
        <v>469333</v>
      </c>
    </row>
    <row r="8" spans="1:18">
      <c r="A8" s="20" t="s">
        <v>31</v>
      </c>
      <c r="B8" s="4">
        <f>'2010-10'!B8</f>
        <v>61.2605</v>
      </c>
      <c r="C8" s="4">
        <f>'2010-10'!C8</f>
        <v>70.799749999999989</v>
      </c>
      <c r="D8" s="18">
        <f t="shared" si="9"/>
        <v>82599.708333333328</v>
      </c>
      <c r="E8" s="4">
        <f>'Interval Circuities'!H8</f>
        <v>1.2189910044278438</v>
      </c>
      <c r="F8" s="4">
        <f t="shared" si="0"/>
        <v>50.255087836971988</v>
      </c>
      <c r="G8" s="4">
        <f t="shared" si="1"/>
        <v>58.630935809800654</v>
      </c>
      <c r="H8" s="4">
        <f t="shared" si="2"/>
        <v>10799.496915242267</v>
      </c>
      <c r="I8" s="4">
        <f t="shared" si="3"/>
        <v>949.91537958488948</v>
      </c>
      <c r="J8" s="9">
        <v>1126.4161240000001</v>
      </c>
      <c r="K8" s="15">
        <v>1070000</v>
      </c>
      <c r="L8" s="24">
        <f t="shared" si="4"/>
        <v>10258608.211568201</v>
      </c>
      <c r="M8" s="24">
        <f t="shared" si="5"/>
        <v>1070000</v>
      </c>
      <c r="N8" s="21" t="s">
        <v>92</v>
      </c>
      <c r="O8" s="4">
        <f t="shared" si="6"/>
        <v>723.7920184459291</v>
      </c>
      <c r="P8" s="15">
        <v>815291</v>
      </c>
      <c r="Q8" s="24">
        <f t="shared" si="7"/>
        <v>7816589.6704837857</v>
      </c>
      <c r="R8" s="15">
        <f t="shared" si="8"/>
        <v>815291</v>
      </c>
    </row>
    <row r="9" spans="1:18">
      <c r="A9" s="20" t="s">
        <v>32</v>
      </c>
      <c r="B9" s="4">
        <f>'2010-10'!B9</f>
        <v>49.265999999999998</v>
      </c>
      <c r="C9" s="4">
        <f>'2010-10'!C9</f>
        <v>60.495750000000008</v>
      </c>
      <c r="D9" s="18">
        <f t="shared" si="9"/>
        <v>70578.375000000015</v>
      </c>
      <c r="E9" s="4">
        <f>'Interval Circuities'!H9</f>
        <v>1.1823958559597361</v>
      </c>
      <c r="F9" s="4">
        <f t="shared" si="0"/>
        <v>41.666248872304614</v>
      </c>
      <c r="G9" s="4">
        <f t="shared" si="1"/>
        <v>48.610623684355389</v>
      </c>
      <c r="H9" s="4">
        <f t="shared" si="2"/>
        <v>7423.5606167055457</v>
      </c>
      <c r="I9" s="4">
        <f t="shared" si="3"/>
        <v>1535.0877689569375</v>
      </c>
      <c r="J9" s="9">
        <v>5498.0569649999998</v>
      </c>
      <c r="K9" s="15">
        <v>8440000</v>
      </c>
      <c r="L9" s="24">
        <f t="shared" si="4"/>
        <v>11395817.104815103</v>
      </c>
      <c r="M9" s="24">
        <f t="shared" si="5"/>
        <v>8440000</v>
      </c>
      <c r="N9" s="21" t="s">
        <v>92</v>
      </c>
      <c r="O9" s="4">
        <f t="shared" si="6"/>
        <v>761.20455401647519</v>
      </c>
      <c r="P9" s="15">
        <v>4185146</v>
      </c>
      <c r="Q9" s="24">
        <f t="shared" si="7"/>
        <v>5650848.1484536147</v>
      </c>
      <c r="R9" s="15">
        <f t="shared" si="8"/>
        <v>4185146</v>
      </c>
    </row>
    <row r="10" spans="1:18">
      <c r="A10" s="20" t="s">
        <v>33</v>
      </c>
      <c r="B10" s="4">
        <f>'2010-10'!B10</f>
        <v>66.895499999999998</v>
      </c>
      <c r="C10" s="4">
        <f>'2010-10'!C10</f>
        <v>72.530500000000018</v>
      </c>
      <c r="D10" s="18">
        <f t="shared" si="9"/>
        <v>84618.916666666686</v>
      </c>
      <c r="E10" s="4">
        <f>'Interval Circuities'!H10</f>
        <v>1.2682519023005123</v>
      </c>
      <c r="F10" s="4">
        <f t="shared" si="0"/>
        <v>52.746224845913225</v>
      </c>
      <c r="G10" s="4">
        <f t="shared" si="1"/>
        <v>61.537262320232102</v>
      </c>
      <c r="H10" s="4">
        <f t="shared" si="2"/>
        <v>11896.691928954278</v>
      </c>
      <c r="I10" s="4">
        <f t="shared" si="3"/>
        <v>959.84466122297908</v>
      </c>
      <c r="J10" s="9">
        <v>1739.864863</v>
      </c>
      <c r="K10" s="15">
        <v>1670000</v>
      </c>
      <c r="L10" s="24">
        <f t="shared" si="4"/>
        <v>11418976.234221268</v>
      </c>
      <c r="M10" s="24">
        <f t="shared" si="5"/>
        <v>1670000</v>
      </c>
      <c r="N10" s="21" t="s">
        <v>92</v>
      </c>
      <c r="O10" s="4">
        <f t="shared" si="6"/>
        <v>544.468722913683</v>
      </c>
      <c r="P10" s="15">
        <v>947302</v>
      </c>
      <c r="Q10" s="24">
        <f t="shared" si="7"/>
        <v>6477376.6614552559</v>
      </c>
      <c r="R10" s="15">
        <f t="shared" si="8"/>
        <v>947302</v>
      </c>
    </row>
    <row r="11" spans="1:18">
      <c r="A11" s="20" t="s">
        <v>34</v>
      </c>
      <c r="B11" s="4">
        <f>'2010-10'!B11</f>
        <v>66.332000000000008</v>
      </c>
      <c r="C11" s="4">
        <f>'2010-10'!C11</f>
        <v>73.013500000000008</v>
      </c>
      <c r="D11" s="18">
        <f t="shared" si="9"/>
        <v>85182.416666666686</v>
      </c>
      <c r="E11" s="4">
        <f>'Interval Circuities'!H11</f>
        <v>1.1538473690936333</v>
      </c>
      <c r="F11" s="4">
        <f t="shared" si="0"/>
        <v>57.487672786483813</v>
      </c>
      <c r="G11" s="4">
        <f t="shared" si="1"/>
        <v>67.068951584231115</v>
      </c>
      <c r="H11" s="4">
        <f t="shared" si="2"/>
        <v>14131.651142027904</v>
      </c>
      <c r="I11" s="4">
        <f t="shared" si="3"/>
        <v>1068.1935094485655</v>
      </c>
      <c r="J11" s="9">
        <v>1675.7263399999999</v>
      </c>
      <c r="K11" s="15">
        <v>1790000</v>
      </c>
      <c r="L11" s="24">
        <f t="shared" si="4"/>
        <v>15095338.027705615</v>
      </c>
      <c r="M11" s="24">
        <f t="shared" si="5"/>
        <v>1790000</v>
      </c>
      <c r="N11" s="21" t="s">
        <v>92</v>
      </c>
      <c r="O11" s="4">
        <f t="shared" si="6"/>
        <v>567.00129210835223</v>
      </c>
      <c r="P11" s="15">
        <v>950139</v>
      </c>
      <c r="Q11" s="24">
        <f t="shared" si="7"/>
        <v>8012664.4571542926</v>
      </c>
      <c r="R11" s="15">
        <f t="shared" si="8"/>
        <v>950139</v>
      </c>
    </row>
    <row r="12" spans="1:18">
      <c r="A12" s="20" t="s">
        <v>35</v>
      </c>
      <c r="B12" s="4">
        <f>'2010-10'!B12</f>
        <v>73.174500000000009</v>
      </c>
      <c r="C12" s="4">
        <f>'2010-10'!C12</f>
        <v>79.775500000000008</v>
      </c>
      <c r="D12" s="18">
        <f t="shared" si="9"/>
        <v>93071.416666666672</v>
      </c>
      <c r="E12" s="4">
        <f>'Interval Circuities'!H12</f>
        <v>1.1724940871079761</v>
      </c>
      <c r="F12" s="4">
        <f t="shared" si="0"/>
        <v>62.409269952472947</v>
      </c>
      <c r="G12" s="4">
        <f t="shared" si="1"/>
        <v>72.81081494455178</v>
      </c>
      <c r="H12" s="4">
        <f t="shared" si="2"/>
        <v>16654.885704142889</v>
      </c>
      <c r="I12" s="4">
        <f t="shared" si="3"/>
        <v>1189.2536054091877</v>
      </c>
      <c r="J12" s="9">
        <v>1030.0578399999999</v>
      </c>
      <c r="K12" s="15">
        <v>1225000</v>
      </c>
      <c r="L12" s="24">
        <f t="shared" si="4"/>
        <v>19806882.87132987</v>
      </c>
      <c r="M12" s="24">
        <f t="shared" si="5"/>
        <v>1225000</v>
      </c>
      <c r="N12" s="21" t="s">
        <v>92</v>
      </c>
      <c r="O12" s="4">
        <f t="shared" si="6"/>
        <v>769.83055631128445</v>
      </c>
      <c r="P12" s="15">
        <v>792970</v>
      </c>
      <c r="Q12" s="24">
        <f t="shared" si="7"/>
        <v>12821439.92692118</v>
      </c>
      <c r="R12" s="15">
        <f t="shared" si="8"/>
        <v>792970</v>
      </c>
    </row>
    <row r="13" spans="1:18">
      <c r="A13" s="20" t="s">
        <v>62</v>
      </c>
      <c r="B13" s="4">
        <f>'2010-10'!B13</f>
        <v>53.894749999999995</v>
      </c>
      <c r="C13" s="4">
        <f>'2010-10'!C13</f>
        <v>63.393750000000004</v>
      </c>
      <c r="D13" s="18">
        <f t="shared" si="9"/>
        <v>73959.375000000015</v>
      </c>
      <c r="E13" s="4">
        <f>'Interval Circuities'!H13</f>
        <v>1.2194440762579295</v>
      </c>
      <c r="F13" s="4">
        <f t="shared" si="0"/>
        <v>44.1961636858208</v>
      </c>
      <c r="G13" s="4">
        <f t="shared" si="1"/>
        <v>51.562190966790936</v>
      </c>
      <c r="H13" s="4">
        <f t="shared" si="2"/>
        <v>8352.4252707649757</v>
      </c>
      <c r="I13" s="4">
        <f t="shared" si="3"/>
        <v>1219.7404531385341</v>
      </c>
      <c r="J13" s="9">
        <v>3644.2179059999999</v>
      </c>
      <c r="K13" s="15">
        <v>4445000</v>
      </c>
      <c r="L13" s="24">
        <f t="shared" si="4"/>
        <v>10187790.984568615</v>
      </c>
      <c r="M13" s="24">
        <f t="shared" si="5"/>
        <v>4445000</v>
      </c>
      <c r="N13" s="21" t="s">
        <v>92</v>
      </c>
      <c r="O13" s="4">
        <f t="shared" si="6"/>
        <v>729.77414320404807</v>
      </c>
      <c r="P13" s="15">
        <v>2659456</v>
      </c>
      <c r="Q13" s="24">
        <f t="shared" si="7"/>
        <v>6095383.9956483496</v>
      </c>
      <c r="R13" s="15">
        <f t="shared" si="8"/>
        <v>2659456</v>
      </c>
    </row>
    <row r="14" spans="1:18">
      <c r="A14" s="20" t="s">
        <v>36</v>
      </c>
      <c r="B14" s="4">
        <f>'2010-10'!B14</f>
        <v>54.780250000000002</v>
      </c>
      <c r="C14" s="4">
        <f>'2010-10'!C14</f>
        <v>64.118250000000003</v>
      </c>
      <c r="D14" s="18">
        <f t="shared" si="9"/>
        <v>74804.625000000015</v>
      </c>
      <c r="E14" s="4">
        <f>'Interval Circuities'!H14</f>
        <v>1.3325880714466081</v>
      </c>
      <c r="F14" s="4">
        <f t="shared" si="0"/>
        <v>41.108164761322378</v>
      </c>
      <c r="G14" s="4">
        <f t="shared" si="1"/>
        <v>47.959525554876109</v>
      </c>
      <c r="H14" s="4">
        <f t="shared" si="2"/>
        <v>7226.0278152992651</v>
      </c>
      <c r="I14" s="4">
        <f t="shared" si="3"/>
        <v>1687.4292750883483</v>
      </c>
      <c r="J14" s="9">
        <v>1291.9059970000001</v>
      </c>
      <c r="K14" s="15">
        <v>2180000</v>
      </c>
      <c r="L14" s="24">
        <f t="shared" si="4"/>
        <v>12193410.87813868</v>
      </c>
      <c r="M14" s="24">
        <f t="shared" si="5"/>
        <v>2180000</v>
      </c>
      <c r="N14" s="21" t="s">
        <v>92</v>
      </c>
      <c r="O14" s="4">
        <f t="shared" si="6"/>
        <v>885.41349189201105</v>
      </c>
      <c r="P14" s="15">
        <v>1143871</v>
      </c>
      <c r="Q14" s="24">
        <f t="shared" si="7"/>
        <v>6398022.5204529222</v>
      </c>
      <c r="R14" s="15">
        <f t="shared" si="8"/>
        <v>1143871</v>
      </c>
    </row>
    <row r="15" spans="1:18">
      <c r="A15" s="20" t="s">
        <v>37</v>
      </c>
      <c r="B15" s="4">
        <f>'2010-10'!B15</f>
        <v>57.557500000000005</v>
      </c>
      <c r="C15" s="4">
        <f>'2010-10'!C15</f>
        <v>65.124499999999998</v>
      </c>
      <c r="D15" s="18">
        <f t="shared" si="9"/>
        <v>75978.583333333328</v>
      </c>
      <c r="E15" s="4">
        <f>'Interval Circuities'!H15</f>
        <v>1.1843590512748781</v>
      </c>
      <c r="F15" s="4">
        <f t="shared" si="0"/>
        <v>48.598015895638625</v>
      </c>
      <c r="G15" s="4">
        <f t="shared" si="1"/>
        <v>56.697685211578403</v>
      </c>
      <c r="H15" s="4">
        <f t="shared" si="2"/>
        <v>10099.050164263906</v>
      </c>
      <c r="I15" s="4">
        <f t="shared" si="3"/>
        <v>1239.6159677445094</v>
      </c>
      <c r="J15" s="9">
        <v>3267.1408769999998</v>
      </c>
      <c r="K15" s="15">
        <v>4050000</v>
      </c>
      <c r="L15" s="24">
        <f t="shared" si="4"/>
        <v>12518943.842674349</v>
      </c>
      <c r="M15" s="24">
        <f t="shared" si="5"/>
        <v>4050000</v>
      </c>
      <c r="N15" s="21" t="s">
        <v>92</v>
      </c>
      <c r="O15" s="4">
        <f t="shared" si="6"/>
        <v>521.88291359068933</v>
      </c>
      <c r="P15" s="15">
        <v>1705065</v>
      </c>
      <c r="Q15" s="24">
        <f t="shared" si="7"/>
        <v>5270521.7242245767</v>
      </c>
      <c r="R15" s="15">
        <f t="shared" si="8"/>
        <v>1705065</v>
      </c>
    </row>
    <row r="16" spans="1:18">
      <c r="A16" s="20" t="s">
        <v>80</v>
      </c>
      <c r="B16" s="4">
        <f>'2010-10'!B16</f>
        <v>72.650000000000006</v>
      </c>
      <c r="C16" s="4">
        <f>'2010-10'!C16</f>
        <v>79.78</v>
      </c>
      <c r="D16" s="18">
        <f t="shared" si="9"/>
        <v>93076.666666666672</v>
      </c>
      <c r="E16" s="4">
        <f>'Interval Circuities'!H16</f>
        <v>1.2332093689133028</v>
      </c>
      <c r="F16" s="4">
        <f t="shared" si="0"/>
        <v>58.911326682523324</v>
      </c>
      <c r="G16" s="4">
        <f t="shared" si="1"/>
        <v>68.729881129610547</v>
      </c>
      <c r="H16" s="4">
        <f t="shared" si="2"/>
        <v>14840.244570232724</v>
      </c>
      <c r="I16" s="4">
        <f t="shared" si="3"/>
        <v>900.16542520051985</v>
      </c>
      <c r="J16" s="9">
        <v>666.54415200000005</v>
      </c>
      <c r="K16" s="15">
        <v>600000</v>
      </c>
      <c r="L16" s="24">
        <f t="shared" si="4"/>
        <v>13358675.063643247</v>
      </c>
      <c r="M16" s="24">
        <f t="shared" si="5"/>
        <v>600000</v>
      </c>
      <c r="N16" s="21" t="s">
        <v>92</v>
      </c>
      <c r="O16" s="4">
        <f t="shared" si="6"/>
        <v>799.60644527566114</v>
      </c>
      <c r="P16" s="15">
        <f>347964+52598+97277+35134</f>
        <v>532973</v>
      </c>
      <c r="Q16" s="24">
        <f t="shared" si="7"/>
        <v>11866355.207825219</v>
      </c>
      <c r="R16" s="15">
        <f t="shared" si="8"/>
        <v>532973</v>
      </c>
    </row>
    <row r="17" spans="1:18">
      <c r="A17" s="20" t="s">
        <v>58</v>
      </c>
      <c r="B17" s="4">
        <f>'2010-10'!B17</f>
        <v>63.393750000000004</v>
      </c>
      <c r="C17" s="4">
        <f>'2010-10'!C17</f>
        <v>72.087750000000014</v>
      </c>
      <c r="D17" s="18">
        <f t="shared" si="9"/>
        <v>84102.375000000029</v>
      </c>
      <c r="E17" s="4">
        <f>'Interval Circuities'!H17</f>
        <v>1.3238381040403082</v>
      </c>
      <c r="F17" s="4">
        <f t="shared" si="0"/>
        <v>47.886331271568984</v>
      </c>
      <c r="G17" s="4">
        <f t="shared" si="1"/>
        <v>55.86738648349715</v>
      </c>
      <c r="H17" s="4">
        <f t="shared" si="2"/>
        <v>9805.4286340773378</v>
      </c>
      <c r="I17" s="4">
        <f t="shared" si="3"/>
        <v>1132.3576753929692</v>
      </c>
      <c r="J17" s="18">
        <v>1364.4098799999999</v>
      </c>
      <c r="K17" s="15">
        <v>1545000</v>
      </c>
      <c r="L17" s="24">
        <f t="shared" si="4"/>
        <v>11103252.374315472</v>
      </c>
      <c r="M17" s="24">
        <f t="shared" si="5"/>
        <v>1545000</v>
      </c>
      <c r="N17" s="21" t="s">
        <v>92</v>
      </c>
      <c r="O17" s="4">
        <f t="shared" si="6"/>
        <v>466.71825624716234</v>
      </c>
      <c r="P17" s="15">
        <v>636795</v>
      </c>
      <c r="Q17" s="24">
        <f t="shared" si="7"/>
        <v>4576372.5538525702</v>
      </c>
      <c r="R17" s="15">
        <f t="shared" si="8"/>
        <v>636795</v>
      </c>
    </row>
    <row r="18" spans="1:18">
      <c r="A18" s="20" t="s">
        <v>38</v>
      </c>
      <c r="B18" s="4">
        <f>'2010-10'!B18</f>
        <v>65.969749999999991</v>
      </c>
      <c r="C18" s="4">
        <f>'2010-10'!C18</f>
        <v>73.8185</v>
      </c>
      <c r="D18" s="18">
        <f t="shared" si="9"/>
        <v>86121.583333333328</v>
      </c>
      <c r="E18" s="4">
        <f>'Interval Circuities'!H18</f>
        <v>1.2212395547829722</v>
      </c>
      <c r="F18" s="4">
        <f t="shared" si="0"/>
        <v>54.018681053713124</v>
      </c>
      <c r="G18" s="4">
        <f t="shared" si="1"/>
        <v>63.021794562665313</v>
      </c>
      <c r="H18" s="4">
        <f t="shared" si="2"/>
        <v>12477.609908746355</v>
      </c>
      <c r="I18" s="4">
        <f t="shared" si="3"/>
        <v>736.26706687215813</v>
      </c>
      <c r="J18" s="18">
        <v>1215.591516</v>
      </c>
      <c r="K18" s="15">
        <v>895000</v>
      </c>
      <c r="L18" s="24">
        <f t="shared" si="4"/>
        <v>9186853.2490876559</v>
      </c>
      <c r="M18" s="24">
        <f t="shared" si="5"/>
        <v>895000</v>
      </c>
      <c r="N18" s="21" t="s">
        <v>92</v>
      </c>
      <c r="O18" s="4">
        <f t="shared" si="6"/>
        <v>466.09078176554175</v>
      </c>
      <c r="P18" s="15">
        <v>566576</v>
      </c>
      <c r="Q18" s="24">
        <f t="shared" si="7"/>
        <v>5815698.9569330588</v>
      </c>
      <c r="R18" s="15">
        <f t="shared" si="8"/>
        <v>566576</v>
      </c>
    </row>
    <row r="19" spans="1:18">
      <c r="A19" s="20" t="s">
        <v>81</v>
      </c>
      <c r="B19" s="4">
        <f>'2010-10'!B19</f>
        <v>61.743500000000004</v>
      </c>
      <c r="C19" s="4">
        <f>'2010-10'!C19</f>
        <v>74.744249999999994</v>
      </c>
      <c r="D19" s="18">
        <f t="shared" si="9"/>
        <v>87201.625</v>
      </c>
      <c r="E19" s="4">
        <f>'Interval Circuities'!H19</f>
        <v>1.4457945737747382</v>
      </c>
      <c r="F19" s="4">
        <f t="shared" si="0"/>
        <v>42.705582881527633</v>
      </c>
      <c r="G19" s="4">
        <f t="shared" si="1"/>
        <v>49.82318002844891</v>
      </c>
      <c r="H19" s="4">
        <f t="shared" si="2"/>
        <v>7798.5302244553386</v>
      </c>
      <c r="I19" s="4">
        <f t="shared" si="3"/>
        <v>1766.1211842313005</v>
      </c>
      <c r="J19" s="18">
        <v>399.17985599999997</v>
      </c>
      <c r="K19" s="15">
        <v>705000</v>
      </c>
      <c r="L19" s="24">
        <f t="shared" si="4"/>
        <v>13773149.435278652</v>
      </c>
      <c r="M19" s="24">
        <f t="shared" si="5"/>
        <v>705000</v>
      </c>
      <c r="N19" s="21" t="s">
        <v>92</v>
      </c>
      <c r="O19" s="4">
        <f t="shared" si="6"/>
        <v>894.79465116095446</v>
      </c>
      <c r="P19" s="15">
        <v>357184</v>
      </c>
      <c r="Q19" s="24">
        <f t="shared" si="7"/>
        <v>6978083.1317596743</v>
      </c>
      <c r="R19" s="15">
        <f t="shared" si="8"/>
        <v>357184</v>
      </c>
    </row>
    <row r="20" spans="1:18">
      <c r="A20" s="20" t="s">
        <v>39</v>
      </c>
      <c r="B20" s="4">
        <f>'2010-10'!B20</f>
        <v>58.402750000000012</v>
      </c>
      <c r="C20" s="4">
        <f>'2010-10'!C20</f>
        <v>69.592250000000007</v>
      </c>
      <c r="D20" s="18">
        <f t="shared" si="9"/>
        <v>81190.958333333343</v>
      </c>
      <c r="E20" s="4">
        <f>'Interval Circuities'!H20</f>
        <v>1.244523848534959</v>
      </c>
      <c r="F20" s="4">
        <f t="shared" si="0"/>
        <v>46.927786935341693</v>
      </c>
      <c r="G20" s="4">
        <f t="shared" si="1"/>
        <v>54.749084757898643</v>
      </c>
      <c r="H20" s="4">
        <f t="shared" si="2"/>
        <v>9416.8054840019904</v>
      </c>
      <c r="I20" s="4">
        <f t="shared" si="3"/>
        <v>1137.2032495246315</v>
      </c>
      <c r="J20" s="18">
        <v>3354.7213320000001</v>
      </c>
      <c r="K20" s="15">
        <v>3815000</v>
      </c>
      <c r="L20" s="24">
        <f t="shared" si="4"/>
        <v>10708821.796548434</v>
      </c>
      <c r="M20" s="24">
        <f t="shared" si="5"/>
        <v>3815000</v>
      </c>
      <c r="N20" s="21" t="s">
        <v>92</v>
      </c>
      <c r="O20" s="4">
        <f t="shared" si="6"/>
        <v>675.48024880178036</v>
      </c>
      <c r="P20" s="15">
        <v>2266048</v>
      </c>
      <c r="Q20" s="24">
        <f t="shared" si="7"/>
        <v>6360866.1112516345</v>
      </c>
      <c r="R20" s="15">
        <f t="shared" si="8"/>
        <v>2266048</v>
      </c>
    </row>
    <row r="21" spans="1:18">
      <c r="A21" s="20" t="s">
        <v>40</v>
      </c>
      <c r="B21" s="4">
        <f>'2010-10'!B21</f>
        <v>54.53875</v>
      </c>
      <c r="C21" s="4">
        <f>'2010-10'!C21</f>
        <v>64.440250000000006</v>
      </c>
      <c r="D21" s="18">
        <f t="shared" si="9"/>
        <v>75180.291666666672</v>
      </c>
      <c r="E21" s="4">
        <f>'Interval Circuities'!H21</f>
        <v>1.1881337656936146</v>
      </c>
      <c r="F21" s="4">
        <f t="shared" si="0"/>
        <v>45.90287017738369</v>
      </c>
      <c r="G21" s="4">
        <f t="shared" si="1"/>
        <v>53.553348540280972</v>
      </c>
      <c r="H21" s="4">
        <f t="shared" si="2"/>
        <v>9009.9656478180095</v>
      </c>
      <c r="I21" s="4">
        <f t="shared" si="3"/>
        <v>747.17664987777027</v>
      </c>
      <c r="J21" s="18">
        <v>1432.0576000000001</v>
      </c>
      <c r="K21" s="15">
        <v>1070000</v>
      </c>
      <c r="L21" s="24">
        <f t="shared" si="4"/>
        <v>6732035.9482504549</v>
      </c>
      <c r="M21" s="24">
        <f t="shared" si="5"/>
        <v>1070000</v>
      </c>
      <c r="N21" s="21" t="s">
        <v>92</v>
      </c>
      <c r="O21" s="4">
        <f t="shared" si="6"/>
        <v>555.53771021500802</v>
      </c>
      <c r="P21" s="15">
        <v>795562</v>
      </c>
      <c r="Q21" s="24">
        <f t="shared" si="7"/>
        <v>5005375.6851046979</v>
      </c>
      <c r="R21" s="15">
        <f t="shared" si="8"/>
        <v>795562</v>
      </c>
    </row>
    <row r="22" spans="1:18" ht="16">
      <c r="A22" s="20" t="s">
        <v>119</v>
      </c>
      <c r="B22" s="4">
        <f>'2010-10'!B22</f>
        <v>60.173750000000005</v>
      </c>
      <c r="C22" s="4">
        <f>'2010-10'!C22</f>
        <v>67.821250000000006</v>
      </c>
      <c r="D22" s="18">
        <f t="shared" si="9"/>
        <v>79124.791666666686</v>
      </c>
      <c r="E22" s="4">
        <f>'Interval Circuities'!H22</f>
        <v>1.340855665082751</v>
      </c>
      <c r="F22" s="4">
        <f t="shared" si="0"/>
        <v>44.877127021935188</v>
      </c>
      <c r="G22" s="4">
        <f t="shared" si="1"/>
        <v>52.356648192257722</v>
      </c>
      <c r="H22" s="4">
        <f t="shared" si="2"/>
        <v>8611.792246832938</v>
      </c>
      <c r="I22" s="4">
        <f t="shared" si="3"/>
        <v>1786.307024434233</v>
      </c>
      <c r="J22" s="18">
        <v>1136.422783</v>
      </c>
      <c r="K22" s="15">
        <v>2030000</v>
      </c>
      <c r="L22" s="24">
        <f t="shared" si="4"/>
        <v>15383304.983485943</v>
      </c>
      <c r="M22" s="24">
        <f t="shared" si="5"/>
        <v>2030000</v>
      </c>
      <c r="N22" s="21" t="s">
        <v>92</v>
      </c>
      <c r="O22" s="4">
        <f t="shared" si="6"/>
        <v>966.10699505836999</v>
      </c>
      <c r="P22" s="15">
        <v>1097906</v>
      </c>
      <c r="Q22" s="24">
        <f t="shared" si="7"/>
        <v>8319912.7296547377</v>
      </c>
      <c r="R22" s="15">
        <f t="shared" si="8"/>
        <v>1097906</v>
      </c>
    </row>
    <row r="23" spans="1:18">
      <c r="A23" s="20" t="s">
        <v>41</v>
      </c>
      <c r="B23" s="4">
        <f>'2010-10'!B23</f>
        <v>66.332000000000008</v>
      </c>
      <c r="C23" s="4">
        <f>'2010-10'!C23</f>
        <v>74.180750000000003</v>
      </c>
      <c r="D23" s="18">
        <f t="shared" si="9"/>
        <v>86544.208333333343</v>
      </c>
      <c r="E23" s="4">
        <f>'Interval Circuities'!H23</f>
        <v>1.2868751983865299</v>
      </c>
      <c r="F23" s="4">
        <f t="shared" si="0"/>
        <v>51.545013909014912</v>
      </c>
      <c r="G23" s="4">
        <f t="shared" si="1"/>
        <v>60.1358495605174</v>
      </c>
      <c r="H23" s="4">
        <f t="shared" si="2"/>
        <v>11361.005609097336</v>
      </c>
      <c r="I23" s="4">
        <f t="shared" si="3"/>
        <v>978.15000707799697</v>
      </c>
      <c r="J23" s="18">
        <v>1063.231603</v>
      </c>
      <c r="K23" s="15">
        <v>1040000</v>
      </c>
      <c r="L23" s="24">
        <f t="shared" si="4"/>
        <v>11112767.716951722</v>
      </c>
      <c r="M23" s="24">
        <f t="shared" si="5"/>
        <v>1040000</v>
      </c>
      <c r="N23" s="21" t="s">
        <v>92</v>
      </c>
      <c r="O23" s="4">
        <f t="shared" si="6"/>
        <v>508.16021502325492</v>
      </c>
      <c r="P23" s="15">
        <v>540292</v>
      </c>
      <c r="Q23" s="24">
        <f t="shared" si="7"/>
        <v>5773211.0531993071</v>
      </c>
      <c r="R23" s="15">
        <f t="shared" si="8"/>
        <v>540292</v>
      </c>
    </row>
    <row r="24" spans="1:18">
      <c r="A24" s="20" t="s">
        <v>75</v>
      </c>
      <c r="B24" s="4">
        <f>'2010-10'!B24</f>
        <v>63.434000000000012</v>
      </c>
      <c r="C24" s="4">
        <f>'2010-10'!C24</f>
        <v>69.552000000000007</v>
      </c>
      <c r="D24" s="18">
        <f t="shared" si="9"/>
        <v>81144.000000000015</v>
      </c>
      <c r="E24" s="4">
        <f>'Interval Circuities'!H24</f>
        <v>1.2339380343866972</v>
      </c>
      <c r="F24" s="4">
        <f t="shared" si="0"/>
        <v>51.407767839434932</v>
      </c>
      <c r="G24" s="4">
        <f t="shared" si="1"/>
        <v>59.975729146007424</v>
      </c>
      <c r="H24" s="4">
        <f t="shared" si="2"/>
        <v>11300.585507162985</v>
      </c>
      <c r="I24" s="4">
        <f t="shared" si="3"/>
        <v>1007.5137082249074</v>
      </c>
      <c r="J24" s="18">
        <v>1513.6270480000001</v>
      </c>
      <c r="K24" s="15">
        <v>1525000</v>
      </c>
      <c r="L24" s="24">
        <f t="shared" si="4"/>
        <v>11385494.809434425</v>
      </c>
      <c r="M24" s="24">
        <f t="shared" si="5"/>
        <v>1525000</v>
      </c>
      <c r="N24" s="21" t="s">
        <v>92</v>
      </c>
      <c r="O24" s="4">
        <f t="shared" si="6"/>
        <v>613.50449651848453</v>
      </c>
      <c r="P24" s="15">
        <v>928617</v>
      </c>
      <c r="Q24" s="24">
        <f t="shared" si="7"/>
        <v>6932960.0219361102</v>
      </c>
      <c r="R24" s="15">
        <f t="shared" si="8"/>
        <v>928617</v>
      </c>
    </row>
    <row r="25" spans="1:18">
      <c r="A25" s="20" t="s">
        <v>63</v>
      </c>
      <c r="B25" s="4">
        <f>'2010-10'!B25</f>
        <v>59.529750000000007</v>
      </c>
      <c r="C25" s="4">
        <f>'2010-10'!C25</f>
        <v>69.833750000000009</v>
      </c>
      <c r="D25" s="18">
        <f t="shared" si="9"/>
        <v>81472.708333333343</v>
      </c>
      <c r="E25" s="4">
        <f>'Interval Circuities'!H25</f>
        <v>1.3118575590900703</v>
      </c>
      <c r="F25" s="4">
        <f t="shared" si="0"/>
        <v>45.378211672074357</v>
      </c>
      <c r="G25" s="4">
        <f t="shared" si="1"/>
        <v>52.941246950753417</v>
      </c>
      <c r="H25" s="4">
        <f t="shared" si="2"/>
        <v>8805.1793247865007</v>
      </c>
      <c r="I25" s="4">
        <f t="shared" si="3"/>
        <v>1897.3714766274206</v>
      </c>
      <c r="J25" s="18">
        <v>740.49811399999999</v>
      </c>
      <c r="K25" s="15">
        <v>1405000</v>
      </c>
      <c r="L25" s="24">
        <f t="shared" si="4"/>
        <v>16706696.097439397</v>
      </c>
      <c r="M25" s="24">
        <f t="shared" si="5"/>
        <v>1405000</v>
      </c>
      <c r="N25" s="21" t="s">
        <v>92</v>
      </c>
      <c r="O25" s="4">
        <f t="shared" si="6"/>
        <v>1137.2034365505488</v>
      </c>
      <c r="P25" s="15">
        <v>842097</v>
      </c>
      <c r="Q25" s="24">
        <f t="shared" si="7"/>
        <v>10013280.18759105</v>
      </c>
      <c r="R25" s="15">
        <f t="shared" si="8"/>
        <v>842097</v>
      </c>
    </row>
    <row r="26" spans="1:18" ht="16">
      <c r="A26" s="20" t="s">
        <v>120</v>
      </c>
      <c r="B26" s="4">
        <f>'2010-10'!B26</f>
        <v>52.928750000000001</v>
      </c>
      <c r="C26" s="4">
        <f>'2010-10'!C26</f>
        <v>66.090500000000006</v>
      </c>
      <c r="D26" s="18">
        <f t="shared" si="9"/>
        <v>77105.583333333343</v>
      </c>
      <c r="E26" s="4">
        <f>'Interval Circuities'!H26</f>
        <v>1.2372388226799365</v>
      </c>
      <c r="F26" s="4">
        <f t="shared" si="0"/>
        <v>42.779735835764534</v>
      </c>
      <c r="G26" s="4">
        <f t="shared" si="1"/>
        <v>49.909691808391962</v>
      </c>
      <c r="H26" s="4">
        <f t="shared" si="2"/>
        <v>7825.6361003201409</v>
      </c>
      <c r="I26" s="4">
        <f t="shared" si="3"/>
        <v>2963.0107614020721</v>
      </c>
      <c r="J26" s="18">
        <v>4319.9303110000001</v>
      </c>
      <c r="K26" s="15">
        <v>12800000</v>
      </c>
      <c r="L26" s="24">
        <f t="shared" si="4"/>
        <v>23187443.980065122</v>
      </c>
      <c r="M26" s="24">
        <f t="shared" si="5"/>
        <v>12800000</v>
      </c>
      <c r="N26" s="21" t="s">
        <v>92</v>
      </c>
      <c r="O26" s="4">
        <f t="shared" si="6"/>
        <v>1240.2952395682755</v>
      </c>
      <c r="P26" s="15">
        <v>5357989</v>
      </c>
      <c r="Q26" s="24">
        <f t="shared" si="7"/>
        <v>9706099.2018207144</v>
      </c>
      <c r="R26" s="15">
        <f t="shared" si="8"/>
        <v>5357989</v>
      </c>
    </row>
    <row r="27" spans="1:18">
      <c r="A27" s="20" t="s">
        <v>42</v>
      </c>
      <c r="B27" s="4">
        <f>'2010-10'!B27</f>
        <v>63.474250000000012</v>
      </c>
      <c r="C27" s="4">
        <f>'2010-10'!C27</f>
        <v>71.282750000000007</v>
      </c>
      <c r="D27" s="18">
        <f t="shared" si="9"/>
        <v>83163.208333333343</v>
      </c>
      <c r="E27" s="4">
        <f>'Interval Circuities'!H27</f>
        <v>1.3035823978090557</v>
      </c>
      <c r="F27" s="4">
        <f t="shared" si="0"/>
        <v>48.692165609693589</v>
      </c>
      <c r="G27" s="4">
        <f t="shared" si="1"/>
        <v>56.807526544642528</v>
      </c>
      <c r="H27" s="4">
        <f t="shared" si="2"/>
        <v>10138.21817100885</v>
      </c>
      <c r="I27" s="4">
        <f t="shared" si="3"/>
        <v>902.85200083237225</v>
      </c>
      <c r="J27" s="18">
        <v>1013.455139</v>
      </c>
      <c r="K27" s="15">
        <v>915000</v>
      </c>
      <c r="L27" s="24">
        <f t="shared" si="4"/>
        <v>9153310.5605704542</v>
      </c>
      <c r="M27" s="24">
        <f t="shared" si="5"/>
        <v>915000</v>
      </c>
      <c r="N27" s="21" t="s">
        <v>92</v>
      </c>
      <c r="O27" s="4">
        <f t="shared" si="6"/>
        <v>548.67648167305799</v>
      </c>
      <c r="P27" s="15">
        <v>556059</v>
      </c>
      <c r="Q27" s="24">
        <f t="shared" si="7"/>
        <v>5562601.876503001</v>
      </c>
      <c r="R27" s="15">
        <f t="shared" si="8"/>
        <v>556059</v>
      </c>
    </row>
    <row r="28" spans="1:18">
      <c r="A28" s="20" t="s">
        <v>43</v>
      </c>
      <c r="B28" s="4">
        <f>'2010-10'!B28</f>
        <v>67.418750000000003</v>
      </c>
      <c r="C28" s="4">
        <f>'2010-10'!C28</f>
        <v>75.146750000000011</v>
      </c>
      <c r="D28" s="18">
        <f t="shared" si="9"/>
        <v>87671.208333333358</v>
      </c>
      <c r="E28" s="4">
        <f>'Interval Circuities'!H28</f>
        <v>1.2390192666572288</v>
      </c>
      <c r="F28" s="4">
        <f t="shared" si="0"/>
        <v>54.412995676725991</v>
      </c>
      <c r="G28" s="4">
        <f t="shared" si="1"/>
        <v>63.481828289513658</v>
      </c>
      <c r="H28" s="4">
        <f t="shared" si="2"/>
        <v>12660.437824580873</v>
      </c>
      <c r="I28" s="4">
        <f t="shared" si="3"/>
        <v>999.49538906027249</v>
      </c>
      <c r="J28" s="18">
        <v>1035.5225359999999</v>
      </c>
      <c r="K28" s="15">
        <v>1035000</v>
      </c>
      <c r="L28" s="24">
        <f t="shared" si="4"/>
        <v>12654049.229152849</v>
      </c>
      <c r="M28" s="24">
        <f t="shared" si="5"/>
        <v>1035000</v>
      </c>
      <c r="N28" s="21" t="s">
        <v>92</v>
      </c>
      <c r="O28" s="4">
        <f t="shared" si="6"/>
        <v>536.12160112370555</v>
      </c>
      <c r="P28" s="15">
        <v>555166</v>
      </c>
      <c r="Q28" s="24">
        <f t="shared" si="7"/>
        <v>6787534.1974414214</v>
      </c>
      <c r="R28" s="15">
        <f t="shared" si="8"/>
        <v>555166</v>
      </c>
    </row>
    <row r="29" spans="1:18">
      <c r="A29" s="20" t="s">
        <v>44</v>
      </c>
      <c r="B29" s="4">
        <f>'2010-10'!B29</f>
        <v>65.688000000000002</v>
      </c>
      <c r="C29" s="4">
        <f>'2010-10'!C29</f>
        <v>72.490250000000003</v>
      </c>
      <c r="D29" s="18">
        <f t="shared" si="9"/>
        <v>84571.958333333343</v>
      </c>
      <c r="E29" s="4">
        <f>'Interval Circuities'!H29</f>
        <v>1.1632682250826336</v>
      </c>
      <c r="F29" s="4">
        <f t="shared" si="0"/>
        <v>56.468489883606857</v>
      </c>
      <c r="G29" s="4">
        <f t="shared" si="1"/>
        <v>65.879904864208001</v>
      </c>
      <c r="H29" s="4">
        <f t="shared" si="2"/>
        <v>13635.020630214127</v>
      </c>
      <c r="I29" s="4">
        <f t="shared" si="3"/>
        <v>1161.3700459353722</v>
      </c>
      <c r="J29" s="18">
        <v>1261.4411789999999</v>
      </c>
      <c r="K29" s="15">
        <v>1465000</v>
      </c>
      <c r="L29" s="24">
        <f t="shared" si="4"/>
        <v>15835304.535641529</v>
      </c>
      <c r="M29" s="24">
        <f t="shared" si="5"/>
        <v>1465000</v>
      </c>
      <c r="N29" s="21" t="s">
        <v>92</v>
      </c>
      <c r="O29" s="4">
        <f t="shared" si="6"/>
        <v>630.29256792638762</v>
      </c>
      <c r="P29" s="15">
        <v>795077</v>
      </c>
      <c r="Q29" s="24">
        <f t="shared" si="7"/>
        <v>8594052.1667469349</v>
      </c>
      <c r="R29" s="15">
        <f t="shared" si="8"/>
        <v>795077</v>
      </c>
    </row>
    <row r="30" spans="1:18">
      <c r="A30" s="20" t="s">
        <v>45</v>
      </c>
      <c r="B30" s="4">
        <f>'2010-10'!B30</f>
        <v>55.746250000000003</v>
      </c>
      <c r="C30" s="4">
        <f>'2010-10'!C30</f>
        <v>65.688000000000002</v>
      </c>
      <c r="D30" s="18">
        <f t="shared" si="9"/>
        <v>76636.000000000015</v>
      </c>
      <c r="E30" s="4">
        <f>'Interval Circuities'!H30</f>
        <v>1.2154627812004615</v>
      </c>
      <c r="F30" s="4">
        <f t="shared" si="0"/>
        <v>45.864218026439097</v>
      </c>
      <c r="G30" s="4">
        <f t="shared" si="1"/>
        <v>53.508254364178953</v>
      </c>
      <c r="H30" s="4">
        <f t="shared" si="2"/>
        <v>8994.7984947238365</v>
      </c>
      <c r="I30" s="4">
        <f t="shared" si="3"/>
        <v>1090.2344714817029</v>
      </c>
      <c r="J30" s="18">
        <v>2316.0155599999998</v>
      </c>
      <c r="K30" s="15">
        <v>2525000</v>
      </c>
      <c r="L30" s="24">
        <f t="shared" si="4"/>
        <v>9806439.3829796594</v>
      </c>
      <c r="M30" s="24">
        <f t="shared" si="5"/>
        <v>2525000</v>
      </c>
      <c r="N30" s="21" t="s">
        <v>92</v>
      </c>
      <c r="O30" s="4">
        <f t="shared" si="6"/>
        <v>725.84961389464934</v>
      </c>
      <c r="P30" s="15">
        <v>1681079</v>
      </c>
      <c r="Q30" s="24">
        <f t="shared" si="7"/>
        <v>6528871.0144554693</v>
      </c>
      <c r="R30" s="15">
        <f t="shared" si="8"/>
        <v>1681079</v>
      </c>
    </row>
    <row r="31" spans="1:18">
      <c r="A31" s="20" t="s">
        <v>46</v>
      </c>
      <c r="B31" s="4">
        <f>'2010-10'!B31</f>
        <v>67.579750000000004</v>
      </c>
      <c r="C31" s="4">
        <f>'2010-10'!C31</f>
        <v>75.871250000000003</v>
      </c>
      <c r="D31" s="18">
        <f t="shared" si="9"/>
        <v>88516.458333333343</v>
      </c>
      <c r="E31" s="4">
        <f>'Interval Circuities'!H31</f>
        <v>1.2561544008741909</v>
      </c>
      <c r="F31" s="4">
        <f t="shared" si="0"/>
        <v>53.798919904248613</v>
      </c>
      <c r="G31" s="4">
        <f t="shared" si="1"/>
        <v>62.765406554956719</v>
      </c>
      <c r="H31" s="4">
        <f t="shared" si="2"/>
        <v>12376.292509288753</v>
      </c>
      <c r="I31" s="4">
        <f t="shared" si="3"/>
        <v>891.82610976607054</v>
      </c>
      <c r="J31" s="18">
        <v>1115.688349</v>
      </c>
      <c r="K31" s="15">
        <v>995000</v>
      </c>
      <c r="L31" s="24">
        <f t="shared" si="4"/>
        <v>11037500.801885948</v>
      </c>
      <c r="M31" s="24">
        <f t="shared" si="5"/>
        <v>995000</v>
      </c>
      <c r="N31" s="21" t="s">
        <v>92</v>
      </c>
      <c r="O31" s="4">
        <f t="shared" si="6"/>
        <v>651.34407888308954</v>
      </c>
      <c r="P31" s="15">
        <v>726697</v>
      </c>
      <c r="Q31" s="24">
        <f t="shared" si="7"/>
        <v>8061224.8444503639</v>
      </c>
      <c r="R31" s="15">
        <f t="shared" si="8"/>
        <v>726697</v>
      </c>
    </row>
    <row r="32" spans="1:18">
      <c r="A32" s="20" t="s">
        <v>47</v>
      </c>
      <c r="B32" s="4">
        <f>'2010-10'!B32</f>
        <v>56.148750000000007</v>
      </c>
      <c r="C32" s="4">
        <f>'2010-10'!C32</f>
        <v>67.137</v>
      </c>
      <c r="D32" s="18">
        <f t="shared" si="9"/>
        <v>78326.500000000015</v>
      </c>
      <c r="E32" s="4">
        <f>'Interval Circuities'!H32</f>
        <v>1.3505891851756389</v>
      </c>
      <c r="F32" s="4">
        <f t="shared" si="0"/>
        <v>41.573522590215383</v>
      </c>
      <c r="G32" s="4">
        <f t="shared" si="1"/>
        <v>48.502443021917948</v>
      </c>
      <c r="H32" s="4">
        <f t="shared" si="2"/>
        <v>7390.555811188603</v>
      </c>
      <c r="I32" s="4">
        <f t="shared" si="3"/>
        <v>2146.7911124783959</v>
      </c>
      <c r="J32" s="18">
        <v>512.39265599999999</v>
      </c>
      <c r="K32" s="15">
        <v>1100000</v>
      </c>
      <c r="L32" s="24">
        <f t="shared" si="4"/>
        <v>15865979.531735254</v>
      </c>
      <c r="M32" s="24">
        <f t="shared" si="5"/>
        <v>1100000</v>
      </c>
      <c r="N32" s="21" t="s">
        <v>92</v>
      </c>
      <c r="O32" s="4">
        <f t="shared" si="6"/>
        <v>898.57064618037771</v>
      </c>
      <c r="P32" s="15">
        <v>460421</v>
      </c>
      <c r="Q32" s="24">
        <f t="shared" si="7"/>
        <v>6640936.5108918883</v>
      </c>
      <c r="R32" s="15">
        <f t="shared" si="8"/>
        <v>460421</v>
      </c>
    </row>
    <row r="33" spans="1:18">
      <c r="A33" s="20" t="s">
        <v>65</v>
      </c>
      <c r="B33" s="4">
        <f>'2010-10'!B33</f>
        <v>55.142500000000005</v>
      </c>
      <c r="C33" s="4">
        <f>'2010-10'!C33</f>
        <v>67.660250000000005</v>
      </c>
      <c r="D33" s="18">
        <f t="shared" si="9"/>
        <v>78936.958333333358</v>
      </c>
      <c r="E33" s="4">
        <f>'Interval Circuities'!H33</f>
        <v>1.2059143520027411</v>
      </c>
      <c r="F33" s="4">
        <f t="shared" si="0"/>
        <v>45.726713434018954</v>
      </c>
      <c r="G33" s="4">
        <f t="shared" si="1"/>
        <v>53.347832339688786</v>
      </c>
      <c r="H33" s="4">
        <f t="shared" si="2"/>
        <v>8940.9450943043666</v>
      </c>
      <c r="I33" s="4">
        <f t="shared" si="3"/>
        <v>2098.879805390713</v>
      </c>
      <c r="J33" s="18">
        <v>8683.2032749999998</v>
      </c>
      <c r="K33" s="15">
        <v>18225000</v>
      </c>
      <c r="L33" s="24">
        <f t="shared" si="4"/>
        <v>18765969.099542599</v>
      </c>
      <c r="M33" s="24">
        <f t="shared" si="5"/>
        <v>18225000</v>
      </c>
      <c r="N33" s="21" t="s">
        <v>92</v>
      </c>
      <c r="O33" s="4">
        <f t="shared" si="6"/>
        <v>941.20588234184811</v>
      </c>
      <c r="P33" s="15">
        <f>7737401+435281</f>
        <v>8172682</v>
      </c>
      <c r="Q33" s="24">
        <f t="shared" si="7"/>
        <v>8415270.1164547596</v>
      </c>
      <c r="R33" s="15">
        <f t="shared" si="8"/>
        <v>8172682</v>
      </c>
    </row>
    <row r="34" spans="1:18">
      <c r="A34" s="20" t="s">
        <v>66</v>
      </c>
      <c r="B34" s="4">
        <f>'2010-10'!B34</f>
        <v>69.028750000000002</v>
      </c>
      <c r="C34" s="4">
        <f>'2010-10'!C34</f>
        <v>75.951750000000018</v>
      </c>
      <c r="D34" s="18">
        <f t="shared" si="9"/>
        <v>88610.375000000029</v>
      </c>
      <c r="E34" s="4">
        <f>'Interval Circuities'!H34</f>
        <v>1.227948305822975</v>
      </c>
      <c r="F34" s="4">
        <f t="shared" si="0"/>
        <v>56.214703560942418</v>
      </c>
      <c r="G34" s="4">
        <f t="shared" si="1"/>
        <v>65.583820821099494</v>
      </c>
      <c r="H34" s="4">
        <f t="shared" si="2"/>
        <v>13512.736299401549</v>
      </c>
      <c r="I34" s="4">
        <f t="shared" si="3"/>
        <v>1048.044711192385</v>
      </c>
      <c r="J34" s="18">
        <v>834.88804500000003</v>
      </c>
      <c r="K34" s="15">
        <v>875000</v>
      </c>
      <c r="L34" s="24">
        <f t="shared" si="4"/>
        <v>14161951.812325153</v>
      </c>
      <c r="M34" s="24">
        <f t="shared" si="5"/>
        <v>875000</v>
      </c>
      <c r="N34" s="21" t="s">
        <v>92</v>
      </c>
      <c r="O34" s="4">
        <f t="shared" si="6"/>
        <v>575.97662690211359</v>
      </c>
      <c r="P34" s="15">
        <v>480876</v>
      </c>
      <c r="Q34" s="24">
        <f t="shared" si="7"/>
        <v>7783020.2739470536</v>
      </c>
      <c r="R34" s="15">
        <f t="shared" si="8"/>
        <v>480876</v>
      </c>
    </row>
    <row r="35" spans="1:18">
      <c r="A35" s="20" t="s">
        <v>48</v>
      </c>
      <c r="B35" s="4">
        <f>'2010-10'!B35</f>
        <v>58.161250000000003</v>
      </c>
      <c r="C35" s="4">
        <f>'2010-10'!C35</f>
        <v>69.069000000000003</v>
      </c>
      <c r="D35" s="18">
        <f t="shared" si="9"/>
        <v>80580.500000000015</v>
      </c>
      <c r="E35" s="4">
        <f>'Interval Circuities'!H35</f>
        <v>1.3015389438384548</v>
      </c>
      <c r="F35" s="4">
        <f t="shared" si="0"/>
        <v>44.686523039005507</v>
      </c>
      <c r="G35" s="4">
        <f t="shared" si="1"/>
        <v>52.134276878839763</v>
      </c>
      <c r="H35" s="4">
        <f t="shared" si="2"/>
        <v>8538.7948777380279</v>
      </c>
      <c r="I35" s="4">
        <f t="shared" si="3"/>
        <v>1197.0074422042101</v>
      </c>
      <c r="J35" s="18">
        <v>1173.7604550000001</v>
      </c>
      <c r="K35" s="15">
        <v>1405000</v>
      </c>
      <c r="L35" s="24">
        <f t="shared" si="4"/>
        <v>10221001.016107608</v>
      </c>
      <c r="M35" s="24">
        <f t="shared" si="5"/>
        <v>1405000</v>
      </c>
      <c r="N35" s="21" t="s">
        <v>92</v>
      </c>
      <c r="O35" s="4">
        <f t="shared" si="6"/>
        <v>800.1002214715096</v>
      </c>
      <c r="P35" s="15">
        <v>939126</v>
      </c>
      <c r="Q35" s="24">
        <f t="shared" si="7"/>
        <v>6831891.672777988</v>
      </c>
      <c r="R35" s="15">
        <f t="shared" si="8"/>
        <v>939126</v>
      </c>
    </row>
    <row r="36" spans="1:18">
      <c r="A36" s="20" t="s">
        <v>67</v>
      </c>
      <c r="B36" s="4">
        <f>'2010-10'!B36</f>
        <v>59.771250000000002</v>
      </c>
      <c r="C36" s="4">
        <f>'2010-10'!C36</f>
        <v>68.062750000000008</v>
      </c>
      <c r="D36" s="18">
        <f t="shared" si="9"/>
        <v>79406.541666666686</v>
      </c>
      <c r="E36" s="4">
        <f>'Interval Circuities'!H36</f>
        <v>1.1592931878775155</v>
      </c>
      <c r="F36" s="4">
        <f t="shared" si="0"/>
        <v>51.558355233184642</v>
      </c>
      <c r="G36" s="4">
        <f t="shared" si="1"/>
        <v>60.15141443871542</v>
      </c>
      <c r="H36" s="4">
        <f t="shared" si="2"/>
        <v>11366.887476718124</v>
      </c>
      <c r="I36" s="4">
        <f t="shared" si="3"/>
        <v>1139.3097942572194</v>
      </c>
      <c r="J36" s="18">
        <v>4660.7165379999997</v>
      </c>
      <c r="K36" s="15">
        <v>5310000</v>
      </c>
      <c r="L36" s="24">
        <f t="shared" si="4"/>
        <v>12950406.232444691</v>
      </c>
      <c r="M36" s="24">
        <f t="shared" si="5"/>
        <v>5310000</v>
      </c>
      <c r="N36" s="21" t="s">
        <v>92</v>
      </c>
      <c r="O36" s="4">
        <f t="shared" si="6"/>
        <v>550.55204045966377</v>
      </c>
      <c r="P36" s="15">
        <v>2565967</v>
      </c>
      <c r="Q36" s="24">
        <f t="shared" si="7"/>
        <v>6258063.0939825624</v>
      </c>
      <c r="R36" s="15">
        <f t="shared" si="8"/>
        <v>2565967</v>
      </c>
    </row>
    <row r="37" spans="1:18">
      <c r="A37" s="20" t="s">
        <v>49</v>
      </c>
      <c r="B37" s="4">
        <f>'2010-10'!B37</f>
        <v>63.756000000000007</v>
      </c>
      <c r="C37" s="4">
        <f>'2010-10'!C37</f>
        <v>70.477750000000015</v>
      </c>
      <c r="D37" s="18">
        <f t="shared" si="9"/>
        <v>82224.041666666686</v>
      </c>
      <c r="E37" s="4">
        <f>'Interval Circuities'!H37</f>
        <v>1.2658272140371463</v>
      </c>
      <c r="F37" s="4">
        <f t="shared" si="0"/>
        <v>50.367063761143832</v>
      </c>
      <c r="G37" s="4">
        <f t="shared" si="1"/>
        <v>58.761574388001144</v>
      </c>
      <c r="H37" s="4">
        <f t="shared" si="2"/>
        <v>10847.676350720976</v>
      </c>
      <c r="I37" s="4">
        <f t="shared" si="3"/>
        <v>1655.0541671588298</v>
      </c>
      <c r="J37" s="18">
        <v>2069.418674</v>
      </c>
      <c r="K37" s="15">
        <v>3425000</v>
      </c>
      <c r="L37" s="24">
        <f t="shared" si="4"/>
        <v>17953491.948251039</v>
      </c>
      <c r="M37" s="24">
        <f t="shared" si="5"/>
        <v>3425000</v>
      </c>
      <c r="N37" s="21" t="s">
        <v>92</v>
      </c>
      <c r="O37" s="4">
        <f t="shared" si="6"/>
        <v>794.59561308665377</v>
      </c>
      <c r="P37" s="15">
        <v>1644351</v>
      </c>
      <c r="Q37" s="24">
        <f t="shared" si="7"/>
        <v>8619516.0404667296</v>
      </c>
      <c r="R37" s="15">
        <f t="shared" si="8"/>
        <v>1644351</v>
      </c>
    </row>
    <row r="38" spans="1:18">
      <c r="A38" s="20" t="s">
        <v>50</v>
      </c>
      <c r="B38" s="4">
        <f>'2010-10'!B38</f>
        <v>68.465250000000012</v>
      </c>
      <c r="C38" s="4">
        <f>'2010-10'!C38</f>
        <v>76.837250000000012</v>
      </c>
      <c r="D38" s="18">
        <f t="shared" si="9"/>
        <v>89643.458333333358</v>
      </c>
      <c r="E38" s="4">
        <f>'Interval Circuities'!H38</f>
        <v>1.2454120748006281</v>
      </c>
      <c r="F38" s="4">
        <f t="shared" si="0"/>
        <v>54.97397318149519</v>
      </c>
      <c r="G38" s="4">
        <f t="shared" si="1"/>
        <v>64.136302045077727</v>
      </c>
      <c r="H38" s="4">
        <f t="shared" si="2"/>
        <v>12922.83217883577</v>
      </c>
      <c r="I38" s="4">
        <f t="shared" si="3"/>
        <v>822.12384643482994</v>
      </c>
      <c r="J38" s="18">
        <v>2207.6965749999999</v>
      </c>
      <c r="K38" s="15">
        <v>1815000</v>
      </c>
      <c r="L38" s="24">
        <f t="shared" si="4"/>
        <v>10624168.497696258</v>
      </c>
      <c r="M38" s="24">
        <f t="shared" si="5"/>
        <v>1815000</v>
      </c>
      <c r="N38" s="21" t="s">
        <v>92</v>
      </c>
      <c r="O38" s="4">
        <f t="shared" si="6"/>
        <v>483.83732261757939</v>
      </c>
      <c r="P38" s="15">
        <v>1068166</v>
      </c>
      <c r="Q38" s="24">
        <f t="shared" si="7"/>
        <v>6252548.5220441986</v>
      </c>
      <c r="R38" s="15">
        <f t="shared" si="8"/>
        <v>1068166</v>
      </c>
    </row>
    <row r="39" spans="1:18">
      <c r="A39" s="20" t="s">
        <v>51</v>
      </c>
      <c r="B39" s="4">
        <f>'2010-10'!B39</f>
        <v>60.938500000000005</v>
      </c>
      <c r="C39" s="4">
        <f>'2010-10'!C39</f>
        <v>71.443750000000009</v>
      </c>
      <c r="D39" s="18">
        <f t="shared" si="9"/>
        <v>83351.041666666686</v>
      </c>
      <c r="E39" s="4">
        <f>'Interval Circuities'!H39</f>
        <v>1.4261614774445286</v>
      </c>
      <c r="F39" s="4">
        <f t="shared" si="0"/>
        <v>42.729032415875395</v>
      </c>
      <c r="G39" s="4">
        <f t="shared" si="1"/>
        <v>49.850537818521296</v>
      </c>
      <c r="H39" s="4">
        <f t="shared" si="2"/>
        <v>7807.0968847035765</v>
      </c>
      <c r="I39" s="4">
        <f t="shared" si="3"/>
        <v>1466.3827908170226</v>
      </c>
      <c r="J39" s="18">
        <v>1227.5103140000001</v>
      </c>
      <c r="K39" s="15">
        <v>1800000</v>
      </c>
      <c r="L39" s="24">
        <f t="shared" si="4"/>
        <v>11448192.517970514</v>
      </c>
      <c r="M39" s="24">
        <f t="shared" si="5"/>
        <v>1800000</v>
      </c>
      <c r="N39" s="21" t="s">
        <v>92</v>
      </c>
      <c r="O39" s="4">
        <f t="shared" si="6"/>
        <v>771.73934035066679</v>
      </c>
      <c r="P39" s="15">
        <v>947318</v>
      </c>
      <c r="Q39" s="24">
        <f t="shared" si="7"/>
        <v>6025043.7998548839</v>
      </c>
      <c r="R39" s="15">
        <f t="shared" si="8"/>
        <v>947318</v>
      </c>
    </row>
    <row r="40" spans="1:18">
      <c r="A40" s="20" t="s">
        <v>52</v>
      </c>
      <c r="B40" s="4">
        <f>'2010-10'!B40</f>
        <v>61.542249999999996</v>
      </c>
      <c r="C40" s="4">
        <f>'2010-10'!C40</f>
        <v>68.062750000000008</v>
      </c>
      <c r="D40" s="18">
        <f t="shared" si="9"/>
        <v>79406.541666666686</v>
      </c>
      <c r="E40" s="4">
        <f>'Interval Circuities'!H40</f>
        <v>1.2378648301781199</v>
      </c>
      <c r="F40" s="4">
        <f t="shared" si="0"/>
        <v>49.716454090665543</v>
      </c>
      <c r="G40" s="4">
        <f t="shared" si="1"/>
        <v>58.00252977244314</v>
      </c>
      <c r="H40" s="4">
        <f t="shared" si="2"/>
        <v>10569.23961846609</v>
      </c>
      <c r="I40" s="4">
        <f t="shared" si="3"/>
        <v>954.46089809134196</v>
      </c>
      <c r="J40" s="18">
        <v>1304.4012620000001</v>
      </c>
      <c r="K40" s="15">
        <v>1245000</v>
      </c>
      <c r="L40" s="24">
        <f t="shared" si="4"/>
        <v>10087925.938383738</v>
      </c>
      <c r="M40" s="24">
        <f t="shared" si="5"/>
        <v>1245000</v>
      </c>
      <c r="N40" s="21" t="s">
        <v>92</v>
      </c>
      <c r="O40" s="4">
        <f t="shared" si="6"/>
        <v>487.50566142889852</v>
      </c>
      <c r="P40" s="15">
        <v>635903</v>
      </c>
      <c r="Q40" s="24">
        <f t="shared" si="7"/>
        <v>5152564.1510008303</v>
      </c>
      <c r="R40" s="15">
        <f t="shared" si="8"/>
        <v>635903</v>
      </c>
    </row>
    <row r="41" spans="1:18">
      <c r="A41" s="20" t="s">
        <v>53</v>
      </c>
      <c r="B41" s="4">
        <f>'2010-10'!B41</f>
        <v>67.57974999999999</v>
      </c>
      <c r="C41" s="4">
        <f>'2010-10'!C41</f>
        <v>75.46875</v>
      </c>
      <c r="D41" s="18">
        <f t="shared" si="9"/>
        <v>88046.875</v>
      </c>
      <c r="E41" s="4">
        <f>'Interval Circuities'!H41</f>
        <v>1.1908050726732355</v>
      </c>
      <c r="F41" s="4">
        <f t="shared" si="0"/>
        <v>56.75131182326119</v>
      </c>
      <c r="G41" s="4">
        <f t="shared" si="1"/>
        <v>66.209863793804729</v>
      </c>
      <c r="H41" s="4">
        <f t="shared" si="2"/>
        <v>13771.944428590632</v>
      </c>
      <c r="I41" s="4">
        <f t="shared" si="3"/>
        <v>1238.2323980039887</v>
      </c>
      <c r="J41" s="18">
        <v>827.79291000000001</v>
      </c>
      <c r="K41" s="15">
        <v>1025000</v>
      </c>
      <c r="L41" s="24">
        <f t="shared" si="4"/>
        <v>17052867.774991449</v>
      </c>
      <c r="M41" s="24">
        <f t="shared" si="5"/>
        <v>1025000</v>
      </c>
      <c r="N41" s="21" t="s">
        <v>92</v>
      </c>
      <c r="O41" s="4">
        <f t="shared" si="6"/>
        <v>839.88880745547817</v>
      </c>
      <c r="P41" s="15">
        <f>438888+235541+20825</f>
        <v>695254</v>
      </c>
      <c r="Q41" s="24">
        <f t="shared" si="7"/>
        <v>11566901.982472103</v>
      </c>
      <c r="R41" s="15">
        <f t="shared" si="8"/>
        <v>695254</v>
      </c>
    </row>
    <row r="42" spans="1:18">
      <c r="A42" s="20" t="s">
        <v>82</v>
      </c>
      <c r="B42" s="4">
        <f>'2010-10'!B42</f>
        <v>63.595000000000006</v>
      </c>
      <c r="C42" s="4">
        <f>'2010-10'!C42</f>
        <v>70.84</v>
      </c>
      <c r="D42" s="18">
        <f t="shared" si="9"/>
        <v>82646.666666666672</v>
      </c>
      <c r="E42" s="4">
        <f>'Interval Circuities'!H42</f>
        <v>1.1983418382894222</v>
      </c>
      <c r="F42" s="4">
        <f t="shared" si="0"/>
        <v>53.06916438032318</v>
      </c>
      <c r="G42" s="4">
        <f t="shared" si="1"/>
        <v>61.914025110377047</v>
      </c>
      <c r="H42" s="4">
        <f t="shared" si="2"/>
        <v>12042.813219929471</v>
      </c>
      <c r="I42" s="4">
        <f t="shared" si="3"/>
        <v>974.56496374961057</v>
      </c>
      <c r="J42" s="18">
        <v>764.44365200000004</v>
      </c>
      <c r="K42" s="15">
        <v>745000</v>
      </c>
      <c r="L42" s="24">
        <f t="shared" si="4"/>
        <v>11736503.829123896</v>
      </c>
      <c r="M42" s="24">
        <f t="shared" si="5"/>
        <v>745000</v>
      </c>
      <c r="N42" s="21" t="s">
        <v>92</v>
      </c>
      <c r="O42" s="4">
        <f t="shared" si="6"/>
        <v>596.12634470539103</v>
      </c>
      <c r="P42" s="15">
        <f>430223+17339+8143</f>
        <v>455705</v>
      </c>
      <c r="Q42" s="24">
        <f t="shared" si="7"/>
        <v>7179038.2247663159</v>
      </c>
      <c r="R42" s="15">
        <f t="shared" si="8"/>
        <v>455705</v>
      </c>
    </row>
    <row r="43" spans="1:18">
      <c r="A43" s="20" t="s">
        <v>54</v>
      </c>
      <c r="B43" s="4">
        <f>'2010-10'!B43</f>
        <v>56.873250000000006</v>
      </c>
      <c r="C43" s="4">
        <f>'2010-10'!C43</f>
        <v>65.688000000000017</v>
      </c>
      <c r="D43" s="18">
        <f t="shared" si="9"/>
        <v>76636.000000000029</v>
      </c>
      <c r="E43" s="4">
        <f>'Interval Circuities'!H43</f>
        <v>1.3968698866346807</v>
      </c>
      <c r="F43" s="4">
        <f t="shared" si="0"/>
        <v>40.714779911977516</v>
      </c>
      <c r="G43" s="4">
        <f t="shared" si="1"/>
        <v>47.500576563973773</v>
      </c>
      <c r="H43" s="4">
        <f t="shared" si="2"/>
        <v>7088.3905019750282</v>
      </c>
      <c r="I43" s="4">
        <f t="shared" si="3"/>
        <v>1946.0452814625608</v>
      </c>
      <c r="J43" s="18">
        <v>955.78454299999999</v>
      </c>
      <c r="K43" s="15">
        <v>1860000</v>
      </c>
      <c r="L43" s="24">
        <f t="shared" si="4"/>
        <v>13794328.889532536</v>
      </c>
      <c r="M43" s="24">
        <f t="shared" si="5"/>
        <v>1860000</v>
      </c>
      <c r="N43" s="21" t="s">
        <v>92</v>
      </c>
      <c r="O43" s="4">
        <f t="shared" si="6"/>
        <v>727.9443940536712</v>
      </c>
      <c r="P43" s="15">
        <v>695758</v>
      </c>
      <c r="Q43" s="24">
        <f t="shared" si="7"/>
        <v>5159954.1287760101</v>
      </c>
      <c r="R43" s="15">
        <f t="shared" si="8"/>
        <v>695758</v>
      </c>
    </row>
    <row r="44" spans="1:18">
      <c r="A44" s="20" t="s">
        <v>55</v>
      </c>
      <c r="B44" s="4">
        <f>'2010-10'!B44</f>
        <v>78.084999999999994</v>
      </c>
      <c r="C44" s="4">
        <f>'2010-10'!C44</f>
        <v>86.658249999999995</v>
      </c>
      <c r="D44" s="18">
        <f t="shared" si="9"/>
        <v>101101.29166666667</v>
      </c>
      <c r="E44" s="4">
        <f>'Interval Circuities'!H44</f>
        <v>1.3925352790776591</v>
      </c>
      <c r="F44" s="4">
        <f t="shared" si="0"/>
        <v>56.073983311732917</v>
      </c>
      <c r="G44" s="4">
        <f t="shared" si="1"/>
        <v>65.419647197021746</v>
      </c>
      <c r="H44" s="4">
        <f t="shared" si="2"/>
        <v>13445.169079391075</v>
      </c>
      <c r="I44" s="4">
        <f t="shared" si="3"/>
        <v>1631.618994212552</v>
      </c>
      <c r="J44" s="18">
        <v>597.56597799999997</v>
      </c>
      <c r="K44" s="15">
        <v>975000</v>
      </c>
      <c r="L44" s="24">
        <f t="shared" si="4"/>
        <v>21937393.250333771</v>
      </c>
      <c r="M44" s="24">
        <f t="shared" si="5"/>
        <v>975000</v>
      </c>
      <c r="N44" s="21" t="s">
        <v>92</v>
      </c>
      <c r="O44" s="4">
        <f t="shared" si="6"/>
        <v>1202.6186671557798</v>
      </c>
      <c r="P44" s="15">
        <f>563242+155402</f>
        <v>718644</v>
      </c>
      <c r="Q44" s="24">
        <f t="shared" si="7"/>
        <v>16169411.317941397</v>
      </c>
      <c r="R44" s="15">
        <f t="shared" si="8"/>
        <v>718644</v>
      </c>
    </row>
    <row r="45" spans="1:18">
      <c r="A45" s="20" t="s">
        <v>68</v>
      </c>
      <c r="B45" s="4">
        <f>'2010-10'!B45</f>
        <v>64.078000000000003</v>
      </c>
      <c r="C45" s="4">
        <f>'2010-10'!C45</f>
        <v>74.422249999999991</v>
      </c>
      <c r="D45" s="18">
        <f t="shared" si="9"/>
        <v>86825.958333333328</v>
      </c>
      <c r="E45" s="4">
        <f>'Interval Circuities'!H45</f>
        <v>1.2642616847774233</v>
      </c>
      <c r="F45" s="4">
        <f t="shared" si="0"/>
        <v>50.684127164133038</v>
      </c>
      <c r="G45" s="4">
        <f t="shared" si="1"/>
        <v>59.131481691488545</v>
      </c>
      <c r="H45" s="4">
        <f t="shared" si="2"/>
        <v>10984.679643320796</v>
      </c>
      <c r="I45" s="4">
        <f t="shared" si="3"/>
        <v>1373.6608426756356</v>
      </c>
      <c r="J45" s="18">
        <v>1055.5735119999999</v>
      </c>
      <c r="K45" s="15">
        <v>1450000</v>
      </c>
      <c r="L45" s="24">
        <f t="shared" si="4"/>
        <v>15089224.295365946</v>
      </c>
      <c r="M45" s="24">
        <f t="shared" si="5"/>
        <v>1450000</v>
      </c>
      <c r="N45" s="21" t="s">
        <v>92</v>
      </c>
      <c r="O45" s="4">
        <f t="shared" si="6"/>
        <v>697.12529883944273</v>
      </c>
      <c r="P45" s="15">
        <v>735867</v>
      </c>
      <c r="Q45" s="24">
        <f t="shared" si="7"/>
        <v>7657698.0790055534</v>
      </c>
      <c r="R45" s="15">
        <f t="shared" si="8"/>
        <v>735867</v>
      </c>
    </row>
    <row r="46" spans="1:18">
      <c r="A46" s="20" t="s">
        <v>69</v>
      </c>
      <c r="B46" s="4">
        <f>'2010-10'!B46</f>
        <v>60.495750000000008</v>
      </c>
      <c r="C46" s="4">
        <f>'2010-10'!C46</f>
        <v>69.672750000000008</v>
      </c>
      <c r="D46" s="18">
        <f t="shared" si="9"/>
        <v>81284.875000000015</v>
      </c>
      <c r="E46" s="4">
        <f>'Interval Circuities'!H46</f>
        <v>1.3884116405651341</v>
      </c>
      <c r="F46" s="4">
        <f t="shared" si="0"/>
        <v>43.571912127858589</v>
      </c>
      <c r="G46" s="4">
        <f t="shared" si="1"/>
        <v>50.83389748250169</v>
      </c>
      <c r="H46" s="4">
        <f t="shared" si="2"/>
        <v>8118.1428709049032</v>
      </c>
      <c r="I46" s="4">
        <f t="shared" si="3"/>
        <v>1455.9905696507528</v>
      </c>
      <c r="J46" s="18">
        <v>2026.112024</v>
      </c>
      <c r="K46" s="15">
        <v>2950000</v>
      </c>
      <c r="L46" s="24">
        <f t="shared" si="4"/>
        <v>11819939.463115027</v>
      </c>
      <c r="M46" s="24">
        <f t="shared" si="5"/>
        <v>2950000</v>
      </c>
      <c r="N46" s="21" t="s">
        <v>92</v>
      </c>
      <c r="O46" s="4">
        <f t="shared" si="6"/>
        <v>586.57319334876024</v>
      </c>
      <c r="P46" s="15">
        <v>1188463</v>
      </c>
      <c r="Q46" s="24">
        <f t="shared" si="7"/>
        <v>4761884.9878481617</v>
      </c>
      <c r="R46" s="15">
        <f t="shared" si="8"/>
        <v>1188463</v>
      </c>
    </row>
    <row r="47" spans="1:18" ht="16">
      <c r="A47" s="20" t="s">
        <v>114</v>
      </c>
      <c r="B47" s="4">
        <f>'2010-10'!B47</f>
        <v>53.250750000000011</v>
      </c>
      <c r="C47" s="4">
        <f>'2010-10'!C47</f>
        <v>64.118250000000003</v>
      </c>
      <c r="D47" s="18">
        <f t="shared" si="9"/>
        <v>74804.625000000015</v>
      </c>
      <c r="E47" s="4">
        <f>'Interval Circuities'!H47</f>
        <v>1.3809694805902639</v>
      </c>
      <c r="F47" s="4">
        <f t="shared" si="0"/>
        <v>38.560410456890899</v>
      </c>
      <c r="G47" s="4">
        <f t="shared" si="1"/>
        <v>44.987145533039389</v>
      </c>
      <c r="H47" s="4">
        <f t="shared" si="2"/>
        <v>6358.0911277204505</v>
      </c>
      <c r="I47" s="4">
        <f t="shared" si="3"/>
        <v>4044.244551759617</v>
      </c>
      <c r="J47" s="18">
        <v>1107.747057</v>
      </c>
      <c r="K47" s="15">
        <v>4480000</v>
      </c>
      <c r="L47" s="24">
        <f t="shared" si="4"/>
        <v>25713675.402874593</v>
      </c>
      <c r="M47" s="24">
        <f t="shared" si="5"/>
        <v>4480000</v>
      </c>
      <c r="N47" s="21" t="s">
        <v>92</v>
      </c>
      <c r="O47" s="4">
        <f t="shared" si="6"/>
        <v>1773.2504795090599</v>
      </c>
      <c r="P47" s="15">
        <v>1964313</v>
      </c>
      <c r="Q47" s="24">
        <f t="shared" si="7"/>
        <v>11274488.140992587</v>
      </c>
      <c r="R47" s="15">
        <f t="shared" si="8"/>
        <v>1964313</v>
      </c>
    </row>
    <row r="48" spans="1:18" ht="16">
      <c r="A48" s="20" t="s">
        <v>72</v>
      </c>
      <c r="B48" s="4">
        <f>'2010-10'!B48</f>
        <v>63.71575</v>
      </c>
      <c r="C48" s="4">
        <f>'2010-10'!C48</f>
        <v>74.382000000000005</v>
      </c>
      <c r="D48" s="18">
        <f t="shared" si="9"/>
        <v>86779.000000000015</v>
      </c>
      <c r="E48" s="4">
        <f>'Interval Circuities'!H48</f>
        <v>1.3907196655034559</v>
      </c>
      <c r="F48" s="4">
        <f t="shared" si="0"/>
        <v>45.814948605716445</v>
      </c>
      <c r="G48" s="4">
        <f t="shared" si="1"/>
        <v>53.450773373335856</v>
      </c>
      <c r="H48" s="4">
        <f t="shared" si="2"/>
        <v>8975.4836347058954</v>
      </c>
      <c r="I48" s="4">
        <f t="shared" si="3"/>
        <v>2530.8612515940731</v>
      </c>
      <c r="J48" s="18">
        <v>673.68371100000002</v>
      </c>
      <c r="K48" s="15">
        <v>1705000</v>
      </c>
      <c r="L48" s="24">
        <f t="shared" si="4"/>
        <v>22715703.745393883</v>
      </c>
      <c r="M48" s="24">
        <f t="shared" si="5"/>
        <v>1705000</v>
      </c>
      <c r="N48" s="21" t="s">
        <v>92</v>
      </c>
      <c r="O48" s="4">
        <f t="shared" si="6"/>
        <v>1384.3499327238446</v>
      </c>
      <c r="P48" s="15">
        <v>932614</v>
      </c>
      <c r="Q48" s="24">
        <f t="shared" si="7"/>
        <v>12425210.165869074</v>
      </c>
      <c r="R48" s="15">
        <f t="shared" si="8"/>
        <v>932614</v>
      </c>
    </row>
    <row r="49" spans="1:18">
      <c r="A49" s="20" t="s">
        <v>56</v>
      </c>
      <c r="B49" s="4">
        <f>'2010-10'!B49</f>
        <v>52.928750000000001</v>
      </c>
      <c r="C49" s="4">
        <f>'2010-10'!C49</f>
        <v>63.23275000000001</v>
      </c>
      <c r="D49" s="18">
        <f t="shared" si="9"/>
        <v>73771.541666666672</v>
      </c>
      <c r="E49" s="4">
        <f>'Interval Circuities'!H49</f>
        <v>1.3981914201363681</v>
      </c>
      <c r="F49" s="4">
        <f t="shared" si="0"/>
        <v>37.855152905199319</v>
      </c>
      <c r="G49" s="4">
        <f t="shared" si="1"/>
        <v>44.164345056065876</v>
      </c>
      <c r="H49" s="4">
        <f t="shared" si="2"/>
        <v>6127.6430889898493</v>
      </c>
      <c r="I49" s="4">
        <f t="shared" si="3"/>
        <v>1255.1211285274092</v>
      </c>
      <c r="J49" s="18">
        <v>2469.8811369999999</v>
      </c>
      <c r="K49" s="15">
        <v>3100000</v>
      </c>
      <c r="L49" s="24">
        <f t="shared" si="4"/>
        <v>7690934.3090661187</v>
      </c>
      <c r="M49" s="24">
        <f t="shared" si="5"/>
        <v>3100000</v>
      </c>
      <c r="N49" s="21" t="s">
        <v>92</v>
      </c>
      <c r="O49" s="4">
        <f t="shared" si="6"/>
        <v>637.55537722461668</v>
      </c>
      <c r="P49" s="15">
        <v>1574686</v>
      </c>
      <c r="Q49" s="24">
        <f t="shared" si="7"/>
        <v>3906711.8010987388</v>
      </c>
      <c r="R49" s="15">
        <f t="shared" si="8"/>
        <v>1574686</v>
      </c>
    </row>
    <row r="50" spans="1:18">
      <c r="A50" s="20" t="s">
        <v>76</v>
      </c>
      <c r="B50" s="4">
        <f>'2010-10'!B50</f>
        <v>60.375000000000007</v>
      </c>
      <c r="C50" s="4">
        <f>'2010-10'!C50</f>
        <v>66.814999999999998</v>
      </c>
      <c r="D50" s="18">
        <f t="shared" si="9"/>
        <v>77950.833333333328</v>
      </c>
      <c r="E50" s="4">
        <f>'Interval Circuities'!H50</f>
        <v>1.2330872661002497</v>
      </c>
      <c r="F50" s="4">
        <f t="shared" si="0"/>
        <v>48.962471399888365</v>
      </c>
      <c r="G50" s="4">
        <f t="shared" si="1"/>
        <v>57.122883299869763</v>
      </c>
      <c r="H50" s="4">
        <f t="shared" si="2"/>
        <v>10251.091587543357</v>
      </c>
      <c r="I50" s="4">
        <f t="shared" si="3"/>
        <v>1874.9988406660766</v>
      </c>
      <c r="J50" s="18">
        <v>2890.6684540000001</v>
      </c>
      <c r="K50" s="15">
        <v>5420000</v>
      </c>
      <c r="L50" s="24">
        <f t="shared" si="4"/>
        <v>19220784.842205565</v>
      </c>
      <c r="M50" s="24">
        <f t="shared" si="5"/>
        <v>5420000</v>
      </c>
      <c r="N50" s="21" t="s">
        <v>92</v>
      </c>
      <c r="O50" s="4">
        <f t="shared" si="6"/>
        <v>693.05838143691869</v>
      </c>
      <c r="P50" s="15">
        <v>2003402</v>
      </c>
      <c r="Q50" s="24">
        <f t="shared" si="7"/>
        <v>7104604.9436244117</v>
      </c>
      <c r="R50" s="15">
        <f t="shared" si="8"/>
        <v>2003402</v>
      </c>
    </row>
    <row r="51" spans="1:18">
      <c r="A51" s="20" t="s">
        <v>57</v>
      </c>
      <c r="B51" s="4">
        <f>'2010-10'!B51</f>
        <v>59.771250000000002</v>
      </c>
      <c r="C51" s="4">
        <f>'2010-10'!C51</f>
        <v>67.539500000000004</v>
      </c>
      <c r="D51" s="18">
        <f t="shared" si="9"/>
        <v>78796.083333333343</v>
      </c>
      <c r="E51" s="4">
        <f>'Interval Circuities'!H51</f>
        <v>1.3009918403315728</v>
      </c>
      <c r="F51" s="4">
        <f t="shared" si="0"/>
        <v>45.942832343027305</v>
      </c>
      <c r="G51" s="4">
        <f t="shared" si="1"/>
        <v>53.599971066865194</v>
      </c>
      <c r="H51" s="4">
        <f t="shared" si="2"/>
        <v>9025.6602859954965</v>
      </c>
      <c r="I51" s="4">
        <f t="shared" si="3"/>
        <v>1031.684545690754</v>
      </c>
      <c r="J51" s="18">
        <v>2146.9741009999998</v>
      </c>
      <c r="K51" s="15">
        <v>2215000</v>
      </c>
      <c r="L51" s="24">
        <f t="shared" si="4"/>
        <v>9311634.2317163441</v>
      </c>
      <c r="M51" s="24">
        <f t="shared" si="5"/>
        <v>2215000</v>
      </c>
      <c r="N51" s="21" t="s">
        <v>92</v>
      </c>
      <c r="O51" s="4">
        <f t="shared" si="6"/>
        <v>587.96843399835689</v>
      </c>
      <c r="P51" s="15">
        <v>1262353</v>
      </c>
      <c r="Q51" s="24">
        <f t="shared" si="7"/>
        <v>5306803.3441579342</v>
      </c>
      <c r="R51" s="15">
        <f t="shared" si="8"/>
        <v>1262353</v>
      </c>
    </row>
    <row r="52" spans="1:18">
      <c r="A52" s="20" t="s">
        <v>71</v>
      </c>
      <c r="B52" s="4">
        <f>'2010-10'!B52</f>
        <v>61.099500000000006</v>
      </c>
      <c r="C52" s="4">
        <f>'2010-10'!C52</f>
        <v>68.384749999999997</v>
      </c>
      <c r="D52" s="18">
        <f t="shared" si="9"/>
        <v>79782.208333333328</v>
      </c>
      <c r="E52" s="4">
        <f>'Interval Circuities'!H52</f>
        <v>1.2632713910422415</v>
      </c>
      <c r="F52" s="4">
        <f t="shared" si="0"/>
        <v>48.366091746596794</v>
      </c>
      <c r="G52" s="4">
        <f t="shared" si="1"/>
        <v>56.427107037696267</v>
      </c>
      <c r="H52" s="4">
        <f t="shared" si="2"/>
        <v>10002.888841489497</v>
      </c>
      <c r="I52" s="4">
        <f t="shared" si="3"/>
        <v>1116.5255971867098</v>
      </c>
      <c r="J52" s="18">
        <v>2077.87444</v>
      </c>
      <c r="K52" s="15">
        <v>2320000</v>
      </c>
      <c r="L52" s="24">
        <f t="shared" si="4"/>
        <v>11168481.437336337</v>
      </c>
      <c r="M52" s="24">
        <f t="shared" si="5"/>
        <v>2320000</v>
      </c>
      <c r="N52" s="21" t="s">
        <v>92</v>
      </c>
      <c r="O52" s="4">
        <f t="shared" si="6"/>
        <v>483.81316052956498</v>
      </c>
      <c r="P52" s="15">
        <v>1005303</v>
      </c>
      <c r="Q52" s="24">
        <f t="shared" si="7"/>
        <v>4839529.2648269525</v>
      </c>
      <c r="R52" s="15">
        <f t="shared" si="8"/>
        <v>1005303</v>
      </c>
    </row>
    <row r="53" spans="1:18" ht="16">
      <c r="A53" s="20" t="s">
        <v>117</v>
      </c>
      <c r="B53" s="4">
        <f>'2010-10'!B53</f>
        <v>57.074500000000008</v>
      </c>
      <c r="C53" s="4">
        <f>'2010-10'!C53</f>
        <v>69.189749999999989</v>
      </c>
      <c r="D53" s="18">
        <f t="shared" si="9"/>
        <v>80721.375</v>
      </c>
      <c r="E53" s="4">
        <f>'Interval Circuities'!H53</f>
        <v>1.2676619008406249</v>
      </c>
      <c r="F53" s="4">
        <f t="shared" si="0"/>
        <v>45.023440368565296</v>
      </c>
      <c r="G53" s="4">
        <f t="shared" si="1"/>
        <v>52.527347096659518</v>
      </c>
      <c r="H53" s="4">
        <f t="shared" si="2"/>
        <v>8668.038011926028</v>
      </c>
      <c r="I53" s="4">
        <f t="shared" si="3"/>
        <v>1445.2558415588917</v>
      </c>
      <c r="J53" s="18">
        <v>2996.0093400000001</v>
      </c>
      <c r="K53" s="15">
        <v>4330000</v>
      </c>
      <c r="L53" s="24">
        <f t="shared" si="4"/>
        <v>12527532.571590614</v>
      </c>
      <c r="M53" s="24">
        <f t="shared" si="5"/>
        <v>4330000</v>
      </c>
      <c r="N53" s="21" t="s">
        <v>92</v>
      </c>
      <c r="O53" s="4">
        <f t="shared" si="6"/>
        <v>824.50343762947011</v>
      </c>
      <c r="P53" s="15">
        <v>2470220</v>
      </c>
      <c r="Q53" s="24">
        <f t="shared" si="7"/>
        <v>7146827.1383359283</v>
      </c>
      <c r="R53" s="15">
        <f t="shared" si="8"/>
        <v>2470220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E3" sqref="E3:E53"/>
    </sheetView>
  </sheetViews>
  <sheetFormatPr baseColWidth="10" defaultColWidth="11.5" defaultRowHeight="14" x14ac:dyDescent="0"/>
  <cols>
    <col min="4" max="4" width="11.5" style="20"/>
  </cols>
  <sheetData>
    <row r="1" spans="1:18" ht="56">
      <c r="A1" s="20">
        <f>8/6</f>
        <v>1.3333333333333333</v>
      </c>
      <c r="B1" s="1" t="s">
        <v>60</v>
      </c>
      <c r="C1" s="1" t="s">
        <v>61</v>
      </c>
      <c r="D1" s="1" t="s">
        <v>170</v>
      </c>
      <c r="E1" s="7" t="s">
        <v>91</v>
      </c>
      <c r="F1" s="1" t="s">
        <v>21</v>
      </c>
      <c r="G1" s="1" t="s">
        <v>20</v>
      </c>
      <c r="H1" s="1" t="s">
        <v>131</v>
      </c>
      <c r="I1" s="1" t="s">
        <v>25</v>
      </c>
      <c r="J1" s="8" t="s">
        <v>84</v>
      </c>
      <c r="K1" s="25" t="s">
        <v>79</v>
      </c>
      <c r="L1" s="23" t="s">
        <v>77</v>
      </c>
      <c r="M1" s="29" t="s">
        <v>104</v>
      </c>
      <c r="N1" s="21" t="s">
        <v>92</v>
      </c>
      <c r="O1" s="1" t="s">
        <v>90</v>
      </c>
      <c r="P1" s="1" t="s">
        <v>88</v>
      </c>
      <c r="Q1" s="23" t="s">
        <v>89</v>
      </c>
      <c r="R1" s="20" t="s">
        <v>103</v>
      </c>
    </row>
    <row r="2" spans="1:18" ht="16">
      <c r="A2" s="20" t="s">
        <v>16</v>
      </c>
      <c r="B2" s="20" t="s">
        <v>18</v>
      </c>
      <c r="C2" s="20" t="s">
        <v>122</v>
      </c>
      <c r="E2" s="20" t="s">
        <v>115</v>
      </c>
      <c r="F2" s="20" t="s">
        <v>17</v>
      </c>
      <c r="G2" s="20" t="s">
        <v>19</v>
      </c>
      <c r="H2" s="20" t="s">
        <v>132</v>
      </c>
      <c r="I2" s="20" t="s">
        <v>24</v>
      </c>
      <c r="J2" s="9" t="s">
        <v>16</v>
      </c>
      <c r="K2" s="15" t="s">
        <v>123</v>
      </c>
      <c r="L2" s="24" t="s">
        <v>129</v>
      </c>
      <c r="M2" s="24" t="s">
        <v>124</v>
      </c>
      <c r="N2" s="21" t="s">
        <v>92</v>
      </c>
      <c r="O2" s="20" t="s">
        <v>125</v>
      </c>
      <c r="P2" s="20" t="s">
        <v>126</v>
      </c>
      <c r="Q2" s="24" t="s">
        <v>128</v>
      </c>
      <c r="R2" s="20" t="s">
        <v>127</v>
      </c>
    </row>
    <row r="3" spans="1:18">
      <c r="A3" s="20" t="s">
        <v>26</v>
      </c>
      <c r="B3" s="4">
        <f>'2010-10'!B3</f>
        <v>57.436750000000011</v>
      </c>
      <c r="C3" s="4">
        <f>'2010-10'!C3</f>
        <v>68.143250000000009</v>
      </c>
      <c r="D3" s="18">
        <f>C3*$A$1*1000</f>
        <v>90857.666666666672</v>
      </c>
      <c r="E3" s="4">
        <f>'Interval Circuities'!I3</f>
        <v>1.1933849385737794</v>
      </c>
      <c r="F3" s="4">
        <f t="shared" ref="F3:F53" si="0">B3/E3</f>
        <v>48.12927341670909</v>
      </c>
      <c r="G3" s="4">
        <f t="shared" ref="G3:G53" si="1">F3*$A$1</f>
        <v>64.17236455561212</v>
      </c>
      <c r="H3" s="4">
        <f t="shared" ref="H3:H53" si="2">PI()*G3^2</f>
        <v>12937.368744747735</v>
      </c>
      <c r="I3" s="4">
        <f t="shared" ref="I3:I53" si="3">K3/J3</f>
        <v>873.48977839674285</v>
      </c>
      <c r="J3" s="9">
        <v>5083.0589090000003</v>
      </c>
      <c r="K3" s="15">
        <v>4440000</v>
      </c>
      <c r="L3" s="24">
        <f t="shared" ref="L3:L53" si="4">H3*I3</f>
        <v>11300659.357886646</v>
      </c>
      <c r="M3" s="24">
        <f t="shared" ref="M3:M53" si="5">MIN(K3,L3)</f>
        <v>4440000</v>
      </c>
      <c r="N3" s="21" t="s">
        <v>92</v>
      </c>
      <c r="O3" s="4">
        <f t="shared" ref="O3:O53" si="6">P3/J3</f>
        <v>436.36913120811522</v>
      </c>
      <c r="P3" s="15">
        <v>2218090</v>
      </c>
      <c r="Q3" s="24">
        <f t="shared" ref="Q3:Q53" si="7">H3*O3</f>
        <v>5645468.3592645936</v>
      </c>
      <c r="R3" s="15">
        <f t="shared" ref="R3:R53" si="8">MIN(Q3,P3)</f>
        <v>2218090</v>
      </c>
    </row>
    <row r="4" spans="1:18">
      <c r="A4" s="20" t="s">
        <v>27</v>
      </c>
      <c r="B4" s="4">
        <f>'2010-10'!B4</f>
        <v>62.91075</v>
      </c>
      <c r="C4" s="4">
        <f>'2010-10'!C4</f>
        <v>76.756750000000011</v>
      </c>
      <c r="D4" s="18">
        <f t="shared" ref="D4:D53" si="9">C4*$A$1*1000</f>
        <v>102342.33333333334</v>
      </c>
      <c r="E4" s="4">
        <f>'Interval Circuities'!I4</f>
        <v>1.2630063192455665</v>
      </c>
      <c r="F4" s="4">
        <f t="shared" si="0"/>
        <v>49.810320852217565</v>
      </c>
      <c r="G4" s="4">
        <f t="shared" si="1"/>
        <v>66.413761136290077</v>
      </c>
      <c r="H4" s="4">
        <f t="shared" si="2"/>
        <v>13856.898135175814</v>
      </c>
      <c r="I4" s="4">
        <f t="shared" si="3"/>
        <v>1256.1525913969799</v>
      </c>
      <c r="J4" s="9">
        <v>823.94448499999999</v>
      </c>
      <c r="K4" s="15">
        <v>1035000</v>
      </c>
      <c r="L4" s="24">
        <f t="shared" si="4"/>
        <v>17406378.501225077</v>
      </c>
      <c r="M4" s="24">
        <f t="shared" si="5"/>
        <v>1035000</v>
      </c>
      <c r="N4" s="21" t="s">
        <v>92</v>
      </c>
      <c r="O4" s="4">
        <f t="shared" si="6"/>
        <v>796.23932430350578</v>
      </c>
      <c r="P4" s="15">
        <v>656057</v>
      </c>
      <c r="Q4" s="24">
        <f t="shared" si="7"/>
        <v>11033407.208094899</v>
      </c>
      <c r="R4" s="15">
        <f t="shared" si="8"/>
        <v>656057</v>
      </c>
    </row>
    <row r="5" spans="1:18" ht="16">
      <c r="A5" s="20" t="s">
        <v>118</v>
      </c>
      <c r="B5" s="4">
        <f>'2010-10'!B5</f>
        <v>59.811500000000002</v>
      </c>
      <c r="C5" s="4">
        <f>'2010-10'!C5</f>
        <v>68.626249999999999</v>
      </c>
      <c r="D5" s="18">
        <f t="shared" si="9"/>
        <v>91501.666666666672</v>
      </c>
      <c r="E5" s="4">
        <f>'Interval Circuities'!I5</f>
        <v>1.2268115098360695</v>
      </c>
      <c r="F5" s="4">
        <f t="shared" si="0"/>
        <v>48.753618237566265</v>
      </c>
      <c r="G5" s="4">
        <f t="shared" si="1"/>
        <v>65.00482431675502</v>
      </c>
      <c r="H5" s="4">
        <f t="shared" si="2"/>
        <v>13275.199319484303</v>
      </c>
      <c r="I5" s="4">
        <f t="shared" si="3"/>
        <v>1312.0237170817477</v>
      </c>
      <c r="J5" s="9">
        <v>1768.260718</v>
      </c>
      <c r="K5" s="15">
        <v>2320000</v>
      </c>
      <c r="L5" s="24">
        <f t="shared" si="4"/>
        <v>17417376.356150884</v>
      </c>
      <c r="M5" s="24">
        <f t="shared" si="5"/>
        <v>2320000</v>
      </c>
      <c r="N5" s="21" t="s">
        <v>92</v>
      </c>
      <c r="O5" s="4">
        <f t="shared" si="6"/>
        <v>634.47657270187688</v>
      </c>
      <c r="P5" s="15">
        <v>1121920</v>
      </c>
      <c r="Q5" s="24">
        <f t="shared" si="7"/>
        <v>8422802.9661606885</v>
      </c>
      <c r="R5" s="15">
        <f t="shared" si="8"/>
        <v>1121920</v>
      </c>
    </row>
    <row r="6" spans="1:18">
      <c r="A6" s="20" t="s">
        <v>29</v>
      </c>
      <c r="B6" s="4">
        <f>'2010-10'!B6</f>
        <v>53.613</v>
      </c>
      <c r="C6" s="4">
        <f>'2010-10'!C6</f>
        <v>62.8705</v>
      </c>
      <c r="D6" s="18">
        <f t="shared" si="9"/>
        <v>83827.333333333328</v>
      </c>
      <c r="E6" s="4">
        <f>'Interval Circuities'!I6</f>
        <v>1.1822577092208564</v>
      </c>
      <c r="F6" s="4">
        <f t="shared" si="0"/>
        <v>45.347980885937794</v>
      </c>
      <c r="G6" s="4">
        <f t="shared" si="1"/>
        <v>60.463974514583725</v>
      </c>
      <c r="H6" s="4">
        <f t="shared" si="2"/>
        <v>11485.324122133406</v>
      </c>
      <c r="I6" s="4">
        <f t="shared" si="3"/>
        <v>934.02366191942531</v>
      </c>
      <c r="J6" s="9">
        <v>4496.6740900000004</v>
      </c>
      <c r="K6" s="15">
        <v>4200000</v>
      </c>
      <c r="L6" s="24">
        <f t="shared" si="4"/>
        <v>10727564.494886553</v>
      </c>
      <c r="M6" s="24">
        <f t="shared" si="5"/>
        <v>4200000</v>
      </c>
      <c r="N6" s="21" t="s">
        <v>92</v>
      </c>
      <c r="O6" s="4">
        <f t="shared" si="6"/>
        <v>645.53199584895856</v>
      </c>
      <c r="P6" s="15">
        <f>2341938+286024+61431+22699+190655</f>
        <v>2902747</v>
      </c>
      <c r="Q6" s="24">
        <f t="shared" si="7"/>
        <v>7414144.2035329659</v>
      </c>
      <c r="R6" s="15">
        <f t="shared" si="8"/>
        <v>2902747</v>
      </c>
    </row>
    <row r="7" spans="1:18">
      <c r="A7" s="20" t="s">
        <v>30</v>
      </c>
      <c r="B7" s="4">
        <f>'2010-10'!B7</f>
        <v>63.434000000000012</v>
      </c>
      <c r="C7" s="4">
        <f>'2010-10'!C7</f>
        <v>70.236249999999998</v>
      </c>
      <c r="D7" s="18">
        <f t="shared" si="9"/>
        <v>93648.333333333328</v>
      </c>
      <c r="E7" s="4">
        <f>'Interval Circuities'!I7</f>
        <v>1.1659230811658463</v>
      </c>
      <c r="F7" s="4">
        <f t="shared" si="0"/>
        <v>54.406676585019817</v>
      </c>
      <c r="G7" s="4">
        <f t="shared" si="1"/>
        <v>72.542235446693084</v>
      </c>
      <c r="H7" s="4">
        <f t="shared" si="2"/>
        <v>16532.241542020416</v>
      </c>
      <c r="I7" s="4">
        <f t="shared" si="3"/>
        <v>1184.5434204235628</v>
      </c>
      <c r="J7" s="9">
        <v>949.73302000000001</v>
      </c>
      <c r="K7" s="15">
        <v>1125000</v>
      </c>
      <c r="L7" s="24">
        <f t="shared" si="4"/>
        <v>19583157.943453379</v>
      </c>
      <c r="M7" s="24">
        <f t="shared" si="5"/>
        <v>1125000</v>
      </c>
      <c r="N7" s="21" t="s">
        <v>92</v>
      </c>
      <c r="O7" s="4">
        <f t="shared" si="6"/>
        <v>494.17361523346847</v>
      </c>
      <c r="P7" s="15">
        <v>469333</v>
      </c>
      <c r="Q7" s="24">
        <f t="shared" si="7"/>
        <v>8169797.5707331607</v>
      </c>
      <c r="R7" s="15">
        <f t="shared" si="8"/>
        <v>469333</v>
      </c>
    </row>
    <row r="8" spans="1:18">
      <c r="A8" s="20" t="s">
        <v>31</v>
      </c>
      <c r="B8" s="4">
        <f>'2010-10'!B8</f>
        <v>61.2605</v>
      </c>
      <c r="C8" s="4">
        <f>'2010-10'!C8</f>
        <v>70.799749999999989</v>
      </c>
      <c r="D8" s="18">
        <f t="shared" si="9"/>
        <v>94399.666666666642</v>
      </c>
      <c r="E8" s="4">
        <f>'Interval Circuities'!I8</f>
        <v>1.2188102793904707</v>
      </c>
      <c r="F8" s="4">
        <f t="shared" si="0"/>
        <v>50.262539655176269</v>
      </c>
      <c r="G8" s="4">
        <f t="shared" si="1"/>
        <v>67.016719540235016</v>
      </c>
      <c r="H8" s="4">
        <f t="shared" si="2"/>
        <v>14109.648782134576</v>
      </c>
      <c r="I8" s="4">
        <f t="shared" si="3"/>
        <v>949.91537958488948</v>
      </c>
      <c r="J8" s="9">
        <v>1126.4161240000001</v>
      </c>
      <c r="K8" s="15">
        <v>1070000</v>
      </c>
      <c r="L8" s="24">
        <f t="shared" si="4"/>
        <v>13402972.378690839</v>
      </c>
      <c r="M8" s="24">
        <f t="shared" si="5"/>
        <v>1070000</v>
      </c>
      <c r="N8" s="21" t="s">
        <v>92</v>
      </c>
      <c r="O8" s="4">
        <f t="shared" si="6"/>
        <v>723.7920184459291</v>
      </c>
      <c r="P8" s="15">
        <v>815291</v>
      </c>
      <c r="Q8" s="24">
        <f t="shared" si="7"/>
        <v>10212451.17158433</v>
      </c>
      <c r="R8" s="15">
        <f t="shared" si="8"/>
        <v>815291</v>
      </c>
    </row>
    <row r="9" spans="1:18">
      <c r="A9" s="20" t="s">
        <v>32</v>
      </c>
      <c r="B9" s="4">
        <f>'2010-10'!B9</f>
        <v>49.265999999999998</v>
      </c>
      <c r="C9" s="4">
        <f>'2010-10'!C9</f>
        <v>60.495750000000008</v>
      </c>
      <c r="D9" s="18">
        <f t="shared" si="9"/>
        <v>80661</v>
      </c>
      <c r="E9" s="4">
        <f>'Interval Circuities'!I9</f>
        <v>1.1765397413486474</v>
      </c>
      <c r="F9" s="4">
        <f t="shared" si="0"/>
        <v>41.873638661391261</v>
      </c>
      <c r="G9" s="4">
        <f t="shared" si="1"/>
        <v>55.831518215188346</v>
      </c>
      <c r="H9" s="4">
        <f t="shared" si="2"/>
        <v>9792.8420118659942</v>
      </c>
      <c r="I9" s="4">
        <f t="shared" si="3"/>
        <v>1535.0877689569375</v>
      </c>
      <c r="J9" s="9">
        <v>5498.0569649999998</v>
      </c>
      <c r="K9" s="15">
        <v>8440000</v>
      </c>
      <c r="L9" s="24">
        <f t="shared" si="4"/>
        <v>15032871.995743135</v>
      </c>
      <c r="M9" s="24">
        <f t="shared" si="5"/>
        <v>8440000</v>
      </c>
      <c r="N9" s="21" t="s">
        <v>92</v>
      </c>
      <c r="O9" s="4">
        <f t="shared" si="6"/>
        <v>761.20455401647519</v>
      </c>
      <c r="P9" s="15">
        <v>4185146</v>
      </c>
      <c r="Q9" s="24">
        <f t="shared" si="7"/>
        <v>7454355.9361962555</v>
      </c>
      <c r="R9" s="15">
        <f t="shared" si="8"/>
        <v>4185146</v>
      </c>
    </row>
    <row r="10" spans="1:18">
      <c r="A10" s="20" t="s">
        <v>33</v>
      </c>
      <c r="B10" s="4">
        <f>'2010-10'!B10</f>
        <v>66.895499999999998</v>
      </c>
      <c r="C10" s="4">
        <f>'2010-10'!C10</f>
        <v>72.530500000000018</v>
      </c>
      <c r="D10" s="18">
        <f t="shared" si="9"/>
        <v>96707.333333333358</v>
      </c>
      <c r="E10" s="4">
        <f>'Interval Circuities'!I10</f>
        <v>1.2721393245922437</v>
      </c>
      <c r="F10" s="4">
        <f t="shared" si="0"/>
        <v>52.585042146576107</v>
      </c>
      <c r="G10" s="4">
        <f t="shared" si="1"/>
        <v>70.113389528768138</v>
      </c>
      <c r="H10" s="4">
        <f t="shared" si="2"/>
        <v>15443.715714108743</v>
      </c>
      <c r="I10" s="4">
        <f t="shared" si="3"/>
        <v>959.84466122297908</v>
      </c>
      <c r="J10" s="9">
        <v>1739.864863</v>
      </c>
      <c r="K10" s="15">
        <v>1670000</v>
      </c>
      <c r="L10" s="24">
        <f t="shared" si="4"/>
        <v>14823568.077632705</v>
      </c>
      <c r="M10" s="24">
        <f t="shared" si="5"/>
        <v>1670000</v>
      </c>
      <c r="N10" s="21" t="s">
        <v>92</v>
      </c>
      <c r="O10" s="4">
        <f t="shared" si="6"/>
        <v>544.468722913683</v>
      </c>
      <c r="P10" s="15">
        <v>947302</v>
      </c>
      <c r="Q10" s="24">
        <f t="shared" si="7"/>
        <v>8408620.1719027646</v>
      </c>
      <c r="R10" s="15">
        <f t="shared" si="8"/>
        <v>947302</v>
      </c>
    </row>
    <row r="11" spans="1:18">
      <c r="A11" s="20" t="s">
        <v>34</v>
      </c>
      <c r="B11" s="4">
        <f>'2010-10'!B11</f>
        <v>66.332000000000008</v>
      </c>
      <c r="C11" s="4">
        <f>'2010-10'!C11</f>
        <v>73.013500000000008</v>
      </c>
      <c r="D11" s="18">
        <f t="shared" si="9"/>
        <v>97351.333333333343</v>
      </c>
      <c r="E11" s="4">
        <f>'Interval Circuities'!I11</f>
        <v>1.1513174285753958</v>
      </c>
      <c r="F11" s="4">
        <f t="shared" si="0"/>
        <v>57.613997976281098</v>
      </c>
      <c r="G11" s="4">
        <f t="shared" si="1"/>
        <v>76.818663968374793</v>
      </c>
      <c r="H11" s="4">
        <f t="shared" si="2"/>
        <v>18538.874819862842</v>
      </c>
      <c r="I11" s="4">
        <f t="shared" si="3"/>
        <v>1068.1935094485655</v>
      </c>
      <c r="J11" s="9">
        <v>1675.7263399999999</v>
      </c>
      <c r="K11" s="15">
        <v>1790000</v>
      </c>
      <c r="L11" s="24">
        <f t="shared" si="4"/>
        <v>19803105.755056933</v>
      </c>
      <c r="M11" s="24">
        <f t="shared" si="5"/>
        <v>1790000</v>
      </c>
      <c r="N11" s="21" t="s">
        <v>92</v>
      </c>
      <c r="O11" s="4">
        <f t="shared" si="6"/>
        <v>567.00129210835223</v>
      </c>
      <c r="P11" s="15">
        <v>950139</v>
      </c>
      <c r="Q11" s="24">
        <f t="shared" si="7"/>
        <v>10511565.977097226</v>
      </c>
      <c r="R11" s="15">
        <f t="shared" si="8"/>
        <v>950139</v>
      </c>
    </row>
    <row r="12" spans="1:18">
      <c r="A12" s="20" t="s">
        <v>35</v>
      </c>
      <c r="B12" s="4">
        <f>'2010-10'!B12</f>
        <v>73.174500000000009</v>
      </c>
      <c r="C12" s="4">
        <f>'2010-10'!C12</f>
        <v>79.775500000000008</v>
      </c>
      <c r="D12" s="18">
        <f t="shared" si="9"/>
        <v>106367.33333333333</v>
      </c>
      <c r="E12" s="4">
        <f>'Interval Circuities'!I12</f>
        <v>1.1687761854315619</v>
      </c>
      <c r="F12" s="4">
        <f t="shared" si="0"/>
        <v>62.607795155392274</v>
      </c>
      <c r="G12" s="4">
        <f t="shared" si="1"/>
        <v>83.477060207189695</v>
      </c>
      <c r="H12" s="4">
        <f t="shared" si="2"/>
        <v>21891.935762281788</v>
      </c>
      <c r="I12" s="4">
        <f t="shared" si="3"/>
        <v>1189.2536054091877</v>
      </c>
      <c r="J12" s="9">
        <v>1030.0578399999999</v>
      </c>
      <c r="K12" s="15">
        <v>1225000</v>
      </c>
      <c r="L12" s="24">
        <f t="shared" si="4"/>
        <v>26035063.534679949</v>
      </c>
      <c r="M12" s="24">
        <f t="shared" si="5"/>
        <v>1225000</v>
      </c>
      <c r="N12" s="21" t="s">
        <v>92</v>
      </c>
      <c r="O12" s="4">
        <f t="shared" si="6"/>
        <v>769.83055631128445</v>
      </c>
      <c r="P12" s="15">
        <v>792970</v>
      </c>
      <c r="Q12" s="24">
        <f t="shared" si="7"/>
        <v>16853081.086608291</v>
      </c>
      <c r="R12" s="15">
        <f t="shared" si="8"/>
        <v>792970</v>
      </c>
    </row>
    <row r="13" spans="1:18">
      <c r="A13" s="20" t="s">
        <v>62</v>
      </c>
      <c r="B13" s="4">
        <f>'2010-10'!B13</f>
        <v>53.894749999999995</v>
      </c>
      <c r="C13" s="4">
        <f>'2010-10'!C13</f>
        <v>63.393750000000004</v>
      </c>
      <c r="D13" s="18">
        <f t="shared" si="9"/>
        <v>84525</v>
      </c>
      <c r="E13" s="4">
        <f>'Interval Circuities'!I13</f>
        <v>1.2096246171132026</v>
      </c>
      <c r="F13" s="4">
        <f t="shared" si="0"/>
        <v>44.554938149837817</v>
      </c>
      <c r="G13" s="4">
        <f t="shared" si="1"/>
        <v>59.406584199783751</v>
      </c>
      <c r="H13" s="4">
        <f t="shared" si="2"/>
        <v>11087.127354405467</v>
      </c>
      <c r="I13" s="4">
        <f t="shared" si="3"/>
        <v>1219.7404531385341</v>
      </c>
      <c r="J13" s="9">
        <v>3644.2179059999999</v>
      </c>
      <c r="K13" s="15">
        <v>4445000</v>
      </c>
      <c r="L13" s="24">
        <f t="shared" si="4"/>
        <v>13523417.743267162</v>
      </c>
      <c r="M13" s="24">
        <f t="shared" si="5"/>
        <v>4445000</v>
      </c>
      <c r="N13" s="21" t="s">
        <v>92</v>
      </c>
      <c r="O13" s="4">
        <f t="shared" si="6"/>
        <v>729.77414320404807</v>
      </c>
      <c r="P13" s="15">
        <v>2659456</v>
      </c>
      <c r="Q13" s="24">
        <f t="shared" si="7"/>
        <v>8091098.8656554138</v>
      </c>
      <c r="R13" s="15">
        <f t="shared" si="8"/>
        <v>2659456</v>
      </c>
    </row>
    <row r="14" spans="1:18">
      <c r="A14" s="20" t="s">
        <v>36</v>
      </c>
      <c r="B14" s="4">
        <f>'2010-10'!B14</f>
        <v>54.780250000000002</v>
      </c>
      <c r="C14" s="4">
        <f>'2010-10'!C14</f>
        <v>64.118250000000003</v>
      </c>
      <c r="D14" s="18">
        <f t="shared" si="9"/>
        <v>85491</v>
      </c>
      <c r="E14" s="4">
        <f>'Interval Circuities'!I14</f>
        <v>1.3292653370679421</v>
      </c>
      <c r="F14" s="4">
        <f t="shared" si="0"/>
        <v>41.210921907309199</v>
      </c>
      <c r="G14" s="4">
        <f t="shared" si="1"/>
        <v>54.947895876412261</v>
      </c>
      <c r="H14" s="4">
        <f t="shared" si="2"/>
        <v>9485.3204135222186</v>
      </c>
      <c r="I14" s="4">
        <f t="shared" si="3"/>
        <v>1687.4292750883483</v>
      </c>
      <c r="J14" s="9">
        <v>1291.9059970000001</v>
      </c>
      <c r="K14" s="15">
        <v>2180000</v>
      </c>
      <c r="L14" s="24">
        <f t="shared" si="4"/>
        <v>16005807.349370509</v>
      </c>
      <c r="M14" s="24">
        <f t="shared" si="5"/>
        <v>2180000</v>
      </c>
      <c r="N14" s="21" t="s">
        <v>92</v>
      </c>
      <c r="O14" s="4">
        <f t="shared" si="6"/>
        <v>885.41349189201105</v>
      </c>
      <c r="P14" s="15">
        <v>1143871</v>
      </c>
      <c r="Q14" s="24">
        <f t="shared" si="7"/>
        <v>8398430.6690512821</v>
      </c>
      <c r="R14" s="15">
        <f t="shared" si="8"/>
        <v>1143871</v>
      </c>
    </row>
    <row r="15" spans="1:18">
      <c r="A15" s="20" t="s">
        <v>37</v>
      </c>
      <c r="B15" s="4">
        <f>'2010-10'!B15</f>
        <v>57.557500000000005</v>
      </c>
      <c r="C15" s="4">
        <f>'2010-10'!C15</f>
        <v>65.124499999999998</v>
      </c>
      <c r="D15" s="18">
        <f t="shared" si="9"/>
        <v>86832.666666666657</v>
      </c>
      <c r="E15" s="4">
        <f>'Interval Circuities'!I15</f>
        <v>1.1812733520638485</v>
      </c>
      <c r="F15" s="4">
        <f t="shared" si="0"/>
        <v>48.724962684918829</v>
      </c>
      <c r="G15" s="4">
        <f t="shared" si="1"/>
        <v>64.966616913225096</v>
      </c>
      <c r="H15" s="4">
        <f t="shared" si="2"/>
        <v>13259.598574681888</v>
      </c>
      <c r="I15" s="4">
        <f t="shared" si="3"/>
        <v>1239.6159677445094</v>
      </c>
      <c r="J15" s="9">
        <v>3267.1408769999998</v>
      </c>
      <c r="K15" s="15">
        <v>4050000</v>
      </c>
      <c r="L15" s="24">
        <f t="shared" si="4"/>
        <v>16436810.119058006</v>
      </c>
      <c r="M15" s="24">
        <f t="shared" si="5"/>
        <v>4050000</v>
      </c>
      <c r="N15" s="21" t="s">
        <v>92</v>
      </c>
      <c r="O15" s="4">
        <f t="shared" si="6"/>
        <v>521.88291359068933</v>
      </c>
      <c r="P15" s="15">
        <v>1705065</v>
      </c>
      <c r="Q15" s="24">
        <f t="shared" si="7"/>
        <v>6919957.9371979348</v>
      </c>
      <c r="R15" s="15">
        <f t="shared" si="8"/>
        <v>1705065</v>
      </c>
    </row>
    <row r="16" spans="1:18">
      <c r="A16" s="20" t="s">
        <v>80</v>
      </c>
      <c r="B16" s="4">
        <f>'2010-10'!B16</f>
        <v>72.650000000000006</v>
      </c>
      <c r="C16" s="4">
        <f>'2010-10'!C16</f>
        <v>79.78</v>
      </c>
      <c r="D16" s="18">
        <f t="shared" si="9"/>
        <v>106373.33333333333</v>
      </c>
      <c r="E16" s="4">
        <f>'Interval Circuities'!I16</f>
        <v>1.2343026815133216</v>
      </c>
      <c r="F16" s="4">
        <f t="shared" si="0"/>
        <v>58.859144590796149</v>
      </c>
      <c r="G16" s="4">
        <f t="shared" si="1"/>
        <v>78.478859454394865</v>
      </c>
      <c r="H16" s="4">
        <f t="shared" si="2"/>
        <v>19348.853581338419</v>
      </c>
      <c r="I16" s="4">
        <f t="shared" si="3"/>
        <v>900.16542520051985</v>
      </c>
      <c r="J16" s="9">
        <v>666.54415200000005</v>
      </c>
      <c r="K16" s="15">
        <v>600000</v>
      </c>
      <c r="L16" s="24">
        <f t="shared" si="4"/>
        <v>17417169.011188097</v>
      </c>
      <c r="M16" s="24">
        <f t="shared" si="5"/>
        <v>600000</v>
      </c>
      <c r="N16" s="21" t="s">
        <v>92</v>
      </c>
      <c r="O16" s="4">
        <f t="shared" si="6"/>
        <v>799.60644527566114</v>
      </c>
      <c r="P16" s="15">
        <f>347964+52598+97277+35134</f>
        <v>532973</v>
      </c>
      <c r="Q16" s="24">
        <f t="shared" si="7"/>
        <v>15471468.032333259</v>
      </c>
      <c r="R16" s="15">
        <f t="shared" si="8"/>
        <v>532973</v>
      </c>
    </row>
    <row r="17" spans="1:18">
      <c r="A17" s="20" t="s">
        <v>58</v>
      </c>
      <c r="B17" s="4">
        <f>'2010-10'!B17</f>
        <v>63.393750000000004</v>
      </c>
      <c r="C17" s="4">
        <f>'2010-10'!C17</f>
        <v>72.087750000000014</v>
      </c>
      <c r="D17" s="18">
        <f t="shared" si="9"/>
        <v>96117.000000000015</v>
      </c>
      <c r="E17" s="4">
        <f>'Interval Circuities'!I17</f>
        <v>1.3331220930334835</v>
      </c>
      <c r="F17" s="4">
        <f t="shared" si="0"/>
        <v>47.552846308134633</v>
      </c>
      <c r="G17" s="4">
        <f t="shared" si="1"/>
        <v>63.403795077512839</v>
      </c>
      <c r="H17" s="4">
        <f t="shared" si="2"/>
        <v>12629.331996022544</v>
      </c>
      <c r="I17" s="4">
        <f t="shared" si="3"/>
        <v>1132.3576753929692</v>
      </c>
      <c r="J17" s="18">
        <v>1364.4098799999999</v>
      </c>
      <c r="K17" s="15">
        <v>1545000</v>
      </c>
      <c r="L17" s="24">
        <f t="shared" si="4"/>
        <v>14300921.020782135</v>
      </c>
      <c r="M17" s="24">
        <f t="shared" si="5"/>
        <v>1545000</v>
      </c>
      <c r="N17" s="21" t="s">
        <v>92</v>
      </c>
      <c r="O17" s="4">
        <f t="shared" si="6"/>
        <v>466.71825624716234</v>
      </c>
      <c r="P17" s="15">
        <v>636795</v>
      </c>
      <c r="Q17" s="24">
        <f t="shared" si="7"/>
        <v>5894339.8067501355</v>
      </c>
      <c r="R17" s="15">
        <f t="shared" si="8"/>
        <v>636795</v>
      </c>
    </row>
    <row r="18" spans="1:18">
      <c r="A18" s="20" t="s">
        <v>38</v>
      </c>
      <c r="B18" s="4">
        <f>'2010-10'!B18</f>
        <v>65.969749999999991</v>
      </c>
      <c r="C18" s="4">
        <f>'2010-10'!C18</f>
        <v>73.8185</v>
      </c>
      <c r="D18" s="18">
        <f t="shared" si="9"/>
        <v>98424.666666666672</v>
      </c>
      <c r="E18" s="4">
        <f>'Interval Circuities'!I18</f>
        <v>1.2209157982173557</v>
      </c>
      <c r="F18" s="4">
        <f t="shared" si="0"/>
        <v>54.033005467143283</v>
      </c>
      <c r="G18" s="4">
        <f t="shared" si="1"/>
        <v>72.044007289524373</v>
      </c>
      <c r="H18" s="4">
        <f t="shared" si="2"/>
        <v>16305.930829104576</v>
      </c>
      <c r="I18" s="4">
        <f t="shared" si="3"/>
        <v>736.26706687215813</v>
      </c>
      <c r="J18" s="18">
        <v>1215.591516</v>
      </c>
      <c r="K18" s="15">
        <v>895000</v>
      </c>
      <c r="L18" s="24">
        <f t="shared" si="4"/>
        <v>12005519.864165124</v>
      </c>
      <c r="M18" s="24">
        <f t="shared" si="5"/>
        <v>895000</v>
      </c>
      <c r="N18" s="21" t="s">
        <v>92</v>
      </c>
      <c r="O18" s="4">
        <f t="shared" si="6"/>
        <v>466.09078176554175</v>
      </c>
      <c r="P18" s="15">
        <v>566576</v>
      </c>
      <c r="Q18" s="24">
        <f t="shared" si="7"/>
        <v>7600044.0475522</v>
      </c>
      <c r="R18" s="15">
        <f t="shared" si="8"/>
        <v>566576</v>
      </c>
    </row>
    <row r="19" spans="1:18">
      <c r="A19" s="20" t="s">
        <v>81</v>
      </c>
      <c r="B19" s="4">
        <f>'2010-10'!B19</f>
        <v>61.743500000000004</v>
      </c>
      <c r="C19" s="4">
        <f>'2010-10'!C19</f>
        <v>74.744249999999994</v>
      </c>
      <c r="D19" s="18">
        <f t="shared" si="9"/>
        <v>99658.999999999985</v>
      </c>
      <c r="E19" s="4">
        <f>'Interval Circuities'!I19</f>
        <v>1.4620608998697906</v>
      </c>
      <c r="F19" s="4">
        <f t="shared" si="0"/>
        <v>42.230457025079332</v>
      </c>
      <c r="G19" s="4">
        <f t="shared" si="1"/>
        <v>56.307276033439109</v>
      </c>
      <c r="H19" s="4">
        <f t="shared" si="2"/>
        <v>9960.4488327932995</v>
      </c>
      <c r="I19" s="4">
        <f t="shared" si="3"/>
        <v>1766.1211842313005</v>
      </c>
      <c r="J19" s="18">
        <v>399.17985599999997</v>
      </c>
      <c r="K19" s="15">
        <v>705000</v>
      </c>
      <c r="L19" s="24">
        <f t="shared" si="4"/>
        <v>17591359.688048176</v>
      </c>
      <c r="M19" s="24">
        <f t="shared" si="5"/>
        <v>705000</v>
      </c>
      <c r="N19" s="21" t="s">
        <v>92</v>
      </c>
      <c r="O19" s="4">
        <f t="shared" si="6"/>
        <v>894.79465116095446</v>
      </c>
      <c r="P19" s="15">
        <v>357184</v>
      </c>
      <c r="Q19" s="24">
        <f t="shared" si="7"/>
        <v>8912556.3387458157</v>
      </c>
      <c r="R19" s="15">
        <f t="shared" si="8"/>
        <v>357184</v>
      </c>
    </row>
    <row r="20" spans="1:18">
      <c r="A20" s="20" t="s">
        <v>39</v>
      </c>
      <c r="B20" s="4">
        <f>'2010-10'!B20</f>
        <v>58.402750000000012</v>
      </c>
      <c r="C20" s="4">
        <f>'2010-10'!C20</f>
        <v>69.592250000000007</v>
      </c>
      <c r="D20" s="18">
        <f t="shared" si="9"/>
        <v>92789.666666666672</v>
      </c>
      <c r="E20" s="4">
        <f>'Interval Circuities'!I20</f>
        <v>1.2376203077049825</v>
      </c>
      <c r="F20" s="4">
        <f t="shared" si="0"/>
        <v>47.189553723711001</v>
      </c>
      <c r="G20" s="4">
        <f t="shared" si="1"/>
        <v>62.919404964948001</v>
      </c>
      <c r="H20" s="4">
        <f t="shared" si="2"/>
        <v>12437.098855476013</v>
      </c>
      <c r="I20" s="4">
        <f t="shared" si="3"/>
        <v>1137.2032495246315</v>
      </c>
      <c r="J20" s="18">
        <v>3354.7213320000001</v>
      </c>
      <c r="K20" s="15">
        <v>3815000</v>
      </c>
      <c r="L20" s="24">
        <f t="shared" si="4"/>
        <v>14143509.233106397</v>
      </c>
      <c r="M20" s="24">
        <f t="shared" si="5"/>
        <v>3815000</v>
      </c>
      <c r="N20" s="21" t="s">
        <v>92</v>
      </c>
      <c r="O20" s="4">
        <f t="shared" si="6"/>
        <v>675.48024880178036</v>
      </c>
      <c r="P20" s="15">
        <v>2266048</v>
      </c>
      <c r="Q20" s="24">
        <f t="shared" si="7"/>
        <v>8401014.6292692758</v>
      </c>
      <c r="R20" s="15">
        <f t="shared" si="8"/>
        <v>2266048</v>
      </c>
    </row>
    <row r="21" spans="1:18">
      <c r="A21" s="20" t="s">
        <v>40</v>
      </c>
      <c r="B21" s="4">
        <f>'2010-10'!B21</f>
        <v>54.53875</v>
      </c>
      <c r="C21" s="4">
        <f>'2010-10'!C21</f>
        <v>64.440250000000006</v>
      </c>
      <c r="D21" s="18">
        <f t="shared" si="9"/>
        <v>85920.333333333328</v>
      </c>
      <c r="E21" s="4">
        <f>'Interval Circuities'!I21</f>
        <v>1.1835544609982929</v>
      </c>
      <c r="F21" s="4">
        <f t="shared" si="0"/>
        <v>46.080473520414252</v>
      </c>
      <c r="G21" s="4">
        <f t="shared" si="1"/>
        <v>61.440631360552331</v>
      </c>
      <c r="H21" s="4">
        <f t="shared" si="2"/>
        <v>11859.358900978799</v>
      </c>
      <c r="I21" s="4">
        <f t="shared" si="3"/>
        <v>747.17664987777027</v>
      </c>
      <c r="J21" s="18">
        <v>1432.0576000000001</v>
      </c>
      <c r="K21" s="15">
        <v>1070000</v>
      </c>
      <c r="L21" s="24">
        <f t="shared" si="4"/>
        <v>8861036.0533314552</v>
      </c>
      <c r="M21" s="24">
        <f t="shared" si="5"/>
        <v>1070000</v>
      </c>
      <c r="N21" s="21" t="s">
        <v>92</v>
      </c>
      <c r="O21" s="4">
        <f t="shared" si="6"/>
        <v>555.53771021500802</v>
      </c>
      <c r="P21" s="15">
        <v>795562</v>
      </c>
      <c r="Q21" s="24">
        <f t="shared" si="7"/>
        <v>6588321.0884677358</v>
      </c>
      <c r="R21" s="15">
        <f t="shared" si="8"/>
        <v>795562</v>
      </c>
    </row>
    <row r="22" spans="1:18" ht="16">
      <c r="A22" s="20" t="s">
        <v>119</v>
      </c>
      <c r="B22" s="4">
        <f>'2010-10'!B22</f>
        <v>60.173750000000005</v>
      </c>
      <c r="C22" s="4">
        <f>'2010-10'!C22</f>
        <v>67.821250000000006</v>
      </c>
      <c r="D22" s="18">
        <f t="shared" si="9"/>
        <v>90428.333333333343</v>
      </c>
      <c r="E22" s="4">
        <f>'Interval Circuities'!I22</f>
        <v>1.3360729352383633</v>
      </c>
      <c r="F22" s="4">
        <f t="shared" si="0"/>
        <v>45.037773322804902</v>
      </c>
      <c r="G22" s="4">
        <f t="shared" si="1"/>
        <v>60.050364430406532</v>
      </c>
      <c r="H22" s="4">
        <f t="shared" si="2"/>
        <v>11328.728464759399</v>
      </c>
      <c r="I22" s="4">
        <f t="shared" si="3"/>
        <v>1786.307024434233</v>
      </c>
      <c r="J22" s="18">
        <v>1136.422783</v>
      </c>
      <c r="K22" s="15">
        <v>2030000</v>
      </c>
      <c r="L22" s="24">
        <f t="shared" si="4"/>
        <v>20236587.234507758</v>
      </c>
      <c r="M22" s="24">
        <f t="shared" si="5"/>
        <v>2030000</v>
      </c>
      <c r="N22" s="21" t="s">
        <v>92</v>
      </c>
      <c r="O22" s="4">
        <f t="shared" si="6"/>
        <v>966.10699505836999</v>
      </c>
      <c r="P22" s="15">
        <v>1097906</v>
      </c>
      <c r="Q22" s="24">
        <f t="shared" si="7"/>
        <v>10944763.814920925</v>
      </c>
      <c r="R22" s="15">
        <f t="shared" si="8"/>
        <v>1097906</v>
      </c>
    </row>
    <row r="23" spans="1:18">
      <c r="A23" s="20" t="s">
        <v>41</v>
      </c>
      <c r="B23" s="4">
        <f>'2010-10'!B23</f>
        <v>66.332000000000008</v>
      </c>
      <c r="C23" s="4">
        <f>'2010-10'!C23</f>
        <v>74.180750000000003</v>
      </c>
      <c r="D23" s="18">
        <f t="shared" si="9"/>
        <v>98907.666666666672</v>
      </c>
      <c r="E23" s="4">
        <f>'Interval Circuities'!I23</f>
        <v>1.2841484821523987</v>
      </c>
      <c r="F23" s="4">
        <f t="shared" si="0"/>
        <v>51.654462799207614</v>
      </c>
      <c r="G23" s="4">
        <f t="shared" si="1"/>
        <v>68.872617065610143</v>
      </c>
      <c r="H23" s="4">
        <f t="shared" si="2"/>
        <v>14901.948030377334</v>
      </c>
      <c r="I23" s="4">
        <f t="shared" si="3"/>
        <v>978.15000707799697</v>
      </c>
      <c r="J23" s="18">
        <v>1063.231603</v>
      </c>
      <c r="K23" s="15">
        <v>1040000</v>
      </c>
      <c r="L23" s="24">
        <f t="shared" si="4"/>
        <v>14576340.571389534</v>
      </c>
      <c r="M23" s="24">
        <f t="shared" si="5"/>
        <v>1040000</v>
      </c>
      <c r="N23" s="21" t="s">
        <v>92</v>
      </c>
      <c r="O23" s="4">
        <f t="shared" si="6"/>
        <v>508.16021502325492</v>
      </c>
      <c r="P23" s="15">
        <v>540292</v>
      </c>
      <c r="Q23" s="24">
        <f t="shared" si="7"/>
        <v>7572577.1153819161</v>
      </c>
      <c r="R23" s="15">
        <f t="shared" si="8"/>
        <v>540292</v>
      </c>
    </row>
    <row r="24" spans="1:18">
      <c r="A24" s="20" t="s">
        <v>75</v>
      </c>
      <c r="B24" s="4">
        <f>'2010-10'!B24</f>
        <v>63.434000000000012</v>
      </c>
      <c r="C24" s="4">
        <f>'2010-10'!C24</f>
        <v>69.552000000000007</v>
      </c>
      <c r="D24" s="18">
        <f t="shared" si="9"/>
        <v>92736</v>
      </c>
      <c r="E24" s="4">
        <f>'Interval Circuities'!I24</f>
        <v>1.2277932150007076</v>
      </c>
      <c r="F24" s="4">
        <f t="shared" si="0"/>
        <v>51.665051757077393</v>
      </c>
      <c r="G24" s="4">
        <f t="shared" si="1"/>
        <v>68.886735676103186</v>
      </c>
      <c r="H24" s="4">
        <f t="shared" si="2"/>
        <v>14908.058335861253</v>
      </c>
      <c r="I24" s="4">
        <f t="shared" si="3"/>
        <v>1007.5137082249074</v>
      </c>
      <c r="J24" s="18">
        <v>1513.6270480000001</v>
      </c>
      <c r="K24" s="15">
        <v>1525000</v>
      </c>
      <c r="L24" s="24">
        <f t="shared" si="4"/>
        <v>15020073.136396814</v>
      </c>
      <c r="M24" s="24">
        <f t="shared" si="5"/>
        <v>1525000</v>
      </c>
      <c r="N24" s="21" t="s">
        <v>92</v>
      </c>
      <c r="O24" s="4">
        <f t="shared" si="6"/>
        <v>613.50449651848453</v>
      </c>
      <c r="P24" s="15">
        <v>928617</v>
      </c>
      <c r="Q24" s="24">
        <f t="shared" si="7"/>
        <v>9146160.823410755</v>
      </c>
      <c r="R24" s="15">
        <f t="shared" si="8"/>
        <v>928617</v>
      </c>
    </row>
    <row r="25" spans="1:18">
      <c r="A25" s="20" t="s">
        <v>63</v>
      </c>
      <c r="B25" s="4">
        <f>'2010-10'!B25</f>
        <v>59.529750000000007</v>
      </c>
      <c r="C25" s="4">
        <f>'2010-10'!C25</f>
        <v>69.833750000000009</v>
      </c>
      <c r="D25" s="18">
        <f t="shared" si="9"/>
        <v>93111.666666666686</v>
      </c>
      <c r="E25" s="4">
        <f>'Interval Circuities'!I25</f>
        <v>1.3133868922800092</v>
      </c>
      <c r="F25" s="4">
        <f t="shared" si="0"/>
        <v>45.325372401621692</v>
      </c>
      <c r="G25" s="4">
        <f t="shared" si="1"/>
        <v>60.433829868828923</v>
      </c>
      <c r="H25" s="4">
        <f t="shared" si="2"/>
        <v>11473.874834367436</v>
      </c>
      <c r="I25" s="4">
        <f t="shared" si="3"/>
        <v>1897.3714766274206</v>
      </c>
      <c r="J25" s="18">
        <v>740.49811399999999</v>
      </c>
      <c r="K25" s="15">
        <v>1405000</v>
      </c>
      <c r="L25" s="24">
        <f t="shared" si="4"/>
        <v>21770202.837121945</v>
      </c>
      <c r="M25" s="24">
        <f t="shared" si="5"/>
        <v>1405000</v>
      </c>
      <c r="N25" s="21" t="s">
        <v>92</v>
      </c>
      <c r="O25" s="4">
        <f t="shared" si="6"/>
        <v>1137.2034365505488</v>
      </c>
      <c r="P25" s="15">
        <v>842097</v>
      </c>
      <c r="Q25" s="24">
        <f t="shared" si="7"/>
        <v>13048129.892193507</v>
      </c>
      <c r="R25" s="15">
        <f t="shared" si="8"/>
        <v>842097</v>
      </c>
    </row>
    <row r="26" spans="1:18" ht="16">
      <c r="A26" s="20" t="s">
        <v>120</v>
      </c>
      <c r="B26" s="4">
        <f>'2010-10'!B26</f>
        <v>52.928750000000001</v>
      </c>
      <c r="C26" s="4">
        <f>'2010-10'!C26</f>
        <v>66.090500000000006</v>
      </c>
      <c r="D26" s="18">
        <f t="shared" si="9"/>
        <v>88120.666666666672</v>
      </c>
      <c r="E26" s="4">
        <f>'Interval Circuities'!I26</f>
        <v>1.2425894448042694</v>
      </c>
      <c r="F26" s="4">
        <f t="shared" si="0"/>
        <v>42.595525192423672</v>
      </c>
      <c r="G26" s="4">
        <f t="shared" si="1"/>
        <v>56.794033589898227</v>
      </c>
      <c r="H26" s="4">
        <f t="shared" si="2"/>
        <v>10133.402672727743</v>
      </c>
      <c r="I26" s="4">
        <f t="shared" si="3"/>
        <v>2963.0107614020721</v>
      </c>
      <c r="J26" s="18">
        <v>4319.9303110000001</v>
      </c>
      <c r="K26" s="15">
        <v>12800000</v>
      </c>
      <c r="L26" s="24">
        <f t="shared" si="4"/>
        <v>30025381.168912824</v>
      </c>
      <c r="M26" s="24">
        <f t="shared" si="5"/>
        <v>12800000</v>
      </c>
      <c r="N26" s="21" t="s">
        <v>92</v>
      </c>
      <c r="O26" s="4">
        <f t="shared" si="6"/>
        <v>1240.2952395682755</v>
      </c>
      <c r="P26" s="15">
        <v>5357989</v>
      </c>
      <c r="Q26" s="24">
        <f t="shared" si="7"/>
        <v>12568411.09561266</v>
      </c>
      <c r="R26" s="15">
        <f t="shared" si="8"/>
        <v>5357989</v>
      </c>
    </row>
    <row r="27" spans="1:18">
      <c r="A27" s="20" t="s">
        <v>42</v>
      </c>
      <c r="B27" s="4">
        <f>'2010-10'!B27</f>
        <v>63.474250000000012</v>
      </c>
      <c r="C27" s="4">
        <f>'2010-10'!C27</f>
        <v>71.282750000000007</v>
      </c>
      <c r="D27" s="18">
        <f t="shared" si="9"/>
        <v>95043.666666666672</v>
      </c>
      <c r="E27" s="4">
        <f>'Interval Circuities'!I27</f>
        <v>1.3108224413438658</v>
      </c>
      <c r="F27" s="4">
        <f t="shared" si="0"/>
        <v>48.423224990659833</v>
      </c>
      <c r="G27" s="4">
        <f t="shared" si="1"/>
        <v>64.564299987546434</v>
      </c>
      <c r="H27" s="4">
        <f t="shared" si="2"/>
        <v>13095.882389512046</v>
      </c>
      <c r="I27" s="4">
        <f t="shared" si="3"/>
        <v>902.85200083237225</v>
      </c>
      <c r="J27" s="18">
        <v>1013.455139</v>
      </c>
      <c r="K27" s="15">
        <v>915000</v>
      </c>
      <c r="L27" s="24">
        <f t="shared" si="4"/>
        <v>11823643.618036378</v>
      </c>
      <c r="M27" s="24">
        <f t="shared" si="5"/>
        <v>915000</v>
      </c>
      <c r="N27" s="21" t="s">
        <v>92</v>
      </c>
      <c r="O27" s="4">
        <f t="shared" si="6"/>
        <v>548.67648167305799</v>
      </c>
      <c r="P27" s="15">
        <v>556059</v>
      </c>
      <c r="Q27" s="24">
        <f t="shared" si="7"/>
        <v>7185402.6738816286</v>
      </c>
      <c r="R27" s="15">
        <f t="shared" si="8"/>
        <v>556059</v>
      </c>
    </row>
    <row r="28" spans="1:18">
      <c r="A28" s="20" t="s">
        <v>43</v>
      </c>
      <c r="B28" s="4">
        <f>'2010-10'!B28</f>
        <v>67.418750000000003</v>
      </c>
      <c r="C28" s="4">
        <f>'2010-10'!C28</f>
        <v>75.146750000000011</v>
      </c>
      <c r="D28" s="18">
        <f t="shared" si="9"/>
        <v>100195.66666666669</v>
      </c>
      <c r="E28" s="4">
        <f>'Interval Circuities'!I28</f>
        <v>1.2370359335006367</v>
      </c>
      <c r="F28" s="4">
        <f t="shared" si="0"/>
        <v>54.50023574433645</v>
      </c>
      <c r="G28" s="4">
        <f t="shared" si="1"/>
        <v>72.6669809924486</v>
      </c>
      <c r="H28" s="4">
        <f t="shared" si="2"/>
        <v>16589.148988944551</v>
      </c>
      <c r="I28" s="4">
        <f t="shared" si="3"/>
        <v>999.49538906027249</v>
      </c>
      <c r="J28" s="18">
        <v>1035.5225359999999</v>
      </c>
      <c r="K28" s="15">
        <v>1035000</v>
      </c>
      <c r="L28" s="24">
        <f t="shared" si="4"/>
        <v>16580777.922883959</v>
      </c>
      <c r="M28" s="24">
        <f t="shared" si="5"/>
        <v>1035000</v>
      </c>
      <c r="N28" s="21" t="s">
        <v>92</v>
      </c>
      <c r="O28" s="4">
        <f t="shared" si="6"/>
        <v>536.12160112370555</v>
      </c>
      <c r="P28" s="15">
        <v>555166</v>
      </c>
      <c r="Q28" s="24">
        <f t="shared" si="7"/>
        <v>8893801.1172326542</v>
      </c>
      <c r="R28" s="15">
        <f t="shared" si="8"/>
        <v>555166</v>
      </c>
    </row>
    <row r="29" spans="1:18">
      <c r="A29" s="20" t="s">
        <v>44</v>
      </c>
      <c r="B29" s="4">
        <f>'2010-10'!B29</f>
        <v>65.688000000000002</v>
      </c>
      <c r="C29" s="4">
        <f>'2010-10'!C29</f>
        <v>72.490250000000003</v>
      </c>
      <c r="D29" s="18">
        <f t="shared" si="9"/>
        <v>96653.666666666672</v>
      </c>
      <c r="E29" s="4">
        <f>'Interval Circuities'!I29</f>
        <v>1.1639337982848545</v>
      </c>
      <c r="F29" s="4">
        <f t="shared" si="0"/>
        <v>56.436199461512579</v>
      </c>
      <c r="G29" s="4">
        <f t="shared" si="1"/>
        <v>75.248265948683439</v>
      </c>
      <c r="H29" s="4">
        <f t="shared" si="2"/>
        <v>17788.644883666617</v>
      </c>
      <c r="I29" s="4">
        <f t="shared" si="3"/>
        <v>1161.3700459353722</v>
      </c>
      <c r="J29" s="18">
        <v>1261.4411789999999</v>
      </c>
      <c r="K29" s="15">
        <v>1465000</v>
      </c>
      <c r="L29" s="24">
        <f t="shared" si="4"/>
        <v>20659199.325671922</v>
      </c>
      <c r="M29" s="24">
        <f t="shared" si="5"/>
        <v>1465000</v>
      </c>
      <c r="N29" s="21" t="s">
        <v>92</v>
      </c>
      <c r="O29" s="4">
        <f t="shared" si="6"/>
        <v>630.29256792638762</v>
      </c>
      <c r="P29" s="15">
        <v>795077</v>
      </c>
      <c r="Q29" s="24">
        <f t="shared" si="7"/>
        <v>11212050.663656829</v>
      </c>
      <c r="R29" s="15">
        <f t="shared" si="8"/>
        <v>795077</v>
      </c>
    </row>
    <row r="30" spans="1:18">
      <c r="A30" s="20" t="s">
        <v>45</v>
      </c>
      <c r="B30" s="4">
        <f>'2010-10'!B30</f>
        <v>55.746250000000003</v>
      </c>
      <c r="C30" s="4">
        <f>'2010-10'!C30</f>
        <v>65.688000000000002</v>
      </c>
      <c r="D30" s="18">
        <f t="shared" si="9"/>
        <v>87584</v>
      </c>
      <c r="E30" s="4">
        <f>'Interval Circuities'!I30</f>
        <v>1.2097168280185802</v>
      </c>
      <c r="F30" s="4">
        <f t="shared" si="0"/>
        <v>46.082065413033824</v>
      </c>
      <c r="G30" s="4">
        <f t="shared" si="1"/>
        <v>61.442753884045096</v>
      </c>
      <c r="H30" s="4">
        <f t="shared" si="2"/>
        <v>11860.178300197527</v>
      </c>
      <c r="I30" s="4">
        <f t="shared" si="3"/>
        <v>1090.2344714817029</v>
      </c>
      <c r="J30" s="18">
        <v>2316.0155599999998</v>
      </c>
      <c r="K30" s="15">
        <v>2525000</v>
      </c>
      <c r="L30" s="24">
        <f t="shared" si="4"/>
        <v>12930375.220794613</v>
      </c>
      <c r="M30" s="24">
        <f t="shared" si="5"/>
        <v>2525000</v>
      </c>
      <c r="N30" s="21" t="s">
        <v>92</v>
      </c>
      <c r="O30" s="4">
        <f t="shared" si="6"/>
        <v>725.84961389464934</v>
      </c>
      <c r="P30" s="15">
        <v>1681079</v>
      </c>
      <c r="Q30" s="24">
        <f t="shared" si="7"/>
        <v>8608705.8399200737</v>
      </c>
      <c r="R30" s="15">
        <f t="shared" si="8"/>
        <v>1681079</v>
      </c>
    </row>
    <row r="31" spans="1:18">
      <c r="A31" s="20" t="s">
        <v>46</v>
      </c>
      <c r="B31" s="4">
        <f>'2010-10'!B31</f>
        <v>67.579750000000004</v>
      </c>
      <c r="C31" s="4">
        <f>'2010-10'!C31</f>
        <v>75.871250000000003</v>
      </c>
      <c r="D31" s="18">
        <f t="shared" si="9"/>
        <v>101161.66666666666</v>
      </c>
      <c r="E31" s="4">
        <f>'Interval Circuities'!I31</f>
        <v>1.2471312517026993</v>
      </c>
      <c r="F31" s="4">
        <f t="shared" si="0"/>
        <v>54.188161757420367</v>
      </c>
      <c r="G31" s="4">
        <f t="shared" si="1"/>
        <v>72.250882343227147</v>
      </c>
      <c r="H31" s="4">
        <f t="shared" si="2"/>
        <v>16399.710552378943</v>
      </c>
      <c r="I31" s="4">
        <f t="shared" si="3"/>
        <v>891.82610976607054</v>
      </c>
      <c r="J31" s="18">
        <v>1115.688349</v>
      </c>
      <c r="K31" s="15">
        <v>995000</v>
      </c>
      <c r="L31" s="24">
        <f t="shared" si="4"/>
        <v>14625690.063217688</v>
      </c>
      <c r="M31" s="24">
        <f t="shared" si="5"/>
        <v>995000</v>
      </c>
      <c r="N31" s="21" t="s">
        <v>92</v>
      </c>
      <c r="O31" s="4">
        <f t="shared" si="6"/>
        <v>651.34407888308954</v>
      </c>
      <c r="P31" s="15">
        <v>726697</v>
      </c>
      <c r="Q31" s="24">
        <f t="shared" si="7"/>
        <v>10681854.363688547</v>
      </c>
      <c r="R31" s="15">
        <f t="shared" si="8"/>
        <v>726697</v>
      </c>
    </row>
    <row r="32" spans="1:18">
      <c r="A32" s="20" t="s">
        <v>47</v>
      </c>
      <c r="B32" s="4">
        <f>'2010-10'!B32</f>
        <v>56.148750000000007</v>
      </c>
      <c r="C32" s="4">
        <f>'2010-10'!C32</f>
        <v>67.137</v>
      </c>
      <c r="D32" s="18">
        <f t="shared" si="9"/>
        <v>89515.999999999985</v>
      </c>
      <c r="E32" s="4">
        <f>'Interval Circuities'!I32</f>
        <v>1.3695515239576628</v>
      </c>
      <c r="F32" s="4">
        <f t="shared" si="0"/>
        <v>40.997909912687405</v>
      </c>
      <c r="G32" s="4">
        <f t="shared" si="1"/>
        <v>54.663879883583206</v>
      </c>
      <c r="H32" s="4">
        <f t="shared" si="2"/>
        <v>9387.5179302520137</v>
      </c>
      <c r="I32" s="4">
        <f t="shared" si="3"/>
        <v>2146.7911124783959</v>
      </c>
      <c r="J32" s="18">
        <v>512.39265599999999</v>
      </c>
      <c r="K32" s="15">
        <v>1100000</v>
      </c>
      <c r="L32" s="24">
        <f t="shared" si="4"/>
        <v>20153040.060896609</v>
      </c>
      <c r="M32" s="24">
        <f t="shared" si="5"/>
        <v>1100000</v>
      </c>
      <c r="N32" s="21" t="s">
        <v>92</v>
      </c>
      <c r="O32" s="4">
        <f t="shared" si="6"/>
        <v>898.57064618037771</v>
      </c>
      <c r="P32" s="15">
        <v>460421</v>
      </c>
      <c r="Q32" s="24">
        <f t="shared" si="7"/>
        <v>8435348.0526164342</v>
      </c>
      <c r="R32" s="15">
        <f t="shared" si="8"/>
        <v>460421</v>
      </c>
    </row>
    <row r="33" spans="1:18">
      <c r="A33" s="20" t="s">
        <v>65</v>
      </c>
      <c r="B33" s="4">
        <f>'2010-10'!B33</f>
        <v>55.142500000000005</v>
      </c>
      <c r="C33" s="4">
        <f>'2010-10'!C33</f>
        <v>67.660250000000005</v>
      </c>
      <c r="D33" s="18">
        <f t="shared" si="9"/>
        <v>90213.666666666672</v>
      </c>
      <c r="E33" s="4">
        <f>'Interval Circuities'!I33</f>
        <v>1.2046254703094295</v>
      </c>
      <c r="F33" s="4">
        <f t="shared" si="0"/>
        <v>45.775638452867575</v>
      </c>
      <c r="G33" s="4">
        <f t="shared" si="1"/>
        <v>61.034184603823434</v>
      </c>
      <c r="H33" s="4">
        <f t="shared" si="2"/>
        <v>11702.972015461373</v>
      </c>
      <c r="I33" s="4">
        <f t="shared" si="3"/>
        <v>2098.879805390713</v>
      </c>
      <c r="J33" s="18">
        <v>8683.2032749999998</v>
      </c>
      <c r="K33" s="15">
        <v>18225000</v>
      </c>
      <c r="L33" s="24">
        <f t="shared" si="4"/>
        <v>24563131.62630453</v>
      </c>
      <c r="M33" s="24">
        <f t="shared" si="5"/>
        <v>18225000</v>
      </c>
      <c r="N33" s="21" t="s">
        <v>92</v>
      </c>
      <c r="O33" s="4">
        <f t="shared" si="6"/>
        <v>941.20588234184811</v>
      </c>
      <c r="P33" s="15">
        <f>7737401+435281</f>
        <v>8172682</v>
      </c>
      <c r="Q33" s="24">
        <f t="shared" si="7"/>
        <v>11014906.101834279</v>
      </c>
      <c r="R33" s="15">
        <f t="shared" si="8"/>
        <v>8172682</v>
      </c>
    </row>
    <row r="34" spans="1:18">
      <c r="A34" s="20" t="s">
        <v>66</v>
      </c>
      <c r="B34" s="4">
        <f>'2010-10'!B34</f>
        <v>69.028750000000002</v>
      </c>
      <c r="C34" s="4">
        <f>'2010-10'!C34</f>
        <v>75.951750000000018</v>
      </c>
      <c r="D34" s="18">
        <f t="shared" si="9"/>
        <v>101269.00000000001</v>
      </c>
      <c r="E34" s="4">
        <f>'Interval Circuities'!I34</f>
        <v>1.2226100071300814</v>
      </c>
      <c r="F34" s="4">
        <f t="shared" si="0"/>
        <v>56.460154585218923</v>
      </c>
      <c r="G34" s="4">
        <f t="shared" si="1"/>
        <v>75.280206113625226</v>
      </c>
      <c r="H34" s="4">
        <f t="shared" si="2"/>
        <v>17803.749360262511</v>
      </c>
      <c r="I34" s="4">
        <f t="shared" si="3"/>
        <v>1048.044711192385</v>
      </c>
      <c r="J34" s="18">
        <v>834.88804500000003</v>
      </c>
      <c r="K34" s="15">
        <v>875000</v>
      </c>
      <c r="L34" s="24">
        <f t="shared" si="4"/>
        <v>18659125.356417932</v>
      </c>
      <c r="M34" s="24">
        <f t="shared" si="5"/>
        <v>875000</v>
      </c>
      <c r="N34" s="21" t="s">
        <v>92</v>
      </c>
      <c r="O34" s="4">
        <f t="shared" si="6"/>
        <v>575.97662690211359</v>
      </c>
      <c r="P34" s="15">
        <v>480876</v>
      </c>
      <c r="Q34" s="24">
        <f t="shared" si="7"/>
        <v>10254543.502734663</v>
      </c>
      <c r="R34" s="15">
        <f t="shared" si="8"/>
        <v>480876</v>
      </c>
    </row>
    <row r="35" spans="1:18">
      <c r="A35" s="20" t="s">
        <v>48</v>
      </c>
      <c r="B35" s="4">
        <f>'2010-10'!B35</f>
        <v>58.161250000000003</v>
      </c>
      <c r="C35" s="4">
        <f>'2010-10'!C35</f>
        <v>69.069000000000003</v>
      </c>
      <c r="D35" s="18">
        <f t="shared" si="9"/>
        <v>92092</v>
      </c>
      <c r="E35" s="4">
        <f>'Interval Circuities'!I35</f>
        <v>1.2938955646318264</v>
      </c>
      <c r="F35" s="4">
        <f t="shared" si="0"/>
        <v>44.950498007580379</v>
      </c>
      <c r="G35" s="4">
        <f t="shared" si="1"/>
        <v>59.933997343440502</v>
      </c>
      <c r="H35" s="4">
        <f t="shared" si="2"/>
        <v>11284.864823486758</v>
      </c>
      <c r="I35" s="4">
        <f t="shared" si="3"/>
        <v>1197.0074422042101</v>
      </c>
      <c r="J35" s="18">
        <v>1173.7604550000001</v>
      </c>
      <c r="K35" s="15">
        <v>1405000</v>
      </c>
      <c r="L35" s="24">
        <f t="shared" si="4"/>
        <v>13508067.177982148</v>
      </c>
      <c r="M35" s="24">
        <f t="shared" si="5"/>
        <v>1405000</v>
      </c>
      <c r="N35" s="21" t="s">
        <v>92</v>
      </c>
      <c r="O35" s="4">
        <f t="shared" si="6"/>
        <v>800.1002214715096</v>
      </c>
      <c r="P35" s="15">
        <v>939126</v>
      </c>
      <c r="Q35" s="24">
        <f t="shared" si="7"/>
        <v>9029022.8445478026</v>
      </c>
      <c r="R35" s="15">
        <f t="shared" si="8"/>
        <v>939126</v>
      </c>
    </row>
    <row r="36" spans="1:18">
      <c r="A36" s="20" t="s">
        <v>67</v>
      </c>
      <c r="B36" s="4">
        <f>'2010-10'!B36</f>
        <v>59.771250000000002</v>
      </c>
      <c r="C36" s="4">
        <f>'2010-10'!C36</f>
        <v>68.062750000000008</v>
      </c>
      <c r="D36" s="18">
        <f t="shared" si="9"/>
        <v>90750.333333333343</v>
      </c>
      <c r="E36" s="4">
        <f>'Interval Circuities'!I36</f>
        <v>1.153822612145486</v>
      </c>
      <c r="F36" s="4">
        <f t="shared" si="0"/>
        <v>51.802806922684418</v>
      </c>
      <c r="G36" s="4">
        <f t="shared" si="1"/>
        <v>69.070409230245886</v>
      </c>
      <c r="H36" s="4">
        <f t="shared" si="2"/>
        <v>14987.663400686975</v>
      </c>
      <c r="I36" s="4">
        <f t="shared" si="3"/>
        <v>1139.3097942572194</v>
      </c>
      <c r="J36" s="18">
        <v>4660.7165379999997</v>
      </c>
      <c r="K36" s="15">
        <v>5310000</v>
      </c>
      <c r="L36" s="24">
        <f t="shared" si="4"/>
        <v>17075591.705433134</v>
      </c>
      <c r="M36" s="24">
        <f t="shared" si="5"/>
        <v>5310000</v>
      </c>
      <c r="N36" s="21" t="s">
        <v>92</v>
      </c>
      <c r="O36" s="4">
        <f t="shared" si="6"/>
        <v>550.55204045966377</v>
      </c>
      <c r="P36" s="15">
        <v>2565967</v>
      </c>
      <c r="Q36" s="24">
        <f t="shared" si="7"/>
        <v>8251488.6669708379</v>
      </c>
      <c r="R36" s="15">
        <f t="shared" si="8"/>
        <v>2565967</v>
      </c>
    </row>
    <row r="37" spans="1:18">
      <c r="A37" s="20" t="s">
        <v>49</v>
      </c>
      <c r="B37" s="4">
        <f>'2010-10'!B37</f>
        <v>63.756000000000007</v>
      </c>
      <c r="C37" s="4">
        <f>'2010-10'!C37</f>
        <v>70.477750000000015</v>
      </c>
      <c r="D37" s="18">
        <f t="shared" si="9"/>
        <v>93970.333333333343</v>
      </c>
      <c r="E37" s="4">
        <f>'Interval Circuities'!I37</f>
        <v>1.2585556789471462</v>
      </c>
      <c r="F37" s="4">
        <f t="shared" si="0"/>
        <v>50.658068662751219</v>
      </c>
      <c r="G37" s="4">
        <f t="shared" si="1"/>
        <v>67.544091550334954</v>
      </c>
      <c r="H37" s="4">
        <f t="shared" si="2"/>
        <v>14332.587523611608</v>
      </c>
      <c r="I37" s="4">
        <f t="shared" si="3"/>
        <v>1655.0541671588298</v>
      </c>
      <c r="J37" s="18">
        <v>2069.418674</v>
      </c>
      <c r="K37" s="15">
        <v>3425000</v>
      </c>
      <c r="L37" s="24">
        <f t="shared" si="4"/>
        <v>23721208.707122047</v>
      </c>
      <c r="M37" s="24">
        <f t="shared" si="5"/>
        <v>3425000</v>
      </c>
      <c r="N37" s="21" t="s">
        <v>92</v>
      </c>
      <c r="O37" s="4">
        <f t="shared" si="6"/>
        <v>794.59561308665377</v>
      </c>
      <c r="P37" s="15">
        <v>1644351</v>
      </c>
      <c r="Q37" s="24">
        <f t="shared" si="7"/>
        <v>11388611.170442291</v>
      </c>
      <c r="R37" s="15">
        <f t="shared" si="8"/>
        <v>1644351</v>
      </c>
    </row>
    <row r="38" spans="1:18">
      <c r="A38" s="20" t="s">
        <v>50</v>
      </c>
      <c r="B38" s="4">
        <f>'2010-10'!B38</f>
        <v>68.465250000000012</v>
      </c>
      <c r="C38" s="4">
        <f>'2010-10'!C38</f>
        <v>76.837250000000012</v>
      </c>
      <c r="D38" s="18">
        <f t="shared" si="9"/>
        <v>102449.66666666667</v>
      </c>
      <c r="E38" s="4">
        <f>'Interval Circuities'!I38</f>
        <v>1.238920592591702</v>
      </c>
      <c r="F38" s="4">
        <f t="shared" si="0"/>
        <v>55.262016314360665</v>
      </c>
      <c r="G38" s="4">
        <f t="shared" si="1"/>
        <v>73.682688419147553</v>
      </c>
      <c r="H38" s="4">
        <f t="shared" si="2"/>
        <v>17056.141855231039</v>
      </c>
      <c r="I38" s="4">
        <f t="shared" si="3"/>
        <v>822.12384643482994</v>
      </c>
      <c r="J38" s="18">
        <v>2207.6965749999999</v>
      </c>
      <c r="K38" s="15">
        <v>1815000</v>
      </c>
      <c r="L38" s="24">
        <f t="shared" si="4"/>
        <v>14022260.947360639</v>
      </c>
      <c r="M38" s="24">
        <f t="shared" si="5"/>
        <v>1815000</v>
      </c>
      <c r="N38" s="21" t="s">
        <v>92</v>
      </c>
      <c r="O38" s="4">
        <f t="shared" si="6"/>
        <v>483.83732261757939</v>
      </c>
      <c r="P38" s="15">
        <v>1068166</v>
      </c>
      <c r="Q38" s="24">
        <f t="shared" si="7"/>
        <v>8252398.0094206193</v>
      </c>
      <c r="R38" s="15">
        <f t="shared" si="8"/>
        <v>1068166</v>
      </c>
    </row>
    <row r="39" spans="1:18">
      <c r="A39" s="20" t="s">
        <v>51</v>
      </c>
      <c r="B39" s="4">
        <f>'2010-10'!B39</f>
        <v>60.938500000000005</v>
      </c>
      <c r="C39" s="4">
        <f>'2010-10'!C39</f>
        <v>71.443750000000009</v>
      </c>
      <c r="D39" s="18">
        <f t="shared" si="9"/>
        <v>95258.333333333343</v>
      </c>
      <c r="E39" s="4">
        <f>'Interval Circuities'!I39</f>
        <v>1.4293416108501145</v>
      </c>
      <c r="F39" s="4">
        <f t="shared" si="0"/>
        <v>42.633964853060043</v>
      </c>
      <c r="G39" s="4">
        <f t="shared" si="1"/>
        <v>56.845286470746721</v>
      </c>
      <c r="H39" s="4">
        <f t="shared" si="2"/>
        <v>10151.700384434407</v>
      </c>
      <c r="I39" s="4">
        <f t="shared" si="3"/>
        <v>1466.3827908170226</v>
      </c>
      <c r="J39" s="18">
        <v>1227.5103140000001</v>
      </c>
      <c r="K39" s="15">
        <v>1800000</v>
      </c>
      <c r="L39" s="24">
        <f t="shared" si="4"/>
        <v>14886278.741265167</v>
      </c>
      <c r="M39" s="24">
        <f t="shared" si="5"/>
        <v>1800000</v>
      </c>
      <c r="N39" s="21" t="s">
        <v>92</v>
      </c>
      <c r="O39" s="4">
        <f t="shared" si="6"/>
        <v>771.73934035066679</v>
      </c>
      <c r="P39" s="15">
        <v>947318</v>
      </c>
      <c r="Q39" s="24">
        <f t="shared" si="7"/>
        <v>7834466.55812102</v>
      </c>
      <c r="R39" s="15">
        <f t="shared" si="8"/>
        <v>947318</v>
      </c>
    </row>
    <row r="40" spans="1:18">
      <c r="A40" s="20" t="s">
        <v>52</v>
      </c>
      <c r="B40" s="4">
        <f>'2010-10'!B40</f>
        <v>61.542249999999996</v>
      </c>
      <c r="C40" s="4">
        <f>'2010-10'!C40</f>
        <v>68.062750000000008</v>
      </c>
      <c r="D40" s="18">
        <f t="shared" si="9"/>
        <v>90750.333333333343</v>
      </c>
      <c r="E40" s="4">
        <f>'Interval Circuities'!I40</f>
        <v>1.2391867314568445</v>
      </c>
      <c r="F40" s="4">
        <f t="shared" si="0"/>
        <v>49.663419110086913</v>
      </c>
      <c r="G40" s="4">
        <f t="shared" si="1"/>
        <v>66.217892146782546</v>
      </c>
      <c r="H40" s="4">
        <f t="shared" si="2"/>
        <v>13775.284496916807</v>
      </c>
      <c r="I40" s="4">
        <f t="shared" si="3"/>
        <v>954.46089809134196</v>
      </c>
      <c r="J40" s="18">
        <v>1304.4012620000001</v>
      </c>
      <c r="K40" s="15">
        <v>1245000</v>
      </c>
      <c r="L40" s="24">
        <f t="shared" si="4"/>
        <v>13147970.412390955</v>
      </c>
      <c r="M40" s="24">
        <f t="shared" si="5"/>
        <v>1245000</v>
      </c>
      <c r="N40" s="21" t="s">
        <v>92</v>
      </c>
      <c r="O40" s="4">
        <f t="shared" si="6"/>
        <v>487.50566142889852</v>
      </c>
      <c r="P40" s="15">
        <v>635903</v>
      </c>
      <c r="Q40" s="24">
        <f t="shared" si="7"/>
        <v>6715529.1800406799</v>
      </c>
      <c r="R40" s="15">
        <f t="shared" si="8"/>
        <v>635903</v>
      </c>
    </row>
    <row r="41" spans="1:18">
      <c r="A41" s="20" t="s">
        <v>53</v>
      </c>
      <c r="B41" s="4">
        <f>'2010-10'!B41</f>
        <v>67.57974999999999</v>
      </c>
      <c r="C41" s="4">
        <f>'2010-10'!C41</f>
        <v>75.46875</v>
      </c>
      <c r="D41" s="18">
        <f t="shared" si="9"/>
        <v>100625</v>
      </c>
      <c r="E41" s="4">
        <f>'Interval Circuities'!I41</f>
        <v>1.188697239807107</v>
      </c>
      <c r="F41" s="4">
        <f t="shared" si="0"/>
        <v>56.85194491657635</v>
      </c>
      <c r="G41" s="4">
        <f t="shared" si="1"/>
        <v>75.802593222101791</v>
      </c>
      <c r="H41" s="4">
        <f t="shared" si="2"/>
        <v>18051.695497379867</v>
      </c>
      <c r="I41" s="4">
        <f t="shared" si="3"/>
        <v>1238.2323980039887</v>
      </c>
      <c r="J41" s="18">
        <v>827.79291000000001</v>
      </c>
      <c r="K41" s="15">
        <v>1025000</v>
      </c>
      <c r="L41" s="24">
        <f t="shared" si="4"/>
        <v>22352194.203758478</v>
      </c>
      <c r="M41" s="24">
        <f t="shared" si="5"/>
        <v>1025000</v>
      </c>
      <c r="N41" s="21" t="s">
        <v>92</v>
      </c>
      <c r="O41" s="4">
        <f t="shared" si="6"/>
        <v>839.88880745547817</v>
      </c>
      <c r="P41" s="15">
        <f>438888+235541+20825</f>
        <v>695254</v>
      </c>
      <c r="Q41" s="24">
        <f t="shared" si="7"/>
        <v>15161417.003843801</v>
      </c>
      <c r="R41" s="15">
        <f t="shared" si="8"/>
        <v>695254</v>
      </c>
    </row>
    <row r="42" spans="1:18">
      <c r="A42" s="20" t="s">
        <v>82</v>
      </c>
      <c r="B42" s="4">
        <f>'2010-10'!B42</f>
        <v>63.595000000000006</v>
      </c>
      <c r="C42" s="4">
        <f>'2010-10'!C42</f>
        <v>70.84</v>
      </c>
      <c r="D42" s="18">
        <f t="shared" si="9"/>
        <v>94453.333333333328</v>
      </c>
      <c r="E42" s="4">
        <f>'Interval Circuities'!I42</f>
        <v>1.1972716138765835</v>
      </c>
      <c r="F42" s="4">
        <f t="shared" si="0"/>
        <v>53.116602166896001</v>
      </c>
      <c r="G42" s="4">
        <f t="shared" si="1"/>
        <v>70.822136222528002</v>
      </c>
      <c r="H42" s="4">
        <f t="shared" si="2"/>
        <v>15757.521826470158</v>
      </c>
      <c r="I42" s="4">
        <f t="shared" si="3"/>
        <v>974.56496374961057</v>
      </c>
      <c r="J42" s="18">
        <v>764.44365200000004</v>
      </c>
      <c r="K42" s="15">
        <v>745000</v>
      </c>
      <c r="L42" s="24">
        <f t="shared" si="4"/>
        <v>15356728.687597588</v>
      </c>
      <c r="M42" s="24">
        <f t="shared" si="5"/>
        <v>745000</v>
      </c>
      <c r="N42" s="21" t="s">
        <v>92</v>
      </c>
      <c r="O42" s="4">
        <f t="shared" si="6"/>
        <v>596.12634470539103</v>
      </c>
      <c r="P42" s="15">
        <f>430223+17339+8143</f>
        <v>455705</v>
      </c>
      <c r="Q42" s="24">
        <f t="shared" si="7"/>
        <v>9393473.8880290724</v>
      </c>
      <c r="R42" s="15">
        <f t="shared" si="8"/>
        <v>455705</v>
      </c>
    </row>
    <row r="43" spans="1:18">
      <c r="A43" s="20" t="s">
        <v>54</v>
      </c>
      <c r="B43" s="4">
        <f>'2010-10'!B43</f>
        <v>56.873250000000006</v>
      </c>
      <c r="C43" s="4">
        <f>'2010-10'!C43</f>
        <v>65.688000000000017</v>
      </c>
      <c r="D43" s="18">
        <f t="shared" si="9"/>
        <v>87584.000000000015</v>
      </c>
      <c r="E43" s="4">
        <f>'Interval Circuities'!I43</f>
        <v>1.3968817478060891</v>
      </c>
      <c r="F43" s="4">
        <f t="shared" si="0"/>
        <v>40.71443419553863</v>
      </c>
      <c r="G43" s="4">
        <f t="shared" si="1"/>
        <v>54.28591226071817</v>
      </c>
      <c r="H43" s="4">
        <f t="shared" si="2"/>
        <v>9258.1487345851074</v>
      </c>
      <c r="I43" s="4">
        <f t="shared" si="3"/>
        <v>1946.0452814625608</v>
      </c>
      <c r="J43" s="18">
        <v>955.78454299999999</v>
      </c>
      <c r="K43" s="15">
        <v>1860000</v>
      </c>
      <c r="L43" s="24">
        <f t="shared" si="4"/>
        <v>18016776.660017926</v>
      </c>
      <c r="M43" s="24">
        <f t="shared" si="5"/>
        <v>1860000</v>
      </c>
      <c r="N43" s="21" t="s">
        <v>92</v>
      </c>
      <c r="O43" s="4">
        <f t="shared" si="6"/>
        <v>727.9443940536712</v>
      </c>
      <c r="P43" s="15">
        <v>695758</v>
      </c>
      <c r="Q43" s="24">
        <f t="shared" si="7"/>
        <v>6739417.4706563186</v>
      </c>
      <c r="R43" s="15">
        <f t="shared" si="8"/>
        <v>695758</v>
      </c>
    </row>
    <row r="44" spans="1:18">
      <c r="A44" s="20" t="s">
        <v>55</v>
      </c>
      <c r="B44" s="4">
        <f>'2010-10'!B44</f>
        <v>78.084999999999994</v>
      </c>
      <c r="C44" s="4">
        <f>'2010-10'!C44</f>
        <v>86.658249999999995</v>
      </c>
      <c r="D44" s="18">
        <f t="shared" si="9"/>
        <v>115544.33333333333</v>
      </c>
      <c r="E44" s="4">
        <f>'Interval Circuities'!I44</f>
        <v>1.3909277673330938</v>
      </c>
      <c r="F44" s="4">
        <f t="shared" si="0"/>
        <v>56.138788680390554</v>
      </c>
      <c r="G44" s="4">
        <f t="shared" si="1"/>
        <v>74.851718240520739</v>
      </c>
      <c r="H44" s="4">
        <f t="shared" si="2"/>
        <v>17601.651619212622</v>
      </c>
      <c r="I44" s="4">
        <f t="shared" si="3"/>
        <v>1631.618994212552</v>
      </c>
      <c r="J44" s="18">
        <v>597.56597799999997</v>
      </c>
      <c r="K44" s="15">
        <v>975000</v>
      </c>
      <c r="L44" s="24">
        <f t="shared" si="4"/>
        <v>28719189.111419436</v>
      </c>
      <c r="M44" s="24">
        <f t="shared" si="5"/>
        <v>975000</v>
      </c>
      <c r="N44" s="21" t="s">
        <v>92</v>
      </c>
      <c r="O44" s="4">
        <f t="shared" si="6"/>
        <v>1202.6186671557798</v>
      </c>
      <c r="P44" s="15">
        <f>563242+155402</f>
        <v>718644</v>
      </c>
      <c r="Q44" s="24">
        <f t="shared" si="7"/>
        <v>21168074.810037855</v>
      </c>
      <c r="R44" s="15">
        <f t="shared" si="8"/>
        <v>718644</v>
      </c>
    </row>
    <row r="45" spans="1:18">
      <c r="A45" s="20" t="s">
        <v>68</v>
      </c>
      <c r="B45" s="4">
        <f>'2010-10'!B45</f>
        <v>64.078000000000003</v>
      </c>
      <c r="C45" s="4">
        <f>'2010-10'!C45</f>
        <v>74.422249999999991</v>
      </c>
      <c r="D45" s="18">
        <f t="shared" si="9"/>
        <v>99229.666666666642</v>
      </c>
      <c r="E45" s="4">
        <f>'Interval Circuities'!I45</f>
        <v>1.2555532060267511</v>
      </c>
      <c r="F45" s="4">
        <f t="shared" si="0"/>
        <v>51.035670724602284</v>
      </c>
      <c r="G45" s="4">
        <f t="shared" si="1"/>
        <v>68.047560966136373</v>
      </c>
      <c r="H45" s="4">
        <f t="shared" si="2"/>
        <v>14547.052273351113</v>
      </c>
      <c r="I45" s="4">
        <f t="shared" si="3"/>
        <v>1373.6608426756356</v>
      </c>
      <c r="J45" s="18">
        <v>1055.5735119999999</v>
      </c>
      <c r="K45" s="15">
        <v>1450000</v>
      </c>
      <c r="L45" s="24">
        <f t="shared" si="4"/>
        <v>19982716.084258012</v>
      </c>
      <c r="M45" s="24">
        <f t="shared" si="5"/>
        <v>1450000</v>
      </c>
      <c r="N45" s="21" t="s">
        <v>92</v>
      </c>
      <c r="O45" s="4">
        <f t="shared" si="6"/>
        <v>697.12529883944273</v>
      </c>
      <c r="P45" s="15">
        <v>735867</v>
      </c>
      <c r="Q45" s="24">
        <f t="shared" si="7"/>
        <v>10141118.16329289</v>
      </c>
      <c r="R45" s="15">
        <f t="shared" si="8"/>
        <v>735867</v>
      </c>
    </row>
    <row r="46" spans="1:18">
      <c r="A46" s="20" t="s">
        <v>69</v>
      </c>
      <c r="B46" s="4">
        <f>'2010-10'!B46</f>
        <v>60.495750000000008</v>
      </c>
      <c r="C46" s="4">
        <f>'2010-10'!C46</f>
        <v>69.672750000000008</v>
      </c>
      <c r="D46" s="18">
        <f t="shared" si="9"/>
        <v>92897</v>
      </c>
      <c r="E46" s="4">
        <f>'Interval Circuities'!I46</f>
        <v>1.3873822171543784</v>
      </c>
      <c r="F46" s="4">
        <f t="shared" si="0"/>
        <v>43.604242040871178</v>
      </c>
      <c r="G46" s="4">
        <f t="shared" si="1"/>
        <v>58.138989387828232</v>
      </c>
      <c r="H46" s="4">
        <f t="shared" si="2"/>
        <v>10619.029548728264</v>
      </c>
      <c r="I46" s="4">
        <f t="shared" si="3"/>
        <v>1455.9905696507528</v>
      </c>
      <c r="J46" s="18">
        <v>2026.112024</v>
      </c>
      <c r="K46" s="15">
        <v>2950000</v>
      </c>
      <c r="L46" s="24">
        <f t="shared" si="4"/>
        <v>15461206.881791042</v>
      </c>
      <c r="M46" s="24">
        <f t="shared" si="5"/>
        <v>2950000</v>
      </c>
      <c r="N46" s="21" t="s">
        <v>92</v>
      </c>
      <c r="O46" s="4">
        <f t="shared" si="6"/>
        <v>586.57319334876024</v>
      </c>
      <c r="P46" s="15">
        <v>1188463</v>
      </c>
      <c r="Q46" s="24">
        <f t="shared" si="7"/>
        <v>6228838.0726623824</v>
      </c>
      <c r="R46" s="15">
        <f t="shared" si="8"/>
        <v>1188463</v>
      </c>
    </row>
    <row r="47" spans="1:18" ht="16">
      <c r="A47" s="20" t="s">
        <v>114</v>
      </c>
      <c r="B47" s="4">
        <f>'2010-10'!B47</f>
        <v>53.250750000000011</v>
      </c>
      <c r="C47" s="4">
        <f>'2010-10'!C47</f>
        <v>64.118250000000003</v>
      </c>
      <c r="D47" s="18">
        <f t="shared" si="9"/>
        <v>85491</v>
      </c>
      <c r="E47" s="4">
        <f>'Interval Circuities'!I47</f>
        <v>1.3779719461955984</v>
      </c>
      <c r="F47" s="4">
        <f t="shared" si="0"/>
        <v>38.644291813790851</v>
      </c>
      <c r="G47" s="4">
        <f t="shared" si="1"/>
        <v>51.525722418387801</v>
      </c>
      <c r="H47" s="4">
        <f t="shared" si="2"/>
        <v>8340.6145582415993</v>
      </c>
      <c r="I47" s="4">
        <f t="shared" si="3"/>
        <v>4044.244551759617</v>
      </c>
      <c r="J47" s="18">
        <v>1107.747057</v>
      </c>
      <c r="K47" s="15">
        <v>4480000</v>
      </c>
      <c r="L47" s="24">
        <f t="shared" si="4"/>
        <v>33731484.98549553</v>
      </c>
      <c r="M47" s="24">
        <f t="shared" si="5"/>
        <v>4480000</v>
      </c>
      <c r="N47" s="21" t="s">
        <v>92</v>
      </c>
      <c r="O47" s="4">
        <f t="shared" si="6"/>
        <v>1773.2504795090599</v>
      </c>
      <c r="P47" s="15">
        <v>1964313</v>
      </c>
      <c r="Q47" s="24">
        <f t="shared" si="7"/>
        <v>14789998.764802162</v>
      </c>
      <c r="R47" s="15">
        <f t="shared" si="8"/>
        <v>1964313</v>
      </c>
    </row>
    <row r="48" spans="1:18" ht="16">
      <c r="A48" s="20" t="s">
        <v>72</v>
      </c>
      <c r="B48" s="4">
        <f>'2010-10'!B48</f>
        <v>63.71575</v>
      </c>
      <c r="C48" s="4">
        <f>'2010-10'!C48</f>
        <v>74.382000000000005</v>
      </c>
      <c r="D48" s="18">
        <f t="shared" si="9"/>
        <v>99176</v>
      </c>
      <c r="E48" s="4">
        <f>'Interval Circuities'!I48</f>
        <v>1.3695757394795991</v>
      </c>
      <c r="F48" s="4">
        <f t="shared" si="0"/>
        <v>46.522253690190382</v>
      </c>
      <c r="G48" s="4">
        <f t="shared" si="1"/>
        <v>62.029671586920507</v>
      </c>
      <c r="H48" s="4">
        <f t="shared" si="2"/>
        <v>12087.843715163721</v>
      </c>
      <c r="I48" s="4">
        <f t="shared" si="3"/>
        <v>2530.8612515940731</v>
      </c>
      <c r="J48" s="18">
        <v>673.68371100000002</v>
      </c>
      <c r="K48" s="15">
        <v>1705000</v>
      </c>
      <c r="L48" s="24">
        <f t="shared" si="4"/>
        <v>30592655.274032805</v>
      </c>
      <c r="M48" s="24">
        <f t="shared" si="5"/>
        <v>1705000</v>
      </c>
      <c r="N48" s="21" t="s">
        <v>92</v>
      </c>
      <c r="O48" s="4">
        <f t="shared" si="6"/>
        <v>1384.3499327238446</v>
      </c>
      <c r="P48" s="15">
        <v>932614</v>
      </c>
      <c r="Q48" s="24">
        <f t="shared" si="7"/>
        <v>16733805.633863244</v>
      </c>
      <c r="R48" s="15">
        <f t="shared" si="8"/>
        <v>932614</v>
      </c>
    </row>
    <row r="49" spans="1:18">
      <c r="A49" s="20" t="s">
        <v>56</v>
      </c>
      <c r="B49" s="4">
        <f>'2010-10'!B49</f>
        <v>52.928750000000001</v>
      </c>
      <c r="C49" s="4">
        <f>'2010-10'!C49</f>
        <v>63.23275000000001</v>
      </c>
      <c r="D49" s="18">
        <f t="shared" si="9"/>
        <v>84310.333333333343</v>
      </c>
      <c r="E49" s="4">
        <f>'Interval Circuities'!I49</f>
        <v>1.3911691748531416</v>
      </c>
      <c r="F49" s="4">
        <f t="shared" si="0"/>
        <v>38.046235466356855</v>
      </c>
      <c r="G49" s="4">
        <f t="shared" si="1"/>
        <v>50.728313955142468</v>
      </c>
      <c r="H49" s="4">
        <f t="shared" si="2"/>
        <v>8084.4546413040234</v>
      </c>
      <c r="I49" s="4">
        <f t="shared" si="3"/>
        <v>1255.1211285274092</v>
      </c>
      <c r="J49" s="18">
        <v>2469.8811369999999</v>
      </c>
      <c r="K49" s="15">
        <v>3100000</v>
      </c>
      <c r="L49" s="24">
        <f t="shared" si="4"/>
        <v>10146969.832922157</v>
      </c>
      <c r="M49" s="24">
        <f t="shared" si="5"/>
        <v>3100000</v>
      </c>
      <c r="N49" s="21" t="s">
        <v>92</v>
      </c>
      <c r="O49" s="4">
        <f t="shared" si="6"/>
        <v>637.55537722461668</v>
      </c>
      <c r="P49" s="15">
        <v>1574686</v>
      </c>
      <c r="Q49" s="24">
        <f t="shared" si="7"/>
        <v>5154287.5284918901</v>
      </c>
      <c r="R49" s="15">
        <f t="shared" si="8"/>
        <v>1574686</v>
      </c>
    </row>
    <row r="50" spans="1:18">
      <c r="A50" s="20" t="s">
        <v>76</v>
      </c>
      <c r="B50" s="4">
        <f>'2010-10'!B50</f>
        <v>60.375000000000007</v>
      </c>
      <c r="C50" s="4">
        <f>'2010-10'!C50</f>
        <v>66.814999999999998</v>
      </c>
      <c r="D50" s="18">
        <f t="shared" si="9"/>
        <v>89086.666666666657</v>
      </c>
      <c r="E50" s="4">
        <f>'Interval Circuities'!I50</f>
        <v>1.2273165367301029</v>
      </c>
      <c r="F50" s="4">
        <f t="shared" si="0"/>
        <v>49.192688432973483</v>
      </c>
      <c r="G50" s="4">
        <f t="shared" si="1"/>
        <v>65.590251243964644</v>
      </c>
      <c r="H50" s="4">
        <f t="shared" si="2"/>
        <v>13515.38624773471</v>
      </c>
      <c r="I50" s="4">
        <f t="shared" si="3"/>
        <v>1874.9988406660766</v>
      </c>
      <c r="J50" s="18">
        <v>2890.6684540000001</v>
      </c>
      <c r="K50" s="15">
        <v>5420000</v>
      </c>
      <c r="L50" s="24">
        <f t="shared" si="4"/>
        <v>25341333.545656815</v>
      </c>
      <c r="M50" s="24">
        <f t="shared" si="5"/>
        <v>5420000</v>
      </c>
      <c r="N50" s="21" t="s">
        <v>92</v>
      </c>
      <c r="O50" s="4">
        <f t="shared" si="6"/>
        <v>693.05838143691869</v>
      </c>
      <c r="P50" s="15">
        <v>2003402</v>
      </c>
      <c r="Q50" s="24">
        <f t="shared" si="7"/>
        <v>9366951.7173498087</v>
      </c>
      <c r="R50" s="15">
        <f t="shared" si="8"/>
        <v>2003402</v>
      </c>
    </row>
    <row r="51" spans="1:18">
      <c r="A51" s="20" t="s">
        <v>57</v>
      </c>
      <c r="B51" s="4">
        <f>'2010-10'!B51</f>
        <v>59.771250000000002</v>
      </c>
      <c r="C51" s="4">
        <f>'2010-10'!C51</f>
        <v>67.539500000000004</v>
      </c>
      <c r="D51" s="18">
        <f t="shared" si="9"/>
        <v>90052.666666666672</v>
      </c>
      <c r="E51" s="4">
        <f>'Interval Circuities'!I51</f>
        <v>1.2932002637774029</v>
      </c>
      <c r="F51" s="4">
        <f t="shared" si="0"/>
        <v>46.219639505338328</v>
      </c>
      <c r="G51" s="4">
        <f t="shared" si="1"/>
        <v>61.626186007117767</v>
      </c>
      <c r="H51" s="4">
        <f t="shared" si="2"/>
        <v>11931.099116384506</v>
      </c>
      <c r="I51" s="4">
        <f t="shared" si="3"/>
        <v>1031.684545690754</v>
      </c>
      <c r="J51" s="18">
        <v>2146.9741009999998</v>
      </c>
      <c r="K51" s="15">
        <v>2215000</v>
      </c>
      <c r="L51" s="24">
        <f t="shared" si="4"/>
        <v>12309130.571478507</v>
      </c>
      <c r="M51" s="24">
        <f t="shared" si="5"/>
        <v>2215000</v>
      </c>
      <c r="N51" s="21" t="s">
        <v>92</v>
      </c>
      <c r="O51" s="4">
        <f t="shared" si="6"/>
        <v>587.96843399835689</v>
      </c>
      <c r="P51" s="15">
        <v>1262353</v>
      </c>
      <c r="Q51" s="24">
        <f t="shared" si="7"/>
        <v>7015109.6633397778</v>
      </c>
      <c r="R51" s="15">
        <f t="shared" si="8"/>
        <v>1262353</v>
      </c>
    </row>
    <row r="52" spans="1:18">
      <c r="A52" s="20" t="s">
        <v>71</v>
      </c>
      <c r="B52" s="4">
        <f>'2010-10'!B52</f>
        <v>61.099500000000006</v>
      </c>
      <c r="C52" s="4">
        <f>'2010-10'!C52</f>
        <v>68.384749999999997</v>
      </c>
      <c r="D52" s="18">
        <f t="shared" si="9"/>
        <v>91179.666666666657</v>
      </c>
      <c r="E52" s="4">
        <f>'Interval Circuities'!I52</f>
        <v>1.261409388199902</v>
      </c>
      <c r="F52" s="4">
        <f t="shared" si="0"/>
        <v>48.43748633200854</v>
      </c>
      <c r="G52" s="4">
        <f t="shared" si="1"/>
        <v>64.58331510934471</v>
      </c>
      <c r="H52" s="4">
        <f t="shared" si="2"/>
        <v>13103.597379644671</v>
      </c>
      <c r="I52" s="4">
        <f t="shared" si="3"/>
        <v>1116.5255971867098</v>
      </c>
      <c r="J52" s="18">
        <v>2077.87444</v>
      </c>
      <c r="K52" s="15">
        <v>2320000</v>
      </c>
      <c r="L52" s="24">
        <f t="shared" si="4"/>
        <v>14630501.889601972</v>
      </c>
      <c r="M52" s="24">
        <f t="shared" si="5"/>
        <v>2320000</v>
      </c>
      <c r="N52" s="21" t="s">
        <v>92</v>
      </c>
      <c r="O52" s="4">
        <f t="shared" si="6"/>
        <v>483.81316052956498</v>
      </c>
      <c r="P52" s="15">
        <v>1005303</v>
      </c>
      <c r="Q52" s="24">
        <f t="shared" si="7"/>
        <v>6339692.8625528142</v>
      </c>
      <c r="R52" s="15">
        <f t="shared" si="8"/>
        <v>1005303</v>
      </c>
    </row>
    <row r="53" spans="1:18" ht="16">
      <c r="A53" s="20" t="s">
        <v>117</v>
      </c>
      <c r="B53" s="4">
        <f>'2010-10'!B53</f>
        <v>57.074500000000008</v>
      </c>
      <c r="C53" s="4">
        <f>'2010-10'!C53</f>
        <v>69.189749999999989</v>
      </c>
      <c r="D53" s="18">
        <f t="shared" si="9"/>
        <v>92252.999999999985</v>
      </c>
      <c r="E53" s="4">
        <f>'Interval Circuities'!I53</f>
        <v>1.2644910226602037</v>
      </c>
      <c r="F53" s="4">
        <f t="shared" si="0"/>
        <v>45.136342589390743</v>
      </c>
      <c r="G53" s="4">
        <f t="shared" si="1"/>
        <v>60.181790119187653</v>
      </c>
      <c r="H53" s="4">
        <f t="shared" si="2"/>
        <v>11378.370635521869</v>
      </c>
      <c r="I53" s="4">
        <f t="shared" si="3"/>
        <v>1445.2558415588917</v>
      </c>
      <c r="J53" s="18">
        <v>2996.0093400000001</v>
      </c>
      <c r="K53" s="15">
        <v>4330000</v>
      </c>
      <c r="L53" s="24">
        <f t="shared" si="4"/>
        <v>16444656.62841014</v>
      </c>
      <c r="M53" s="24">
        <f t="shared" si="5"/>
        <v>4330000</v>
      </c>
      <c r="N53" s="21" t="s">
        <v>92</v>
      </c>
      <c r="O53" s="4">
        <f t="shared" si="6"/>
        <v>824.50343762947011</v>
      </c>
      <c r="P53" s="15">
        <v>2470220</v>
      </c>
      <c r="Q53" s="24">
        <f t="shared" si="7"/>
        <v>9381505.7036099993</v>
      </c>
      <c r="R53" s="15">
        <f t="shared" si="8"/>
        <v>2470220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E10" sqref="E10"/>
    </sheetView>
  </sheetViews>
  <sheetFormatPr baseColWidth="10" defaultColWidth="11.5" defaultRowHeight="14" x14ac:dyDescent="0"/>
  <cols>
    <col min="4" max="4" width="11.5" style="20"/>
  </cols>
  <sheetData>
    <row r="1" spans="1:18" ht="56">
      <c r="A1" s="20">
        <f>9/6</f>
        <v>1.5</v>
      </c>
      <c r="B1" s="1" t="s">
        <v>60</v>
      </c>
      <c r="C1" s="1" t="s">
        <v>61</v>
      </c>
      <c r="D1" s="1" t="s">
        <v>171</v>
      </c>
      <c r="E1" s="7" t="s">
        <v>91</v>
      </c>
      <c r="F1" s="1" t="s">
        <v>21</v>
      </c>
      <c r="G1" s="1" t="s">
        <v>20</v>
      </c>
      <c r="H1" s="1" t="s">
        <v>131</v>
      </c>
      <c r="I1" s="1" t="s">
        <v>25</v>
      </c>
      <c r="J1" s="8" t="s">
        <v>84</v>
      </c>
      <c r="K1" s="25" t="s">
        <v>79</v>
      </c>
      <c r="L1" s="23" t="s">
        <v>77</v>
      </c>
      <c r="M1" s="29" t="s">
        <v>104</v>
      </c>
      <c r="N1" s="21" t="s">
        <v>92</v>
      </c>
      <c r="O1" s="1" t="s">
        <v>90</v>
      </c>
      <c r="P1" s="1" t="s">
        <v>88</v>
      </c>
      <c r="Q1" s="23" t="s">
        <v>89</v>
      </c>
      <c r="R1" s="20" t="s">
        <v>103</v>
      </c>
    </row>
    <row r="2" spans="1:18" ht="16">
      <c r="A2" s="20" t="s">
        <v>16</v>
      </c>
      <c r="B2" s="20" t="s">
        <v>18</v>
      </c>
      <c r="C2" s="20" t="s">
        <v>122</v>
      </c>
      <c r="E2" s="20" t="s">
        <v>115</v>
      </c>
      <c r="F2" s="20" t="s">
        <v>17</v>
      </c>
      <c r="G2" s="20" t="s">
        <v>19</v>
      </c>
      <c r="H2" s="20" t="s">
        <v>132</v>
      </c>
      <c r="I2" s="20" t="s">
        <v>24</v>
      </c>
      <c r="J2" s="9" t="s">
        <v>16</v>
      </c>
      <c r="K2" s="15" t="s">
        <v>123</v>
      </c>
      <c r="L2" s="24" t="s">
        <v>129</v>
      </c>
      <c r="M2" s="24" t="s">
        <v>124</v>
      </c>
      <c r="N2" s="21" t="s">
        <v>92</v>
      </c>
      <c r="O2" s="20" t="s">
        <v>125</v>
      </c>
      <c r="P2" s="20" t="s">
        <v>126</v>
      </c>
      <c r="Q2" s="24" t="s">
        <v>128</v>
      </c>
      <c r="R2" s="20" t="s">
        <v>127</v>
      </c>
    </row>
    <row r="3" spans="1:18">
      <c r="A3" s="20" t="s">
        <v>26</v>
      </c>
      <c r="B3" s="4">
        <f>'2010-10'!B3</f>
        <v>57.436750000000011</v>
      </c>
      <c r="C3" s="4">
        <f>'2010-10'!C3</f>
        <v>68.143250000000009</v>
      </c>
      <c r="D3" s="18">
        <f>C3*$A$1*1000</f>
        <v>102214.875</v>
      </c>
      <c r="E3" s="36">
        <f>'Interval Circuities'!J3</f>
        <v>1.1877771935320718</v>
      </c>
      <c r="F3" s="4">
        <f t="shared" ref="F3:F53" si="0">B3/E3</f>
        <v>48.356501802498308</v>
      </c>
      <c r="G3" s="4">
        <f t="shared" ref="G3:G53" si="1">F3*$A$1</f>
        <v>72.534752703747458</v>
      </c>
      <c r="H3" s="4">
        <f t="shared" ref="H3:H53" si="2">PI()*G3^2</f>
        <v>16528.831111315074</v>
      </c>
      <c r="I3" s="4">
        <f t="shared" ref="I3:I53" si="3">K3/J3</f>
        <v>873.48977839674285</v>
      </c>
      <c r="J3" s="9">
        <v>5083.0589090000003</v>
      </c>
      <c r="K3" s="15">
        <v>4440000</v>
      </c>
      <c r="L3" s="24">
        <f t="shared" ref="L3:L53" si="4">H3*I3</f>
        <v>14437765.024579793</v>
      </c>
      <c r="M3" s="24">
        <f t="shared" ref="M3:M53" si="5">MIN(K3,L3)</f>
        <v>4440000</v>
      </c>
      <c r="N3" s="21" t="s">
        <v>92</v>
      </c>
      <c r="O3" s="4">
        <f t="shared" ref="O3:O53" si="6">P3/J3</f>
        <v>436.36913120811522</v>
      </c>
      <c r="P3" s="15">
        <v>2218090</v>
      </c>
      <c r="Q3" s="24">
        <f t="shared" ref="Q3:Q53" si="7">H3*O3</f>
        <v>7212671.6719302246</v>
      </c>
      <c r="R3" s="15">
        <f t="shared" ref="R3:R53" si="8">MIN(Q3,P3)</f>
        <v>2218090</v>
      </c>
    </row>
    <row r="4" spans="1:18">
      <c r="A4" s="20" t="s">
        <v>27</v>
      </c>
      <c r="B4" s="4">
        <f>'2010-10'!B4</f>
        <v>62.91075</v>
      </c>
      <c r="C4" s="4">
        <f>'2010-10'!C4</f>
        <v>76.756750000000011</v>
      </c>
      <c r="D4" s="18">
        <f t="shared" ref="D4:D53" si="9">C4*$A$1*1000</f>
        <v>115135.12500000001</v>
      </c>
      <c r="E4" s="36">
        <f>'Interval Circuities'!J4</f>
        <v>1.2582890434326388</v>
      </c>
      <c r="F4" s="4">
        <f t="shared" si="0"/>
        <v>49.997057773290436</v>
      </c>
      <c r="G4" s="4">
        <f t="shared" si="1"/>
        <v>74.995586659935654</v>
      </c>
      <c r="H4" s="4">
        <f t="shared" si="2"/>
        <v>17669.379000124587</v>
      </c>
      <c r="I4" s="4">
        <f t="shared" si="3"/>
        <v>1256.1525913969799</v>
      </c>
      <c r="J4" s="9">
        <v>823.94448499999999</v>
      </c>
      <c r="K4" s="15">
        <v>1035000</v>
      </c>
      <c r="L4" s="24">
        <f t="shared" si="4"/>
        <v>22195436.219381876</v>
      </c>
      <c r="M4" s="24">
        <f t="shared" si="5"/>
        <v>1035000</v>
      </c>
      <c r="N4" s="21" t="s">
        <v>92</v>
      </c>
      <c r="O4" s="4">
        <f t="shared" si="6"/>
        <v>796.23932430350578</v>
      </c>
      <c r="P4" s="15">
        <v>656057</v>
      </c>
      <c r="Q4" s="24">
        <f t="shared" si="7"/>
        <v>14069054.395921756</v>
      </c>
      <c r="R4" s="15">
        <f t="shared" si="8"/>
        <v>656057</v>
      </c>
    </row>
    <row r="5" spans="1:18" ht="16">
      <c r="A5" s="20" t="s">
        <v>118</v>
      </c>
      <c r="B5" s="4">
        <f>'2010-10'!B5</f>
        <v>59.811500000000002</v>
      </c>
      <c r="C5" s="4">
        <f>'2010-10'!C5</f>
        <v>68.626249999999999</v>
      </c>
      <c r="D5" s="18">
        <f t="shared" si="9"/>
        <v>102939.375</v>
      </c>
      <c r="E5" s="36">
        <f>'Interval Circuities'!J5</f>
        <v>1.2337415965111269</v>
      </c>
      <c r="F5" s="4">
        <f t="shared" si="0"/>
        <v>48.479762836188506</v>
      </c>
      <c r="G5" s="4">
        <f t="shared" si="1"/>
        <v>72.719644254282755</v>
      </c>
      <c r="H5" s="4">
        <f t="shared" si="2"/>
        <v>16613.202699636186</v>
      </c>
      <c r="I5" s="4">
        <f t="shared" si="3"/>
        <v>1312.0237170817477</v>
      </c>
      <c r="J5" s="9">
        <v>1768.260718</v>
      </c>
      <c r="K5" s="15">
        <v>2320000</v>
      </c>
      <c r="L5" s="24">
        <f t="shared" si="4"/>
        <v>21796915.958609194</v>
      </c>
      <c r="M5" s="24">
        <f t="shared" si="5"/>
        <v>2320000</v>
      </c>
      <c r="N5" s="21" t="s">
        <v>92</v>
      </c>
      <c r="O5" s="4">
        <f t="shared" si="6"/>
        <v>634.47657270187688</v>
      </c>
      <c r="P5" s="15">
        <v>1121920</v>
      </c>
      <c r="Q5" s="24">
        <f t="shared" si="7"/>
        <v>10540687.910466736</v>
      </c>
      <c r="R5" s="15">
        <f t="shared" si="8"/>
        <v>1121920</v>
      </c>
    </row>
    <row r="6" spans="1:18">
      <c r="A6" s="20" t="s">
        <v>29</v>
      </c>
      <c r="B6" s="4">
        <f>'2010-10'!B6</f>
        <v>53.613</v>
      </c>
      <c r="C6" s="4">
        <f>'2010-10'!C6</f>
        <v>62.8705</v>
      </c>
      <c r="D6" s="18">
        <f t="shared" si="9"/>
        <v>94305.75</v>
      </c>
      <c r="E6" s="36">
        <f>'Interval Circuities'!J6</f>
        <v>1.1792959449191527</v>
      </c>
      <c r="F6" s="4">
        <f t="shared" si="0"/>
        <v>45.461870899314818</v>
      </c>
      <c r="G6" s="4">
        <f t="shared" si="1"/>
        <v>68.192806348972226</v>
      </c>
      <c r="H6" s="4">
        <f t="shared" si="2"/>
        <v>14609.219001961468</v>
      </c>
      <c r="I6" s="4">
        <f t="shared" si="3"/>
        <v>934.02366191942531</v>
      </c>
      <c r="J6" s="9">
        <v>4496.6740900000004</v>
      </c>
      <c r="K6" s="15">
        <v>4200000</v>
      </c>
      <c r="L6" s="24">
        <f t="shared" si="4"/>
        <v>13645356.229994902</v>
      </c>
      <c r="M6" s="24">
        <f t="shared" si="5"/>
        <v>4200000</v>
      </c>
      <c r="N6" s="21" t="s">
        <v>92</v>
      </c>
      <c r="O6" s="4">
        <f t="shared" si="6"/>
        <v>645.53199584895856</v>
      </c>
      <c r="P6" s="15">
        <f>2341938+286024+61431+22699+190655</f>
        <v>2902747</v>
      </c>
      <c r="Q6" s="24">
        <f t="shared" si="7"/>
        <v>9430718.3001307175</v>
      </c>
      <c r="R6" s="15">
        <f t="shared" si="8"/>
        <v>2902747</v>
      </c>
    </row>
    <row r="7" spans="1:18">
      <c r="A7" s="20" t="s">
        <v>30</v>
      </c>
      <c r="B7" s="4">
        <f>'2010-10'!B7</f>
        <v>63.434000000000012</v>
      </c>
      <c r="C7" s="4">
        <f>'2010-10'!C7</f>
        <v>70.236249999999998</v>
      </c>
      <c r="D7" s="18">
        <f t="shared" si="9"/>
        <v>105354.375</v>
      </c>
      <c r="E7" s="36">
        <f>'Interval Circuities'!J7</f>
        <v>1.1646573299473928</v>
      </c>
      <c r="F7" s="4">
        <f t="shared" si="0"/>
        <v>54.46580583738335</v>
      </c>
      <c r="G7" s="4">
        <f t="shared" si="1"/>
        <v>81.698708756075021</v>
      </c>
      <c r="H7" s="4">
        <f t="shared" si="2"/>
        <v>20969.122550457134</v>
      </c>
      <c r="I7" s="4">
        <f t="shared" si="3"/>
        <v>1184.5434204235628</v>
      </c>
      <c r="J7" s="9">
        <v>949.73302000000001</v>
      </c>
      <c r="K7" s="15">
        <v>1125000</v>
      </c>
      <c r="L7" s="24">
        <f t="shared" si="4"/>
        <v>24838836.149199355</v>
      </c>
      <c r="M7" s="24">
        <f t="shared" si="5"/>
        <v>1125000</v>
      </c>
      <c r="N7" s="21" t="s">
        <v>92</v>
      </c>
      <c r="O7" s="4">
        <f t="shared" si="6"/>
        <v>494.17361523346847</v>
      </c>
      <c r="P7" s="15">
        <v>469333</v>
      </c>
      <c r="Q7" s="24">
        <f t="shared" si="7"/>
        <v>10362387.09903305</v>
      </c>
      <c r="R7" s="15">
        <f t="shared" si="8"/>
        <v>469333</v>
      </c>
    </row>
    <row r="8" spans="1:18">
      <c r="A8" s="20" t="s">
        <v>31</v>
      </c>
      <c r="B8" s="4">
        <f>'2010-10'!B8</f>
        <v>61.2605</v>
      </c>
      <c r="C8" s="4">
        <f>'2010-10'!C8</f>
        <v>70.799749999999989</v>
      </c>
      <c r="D8" s="18">
        <f t="shared" si="9"/>
        <v>106199.62499999999</v>
      </c>
      <c r="E8" s="36">
        <f>'Interval Circuities'!J8</f>
        <v>1.2184606076717244</v>
      </c>
      <c r="F8" s="4">
        <f t="shared" si="0"/>
        <v>50.276963911913924</v>
      </c>
      <c r="G8" s="4">
        <f t="shared" si="1"/>
        <v>75.415445867870886</v>
      </c>
      <c r="H8" s="4">
        <f t="shared" si="2"/>
        <v>17867.775153442242</v>
      </c>
      <c r="I8" s="4">
        <f t="shared" si="3"/>
        <v>949.91537958488948</v>
      </c>
      <c r="J8" s="9">
        <v>1126.4161240000001</v>
      </c>
      <c r="K8" s="15">
        <v>1070000</v>
      </c>
      <c r="L8" s="24">
        <f t="shared" si="4"/>
        <v>16972874.417219546</v>
      </c>
      <c r="M8" s="24">
        <f t="shared" si="5"/>
        <v>1070000</v>
      </c>
      <c r="N8" s="21" t="s">
        <v>92</v>
      </c>
      <c r="O8" s="4">
        <f t="shared" si="6"/>
        <v>723.7920184459291</v>
      </c>
      <c r="P8" s="15">
        <v>815291</v>
      </c>
      <c r="Q8" s="24">
        <f t="shared" si="7"/>
        <v>12932553.043447981</v>
      </c>
      <c r="R8" s="15">
        <f t="shared" si="8"/>
        <v>815291</v>
      </c>
    </row>
    <row r="9" spans="1:18">
      <c r="A9" s="20" t="s">
        <v>32</v>
      </c>
      <c r="B9" s="4">
        <f>'2010-10'!B9</f>
        <v>49.265999999999998</v>
      </c>
      <c r="C9" s="4">
        <f>'2010-10'!C9</f>
        <v>60.495750000000008</v>
      </c>
      <c r="D9" s="18">
        <f t="shared" si="9"/>
        <v>90743.625000000015</v>
      </c>
      <c r="E9" s="36">
        <f>'Interval Circuities'!J9</f>
        <v>1.1715001469840343</v>
      </c>
      <c r="F9" s="4">
        <f t="shared" si="0"/>
        <v>42.053771932366146</v>
      </c>
      <c r="G9" s="4">
        <f t="shared" si="1"/>
        <v>63.080657898549219</v>
      </c>
      <c r="H9" s="4">
        <f t="shared" si="2"/>
        <v>12500.929357300092</v>
      </c>
      <c r="I9" s="4">
        <f t="shared" si="3"/>
        <v>1535.0877689569375</v>
      </c>
      <c r="J9" s="9">
        <v>5498.0569649999998</v>
      </c>
      <c r="K9" s="15">
        <v>8440000</v>
      </c>
      <c r="L9" s="24">
        <f t="shared" si="4"/>
        <v>19190023.756986082</v>
      </c>
      <c r="M9" s="24">
        <f t="shared" si="5"/>
        <v>8440000</v>
      </c>
      <c r="N9" s="21" t="s">
        <v>92</v>
      </c>
      <c r="O9" s="4">
        <f t="shared" si="6"/>
        <v>761.20455401647519</v>
      </c>
      <c r="P9" s="15">
        <v>4185146</v>
      </c>
      <c r="Q9" s="24">
        <f t="shared" si="7"/>
        <v>9515764.3562150784</v>
      </c>
      <c r="R9" s="15">
        <f t="shared" si="8"/>
        <v>4185146</v>
      </c>
    </row>
    <row r="10" spans="1:18">
      <c r="A10" s="20" t="s">
        <v>33</v>
      </c>
      <c r="B10" s="4">
        <f>'2010-10'!B10</f>
        <v>66.895499999999998</v>
      </c>
      <c r="C10" s="4">
        <f>'2010-10'!C10</f>
        <v>72.530500000000018</v>
      </c>
      <c r="D10" s="18">
        <f t="shared" si="9"/>
        <v>108795.75000000003</v>
      </c>
      <c r="E10" s="36">
        <f>'Interval Circuities'!J10</f>
        <v>1.2779855759070877</v>
      </c>
      <c r="F10" s="4">
        <f t="shared" si="0"/>
        <v>52.344487497457827</v>
      </c>
      <c r="G10" s="4">
        <f t="shared" si="1"/>
        <v>78.516731246186737</v>
      </c>
      <c r="H10" s="4">
        <f t="shared" si="2"/>
        <v>19367.532562360771</v>
      </c>
      <c r="I10" s="4">
        <f t="shared" si="3"/>
        <v>959.84466122297908</v>
      </c>
      <c r="J10" s="9">
        <v>1739.864863</v>
      </c>
      <c r="K10" s="15">
        <v>1670000</v>
      </c>
      <c r="L10" s="24">
        <f t="shared" si="4"/>
        <v>18589822.731044192</v>
      </c>
      <c r="M10" s="24">
        <f t="shared" si="5"/>
        <v>1670000</v>
      </c>
      <c r="N10" s="21" t="s">
        <v>92</v>
      </c>
      <c r="O10" s="4">
        <f t="shared" si="6"/>
        <v>544.468722913683</v>
      </c>
      <c r="P10" s="15">
        <v>947302</v>
      </c>
      <c r="Q10" s="24">
        <f t="shared" si="7"/>
        <v>10545015.72021774</v>
      </c>
      <c r="R10" s="15">
        <f t="shared" si="8"/>
        <v>947302</v>
      </c>
    </row>
    <row r="11" spans="1:18">
      <c r="A11" s="20" t="s">
        <v>34</v>
      </c>
      <c r="B11" s="4">
        <f>'2010-10'!B11</f>
        <v>66.332000000000008</v>
      </c>
      <c r="C11" s="4">
        <f>'2010-10'!C11</f>
        <v>73.013500000000008</v>
      </c>
      <c r="D11" s="18">
        <f t="shared" si="9"/>
        <v>109520.25</v>
      </c>
      <c r="E11" s="36">
        <f>'Interval Circuities'!J11</f>
        <v>1.1498564950576229</v>
      </c>
      <c r="F11" s="4">
        <f t="shared" si="0"/>
        <v>57.687198607053922</v>
      </c>
      <c r="G11" s="4">
        <f t="shared" si="1"/>
        <v>86.530797910580887</v>
      </c>
      <c r="H11" s="4">
        <f t="shared" si="2"/>
        <v>23522.923138863789</v>
      </c>
      <c r="I11" s="4">
        <f t="shared" si="3"/>
        <v>1068.1935094485655</v>
      </c>
      <c r="J11" s="9">
        <v>1675.7263399999999</v>
      </c>
      <c r="K11" s="15">
        <v>1790000</v>
      </c>
      <c r="L11" s="24">
        <f t="shared" si="4"/>
        <v>25127033.820191775</v>
      </c>
      <c r="M11" s="24">
        <f t="shared" si="5"/>
        <v>1790000</v>
      </c>
      <c r="N11" s="21" t="s">
        <v>92</v>
      </c>
      <c r="O11" s="4">
        <f t="shared" si="6"/>
        <v>567.00129210835223</v>
      </c>
      <c r="P11" s="15">
        <v>950139</v>
      </c>
      <c r="Q11" s="24">
        <f t="shared" si="7"/>
        <v>13337527.813901225</v>
      </c>
      <c r="R11" s="15">
        <f t="shared" si="8"/>
        <v>950139</v>
      </c>
    </row>
    <row r="12" spans="1:18">
      <c r="A12" s="20" t="s">
        <v>35</v>
      </c>
      <c r="B12" s="4">
        <f>'2010-10'!B12</f>
        <v>73.174500000000009</v>
      </c>
      <c r="C12" s="4">
        <f>'2010-10'!C12</f>
        <v>79.775500000000008</v>
      </c>
      <c r="D12" s="18">
        <f t="shared" si="9"/>
        <v>119663.25</v>
      </c>
      <c r="E12" s="36">
        <f>'Interval Circuities'!J12</f>
        <v>1.1666680790044779</v>
      </c>
      <c r="F12" s="4">
        <f t="shared" si="0"/>
        <v>62.720924071600621</v>
      </c>
      <c r="G12" s="4">
        <f t="shared" si="1"/>
        <v>94.081386107400931</v>
      </c>
      <c r="H12" s="4">
        <f t="shared" si="2"/>
        <v>27807.201711539514</v>
      </c>
      <c r="I12" s="4">
        <f t="shared" si="3"/>
        <v>1189.2536054091877</v>
      </c>
      <c r="J12" s="9">
        <v>1030.0578399999999</v>
      </c>
      <c r="K12" s="15">
        <v>1225000</v>
      </c>
      <c r="L12" s="24">
        <f t="shared" si="4"/>
        <v>33069814.8917889</v>
      </c>
      <c r="M12" s="24">
        <f t="shared" si="5"/>
        <v>1225000</v>
      </c>
      <c r="N12" s="21" t="s">
        <v>92</v>
      </c>
      <c r="O12" s="4">
        <f t="shared" si="6"/>
        <v>769.83055631128445</v>
      </c>
      <c r="P12" s="15">
        <v>792970</v>
      </c>
      <c r="Q12" s="24">
        <f t="shared" si="7"/>
        <v>21406833.563054565</v>
      </c>
      <c r="R12" s="15">
        <f t="shared" si="8"/>
        <v>792970</v>
      </c>
    </row>
    <row r="13" spans="1:18">
      <c r="A13" s="20" t="s">
        <v>62</v>
      </c>
      <c r="B13" s="4">
        <f>'2010-10'!B13</f>
        <v>53.894749999999995</v>
      </c>
      <c r="C13" s="4">
        <f>'2010-10'!C13</f>
        <v>63.393750000000004</v>
      </c>
      <c r="D13" s="18">
        <f t="shared" si="9"/>
        <v>95090.625</v>
      </c>
      <c r="E13" s="36">
        <f>'Interval Circuities'!J13</f>
        <v>1.2015060407013247</v>
      </c>
      <c r="F13" s="4">
        <f t="shared" si="0"/>
        <v>44.855995870433887</v>
      </c>
      <c r="G13" s="4">
        <f t="shared" si="1"/>
        <v>67.283993805650823</v>
      </c>
      <c r="H13" s="4">
        <f t="shared" si="2"/>
        <v>14222.416641577105</v>
      </c>
      <c r="I13" s="4">
        <f t="shared" si="3"/>
        <v>1219.7404531385341</v>
      </c>
      <c r="J13" s="9">
        <v>3644.2179059999999</v>
      </c>
      <c r="K13" s="15">
        <v>4445000</v>
      </c>
      <c r="L13" s="24">
        <f t="shared" si="4"/>
        <v>17347656.919122286</v>
      </c>
      <c r="M13" s="24">
        <f t="shared" si="5"/>
        <v>4445000</v>
      </c>
      <c r="N13" s="21" t="s">
        <v>92</v>
      </c>
      <c r="O13" s="4">
        <f t="shared" si="6"/>
        <v>729.77414320404807</v>
      </c>
      <c r="P13" s="15">
        <v>2659456</v>
      </c>
      <c r="Q13" s="24">
        <f t="shared" si="7"/>
        <v>10379151.918897927</v>
      </c>
      <c r="R13" s="15">
        <f t="shared" si="8"/>
        <v>2659456</v>
      </c>
    </row>
    <row r="14" spans="1:18">
      <c r="A14" s="20" t="s">
        <v>36</v>
      </c>
      <c r="B14" s="4">
        <f>'2010-10'!B14</f>
        <v>54.780250000000002</v>
      </c>
      <c r="C14" s="4">
        <f>'2010-10'!C14</f>
        <v>64.118250000000003</v>
      </c>
      <c r="D14" s="18">
        <f t="shared" si="9"/>
        <v>96177.375000000015</v>
      </c>
      <c r="E14" s="36">
        <f>'Interval Circuities'!J14</f>
        <v>1.3276510683394664</v>
      </c>
      <c r="F14" s="4">
        <f t="shared" si="0"/>
        <v>41.261029577986427</v>
      </c>
      <c r="G14" s="4">
        <f t="shared" si="1"/>
        <v>61.891544366979645</v>
      </c>
      <c r="H14" s="4">
        <f t="shared" si="2"/>
        <v>12034.069409701149</v>
      </c>
      <c r="I14" s="4">
        <f t="shared" si="3"/>
        <v>1687.4292750883483</v>
      </c>
      <c r="J14" s="9">
        <v>1291.9059970000001</v>
      </c>
      <c r="K14" s="15">
        <v>2180000</v>
      </c>
      <c r="L14" s="24">
        <f t="shared" si="4"/>
        <v>20306641.020374879</v>
      </c>
      <c r="M14" s="24">
        <f t="shared" si="5"/>
        <v>2180000</v>
      </c>
      <c r="N14" s="21" t="s">
        <v>92</v>
      </c>
      <c r="O14" s="4">
        <f t="shared" si="6"/>
        <v>885.41349189201105</v>
      </c>
      <c r="P14" s="15">
        <v>1143871</v>
      </c>
      <c r="Q14" s="24">
        <f t="shared" si="7"/>
        <v>10655127.417714328</v>
      </c>
      <c r="R14" s="15">
        <f t="shared" si="8"/>
        <v>1143871</v>
      </c>
    </row>
    <row r="15" spans="1:18">
      <c r="A15" s="20" t="s">
        <v>37</v>
      </c>
      <c r="B15" s="4">
        <f>'2010-10'!B15</f>
        <v>57.557500000000005</v>
      </c>
      <c r="C15" s="4">
        <f>'2010-10'!C15</f>
        <v>65.124499999999998</v>
      </c>
      <c r="D15" s="18">
        <f t="shared" si="9"/>
        <v>97686.749999999985</v>
      </c>
      <c r="E15" s="36">
        <f>'Interval Circuities'!J15</f>
        <v>1.1793589097336392</v>
      </c>
      <c r="F15" s="4">
        <f t="shared" si="0"/>
        <v>48.804057462879975</v>
      </c>
      <c r="G15" s="4">
        <f t="shared" si="1"/>
        <v>73.206086194319965</v>
      </c>
      <c r="H15" s="4">
        <f t="shared" si="2"/>
        <v>16836.206754809577</v>
      </c>
      <c r="I15" s="4">
        <f t="shared" si="3"/>
        <v>1239.6159677445094</v>
      </c>
      <c r="J15" s="9">
        <v>3267.1408769999998</v>
      </c>
      <c r="K15" s="15">
        <v>4050000</v>
      </c>
      <c r="L15" s="24">
        <f t="shared" si="4"/>
        <v>20870430.72950992</v>
      </c>
      <c r="M15" s="24">
        <f t="shared" si="5"/>
        <v>4050000</v>
      </c>
      <c r="N15" s="21" t="s">
        <v>92</v>
      </c>
      <c r="O15" s="4">
        <f t="shared" si="6"/>
        <v>521.88291359068933</v>
      </c>
      <c r="P15" s="15">
        <v>1705065</v>
      </c>
      <c r="Q15" s="24">
        <f t="shared" si="7"/>
        <v>8786528.635015266</v>
      </c>
      <c r="R15" s="15">
        <f t="shared" si="8"/>
        <v>1705065</v>
      </c>
    </row>
    <row r="16" spans="1:18">
      <c r="A16" s="20" t="s">
        <v>80</v>
      </c>
      <c r="B16" s="4">
        <f>'2010-10'!B16</f>
        <v>72.650000000000006</v>
      </c>
      <c r="C16" s="4">
        <f>'2010-10'!C16</f>
        <v>79.78</v>
      </c>
      <c r="D16" s="18">
        <f t="shared" si="9"/>
        <v>119670</v>
      </c>
      <c r="E16" s="36">
        <f>'Interval Circuities'!J16</f>
        <v>1.2368611790095092</v>
      </c>
      <c r="F16" s="4">
        <f t="shared" si="0"/>
        <v>58.737392063819847</v>
      </c>
      <c r="G16" s="4">
        <f t="shared" si="1"/>
        <v>88.106088095729774</v>
      </c>
      <c r="H16" s="4">
        <f t="shared" si="2"/>
        <v>24387.187129495433</v>
      </c>
      <c r="I16" s="4">
        <f t="shared" si="3"/>
        <v>900.16542520051985</v>
      </c>
      <c r="J16" s="9">
        <v>666.54415200000005</v>
      </c>
      <c r="K16" s="15">
        <v>600000</v>
      </c>
      <c r="L16" s="24">
        <f t="shared" si="4"/>
        <v>21952502.671866901</v>
      </c>
      <c r="M16" s="24">
        <f t="shared" si="5"/>
        <v>600000</v>
      </c>
      <c r="N16" s="21" t="s">
        <v>92</v>
      </c>
      <c r="O16" s="4">
        <f t="shared" si="6"/>
        <v>799.60644527566114</v>
      </c>
      <c r="P16" s="15">
        <f>347964+52598+97277+35134</f>
        <v>532973</v>
      </c>
      <c r="Q16" s="24">
        <f t="shared" si="7"/>
        <v>19500152.010888197</v>
      </c>
      <c r="R16" s="15">
        <f t="shared" si="8"/>
        <v>532973</v>
      </c>
    </row>
    <row r="17" spans="1:18">
      <c r="A17" s="20" t="s">
        <v>58</v>
      </c>
      <c r="B17" s="4">
        <f>'2010-10'!B17</f>
        <v>63.393750000000004</v>
      </c>
      <c r="C17" s="4">
        <f>'2010-10'!C17</f>
        <v>72.087750000000014</v>
      </c>
      <c r="D17" s="18">
        <f t="shared" si="9"/>
        <v>108131.62500000001</v>
      </c>
      <c r="E17" s="36">
        <f>'Interval Circuities'!J17</f>
        <v>1.3441760531206133</v>
      </c>
      <c r="F17" s="4">
        <f t="shared" si="0"/>
        <v>47.161790937151643</v>
      </c>
      <c r="G17" s="4">
        <f t="shared" si="1"/>
        <v>70.742686405727468</v>
      </c>
      <c r="H17" s="4">
        <f t="shared" si="2"/>
        <v>15722.187393857779</v>
      </c>
      <c r="I17" s="4">
        <f t="shared" si="3"/>
        <v>1132.3576753929692</v>
      </c>
      <c r="J17" s="18">
        <v>1364.4098799999999</v>
      </c>
      <c r="K17" s="15">
        <v>1545000</v>
      </c>
      <c r="L17" s="24">
        <f t="shared" si="4"/>
        <v>17803139.569401439</v>
      </c>
      <c r="M17" s="24">
        <f t="shared" si="5"/>
        <v>1545000</v>
      </c>
      <c r="N17" s="21" t="s">
        <v>92</v>
      </c>
      <c r="O17" s="4">
        <f t="shared" si="6"/>
        <v>466.71825624716234</v>
      </c>
      <c r="P17" s="15">
        <v>636795</v>
      </c>
      <c r="Q17" s="24">
        <f t="shared" si="7"/>
        <v>7337831.8848524205</v>
      </c>
      <c r="R17" s="15">
        <f t="shared" si="8"/>
        <v>636795</v>
      </c>
    </row>
    <row r="18" spans="1:18">
      <c r="A18" s="20" t="s">
        <v>38</v>
      </c>
      <c r="B18" s="4">
        <f>'2010-10'!B18</f>
        <v>65.969749999999991</v>
      </c>
      <c r="C18" s="4">
        <f>'2010-10'!C18</f>
        <v>73.8185</v>
      </c>
      <c r="D18" s="18">
        <f t="shared" si="9"/>
        <v>110727.75</v>
      </c>
      <c r="E18" s="36">
        <f>'Interval Circuities'!J18</f>
        <v>1.2211596606105135</v>
      </c>
      <c r="F18" s="4">
        <f t="shared" si="0"/>
        <v>54.022215217147526</v>
      </c>
      <c r="G18" s="4">
        <f t="shared" si="1"/>
        <v>81.033322825721285</v>
      </c>
      <c r="H18" s="4">
        <f t="shared" si="2"/>
        <v>20628.952141266996</v>
      </c>
      <c r="I18" s="4">
        <f t="shared" si="3"/>
        <v>736.26706687215813</v>
      </c>
      <c r="J18" s="18">
        <v>1215.591516</v>
      </c>
      <c r="K18" s="15">
        <v>895000</v>
      </c>
      <c r="L18" s="24">
        <f t="shared" si="4"/>
        <v>15188418.085696777</v>
      </c>
      <c r="M18" s="24">
        <f t="shared" si="5"/>
        <v>895000</v>
      </c>
      <c r="N18" s="21" t="s">
        <v>92</v>
      </c>
      <c r="O18" s="4">
        <f t="shared" si="6"/>
        <v>466.09078176554175</v>
      </c>
      <c r="P18" s="15">
        <v>566576</v>
      </c>
      <c r="Q18" s="24">
        <f t="shared" si="7"/>
        <v>9614964.4305270817</v>
      </c>
      <c r="R18" s="15">
        <f t="shared" si="8"/>
        <v>566576</v>
      </c>
    </row>
    <row r="19" spans="1:18">
      <c r="A19" s="20" t="s">
        <v>81</v>
      </c>
      <c r="B19" s="4">
        <f>'2010-10'!B19</f>
        <v>61.743500000000004</v>
      </c>
      <c r="C19" s="4">
        <f>'2010-10'!C19</f>
        <v>74.744249999999994</v>
      </c>
      <c r="D19" s="18">
        <f t="shared" si="9"/>
        <v>112116.37499999999</v>
      </c>
      <c r="E19" s="36">
        <f>'Interval Circuities'!J19</f>
        <v>1.4625638767711695</v>
      </c>
      <c r="F19" s="4">
        <f t="shared" si="0"/>
        <v>42.215933936716731</v>
      </c>
      <c r="G19" s="4">
        <f t="shared" si="1"/>
        <v>63.323900905075092</v>
      </c>
      <c r="H19" s="4">
        <f t="shared" si="2"/>
        <v>12597.523984914696</v>
      </c>
      <c r="I19" s="4">
        <f t="shared" si="3"/>
        <v>1766.1211842313005</v>
      </c>
      <c r="J19" s="18">
        <v>399.17985599999997</v>
      </c>
      <c r="K19" s="15">
        <v>705000</v>
      </c>
      <c r="L19" s="24">
        <f t="shared" si="4"/>
        <v>22248753.978619754</v>
      </c>
      <c r="M19" s="24">
        <f t="shared" si="5"/>
        <v>705000</v>
      </c>
      <c r="N19" s="21" t="s">
        <v>92</v>
      </c>
      <c r="O19" s="4">
        <f t="shared" si="6"/>
        <v>894.79465116095446</v>
      </c>
      <c r="P19" s="15">
        <v>357184</v>
      </c>
      <c r="Q19" s="24">
        <f t="shared" si="7"/>
        <v>11272197.079573503</v>
      </c>
      <c r="R19" s="15">
        <f t="shared" si="8"/>
        <v>357184</v>
      </c>
    </row>
    <row r="20" spans="1:18">
      <c r="A20" s="20" t="s">
        <v>39</v>
      </c>
      <c r="B20" s="4">
        <f>'2010-10'!B20</f>
        <v>58.402750000000012</v>
      </c>
      <c r="C20" s="4">
        <f>'2010-10'!C20</f>
        <v>69.592250000000007</v>
      </c>
      <c r="D20" s="18">
        <f t="shared" si="9"/>
        <v>104388.37500000001</v>
      </c>
      <c r="E20" s="36">
        <f>'Interval Circuities'!J20</f>
        <v>1.2321501144350759</v>
      </c>
      <c r="F20" s="4">
        <f t="shared" si="0"/>
        <v>47.399054154028043</v>
      </c>
      <c r="G20" s="4">
        <f t="shared" si="1"/>
        <v>71.098581231042061</v>
      </c>
      <c r="H20" s="4">
        <f t="shared" si="2"/>
        <v>15880.776791671331</v>
      </c>
      <c r="I20" s="4">
        <f t="shared" si="3"/>
        <v>1137.2032495246315</v>
      </c>
      <c r="J20" s="18">
        <v>3354.7213320000001</v>
      </c>
      <c r="K20" s="15">
        <v>3815000</v>
      </c>
      <c r="L20" s="24">
        <f t="shared" si="4"/>
        <v>18059670.972463988</v>
      </c>
      <c r="M20" s="24">
        <f t="shared" si="5"/>
        <v>3815000</v>
      </c>
      <c r="N20" s="21" t="s">
        <v>92</v>
      </c>
      <c r="O20" s="4">
        <f t="shared" si="6"/>
        <v>675.48024880178036</v>
      </c>
      <c r="P20" s="15">
        <v>2266048</v>
      </c>
      <c r="Q20" s="24">
        <f t="shared" si="7"/>
        <v>10727151.058403689</v>
      </c>
      <c r="R20" s="15">
        <f t="shared" si="8"/>
        <v>2266048</v>
      </c>
    </row>
    <row r="21" spans="1:18">
      <c r="A21" s="20" t="s">
        <v>40</v>
      </c>
      <c r="B21" s="4">
        <f>'2010-10'!B21</f>
        <v>54.53875</v>
      </c>
      <c r="C21" s="4">
        <f>'2010-10'!C21</f>
        <v>64.440250000000006</v>
      </c>
      <c r="D21" s="18">
        <f t="shared" si="9"/>
        <v>96660.375000000015</v>
      </c>
      <c r="E21" s="36">
        <f>'Interval Circuities'!J21</f>
        <v>1.1802346118410132</v>
      </c>
      <c r="F21" s="4">
        <f t="shared" si="0"/>
        <v>46.210092004441904</v>
      </c>
      <c r="G21" s="4">
        <f t="shared" si="1"/>
        <v>69.315138006662863</v>
      </c>
      <c r="H21" s="4">
        <f t="shared" si="2"/>
        <v>15094.059485505804</v>
      </c>
      <c r="I21" s="4">
        <f t="shared" si="3"/>
        <v>747.17664987777027</v>
      </c>
      <c r="J21" s="18">
        <v>1432.0576000000001</v>
      </c>
      <c r="K21" s="15">
        <v>1070000</v>
      </c>
      <c r="L21" s="24">
        <f t="shared" si="4"/>
        <v>11277928.799436009</v>
      </c>
      <c r="M21" s="24">
        <f t="shared" si="5"/>
        <v>1070000</v>
      </c>
      <c r="N21" s="21" t="s">
        <v>92</v>
      </c>
      <c r="O21" s="4">
        <f t="shared" si="6"/>
        <v>555.53771021500802</v>
      </c>
      <c r="P21" s="15">
        <v>795562</v>
      </c>
      <c r="Q21" s="24">
        <f t="shared" si="7"/>
        <v>8385319.2444270169</v>
      </c>
      <c r="R21" s="15">
        <f t="shared" si="8"/>
        <v>795562</v>
      </c>
    </row>
    <row r="22" spans="1:18" ht="16">
      <c r="A22" s="20" t="s">
        <v>119</v>
      </c>
      <c r="B22" s="4">
        <f>'2010-10'!B22</f>
        <v>60.173750000000005</v>
      </c>
      <c r="C22" s="4">
        <f>'2010-10'!C22</f>
        <v>67.821250000000006</v>
      </c>
      <c r="D22" s="18">
        <f t="shared" si="9"/>
        <v>101731.875</v>
      </c>
      <c r="E22" s="36">
        <f>'Interval Circuities'!J22</f>
        <v>1.330115441516819</v>
      </c>
      <c r="F22" s="4">
        <f t="shared" si="0"/>
        <v>45.239494348986639</v>
      </c>
      <c r="G22" s="4">
        <f t="shared" si="1"/>
        <v>67.859241523479966</v>
      </c>
      <c r="H22" s="4">
        <f t="shared" si="2"/>
        <v>14466.646686189169</v>
      </c>
      <c r="I22" s="4">
        <f t="shared" si="3"/>
        <v>1786.307024434233</v>
      </c>
      <c r="J22" s="18">
        <v>1136.422783</v>
      </c>
      <c r="K22" s="15">
        <v>2030000</v>
      </c>
      <c r="L22" s="24">
        <f t="shared" si="4"/>
        <v>25841872.595547933</v>
      </c>
      <c r="M22" s="24">
        <f t="shared" si="5"/>
        <v>2030000</v>
      </c>
      <c r="N22" s="21" t="s">
        <v>92</v>
      </c>
      <c r="O22" s="4">
        <f t="shared" si="6"/>
        <v>966.10699505836999</v>
      </c>
      <c r="P22" s="15">
        <v>1097906</v>
      </c>
      <c r="Q22" s="24">
        <f t="shared" si="7"/>
        <v>13976328.558565345</v>
      </c>
      <c r="R22" s="15">
        <f t="shared" si="8"/>
        <v>1097906</v>
      </c>
    </row>
    <row r="23" spans="1:18">
      <c r="A23" s="20" t="s">
        <v>41</v>
      </c>
      <c r="B23" s="4">
        <f>'2010-10'!B23</f>
        <v>66.332000000000008</v>
      </c>
      <c r="C23" s="4">
        <f>'2010-10'!C23</f>
        <v>74.180750000000003</v>
      </c>
      <c r="D23" s="18">
        <f t="shared" si="9"/>
        <v>111271.12500000001</v>
      </c>
      <c r="E23" s="36">
        <f>'Interval Circuities'!J23</f>
        <v>1.2812723689433594</v>
      </c>
      <c r="F23" s="4">
        <f t="shared" si="0"/>
        <v>51.770413229704417</v>
      </c>
      <c r="G23" s="4">
        <f t="shared" si="1"/>
        <v>77.655619844556625</v>
      </c>
      <c r="H23" s="4">
        <f t="shared" si="2"/>
        <v>18945.045552120784</v>
      </c>
      <c r="I23" s="4">
        <f t="shared" si="3"/>
        <v>978.15000707799697</v>
      </c>
      <c r="J23" s="18">
        <v>1063.231603</v>
      </c>
      <c r="K23" s="15">
        <v>1040000</v>
      </c>
      <c r="L23" s="24">
        <f t="shared" si="4"/>
        <v>18531096.44089992</v>
      </c>
      <c r="M23" s="24">
        <f t="shared" si="5"/>
        <v>1040000</v>
      </c>
      <c r="N23" s="21" t="s">
        <v>92</v>
      </c>
      <c r="O23" s="4">
        <f t="shared" si="6"/>
        <v>508.16021502325492</v>
      </c>
      <c r="P23" s="15">
        <v>540292</v>
      </c>
      <c r="Q23" s="24">
        <f t="shared" si="7"/>
        <v>9627118.4213910569</v>
      </c>
      <c r="R23" s="15">
        <f t="shared" si="8"/>
        <v>540292</v>
      </c>
    </row>
    <row r="24" spans="1:18">
      <c r="A24" s="20" t="s">
        <v>75</v>
      </c>
      <c r="B24" s="4">
        <f>'2010-10'!B24</f>
        <v>63.434000000000012</v>
      </c>
      <c r="C24" s="4">
        <f>'2010-10'!C24</f>
        <v>69.552000000000007</v>
      </c>
      <c r="D24" s="18">
        <f t="shared" si="9"/>
        <v>104328</v>
      </c>
      <c r="E24" s="36">
        <f>'Interval Circuities'!J24</f>
        <v>1.2226839970421781</v>
      </c>
      <c r="F24" s="4">
        <f t="shared" si="0"/>
        <v>51.880944016160022</v>
      </c>
      <c r="G24" s="4">
        <f t="shared" si="1"/>
        <v>77.821416024240037</v>
      </c>
      <c r="H24" s="4">
        <f t="shared" si="2"/>
        <v>19026.027952273645</v>
      </c>
      <c r="I24" s="4">
        <f t="shared" si="3"/>
        <v>1007.5137082249074</v>
      </c>
      <c r="J24" s="18">
        <v>1513.6270480000001</v>
      </c>
      <c r="K24" s="15">
        <v>1525000</v>
      </c>
      <c r="L24" s="24">
        <f t="shared" si="4"/>
        <v>19168983.974985961</v>
      </c>
      <c r="M24" s="24">
        <f t="shared" si="5"/>
        <v>1525000</v>
      </c>
      <c r="N24" s="21" t="s">
        <v>92</v>
      </c>
      <c r="O24" s="4">
        <f t="shared" si="6"/>
        <v>613.50449651848453</v>
      </c>
      <c r="P24" s="15">
        <v>928617</v>
      </c>
      <c r="Q24" s="24">
        <f t="shared" si="7"/>
        <v>11672553.699606257</v>
      </c>
      <c r="R24" s="15">
        <f t="shared" si="8"/>
        <v>928617</v>
      </c>
    </row>
    <row r="25" spans="1:18">
      <c r="A25" s="20" t="s">
        <v>63</v>
      </c>
      <c r="B25" s="4">
        <f>'2010-10'!B25</f>
        <v>59.529750000000007</v>
      </c>
      <c r="C25" s="4">
        <f>'2010-10'!C25</f>
        <v>69.833750000000009</v>
      </c>
      <c r="D25" s="18">
        <f t="shared" si="9"/>
        <v>104750.62500000001</v>
      </c>
      <c r="E25" s="36">
        <f>'Interval Circuities'!J25</f>
        <v>1.3159071047354585</v>
      </c>
      <c r="F25" s="4">
        <f t="shared" si="0"/>
        <v>45.238565690370287</v>
      </c>
      <c r="G25" s="4">
        <f t="shared" si="1"/>
        <v>67.857848535555434</v>
      </c>
      <c r="H25" s="4">
        <f t="shared" si="2"/>
        <v>14466.052760974118</v>
      </c>
      <c r="I25" s="4">
        <f t="shared" si="3"/>
        <v>1897.3714766274206</v>
      </c>
      <c r="J25" s="18">
        <v>740.49811399999999</v>
      </c>
      <c r="K25" s="15">
        <v>1405000</v>
      </c>
      <c r="L25" s="24">
        <f t="shared" si="4"/>
        <v>27447475.888059638</v>
      </c>
      <c r="M25" s="24">
        <f t="shared" si="5"/>
        <v>1405000</v>
      </c>
      <c r="N25" s="21" t="s">
        <v>92</v>
      </c>
      <c r="O25" s="4">
        <f t="shared" si="6"/>
        <v>1137.2034365505488</v>
      </c>
      <c r="P25" s="15">
        <v>842097</v>
      </c>
      <c r="Q25" s="24">
        <f t="shared" si="7"/>
        <v>16450844.913101321</v>
      </c>
      <c r="R25" s="15">
        <f t="shared" si="8"/>
        <v>842097</v>
      </c>
    </row>
    <row r="26" spans="1:18" ht="16">
      <c r="A26" s="20" t="s">
        <v>120</v>
      </c>
      <c r="B26" s="4">
        <f>'2010-10'!B26</f>
        <v>52.928750000000001</v>
      </c>
      <c r="C26" s="4">
        <f>'2010-10'!C26</f>
        <v>66.090500000000006</v>
      </c>
      <c r="D26" s="18">
        <f t="shared" si="9"/>
        <v>99135.75</v>
      </c>
      <c r="E26" s="36">
        <f>'Interval Circuities'!J26</f>
        <v>1.2534168829186265</v>
      </c>
      <c r="F26" s="4">
        <f t="shared" si="0"/>
        <v>42.227570668071337</v>
      </c>
      <c r="G26" s="4">
        <f t="shared" si="1"/>
        <v>63.341356002107005</v>
      </c>
      <c r="H26" s="4">
        <f t="shared" si="2"/>
        <v>12604.469902857723</v>
      </c>
      <c r="I26" s="4">
        <f t="shared" si="3"/>
        <v>2963.0107614020721</v>
      </c>
      <c r="J26" s="18">
        <v>4319.9303110000001</v>
      </c>
      <c r="K26" s="15">
        <v>12800000</v>
      </c>
      <c r="L26" s="24">
        <f t="shared" si="4"/>
        <v>37347179.963935964</v>
      </c>
      <c r="M26" s="24">
        <f t="shared" si="5"/>
        <v>12800000</v>
      </c>
      <c r="N26" s="21" t="s">
        <v>92</v>
      </c>
      <c r="O26" s="4">
        <f t="shared" si="6"/>
        <v>1240.2952395682755</v>
      </c>
      <c r="P26" s="15">
        <v>5357989</v>
      </c>
      <c r="Q26" s="24">
        <f t="shared" si="7"/>
        <v>15633264.017796038</v>
      </c>
      <c r="R26" s="15">
        <f t="shared" si="8"/>
        <v>5357989</v>
      </c>
    </row>
    <row r="27" spans="1:18">
      <c r="A27" s="20" t="s">
        <v>42</v>
      </c>
      <c r="B27" s="4">
        <f>'2010-10'!B27</f>
        <v>63.474250000000012</v>
      </c>
      <c r="C27" s="4">
        <f>'2010-10'!C27</f>
        <v>71.282750000000007</v>
      </c>
      <c r="D27" s="18">
        <f t="shared" si="9"/>
        <v>106924.125</v>
      </c>
      <c r="E27" s="36">
        <f>'Interval Circuities'!J27</f>
        <v>1.3216362304730513</v>
      </c>
      <c r="F27" s="4">
        <f t="shared" si="0"/>
        <v>48.027020246925865</v>
      </c>
      <c r="G27" s="4">
        <f t="shared" si="1"/>
        <v>72.040530370388794</v>
      </c>
      <c r="H27" s="4">
        <f t="shared" si="2"/>
        <v>16304.356984534001</v>
      </c>
      <c r="I27" s="4">
        <f t="shared" si="3"/>
        <v>902.85200083237225</v>
      </c>
      <c r="J27" s="18">
        <v>1013.455139</v>
      </c>
      <c r="K27" s="15">
        <v>915000</v>
      </c>
      <c r="L27" s="24">
        <f t="shared" si="4"/>
        <v>14720421.325771786</v>
      </c>
      <c r="M27" s="24">
        <f t="shared" si="5"/>
        <v>915000</v>
      </c>
      <c r="N27" s="21" t="s">
        <v>92</v>
      </c>
      <c r="O27" s="4">
        <f t="shared" si="6"/>
        <v>548.67648167305799</v>
      </c>
      <c r="P27" s="15">
        <v>556059</v>
      </c>
      <c r="Q27" s="24">
        <f t="shared" si="7"/>
        <v>8945817.2262156643</v>
      </c>
      <c r="R27" s="15">
        <f t="shared" si="8"/>
        <v>556059</v>
      </c>
    </row>
    <row r="28" spans="1:18">
      <c r="A28" s="20" t="s">
        <v>43</v>
      </c>
      <c r="B28" s="4">
        <f>'2010-10'!B28</f>
        <v>67.418750000000003</v>
      </c>
      <c r="C28" s="4">
        <f>'2010-10'!C28</f>
        <v>75.146750000000011</v>
      </c>
      <c r="D28" s="18">
        <f t="shared" si="9"/>
        <v>112720.12500000003</v>
      </c>
      <c r="E28" s="36">
        <f>'Interval Circuities'!J28</f>
        <v>1.2355569211642343</v>
      </c>
      <c r="F28" s="4">
        <f t="shared" si="0"/>
        <v>54.565474762970048</v>
      </c>
      <c r="G28" s="4">
        <f t="shared" si="1"/>
        <v>81.848212144455076</v>
      </c>
      <c r="H28" s="4">
        <f t="shared" si="2"/>
        <v>21045.937063279511</v>
      </c>
      <c r="I28" s="4">
        <f t="shared" si="3"/>
        <v>999.49538906027249</v>
      </c>
      <c r="J28" s="18">
        <v>1035.5225359999999</v>
      </c>
      <c r="K28" s="15">
        <v>1035000</v>
      </c>
      <c r="L28" s="24">
        <f t="shared" si="4"/>
        <v>21035317.053200562</v>
      </c>
      <c r="M28" s="24">
        <f t="shared" si="5"/>
        <v>1035000</v>
      </c>
      <c r="N28" s="21" t="s">
        <v>92</v>
      </c>
      <c r="O28" s="4">
        <f t="shared" si="6"/>
        <v>536.12160112370555</v>
      </c>
      <c r="P28" s="15">
        <v>555166</v>
      </c>
      <c r="Q28" s="24">
        <f t="shared" si="7"/>
        <v>11283181.475514149</v>
      </c>
      <c r="R28" s="15">
        <f t="shared" si="8"/>
        <v>555166</v>
      </c>
    </row>
    <row r="29" spans="1:18">
      <c r="A29" s="20" t="s">
        <v>44</v>
      </c>
      <c r="B29" s="4">
        <f>'2010-10'!B29</f>
        <v>65.688000000000002</v>
      </c>
      <c r="C29" s="4">
        <f>'2010-10'!C29</f>
        <v>72.490250000000003</v>
      </c>
      <c r="D29" s="18">
        <f t="shared" si="9"/>
        <v>108735.375</v>
      </c>
      <c r="E29" s="36">
        <f>'Interval Circuities'!J29</f>
        <v>1.1642077478462736</v>
      </c>
      <c r="F29" s="4">
        <f t="shared" si="0"/>
        <v>56.42291946735412</v>
      </c>
      <c r="G29" s="4">
        <f t="shared" si="1"/>
        <v>84.63437920103118</v>
      </c>
      <c r="H29" s="4">
        <f t="shared" si="2"/>
        <v>22503.159511068621</v>
      </c>
      <c r="I29" s="4">
        <f t="shared" si="3"/>
        <v>1161.3700459353722</v>
      </c>
      <c r="J29" s="18">
        <v>1261.4411789999999</v>
      </c>
      <c r="K29" s="15">
        <v>1465000</v>
      </c>
      <c r="L29" s="24">
        <f t="shared" si="4"/>
        <v>26134495.395060774</v>
      </c>
      <c r="M29" s="24">
        <f t="shared" si="5"/>
        <v>1465000</v>
      </c>
      <c r="N29" s="21" t="s">
        <v>92</v>
      </c>
      <c r="O29" s="4">
        <f t="shared" si="6"/>
        <v>630.29256792638762</v>
      </c>
      <c r="P29" s="15">
        <v>795077</v>
      </c>
      <c r="Q29" s="24">
        <f t="shared" si="7"/>
        <v>14183574.194688555</v>
      </c>
      <c r="R29" s="15">
        <f t="shared" si="8"/>
        <v>795077</v>
      </c>
    </row>
    <row r="30" spans="1:18">
      <c r="A30" s="20" t="s">
        <v>45</v>
      </c>
      <c r="B30" s="4">
        <f>'2010-10'!B30</f>
        <v>55.746250000000003</v>
      </c>
      <c r="C30" s="4">
        <f>'2010-10'!C30</f>
        <v>65.688000000000002</v>
      </c>
      <c r="D30" s="18">
        <f t="shared" si="9"/>
        <v>98532.000000000015</v>
      </c>
      <c r="E30" s="36">
        <f>'Interval Circuities'!J30</f>
        <v>1.2049005979112202</v>
      </c>
      <c r="F30" s="4">
        <f t="shared" si="0"/>
        <v>46.266264699876523</v>
      </c>
      <c r="G30" s="4">
        <f t="shared" si="1"/>
        <v>69.39939704981478</v>
      </c>
      <c r="H30" s="4">
        <f t="shared" si="2"/>
        <v>15130.778275912375</v>
      </c>
      <c r="I30" s="4">
        <f t="shared" si="3"/>
        <v>1090.2344714817029</v>
      </c>
      <c r="J30" s="18">
        <v>2316.0155599999998</v>
      </c>
      <c r="K30" s="15">
        <v>2525000</v>
      </c>
      <c r="L30" s="24">
        <f t="shared" si="4"/>
        <v>16496096.056746161</v>
      </c>
      <c r="M30" s="24">
        <f t="shared" si="5"/>
        <v>2525000</v>
      </c>
      <c r="N30" s="21" t="s">
        <v>92</v>
      </c>
      <c r="O30" s="4">
        <f t="shared" si="6"/>
        <v>725.84961389464934</v>
      </c>
      <c r="P30" s="15">
        <v>1681079</v>
      </c>
      <c r="Q30" s="24">
        <f t="shared" si="7"/>
        <v>10982669.569496546</v>
      </c>
      <c r="R30" s="15">
        <f t="shared" si="8"/>
        <v>1681079</v>
      </c>
    </row>
    <row r="31" spans="1:18">
      <c r="A31" s="20" t="s">
        <v>46</v>
      </c>
      <c r="B31" s="4">
        <f>'2010-10'!B31</f>
        <v>67.579750000000004</v>
      </c>
      <c r="C31" s="4">
        <f>'2010-10'!C31</f>
        <v>75.871250000000003</v>
      </c>
      <c r="D31" s="18">
        <f t="shared" si="9"/>
        <v>113806.875</v>
      </c>
      <c r="E31" s="36">
        <f>'Interval Circuities'!J31</f>
        <v>1.2404771540001511</v>
      </c>
      <c r="F31" s="4">
        <f t="shared" si="0"/>
        <v>54.478834843573246</v>
      </c>
      <c r="G31" s="4">
        <f t="shared" si="1"/>
        <v>81.718252265359865</v>
      </c>
      <c r="H31" s="4">
        <f t="shared" si="2"/>
        <v>20979.15598339041</v>
      </c>
      <c r="I31" s="4">
        <f t="shared" si="3"/>
        <v>891.82610976607054</v>
      </c>
      <c r="J31" s="18">
        <v>1115.688349</v>
      </c>
      <c r="K31" s="15">
        <v>995000</v>
      </c>
      <c r="L31" s="24">
        <f t="shared" si="4"/>
        <v>18709759.066842653</v>
      </c>
      <c r="M31" s="24">
        <f t="shared" si="5"/>
        <v>995000</v>
      </c>
      <c r="N31" s="21" t="s">
        <v>92</v>
      </c>
      <c r="O31" s="4">
        <f t="shared" si="6"/>
        <v>651.34407888308954</v>
      </c>
      <c r="P31" s="15">
        <v>726697</v>
      </c>
      <c r="Q31" s="24">
        <f t="shared" si="7"/>
        <v>13664649.029746084</v>
      </c>
      <c r="R31" s="15">
        <f t="shared" si="8"/>
        <v>726697</v>
      </c>
    </row>
    <row r="32" spans="1:18">
      <c r="A32" s="20" t="s">
        <v>47</v>
      </c>
      <c r="B32" s="4">
        <f>'2010-10'!B32</f>
        <v>56.148750000000007</v>
      </c>
      <c r="C32" s="4">
        <f>'2010-10'!C32</f>
        <v>67.137</v>
      </c>
      <c r="D32" s="18">
        <f t="shared" si="9"/>
        <v>100705.5</v>
      </c>
      <c r="E32" s="36">
        <f>'Interval Circuities'!J32</f>
        <v>1.3966039300244457</v>
      </c>
      <c r="F32" s="4">
        <f t="shared" si="0"/>
        <v>40.203774880554143</v>
      </c>
      <c r="G32" s="4">
        <f t="shared" si="1"/>
        <v>60.305662320831217</v>
      </c>
      <c r="H32" s="4">
        <f t="shared" si="2"/>
        <v>11425.259050403058</v>
      </c>
      <c r="I32" s="4">
        <f t="shared" si="3"/>
        <v>2146.7911124783959</v>
      </c>
      <c r="J32" s="18">
        <v>512.39265599999999</v>
      </c>
      <c r="K32" s="15">
        <v>1100000</v>
      </c>
      <c r="L32" s="24">
        <f t="shared" si="4"/>
        <v>24527644.587168641</v>
      </c>
      <c r="M32" s="24">
        <f t="shared" si="5"/>
        <v>1100000</v>
      </c>
      <c r="N32" s="21" t="s">
        <v>92</v>
      </c>
      <c r="O32" s="4">
        <f t="shared" si="6"/>
        <v>898.57064618037771</v>
      </c>
      <c r="P32" s="15">
        <v>460421</v>
      </c>
      <c r="Q32" s="24">
        <f t="shared" si="7"/>
        <v>10266402.407698885</v>
      </c>
      <c r="R32" s="15">
        <f t="shared" si="8"/>
        <v>460421</v>
      </c>
    </row>
    <row r="33" spans="1:18">
      <c r="A33" s="20" t="s">
        <v>65</v>
      </c>
      <c r="B33" s="4">
        <f>'2010-10'!B33</f>
        <v>55.142500000000005</v>
      </c>
      <c r="C33" s="4">
        <f>'2010-10'!C33</f>
        <v>67.660250000000005</v>
      </c>
      <c r="D33" s="18">
        <f t="shared" si="9"/>
        <v>101490.375</v>
      </c>
      <c r="E33" s="36">
        <f>'Interval Circuities'!J33</f>
        <v>1.2044434075797017</v>
      </c>
      <c r="F33" s="4">
        <f t="shared" si="0"/>
        <v>45.782557862811878</v>
      </c>
      <c r="G33" s="4">
        <f t="shared" si="1"/>
        <v>68.67383679421782</v>
      </c>
      <c r="H33" s="4">
        <f t="shared" si="2"/>
        <v>14816.052107523336</v>
      </c>
      <c r="I33" s="4">
        <f t="shared" si="3"/>
        <v>2098.879805390713</v>
      </c>
      <c r="J33" s="18">
        <v>8683.2032749999998</v>
      </c>
      <c r="K33" s="15">
        <v>18225000</v>
      </c>
      <c r="L33" s="24">
        <f t="shared" si="4"/>
        <v>31097112.564097241</v>
      </c>
      <c r="M33" s="24">
        <f t="shared" si="5"/>
        <v>18225000</v>
      </c>
      <c r="N33" s="21" t="s">
        <v>92</v>
      </c>
      <c r="O33" s="4">
        <f t="shared" si="6"/>
        <v>941.20588234184811</v>
      </c>
      <c r="P33" s="15">
        <f>7737401+435281</f>
        <v>8172682</v>
      </c>
      <c r="Q33" s="24">
        <f t="shared" si="7"/>
        <v>13944955.3966843</v>
      </c>
      <c r="R33" s="15">
        <f t="shared" si="8"/>
        <v>8172682</v>
      </c>
    </row>
    <row r="34" spans="1:18">
      <c r="A34" s="20" t="s">
        <v>66</v>
      </c>
      <c r="B34" s="4">
        <f>'2010-10'!B34</f>
        <v>69.028750000000002</v>
      </c>
      <c r="C34" s="4">
        <f>'2010-10'!C34</f>
        <v>75.951750000000018</v>
      </c>
      <c r="D34" s="18">
        <f t="shared" si="9"/>
        <v>113927.62500000003</v>
      </c>
      <c r="E34" s="36">
        <f>'Interval Circuities'!J34</f>
        <v>1.2192662129771015</v>
      </c>
      <c r="F34" s="4">
        <f t="shared" si="0"/>
        <v>56.614994547787411</v>
      </c>
      <c r="G34" s="4">
        <f t="shared" si="1"/>
        <v>84.92249182168112</v>
      </c>
      <c r="H34" s="4">
        <f t="shared" si="2"/>
        <v>22656.630944347795</v>
      </c>
      <c r="I34" s="4">
        <f t="shared" si="3"/>
        <v>1048.044711192385</v>
      </c>
      <c r="J34" s="18">
        <v>834.88804500000003</v>
      </c>
      <c r="K34" s="15">
        <v>875000</v>
      </c>
      <c r="L34" s="24">
        <f t="shared" si="4"/>
        <v>23745162.234661438</v>
      </c>
      <c r="M34" s="24">
        <f t="shared" si="5"/>
        <v>875000</v>
      </c>
      <c r="N34" s="21" t="s">
        <v>92</v>
      </c>
      <c r="O34" s="4">
        <f t="shared" si="6"/>
        <v>575.97662690211359</v>
      </c>
      <c r="P34" s="15">
        <v>480876</v>
      </c>
      <c r="Q34" s="24">
        <f t="shared" si="7"/>
        <v>13049689.868291492</v>
      </c>
      <c r="R34" s="15">
        <f t="shared" si="8"/>
        <v>480876</v>
      </c>
    </row>
    <row r="35" spans="1:18">
      <c r="A35" s="20" t="s">
        <v>48</v>
      </c>
      <c r="B35" s="4">
        <f>'2010-10'!B35</f>
        <v>58.161250000000003</v>
      </c>
      <c r="C35" s="4">
        <f>'2010-10'!C35</f>
        <v>69.069000000000003</v>
      </c>
      <c r="D35" s="18">
        <f t="shared" si="9"/>
        <v>103603.5</v>
      </c>
      <c r="E35" s="36">
        <f>'Interval Circuities'!J35</f>
        <v>1.2873404494690579</v>
      </c>
      <c r="F35" s="4">
        <f t="shared" si="0"/>
        <v>45.179385161079679</v>
      </c>
      <c r="G35" s="4">
        <f t="shared" si="1"/>
        <v>67.769077741619526</v>
      </c>
      <c r="H35" s="4">
        <f t="shared" si="2"/>
        <v>14428.228896723294</v>
      </c>
      <c r="I35" s="4">
        <f t="shared" si="3"/>
        <v>1197.0074422042101</v>
      </c>
      <c r="J35" s="18">
        <v>1173.7604550000001</v>
      </c>
      <c r="K35" s="15">
        <v>1405000</v>
      </c>
      <c r="L35" s="24">
        <f t="shared" si="4"/>
        <v>17270697.367203623</v>
      </c>
      <c r="M35" s="24">
        <f t="shared" si="5"/>
        <v>1405000</v>
      </c>
      <c r="N35" s="21" t="s">
        <v>92</v>
      </c>
      <c r="O35" s="4">
        <f t="shared" si="6"/>
        <v>800.1002214715096</v>
      </c>
      <c r="P35" s="15">
        <v>939126</v>
      </c>
      <c r="Q35" s="24">
        <f t="shared" si="7"/>
        <v>11544029.135709943</v>
      </c>
      <c r="R35" s="15">
        <f t="shared" si="8"/>
        <v>939126</v>
      </c>
    </row>
    <row r="36" spans="1:18">
      <c r="A36" s="20" t="s">
        <v>67</v>
      </c>
      <c r="B36" s="4">
        <f>'2010-10'!B36</f>
        <v>59.771250000000002</v>
      </c>
      <c r="C36" s="4">
        <f>'2010-10'!C36</f>
        <v>68.062750000000008</v>
      </c>
      <c r="D36" s="18">
        <f t="shared" si="9"/>
        <v>102094.12500000001</v>
      </c>
      <c r="E36" s="36">
        <f>'Interval Circuities'!J36</f>
        <v>1.1493697375302219</v>
      </c>
      <c r="F36" s="4">
        <f t="shared" si="0"/>
        <v>52.003500743317908</v>
      </c>
      <c r="G36" s="4">
        <f t="shared" si="1"/>
        <v>78.005251114976858</v>
      </c>
      <c r="H36" s="4">
        <f t="shared" si="2"/>
        <v>19116.023301887806</v>
      </c>
      <c r="I36" s="4">
        <f t="shared" si="3"/>
        <v>1139.3097942572194</v>
      </c>
      <c r="J36" s="18">
        <v>4660.7165379999997</v>
      </c>
      <c r="K36" s="15">
        <v>5310000</v>
      </c>
      <c r="L36" s="24">
        <f t="shared" si="4"/>
        <v>21779072.57509001</v>
      </c>
      <c r="M36" s="24">
        <f t="shared" si="5"/>
        <v>5310000</v>
      </c>
      <c r="N36" s="21" t="s">
        <v>92</v>
      </c>
      <c r="O36" s="4">
        <f t="shared" si="6"/>
        <v>550.55204045966377</v>
      </c>
      <c r="P36" s="15">
        <v>2565967</v>
      </c>
      <c r="Q36" s="24">
        <f t="shared" si="7"/>
        <v>10524365.63432881</v>
      </c>
      <c r="R36" s="15">
        <f t="shared" si="8"/>
        <v>2565967</v>
      </c>
    </row>
    <row r="37" spans="1:18">
      <c r="A37" s="20" t="s">
        <v>49</v>
      </c>
      <c r="B37" s="4">
        <f>'2010-10'!B37</f>
        <v>63.756000000000007</v>
      </c>
      <c r="C37" s="4">
        <f>'2010-10'!C37</f>
        <v>70.477750000000015</v>
      </c>
      <c r="D37" s="18">
        <f t="shared" si="9"/>
        <v>105716.62500000003</v>
      </c>
      <c r="E37" s="36">
        <f>'Interval Circuities'!J37</f>
        <v>1.2523532277965723</v>
      </c>
      <c r="F37" s="4">
        <f t="shared" si="0"/>
        <v>50.908959696757613</v>
      </c>
      <c r="G37" s="4">
        <f t="shared" si="1"/>
        <v>76.363439545136416</v>
      </c>
      <c r="H37" s="4">
        <f t="shared" si="2"/>
        <v>18319.804543540613</v>
      </c>
      <c r="I37" s="4">
        <f t="shared" si="3"/>
        <v>1655.0541671588298</v>
      </c>
      <c r="J37" s="18">
        <v>2069.418674</v>
      </c>
      <c r="K37" s="15">
        <v>3425000</v>
      </c>
      <c r="L37" s="24">
        <f t="shared" si="4"/>
        <v>30320268.851322155</v>
      </c>
      <c r="M37" s="24">
        <f t="shared" si="5"/>
        <v>3425000</v>
      </c>
      <c r="N37" s="21" t="s">
        <v>92</v>
      </c>
      <c r="O37" s="4">
        <f t="shared" si="6"/>
        <v>794.59561308665377</v>
      </c>
      <c r="P37" s="15">
        <v>1644351</v>
      </c>
      <c r="Q37" s="24">
        <f t="shared" si="7"/>
        <v>14556836.322902318</v>
      </c>
      <c r="R37" s="15">
        <f t="shared" si="8"/>
        <v>1644351</v>
      </c>
    </row>
    <row r="38" spans="1:18">
      <c r="A38" s="20" t="s">
        <v>50</v>
      </c>
      <c r="B38" s="4">
        <f>'2010-10'!B38</f>
        <v>68.465250000000012</v>
      </c>
      <c r="C38" s="4">
        <f>'2010-10'!C38</f>
        <v>76.837250000000012</v>
      </c>
      <c r="D38" s="18">
        <f t="shared" si="9"/>
        <v>115255.87500000001</v>
      </c>
      <c r="E38" s="36">
        <f>'Interval Circuities'!J38</f>
        <v>1.2344561116309156</v>
      </c>
      <c r="F38" s="4">
        <f t="shared" si="0"/>
        <v>55.461874549388696</v>
      </c>
      <c r="G38" s="4">
        <f t="shared" si="1"/>
        <v>83.192811824083037</v>
      </c>
      <c r="H38" s="4">
        <f t="shared" si="2"/>
        <v>21743.100794554372</v>
      </c>
      <c r="I38" s="4">
        <f t="shared" si="3"/>
        <v>822.12384643482994</v>
      </c>
      <c r="J38" s="18">
        <v>2207.6965749999999</v>
      </c>
      <c r="K38" s="15">
        <v>1815000</v>
      </c>
      <c r="L38" s="24">
        <f t="shared" si="4"/>
        <v>17875521.658639248</v>
      </c>
      <c r="M38" s="24">
        <f t="shared" si="5"/>
        <v>1815000</v>
      </c>
      <c r="N38" s="21" t="s">
        <v>92</v>
      </c>
      <c r="O38" s="4">
        <f t="shared" si="6"/>
        <v>483.83732261757939</v>
      </c>
      <c r="P38" s="15">
        <v>1068166</v>
      </c>
      <c r="Q38" s="24">
        <f t="shared" si="7"/>
        <v>10520123.67384135</v>
      </c>
      <c r="R38" s="15">
        <f t="shared" si="8"/>
        <v>1068166</v>
      </c>
    </row>
    <row r="39" spans="1:18">
      <c r="A39" s="20" t="s">
        <v>51</v>
      </c>
      <c r="B39" s="4">
        <f>'2010-10'!B39</f>
        <v>60.938500000000005</v>
      </c>
      <c r="C39" s="4">
        <f>'2010-10'!C39</f>
        <v>71.443750000000009</v>
      </c>
      <c r="D39" s="18">
        <f t="shared" si="9"/>
        <v>107165.625</v>
      </c>
      <c r="E39" s="36">
        <f>'Interval Circuities'!J39</f>
        <v>1.4320189723752634</v>
      </c>
      <c r="F39" s="4">
        <f t="shared" si="0"/>
        <v>42.55425464016195</v>
      </c>
      <c r="G39" s="4">
        <f t="shared" si="1"/>
        <v>63.831381960242922</v>
      </c>
      <c r="H39" s="4">
        <f t="shared" si="2"/>
        <v>12800.247494046915</v>
      </c>
      <c r="I39" s="4">
        <f t="shared" si="3"/>
        <v>1466.3827908170226</v>
      </c>
      <c r="J39" s="18">
        <v>1227.5103140000001</v>
      </c>
      <c r="K39" s="15">
        <v>1800000</v>
      </c>
      <c r="L39" s="24">
        <f t="shared" si="4"/>
        <v>18770062.643469114</v>
      </c>
      <c r="M39" s="24">
        <f t="shared" si="5"/>
        <v>1800000</v>
      </c>
      <c r="N39" s="21" t="s">
        <v>92</v>
      </c>
      <c r="O39" s="4">
        <f t="shared" si="6"/>
        <v>771.73934035066679</v>
      </c>
      <c r="P39" s="15">
        <v>947318</v>
      </c>
      <c r="Q39" s="24">
        <f t="shared" si="7"/>
        <v>9878454.5573810413</v>
      </c>
      <c r="R39" s="15">
        <f t="shared" si="8"/>
        <v>947318</v>
      </c>
    </row>
    <row r="40" spans="1:18">
      <c r="A40" s="20" t="s">
        <v>52</v>
      </c>
      <c r="B40" s="4">
        <f>'2010-10'!B40</f>
        <v>61.542249999999996</v>
      </c>
      <c r="C40" s="4">
        <f>'2010-10'!C40</f>
        <v>68.062750000000008</v>
      </c>
      <c r="D40" s="18">
        <f t="shared" si="9"/>
        <v>102094.12500000001</v>
      </c>
      <c r="E40" s="36">
        <f>'Interval Circuities'!J40</f>
        <v>1.2398242295003903</v>
      </c>
      <c r="F40" s="4">
        <f t="shared" si="0"/>
        <v>49.637882964103362</v>
      </c>
      <c r="G40" s="4">
        <f t="shared" si="1"/>
        <v>74.456824446155039</v>
      </c>
      <c r="H40" s="4">
        <f t="shared" si="2"/>
        <v>17416.420121505667</v>
      </c>
      <c r="I40" s="4">
        <f t="shared" si="3"/>
        <v>954.46089809134196</v>
      </c>
      <c r="J40" s="18">
        <v>1304.4012620000001</v>
      </c>
      <c r="K40" s="15">
        <v>1245000</v>
      </c>
      <c r="L40" s="24">
        <f t="shared" si="4"/>
        <v>16623291.990708418</v>
      </c>
      <c r="M40" s="24">
        <f t="shared" si="5"/>
        <v>1245000</v>
      </c>
      <c r="N40" s="21" t="s">
        <v>92</v>
      </c>
      <c r="O40" s="4">
        <f t="shared" si="6"/>
        <v>487.50566142889852</v>
      </c>
      <c r="P40" s="15">
        <v>635903</v>
      </c>
      <c r="Q40" s="24">
        <f t="shared" si="7"/>
        <v>8490603.4110581968</v>
      </c>
      <c r="R40" s="15">
        <f t="shared" si="8"/>
        <v>635903</v>
      </c>
    </row>
    <row r="41" spans="1:18">
      <c r="A41" s="20" t="s">
        <v>53</v>
      </c>
      <c r="B41" s="4">
        <f>'2010-10'!B41</f>
        <v>67.57974999999999</v>
      </c>
      <c r="C41" s="4">
        <f>'2010-10'!C41</f>
        <v>75.46875</v>
      </c>
      <c r="D41" s="18">
        <f t="shared" si="9"/>
        <v>113203.125</v>
      </c>
      <c r="E41" s="36">
        <f>'Interval Circuities'!J41</f>
        <v>1.1881349038874762</v>
      </c>
      <c r="F41" s="4">
        <f t="shared" si="0"/>
        <v>56.878852543498894</v>
      </c>
      <c r="G41" s="4">
        <f t="shared" si="1"/>
        <v>85.318278815248334</v>
      </c>
      <c r="H41" s="4">
        <f t="shared" si="2"/>
        <v>22868.308575855765</v>
      </c>
      <c r="I41" s="4">
        <f t="shared" si="3"/>
        <v>1238.2323980039887</v>
      </c>
      <c r="J41" s="18">
        <v>827.79291000000001</v>
      </c>
      <c r="K41" s="15">
        <v>1025000</v>
      </c>
      <c r="L41" s="24">
        <f t="shared" si="4"/>
        <v>28316280.566177063</v>
      </c>
      <c r="M41" s="24">
        <f t="shared" si="5"/>
        <v>1025000</v>
      </c>
      <c r="N41" s="21" t="s">
        <v>92</v>
      </c>
      <c r="O41" s="4">
        <f t="shared" si="6"/>
        <v>839.88880745547817</v>
      </c>
      <c r="P41" s="15">
        <f>438888+235541+20825</f>
        <v>695254</v>
      </c>
      <c r="Q41" s="24">
        <f t="shared" si="7"/>
        <v>19206836.418299381</v>
      </c>
      <c r="R41" s="15">
        <f t="shared" si="8"/>
        <v>695254</v>
      </c>
    </row>
    <row r="42" spans="1:18">
      <c r="A42" s="20" t="s">
        <v>82</v>
      </c>
      <c r="B42" s="4">
        <f>'2010-10'!B42</f>
        <v>63.595000000000006</v>
      </c>
      <c r="C42" s="4">
        <f>'2010-10'!C42</f>
        <v>70.84</v>
      </c>
      <c r="D42" s="18">
        <f t="shared" si="9"/>
        <v>106260</v>
      </c>
      <c r="E42" s="36">
        <f>'Interval Circuities'!J42</f>
        <v>1.1976784755170091</v>
      </c>
      <c r="F42" s="4">
        <f t="shared" si="0"/>
        <v>53.098558002010989</v>
      </c>
      <c r="G42" s="4">
        <f t="shared" si="1"/>
        <v>79.647837003016491</v>
      </c>
      <c r="H42" s="4">
        <f t="shared" si="2"/>
        <v>19929.566169981332</v>
      </c>
      <c r="I42" s="4">
        <f t="shared" si="3"/>
        <v>974.56496374961057</v>
      </c>
      <c r="J42" s="18">
        <v>764.44365200000004</v>
      </c>
      <c r="K42" s="15">
        <v>745000</v>
      </c>
      <c r="L42" s="24">
        <f t="shared" si="4"/>
        <v>19422656.931993321</v>
      </c>
      <c r="M42" s="24">
        <f t="shared" si="5"/>
        <v>745000</v>
      </c>
      <c r="N42" s="21" t="s">
        <v>92</v>
      </c>
      <c r="O42" s="4">
        <f t="shared" si="6"/>
        <v>596.12634470539103</v>
      </c>
      <c r="P42" s="15">
        <f>430223+17339+8143</f>
        <v>455705</v>
      </c>
      <c r="Q42" s="24">
        <f t="shared" si="7"/>
        <v>11880539.432475191</v>
      </c>
      <c r="R42" s="15">
        <f t="shared" si="8"/>
        <v>455705</v>
      </c>
    </row>
    <row r="43" spans="1:18">
      <c r="A43" s="20" t="s">
        <v>54</v>
      </c>
      <c r="B43" s="4">
        <f>'2010-10'!B43</f>
        <v>56.873250000000006</v>
      </c>
      <c r="C43" s="4">
        <f>'2010-10'!C43</f>
        <v>65.688000000000017</v>
      </c>
      <c r="D43" s="18">
        <f t="shared" si="9"/>
        <v>98532.000000000029</v>
      </c>
      <c r="E43" s="36">
        <f>'Interval Circuities'!J43</f>
        <v>1.3982014018055617</v>
      </c>
      <c r="F43" s="4">
        <f t="shared" si="0"/>
        <v>40.676006994812738</v>
      </c>
      <c r="G43" s="4">
        <f t="shared" si="1"/>
        <v>61.014010492219107</v>
      </c>
      <c r="H43" s="4">
        <f t="shared" si="2"/>
        <v>11695.236742333374</v>
      </c>
      <c r="I43" s="4">
        <f t="shared" si="3"/>
        <v>1946.0452814625608</v>
      </c>
      <c r="J43" s="18">
        <v>955.78454299999999</v>
      </c>
      <c r="K43" s="15">
        <v>1860000</v>
      </c>
      <c r="L43" s="24">
        <f t="shared" si="4"/>
        <v>22759460.278005432</v>
      </c>
      <c r="M43" s="24">
        <f t="shared" si="5"/>
        <v>1860000</v>
      </c>
      <c r="N43" s="21" t="s">
        <v>92</v>
      </c>
      <c r="O43" s="4">
        <f t="shared" si="6"/>
        <v>727.9443940536712</v>
      </c>
      <c r="P43" s="15">
        <v>695758</v>
      </c>
      <c r="Q43" s="24">
        <f t="shared" si="7"/>
        <v>8513482.0237121005</v>
      </c>
      <c r="R43" s="15">
        <f t="shared" si="8"/>
        <v>695758</v>
      </c>
    </row>
    <row r="44" spans="1:18">
      <c r="A44" s="20" t="s">
        <v>55</v>
      </c>
      <c r="B44" s="4">
        <f>'2010-10'!B44</f>
        <v>78.084999999999994</v>
      </c>
      <c r="C44" s="4">
        <f>'2010-10'!C44</f>
        <v>86.658249999999995</v>
      </c>
      <c r="D44" s="18">
        <f t="shared" si="9"/>
        <v>129987.37499999999</v>
      </c>
      <c r="E44" s="36">
        <f>'Interval Circuities'!J44</f>
        <v>1.3874547008609153</v>
      </c>
      <c r="F44" s="4">
        <f t="shared" si="0"/>
        <v>56.279314886135218</v>
      </c>
      <c r="G44" s="4">
        <f t="shared" si="1"/>
        <v>84.41897232920283</v>
      </c>
      <c r="H44" s="4">
        <f t="shared" si="2"/>
        <v>22388.757617801002</v>
      </c>
      <c r="I44" s="4">
        <f t="shared" si="3"/>
        <v>1631.618994212552</v>
      </c>
      <c r="J44" s="18">
        <v>597.56597799999997</v>
      </c>
      <c r="K44" s="15">
        <v>975000</v>
      </c>
      <c r="L44" s="24">
        <f t="shared" si="4"/>
        <v>36529922.186025083</v>
      </c>
      <c r="M44" s="24">
        <f t="shared" si="5"/>
        <v>975000</v>
      </c>
      <c r="N44" s="21" t="s">
        <v>92</v>
      </c>
      <c r="O44" s="4">
        <f t="shared" si="6"/>
        <v>1202.6186671557798</v>
      </c>
      <c r="P44" s="15">
        <f>563242+155402</f>
        <v>718644</v>
      </c>
      <c r="Q44" s="24">
        <f t="shared" si="7"/>
        <v>26925137.845593654</v>
      </c>
      <c r="R44" s="15">
        <f t="shared" si="8"/>
        <v>718644</v>
      </c>
    </row>
    <row r="45" spans="1:18">
      <c r="A45" s="20" t="s">
        <v>68</v>
      </c>
      <c r="B45" s="4">
        <f>'2010-10'!B45</f>
        <v>64.078000000000003</v>
      </c>
      <c r="C45" s="4">
        <f>'2010-10'!C45</f>
        <v>74.422249999999991</v>
      </c>
      <c r="D45" s="18">
        <f t="shared" si="9"/>
        <v>111633.37499999999</v>
      </c>
      <c r="E45" s="36">
        <f>'Interval Circuities'!J45</f>
        <v>1.2491587964112882</v>
      </c>
      <c r="F45" s="4">
        <f t="shared" si="0"/>
        <v>51.296920923176351</v>
      </c>
      <c r="G45" s="4">
        <f t="shared" si="1"/>
        <v>76.945381384764531</v>
      </c>
      <c r="H45" s="4">
        <f t="shared" si="2"/>
        <v>18600.087441294065</v>
      </c>
      <c r="I45" s="4">
        <f t="shared" si="3"/>
        <v>1373.6608426756356</v>
      </c>
      <c r="J45" s="18">
        <v>1055.5735119999999</v>
      </c>
      <c r="K45" s="15">
        <v>1450000</v>
      </c>
      <c r="L45" s="24">
        <f t="shared" si="4"/>
        <v>25550211.788448513</v>
      </c>
      <c r="M45" s="24">
        <f t="shared" si="5"/>
        <v>1450000</v>
      </c>
      <c r="N45" s="21" t="s">
        <v>92</v>
      </c>
      <c r="O45" s="4">
        <f t="shared" si="6"/>
        <v>697.12529883944273</v>
      </c>
      <c r="P45" s="15">
        <v>735867</v>
      </c>
      <c r="Q45" s="24">
        <f t="shared" si="7"/>
        <v>12966591.51595189</v>
      </c>
      <c r="R45" s="15">
        <f t="shared" si="8"/>
        <v>735867</v>
      </c>
    </row>
    <row r="46" spans="1:18">
      <c r="A46" s="20" t="s">
        <v>69</v>
      </c>
      <c r="B46" s="4">
        <f>'2010-10'!B46</f>
        <v>60.495750000000008</v>
      </c>
      <c r="C46" s="4">
        <f>'2010-10'!C46</f>
        <v>69.672750000000008</v>
      </c>
      <c r="D46" s="18">
        <f t="shared" si="9"/>
        <v>104509.12500000001</v>
      </c>
      <c r="E46" s="36">
        <f>'Interval Circuities'!J46</f>
        <v>1.3874839144677951</v>
      </c>
      <c r="F46" s="4">
        <f t="shared" si="0"/>
        <v>43.601046015156655</v>
      </c>
      <c r="G46" s="4">
        <f t="shared" si="1"/>
        <v>65.401569022734975</v>
      </c>
      <c r="H46" s="4">
        <f t="shared" si="2"/>
        <v>13437.739185285109</v>
      </c>
      <c r="I46" s="4">
        <f t="shared" si="3"/>
        <v>1455.9905696507528</v>
      </c>
      <c r="J46" s="18">
        <v>2026.112024</v>
      </c>
      <c r="K46" s="15">
        <v>2950000</v>
      </c>
      <c r="L46" s="24">
        <f t="shared" si="4"/>
        <v>19565221.531201508</v>
      </c>
      <c r="M46" s="24">
        <f t="shared" si="5"/>
        <v>2950000</v>
      </c>
      <c r="N46" s="21" t="s">
        <v>92</v>
      </c>
      <c r="O46" s="4">
        <f t="shared" si="6"/>
        <v>586.57319334876024</v>
      </c>
      <c r="P46" s="15">
        <v>1188463</v>
      </c>
      <c r="Q46" s="24">
        <f t="shared" si="7"/>
        <v>7882217.5853004539</v>
      </c>
      <c r="R46" s="15">
        <f t="shared" si="8"/>
        <v>1188463</v>
      </c>
    </row>
    <row r="47" spans="1:18" ht="16">
      <c r="A47" s="20" t="s">
        <v>114</v>
      </c>
      <c r="B47" s="4">
        <f>'2010-10'!B47</f>
        <v>53.250750000000011</v>
      </c>
      <c r="C47" s="4">
        <f>'2010-10'!C47</f>
        <v>64.118250000000003</v>
      </c>
      <c r="D47" s="18">
        <f t="shared" si="9"/>
        <v>96177.375000000015</v>
      </c>
      <c r="E47" s="36">
        <f>'Interval Circuities'!J47</f>
        <v>1.3798353964556946</v>
      </c>
      <c r="F47" s="4">
        <f t="shared" si="0"/>
        <v>38.592103186207723</v>
      </c>
      <c r="G47" s="4">
        <f t="shared" si="1"/>
        <v>57.888154779311584</v>
      </c>
      <c r="H47" s="4">
        <f t="shared" si="2"/>
        <v>10527.597819624931</v>
      </c>
      <c r="I47" s="4">
        <f t="shared" si="3"/>
        <v>4044.244551759617</v>
      </c>
      <c r="J47" s="18">
        <v>1107.747057</v>
      </c>
      <c r="K47" s="15">
        <v>4480000</v>
      </c>
      <c r="L47" s="24">
        <f t="shared" si="4"/>
        <v>42576180.12513455</v>
      </c>
      <c r="M47" s="24">
        <f t="shared" si="5"/>
        <v>4480000</v>
      </c>
      <c r="N47" s="21" t="s">
        <v>92</v>
      </c>
      <c r="O47" s="4">
        <f t="shared" si="6"/>
        <v>1773.2504795090599</v>
      </c>
      <c r="P47" s="15">
        <v>1964313</v>
      </c>
      <c r="Q47" s="24">
        <f t="shared" si="7"/>
        <v>18668067.881728441</v>
      </c>
      <c r="R47" s="15">
        <f t="shared" si="8"/>
        <v>1964313</v>
      </c>
    </row>
    <row r="48" spans="1:18" ht="16">
      <c r="A48" s="20" t="s">
        <v>72</v>
      </c>
      <c r="B48" s="4">
        <f>'2010-10'!B48</f>
        <v>63.71575</v>
      </c>
      <c r="C48" s="4">
        <f>'2010-10'!C48</f>
        <v>74.382000000000005</v>
      </c>
      <c r="D48" s="18">
        <f t="shared" si="9"/>
        <v>111573.00000000001</v>
      </c>
      <c r="E48" s="36">
        <f>'Interval Circuities'!J48</f>
        <v>1.3538688331181019</v>
      </c>
      <c r="F48" s="4">
        <f t="shared" si="0"/>
        <v>47.061981516522501</v>
      </c>
      <c r="G48" s="4">
        <f t="shared" si="1"/>
        <v>70.592972274783747</v>
      </c>
      <c r="H48" s="4">
        <f t="shared" si="2"/>
        <v>15655.711465119286</v>
      </c>
      <c r="I48" s="4">
        <f t="shared" si="3"/>
        <v>2530.8612515940731</v>
      </c>
      <c r="J48" s="18">
        <v>673.68371100000002</v>
      </c>
      <c r="K48" s="15">
        <v>1705000</v>
      </c>
      <c r="L48" s="24">
        <f t="shared" si="4"/>
        <v>39622433.513207473</v>
      </c>
      <c r="M48" s="24">
        <f t="shared" si="5"/>
        <v>1705000</v>
      </c>
      <c r="N48" s="21" t="s">
        <v>92</v>
      </c>
      <c r="O48" s="4">
        <f t="shared" si="6"/>
        <v>1384.3499327238446</v>
      </c>
      <c r="P48" s="15">
        <v>932614</v>
      </c>
      <c r="Q48" s="24">
        <f t="shared" si="7"/>
        <v>21672983.113481808</v>
      </c>
      <c r="R48" s="15">
        <f t="shared" si="8"/>
        <v>932614</v>
      </c>
    </row>
    <row r="49" spans="1:18">
      <c r="A49" s="20" t="s">
        <v>56</v>
      </c>
      <c r="B49" s="4">
        <f>'2010-10'!B49</f>
        <v>52.928750000000001</v>
      </c>
      <c r="C49" s="4">
        <f>'2010-10'!C49</f>
        <v>63.23275000000001</v>
      </c>
      <c r="D49" s="18">
        <f t="shared" si="9"/>
        <v>94849.125000000015</v>
      </c>
      <c r="E49" s="36">
        <f>'Interval Circuities'!J49</f>
        <v>1.3877189496448212</v>
      </c>
      <c r="F49" s="4">
        <f t="shared" si="0"/>
        <v>38.140828165203637</v>
      </c>
      <c r="G49" s="4">
        <f t="shared" si="1"/>
        <v>57.211242247805458</v>
      </c>
      <c r="H49" s="4">
        <f t="shared" si="2"/>
        <v>10282.829348401676</v>
      </c>
      <c r="I49" s="4">
        <f t="shared" si="3"/>
        <v>1255.1211285274092</v>
      </c>
      <c r="J49" s="18">
        <v>2469.8811369999999</v>
      </c>
      <c r="K49" s="15">
        <v>3100000</v>
      </c>
      <c r="L49" s="24">
        <f t="shared" si="4"/>
        <v>12906196.376220675</v>
      </c>
      <c r="M49" s="24">
        <f t="shared" si="5"/>
        <v>3100000</v>
      </c>
      <c r="N49" s="21" t="s">
        <v>92</v>
      </c>
      <c r="O49" s="4">
        <f t="shared" si="6"/>
        <v>637.55537722461668</v>
      </c>
      <c r="P49" s="15">
        <v>1574686</v>
      </c>
      <c r="Q49" s="24">
        <f t="shared" si="7"/>
        <v>6555873.1441565901</v>
      </c>
      <c r="R49" s="15">
        <f t="shared" si="8"/>
        <v>1574686</v>
      </c>
    </row>
    <row r="50" spans="1:18">
      <c r="A50" s="20" t="s">
        <v>76</v>
      </c>
      <c r="B50" s="4">
        <f>'2010-10'!B50</f>
        <v>60.375000000000007</v>
      </c>
      <c r="C50" s="4">
        <f>'2010-10'!C50</f>
        <v>66.814999999999998</v>
      </c>
      <c r="D50" s="18">
        <f t="shared" si="9"/>
        <v>100222.5</v>
      </c>
      <c r="E50" s="36">
        <f>'Interval Circuities'!J50</f>
        <v>1.2208577984067597</v>
      </c>
      <c r="F50" s="4">
        <f t="shared" si="0"/>
        <v>49.452933895159958</v>
      </c>
      <c r="G50" s="4">
        <f t="shared" si="1"/>
        <v>74.179400842739938</v>
      </c>
      <c r="H50" s="4">
        <f t="shared" si="2"/>
        <v>17286.875928857327</v>
      </c>
      <c r="I50" s="4">
        <f t="shared" si="3"/>
        <v>1874.9988406660766</v>
      </c>
      <c r="J50" s="18">
        <v>2890.6684540000001</v>
      </c>
      <c r="K50" s="15">
        <v>5420000</v>
      </c>
      <c r="L50" s="24">
        <f t="shared" si="4"/>
        <v>32412872.325345796</v>
      </c>
      <c r="M50" s="24">
        <f t="shared" si="5"/>
        <v>5420000</v>
      </c>
      <c r="N50" s="21" t="s">
        <v>92</v>
      </c>
      <c r="O50" s="4">
        <f t="shared" si="6"/>
        <v>693.05838143691869</v>
      </c>
      <c r="P50" s="15">
        <v>2003402</v>
      </c>
      <c r="Q50" s="24">
        <f t="shared" si="7"/>
        <v>11980814.251354691</v>
      </c>
      <c r="R50" s="15">
        <f t="shared" si="8"/>
        <v>2003402</v>
      </c>
    </row>
    <row r="51" spans="1:18">
      <c r="A51" s="20" t="s">
        <v>57</v>
      </c>
      <c r="B51" s="4">
        <f>'2010-10'!B51</f>
        <v>59.771250000000002</v>
      </c>
      <c r="C51" s="4">
        <f>'2010-10'!C51</f>
        <v>67.539500000000004</v>
      </c>
      <c r="D51" s="18">
        <f t="shared" si="9"/>
        <v>101309.25</v>
      </c>
      <c r="E51" s="36">
        <f>'Interval Circuities'!J51</f>
        <v>1.286841212715055</v>
      </c>
      <c r="F51" s="4">
        <f t="shared" si="0"/>
        <v>46.448038351127273</v>
      </c>
      <c r="G51" s="4">
        <f t="shared" si="1"/>
        <v>69.672057526690907</v>
      </c>
      <c r="H51" s="4">
        <f t="shared" si="2"/>
        <v>15249.905236055836</v>
      </c>
      <c r="I51" s="4">
        <f t="shared" si="3"/>
        <v>1031.684545690754</v>
      </c>
      <c r="J51" s="18">
        <v>2146.9741009999998</v>
      </c>
      <c r="K51" s="15">
        <v>2215000</v>
      </c>
      <c r="L51" s="24">
        <f t="shared" si="4"/>
        <v>15733091.555287316</v>
      </c>
      <c r="M51" s="24">
        <f t="shared" si="5"/>
        <v>2215000</v>
      </c>
      <c r="N51" s="21" t="s">
        <v>92</v>
      </c>
      <c r="O51" s="4">
        <f t="shared" si="6"/>
        <v>587.96843399835689</v>
      </c>
      <c r="P51" s="15">
        <v>1262353</v>
      </c>
      <c r="Q51" s="24">
        <f t="shared" si="7"/>
        <v>8966462.9002670925</v>
      </c>
      <c r="R51" s="15">
        <f t="shared" si="8"/>
        <v>1262353</v>
      </c>
    </row>
    <row r="52" spans="1:18">
      <c r="A52" s="20" t="s">
        <v>71</v>
      </c>
      <c r="B52" s="4">
        <f>'2010-10'!B52</f>
        <v>61.099500000000006</v>
      </c>
      <c r="C52" s="4">
        <f>'2010-10'!C52</f>
        <v>68.384749999999997</v>
      </c>
      <c r="D52" s="18">
        <f t="shared" si="9"/>
        <v>102577.125</v>
      </c>
      <c r="E52" s="36">
        <f>'Interval Circuities'!J52</f>
        <v>1.2582428496249867</v>
      </c>
      <c r="F52" s="4">
        <f t="shared" si="0"/>
        <v>48.55938582779185</v>
      </c>
      <c r="G52" s="4">
        <f t="shared" si="1"/>
        <v>72.839078741687771</v>
      </c>
      <c r="H52" s="4">
        <f t="shared" si="2"/>
        <v>16667.818444301796</v>
      </c>
      <c r="I52" s="4">
        <f t="shared" si="3"/>
        <v>1116.5255971867098</v>
      </c>
      <c r="J52" s="18">
        <v>2077.87444</v>
      </c>
      <c r="K52" s="15">
        <v>2320000</v>
      </c>
      <c r="L52" s="24">
        <f t="shared" si="4"/>
        <v>18610045.942323718</v>
      </c>
      <c r="M52" s="24">
        <f t="shared" si="5"/>
        <v>2320000</v>
      </c>
      <c r="N52" s="21" t="s">
        <v>92</v>
      </c>
      <c r="O52" s="4">
        <f t="shared" si="6"/>
        <v>483.81316052956498</v>
      </c>
      <c r="P52" s="15">
        <v>1005303</v>
      </c>
      <c r="Q52" s="24">
        <f t="shared" si="7"/>
        <v>8064109.9206706295</v>
      </c>
      <c r="R52" s="15">
        <f t="shared" si="8"/>
        <v>1005303</v>
      </c>
    </row>
    <row r="53" spans="1:18" ht="16">
      <c r="A53" s="20" t="s">
        <v>117</v>
      </c>
      <c r="B53" s="4">
        <f>'2010-10'!B53</f>
        <v>57.074500000000008</v>
      </c>
      <c r="C53" s="4">
        <f>'2010-10'!C53</f>
        <v>69.189749999999989</v>
      </c>
      <c r="D53" s="18">
        <f t="shared" si="9"/>
        <v>103784.62499999997</v>
      </c>
      <c r="E53" s="36">
        <f>'Interval Circuities'!J53</f>
        <v>1.2618164588235785</v>
      </c>
      <c r="F53" s="4">
        <f t="shared" si="0"/>
        <v>45.232014213233455</v>
      </c>
      <c r="G53" s="4">
        <f t="shared" si="1"/>
        <v>67.848021319850176</v>
      </c>
      <c r="H53" s="4">
        <f t="shared" si="2"/>
        <v>14461.86309890761</v>
      </c>
      <c r="I53" s="4">
        <f t="shared" si="3"/>
        <v>1445.2558415588917</v>
      </c>
      <c r="J53" s="18">
        <v>2996.0093400000001</v>
      </c>
      <c r="K53" s="15">
        <v>4330000</v>
      </c>
      <c r="L53" s="24">
        <f t="shared" si="4"/>
        <v>20901092.123521198</v>
      </c>
      <c r="M53" s="24">
        <f t="shared" si="5"/>
        <v>4330000</v>
      </c>
      <c r="N53" s="21" t="s">
        <v>92</v>
      </c>
      <c r="O53" s="4">
        <f t="shared" si="6"/>
        <v>824.50343762947011</v>
      </c>
      <c r="P53" s="15">
        <v>2470220</v>
      </c>
      <c r="Q53" s="24">
        <f t="shared" si="7"/>
        <v>11923855.839576107</v>
      </c>
      <c r="R53" s="15">
        <f t="shared" si="8"/>
        <v>2470220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5"/>
  <sheetViews>
    <sheetView workbookViewId="0">
      <selection activeCell="H2" sqref="H2"/>
    </sheetView>
  </sheetViews>
  <sheetFormatPr baseColWidth="10" defaultColWidth="11.5" defaultRowHeight="14" x14ac:dyDescent="0"/>
  <cols>
    <col min="9" max="11" width="11.5" style="20"/>
    <col min="18" max="21" width="11.5" style="20"/>
    <col min="26" max="26" width="23.83203125" customWidth="1"/>
  </cols>
  <sheetData>
    <row r="1" spans="1:33">
      <c r="A1" s="31" t="s">
        <v>16</v>
      </c>
      <c r="B1" s="31" t="s">
        <v>134</v>
      </c>
      <c r="C1" s="31" t="s">
        <v>135</v>
      </c>
      <c r="D1" s="31" t="s">
        <v>136</v>
      </c>
      <c r="E1" s="31" t="s">
        <v>137</v>
      </c>
      <c r="F1" s="31" t="s">
        <v>138</v>
      </c>
      <c r="G1" s="31" t="s">
        <v>139</v>
      </c>
      <c r="H1" s="31" t="s">
        <v>151</v>
      </c>
      <c r="I1" s="31" t="s">
        <v>152</v>
      </c>
      <c r="J1" s="31" t="s">
        <v>153</v>
      </c>
      <c r="K1" s="31"/>
      <c r="L1" s="31" t="s">
        <v>134</v>
      </c>
      <c r="M1" s="31" t="s">
        <v>140</v>
      </c>
      <c r="N1" s="31" t="s">
        <v>141</v>
      </c>
      <c r="O1" s="31" t="s">
        <v>142</v>
      </c>
      <c r="P1" s="31" t="s">
        <v>143</v>
      </c>
      <c r="Q1" s="31" t="s">
        <v>144</v>
      </c>
      <c r="R1" s="31" t="s">
        <v>154</v>
      </c>
      <c r="S1" s="31" t="s">
        <v>155</v>
      </c>
      <c r="T1" s="31" t="s">
        <v>156</v>
      </c>
      <c r="U1" s="31"/>
      <c r="V1" s="31" t="s">
        <v>145</v>
      </c>
      <c r="W1" s="31"/>
      <c r="X1" s="31" t="s">
        <v>147</v>
      </c>
      <c r="Y1" s="31" t="s">
        <v>130</v>
      </c>
      <c r="Z1" s="31" t="s">
        <v>16</v>
      </c>
      <c r="AA1" s="31">
        <v>10</v>
      </c>
      <c r="AB1" s="31">
        <v>20</v>
      </c>
      <c r="AC1" s="31">
        <v>30</v>
      </c>
      <c r="AD1" s="31">
        <v>40</v>
      </c>
      <c r="AE1" s="31">
        <v>50</v>
      </c>
      <c r="AF1" s="31">
        <v>60</v>
      </c>
      <c r="AG1" s="31" t="str">
        <f>Z1</f>
        <v>Area</v>
      </c>
    </row>
    <row r="2" spans="1:33">
      <c r="A2" s="20" t="s">
        <v>26</v>
      </c>
      <c r="B2" s="15">
        <f>'2010-10'!$R3</f>
        <v>48864.676000638239</v>
      </c>
      <c r="C2" s="15">
        <f>'2010-20'!$R3</f>
        <v>293394.93009255792</v>
      </c>
      <c r="D2" s="15">
        <f>'2010-30'!$R3</f>
        <v>703365.21069636918</v>
      </c>
      <c r="E2" s="15">
        <f>'2010-40'!$R3</f>
        <v>1304762.7269290292</v>
      </c>
      <c r="F2" s="15">
        <f>'2010-50'!$R3</f>
        <v>2106490.2319470099</v>
      </c>
      <c r="G2" s="15">
        <f>'2010-60'!$R3</f>
        <v>2218090</v>
      </c>
      <c r="H2" s="15">
        <f>'2010-70'!$R3</f>
        <v>2218090</v>
      </c>
      <c r="I2" s="15">
        <f>'2010-80'!$R3</f>
        <v>2218090</v>
      </c>
      <c r="J2" s="15">
        <f>'2010-90'!$R3</f>
        <v>2218090</v>
      </c>
      <c r="L2" s="15">
        <f>B2</f>
        <v>48864.676000638239</v>
      </c>
      <c r="M2" s="15">
        <f>C2-B2</f>
        <v>244530.25409191969</v>
      </c>
      <c r="N2" s="15">
        <f>D2-C2</f>
        <v>409970.28060381126</v>
      </c>
      <c r="O2" s="15">
        <f>E2-D2</f>
        <v>601397.51623266004</v>
      </c>
      <c r="P2" s="15">
        <f>F2-E2</f>
        <v>801727.5050179807</v>
      </c>
      <c r="Q2" s="15">
        <f>G2-F2</f>
        <v>111599.76805299008</v>
      </c>
      <c r="R2" s="15">
        <f t="shared" ref="R2:R52" si="0">H2-G2</f>
        <v>0</v>
      </c>
      <c r="S2" s="15">
        <f t="shared" ref="S2:S52" si="1">I2-H2</f>
        <v>0</v>
      </c>
      <c r="T2" s="15">
        <f t="shared" ref="T2:T52" si="2">J2-I2</f>
        <v>0</v>
      </c>
      <c r="U2" s="15"/>
      <c r="V2" s="15">
        <f>T2+S2+R2+Q2+P2+O2+N2+M2+L2</f>
        <v>2218090.0000000005</v>
      </c>
      <c r="X2" s="15">
        <f t="shared" ref="X2:X33" si="3">L2*EXP(Beta*10)+M2*EXP(Beta*20)+N2*EXP(Beta*30)+O2*EXP(Beta*40)+P2*EXP(Beta*50)+Q2*EXP(Beta*60)+R2*EXP(Beta*70)+S2*EXP(Beta*80)+T2*EXP(Beta*90)</f>
        <v>148634.66342030029</v>
      </c>
      <c r="Y2">
        <f>RANK(X2,$X$2:$X$52)</f>
        <v>34</v>
      </c>
      <c r="Z2" t="str">
        <f>A2</f>
        <v>Atlanta</v>
      </c>
      <c r="AA2">
        <f t="shared" ref="AA2:AF2" si="4">RANK(B2,B$2:B$52)</f>
        <v>51</v>
      </c>
      <c r="AB2" s="20">
        <f t="shared" si="4"/>
        <v>50</v>
      </c>
      <c r="AC2" s="20">
        <f t="shared" si="4"/>
        <v>35</v>
      </c>
      <c r="AD2" s="20">
        <f t="shared" si="4"/>
        <v>14</v>
      </c>
      <c r="AE2" s="20">
        <f t="shared" si="4"/>
        <v>9</v>
      </c>
      <c r="AF2" s="20">
        <f t="shared" si="4"/>
        <v>9</v>
      </c>
      <c r="AG2" s="20" t="str">
        <f t="shared" ref="AG2:AG52" si="5">Z2</f>
        <v>Atlanta</v>
      </c>
    </row>
    <row r="3" spans="1:33">
      <c r="A3" s="20" t="s">
        <v>27</v>
      </c>
      <c r="B3" s="15">
        <f>'2010-10'!R4</f>
        <v>80615.278455956839</v>
      </c>
      <c r="C3" s="15">
        <f>'2010-20'!$R4</f>
        <v>584101.70727095124</v>
      </c>
      <c r="D3" s="15">
        <f>'2010-30'!$R4</f>
        <v>656057</v>
      </c>
      <c r="E3" s="15">
        <f>'2010-40'!$R4</f>
        <v>656057</v>
      </c>
      <c r="F3" s="15">
        <f>'2010-50'!$R4</f>
        <v>656057</v>
      </c>
      <c r="G3" s="15">
        <f>'2010-60'!$R4</f>
        <v>656057</v>
      </c>
      <c r="H3" s="15">
        <f>'2010-70'!$R4</f>
        <v>656057</v>
      </c>
      <c r="I3" s="15">
        <f>'2010-80'!$R4</f>
        <v>656057</v>
      </c>
      <c r="J3" s="15">
        <f>'2010-90'!$R4</f>
        <v>656057</v>
      </c>
      <c r="L3" s="15">
        <f t="shared" ref="L3:L52" si="6">B3</f>
        <v>80615.278455956839</v>
      </c>
      <c r="M3" s="15">
        <f t="shared" ref="M3:M52" si="7">C3-B3</f>
        <v>503486.4288149944</v>
      </c>
      <c r="N3" s="15">
        <f t="shared" ref="N3:N52" si="8">D3-C3</f>
        <v>71955.292729048757</v>
      </c>
      <c r="O3" s="15">
        <f t="shared" ref="O3:O52" si="9">E3-D3</f>
        <v>0</v>
      </c>
      <c r="P3" s="15">
        <f t="shared" ref="P3:P52" si="10">F3-E3</f>
        <v>0</v>
      </c>
      <c r="Q3" s="15">
        <f t="shared" ref="Q3:Q52" si="11">G3-F3</f>
        <v>0</v>
      </c>
      <c r="R3" s="15">
        <f t="shared" si="0"/>
        <v>0</v>
      </c>
      <c r="S3" s="15">
        <f t="shared" si="1"/>
        <v>0</v>
      </c>
      <c r="T3" s="15">
        <f t="shared" si="2"/>
        <v>0</v>
      </c>
      <c r="U3" s="15"/>
      <c r="V3" s="15">
        <f t="shared" ref="V3:V52" si="12">T3+S3+R3+Q3+P3+O3+N3+M3+L3</f>
        <v>656057</v>
      </c>
      <c r="X3" s="15">
        <f t="shared" si="3"/>
        <v>144402.57328066762</v>
      </c>
      <c r="Y3" s="20">
        <f t="shared" ref="Y3:Y52" si="13">RANK(X3,$X$2:$X$52)</f>
        <v>36</v>
      </c>
      <c r="Z3" s="20" t="str">
        <f t="shared" ref="Z3:Z52" si="14">A3</f>
        <v>Austin</v>
      </c>
      <c r="AA3" s="20">
        <f t="shared" ref="AA3:AA52" si="15">RANK(B3,B$2:B$52)</f>
        <v>39</v>
      </c>
      <c r="AB3" s="20">
        <f t="shared" ref="AB3:AB17" si="16">RANK(C3,C$2:C$52)</f>
        <v>14</v>
      </c>
      <c r="AC3" s="20">
        <f t="shared" ref="AC3:AC17" si="17">RANK(D3,D$2:D$52)</f>
        <v>39</v>
      </c>
      <c r="AD3" s="20">
        <f t="shared" ref="AD3:AD17" si="18">RANK(E3,E$2:E$52)</f>
        <v>39</v>
      </c>
      <c r="AE3" s="20">
        <f t="shared" ref="AE3:AE17" si="19">RANK(F3,F$2:F$52)</f>
        <v>39</v>
      </c>
      <c r="AF3" s="20">
        <f t="shared" ref="AF3:AF17" si="20">RANK(G3,G$2:G$52)</f>
        <v>39</v>
      </c>
      <c r="AG3" s="20" t="str">
        <f t="shared" si="5"/>
        <v>Austin</v>
      </c>
    </row>
    <row r="4" spans="1:33">
      <c r="A4" s="20" t="s">
        <v>28</v>
      </c>
      <c r="B4" s="15">
        <f>'2010-10'!R5</f>
        <v>98704.915389975664</v>
      </c>
      <c r="C4" s="15">
        <f>'2010-20'!$R5</f>
        <v>462207.1253400275</v>
      </c>
      <c r="D4" s="15">
        <f>'2010-30'!$R5</f>
        <v>1102378.8147905807</v>
      </c>
      <c r="E4" s="15">
        <f>'2010-40'!$R5</f>
        <v>1121920</v>
      </c>
      <c r="F4" s="15">
        <f>'2010-50'!$R5</f>
        <v>1121920</v>
      </c>
      <c r="G4" s="15">
        <f>'2010-60'!$R5</f>
        <v>1121920</v>
      </c>
      <c r="H4" s="15">
        <f>'2010-70'!$R5</f>
        <v>1121920</v>
      </c>
      <c r="I4" s="15">
        <f>'2010-80'!$R5</f>
        <v>1121920</v>
      </c>
      <c r="J4" s="15">
        <f>'2010-90'!$R5</f>
        <v>1121920</v>
      </c>
      <c r="L4" s="15">
        <f t="shared" si="6"/>
        <v>98704.915389975664</v>
      </c>
      <c r="M4" s="15">
        <f t="shared" si="7"/>
        <v>363502.20995005185</v>
      </c>
      <c r="N4" s="15">
        <f t="shared" si="8"/>
        <v>640171.68945055315</v>
      </c>
      <c r="O4" s="15">
        <f t="shared" si="9"/>
        <v>19541.185209419345</v>
      </c>
      <c r="P4" s="15">
        <f t="shared" si="10"/>
        <v>0</v>
      </c>
      <c r="Q4" s="15">
        <f t="shared" si="11"/>
        <v>0</v>
      </c>
      <c r="R4" s="15">
        <f t="shared" si="0"/>
        <v>0</v>
      </c>
      <c r="S4" s="15">
        <f t="shared" si="1"/>
        <v>0</v>
      </c>
      <c r="T4" s="15">
        <f t="shared" si="2"/>
        <v>0</v>
      </c>
      <c r="U4" s="15"/>
      <c r="V4" s="15">
        <f t="shared" si="12"/>
        <v>1121920</v>
      </c>
      <c r="X4" s="15">
        <f t="shared" si="3"/>
        <v>176612.41505599834</v>
      </c>
      <c r="Y4" s="20">
        <f t="shared" si="13"/>
        <v>22</v>
      </c>
      <c r="Z4" s="20" t="str">
        <f t="shared" si="14"/>
        <v>Baltimore</v>
      </c>
      <c r="AA4" s="20">
        <f t="shared" si="15"/>
        <v>21</v>
      </c>
      <c r="AB4" s="20">
        <f t="shared" si="16"/>
        <v>28</v>
      </c>
      <c r="AC4" s="20">
        <f t="shared" si="17"/>
        <v>8</v>
      </c>
      <c r="AD4" s="20">
        <f t="shared" si="18"/>
        <v>19</v>
      </c>
      <c r="AE4" s="20">
        <f t="shared" si="19"/>
        <v>19</v>
      </c>
      <c r="AF4" s="20">
        <f t="shared" si="20"/>
        <v>19</v>
      </c>
      <c r="AG4" s="20" t="str">
        <f t="shared" si="5"/>
        <v>Baltimore</v>
      </c>
    </row>
    <row r="5" spans="1:33">
      <c r="A5" s="20" t="s">
        <v>29</v>
      </c>
      <c r="B5" s="15">
        <f>'2010-10'!R6</f>
        <v>85838.179425667782</v>
      </c>
      <c r="C5" s="15">
        <f>'2010-20'!$R6</f>
        <v>409297.44143858372</v>
      </c>
      <c r="D5" s="15">
        <f>'2010-30'!$R6</f>
        <v>969775.4684916751</v>
      </c>
      <c r="E5" s="15">
        <f>'2010-40'!$R6</f>
        <v>1775900.7150954111</v>
      </c>
      <c r="F5" s="15">
        <f>'2010-50'!$R6</f>
        <v>2831461.3795554163</v>
      </c>
      <c r="G5" s="15">
        <f>'2010-60'!$R6</f>
        <v>2902747</v>
      </c>
      <c r="H5" s="15">
        <f>'2010-70'!$R6</f>
        <v>2902747</v>
      </c>
      <c r="I5" s="15">
        <f>'2010-80'!$R6</f>
        <v>2902747</v>
      </c>
      <c r="J5" s="15">
        <f>'2010-90'!$R6</f>
        <v>2902747</v>
      </c>
      <c r="L5" s="15">
        <f t="shared" si="6"/>
        <v>85838.179425667782</v>
      </c>
      <c r="M5" s="15">
        <f t="shared" si="7"/>
        <v>323459.26201291592</v>
      </c>
      <c r="N5" s="15">
        <f t="shared" si="8"/>
        <v>560478.02705309144</v>
      </c>
      <c r="O5" s="15">
        <f t="shared" si="9"/>
        <v>806125.24660373596</v>
      </c>
      <c r="P5" s="15">
        <f t="shared" si="10"/>
        <v>1055560.6644600052</v>
      </c>
      <c r="Q5" s="15">
        <f t="shared" si="11"/>
        <v>71285.620444583707</v>
      </c>
      <c r="R5" s="15">
        <f t="shared" si="0"/>
        <v>0</v>
      </c>
      <c r="S5" s="15">
        <f t="shared" si="1"/>
        <v>0</v>
      </c>
      <c r="T5" s="15">
        <f t="shared" si="2"/>
        <v>0</v>
      </c>
      <c r="U5" s="15"/>
      <c r="V5" s="15">
        <f t="shared" si="12"/>
        <v>2902747</v>
      </c>
      <c r="X5" s="15">
        <f t="shared" si="3"/>
        <v>207499.67074858196</v>
      </c>
      <c r="Y5" s="20">
        <f t="shared" si="13"/>
        <v>12</v>
      </c>
      <c r="Z5" s="20" t="str">
        <f t="shared" si="14"/>
        <v>Boston</v>
      </c>
      <c r="AA5" s="20">
        <f t="shared" si="15"/>
        <v>34</v>
      </c>
      <c r="AB5" s="20">
        <f t="shared" si="16"/>
        <v>40</v>
      </c>
      <c r="AC5" s="20">
        <f t="shared" si="17"/>
        <v>15</v>
      </c>
      <c r="AD5" s="20">
        <f t="shared" si="18"/>
        <v>9</v>
      </c>
      <c r="AE5" s="20">
        <f t="shared" si="19"/>
        <v>3</v>
      </c>
      <c r="AF5" s="20">
        <f t="shared" si="20"/>
        <v>4</v>
      </c>
      <c r="AG5" s="20" t="str">
        <f t="shared" si="5"/>
        <v>Boston</v>
      </c>
    </row>
    <row r="6" spans="1:33">
      <c r="A6" s="20" t="s">
        <v>30</v>
      </c>
      <c r="B6" s="15">
        <f>'2010-10'!R7</f>
        <v>103413.74120798356</v>
      </c>
      <c r="C6" s="15">
        <f>'2010-20'!$R7</f>
        <v>463140.87731715111</v>
      </c>
      <c r="D6" s="15">
        <f>'2010-30'!$R7</f>
        <v>469333</v>
      </c>
      <c r="E6" s="15">
        <f>'2010-40'!$R7</f>
        <v>469333</v>
      </c>
      <c r="F6" s="15">
        <f>'2010-50'!$R7</f>
        <v>469333</v>
      </c>
      <c r="G6" s="15">
        <f>'2010-60'!$R7</f>
        <v>469333</v>
      </c>
      <c r="H6" s="15">
        <f>'2010-70'!$R7</f>
        <v>469333</v>
      </c>
      <c r="I6" s="15">
        <f>'2010-80'!$R7</f>
        <v>469333</v>
      </c>
      <c r="J6" s="15">
        <f>'2010-90'!$R7</f>
        <v>469333</v>
      </c>
      <c r="L6" s="15">
        <f t="shared" si="6"/>
        <v>103413.74120798356</v>
      </c>
      <c r="M6" s="15">
        <f t="shared" si="7"/>
        <v>359727.13610916754</v>
      </c>
      <c r="N6" s="15">
        <f t="shared" si="8"/>
        <v>6192.1226828488871</v>
      </c>
      <c r="O6" s="15">
        <f t="shared" si="9"/>
        <v>0</v>
      </c>
      <c r="P6" s="15">
        <f t="shared" si="10"/>
        <v>0</v>
      </c>
      <c r="Q6" s="15">
        <f t="shared" si="11"/>
        <v>0</v>
      </c>
      <c r="R6" s="15">
        <f t="shared" si="0"/>
        <v>0</v>
      </c>
      <c r="S6" s="15">
        <f t="shared" si="1"/>
        <v>0</v>
      </c>
      <c r="T6" s="15">
        <f t="shared" si="2"/>
        <v>0</v>
      </c>
      <c r="U6" s="15"/>
      <c r="V6" s="15">
        <f t="shared" si="12"/>
        <v>469333</v>
      </c>
      <c r="X6" s="15">
        <f t="shared" si="3"/>
        <v>119656.18211740507</v>
      </c>
      <c r="Y6" s="20">
        <f t="shared" si="13"/>
        <v>46</v>
      </c>
      <c r="Z6" s="20" t="str">
        <f t="shared" si="14"/>
        <v>Buffalo</v>
      </c>
      <c r="AA6" s="20">
        <f t="shared" si="15"/>
        <v>18</v>
      </c>
      <c r="AB6" s="20">
        <f t="shared" si="16"/>
        <v>27</v>
      </c>
      <c r="AC6" s="20">
        <f t="shared" si="17"/>
        <v>48</v>
      </c>
      <c r="AD6" s="20">
        <f t="shared" si="18"/>
        <v>48</v>
      </c>
      <c r="AE6" s="20">
        <f t="shared" si="19"/>
        <v>48</v>
      </c>
      <c r="AF6" s="20">
        <f t="shared" si="20"/>
        <v>48</v>
      </c>
      <c r="AG6" s="20" t="str">
        <f t="shared" si="5"/>
        <v>Buffalo</v>
      </c>
    </row>
    <row r="7" spans="1:33">
      <c r="A7" s="20" t="s">
        <v>31</v>
      </c>
      <c r="B7" s="15">
        <f>'2010-10'!R8</f>
        <v>75743.936348345684</v>
      </c>
      <c r="C7" s="15">
        <f>'2010-20'!$R8</f>
        <v>586173.56772172649</v>
      </c>
      <c r="D7" s="15">
        <f>'2010-30'!$R8</f>
        <v>815291</v>
      </c>
      <c r="E7" s="15">
        <f>'2010-40'!$R8</f>
        <v>815291</v>
      </c>
      <c r="F7" s="15">
        <f>'2010-50'!$R8</f>
        <v>815291</v>
      </c>
      <c r="G7" s="15">
        <f>'2010-60'!$R8</f>
        <v>815291</v>
      </c>
      <c r="H7" s="15">
        <f>'2010-70'!$R8</f>
        <v>815291</v>
      </c>
      <c r="I7" s="15">
        <f>'2010-80'!$R8</f>
        <v>815291</v>
      </c>
      <c r="J7" s="15">
        <f>'2010-90'!$R8</f>
        <v>815291</v>
      </c>
      <c r="L7" s="15">
        <f t="shared" si="6"/>
        <v>75743.936348345684</v>
      </c>
      <c r="M7" s="15">
        <f t="shared" si="7"/>
        <v>510429.63137338078</v>
      </c>
      <c r="N7" s="15">
        <f t="shared" si="8"/>
        <v>229117.43227827351</v>
      </c>
      <c r="O7" s="15">
        <f t="shared" si="9"/>
        <v>0</v>
      </c>
      <c r="P7" s="15">
        <f t="shared" si="10"/>
        <v>0</v>
      </c>
      <c r="Q7" s="15">
        <f t="shared" si="11"/>
        <v>0</v>
      </c>
      <c r="R7" s="15">
        <f t="shared" si="0"/>
        <v>0</v>
      </c>
      <c r="S7" s="15">
        <f t="shared" si="1"/>
        <v>0</v>
      </c>
      <c r="T7" s="15">
        <f t="shared" si="2"/>
        <v>0</v>
      </c>
      <c r="U7" s="15"/>
      <c r="V7" s="15">
        <f t="shared" si="12"/>
        <v>815291</v>
      </c>
      <c r="X7" s="15">
        <f t="shared" si="3"/>
        <v>157872.97423235455</v>
      </c>
      <c r="Y7" s="20">
        <f t="shared" si="13"/>
        <v>29</v>
      </c>
      <c r="Z7" s="20" t="str">
        <f t="shared" si="14"/>
        <v>Charlotte</v>
      </c>
      <c r="AA7" s="20">
        <f t="shared" si="15"/>
        <v>47</v>
      </c>
      <c r="AB7" s="20">
        <f t="shared" si="16"/>
        <v>12</v>
      </c>
      <c r="AC7" s="20">
        <f t="shared" si="17"/>
        <v>28</v>
      </c>
      <c r="AD7" s="20">
        <f t="shared" si="18"/>
        <v>30</v>
      </c>
      <c r="AE7" s="20">
        <f t="shared" si="19"/>
        <v>30</v>
      </c>
      <c r="AF7" s="20">
        <f t="shared" si="20"/>
        <v>30</v>
      </c>
      <c r="AG7" s="20" t="str">
        <f t="shared" si="5"/>
        <v>Charlotte</v>
      </c>
    </row>
    <row r="8" spans="1:33">
      <c r="A8" s="20" t="s">
        <v>32</v>
      </c>
      <c r="B8" s="15">
        <f>'2010-10'!R9</f>
        <v>79976.54188753599</v>
      </c>
      <c r="C8" s="15">
        <f>'2010-20'!$R9</f>
        <v>404803.27045252238</v>
      </c>
      <c r="D8" s="15">
        <f>'2010-30'!$R9</f>
        <v>948279.78351277916</v>
      </c>
      <c r="E8" s="15">
        <f>'2010-40'!$R9</f>
        <v>1744895.0512088125</v>
      </c>
      <c r="F8" s="15">
        <f>'2010-50'!$R9</f>
        <v>2790709.3701175195</v>
      </c>
      <c r="G8" s="15">
        <f>'2010-60'!$R9</f>
        <v>4095776.2392470324</v>
      </c>
      <c r="H8" s="15">
        <f>'2010-70'!$R9</f>
        <v>4185146</v>
      </c>
      <c r="I8" s="15">
        <f>'2010-80'!$R9</f>
        <v>4185146</v>
      </c>
      <c r="J8" s="15">
        <f>'2010-90'!$R9</f>
        <v>4185146</v>
      </c>
      <c r="L8" s="15">
        <f t="shared" si="6"/>
        <v>79976.54188753599</v>
      </c>
      <c r="M8" s="15">
        <f t="shared" si="7"/>
        <v>324826.72856498638</v>
      </c>
      <c r="N8" s="15">
        <f t="shared" si="8"/>
        <v>543476.51306025684</v>
      </c>
      <c r="O8" s="15">
        <f t="shared" si="9"/>
        <v>796615.26769603335</v>
      </c>
      <c r="P8" s="15">
        <f t="shared" si="10"/>
        <v>1045814.318908707</v>
      </c>
      <c r="Q8" s="15">
        <f t="shared" si="11"/>
        <v>1305066.8691295129</v>
      </c>
      <c r="R8" s="15">
        <f t="shared" si="0"/>
        <v>89369.760752967559</v>
      </c>
      <c r="S8" s="15">
        <f t="shared" si="1"/>
        <v>0</v>
      </c>
      <c r="T8" s="15">
        <f t="shared" si="2"/>
        <v>0</v>
      </c>
      <c r="U8" s="15"/>
      <c r="V8" s="15">
        <f t="shared" si="12"/>
        <v>4185146</v>
      </c>
      <c r="X8" s="15">
        <f t="shared" si="3"/>
        <v>213517.63794910055</v>
      </c>
      <c r="Y8" s="20">
        <f t="shared" si="13"/>
        <v>9</v>
      </c>
      <c r="Z8" s="20" t="str">
        <f t="shared" si="14"/>
        <v>Chicago</v>
      </c>
      <c r="AA8" s="20">
        <f t="shared" si="15"/>
        <v>40</v>
      </c>
      <c r="AB8" s="20">
        <f t="shared" si="16"/>
        <v>41</v>
      </c>
      <c r="AC8" s="20">
        <f t="shared" si="17"/>
        <v>17</v>
      </c>
      <c r="AD8" s="20">
        <f t="shared" si="18"/>
        <v>10</v>
      </c>
      <c r="AE8" s="20">
        <f t="shared" si="19"/>
        <v>4</v>
      </c>
      <c r="AF8" s="20">
        <f t="shared" si="20"/>
        <v>3</v>
      </c>
      <c r="AG8" s="20" t="str">
        <f t="shared" si="5"/>
        <v>Chicago</v>
      </c>
    </row>
    <row r="9" spans="1:33">
      <c r="A9" s="20" t="s">
        <v>33</v>
      </c>
      <c r="B9" s="15">
        <f>'2010-10'!R10</f>
        <v>91187.251323762786</v>
      </c>
      <c r="C9" s="15">
        <f>'2010-20'!$R10</f>
        <v>477452.85748372588</v>
      </c>
      <c r="D9" s="15">
        <f>'2010-30'!$R10</f>
        <v>947302</v>
      </c>
      <c r="E9" s="15">
        <f>'2010-40'!$R10</f>
        <v>947302</v>
      </c>
      <c r="F9" s="15">
        <f>'2010-50'!$R10</f>
        <v>947302</v>
      </c>
      <c r="G9" s="15">
        <f>'2010-60'!$R10</f>
        <v>947302</v>
      </c>
      <c r="H9" s="15">
        <f>'2010-70'!$R10</f>
        <v>947302</v>
      </c>
      <c r="I9" s="15">
        <f>'2010-80'!$R10</f>
        <v>947302</v>
      </c>
      <c r="J9" s="15">
        <f>'2010-90'!$R10</f>
        <v>947302</v>
      </c>
      <c r="L9" s="15">
        <f t="shared" si="6"/>
        <v>91187.251323762786</v>
      </c>
      <c r="M9" s="15">
        <f t="shared" si="7"/>
        <v>386265.60615996306</v>
      </c>
      <c r="N9" s="15">
        <f t="shared" si="8"/>
        <v>469849.14251627412</v>
      </c>
      <c r="O9" s="15">
        <f t="shared" si="9"/>
        <v>0</v>
      </c>
      <c r="P9" s="15">
        <f t="shared" si="10"/>
        <v>0</v>
      </c>
      <c r="Q9" s="15">
        <f t="shared" si="11"/>
        <v>0</v>
      </c>
      <c r="R9" s="15">
        <f t="shared" si="0"/>
        <v>0</v>
      </c>
      <c r="S9" s="15">
        <f t="shared" si="1"/>
        <v>0</v>
      </c>
      <c r="T9" s="15">
        <f t="shared" si="2"/>
        <v>0</v>
      </c>
      <c r="U9" s="15"/>
      <c r="V9" s="15">
        <f t="shared" si="12"/>
        <v>947302</v>
      </c>
      <c r="X9" s="15">
        <f t="shared" si="3"/>
        <v>161582.5066466564</v>
      </c>
      <c r="Y9" s="20">
        <f t="shared" si="13"/>
        <v>27</v>
      </c>
      <c r="Z9" s="20" t="str">
        <f t="shared" si="14"/>
        <v>Cincinnati</v>
      </c>
      <c r="AA9" s="20">
        <f t="shared" si="15"/>
        <v>29</v>
      </c>
      <c r="AB9" s="20">
        <f t="shared" si="16"/>
        <v>25</v>
      </c>
      <c r="AC9" s="20">
        <f t="shared" si="17"/>
        <v>19</v>
      </c>
      <c r="AD9" s="20">
        <f t="shared" si="18"/>
        <v>25</v>
      </c>
      <c r="AE9" s="20">
        <f t="shared" si="19"/>
        <v>25</v>
      </c>
      <c r="AF9" s="20">
        <f t="shared" si="20"/>
        <v>25</v>
      </c>
      <c r="AG9" s="20" t="str">
        <f t="shared" si="5"/>
        <v>Cincinnati</v>
      </c>
    </row>
    <row r="10" spans="1:33">
      <c r="A10" s="20" t="s">
        <v>34</v>
      </c>
      <c r="B10" s="15">
        <f>'2010-10'!R11</f>
        <v>111627.24087113833</v>
      </c>
      <c r="C10" s="15">
        <f>'2010-20'!$R11</f>
        <v>584102.45780828211</v>
      </c>
      <c r="D10" s="15">
        <f>'2010-30'!$R11</f>
        <v>950139</v>
      </c>
      <c r="E10" s="15">
        <f>'2010-40'!$R11</f>
        <v>950139</v>
      </c>
      <c r="F10" s="15">
        <f>'2010-50'!$R11</f>
        <v>950139</v>
      </c>
      <c r="G10" s="15">
        <f>'2010-60'!$R11</f>
        <v>950139</v>
      </c>
      <c r="H10" s="15">
        <f>'2010-70'!$R11</f>
        <v>950139</v>
      </c>
      <c r="I10" s="15">
        <f>'2010-80'!$R11</f>
        <v>950139</v>
      </c>
      <c r="J10" s="15">
        <f>'2010-90'!$R11</f>
        <v>950139</v>
      </c>
      <c r="L10" s="15">
        <f t="shared" si="6"/>
        <v>111627.24087113833</v>
      </c>
      <c r="M10" s="15">
        <f t="shared" si="7"/>
        <v>472475.21693714376</v>
      </c>
      <c r="N10" s="15">
        <f t="shared" si="8"/>
        <v>366036.54219171789</v>
      </c>
      <c r="O10" s="15">
        <f t="shared" si="9"/>
        <v>0</v>
      </c>
      <c r="P10" s="15">
        <f t="shared" si="10"/>
        <v>0</v>
      </c>
      <c r="Q10" s="15">
        <f t="shared" si="11"/>
        <v>0</v>
      </c>
      <c r="R10" s="15">
        <f t="shared" si="0"/>
        <v>0</v>
      </c>
      <c r="S10" s="15">
        <f t="shared" si="1"/>
        <v>0</v>
      </c>
      <c r="T10" s="15">
        <f t="shared" si="2"/>
        <v>0</v>
      </c>
      <c r="U10" s="15"/>
      <c r="V10" s="15">
        <f t="shared" si="12"/>
        <v>950138.99999999988</v>
      </c>
      <c r="X10" s="15">
        <f t="shared" si="3"/>
        <v>178754.53958303726</v>
      </c>
      <c r="Y10" s="20">
        <f t="shared" si="13"/>
        <v>18</v>
      </c>
      <c r="Z10" s="20" t="str">
        <f t="shared" si="14"/>
        <v>Cleveland</v>
      </c>
      <c r="AA10" s="20">
        <f t="shared" si="15"/>
        <v>14</v>
      </c>
      <c r="AB10" s="20">
        <f t="shared" si="16"/>
        <v>13</v>
      </c>
      <c r="AC10" s="20">
        <f t="shared" si="17"/>
        <v>16</v>
      </c>
      <c r="AD10" s="20">
        <f t="shared" si="18"/>
        <v>23</v>
      </c>
      <c r="AE10" s="20">
        <f t="shared" si="19"/>
        <v>23</v>
      </c>
      <c r="AF10" s="20">
        <f t="shared" si="20"/>
        <v>23</v>
      </c>
      <c r="AG10" s="20" t="str">
        <f t="shared" si="5"/>
        <v>Cleveland</v>
      </c>
    </row>
    <row r="11" spans="1:33">
      <c r="A11" s="20" t="s">
        <v>35</v>
      </c>
      <c r="B11" s="15">
        <f>'2010-10'!R12</f>
        <v>159644.46697877586</v>
      </c>
      <c r="C11" s="15">
        <f>'2010-20'!$R12</f>
        <v>792970</v>
      </c>
      <c r="D11" s="15">
        <f>'2010-30'!$R12</f>
        <v>792970</v>
      </c>
      <c r="E11" s="15">
        <f>'2010-40'!$R12</f>
        <v>792970</v>
      </c>
      <c r="F11" s="15">
        <f>'2010-50'!$R12</f>
        <v>792970</v>
      </c>
      <c r="G11" s="15">
        <f>'2010-60'!$R12</f>
        <v>792970</v>
      </c>
      <c r="H11" s="15">
        <f>'2010-70'!$R12</f>
        <v>792970</v>
      </c>
      <c r="I11" s="15">
        <f>'2010-80'!$R12</f>
        <v>792970</v>
      </c>
      <c r="J11" s="15">
        <f>'2010-90'!$R12</f>
        <v>792970</v>
      </c>
      <c r="L11" s="15">
        <f t="shared" si="6"/>
        <v>159644.46697877586</v>
      </c>
      <c r="M11" s="15">
        <f t="shared" si="7"/>
        <v>633325.5330212242</v>
      </c>
      <c r="N11" s="15">
        <f t="shared" si="8"/>
        <v>0</v>
      </c>
      <c r="O11" s="15">
        <f t="shared" si="9"/>
        <v>0</v>
      </c>
      <c r="P11" s="15">
        <f t="shared" si="10"/>
        <v>0</v>
      </c>
      <c r="Q11" s="15">
        <f t="shared" si="11"/>
        <v>0</v>
      </c>
      <c r="R11" s="15">
        <f t="shared" si="0"/>
        <v>0</v>
      </c>
      <c r="S11" s="15">
        <f t="shared" si="1"/>
        <v>0</v>
      </c>
      <c r="T11" s="15">
        <f t="shared" si="2"/>
        <v>0</v>
      </c>
      <c r="U11" s="15"/>
      <c r="V11" s="15">
        <f t="shared" si="12"/>
        <v>792970</v>
      </c>
      <c r="X11" s="15">
        <f t="shared" si="3"/>
        <v>199599.10284871364</v>
      </c>
      <c r="Y11" s="20">
        <f t="shared" si="13"/>
        <v>16</v>
      </c>
      <c r="Z11" s="20" t="str">
        <f t="shared" si="14"/>
        <v>Columbus</v>
      </c>
      <c r="AA11" s="20">
        <f t="shared" si="15"/>
        <v>6</v>
      </c>
      <c r="AB11" s="20">
        <f t="shared" si="16"/>
        <v>4</v>
      </c>
      <c r="AC11" s="20">
        <f t="shared" si="17"/>
        <v>31</v>
      </c>
      <c r="AD11" s="20">
        <f t="shared" si="18"/>
        <v>33</v>
      </c>
      <c r="AE11" s="20">
        <f t="shared" si="19"/>
        <v>33</v>
      </c>
      <c r="AF11" s="20">
        <f t="shared" si="20"/>
        <v>33</v>
      </c>
      <c r="AG11" s="20" t="str">
        <f t="shared" si="5"/>
        <v>Columbus</v>
      </c>
    </row>
    <row r="12" spans="1:33">
      <c r="A12" s="20" t="s">
        <v>62</v>
      </c>
      <c r="B12" s="15">
        <f>'2010-10'!R13</f>
        <v>76544.698287739651</v>
      </c>
      <c r="C12" s="15">
        <f>'2010-20'!$R13</f>
        <v>422019.58995380497</v>
      </c>
      <c r="D12" s="15">
        <f>'2010-30'!$R13</f>
        <v>1005500.8360887761</v>
      </c>
      <c r="E12" s="15">
        <f>'2010-40'!$R13</f>
        <v>1856635.9854545579</v>
      </c>
      <c r="F12" s="15">
        <f>'2010-50'!$R13</f>
        <v>2659456</v>
      </c>
      <c r="G12" s="15">
        <f>'2010-60'!$R13</f>
        <v>2659456</v>
      </c>
      <c r="H12" s="15">
        <f>'2010-70'!$R13</f>
        <v>2659456</v>
      </c>
      <c r="I12" s="15">
        <f>'2010-80'!$R13</f>
        <v>2659456</v>
      </c>
      <c r="J12" s="15">
        <f>'2010-90'!$R13</f>
        <v>2659456</v>
      </c>
      <c r="L12" s="15">
        <f t="shared" si="6"/>
        <v>76544.698287739651</v>
      </c>
      <c r="M12" s="15">
        <f t="shared" si="7"/>
        <v>345474.89166606532</v>
      </c>
      <c r="N12" s="15">
        <f t="shared" si="8"/>
        <v>583481.24613497115</v>
      </c>
      <c r="O12" s="15">
        <f t="shared" si="9"/>
        <v>851135.14936578181</v>
      </c>
      <c r="P12" s="15">
        <f t="shared" si="10"/>
        <v>802820.01454544207</v>
      </c>
      <c r="Q12" s="15">
        <f t="shared" si="11"/>
        <v>0</v>
      </c>
      <c r="R12" s="15">
        <f t="shared" si="0"/>
        <v>0</v>
      </c>
      <c r="S12" s="15">
        <f t="shared" si="1"/>
        <v>0</v>
      </c>
      <c r="T12" s="15">
        <f t="shared" si="2"/>
        <v>0</v>
      </c>
      <c r="U12" s="15"/>
      <c r="V12" s="15">
        <f t="shared" si="12"/>
        <v>2659456</v>
      </c>
      <c r="X12" s="15">
        <f t="shared" si="3"/>
        <v>206474.45815504304</v>
      </c>
      <c r="Y12" s="20">
        <f t="shared" si="13"/>
        <v>13</v>
      </c>
      <c r="Z12" s="20" t="str">
        <f t="shared" si="14"/>
        <v>Dallas-Fort Worth</v>
      </c>
      <c r="AA12" s="20">
        <f t="shared" si="15"/>
        <v>46</v>
      </c>
      <c r="AB12" s="20">
        <f t="shared" si="16"/>
        <v>36</v>
      </c>
      <c r="AC12" s="20">
        <f t="shared" si="17"/>
        <v>14</v>
      </c>
      <c r="AD12" s="20">
        <f t="shared" si="18"/>
        <v>8</v>
      </c>
      <c r="AE12" s="20">
        <f t="shared" si="19"/>
        <v>5</v>
      </c>
      <c r="AF12" s="20">
        <f t="shared" si="20"/>
        <v>5</v>
      </c>
      <c r="AG12" s="20" t="str">
        <f t="shared" si="5"/>
        <v>Dallas-Fort Worth</v>
      </c>
    </row>
    <row r="13" spans="1:33">
      <c r="A13" s="20" t="s">
        <v>36</v>
      </c>
      <c r="B13" s="15">
        <f>'2010-10'!R14</f>
        <v>88888.273265038675</v>
      </c>
      <c r="C13" s="15">
        <f>'2010-20'!$R14</f>
        <v>485337.93642687303</v>
      </c>
      <c r="D13" s="15">
        <f>'2010-30'!$R14</f>
        <v>1112974.8200139883</v>
      </c>
      <c r="E13" s="15">
        <f>'2010-40'!$R14</f>
        <v>1143871</v>
      </c>
      <c r="F13" s="15">
        <f>'2010-50'!$R14</f>
        <v>1143871</v>
      </c>
      <c r="G13" s="15">
        <f>'2010-60'!$R14</f>
        <v>1143871</v>
      </c>
      <c r="H13" s="15">
        <f>'2010-70'!$R14</f>
        <v>1143871</v>
      </c>
      <c r="I13" s="15">
        <f>'2010-80'!$R14</f>
        <v>1143871</v>
      </c>
      <c r="J13" s="15">
        <f>'2010-90'!$R14</f>
        <v>1143871</v>
      </c>
      <c r="L13" s="15">
        <f t="shared" si="6"/>
        <v>88888.273265038675</v>
      </c>
      <c r="M13" s="15">
        <f t="shared" si="7"/>
        <v>396449.66316183435</v>
      </c>
      <c r="N13" s="15">
        <f t="shared" si="8"/>
        <v>627636.88358711521</v>
      </c>
      <c r="O13" s="15">
        <f t="shared" si="9"/>
        <v>30896.179986011703</v>
      </c>
      <c r="P13" s="15">
        <f t="shared" si="10"/>
        <v>0</v>
      </c>
      <c r="Q13" s="15">
        <f t="shared" si="11"/>
        <v>0</v>
      </c>
      <c r="R13" s="15">
        <f t="shared" si="0"/>
        <v>0</v>
      </c>
      <c r="S13" s="15">
        <f t="shared" si="1"/>
        <v>0</v>
      </c>
      <c r="T13" s="15">
        <f t="shared" si="2"/>
        <v>0</v>
      </c>
      <c r="U13" s="15"/>
      <c r="V13" s="15">
        <f t="shared" si="12"/>
        <v>1143871</v>
      </c>
      <c r="X13" s="15">
        <f t="shared" si="3"/>
        <v>178179.21217958719</v>
      </c>
      <c r="Y13" s="20">
        <f t="shared" si="13"/>
        <v>19</v>
      </c>
      <c r="Z13" s="20" t="str">
        <f t="shared" si="14"/>
        <v>Denver</v>
      </c>
      <c r="AA13" s="20">
        <f t="shared" si="15"/>
        <v>33</v>
      </c>
      <c r="AB13" s="20">
        <f t="shared" si="16"/>
        <v>22</v>
      </c>
      <c r="AC13" s="20">
        <f t="shared" si="17"/>
        <v>7</v>
      </c>
      <c r="AD13" s="20">
        <f t="shared" si="18"/>
        <v>18</v>
      </c>
      <c r="AE13" s="20">
        <f t="shared" si="19"/>
        <v>18</v>
      </c>
      <c r="AF13" s="20">
        <f t="shared" si="20"/>
        <v>18</v>
      </c>
      <c r="AG13" s="20" t="str">
        <f t="shared" si="5"/>
        <v>Denver</v>
      </c>
    </row>
    <row r="14" spans="1:33">
      <c r="A14" s="20" t="s">
        <v>37</v>
      </c>
      <c r="B14" s="15">
        <f>'2010-10'!R15</f>
        <v>83883.041765713948</v>
      </c>
      <c r="C14" s="15">
        <f>'2010-20'!$R15</f>
        <v>388665.41287287563</v>
      </c>
      <c r="D14" s="15">
        <f>'2010-30'!$R15</f>
        <v>910327.87766728178</v>
      </c>
      <c r="E14" s="15">
        <f>'2010-40'!$R15</f>
        <v>1659880.2954001473</v>
      </c>
      <c r="F14" s="15">
        <f>'2010-50'!$R15</f>
        <v>1705065</v>
      </c>
      <c r="G14" s="15">
        <f>'2010-60'!$R15</f>
        <v>1705065</v>
      </c>
      <c r="H14" s="15">
        <f>'2010-70'!$R15</f>
        <v>1705065</v>
      </c>
      <c r="I14" s="15">
        <f>'2010-80'!$R15</f>
        <v>1705065</v>
      </c>
      <c r="J14" s="15">
        <f>'2010-90'!$R15</f>
        <v>1705065</v>
      </c>
      <c r="L14" s="15">
        <f t="shared" si="6"/>
        <v>83883.041765713948</v>
      </c>
      <c r="M14" s="15">
        <f t="shared" si="7"/>
        <v>304782.37110716169</v>
      </c>
      <c r="N14" s="15">
        <f t="shared" si="8"/>
        <v>521662.46479440614</v>
      </c>
      <c r="O14" s="15">
        <f t="shared" si="9"/>
        <v>749552.41773286555</v>
      </c>
      <c r="P14" s="15">
        <f t="shared" si="10"/>
        <v>45184.704599852674</v>
      </c>
      <c r="Q14" s="15">
        <f t="shared" si="11"/>
        <v>0</v>
      </c>
      <c r="R14" s="15">
        <f t="shared" si="0"/>
        <v>0</v>
      </c>
      <c r="S14" s="15">
        <f t="shared" si="1"/>
        <v>0</v>
      </c>
      <c r="T14" s="15">
        <f t="shared" si="2"/>
        <v>0</v>
      </c>
      <c r="U14" s="15"/>
      <c r="V14" s="15">
        <f t="shared" si="12"/>
        <v>1705065</v>
      </c>
      <c r="X14" s="15">
        <f t="shared" si="3"/>
        <v>177930.72612718909</v>
      </c>
      <c r="Y14" s="20">
        <f t="shared" si="13"/>
        <v>20</v>
      </c>
      <c r="Z14" s="20" t="str">
        <f t="shared" si="14"/>
        <v>Detroit</v>
      </c>
      <c r="AA14" s="20">
        <f t="shared" si="15"/>
        <v>36</v>
      </c>
      <c r="AB14" s="20">
        <f t="shared" si="16"/>
        <v>43</v>
      </c>
      <c r="AC14" s="20">
        <f t="shared" si="17"/>
        <v>23</v>
      </c>
      <c r="AD14" s="20">
        <f t="shared" si="18"/>
        <v>12</v>
      </c>
      <c r="AE14" s="20">
        <f t="shared" si="19"/>
        <v>12</v>
      </c>
      <c r="AF14" s="20">
        <f t="shared" si="20"/>
        <v>12</v>
      </c>
      <c r="AG14" s="20" t="str">
        <f t="shared" si="5"/>
        <v>Detroit</v>
      </c>
    </row>
    <row r="15" spans="1:33">
      <c r="A15" s="20" t="s">
        <v>80</v>
      </c>
      <c r="B15" s="15">
        <f>'2010-10'!R16</f>
        <v>193570.36220813787</v>
      </c>
      <c r="C15" s="15">
        <f>'2010-20'!$R16</f>
        <v>532973</v>
      </c>
      <c r="D15" s="15">
        <f>'2010-30'!$R16</f>
        <v>532973</v>
      </c>
      <c r="E15" s="15">
        <f>'2010-40'!$R16</f>
        <v>532973</v>
      </c>
      <c r="F15" s="15">
        <f>'2010-50'!$R16</f>
        <v>532973</v>
      </c>
      <c r="G15" s="15">
        <f>'2010-60'!$R16</f>
        <v>532973</v>
      </c>
      <c r="H15" s="15">
        <f>'2010-70'!$R16</f>
        <v>532973</v>
      </c>
      <c r="I15" s="15">
        <f>'2010-80'!$R16</f>
        <v>532973</v>
      </c>
      <c r="J15" s="15">
        <f>'2010-90'!$R16</f>
        <v>532973</v>
      </c>
      <c r="L15" s="15">
        <f t="shared" si="6"/>
        <v>193570.36220813787</v>
      </c>
      <c r="M15" s="15">
        <f t="shared" si="7"/>
        <v>339402.63779186213</v>
      </c>
      <c r="N15" s="15">
        <f t="shared" si="8"/>
        <v>0</v>
      </c>
      <c r="O15" s="15">
        <f t="shared" si="9"/>
        <v>0</v>
      </c>
      <c r="P15" s="15">
        <f t="shared" si="10"/>
        <v>0</v>
      </c>
      <c r="Q15" s="15">
        <f t="shared" si="11"/>
        <v>0</v>
      </c>
      <c r="R15" s="15">
        <f t="shared" si="0"/>
        <v>0</v>
      </c>
      <c r="S15" s="15">
        <f t="shared" si="1"/>
        <v>0</v>
      </c>
      <c r="T15" s="15">
        <f t="shared" si="2"/>
        <v>0</v>
      </c>
      <c r="U15" s="15"/>
      <c r="V15" s="15">
        <f t="shared" si="12"/>
        <v>532973</v>
      </c>
      <c r="X15" s="15">
        <f t="shared" si="3"/>
        <v>155500.98110315617</v>
      </c>
      <c r="Y15" s="20">
        <f t="shared" si="13"/>
        <v>32</v>
      </c>
      <c r="Z15" s="20" t="str">
        <f t="shared" si="14"/>
        <v>Grand Rapids</v>
      </c>
      <c r="AA15" s="20">
        <f t="shared" si="15"/>
        <v>3</v>
      </c>
      <c r="AB15" s="20">
        <f t="shared" si="16"/>
        <v>17</v>
      </c>
      <c r="AC15" s="20">
        <f t="shared" si="17"/>
        <v>46</v>
      </c>
      <c r="AD15" s="20">
        <f t="shared" si="18"/>
        <v>46</v>
      </c>
      <c r="AE15" s="20">
        <f t="shared" si="19"/>
        <v>46</v>
      </c>
      <c r="AF15" s="20">
        <f t="shared" si="20"/>
        <v>46</v>
      </c>
      <c r="AG15" s="20" t="str">
        <f t="shared" si="5"/>
        <v>Grand Rapids</v>
      </c>
    </row>
    <row r="16" spans="1:33">
      <c r="A16" s="20" t="s">
        <v>58</v>
      </c>
      <c r="B16" s="15">
        <f>'2010-10'!R17</f>
        <v>84854.260192312504</v>
      </c>
      <c r="C16" s="15">
        <f>'2010-20'!$R17</f>
        <v>365049.66665776953</v>
      </c>
      <c r="D16" s="15">
        <f>'2010-30'!$R17</f>
        <v>636795</v>
      </c>
      <c r="E16" s="15">
        <f>'2010-40'!$R17</f>
        <v>636795</v>
      </c>
      <c r="F16" s="15">
        <f>'2010-50'!$R17</f>
        <v>636795</v>
      </c>
      <c r="G16" s="15">
        <f>'2010-60'!$R17</f>
        <v>636795</v>
      </c>
      <c r="H16" s="15">
        <f>'2010-70'!$R17</f>
        <v>636795</v>
      </c>
      <c r="I16" s="15">
        <f>'2010-80'!$R17</f>
        <v>636795</v>
      </c>
      <c r="J16" s="15">
        <f>'2010-90'!$R17</f>
        <v>636795</v>
      </c>
      <c r="L16" s="15">
        <f t="shared" si="6"/>
        <v>84854.260192312504</v>
      </c>
      <c r="M16" s="15">
        <f t="shared" si="7"/>
        <v>280195.40646545705</v>
      </c>
      <c r="N16" s="15">
        <f t="shared" si="8"/>
        <v>271745.33334223047</v>
      </c>
      <c r="O16" s="15">
        <f t="shared" si="9"/>
        <v>0</v>
      </c>
      <c r="P16" s="15">
        <f t="shared" si="10"/>
        <v>0</v>
      </c>
      <c r="Q16" s="15">
        <f t="shared" si="11"/>
        <v>0</v>
      </c>
      <c r="R16" s="15">
        <f t="shared" si="0"/>
        <v>0</v>
      </c>
      <c r="S16" s="15">
        <f t="shared" si="1"/>
        <v>0</v>
      </c>
      <c r="T16" s="15">
        <f t="shared" si="2"/>
        <v>0</v>
      </c>
      <c r="U16" s="15"/>
      <c r="V16" s="15">
        <f t="shared" si="12"/>
        <v>636795</v>
      </c>
      <c r="X16" s="15">
        <f t="shared" si="3"/>
        <v>119350.1342133742</v>
      </c>
      <c r="Y16" s="20">
        <f t="shared" si="13"/>
        <v>47</v>
      </c>
      <c r="Z16" s="20" t="str">
        <f t="shared" si="14"/>
        <v>Hampton Roads</v>
      </c>
      <c r="AA16" s="20">
        <f t="shared" si="15"/>
        <v>35</v>
      </c>
      <c r="AB16" s="20">
        <f t="shared" si="16"/>
        <v>47</v>
      </c>
      <c r="AC16" s="20">
        <f t="shared" si="17"/>
        <v>40</v>
      </c>
      <c r="AD16" s="20">
        <f t="shared" si="18"/>
        <v>40</v>
      </c>
      <c r="AE16" s="20">
        <f t="shared" si="19"/>
        <v>40</v>
      </c>
      <c r="AF16" s="20">
        <f t="shared" si="20"/>
        <v>40</v>
      </c>
      <c r="AG16" s="20" t="str">
        <f t="shared" si="5"/>
        <v>Hampton Roads</v>
      </c>
    </row>
    <row r="17" spans="1:33">
      <c r="A17" s="20" t="s">
        <v>38</v>
      </c>
      <c r="B17" s="15">
        <f>'2010-10'!R18</f>
        <v>91130.571341730494</v>
      </c>
      <c r="C17" s="15">
        <f>'2010-20'!$R18</f>
        <v>437752.95666293037</v>
      </c>
      <c r="D17" s="15">
        <f>'2010-30'!$R18</f>
        <v>566576</v>
      </c>
      <c r="E17" s="15">
        <f>'2010-40'!$R18</f>
        <v>566576</v>
      </c>
      <c r="F17" s="15">
        <f>'2010-50'!$R18</f>
        <v>566576</v>
      </c>
      <c r="G17" s="15">
        <f>'2010-60'!$R18</f>
        <v>566576</v>
      </c>
      <c r="H17" s="15">
        <f>'2010-70'!$R18</f>
        <v>566576</v>
      </c>
      <c r="I17" s="15">
        <f>'2010-80'!$R18</f>
        <v>566576</v>
      </c>
      <c r="J17" s="15">
        <f>'2010-90'!$R18</f>
        <v>566576</v>
      </c>
      <c r="L17" s="15">
        <f t="shared" si="6"/>
        <v>91130.571341730494</v>
      </c>
      <c r="M17" s="15">
        <f t="shared" si="7"/>
        <v>346622.38532119989</v>
      </c>
      <c r="N17" s="15">
        <f t="shared" si="8"/>
        <v>128823.04333706963</v>
      </c>
      <c r="O17" s="15">
        <f t="shared" si="9"/>
        <v>0</v>
      </c>
      <c r="P17" s="15">
        <f t="shared" si="10"/>
        <v>0</v>
      </c>
      <c r="Q17" s="15">
        <f t="shared" si="11"/>
        <v>0</v>
      </c>
      <c r="R17" s="15">
        <f t="shared" si="0"/>
        <v>0</v>
      </c>
      <c r="S17" s="15">
        <f t="shared" si="1"/>
        <v>0</v>
      </c>
      <c r="T17" s="15">
        <f t="shared" si="2"/>
        <v>0</v>
      </c>
      <c r="U17" s="15"/>
      <c r="V17" s="15">
        <f t="shared" si="12"/>
        <v>566576</v>
      </c>
      <c r="X17" s="15">
        <f t="shared" si="3"/>
        <v>122616.02070379458</v>
      </c>
      <c r="Y17" s="20">
        <f t="shared" si="13"/>
        <v>43</v>
      </c>
      <c r="Z17" s="20" t="str">
        <f t="shared" si="14"/>
        <v>Hartford</v>
      </c>
      <c r="AA17" s="20">
        <f t="shared" si="15"/>
        <v>30</v>
      </c>
      <c r="AB17" s="20">
        <f t="shared" si="16"/>
        <v>35</v>
      </c>
      <c r="AC17" s="20">
        <f t="shared" si="17"/>
        <v>42</v>
      </c>
      <c r="AD17" s="20">
        <f t="shared" si="18"/>
        <v>42</v>
      </c>
      <c r="AE17" s="20">
        <f t="shared" si="19"/>
        <v>42</v>
      </c>
      <c r="AF17" s="20">
        <f t="shared" si="20"/>
        <v>42</v>
      </c>
      <c r="AG17" s="20" t="str">
        <f t="shared" si="5"/>
        <v>Hartford</v>
      </c>
    </row>
    <row r="18" spans="1:33">
      <c r="A18" s="20" t="s">
        <v>81</v>
      </c>
      <c r="B18" s="15">
        <f>'2010-10'!R19</f>
        <v>134274.1075866459</v>
      </c>
      <c r="C18" s="15">
        <f>'2010-20'!$R19</f>
        <v>357184</v>
      </c>
      <c r="D18" s="15">
        <f>'2010-30'!$R19</f>
        <v>357184</v>
      </c>
      <c r="E18" s="15">
        <f>'2010-40'!$R19</f>
        <v>357184</v>
      </c>
      <c r="F18" s="15">
        <f>'2010-50'!$R19</f>
        <v>357184</v>
      </c>
      <c r="G18" s="15">
        <f>'2010-60'!$R19</f>
        <v>357184</v>
      </c>
      <c r="H18" s="15">
        <f>'2010-70'!$R19</f>
        <v>357184</v>
      </c>
      <c r="I18" s="15">
        <f>'2010-80'!$R19</f>
        <v>357184</v>
      </c>
      <c r="J18" s="15">
        <f>'2010-90'!$R19</f>
        <v>357184</v>
      </c>
      <c r="L18" s="15">
        <f t="shared" si="6"/>
        <v>134274.1075866459</v>
      </c>
      <c r="M18" s="15">
        <f t="shared" si="7"/>
        <v>222909.8924133541</v>
      </c>
      <c r="N18" s="15">
        <f t="shared" si="8"/>
        <v>0</v>
      </c>
      <c r="O18" s="15">
        <f t="shared" si="9"/>
        <v>0</v>
      </c>
      <c r="P18" s="15">
        <f t="shared" si="10"/>
        <v>0</v>
      </c>
      <c r="Q18" s="15">
        <f t="shared" si="11"/>
        <v>0</v>
      </c>
      <c r="R18" s="15">
        <f t="shared" si="0"/>
        <v>0</v>
      </c>
      <c r="S18" s="15">
        <f t="shared" si="1"/>
        <v>0</v>
      </c>
      <c r="T18" s="15">
        <f t="shared" si="2"/>
        <v>0</v>
      </c>
      <c r="U18" s="15"/>
      <c r="V18" s="15">
        <f t="shared" si="12"/>
        <v>357184</v>
      </c>
      <c r="X18" s="15">
        <f t="shared" si="3"/>
        <v>105337.9767744914</v>
      </c>
      <c r="Y18" s="20">
        <f t="shared" si="13"/>
        <v>51</v>
      </c>
      <c r="Z18" s="20" t="str">
        <f t="shared" si="14"/>
        <v>Honolulu</v>
      </c>
      <c r="AA18" s="20">
        <f t="shared" si="15"/>
        <v>9</v>
      </c>
      <c r="AB18" s="20">
        <f t="shared" ref="AB18:AB52" si="21">RANK(C18,C$2:C$52)</f>
        <v>48</v>
      </c>
      <c r="AC18" s="20">
        <f t="shared" ref="AC18:AC52" si="22">RANK(D18,D$2:D$52)</f>
        <v>51</v>
      </c>
      <c r="AD18" s="20">
        <f t="shared" ref="AD18:AD52" si="23">RANK(E18,E$2:E$52)</f>
        <v>51</v>
      </c>
      <c r="AE18" s="20">
        <f t="shared" ref="AE18:AE52" si="24">RANK(F18,F$2:F$52)</f>
        <v>51</v>
      </c>
      <c r="AF18" s="20">
        <f t="shared" ref="AF18:AF52" si="25">RANK(G18,G$2:G$52)</f>
        <v>51</v>
      </c>
      <c r="AG18" s="20" t="str">
        <f t="shared" si="5"/>
        <v>Honolulu</v>
      </c>
    </row>
    <row r="19" spans="1:33">
      <c r="A19" s="20" t="s">
        <v>39</v>
      </c>
      <c r="B19" s="15">
        <f>'2010-10'!R20</f>
        <v>78768.893652756859</v>
      </c>
      <c r="C19" s="15">
        <f>'2010-20'!$R20</f>
        <v>447998.94303087768</v>
      </c>
      <c r="D19" s="15">
        <f>'2010-30'!$R20</f>
        <v>1059593.9631096402</v>
      </c>
      <c r="E19" s="15">
        <f>'2010-40'!$R20</f>
        <v>1952967.8521847825</v>
      </c>
      <c r="F19" s="15">
        <f>'2010-50'!$R20</f>
        <v>2266048</v>
      </c>
      <c r="G19" s="15">
        <f>'2010-60'!$R20</f>
        <v>2266048</v>
      </c>
      <c r="H19" s="15">
        <f>'2010-70'!$R20</f>
        <v>2266048</v>
      </c>
      <c r="I19" s="15">
        <f>'2010-80'!$R20</f>
        <v>2266048</v>
      </c>
      <c r="J19" s="15">
        <f>'2010-90'!$R20</f>
        <v>2266048</v>
      </c>
      <c r="L19" s="15">
        <f t="shared" si="6"/>
        <v>78768.893652756859</v>
      </c>
      <c r="M19" s="15">
        <f t="shared" si="7"/>
        <v>369230.04937812081</v>
      </c>
      <c r="N19" s="15">
        <f t="shared" si="8"/>
        <v>611595.02007876243</v>
      </c>
      <c r="O19" s="15">
        <f t="shared" si="9"/>
        <v>893373.88907514233</v>
      </c>
      <c r="P19" s="15">
        <f t="shared" si="10"/>
        <v>313080.1478152175</v>
      </c>
      <c r="Q19" s="15">
        <f t="shared" si="11"/>
        <v>0</v>
      </c>
      <c r="R19" s="15">
        <f t="shared" si="0"/>
        <v>0</v>
      </c>
      <c r="S19" s="15">
        <f t="shared" si="1"/>
        <v>0</v>
      </c>
      <c r="T19" s="15">
        <f t="shared" si="2"/>
        <v>0</v>
      </c>
      <c r="U19" s="15"/>
      <c r="V19" s="15">
        <f t="shared" si="12"/>
        <v>2266048</v>
      </c>
      <c r="X19" s="15">
        <f t="shared" si="3"/>
        <v>207572.20678767486</v>
      </c>
      <c r="Y19" s="20">
        <f t="shared" si="13"/>
        <v>11</v>
      </c>
      <c r="Z19" s="20" t="str">
        <f t="shared" si="14"/>
        <v>Houston</v>
      </c>
      <c r="AA19" s="20">
        <f t="shared" si="15"/>
        <v>43</v>
      </c>
      <c r="AB19" s="20">
        <f t="shared" si="21"/>
        <v>33</v>
      </c>
      <c r="AC19" s="20">
        <f t="shared" si="22"/>
        <v>12</v>
      </c>
      <c r="AD19" s="20">
        <f t="shared" si="23"/>
        <v>7</v>
      </c>
      <c r="AE19" s="20">
        <f t="shared" si="24"/>
        <v>8</v>
      </c>
      <c r="AF19" s="20">
        <f t="shared" si="25"/>
        <v>8</v>
      </c>
      <c r="AG19" s="20" t="str">
        <f t="shared" si="5"/>
        <v>Houston</v>
      </c>
    </row>
    <row r="20" spans="1:33">
      <c r="A20" s="20" t="s">
        <v>40</v>
      </c>
      <c r="B20" s="15">
        <f>'2010-10'!R21</f>
        <v>63797.314244105168</v>
      </c>
      <c r="C20" s="15">
        <f>'2010-20'!$R21</f>
        <v>356604.68368622178</v>
      </c>
      <c r="D20" s="15">
        <f>'2010-30'!$R21</f>
        <v>795562</v>
      </c>
      <c r="E20" s="15">
        <f>'2010-40'!$R21</f>
        <v>795562</v>
      </c>
      <c r="F20" s="15">
        <f>'2010-50'!$R21</f>
        <v>795562</v>
      </c>
      <c r="G20" s="15">
        <f>'2010-60'!$R21</f>
        <v>795562</v>
      </c>
      <c r="H20" s="15">
        <f>'2010-70'!$R21</f>
        <v>795562</v>
      </c>
      <c r="I20" s="15">
        <f>'2010-80'!$R21</f>
        <v>795562</v>
      </c>
      <c r="J20" s="15">
        <f>'2010-90'!$R21</f>
        <v>795562</v>
      </c>
      <c r="L20" s="15">
        <f t="shared" si="6"/>
        <v>63797.314244105168</v>
      </c>
      <c r="M20" s="15">
        <f t="shared" si="7"/>
        <v>292807.36944211659</v>
      </c>
      <c r="N20" s="15">
        <f t="shared" si="8"/>
        <v>438957.31631377822</v>
      </c>
      <c r="O20" s="15">
        <f t="shared" si="9"/>
        <v>0</v>
      </c>
      <c r="P20" s="15">
        <f t="shared" si="10"/>
        <v>0</v>
      </c>
      <c r="Q20" s="15">
        <f t="shared" si="11"/>
        <v>0</v>
      </c>
      <c r="R20" s="15">
        <f t="shared" si="0"/>
        <v>0</v>
      </c>
      <c r="S20" s="15">
        <f t="shared" si="1"/>
        <v>0</v>
      </c>
      <c r="T20" s="15">
        <f t="shared" si="2"/>
        <v>0</v>
      </c>
      <c r="U20" s="15"/>
      <c r="V20" s="15">
        <f t="shared" si="12"/>
        <v>795561.99999999988</v>
      </c>
      <c r="X20" s="15">
        <f t="shared" si="3"/>
        <v>127604.07877370184</v>
      </c>
      <c r="Y20" s="20">
        <f t="shared" si="13"/>
        <v>40</v>
      </c>
      <c r="Z20" s="20" t="str">
        <f t="shared" si="14"/>
        <v>Indianapolis</v>
      </c>
      <c r="AA20" s="20">
        <f t="shared" si="15"/>
        <v>50</v>
      </c>
      <c r="AB20" s="20">
        <f t="shared" si="21"/>
        <v>49</v>
      </c>
      <c r="AC20" s="20">
        <f t="shared" si="22"/>
        <v>29</v>
      </c>
      <c r="AD20" s="20">
        <f t="shared" si="23"/>
        <v>31</v>
      </c>
      <c r="AE20" s="20">
        <f t="shared" si="24"/>
        <v>31</v>
      </c>
      <c r="AF20" s="20">
        <f t="shared" si="25"/>
        <v>31</v>
      </c>
      <c r="AG20" s="20" t="str">
        <f t="shared" si="5"/>
        <v>Indianapolis</v>
      </c>
    </row>
    <row r="21" spans="1:33">
      <c r="A21" s="20" t="s">
        <v>85</v>
      </c>
      <c r="B21" s="15">
        <f>'2010-10'!R22</f>
        <v>130299.06966992219</v>
      </c>
      <c r="C21" s="15">
        <f>'2010-20'!$R22</f>
        <v>654247.16686181072</v>
      </c>
      <c r="D21" s="15">
        <f>'2010-30'!$R22</f>
        <v>1097906</v>
      </c>
      <c r="E21" s="15">
        <f>'2010-40'!$R22</f>
        <v>1097906</v>
      </c>
      <c r="F21" s="15">
        <f>'2010-50'!$R22</f>
        <v>1097906</v>
      </c>
      <c r="G21" s="15">
        <f>'2010-60'!$R22</f>
        <v>1097906</v>
      </c>
      <c r="H21" s="15">
        <f>'2010-70'!$R22</f>
        <v>1097906</v>
      </c>
      <c r="I21" s="15">
        <f>'2010-80'!$R22</f>
        <v>1097906</v>
      </c>
      <c r="J21" s="15">
        <f>'2010-90'!$R22</f>
        <v>1097906</v>
      </c>
      <c r="L21" s="15">
        <f t="shared" si="6"/>
        <v>130299.06966992219</v>
      </c>
      <c r="M21" s="15">
        <f t="shared" si="7"/>
        <v>523948.09719188855</v>
      </c>
      <c r="N21" s="15">
        <f t="shared" si="8"/>
        <v>443658.83313818928</v>
      </c>
      <c r="O21" s="15">
        <f t="shared" si="9"/>
        <v>0</v>
      </c>
      <c r="P21" s="15">
        <f t="shared" si="10"/>
        <v>0</v>
      </c>
      <c r="Q21" s="15">
        <f t="shared" si="11"/>
        <v>0</v>
      </c>
      <c r="R21" s="15">
        <f t="shared" si="0"/>
        <v>0</v>
      </c>
      <c r="S21" s="15">
        <f t="shared" si="1"/>
        <v>0</v>
      </c>
      <c r="T21" s="15">
        <f t="shared" si="2"/>
        <v>0</v>
      </c>
      <c r="U21" s="15"/>
      <c r="V21" s="15">
        <f t="shared" si="12"/>
        <v>1097906</v>
      </c>
      <c r="X21" s="15">
        <f t="shared" si="3"/>
        <v>204578.26373425691</v>
      </c>
      <c r="Y21" s="20">
        <f t="shared" si="13"/>
        <v>14</v>
      </c>
      <c r="Z21" s="20" t="str">
        <f t="shared" si="14"/>
        <v>Inland Empire</v>
      </c>
      <c r="AA21" s="20">
        <f t="shared" si="15"/>
        <v>11</v>
      </c>
      <c r="AB21" s="20">
        <f t="shared" si="21"/>
        <v>8</v>
      </c>
      <c r="AC21" s="20">
        <f t="shared" si="22"/>
        <v>10</v>
      </c>
      <c r="AD21" s="20">
        <f t="shared" si="23"/>
        <v>20</v>
      </c>
      <c r="AE21" s="20">
        <f t="shared" si="24"/>
        <v>20</v>
      </c>
      <c r="AF21" s="20">
        <f t="shared" si="25"/>
        <v>20</v>
      </c>
      <c r="AG21" s="20" t="str">
        <f t="shared" si="5"/>
        <v>Inland Empire</v>
      </c>
    </row>
    <row r="22" spans="1:33">
      <c r="A22" s="20" t="s">
        <v>41</v>
      </c>
      <c r="B22" s="15">
        <f>'2010-10'!R23</f>
        <v>77905.733651680493</v>
      </c>
      <c r="C22" s="15">
        <f>'2010-20'!$R23</f>
        <v>419002.60741582874</v>
      </c>
      <c r="D22" s="15">
        <f>'2010-30'!$R23</f>
        <v>540292</v>
      </c>
      <c r="E22" s="15">
        <f>'2010-40'!$R23</f>
        <v>540292</v>
      </c>
      <c r="F22" s="15">
        <f>'2010-50'!$R23</f>
        <v>540292</v>
      </c>
      <c r="G22" s="15">
        <f>'2010-60'!$R23</f>
        <v>540292</v>
      </c>
      <c r="H22" s="15">
        <f>'2010-70'!$R23</f>
        <v>540292</v>
      </c>
      <c r="I22" s="15">
        <f>'2010-80'!$R23</f>
        <v>540292</v>
      </c>
      <c r="J22" s="15">
        <f>'2010-90'!$R23</f>
        <v>540292</v>
      </c>
      <c r="L22" s="15">
        <f t="shared" si="6"/>
        <v>77905.733651680493</v>
      </c>
      <c r="M22" s="15">
        <f t="shared" si="7"/>
        <v>341096.87376414821</v>
      </c>
      <c r="N22" s="15">
        <f t="shared" si="8"/>
        <v>121289.39258417126</v>
      </c>
      <c r="O22" s="15">
        <f t="shared" si="9"/>
        <v>0</v>
      </c>
      <c r="P22" s="15">
        <f t="shared" si="10"/>
        <v>0</v>
      </c>
      <c r="Q22" s="15">
        <f t="shared" si="11"/>
        <v>0</v>
      </c>
      <c r="R22" s="15">
        <f t="shared" si="0"/>
        <v>0</v>
      </c>
      <c r="S22" s="15">
        <f t="shared" si="1"/>
        <v>0</v>
      </c>
      <c r="T22" s="15">
        <f t="shared" si="2"/>
        <v>0</v>
      </c>
      <c r="U22" s="15"/>
      <c r="V22" s="15">
        <f t="shared" si="12"/>
        <v>540292</v>
      </c>
      <c r="X22" s="15">
        <f t="shared" si="3"/>
        <v>114874.69916329789</v>
      </c>
      <c r="Y22" s="20">
        <f t="shared" si="13"/>
        <v>50</v>
      </c>
      <c r="Z22" s="20" t="str">
        <f t="shared" si="14"/>
        <v>Jacksonville</v>
      </c>
      <c r="AA22" s="20">
        <f t="shared" si="15"/>
        <v>45</v>
      </c>
      <c r="AB22" s="20">
        <f t="shared" si="21"/>
        <v>38</v>
      </c>
      <c r="AC22" s="20">
        <f t="shared" si="22"/>
        <v>45</v>
      </c>
      <c r="AD22" s="20">
        <f t="shared" si="23"/>
        <v>45</v>
      </c>
      <c r="AE22" s="20">
        <f t="shared" si="24"/>
        <v>45</v>
      </c>
      <c r="AF22" s="20">
        <f t="shared" si="25"/>
        <v>45</v>
      </c>
      <c r="AG22" s="20" t="str">
        <f t="shared" si="5"/>
        <v>Jacksonville</v>
      </c>
    </row>
    <row r="23" spans="1:33">
      <c r="A23" s="20" t="s">
        <v>75</v>
      </c>
      <c r="B23" s="15">
        <f>'2010-10'!R24</f>
        <v>102266.49854183996</v>
      </c>
      <c r="C23" s="15">
        <f>'2010-20'!$R24</f>
        <v>510912.17119081225</v>
      </c>
      <c r="D23" s="15">
        <f>'2010-30'!$R24</f>
        <v>928617</v>
      </c>
      <c r="E23" s="15">
        <f>'2010-40'!$R24</f>
        <v>928617</v>
      </c>
      <c r="F23" s="15">
        <f>'2010-50'!$R24</f>
        <v>928617</v>
      </c>
      <c r="G23" s="15">
        <f>'2010-60'!$R24</f>
        <v>928617</v>
      </c>
      <c r="H23" s="15">
        <f>'2010-70'!$R24</f>
        <v>928617</v>
      </c>
      <c r="I23" s="15">
        <f>'2010-80'!$R24</f>
        <v>928617</v>
      </c>
      <c r="J23" s="15">
        <f>'2010-90'!$R24</f>
        <v>928617</v>
      </c>
      <c r="L23" s="15">
        <f t="shared" si="6"/>
        <v>102266.49854183996</v>
      </c>
      <c r="M23" s="15">
        <f t="shared" si="7"/>
        <v>408645.67264897231</v>
      </c>
      <c r="N23" s="15">
        <f t="shared" si="8"/>
        <v>417704.82880918775</v>
      </c>
      <c r="O23" s="15">
        <f t="shared" si="9"/>
        <v>0</v>
      </c>
      <c r="P23" s="15">
        <f t="shared" si="10"/>
        <v>0</v>
      </c>
      <c r="Q23" s="15">
        <f t="shared" si="11"/>
        <v>0</v>
      </c>
      <c r="R23" s="15">
        <f t="shared" si="0"/>
        <v>0</v>
      </c>
      <c r="S23" s="15">
        <f t="shared" si="1"/>
        <v>0</v>
      </c>
      <c r="T23" s="15">
        <f t="shared" si="2"/>
        <v>0</v>
      </c>
      <c r="U23" s="15"/>
      <c r="V23" s="15">
        <f t="shared" si="12"/>
        <v>928617.00000000012</v>
      </c>
      <c r="X23" s="15">
        <f t="shared" si="3"/>
        <v>166348.76540378554</v>
      </c>
      <c r="Y23" s="20">
        <f t="shared" si="13"/>
        <v>25</v>
      </c>
      <c r="Z23" s="20" t="str">
        <f t="shared" si="14"/>
        <v>Kansas City</v>
      </c>
      <c r="AA23" s="20">
        <f t="shared" si="15"/>
        <v>19</v>
      </c>
      <c r="AB23" s="20">
        <f t="shared" si="21"/>
        <v>19</v>
      </c>
      <c r="AC23" s="20">
        <f t="shared" si="22"/>
        <v>22</v>
      </c>
      <c r="AD23" s="20">
        <f t="shared" si="23"/>
        <v>28</v>
      </c>
      <c r="AE23" s="20">
        <f t="shared" si="24"/>
        <v>28</v>
      </c>
      <c r="AF23" s="20">
        <f t="shared" si="25"/>
        <v>28</v>
      </c>
      <c r="AG23" s="20" t="str">
        <f t="shared" si="5"/>
        <v>Kansas City</v>
      </c>
    </row>
    <row r="24" spans="1:33">
      <c r="A24" s="20" t="s">
        <v>63</v>
      </c>
      <c r="B24" s="15">
        <f>'2010-10'!R25</f>
        <v>136644.68342248775</v>
      </c>
      <c r="C24" s="15">
        <f>'2010-20'!$R25</f>
        <v>804545.05145008082</v>
      </c>
      <c r="D24" s="15">
        <f>'2010-30'!$R25</f>
        <v>842097</v>
      </c>
      <c r="E24" s="15">
        <f>'2010-40'!$R25</f>
        <v>842097</v>
      </c>
      <c r="F24" s="15">
        <f>'2010-50'!$R25</f>
        <v>842097</v>
      </c>
      <c r="G24" s="15">
        <f>'2010-60'!$R25</f>
        <v>842097</v>
      </c>
      <c r="H24" s="15">
        <f>'2010-70'!$R25</f>
        <v>842097</v>
      </c>
      <c r="I24" s="15">
        <f>'2010-80'!$R25</f>
        <v>842097</v>
      </c>
      <c r="J24" s="15">
        <f>'2010-90'!$R25</f>
        <v>842097</v>
      </c>
      <c r="L24" s="15">
        <f t="shared" si="6"/>
        <v>136644.68342248775</v>
      </c>
      <c r="M24" s="15">
        <f t="shared" si="7"/>
        <v>667900.36802759301</v>
      </c>
      <c r="N24" s="15">
        <f t="shared" si="8"/>
        <v>37551.94854991918</v>
      </c>
      <c r="O24" s="15">
        <f t="shared" si="9"/>
        <v>0</v>
      </c>
      <c r="P24" s="15">
        <f t="shared" si="10"/>
        <v>0</v>
      </c>
      <c r="Q24" s="15">
        <f t="shared" si="11"/>
        <v>0</v>
      </c>
      <c r="R24" s="15">
        <f t="shared" si="0"/>
        <v>0</v>
      </c>
      <c r="S24" s="15">
        <f t="shared" si="1"/>
        <v>0</v>
      </c>
      <c r="T24" s="15">
        <f t="shared" si="2"/>
        <v>0</v>
      </c>
      <c r="U24" s="15"/>
      <c r="V24" s="15">
        <f t="shared" si="12"/>
        <v>842097</v>
      </c>
      <c r="X24" s="15">
        <f t="shared" si="3"/>
        <v>199651.80864094995</v>
      </c>
      <c r="Y24" s="20">
        <f t="shared" si="13"/>
        <v>15</v>
      </c>
      <c r="Z24" s="20" t="str">
        <f t="shared" si="14"/>
        <v>Las Vegas</v>
      </c>
      <c r="AA24" s="20">
        <f t="shared" si="15"/>
        <v>8</v>
      </c>
      <c r="AB24" s="20">
        <f t="shared" si="21"/>
        <v>3</v>
      </c>
      <c r="AC24" s="20">
        <f t="shared" si="22"/>
        <v>27</v>
      </c>
      <c r="AD24" s="20">
        <f t="shared" si="23"/>
        <v>29</v>
      </c>
      <c r="AE24" s="20">
        <f t="shared" si="24"/>
        <v>29</v>
      </c>
      <c r="AF24" s="20">
        <f t="shared" si="25"/>
        <v>29</v>
      </c>
      <c r="AG24" s="20" t="str">
        <f t="shared" si="5"/>
        <v>Las Vegas</v>
      </c>
    </row>
    <row r="25" spans="1:33">
      <c r="A25" s="20" t="s">
        <v>64</v>
      </c>
      <c r="B25" s="15">
        <f>'2010-10'!R26</f>
        <v>160034.31842525097</v>
      </c>
      <c r="C25" s="15">
        <f>'2010-20'!$R26</f>
        <v>739229.94602194428</v>
      </c>
      <c r="D25" s="15">
        <f>'2010-30'!$R26</f>
        <v>1726114.9911554197</v>
      </c>
      <c r="E25" s="15">
        <f>'2010-40'!$R26</f>
        <v>3136783.6384625924</v>
      </c>
      <c r="F25" s="15">
        <f>'2010-50'!$R26</f>
        <v>4951565.2156178048</v>
      </c>
      <c r="G25" s="15">
        <f>'2010-60'!$R26</f>
        <v>5357989</v>
      </c>
      <c r="H25" s="15">
        <f>'2010-70'!$R26</f>
        <v>5357989</v>
      </c>
      <c r="I25" s="15">
        <f>'2010-80'!$R26</f>
        <v>5357989</v>
      </c>
      <c r="J25" s="15">
        <f>'2010-90'!$R26</f>
        <v>5357989</v>
      </c>
      <c r="L25" s="15">
        <f t="shared" si="6"/>
        <v>160034.31842525097</v>
      </c>
      <c r="M25" s="15">
        <f t="shared" si="7"/>
        <v>579195.62759669335</v>
      </c>
      <c r="N25" s="15">
        <f t="shared" si="8"/>
        <v>986885.04513347545</v>
      </c>
      <c r="O25" s="15">
        <f t="shared" si="9"/>
        <v>1410668.6473071727</v>
      </c>
      <c r="P25" s="15">
        <f t="shared" si="10"/>
        <v>1814781.5771552124</v>
      </c>
      <c r="Q25" s="15">
        <f t="shared" si="11"/>
        <v>406423.78438219521</v>
      </c>
      <c r="R25" s="15">
        <f t="shared" si="0"/>
        <v>0</v>
      </c>
      <c r="S25" s="15">
        <f t="shared" si="1"/>
        <v>0</v>
      </c>
      <c r="T25" s="15">
        <f t="shared" si="2"/>
        <v>0</v>
      </c>
      <c r="U25" s="15"/>
      <c r="V25" s="15">
        <f t="shared" si="12"/>
        <v>5357989</v>
      </c>
      <c r="X25" s="15">
        <f t="shared" si="3"/>
        <v>372459.43851385766</v>
      </c>
      <c r="Y25" s="20">
        <f t="shared" si="13"/>
        <v>1</v>
      </c>
      <c r="Z25" s="20" t="str">
        <f t="shared" si="14"/>
        <v>Los Angeles</v>
      </c>
      <c r="AA25" s="20">
        <f t="shared" si="15"/>
        <v>5</v>
      </c>
      <c r="AB25" s="20">
        <f t="shared" si="21"/>
        <v>5</v>
      </c>
      <c r="AC25" s="20">
        <f t="shared" si="22"/>
        <v>2</v>
      </c>
      <c r="AD25" s="20">
        <f t="shared" si="23"/>
        <v>1</v>
      </c>
      <c r="AE25" s="20">
        <f t="shared" si="24"/>
        <v>1</v>
      </c>
      <c r="AF25" s="20">
        <f t="shared" si="25"/>
        <v>2</v>
      </c>
      <c r="AG25" s="20" t="str">
        <f t="shared" si="5"/>
        <v>Los Angeles</v>
      </c>
    </row>
    <row r="26" spans="1:33">
      <c r="A26" s="20" t="s">
        <v>42</v>
      </c>
      <c r="B26" s="15">
        <f>'2010-10'!R27</f>
        <v>79057.93271713893</v>
      </c>
      <c r="C26" s="15">
        <f>'2010-20'!$R27</f>
        <v>421998.85877485515</v>
      </c>
      <c r="D26" s="15">
        <f>'2010-30'!$R27</f>
        <v>556059</v>
      </c>
      <c r="E26" s="15">
        <f>'2010-40'!$R27</f>
        <v>556059</v>
      </c>
      <c r="F26" s="15">
        <f>'2010-50'!$R27</f>
        <v>556059</v>
      </c>
      <c r="G26" s="15">
        <f>'2010-60'!$R27</f>
        <v>556059</v>
      </c>
      <c r="H26" s="15">
        <f>'2010-70'!$R27</f>
        <v>556059</v>
      </c>
      <c r="I26" s="15">
        <f>'2010-80'!$R27</f>
        <v>556059</v>
      </c>
      <c r="J26" s="15">
        <f>'2010-90'!$R27</f>
        <v>556059</v>
      </c>
      <c r="L26" s="15">
        <f t="shared" si="6"/>
        <v>79057.93271713893</v>
      </c>
      <c r="M26" s="15">
        <f t="shared" si="7"/>
        <v>342940.92605771625</v>
      </c>
      <c r="N26" s="15">
        <f t="shared" si="8"/>
        <v>134060.14122514485</v>
      </c>
      <c r="O26" s="15">
        <f t="shared" si="9"/>
        <v>0</v>
      </c>
      <c r="P26" s="15">
        <f t="shared" si="10"/>
        <v>0</v>
      </c>
      <c r="Q26" s="15">
        <f t="shared" si="11"/>
        <v>0</v>
      </c>
      <c r="R26" s="15">
        <f t="shared" si="0"/>
        <v>0</v>
      </c>
      <c r="S26" s="15">
        <f t="shared" si="1"/>
        <v>0</v>
      </c>
      <c r="T26" s="15">
        <f t="shared" si="2"/>
        <v>0</v>
      </c>
      <c r="U26" s="15"/>
      <c r="V26" s="15">
        <f t="shared" si="12"/>
        <v>556059</v>
      </c>
      <c r="X26" s="15">
        <f t="shared" si="3"/>
        <v>116923.25949159126</v>
      </c>
      <c r="Y26" s="20">
        <f t="shared" si="13"/>
        <v>49</v>
      </c>
      <c r="Z26" s="20" t="str">
        <f t="shared" si="14"/>
        <v>Louisville</v>
      </c>
      <c r="AA26" s="20">
        <f t="shared" si="15"/>
        <v>41</v>
      </c>
      <c r="AB26" s="20">
        <f t="shared" si="21"/>
        <v>37</v>
      </c>
      <c r="AC26" s="20">
        <f t="shared" si="22"/>
        <v>43</v>
      </c>
      <c r="AD26" s="20">
        <f t="shared" si="23"/>
        <v>43</v>
      </c>
      <c r="AE26" s="20">
        <f t="shared" si="24"/>
        <v>43</v>
      </c>
      <c r="AF26" s="20">
        <f t="shared" si="25"/>
        <v>43</v>
      </c>
      <c r="AG26" s="20" t="str">
        <f t="shared" si="5"/>
        <v>Louisville</v>
      </c>
    </row>
    <row r="27" spans="1:33">
      <c r="A27" s="20" t="s">
        <v>43</v>
      </c>
      <c r="B27" s="15">
        <f>'2010-10'!R28</f>
        <v>89298.164773087774</v>
      </c>
      <c r="C27" s="15">
        <f>'2010-20'!$R28</f>
        <v>484667.2538212809</v>
      </c>
      <c r="D27" s="15">
        <f>'2010-30'!$R28</f>
        <v>555166</v>
      </c>
      <c r="E27" s="15">
        <f>'2010-40'!$R28</f>
        <v>555166</v>
      </c>
      <c r="F27" s="15">
        <f>'2010-50'!$R28</f>
        <v>555166</v>
      </c>
      <c r="G27" s="15">
        <f>'2010-60'!$R28</f>
        <v>555166</v>
      </c>
      <c r="H27" s="15">
        <f>'2010-70'!$R28</f>
        <v>555166</v>
      </c>
      <c r="I27" s="15">
        <f>'2010-80'!$R28</f>
        <v>555166</v>
      </c>
      <c r="J27" s="15">
        <f>'2010-90'!$R28</f>
        <v>555166</v>
      </c>
      <c r="L27" s="15">
        <f t="shared" si="6"/>
        <v>89298.164773087774</v>
      </c>
      <c r="M27" s="15">
        <f t="shared" si="7"/>
        <v>395369.08904819313</v>
      </c>
      <c r="N27" s="15">
        <f t="shared" si="8"/>
        <v>70498.746178719099</v>
      </c>
      <c r="O27" s="15">
        <f t="shared" si="9"/>
        <v>0</v>
      </c>
      <c r="P27" s="15">
        <f t="shared" si="10"/>
        <v>0</v>
      </c>
      <c r="Q27" s="15">
        <f t="shared" si="11"/>
        <v>0</v>
      </c>
      <c r="R27" s="15">
        <f t="shared" si="0"/>
        <v>0</v>
      </c>
      <c r="S27" s="15">
        <f t="shared" si="1"/>
        <v>0</v>
      </c>
      <c r="T27" s="15">
        <f t="shared" si="2"/>
        <v>0</v>
      </c>
      <c r="U27" s="15"/>
      <c r="V27" s="15">
        <f t="shared" si="12"/>
        <v>555166</v>
      </c>
      <c r="X27" s="15">
        <f t="shared" si="3"/>
        <v>126343.39623941272</v>
      </c>
      <c r="Y27" s="20">
        <f t="shared" si="13"/>
        <v>41</v>
      </c>
      <c r="Z27" s="20" t="str">
        <f t="shared" si="14"/>
        <v>Memphis</v>
      </c>
      <c r="AA27" s="20">
        <f t="shared" si="15"/>
        <v>32</v>
      </c>
      <c r="AB27" s="20">
        <f t="shared" si="21"/>
        <v>23</v>
      </c>
      <c r="AC27" s="20">
        <f t="shared" si="22"/>
        <v>44</v>
      </c>
      <c r="AD27" s="20">
        <f t="shared" si="23"/>
        <v>44</v>
      </c>
      <c r="AE27" s="20">
        <f t="shared" si="24"/>
        <v>44</v>
      </c>
      <c r="AF27" s="20">
        <f t="shared" si="25"/>
        <v>44</v>
      </c>
      <c r="AG27" s="20" t="str">
        <f t="shared" si="5"/>
        <v>Memphis</v>
      </c>
    </row>
    <row r="28" spans="1:33">
      <c r="A28" s="20" t="s">
        <v>44</v>
      </c>
      <c r="B28" s="15">
        <f>'2010-10'!R29</f>
        <v>133597.1172921501</v>
      </c>
      <c r="C28" s="15">
        <f>'2010-20'!$R29</f>
        <v>649406.37926719349</v>
      </c>
      <c r="D28" s="15">
        <f>'2010-30'!$R29</f>
        <v>795077</v>
      </c>
      <c r="E28" s="15">
        <f>'2010-40'!$R29</f>
        <v>795077</v>
      </c>
      <c r="F28" s="15">
        <f>'2010-50'!$R29</f>
        <v>795077</v>
      </c>
      <c r="G28" s="15">
        <f>'2010-60'!$R29</f>
        <v>795077</v>
      </c>
      <c r="H28" s="15">
        <f>'2010-70'!$R29</f>
        <v>795077</v>
      </c>
      <c r="I28" s="15">
        <f>'2010-80'!$R29</f>
        <v>795077</v>
      </c>
      <c r="J28" s="15">
        <f>'2010-90'!$R29</f>
        <v>795077</v>
      </c>
      <c r="L28" s="15">
        <f t="shared" si="6"/>
        <v>133597.1172921501</v>
      </c>
      <c r="M28" s="15">
        <f t="shared" si="7"/>
        <v>515809.2619750434</v>
      </c>
      <c r="N28" s="15">
        <f t="shared" si="8"/>
        <v>145670.62073280651</v>
      </c>
      <c r="O28" s="15">
        <f t="shared" si="9"/>
        <v>0</v>
      </c>
      <c r="P28" s="15">
        <f t="shared" si="10"/>
        <v>0</v>
      </c>
      <c r="Q28" s="15">
        <f t="shared" si="11"/>
        <v>0</v>
      </c>
      <c r="R28" s="15">
        <f t="shared" si="0"/>
        <v>0</v>
      </c>
      <c r="S28" s="15">
        <f t="shared" si="1"/>
        <v>0</v>
      </c>
      <c r="T28" s="15">
        <f t="shared" si="2"/>
        <v>0</v>
      </c>
      <c r="U28" s="15"/>
      <c r="V28" s="15">
        <f t="shared" si="12"/>
        <v>795077</v>
      </c>
      <c r="X28" s="15">
        <f t="shared" si="3"/>
        <v>177384.0888313615</v>
      </c>
      <c r="Y28" s="20">
        <f t="shared" si="13"/>
        <v>21</v>
      </c>
      <c r="Z28" s="20" t="str">
        <f t="shared" si="14"/>
        <v>Milwaukee</v>
      </c>
      <c r="AA28" s="20">
        <f t="shared" si="15"/>
        <v>10</v>
      </c>
      <c r="AB28" s="20">
        <f t="shared" si="21"/>
        <v>9</v>
      </c>
      <c r="AC28" s="20">
        <f t="shared" si="22"/>
        <v>30</v>
      </c>
      <c r="AD28" s="20">
        <f t="shared" si="23"/>
        <v>32</v>
      </c>
      <c r="AE28" s="20">
        <f t="shared" si="24"/>
        <v>32</v>
      </c>
      <c r="AF28" s="20">
        <f t="shared" si="25"/>
        <v>32</v>
      </c>
      <c r="AG28" s="20" t="str">
        <f t="shared" si="5"/>
        <v>Milwaukee</v>
      </c>
    </row>
    <row r="29" spans="1:33">
      <c r="A29" s="20" t="s">
        <v>45</v>
      </c>
      <c r="B29" s="15">
        <f>'2010-10'!R30</f>
        <v>92057.108935879427</v>
      </c>
      <c r="C29" s="15">
        <f>'2010-20'!$R30</f>
        <v>463630.28202106419</v>
      </c>
      <c r="D29" s="15">
        <f>'2010-30'!$R30</f>
        <v>1098192.2862190132</v>
      </c>
      <c r="E29" s="15">
        <f>'2010-40'!$R30</f>
        <v>1681079</v>
      </c>
      <c r="F29" s="15">
        <f>'2010-50'!$R30</f>
        <v>1681079</v>
      </c>
      <c r="G29" s="15">
        <f>'2010-60'!$R30</f>
        <v>1681079</v>
      </c>
      <c r="H29" s="15">
        <f>'2010-70'!$R30</f>
        <v>1681079</v>
      </c>
      <c r="I29" s="15">
        <f>'2010-80'!$R30</f>
        <v>1681079</v>
      </c>
      <c r="J29" s="15">
        <f>'2010-90'!$R30</f>
        <v>1681079</v>
      </c>
      <c r="L29" s="15">
        <f t="shared" si="6"/>
        <v>92057.108935879427</v>
      </c>
      <c r="M29" s="15">
        <f t="shared" si="7"/>
        <v>371573.17308518477</v>
      </c>
      <c r="N29" s="15">
        <f t="shared" si="8"/>
        <v>634562.00419794896</v>
      </c>
      <c r="O29" s="15">
        <f t="shared" si="9"/>
        <v>582886.71378098684</v>
      </c>
      <c r="P29" s="15">
        <f t="shared" si="10"/>
        <v>0</v>
      </c>
      <c r="Q29" s="15">
        <f t="shared" si="11"/>
        <v>0</v>
      </c>
      <c r="R29" s="15">
        <f t="shared" si="0"/>
        <v>0</v>
      </c>
      <c r="S29" s="15">
        <f t="shared" si="1"/>
        <v>0</v>
      </c>
      <c r="T29" s="15">
        <f t="shared" si="2"/>
        <v>0</v>
      </c>
      <c r="U29" s="15"/>
      <c r="V29" s="15">
        <f t="shared" si="12"/>
        <v>1681079</v>
      </c>
      <c r="X29" s="15">
        <f t="shared" si="3"/>
        <v>197709.16860339479</v>
      </c>
      <c r="Y29" s="20">
        <f t="shared" si="13"/>
        <v>17</v>
      </c>
      <c r="Z29" s="20" t="str">
        <f t="shared" si="14"/>
        <v>Minneapolis-St.Paul</v>
      </c>
      <c r="AA29" s="20">
        <f t="shared" si="15"/>
        <v>28</v>
      </c>
      <c r="AB29" s="20">
        <f t="shared" si="21"/>
        <v>26</v>
      </c>
      <c r="AC29" s="20">
        <f t="shared" si="22"/>
        <v>9</v>
      </c>
      <c r="AD29" s="20">
        <f t="shared" si="23"/>
        <v>11</v>
      </c>
      <c r="AE29" s="20">
        <f t="shared" si="24"/>
        <v>13</v>
      </c>
      <c r="AF29" s="20">
        <f t="shared" si="25"/>
        <v>13</v>
      </c>
      <c r="AG29" s="20" t="str">
        <f t="shared" si="5"/>
        <v>Minneapolis-St.Paul</v>
      </c>
    </row>
    <row r="30" spans="1:33">
      <c r="A30" s="20" t="s">
        <v>46</v>
      </c>
      <c r="B30" s="15">
        <f>'2010-10'!R31</f>
        <v>97082.438476505005</v>
      </c>
      <c r="C30" s="15">
        <f>'2010-20'!$R31</f>
        <v>561507.19301874784</v>
      </c>
      <c r="D30" s="15">
        <f>'2010-30'!$R31</f>
        <v>726697</v>
      </c>
      <c r="E30" s="15">
        <f>'2010-40'!$R31</f>
        <v>726697</v>
      </c>
      <c r="F30" s="15">
        <f>'2010-50'!$R31</f>
        <v>726697</v>
      </c>
      <c r="G30" s="15">
        <f>'2010-60'!$R31</f>
        <v>726697</v>
      </c>
      <c r="H30" s="15">
        <f>'2010-70'!$R31</f>
        <v>726697</v>
      </c>
      <c r="I30" s="15">
        <f>'2010-80'!$R31</f>
        <v>726697</v>
      </c>
      <c r="J30" s="15">
        <f>'2010-90'!$R31</f>
        <v>726697</v>
      </c>
      <c r="L30" s="15">
        <f t="shared" si="6"/>
        <v>97082.438476505005</v>
      </c>
      <c r="M30" s="15">
        <f t="shared" si="7"/>
        <v>464424.75454224285</v>
      </c>
      <c r="N30" s="15">
        <f t="shared" si="8"/>
        <v>165189.80698125216</v>
      </c>
      <c r="O30" s="15">
        <f t="shared" si="9"/>
        <v>0</v>
      </c>
      <c r="P30" s="15">
        <f t="shared" si="10"/>
        <v>0</v>
      </c>
      <c r="Q30" s="15">
        <f t="shared" si="11"/>
        <v>0</v>
      </c>
      <c r="R30" s="15">
        <f t="shared" si="0"/>
        <v>0</v>
      </c>
      <c r="S30" s="15">
        <f t="shared" si="1"/>
        <v>0</v>
      </c>
      <c r="T30" s="15">
        <f t="shared" si="2"/>
        <v>0</v>
      </c>
      <c r="U30" s="15"/>
      <c r="V30" s="15">
        <f t="shared" si="12"/>
        <v>726697</v>
      </c>
      <c r="X30" s="15">
        <f t="shared" si="3"/>
        <v>152373.37352083556</v>
      </c>
      <c r="Y30" s="20">
        <f t="shared" si="13"/>
        <v>33</v>
      </c>
      <c r="Z30" s="20" t="str">
        <f t="shared" si="14"/>
        <v>Nashville</v>
      </c>
      <c r="AA30" s="20">
        <f t="shared" si="15"/>
        <v>22</v>
      </c>
      <c r="AB30" s="20">
        <f t="shared" si="21"/>
        <v>15</v>
      </c>
      <c r="AC30" s="20">
        <f t="shared" si="22"/>
        <v>33</v>
      </c>
      <c r="AD30" s="20">
        <f t="shared" si="23"/>
        <v>35</v>
      </c>
      <c r="AE30" s="20">
        <f t="shared" si="24"/>
        <v>35</v>
      </c>
      <c r="AF30" s="20">
        <f t="shared" si="25"/>
        <v>35</v>
      </c>
      <c r="AG30" s="20" t="str">
        <f t="shared" si="5"/>
        <v>Nashville</v>
      </c>
    </row>
    <row r="31" spans="1:33">
      <c r="A31" s="20" t="s">
        <v>47</v>
      </c>
      <c r="B31" s="15">
        <f>'2010-10'!R32</f>
        <v>96985.58162776391</v>
      </c>
      <c r="C31" s="15">
        <f>'2010-20'!$R32</f>
        <v>460421</v>
      </c>
      <c r="D31" s="15">
        <f>'2010-30'!$R32</f>
        <v>460421</v>
      </c>
      <c r="E31" s="15">
        <f>'2010-40'!$R32</f>
        <v>460421</v>
      </c>
      <c r="F31" s="15">
        <f>'2010-50'!$R32</f>
        <v>460421</v>
      </c>
      <c r="G31" s="15">
        <f>'2010-60'!$R32</f>
        <v>460421</v>
      </c>
      <c r="H31" s="15">
        <f>'2010-70'!$R32</f>
        <v>460421</v>
      </c>
      <c r="I31" s="15">
        <f>'2010-80'!$R32</f>
        <v>460421</v>
      </c>
      <c r="J31" s="15">
        <f>'2010-90'!$R32</f>
        <v>460421</v>
      </c>
      <c r="L31" s="15">
        <f t="shared" si="6"/>
        <v>96985.58162776391</v>
      </c>
      <c r="M31" s="15">
        <f t="shared" si="7"/>
        <v>363435.41837223608</v>
      </c>
      <c r="N31" s="15">
        <f t="shared" si="8"/>
        <v>0</v>
      </c>
      <c r="O31" s="15">
        <f t="shared" si="9"/>
        <v>0</v>
      </c>
      <c r="P31" s="15">
        <f t="shared" si="10"/>
        <v>0</v>
      </c>
      <c r="Q31" s="15">
        <f t="shared" si="11"/>
        <v>0</v>
      </c>
      <c r="R31" s="15">
        <f t="shared" si="0"/>
        <v>0</v>
      </c>
      <c r="S31" s="15">
        <f t="shared" si="1"/>
        <v>0</v>
      </c>
      <c r="T31" s="15">
        <f t="shared" si="2"/>
        <v>0</v>
      </c>
      <c r="U31" s="15"/>
      <c r="V31" s="15">
        <f t="shared" si="12"/>
        <v>460421</v>
      </c>
      <c r="X31" s="15">
        <f t="shared" si="3"/>
        <v>116954.77641239467</v>
      </c>
      <c r="Y31" s="20">
        <f t="shared" si="13"/>
        <v>48</v>
      </c>
      <c r="Z31" s="20" t="str">
        <f t="shared" si="14"/>
        <v>New Orleans</v>
      </c>
      <c r="AA31" s="20">
        <f t="shared" si="15"/>
        <v>23</v>
      </c>
      <c r="AB31" s="20">
        <f t="shared" si="21"/>
        <v>29</v>
      </c>
      <c r="AC31" s="20">
        <f t="shared" si="22"/>
        <v>49</v>
      </c>
      <c r="AD31" s="20">
        <f t="shared" si="23"/>
        <v>49</v>
      </c>
      <c r="AE31" s="20">
        <f t="shared" si="24"/>
        <v>49</v>
      </c>
      <c r="AF31" s="20">
        <f t="shared" si="25"/>
        <v>49</v>
      </c>
      <c r="AG31" s="20" t="str">
        <f t="shared" si="5"/>
        <v>New Orleans</v>
      </c>
    </row>
    <row r="32" spans="1:33">
      <c r="A32" s="20" t="s">
        <v>65</v>
      </c>
      <c r="B32" s="15">
        <f>'2010-10'!R33</f>
        <v>140180.44955866208</v>
      </c>
      <c r="C32" s="15">
        <f>'2010-20'!$R33</f>
        <v>626329.69964823371</v>
      </c>
      <c r="D32" s="15">
        <f>'2010-30'!$R33</f>
        <v>1470313.6050755326</v>
      </c>
      <c r="E32" s="15">
        <f>'2010-40'!$R33</f>
        <v>2673561.4934570636</v>
      </c>
      <c r="F32" s="15">
        <f>'2010-50'!$R33</f>
        <v>4238638.9389469624</v>
      </c>
      <c r="G32" s="15">
        <f>'2010-60'!$R33</f>
        <v>6157272.6066673696</v>
      </c>
      <c r="H32" s="15">
        <f>'2010-70'!$R33</f>
        <v>8172682</v>
      </c>
      <c r="I32" s="15">
        <f>'2010-80'!$R33</f>
        <v>8172682</v>
      </c>
      <c r="J32" s="15">
        <f>'2010-90'!$R33</f>
        <v>8172682</v>
      </c>
      <c r="L32" s="15">
        <f t="shared" si="6"/>
        <v>140180.44955866208</v>
      </c>
      <c r="M32" s="15">
        <f t="shared" si="7"/>
        <v>486149.25008957164</v>
      </c>
      <c r="N32" s="15">
        <f t="shared" si="8"/>
        <v>843983.90542729886</v>
      </c>
      <c r="O32" s="15">
        <f t="shared" si="9"/>
        <v>1203247.888381531</v>
      </c>
      <c r="P32" s="15">
        <f t="shared" si="10"/>
        <v>1565077.4454898988</v>
      </c>
      <c r="Q32" s="15">
        <f t="shared" si="11"/>
        <v>1918633.6677204072</v>
      </c>
      <c r="R32" s="15">
        <f t="shared" si="0"/>
        <v>2015409.3933326304</v>
      </c>
      <c r="S32" s="15">
        <f t="shared" si="1"/>
        <v>0</v>
      </c>
      <c r="T32" s="15">
        <f t="shared" si="2"/>
        <v>0</v>
      </c>
      <c r="U32" s="15"/>
      <c r="V32" s="15">
        <f t="shared" si="12"/>
        <v>8172682</v>
      </c>
      <c r="X32" s="15">
        <f t="shared" si="3"/>
        <v>338658.47773982509</v>
      </c>
      <c r="Y32" s="20">
        <f t="shared" si="13"/>
        <v>2</v>
      </c>
      <c r="Z32" s="20" t="str">
        <f t="shared" si="14"/>
        <v>New York</v>
      </c>
      <c r="AA32" s="20">
        <f t="shared" si="15"/>
        <v>7</v>
      </c>
      <c r="AB32" s="20">
        <f t="shared" si="21"/>
        <v>11</v>
      </c>
      <c r="AC32" s="20">
        <f t="shared" si="22"/>
        <v>4</v>
      </c>
      <c r="AD32" s="20">
        <f t="shared" si="23"/>
        <v>2</v>
      </c>
      <c r="AE32" s="20">
        <f t="shared" si="24"/>
        <v>2</v>
      </c>
      <c r="AF32" s="20">
        <f t="shared" si="25"/>
        <v>1</v>
      </c>
      <c r="AG32" s="20" t="str">
        <f t="shared" si="5"/>
        <v>New York</v>
      </c>
    </row>
    <row r="33" spans="1:33">
      <c r="A33" s="20" t="s">
        <v>66</v>
      </c>
      <c r="B33" s="15">
        <f>'2010-10'!R34</f>
        <v>105809.28015960671</v>
      </c>
      <c r="C33" s="15">
        <f>'2010-20'!$R34</f>
        <v>480876</v>
      </c>
      <c r="D33" s="15">
        <f>'2010-30'!$R34</f>
        <v>480876</v>
      </c>
      <c r="E33" s="15">
        <f>'2010-40'!$R34</f>
        <v>480876</v>
      </c>
      <c r="F33" s="15">
        <f>'2010-50'!$R34</f>
        <v>480876</v>
      </c>
      <c r="G33" s="15">
        <f>'2010-60'!$R34</f>
        <v>480876</v>
      </c>
      <c r="H33" s="15">
        <f>'2010-70'!$R34</f>
        <v>480876</v>
      </c>
      <c r="I33" s="15">
        <f>'2010-80'!$R34</f>
        <v>480876</v>
      </c>
      <c r="J33" s="15">
        <f>'2010-90'!$R34</f>
        <v>480876</v>
      </c>
      <c r="L33" s="15">
        <f t="shared" si="6"/>
        <v>105809.28015960671</v>
      </c>
      <c r="M33" s="15">
        <f t="shared" si="7"/>
        <v>375066.71984039329</v>
      </c>
      <c r="N33" s="15">
        <f t="shared" si="8"/>
        <v>0</v>
      </c>
      <c r="O33" s="15">
        <f t="shared" si="9"/>
        <v>0</v>
      </c>
      <c r="P33" s="15">
        <f t="shared" si="10"/>
        <v>0</v>
      </c>
      <c r="Q33" s="15">
        <f t="shared" si="11"/>
        <v>0</v>
      </c>
      <c r="R33" s="15">
        <f t="shared" si="0"/>
        <v>0</v>
      </c>
      <c r="S33" s="15">
        <f t="shared" si="1"/>
        <v>0</v>
      </c>
      <c r="T33" s="15">
        <f t="shared" si="2"/>
        <v>0</v>
      </c>
      <c r="U33" s="15"/>
      <c r="V33" s="15">
        <f t="shared" si="12"/>
        <v>480876</v>
      </c>
      <c r="X33" s="15">
        <f t="shared" si="3"/>
        <v>123267.83899955731</v>
      </c>
      <c r="Y33" s="20">
        <f t="shared" si="13"/>
        <v>42</v>
      </c>
      <c r="Z33" s="20" t="str">
        <f t="shared" si="14"/>
        <v>Oklahoma City</v>
      </c>
      <c r="AA33" s="20">
        <f t="shared" si="15"/>
        <v>17</v>
      </c>
      <c r="AB33" s="20">
        <f t="shared" si="21"/>
        <v>24</v>
      </c>
      <c r="AC33" s="20">
        <f t="shared" si="22"/>
        <v>47</v>
      </c>
      <c r="AD33" s="20">
        <f t="shared" si="23"/>
        <v>47</v>
      </c>
      <c r="AE33" s="20">
        <f t="shared" si="24"/>
        <v>47</v>
      </c>
      <c r="AF33" s="20">
        <f t="shared" si="25"/>
        <v>47</v>
      </c>
      <c r="AG33" s="20" t="str">
        <f t="shared" si="5"/>
        <v>Oklahoma City</v>
      </c>
    </row>
    <row r="34" spans="1:33">
      <c r="A34" s="20" t="s">
        <v>48</v>
      </c>
      <c r="B34" s="15">
        <f>'2010-10'!R35</f>
        <v>90419.65062986908</v>
      </c>
      <c r="C34" s="15">
        <f>'2010-20'!$R35</f>
        <v>504804.26400460792</v>
      </c>
      <c r="D34" s="15">
        <f>'2010-30'!$R35</f>
        <v>939126</v>
      </c>
      <c r="E34" s="15">
        <f>'2010-40'!$R35</f>
        <v>939126</v>
      </c>
      <c r="F34" s="15">
        <f>'2010-50'!$R35</f>
        <v>939126</v>
      </c>
      <c r="G34" s="15">
        <f>'2010-60'!$R35</f>
        <v>939126</v>
      </c>
      <c r="H34" s="15">
        <f>'2010-70'!$R35</f>
        <v>939126</v>
      </c>
      <c r="I34" s="15">
        <f>'2010-80'!$R35</f>
        <v>939126</v>
      </c>
      <c r="J34" s="15">
        <f>'2010-90'!$R35</f>
        <v>939126</v>
      </c>
      <c r="L34" s="15">
        <f t="shared" si="6"/>
        <v>90419.65062986908</v>
      </c>
      <c r="M34" s="15">
        <f t="shared" si="7"/>
        <v>414384.61337473884</v>
      </c>
      <c r="N34" s="15">
        <f t="shared" si="8"/>
        <v>434321.73599539208</v>
      </c>
      <c r="O34" s="15">
        <f t="shared" si="9"/>
        <v>0</v>
      </c>
      <c r="P34" s="15">
        <f t="shared" si="10"/>
        <v>0</v>
      </c>
      <c r="Q34" s="15">
        <f t="shared" si="11"/>
        <v>0</v>
      </c>
      <c r="R34" s="15">
        <f t="shared" si="0"/>
        <v>0</v>
      </c>
      <c r="S34" s="15">
        <f t="shared" si="1"/>
        <v>0</v>
      </c>
      <c r="T34" s="15">
        <f t="shared" si="2"/>
        <v>0</v>
      </c>
      <c r="U34" s="15"/>
      <c r="V34" s="15">
        <f t="shared" si="12"/>
        <v>939126</v>
      </c>
      <c r="X34" s="15">
        <f t="shared" ref="X34:X52" si="26">L34*EXP(Beta*10)+M34*EXP(Beta*20)+N34*EXP(Beta*30)+O34*EXP(Beta*40)+P34*EXP(Beta*50)+Q34*EXP(Beta*60)+R34*EXP(Beta*70)+S34*EXP(Beta*80)+T34*EXP(Beta*90)</f>
        <v>163691.75746288797</v>
      </c>
      <c r="Y34" s="20">
        <f t="shared" si="13"/>
        <v>26</v>
      </c>
      <c r="Z34" s="20" t="str">
        <f t="shared" si="14"/>
        <v>Orlando</v>
      </c>
      <c r="AA34" s="20">
        <f t="shared" si="15"/>
        <v>31</v>
      </c>
      <c r="AB34" s="20">
        <f t="shared" si="21"/>
        <v>21</v>
      </c>
      <c r="AC34" s="20">
        <f t="shared" si="22"/>
        <v>20</v>
      </c>
      <c r="AD34" s="20">
        <f t="shared" si="23"/>
        <v>26</v>
      </c>
      <c r="AE34" s="20">
        <f t="shared" si="24"/>
        <v>26</v>
      </c>
      <c r="AF34" s="20">
        <f t="shared" si="25"/>
        <v>26</v>
      </c>
      <c r="AG34" s="20" t="str">
        <f t="shared" si="5"/>
        <v>Orlando</v>
      </c>
    </row>
    <row r="35" spans="1:33">
      <c r="A35" s="20" t="s">
        <v>67</v>
      </c>
      <c r="B35" s="15">
        <f>'2010-10'!R36</f>
        <v>93561.60128759213</v>
      </c>
      <c r="C35" s="15">
        <f>'2010-20'!$R36</f>
        <v>460309.30548726651</v>
      </c>
      <c r="D35" s="15">
        <f>'2010-30'!$R36</f>
        <v>1070554.612266724</v>
      </c>
      <c r="E35" s="15">
        <f>'2010-40'!$R36</f>
        <v>1954046.3865092034</v>
      </c>
      <c r="F35" s="15">
        <f>'2010-50'!$R36</f>
        <v>2565967</v>
      </c>
      <c r="G35" s="15">
        <f>'2010-60'!$R36</f>
        <v>2565967</v>
      </c>
      <c r="H35" s="15">
        <f>'2010-70'!$R36</f>
        <v>2565967</v>
      </c>
      <c r="I35" s="15">
        <f>'2010-80'!$R36</f>
        <v>2565967</v>
      </c>
      <c r="J35" s="15">
        <f>'2010-90'!$R36</f>
        <v>2565967</v>
      </c>
      <c r="L35" s="15">
        <f t="shared" si="6"/>
        <v>93561.60128759213</v>
      </c>
      <c r="M35" s="15">
        <f t="shared" si="7"/>
        <v>366747.70419967436</v>
      </c>
      <c r="N35" s="15">
        <f t="shared" si="8"/>
        <v>610245.30677945749</v>
      </c>
      <c r="O35" s="15">
        <f t="shared" si="9"/>
        <v>883491.77424247935</v>
      </c>
      <c r="P35" s="15">
        <f t="shared" si="10"/>
        <v>611920.61349079665</v>
      </c>
      <c r="Q35" s="15">
        <f t="shared" si="11"/>
        <v>0</v>
      </c>
      <c r="R35" s="15">
        <f t="shared" si="0"/>
        <v>0</v>
      </c>
      <c r="S35" s="15">
        <f t="shared" si="1"/>
        <v>0</v>
      </c>
      <c r="T35" s="15">
        <f t="shared" si="2"/>
        <v>0</v>
      </c>
      <c r="U35" s="15"/>
      <c r="V35" s="15">
        <f t="shared" si="12"/>
        <v>2565967</v>
      </c>
      <c r="X35" s="15">
        <f t="shared" si="26"/>
        <v>218666.01598380317</v>
      </c>
      <c r="Y35" s="20">
        <f t="shared" si="13"/>
        <v>8</v>
      </c>
      <c r="Z35" s="20" t="str">
        <f t="shared" si="14"/>
        <v>Philadelphia</v>
      </c>
      <c r="AA35" s="20">
        <f t="shared" si="15"/>
        <v>26</v>
      </c>
      <c r="AB35" s="20">
        <f t="shared" si="21"/>
        <v>30</v>
      </c>
      <c r="AC35" s="20">
        <f t="shared" si="22"/>
        <v>11</v>
      </c>
      <c r="AD35" s="20">
        <f t="shared" si="23"/>
        <v>6</v>
      </c>
      <c r="AE35" s="20">
        <f t="shared" si="24"/>
        <v>6</v>
      </c>
      <c r="AF35" s="20">
        <f t="shared" si="25"/>
        <v>6</v>
      </c>
      <c r="AG35" s="20" t="str">
        <f t="shared" si="5"/>
        <v>Philadelphia</v>
      </c>
    </row>
    <row r="36" spans="1:33">
      <c r="A36" s="20" t="s">
        <v>49</v>
      </c>
      <c r="B36" s="15">
        <f>'2010-10'!R37</f>
        <v>108670.26030188083</v>
      </c>
      <c r="C36" s="15">
        <f>'2010-20'!$R37</f>
        <v>634502.18257235456</v>
      </c>
      <c r="D36" s="15">
        <f>'2010-30'!$R37</f>
        <v>1488959.8196290752</v>
      </c>
      <c r="E36" s="15">
        <f>'2010-40'!$R37</f>
        <v>1644351</v>
      </c>
      <c r="F36" s="15">
        <f>'2010-50'!$R37</f>
        <v>1644351</v>
      </c>
      <c r="G36" s="15">
        <f>'2010-60'!$R37</f>
        <v>1644351</v>
      </c>
      <c r="H36" s="15">
        <f>'2010-70'!$R37</f>
        <v>1644351</v>
      </c>
      <c r="I36" s="15">
        <f>'2010-80'!$R37</f>
        <v>1644351</v>
      </c>
      <c r="J36" s="15">
        <f>'2010-90'!$R37</f>
        <v>1644351</v>
      </c>
      <c r="L36" s="15">
        <f t="shared" si="6"/>
        <v>108670.26030188083</v>
      </c>
      <c r="M36" s="15">
        <f t="shared" si="7"/>
        <v>525831.92227047379</v>
      </c>
      <c r="N36" s="15">
        <f t="shared" si="8"/>
        <v>854457.63705672068</v>
      </c>
      <c r="O36" s="15">
        <f t="shared" si="9"/>
        <v>155391.18037092476</v>
      </c>
      <c r="P36" s="15">
        <f t="shared" si="10"/>
        <v>0</v>
      </c>
      <c r="Q36" s="15">
        <f t="shared" si="11"/>
        <v>0</v>
      </c>
      <c r="R36" s="15">
        <f t="shared" si="0"/>
        <v>0</v>
      </c>
      <c r="S36" s="15">
        <f t="shared" si="1"/>
        <v>0</v>
      </c>
      <c r="T36" s="15">
        <f t="shared" si="2"/>
        <v>0</v>
      </c>
      <c r="U36" s="15"/>
      <c r="V36" s="15">
        <f t="shared" si="12"/>
        <v>1644351</v>
      </c>
      <c r="X36" s="15">
        <f t="shared" si="26"/>
        <v>238841.06464564998</v>
      </c>
      <c r="Y36" s="20">
        <f t="shared" si="13"/>
        <v>5</v>
      </c>
      <c r="Z36" s="20" t="str">
        <f t="shared" si="14"/>
        <v>Phoenix</v>
      </c>
      <c r="AA36" s="20">
        <f t="shared" si="15"/>
        <v>16</v>
      </c>
      <c r="AB36" s="20">
        <f t="shared" si="21"/>
        <v>10</v>
      </c>
      <c r="AC36" s="20">
        <f t="shared" si="22"/>
        <v>3</v>
      </c>
      <c r="AD36" s="20">
        <f t="shared" si="23"/>
        <v>13</v>
      </c>
      <c r="AE36" s="20">
        <f t="shared" si="24"/>
        <v>14</v>
      </c>
      <c r="AF36" s="20">
        <f t="shared" si="25"/>
        <v>14</v>
      </c>
      <c r="AG36" s="20" t="str">
        <f t="shared" si="5"/>
        <v>Phoenix</v>
      </c>
    </row>
    <row r="37" spans="1:33">
      <c r="A37" s="20" t="s">
        <v>50</v>
      </c>
      <c r="B37" s="15">
        <f>'2010-10'!R38</f>
        <v>93540.064510903045</v>
      </c>
      <c r="C37" s="15">
        <f>'2010-20'!$R38</f>
        <v>440912.48710838344</v>
      </c>
      <c r="D37" s="15">
        <f>'2010-30'!$R38</f>
        <v>1045718.9798404011</v>
      </c>
      <c r="E37" s="15">
        <f>'2010-40'!$R38</f>
        <v>1068166</v>
      </c>
      <c r="F37" s="15">
        <f>'2010-50'!$R38</f>
        <v>1068166</v>
      </c>
      <c r="G37" s="15">
        <f>'2010-60'!$R38</f>
        <v>1068166</v>
      </c>
      <c r="H37" s="15">
        <f>'2010-70'!$R38</f>
        <v>1068166</v>
      </c>
      <c r="I37" s="15">
        <f>'2010-80'!$R38</f>
        <v>1068166</v>
      </c>
      <c r="J37" s="15">
        <f>'2010-90'!$R38</f>
        <v>1068166</v>
      </c>
      <c r="L37" s="15">
        <f t="shared" si="6"/>
        <v>93540.064510903045</v>
      </c>
      <c r="M37" s="15">
        <f t="shared" si="7"/>
        <v>347372.42259748041</v>
      </c>
      <c r="N37" s="15">
        <f t="shared" si="8"/>
        <v>604806.49273201765</v>
      </c>
      <c r="O37" s="15">
        <f t="shared" si="9"/>
        <v>22447.020159598906</v>
      </c>
      <c r="P37" s="15">
        <f t="shared" si="10"/>
        <v>0</v>
      </c>
      <c r="Q37" s="15">
        <f t="shared" si="11"/>
        <v>0</v>
      </c>
      <c r="R37" s="15">
        <f t="shared" si="0"/>
        <v>0</v>
      </c>
      <c r="S37" s="15">
        <f t="shared" si="1"/>
        <v>0</v>
      </c>
      <c r="T37" s="15">
        <f t="shared" si="2"/>
        <v>0</v>
      </c>
      <c r="U37" s="15"/>
      <c r="V37" s="15">
        <f t="shared" si="12"/>
        <v>1068166</v>
      </c>
      <c r="X37" s="15">
        <f t="shared" si="26"/>
        <v>167945.34003119002</v>
      </c>
      <c r="Y37" s="20">
        <f t="shared" si="13"/>
        <v>24</v>
      </c>
      <c r="Z37" s="20" t="str">
        <f t="shared" si="14"/>
        <v>Pittsburgh</v>
      </c>
      <c r="AA37" s="20">
        <f t="shared" si="15"/>
        <v>27</v>
      </c>
      <c r="AB37" s="20">
        <f t="shared" si="21"/>
        <v>34</v>
      </c>
      <c r="AC37" s="20">
        <f t="shared" si="22"/>
        <v>13</v>
      </c>
      <c r="AD37" s="20">
        <f t="shared" si="23"/>
        <v>21</v>
      </c>
      <c r="AE37" s="20">
        <f t="shared" si="24"/>
        <v>21</v>
      </c>
      <c r="AF37" s="20">
        <f t="shared" si="25"/>
        <v>21</v>
      </c>
      <c r="AG37" s="20" t="str">
        <f t="shared" si="5"/>
        <v>Pittsburgh</v>
      </c>
    </row>
    <row r="38" spans="1:33">
      <c r="A38" s="20" t="s">
        <v>51</v>
      </c>
      <c r="B38" s="15">
        <f>'2010-10'!R39</f>
        <v>96543.909938438737</v>
      </c>
      <c r="C38" s="15">
        <f>'2010-20'!$R39</f>
        <v>449776.96915516292</v>
      </c>
      <c r="D38" s="15">
        <f>'2010-30'!$R39</f>
        <v>947318</v>
      </c>
      <c r="E38" s="15">
        <f>'2010-40'!$R39</f>
        <v>947318</v>
      </c>
      <c r="F38" s="15">
        <f>'2010-50'!$R39</f>
        <v>947318</v>
      </c>
      <c r="G38" s="15">
        <f>'2010-60'!$R39</f>
        <v>947318</v>
      </c>
      <c r="H38" s="15">
        <f>'2010-70'!$R39</f>
        <v>947318</v>
      </c>
      <c r="I38" s="15">
        <f>'2010-80'!$R39</f>
        <v>947318</v>
      </c>
      <c r="J38" s="15">
        <f>'2010-90'!$R39</f>
        <v>947318</v>
      </c>
      <c r="L38" s="15">
        <f t="shared" si="6"/>
        <v>96543.909938438737</v>
      </c>
      <c r="M38" s="15">
        <f t="shared" si="7"/>
        <v>353233.05921672418</v>
      </c>
      <c r="N38" s="15">
        <f t="shared" si="8"/>
        <v>497541.03084483708</v>
      </c>
      <c r="O38" s="15">
        <f t="shared" si="9"/>
        <v>0</v>
      </c>
      <c r="P38" s="15">
        <f t="shared" si="10"/>
        <v>0</v>
      </c>
      <c r="Q38" s="15">
        <f t="shared" si="11"/>
        <v>0</v>
      </c>
      <c r="R38" s="15">
        <f t="shared" si="0"/>
        <v>0</v>
      </c>
      <c r="S38" s="15">
        <f t="shared" si="1"/>
        <v>0</v>
      </c>
      <c r="T38" s="15">
        <f t="shared" si="2"/>
        <v>0</v>
      </c>
      <c r="U38" s="15"/>
      <c r="V38" s="15">
        <f t="shared" si="12"/>
        <v>947318</v>
      </c>
      <c r="X38" s="15">
        <f t="shared" si="26"/>
        <v>159832.40373666963</v>
      </c>
      <c r="Y38" s="20">
        <f t="shared" si="13"/>
        <v>28</v>
      </c>
      <c r="Z38" s="20" t="str">
        <f t="shared" si="14"/>
        <v>Portland</v>
      </c>
      <c r="AA38" s="20">
        <f t="shared" si="15"/>
        <v>24</v>
      </c>
      <c r="AB38" s="20">
        <f t="shared" si="21"/>
        <v>32</v>
      </c>
      <c r="AC38" s="20">
        <f t="shared" si="22"/>
        <v>18</v>
      </c>
      <c r="AD38" s="20">
        <f t="shared" si="23"/>
        <v>24</v>
      </c>
      <c r="AE38" s="20">
        <f t="shared" si="24"/>
        <v>24</v>
      </c>
      <c r="AF38" s="20">
        <f t="shared" si="25"/>
        <v>24</v>
      </c>
      <c r="AG38" s="20" t="str">
        <f t="shared" si="5"/>
        <v>Portland</v>
      </c>
    </row>
    <row r="39" spans="1:33">
      <c r="A39" s="20" t="s">
        <v>52</v>
      </c>
      <c r="B39" s="15">
        <f>'2010-10'!R40</f>
        <v>82746.815131707859</v>
      </c>
      <c r="C39" s="15">
        <f>'2010-20'!$R40</f>
        <v>393816.49634894449</v>
      </c>
      <c r="D39" s="15">
        <f>'2010-30'!$R40</f>
        <v>635903</v>
      </c>
      <c r="E39" s="15">
        <f>'2010-40'!$R40</f>
        <v>635903</v>
      </c>
      <c r="F39" s="15">
        <f>'2010-50'!$R40</f>
        <v>635903</v>
      </c>
      <c r="G39" s="15">
        <f>'2010-60'!$R40</f>
        <v>635903</v>
      </c>
      <c r="H39" s="15">
        <f>'2010-70'!$R40</f>
        <v>635903</v>
      </c>
      <c r="I39" s="15">
        <f>'2010-80'!$R40</f>
        <v>635903</v>
      </c>
      <c r="J39" s="15">
        <f>'2010-90'!$R40</f>
        <v>635903</v>
      </c>
      <c r="L39" s="15">
        <f t="shared" si="6"/>
        <v>82746.815131707859</v>
      </c>
      <c r="M39" s="15">
        <f t="shared" si="7"/>
        <v>311069.68121723662</v>
      </c>
      <c r="N39" s="15">
        <f t="shared" si="8"/>
        <v>242086.50365105551</v>
      </c>
      <c r="O39" s="15">
        <f t="shared" si="9"/>
        <v>0</v>
      </c>
      <c r="P39" s="15">
        <f t="shared" si="10"/>
        <v>0</v>
      </c>
      <c r="Q39" s="15">
        <f t="shared" si="11"/>
        <v>0</v>
      </c>
      <c r="R39" s="15">
        <f t="shared" si="0"/>
        <v>0</v>
      </c>
      <c r="S39" s="15">
        <f t="shared" si="1"/>
        <v>0</v>
      </c>
      <c r="T39" s="15">
        <f t="shared" si="2"/>
        <v>0</v>
      </c>
      <c r="U39" s="15"/>
      <c r="V39" s="15">
        <f t="shared" si="12"/>
        <v>635903</v>
      </c>
      <c r="X39" s="15">
        <f t="shared" si="26"/>
        <v>121946.01834881068</v>
      </c>
      <c r="Y39" s="20">
        <f t="shared" si="13"/>
        <v>44</v>
      </c>
      <c r="Z39" s="20" t="str">
        <f t="shared" si="14"/>
        <v>Providence</v>
      </c>
      <c r="AA39" s="20">
        <f t="shared" si="15"/>
        <v>38</v>
      </c>
      <c r="AB39" s="20">
        <f t="shared" si="21"/>
        <v>42</v>
      </c>
      <c r="AC39" s="20">
        <f t="shared" si="22"/>
        <v>41</v>
      </c>
      <c r="AD39" s="20">
        <f t="shared" si="23"/>
        <v>41</v>
      </c>
      <c r="AE39" s="20">
        <f t="shared" si="24"/>
        <v>41</v>
      </c>
      <c r="AF39" s="20">
        <f t="shared" si="25"/>
        <v>41</v>
      </c>
      <c r="AG39" s="20" t="str">
        <f t="shared" si="5"/>
        <v>Providence</v>
      </c>
    </row>
    <row r="40" spans="1:33">
      <c r="A40" s="20" t="s">
        <v>53</v>
      </c>
      <c r="B40" s="15">
        <f>'2010-10'!R41</f>
        <v>111642.5373983154</v>
      </c>
      <c r="C40" s="15">
        <f>'2010-20'!$R41</f>
        <v>695254</v>
      </c>
      <c r="D40" s="15">
        <f>'2010-30'!$R41</f>
        <v>695254</v>
      </c>
      <c r="E40" s="15">
        <f>'2010-40'!$R41</f>
        <v>695254</v>
      </c>
      <c r="F40" s="15">
        <f>'2010-50'!$R41</f>
        <v>695254</v>
      </c>
      <c r="G40" s="15">
        <f>'2010-60'!$R41</f>
        <v>695254</v>
      </c>
      <c r="H40" s="15">
        <f>'2010-70'!$R41</f>
        <v>695254</v>
      </c>
      <c r="I40" s="15">
        <f>'2010-80'!$R41</f>
        <v>695254</v>
      </c>
      <c r="J40" s="15">
        <f>'2010-90'!$R41</f>
        <v>695254</v>
      </c>
      <c r="L40" s="15">
        <f t="shared" si="6"/>
        <v>111642.5373983154</v>
      </c>
      <c r="M40" s="15">
        <f t="shared" si="7"/>
        <v>583611.46260168462</v>
      </c>
      <c r="N40" s="15">
        <f t="shared" si="8"/>
        <v>0</v>
      </c>
      <c r="O40" s="15">
        <f t="shared" si="9"/>
        <v>0</v>
      </c>
      <c r="P40" s="15">
        <f t="shared" si="10"/>
        <v>0</v>
      </c>
      <c r="Q40" s="15">
        <f t="shared" si="11"/>
        <v>0</v>
      </c>
      <c r="R40" s="15">
        <f t="shared" si="0"/>
        <v>0</v>
      </c>
      <c r="S40" s="15">
        <f t="shared" si="1"/>
        <v>0</v>
      </c>
      <c r="T40" s="15">
        <f t="shared" si="2"/>
        <v>0</v>
      </c>
      <c r="U40" s="15"/>
      <c r="V40" s="15">
        <f t="shared" si="12"/>
        <v>695254</v>
      </c>
      <c r="X40" s="15">
        <f t="shared" si="26"/>
        <v>167993.34784165138</v>
      </c>
      <c r="Y40" s="20">
        <f t="shared" si="13"/>
        <v>23</v>
      </c>
      <c r="Z40" s="20" t="str">
        <f t="shared" si="14"/>
        <v>Raleigh</v>
      </c>
      <c r="AA40" s="20">
        <f t="shared" si="15"/>
        <v>13</v>
      </c>
      <c r="AB40" s="20">
        <f t="shared" si="21"/>
        <v>7</v>
      </c>
      <c r="AC40" s="20">
        <f t="shared" si="22"/>
        <v>37</v>
      </c>
      <c r="AD40" s="20">
        <f t="shared" si="23"/>
        <v>38</v>
      </c>
      <c r="AE40" s="20">
        <f t="shared" si="24"/>
        <v>38</v>
      </c>
      <c r="AF40" s="20">
        <f t="shared" si="25"/>
        <v>38</v>
      </c>
      <c r="AG40" s="20" t="str">
        <f t="shared" si="5"/>
        <v>Raleigh</v>
      </c>
    </row>
    <row r="41" spans="1:33">
      <c r="A41" s="20" t="s">
        <v>82</v>
      </c>
      <c r="B41" s="15">
        <f>'2010-10'!R42</f>
        <v>112303.74214805139</v>
      </c>
      <c r="C41" s="15">
        <f>'2010-20'!$R42</f>
        <v>455705</v>
      </c>
      <c r="D41" s="15">
        <f>'2010-30'!$R42</f>
        <v>455705</v>
      </c>
      <c r="E41" s="15">
        <f>'2010-40'!$R42</f>
        <v>455705</v>
      </c>
      <c r="F41" s="15">
        <f>'2010-50'!$R42</f>
        <v>455705</v>
      </c>
      <c r="G41" s="15">
        <f>'2010-60'!$R42</f>
        <v>455705</v>
      </c>
      <c r="H41" s="15">
        <f>'2010-70'!$R42</f>
        <v>455705</v>
      </c>
      <c r="I41" s="15">
        <f>'2010-80'!$R42</f>
        <v>455705</v>
      </c>
      <c r="J41" s="15">
        <f>'2010-90'!$R42</f>
        <v>455705</v>
      </c>
      <c r="L41" s="15">
        <f t="shared" si="6"/>
        <v>112303.74214805139</v>
      </c>
      <c r="M41" s="15">
        <f t="shared" si="7"/>
        <v>343401.25785194861</v>
      </c>
      <c r="N41" s="15">
        <f t="shared" si="8"/>
        <v>0</v>
      </c>
      <c r="O41" s="15">
        <f t="shared" si="9"/>
        <v>0</v>
      </c>
      <c r="P41" s="15">
        <f t="shared" si="10"/>
        <v>0</v>
      </c>
      <c r="Q41" s="15">
        <f t="shared" si="11"/>
        <v>0</v>
      </c>
      <c r="R41" s="15">
        <f t="shared" si="0"/>
        <v>0</v>
      </c>
      <c r="S41" s="15">
        <f t="shared" si="1"/>
        <v>0</v>
      </c>
      <c r="T41" s="15">
        <f t="shared" si="2"/>
        <v>0</v>
      </c>
      <c r="U41" s="15"/>
      <c r="V41" s="15">
        <f t="shared" si="12"/>
        <v>455705</v>
      </c>
      <c r="X41" s="15">
        <f t="shared" si="26"/>
        <v>119792.84236116472</v>
      </c>
      <c r="Y41" s="20">
        <f t="shared" si="13"/>
        <v>45</v>
      </c>
      <c r="Z41" s="20" t="str">
        <f t="shared" si="14"/>
        <v>Rochester</v>
      </c>
      <c r="AA41" s="20">
        <f t="shared" si="15"/>
        <v>12</v>
      </c>
      <c r="AB41" s="20">
        <f t="shared" si="21"/>
        <v>31</v>
      </c>
      <c r="AC41" s="20">
        <f t="shared" si="22"/>
        <v>50</v>
      </c>
      <c r="AD41" s="20">
        <f t="shared" si="23"/>
        <v>50</v>
      </c>
      <c r="AE41" s="20">
        <f t="shared" si="24"/>
        <v>50</v>
      </c>
      <c r="AF41" s="20">
        <f t="shared" si="25"/>
        <v>50</v>
      </c>
      <c r="AG41" s="20" t="str">
        <f t="shared" si="5"/>
        <v>Rochester</v>
      </c>
    </row>
    <row r="42" spans="1:33">
      <c r="A42" s="20" t="s">
        <v>54</v>
      </c>
      <c r="B42" s="15">
        <f>'2010-10'!R43</f>
        <v>78306.558846235639</v>
      </c>
      <c r="C42" s="15">
        <f>'2010-20'!$R43</f>
        <v>418532.20925326063</v>
      </c>
      <c r="D42" s="15">
        <f>'2010-30'!$R43</f>
        <v>695758</v>
      </c>
      <c r="E42" s="15">
        <f>'2010-40'!$R43</f>
        <v>695758</v>
      </c>
      <c r="F42" s="15">
        <f>'2010-50'!$R43</f>
        <v>695758</v>
      </c>
      <c r="G42" s="15">
        <f>'2010-60'!$R43</f>
        <v>695758</v>
      </c>
      <c r="H42" s="15">
        <f>'2010-70'!$R43</f>
        <v>695758</v>
      </c>
      <c r="I42" s="15">
        <f>'2010-80'!$R43</f>
        <v>695758</v>
      </c>
      <c r="J42" s="15">
        <f>'2010-90'!$R43</f>
        <v>695758</v>
      </c>
      <c r="L42" s="15">
        <f t="shared" si="6"/>
        <v>78306.558846235639</v>
      </c>
      <c r="M42" s="15">
        <f t="shared" si="7"/>
        <v>340225.65040702501</v>
      </c>
      <c r="N42" s="15">
        <f t="shared" si="8"/>
        <v>277225.79074673937</v>
      </c>
      <c r="O42" s="15">
        <f t="shared" si="9"/>
        <v>0</v>
      </c>
      <c r="P42" s="15">
        <f t="shared" si="10"/>
        <v>0</v>
      </c>
      <c r="Q42" s="15">
        <f t="shared" si="11"/>
        <v>0</v>
      </c>
      <c r="R42" s="15">
        <f t="shared" si="0"/>
        <v>0</v>
      </c>
      <c r="S42" s="15">
        <f t="shared" si="1"/>
        <v>0</v>
      </c>
      <c r="T42" s="15">
        <f t="shared" si="2"/>
        <v>0</v>
      </c>
      <c r="U42" s="15"/>
      <c r="V42" s="15">
        <f t="shared" si="12"/>
        <v>695758</v>
      </c>
      <c r="X42" s="15">
        <f t="shared" si="26"/>
        <v>129025.13545519172</v>
      </c>
      <c r="Y42" s="20">
        <f t="shared" si="13"/>
        <v>39</v>
      </c>
      <c r="Z42" s="20" t="str">
        <f t="shared" si="14"/>
        <v>Sacramento</v>
      </c>
      <c r="AA42" s="20">
        <f t="shared" si="15"/>
        <v>44</v>
      </c>
      <c r="AB42" s="20">
        <f t="shared" si="21"/>
        <v>39</v>
      </c>
      <c r="AC42" s="20">
        <f t="shared" si="22"/>
        <v>36</v>
      </c>
      <c r="AD42" s="20">
        <f t="shared" si="23"/>
        <v>37</v>
      </c>
      <c r="AE42" s="20">
        <f t="shared" si="24"/>
        <v>37</v>
      </c>
      <c r="AF42" s="20">
        <f t="shared" si="25"/>
        <v>37</v>
      </c>
      <c r="AG42" s="20" t="str">
        <f t="shared" si="5"/>
        <v>Sacramento</v>
      </c>
    </row>
    <row r="43" spans="1:33">
      <c r="A43" s="20" t="s">
        <v>55</v>
      </c>
      <c r="B43" s="15">
        <f>'2010-10'!R44</f>
        <v>272078.85718404123</v>
      </c>
      <c r="C43" s="15">
        <f>'2010-20'!$R44</f>
        <v>718644</v>
      </c>
      <c r="D43" s="15">
        <f>'2010-30'!$R44</f>
        <v>718644</v>
      </c>
      <c r="E43" s="15">
        <f>'2010-40'!$R44</f>
        <v>718644</v>
      </c>
      <c r="F43" s="15">
        <f>'2010-50'!$R44</f>
        <v>718644</v>
      </c>
      <c r="G43" s="15">
        <f>'2010-60'!$R44</f>
        <v>718644</v>
      </c>
      <c r="H43" s="15">
        <f>'2010-70'!$R44</f>
        <v>718644</v>
      </c>
      <c r="I43" s="15">
        <f>'2010-80'!$R44</f>
        <v>718644</v>
      </c>
      <c r="J43" s="15">
        <f>'2010-90'!$R44</f>
        <v>718644</v>
      </c>
      <c r="L43" s="15">
        <f t="shared" si="6"/>
        <v>272078.85718404123</v>
      </c>
      <c r="M43" s="15">
        <f t="shared" si="7"/>
        <v>446565.14281595877</v>
      </c>
      <c r="N43" s="15">
        <f t="shared" si="8"/>
        <v>0</v>
      </c>
      <c r="O43" s="15">
        <f t="shared" si="9"/>
        <v>0</v>
      </c>
      <c r="P43" s="15">
        <f t="shared" si="10"/>
        <v>0</v>
      </c>
      <c r="Q43" s="15">
        <f t="shared" si="11"/>
        <v>0</v>
      </c>
      <c r="R43" s="15">
        <f t="shared" si="0"/>
        <v>0</v>
      </c>
      <c r="S43" s="15">
        <f t="shared" si="1"/>
        <v>0</v>
      </c>
      <c r="T43" s="15">
        <f t="shared" si="2"/>
        <v>0</v>
      </c>
      <c r="U43" s="15"/>
      <c r="V43" s="15">
        <f t="shared" si="12"/>
        <v>718644</v>
      </c>
      <c r="X43" s="15">
        <f t="shared" si="26"/>
        <v>212412.85844903078</v>
      </c>
      <c r="Y43" s="20">
        <f t="shared" si="13"/>
        <v>10</v>
      </c>
      <c r="Z43" s="20" t="str">
        <f t="shared" si="14"/>
        <v>Salt Lake City</v>
      </c>
      <c r="AA43" s="20">
        <f t="shared" si="15"/>
        <v>1</v>
      </c>
      <c r="AB43" s="20">
        <f t="shared" si="21"/>
        <v>6</v>
      </c>
      <c r="AC43" s="20">
        <f t="shared" si="22"/>
        <v>34</v>
      </c>
      <c r="AD43" s="20">
        <f t="shared" si="23"/>
        <v>36</v>
      </c>
      <c r="AE43" s="20">
        <f t="shared" si="24"/>
        <v>36</v>
      </c>
      <c r="AF43" s="20">
        <f t="shared" si="25"/>
        <v>36</v>
      </c>
      <c r="AG43" s="20" t="str">
        <f t="shared" si="5"/>
        <v>Salt Lake City</v>
      </c>
    </row>
    <row r="44" spans="1:33">
      <c r="A44" s="20" t="s">
        <v>68</v>
      </c>
      <c r="B44" s="15">
        <f>'2010-10'!R45</f>
        <v>83169.653782104186</v>
      </c>
      <c r="C44" s="15">
        <f>'2010-20'!$R45</f>
        <v>529958.42431949242</v>
      </c>
      <c r="D44" s="15">
        <f>'2010-30'!$R45</f>
        <v>735867</v>
      </c>
      <c r="E44" s="15">
        <f>'2010-40'!$R45</f>
        <v>735867</v>
      </c>
      <c r="F44" s="15">
        <f>'2010-50'!$R45</f>
        <v>735867</v>
      </c>
      <c r="G44" s="15">
        <f>'2010-60'!$R45</f>
        <v>735867</v>
      </c>
      <c r="H44" s="15">
        <f>'2010-70'!$R45</f>
        <v>735867</v>
      </c>
      <c r="I44" s="15">
        <f>'2010-80'!$R45</f>
        <v>735867</v>
      </c>
      <c r="J44" s="15">
        <f>'2010-90'!$R45</f>
        <v>735867</v>
      </c>
      <c r="L44" s="15">
        <f t="shared" si="6"/>
        <v>83169.653782104186</v>
      </c>
      <c r="M44" s="15">
        <f t="shared" si="7"/>
        <v>446788.77053738822</v>
      </c>
      <c r="N44" s="15">
        <f t="shared" si="8"/>
        <v>205908.57568050758</v>
      </c>
      <c r="O44" s="15">
        <f t="shared" si="9"/>
        <v>0</v>
      </c>
      <c r="P44" s="15">
        <f t="shared" si="10"/>
        <v>0</v>
      </c>
      <c r="Q44" s="15">
        <f t="shared" si="11"/>
        <v>0</v>
      </c>
      <c r="R44" s="15">
        <f t="shared" si="0"/>
        <v>0</v>
      </c>
      <c r="S44" s="15">
        <f t="shared" si="1"/>
        <v>0</v>
      </c>
      <c r="T44" s="15">
        <f t="shared" si="2"/>
        <v>0</v>
      </c>
      <c r="U44" s="15"/>
      <c r="V44" s="15">
        <f t="shared" si="12"/>
        <v>735867</v>
      </c>
      <c r="X44" s="15">
        <f t="shared" si="26"/>
        <v>146255.23598098633</v>
      </c>
      <c r="Y44" s="20">
        <f t="shared" si="13"/>
        <v>35</v>
      </c>
      <c r="Z44" s="20" t="str">
        <f t="shared" si="14"/>
        <v>San Antonio</v>
      </c>
      <c r="AA44" s="20">
        <f t="shared" si="15"/>
        <v>37</v>
      </c>
      <c r="AB44" s="20">
        <f t="shared" si="21"/>
        <v>18</v>
      </c>
      <c r="AC44" s="20">
        <f t="shared" si="22"/>
        <v>32</v>
      </c>
      <c r="AD44" s="20">
        <f t="shared" si="23"/>
        <v>34</v>
      </c>
      <c r="AE44" s="20">
        <f t="shared" si="24"/>
        <v>34</v>
      </c>
      <c r="AF44" s="20">
        <f t="shared" si="25"/>
        <v>34</v>
      </c>
      <c r="AG44" s="20" t="str">
        <f t="shared" si="5"/>
        <v>San Antonio</v>
      </c>
    </row>
    <row r="45" spans="1:33">
      <c r="A45" s="20" t="s">
        <v>69</v>
      </c>
      <c r="B45" s="15">
        <f>'2010-10'!R46</f>
        <v>94913.283322527233</v>
      </c>
      <c r="C45" s="15">
        <f>'2010-20'!$R46</f>
        <v>371295.60375745117</v>
      </c>
      <c r="D45" s="15">
        <f>'2010-30'!$R46</f>
        <v>852573.50288733817</v>
      </c>
      <c r="E45" s="15">
        <f>'2010-40'!$R46</f>
        <v>1188463</v>
      </c>
      <c r="F45" s="15">
        <f>'2010-50'!$R46</f>
        <v>1188463</v>
      </c>
      <c r="G45" s="15">
        <f>'2010-60'!$R46</f>
        <v>1188463</v>
      </c>
      <c r="H45" s="15">
        <f>'2010-70'!$R46</f>
        <v>1188463</v>
      </c>
      <c r="I45" s="15">
        <f>'2010-80'!$R46</f>
        <v>1188463</v>
      </c>
      <c r="J45" s="15">
        <f>'2010-90'!$R46</f>
        <v>1188463</v>
      </c>
      <c r="L45" s="15">
        <f t="shared" si="6"/>
        <v>94913.283322527233</v>
      </c>
      <c r="M45" s="15">
        <f t="shared" si="7"/>
        <v>276382.32043492392</v>
      </c>
      <c r="N45" s="15">
        <f t="shared" si="8"/>
        <v>481277.899129887</v>
      </c>
      <c r="O45" s="15">
        <f t="shared" si="9"/>
        <v>335889.49711266183</v>
      </c>
      <c r="P45" s="15">
        <f t="shared" si="10"/>
        <v>0</v>
      </c>
      <c r="Q45" s="15">
        <f t="shared" si="11"/>
        <v>0</v>
      </c>
      <c r="R45" s="15">
        <f t="shared" si="0"/>
        <v>0</v>
      </c>
      <c r="S45" s="15">
        <f t="shared" si="1"/>
        <v>0</v>
      </c>
      <c r="T45" s="15">
        <f t="shared" si="2"/>
        <v>0</v>
      </c>
      <c r="U45" s="15"/>
      <c r="V45" s="15">
        <f t="shared" si="12"/>
        <v>1188463</v>
      </c>
      <c r="X45" s="15">
        <f t="shared" si="26"/>
        <v>155800.0575753586</v>
      </c>
      <c r="Y45" s="20">
        <f t="shared" si="13"/>
        <v>31</v>
      </c>
      <c r="Z45" s="20" t="str">
        <f t="shared" si="14"/>
        <v>San Diego</v>
      </c>
      <c r="AA45" s="20">
        <f t="shared" si="15"/>
        <v>25</v>
      </c>
      <c r="AB45" s="20">
        <f t="shared" si="21"/>
        <v>45</v>
      </c>
      <c r="AC45" s="20">
        <f t="shared" si="22"/>
        <v>26</v>
      </c>
      <c r="AD45" s="20">
        <f t="shared" si="23"/>
        <v>17</v>
      </c>
      <c r="AE45" s="20">
        <f t="shared" si="24"/>
        <v>17</v>
      </c>
      <c r="AF45" s="20">
        <f t="shared" si="25"/>
        <v>17</v>
      </c>
      <c r="AG45" s="20" t="str">
        <f t="shared" si="5"/>
        <v>San Diego</v>
      </c>
    </row>
    <row r="46" spans="1:33">
      <c r="A46" s="20" t="s">
        <v>70</v>
      </c>
      <c r="B46" s="15">
        <f>'2010-10'!R47</f>
        <v>169776.44432848282</v>
      </c>
      <c r="C46" s="15">
        <f>'2010-20'!$R47</f>
        <v>851459.68374681938</v>
      </c>
      <c r="D46" s="15">
        <f>'2010-30'!$R47</f>
        <v>1946185.5401920117</v>
      </c>
      <c r="E46" s="15">
        <f>'2010-40'!$R47</f>
        <v>1964313</v>
      </c>
      <c r="F46" s="15">
        <f>'2010-50'!$R47</f>
        <v>1964313</v>
      </c>
      <c r="G46" s="15">
        <f>'2010-60'!$R47</f>
        <v>1964313</v>
      </c>
      <c r="H46" s="15">
        <f>'2010-70'!$R47</f>
        <v>1964313</v>
      </c>
      <c r="I46" s="15">
        <f>'2010-80'!$R47</f>
        <v>1964313</v>
      </c>
      <c r="J46" s="15">
        <f>'2010-90'!$R47</f>
        <v>1964313</v>
      </c>
      <c r="L46" s="15">
        <f t="shared" si="6"/>
        <v>169776.44432848282</v>
      </c>
      <c r="M46" s="15">
        <f t="shared" si="7"/>
        <v>681683.23941833654</v>
      </c>
      <c r="N46" s="15">
        <f t="shared" si="8"/>
        <v>1094725.8564451924</v>
      </c>
      <c r="O46" s="15">
        <f t="shared" si="9"/>
        <v>18127.459807988256</v>
      </c>
      <c r="P46" s="15">
        <f t="shared" si="10"/>
        <v>0</v>
      </c>
      <c r="Q46" s="15">
        <f t="shared" si="11"/>
        <v>0</v>
      </c>
      <c r="R46" s="15">
        <f t="shared" si="0"/>
        <v>0</v>
      </c>
      <c r="S46" s="15">
        <f t="shared" si="1"/>
        <v>0</v>
      </c>
      <c r="T46" s="15">
        <f t="shared" si="2"/>
        <v>0</v>
      </c>
      <c r="U46" s="15"/>
      <c r="V46" s="15">
        <f t="shared" si="12"/>
        <v>1964313</v>
      </c>
      <c r="X46" s="15">
        <f t="shared" si="26"/>
        <v>313965.15059951134</v>
      </c>
      <c r="Y46" s="20">
        <f t="shared" si="13"/>
        <v>3</v>
      </c>
      <c r="Z46" s="20" t="str">
        <f t="shared" si="14"/>
        <v>San Francisco</v>
      </c>
      <c r="AA46" s="20">
        <f t="shared" si="15"/>
        <v>4</v>
      </c>
      <c r="AB46" s="20">
        <f t="shared" si="21"/>
        <v>2</v>
      </c>
      <c r="AC46" s="20">
        <f t="shared" si="22"/>
        <v>1</v>
      </c>
      <c r="AD46" s="20">
        <f t="shared" si="23"/>
        <v>5</v>
      </c>
      <c r="AE46" s="20">
        <f t="shared" si="24"/>
        <v>11</v>
      </c>
      <c r="AF46" s="20">
        <f t="shared" si="25"/>
        <v>11</v>
      </c>
      <c r="AG46" s="20" t="str">
        <f t="shared" si="5"/>
        <v>San Francisco</v>
      </c>
    </row>
    <row r="47" spans="1:33">
      <c r="A47" s="20" t="s">
        <v>86</v>
      </c>
      <c r="B47" s="15">
        <f>'2010-10'!R48</f>
        <v>227891.05339250321</v>
      </c>
      <c r="C47" s="15">
        <f>'2010-20'!$R48</f>
        <v>932614</v>
      </c>
      <c r="D47" s="15">
        <f>'2010-30'!$R48</f>
        <v>932614</v>
      </c>
      <c r="E47" s="15">
        <f>'2010-40'!$R48</f>
        <v>932614</v>
      </c>
      <c r="F47" s="15">
        <f>'2010-50'!$R48</f>
        <v>932614</v>
      </c>
      <c r="G47" s="15">
        <f>'2010-60'!$R48</f>
        <v>932614</v>
      </c>
      <c r="H47" s="15">
        <f>'2010-70'!$R48</f>
        <v>932614</v>
      </c>
      <c r="I47" s="15">
        <f>'2010-80'!$R48</f>
        <v>932614</v>
      </c>
      <c r="J47" s="15">
        <f>'2010-90'!$R48</f>
        <v>932614</v>
      </c>
      <c r="L47" s="15">
        <f t="shared" si="6"/>
        <v>227891.05339250321</v>
      </c>
      <c r="M47" s="15">
        <f t="shared" si="7"/>
        <v>704722.94660749682</v>
      </c>
      <c r="N47" s="15">
        <f t="shared" si="8"/>
        <v>0</v>
      </c>
      <c r="O47" s="15">
        <f t="shared" si="9"/>
        <v>0</v>
      </c>
      <c r="P47" s="15">
        <f t="shared" si="10"/>
        <v>0</v>
      </c>
      <c r="Q47" s="15">
        <f t="shared" si="11"/>
        <v>0</v>
      </c>
      <c r="R47" s="15">
        <f t="shared" si="0"/>
        <v>0</v>
      </c>
      <c r="S47" s="15">
        <f t="shared" si="1"/>
        <v>0</v>
      </c>
      <c r="T47" s="15">
        <f t="shared" si="2"/>
        <v>0</v>
      </c>
      <c r="U47" s="15"/>
      <c r="V47" s="15">
        <f t="shared" si="12"/>
        <v>932614</v>
      </c>
      <c r="X47" s="15">
        <f t="shared" si="26"/>
        <v>244679.16002342291</v>
      </c>
      <c r="Y47" s="20">
        <f t="shared" si="13"/>
        <v>4</v>
      </c>
      <c r="Z47" s="20" t="str">
        <f t="shared" si="14"/>
        <v>San Jose</v>
      </c>
      <c r="AA47" s="20">
        <f t="shared" si="15"/>
        <v>2</v>
      </c>
      <c r="AB47" s="20">
        <f t="shared" si="21"/>
        <v>1</v>
      </c>
      <c r="AC47" s="20">
        <f t="shared" si="22"/>
        <v>21</v>
      </c>
      <c r="AD47" s="20">
        <f t="shared" si="23"/>
        <v>27</v>
      </c>
      <c r="AE47" s="20">
        <f t="shared" si="24"/>
        <v>27</v>
      </c>
      <c r="AF47" s="20">
        <f t="shared" si="25"/>
        <v>27</v>
      </c>
      <c r="AG47" s="20" t="str">
        <f t="shared" si="5"/>
        <v>San Jose</v>
      </c>
    </row>
    <row r="48" spans="1:33">
      <c r="A48" s="20" t="s">
        <v>56</v>
      </c>
      <c r="B48" s="15">
        <f>'2010-10'!R49</f>
        <v>67843.940248924075</v>
      </c>
      <c r="C48" s="15">
        <f>'2010-20'!$R49</f>
        <v>285034.20669844432</v>
      </c>
      <c r="D48" s="15">
        <f>'2010-30'!$R49</f>
        <v>664511.9200563432</v>
      </c>
      <c r="E48" s="15">
        <f>'2010-40'!$R49</f>
        <v>1208607.5109608602</v>
      </c>
      <c r="F48" s="15">
        <f>'2010-50'!$R49</f>
        <v>1574686</v>
      </c>
      <c r="G48" s="15">
        <f>'2010-60'!$R49</f>
        <v>1574686</v>
      </c>
      <c r="H48" s="15">
        <f>'2010-70'!$R49</f>
        <v>1574686</v>
      </c>
      <c r="I48" s="15">
        <f>'2010-80'!$R49</f>
        <v>1574686</v>
      </c>
      <c r="J48" s="15">
        <f>'2010-90'!$R49</f>
        <v>1574686</v>
      </c>
      <c r="L48" s="15">
        <f t="shared" si="6"/>
        <v>67843.940248924075</v>
      </c>
      <c r="M48" s="15">
        <f t="shared" si="7"/>
        <v>217190.26644952025</v>
      </c>
      <c r="N48" s="15">
        <f t="shared" si="8"/>
        <v>379477.71335789887</v>
      </c>
      <c r="O48" s="15">
        <f t="shared" si="9"/>
        <v>544095.59090451698</v>
      </c>
      <c r="P48" s="15">
        <f t="shared" si="10"/>
        <v>366078.48903913982</v>
      </c>
      <c r="Q48" s="15">
        <f t="shared" si="11"/>
        <v>0</v>
      </c>
      <c r="R48" s="15">
        <f t="shared" si="0"/>
        <v>0</v>
      </c>
      <c r="S48" s="15">
        <f t="shared" si="1"/>
        <v>0</v>
      </c>
      <c r="T48" s="15">
        <f t="shared" si="2"/>
        <v>0</v>
      </c>
      <c r="U48" s="15"/>
      <c r="V48" s="15">
        <f t="shared" si="12"/>
        <v>1574686.0000000002</v>
      </c>
      <c r="X48" s="15">
        <f t="shared" si="26"/>
        <v>137643.14427729815</v>
      </c>
      <c r="Y48" s="20">
        <f t="shared" si="13"/>
        <v>38</v>
      </c>
      <c r="Z48" s="20" t="str">
        <f t="shared" si="14"/>
        <v>Seattle</v>
      </c>
      <c r="AA48" s="20">
        <f t="shared" si="15"/>
        <v>49</v>
      </c>
      <c r="AB48" s="20">
        <f t="shared" si="21"/>
        <v>51</v>
      </c>
      <c r="AC48" s="20">
        <f t="shared" si="22"/>
        <v>38</v>
      </c>
      <c r="AD48" s="20">
        <f t="shared" si="23"/>
        <v>16</v>
      </c>
      <c r="AE48" s="20">
        <f t="shared" si="24"/>
        <v>15</v>
      </c>
      <c r="AF48" s="20">
        <f t="shared" si="25"/>
        <v>15</v>
      </c>
      <c r="AG48" s="20" t="str">
        <f t="shared" si="5"/>
        <v>Seattle</v>
      </c>
    </row>
    <row r="49" spans="1:33">
      <c r="A49" s="20" t="s">
        <v>76</v>
      </c>
      <c r="B49" s="15">
        <f>'2010-10'!R50</f>
        <v>111151.82938687103</v>
      </c>
      <c r="C49" s="15">
        <f>'2010-20'!$R50</f>
        <v>535836.16728144593</v>
      </c>
      <c r="D49" s="15">
        <f>'2010-30'!$R50</f>
        <v>1243993.4052377748</v>
      </c>
      <c r="E49" s="15">
        <f>'2010-40'!$R50</f>
        <v>2003402</v>
      </c>
      <c r="F49" s="15">
        <f>'2010-50'!$R50</f>
        <v>2003402</v>
      </c>
      <c r="G49" s="15">
        <f>'2010-60'!$R50</f>
        <v>2003402</v>
      </c>
      <c r="H49" s="15">
        <f>'2010-70'!$R50</f>
        <v>2003402</v>
      </c>
      <c r="I49" s="15">
        <f>'2010-80'!$R50</f>
        <v>2003402</v>
      </c>
      <c r="J49" s="15">
        <f>'2010-90'!$R50</f>
        <v>2003402</v>
      </c>
      <c r="L49" s="15">
        <f t="shared" si="6"/>
        <v>111151.82938687103</v>
      </c>
      <c r="M49" s="15">
        <f t="shared" si="7"/>
        <v>424684.33789457491</v>
      </c>
      <c r="N49" s="15">
        <f t="shared" si="8"/>
        <v>708157.2379563289</v>
      </c>
      <c r="O49" s="15">
        <f t="shared" si="9"/>
        <v>759408.59476222517</v>
      </c>
      <c r="P49" s="15">
        <f t="shared" si="10"/>
        <v>0</v>
      </c>
      <c r="Q49" s="15">
        <f t="shared" si="11"/>
        <v>0</v>
      </c>
      <c r="R49" s="15">
        <f t="shared" si="0"/>
        <v>0</v>
      </c>
      <c r="S49" s="15">
        <f t="shared" si="1"/>
        <v>0</v>
      </c>
      <c r="T49" s="15">
        <f t="shared" si="2"/>
        <v>0</v>
      </c>
      <c r="U49" s="15"/>
      <c r="V49" s="15">
        <f t="shared" si="12"/>
        <v>2003402</v>
      </c>
      <c r="X49" s="15">
        <f t="shared" si="26"/>
        <v>230883.76870302117</v>
      </c>
      <c r="Y49" s="20">
        <f t="shared" si="13"/>
        <v>7</v>
      </c>
      <c r="Z49" s="20" t="str">
        <f t="shared" si="14"/>
        <v>South Florida</v>
      </c>
      <c r="AA49" s="20">
        <f t="shared" si="15"/>
        <v>15</v>
      </c>
      <c r="AB49" s="20">
        <f t="shared" si="21"/>
        <v>16</v>
      </c>
      <c r="AC49" s="20">
        <f t="shared" si="22"/>
        <v>5</v>
      </c>
      <c r="AD49" s="20">
        <f t="shared" si="23"/>
        <v>4</v>
      </c>
      <c r="AE49" s="20">
        <f t="shared" si="24"/>
        <v>10</v>
      </c>
      <c r="AF49" s="20">
        <f t="shared" si="25"/>
        <v>10</v>
      </c>
      <c r="AG49" s="20" t="str">
        <f t="shared" si="5"/>
        <v>South Florida</v>
      </c>
    </row>
    <row r="50" spans="1:33">
      <c r="A50" s="20" t="s">
        <v>57</v>
      </c>
      <c r="B50" s="15">
        <f>'2010-10'!R51</f>
        <v>78948.614984914922</v>
      </c>
      <c r="C50" s="15">
        <f>'2010-20'!$R51</f>
        <v>374437.53353204235</v>
      </c>
      <c r="D50" s="15">
        <f>'2010-30'!$R51</f>
        <v>875745.21724732243</v>
      </c>
      <c r="E50" s="15">
        <f>'2010-40'!$R51</f>
        <v>1262353</v>
      </c>
      <c r="F50" s="15">
        <f>'2010-50'!$R51</f>
        <v>1262353</v>
      </c>
      <c r="G50" s="15">
        <f>'2010-60'!$R51</f>
        <v>1262353</v>
      </c>
      <c r="H50" s="15">
        <f>'2010-70'!$R51</f>
        <v>1262353</v>
      </c>
      <c r="I50" s="15">
        <f>'2010-80'!$R51</f>
        <v>1262353</v>
      </c>
      <c r="J50" s="15">
        <f>'2010-90'!$R51</f>
        <v>1262353</v>
      </c>
      <c r="L50" s="15">
        <f t="shared" si="6"/>
        <v>78948.614984914922</v>
      </c>
      <c r="M50" s="15">
        <f t="shared" si="7"/>
        <v>295488.9185471274</v>
      </c>
      <c r="N50" s="15">
        <f t="shared" si="8"/>
        <v>501307.68371528009</v>
      </c>
      <c r="O50" s="15">
        <f t="shared" si="9"/>
        <v>386607.78275267757</v>
      </c>
      <c r="P50" s="15">
        <f t="shared" si="10"/>
        <v>0</v>
      </c>
      <c r="Q50" s="15">
        <f t="shared" si="11"/>
        <v>0</v>
      </c>
      <c r="R50" s="15">
        <f t="shared" si="0"/>
        <v>0</v>
      </c>
      <c r="S50" s="15">
        <f t="shared" si="1"/>
        <v>0</v>
      </c>
      <c r="T50" s="15">
        <f t="shared" si="2"/>
        <v>0</v>
      </c>
      <c r="U50" s="15"/>
      <c r="V50" s="15">
        <f t="shared" si="12"/>
        <v>1262353</v>
      </c>
      <c r="X50" s="15">
        <f t="shared" si="26"/>
        <v>156368.67548542743</v>
      </c>
      <c r="Y50" s="20">
        <f t="shared" si="13"/>
        <v>30</v>
      </c>
      <c r="Z50" s="20" t="str">
        <f t="shared" si="14"/>
        <v>St. Louis</v>
      </c>
      <c r="AA50" s="20">
        <f t="shared" si="15"/>
        <v>42</v>
      </c>
      <c r="AB50" s="20">
        <f t="shared" si="21"/>
        <v>44</v>
      </c>
      <c r="AC50" s="20">
        <f t="shared" si="22"/>
        <v>24</v>
      </c>
      <c r="AD50" s="20">
        <f t="shared" si="23"/>
        <v>15</v>
      </c>
      <c r="AE50" s="20">
        <f t="shared" si="24"/>
        <v>16</v>
      </c>
      <c r="AF50" s="20">
        <f t="shared" si="25"/>
        <v>16</v>
      </c>
      <c r="AG50" s="20" t="str">
        <f t="shared" si="5"/>
        <v>St. Louis</v>
      </c>
    </row>
    <row r="51" spans="1:33">
      <c r="A51" s="20" t="s">
        <v>71</v>
      </c>
      <c r="B51" s="15">
        <f>'2010-10'!R52</f>
        <v>71079.040709276916</v>
      </c>
      <c r="C51" s="15">
        <f>'2010-20'!$R52</f>
        <v>366467.35643717222</v>
      </c>
      <c r="D51" s="15">
        <f>'2010-30'!$R52</f>
        <v>853795.36404304078</v>
      </c>
      <c r="E51" s="15">
        <f>'2010-40'!$R52</f>
        <v>1005303</v>
      </c>
      <c r="F51" s="15">
        <f>'2010-50'!$R52</f>
        <v>1005303</v>
      </c>
      <c r="G51" s="15">
        <f>'2010-60'!$R52</f>
        <v>1005303</v>
      </c>
      <c r="H51" s="15">
        <f>'2010-70'!$R52</f>
        <v>1005303</v>
      </c>
      <c r="I51" s="15">
        <f>'2010-80'!$R52</f>
        <v>1005303</v>
      </c>
      <c r="J51" s="15">
        <f>'2010-90'!$R52</f>
        <v>1005303</v>
      </c>
      <c r="L51" s="15">
        <f t="shared" si="6"/>
        <v>71079.040709276916</v>
      </c>
      <c r="M51" s="15">
        <f t="shared" si="7"/>
        <v>295388.3157278953</v>
      </c>
      <c r="N51" s="15">
        <f t="shared" si="8"/>
        <v>487328.00760586857</v>
      </c>
      <c r="O51" s="15">
        <f t="shared" si="9"/>
        <v>151507.63595695922</v>
      </c>
      <c r="P51" s="15">
        <f t="shared" si="10"/>
        <v>0</v>
      </c>
      <c r="Q51" s="15">
        <f t="shared" si="11"/>
        <v>0</v>
      </c>
      <c r="R51" s="15">
        <f t="shared" si="0"/>
        <v>0</v>
      </c>
      <c r="S51" s="15">
        <f t="shared" si="1"/>
        <v>0</v>
      </c>
      <c r="T51" s="15">
        <f t="shared" si="2"/>
        <v>0</v>
      </c>
      <c r="U51" s="15"/>
      <c r="V51" s="15">
        <f t="shared" si="12"/>
        <v>1005303</v>
      </c>
      <c r="X51" s="15">
        <f t="shared" si="26"/>
        <v>141960.92872588246</v>
      </c>
      <c r="Y51" s="20">
        <f t="shared" si="13"/>
        <v>37</v>
      </c>
      <c r="Z51" s="20" t="str">
        <f t="shared" si="14"/>
        <v>Tampa Bay</v>
      </c>
      <c r="AA51" s="20">
        <f t="shared" si="15"/>
        <v>48</v>
      </c>
      <c r="AB51" s="20">
        <f t="shared" si="21"/>
        <v>46</v>
      </c>
      <c r="AC51" s="20">
        <f t="shared" si="22"/>
        <v>25</v>
      </c>
      <c r="AD51" s="20">
        <f t="shared" si="23"/>
        <v>22</v>
      </c>
      <c r="AE51" s="20">
        <f t="shared" si="24"/>
        <v>22</v>
      </c>
      <c r="AF51" s="20">
        <f t="shared" si="25"/>
        <v>22</v>
      </c>
      <c r="AG51" s="20" t="str">
        <f t="shared" si="5"/>
        <v>Tampa Bay</v>
      </c>
    </row>
    <row r="52" spans="1:33">
      <c r="A52" s="20" t="s">
        <v>59</v>
      </c>
      <c r="B52" s="15">
        <f>'2010-10'!R53</f>
        <v>100583.05490698805</v>
      </c>
      <c r="C52" s="15">
        <f>'2010-20'!$R53</f>
        <v>507921.03506236064</v>
      </c>
      <c r="D52" s="15">
        <f>'2010-30'!$R53</f>
        <v>1223959.1395795362</v>
      </c>
      <c r="E52" s="15">
        <f>'2010-40'!$R53</f>
        <v>2252295.8849073313</v>
      </c>
      <c r="F52" s="15">
        <f>'2010-50'!$R53</f>
        <v>2470220</v>
      </c>
      <c r="G52" s="15">
        <f>'2010-60'!$R53</f>
        <v>2470220</v>
      </c>
      <c r="H52" s="15">
        <f>'2010-70'!$R53</f>
        <v>2470220</v>
      </c>
      <c r="I52" s="15">
        <f>'2010-80'!$R53</f>
        <v>2470220</v>
      </c>
      <c r="J52" s="15">
        <f>'2010-90'!$R53</f>
        <v>2470220</v>
      </c>
      <c r="L52" s="15">
        <f t="shared" si="6"/>
        <v>100583.05490698805</v>
      </c>
      <c r="M52" s="15">
        <f t="shared" si="7"/>
        <v>407337.98015537258</v>
      </c>
      <c r="N52" s="15">
        <f t="shared" si="8"/>
        <v>716038.10451717558</v>
      </c>
      <c r="O52" s="15">
        <f t="shared" si="9"/>
        <v>1028336.7453277952</v>
      </c>
      <c r="P52" s="15">
        <f t="shared" si="10"/>
        <v>217924.11509266868</v>
      </c>
      <c r="Q52" s="15">
        <f t="shared" si="11"/>
        <v>0</v>
      </c>
      <c r="R52" s="15">
        <f t="shared" si="0"/>
        <v>0</v>
      </c>
      <c r="S52" s="15">
        <f t="shared" si="1"/>
        <v>0</v>
      </c>
      <c r="T52" s="15">
        <f t="shared" si="2"/>
        <v>0</v>
      </c>
      <c r="U52" s="15"/>
      <c r="V52" s="15">
        <f t="shared" si="12"/>
        <v>2470220</v>
      </c>
      <c r="X52" s="15">
        <f t="shared" si="26"/>
        <v>238301.20259716202</v>
      </c>
      <c r="Y52" s="20">
        <f t="shared" si="13"/>
        <v>6</v>
      </c>
      <c r="Z52" s="20" t="str">
        <f t="shared" si="14"/>
        <v>Washington</v>
      </c>
      <c r="AA52" s="20">
        <f t="shared" si="15"/>
        <v>20</v>
      </c>
      <c r="AB52" s="20">
        <f t="shared" si="21"/>
        <v>20</v>
      </c>
      <c r="AC52" s="20">
        <f t="shared" si="22"/>
        <v>6</v>
      </c>
      <c r="AD52" s="20">
        <f t="shared" si="23"/>
        <v>3</v>
      </c>
      <c r="AE52" s="20">
        <f t="shared" si="24"/>
        <v>7</v>
      </c>
      <c r="AF52" s="20">
        <f t="shared" si="25"/>
        <v>7</v>
      </c>
      <c r="AG52" s="20" t="str">
        <f t="shared" si="5"/>
        <v>Washington</v>
      </c>
    </row>
    <row r="54" spans="1:33"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 s="20">
        <v>1</v>
      </c>
      <c r="S54" s="20">
        <v>1</v>
      </c>
      <c r="T54" s="20">
        <v>1</v>
      </c>
      <c r="X54" s="30">
        <f>L54*EXP(Beta*10)+M54*EXP(Beta*20)+N54*EXP(Beta*30)+O54*EXP(Beta*40)+P54*EXP(Beta*50)+Q54*EXP(Beta*60)</f>
        <v>0.80925102531740989</v>
      </c>
      <c r="AA54" t="s">
        <v>149</v>
      </c>
    </row>
    <row r="55" spans="1:33">
      <c r="A55" t="s">
        <v>146</v>
      </c>
      <c r="B55">
        <v>-0.08</v>
      </c>
      <c r="Y55" s="31" t="s">
        <v>150</v>
      </c>
      <c r="Z55" s="31" t="s">
        <v>130</v>
      </c>
      <c r="AA55" s="31">
        <f>AA1</f>
        <v>10</v>
      </c>
      <c r="AB55" s="31">
        <f t="shared" ref="AB55:AF55" si="27">AB1</f>
        <v>20</v>
      </c>
      <c r="AC55" s="31">
        <f t="shared" si="27"/>
        <v>30</v>
      </c>
      <c r="AD55" s="31">
        <f t="shared" si="27"/>
        <v>40</v>
      </c>
      <c r="AE55" s="31">
        <f t="shared" si="27"/>
        <v>50</v>
      </c>
      <c r="AF55" s="31">
        <f t="shared" si="27"/>
        <v>60</v>
      </c>
      <c r="AG55" t="s">
        <v>150</v>
      </c>
    </row>
    <row r="56" spans="1:33">
      <c r="Y56" s="20" t="str">
        <f>VLOOKUP($Z56,Y$2:$Z$52,2,FALSE)</f>
        <v>Los Angeles</v>
      </c>
      <c r="Z56">
        <v>1</v>
      </c>
      <c r="AA56" t="str">
        <f>VLOOKUP($Z56,AA$2:$AG$52,8-AA$1/10,FALSE)</f>
        <v>Salt Lake City</v>
      </c>
      <c r="AB56" s="20" t="str">
        <f>VLOOKUP($Z56,AB$2:$AG$52,8-AB$1/10,FALSE)</f>
        <v>San Jose</v>
      </c>
      <c r="AC56" s="20" t="str">
        <f>VLOOKUP($Z56,AC$2:$AG$52,8-AC$1/10,FALSE)</f>
        <v>San Francisco</v>
      </c>
      <c r="AD56" s="20" t="str">
        <f>VLOOKUP($Z56,AD$2:$AG$52,8-AD$1/10,FALSE)</f>
        <v>Los Angeles</v>
      </c>
      <c r="AE56" s="20" t="str">
        <f>VLOOKUP($Z56,AE$2:$AG$52,8-AE$1/10,FALSE)</f>
        <v>Los Angeles</v>
      </c>
      <c r="AF56" s="20" t="str">
        <f>VLOOKUP($Z56,AF$2:$AG$52,8-AF$1/10,FALSE)</f>
        <v>New York</v>
      </c>
      <c r="AG56" t="str">
        <f>Y56</f>
        <v>Los Angeles</v>
      </c>
    </row>
    <row r="57" spans="1:33">
      <c r="A57" t="s">
        <v>148</v>
      </c>
      <c r="Y57" s="20" t="str">
        <f>VLOOKUP($Z57,Y$2:$Z$52,2,FALSE)</f>
        <v>New York</v>
      </c>
      <c r="Z57">
        <v>2</v>
      </c>
      <c r="AA57" s="20" t="str">
        <f>VLOOKUP($Z57,AA$2:$AG$52,8-AA$1/10,FALSE)</f>
        <v>San Jose</v>
      </c>
      <c r="AB57" s="20" t="str">
        <f>VLOOKUP($Z57,AB$2:$AG$52,8-AB$1/10,FALSE)</f>
        <v>San Francisco</v>
      </c>
      <c r="AC57" s="20" t="str">
        <f>VLOOKUP($Z57,AC$2:$AG$52,8-AC$1/10,FALSE)</f>
        <v>Los Angeles</v>
      </c>
      <c r="AD57" s="20" t="str">
        <f>VLOOKUP($Z57,AD$2:$AG$52,8-AD$1/10,FALSE)</f>
        <v>New York</v>
      </c>
      <c r="AE57" s="20" t="str">
        <f>VLOOKUP($Z57,AE$2:$AG$52,8-AE$1/10,FALSE)</f>
        <v>New York</v>
      </c>
      <c r="AF57" s="20" t="str">
        <f>VLOOKUP($Z57,AF$2:$AG$52,8-AF$1/10,FALSE)</f>
        <v>Los Angeles</v>
      </c>
      <c r="AG57" s="20" t="str">
        <f t="shared" ref="AG57:AG105" si="28">Y57</f>
        <v>New York</v>
      </c>
    </row>
    <row r="58" spans="1:33">
      <c r="Y58" s="20" t="str">
        <f>VLOOKUP($Z58,Y$2:$Z$52,2,FALSE)</f>
        <v>San Francisco</v>
      </c>
      <c r="Z58">
        <v>3</v>
      </c>
      <c r="AA58" s="20" t="str">
        <f>VLOOKUP($Z58,AA$2:$AG$52,8-AA$1/10,FALSE)</f>
        <v>Grand Rapids</v>
      </c>
      <c r="AB58" s="20" t="str">
        <f>VLOOKUP($Z58,AB$2:$AG$52,8-AB$1/10,FALSE)</f>
        <v>Las Vegas</v>
      </c>
      <c r="AC58" s="20" t="str">
        <f>VLOOKUP($Z58,AC$2:$AG$52,8-AC$1/10,FALSE)</f>
        <v>Phoenix</v>
      </c>
      <c r="AD58" s="20" t="str">
        <f>VLOOKUP($Z58,AD$2:$AG$52,8-AD$1/10,FALSE)</f>
        <v>Washington</v>
      </c>
      <c r="AE58" s="20" t="str">
        <f>VLOOKUP($Z58,AE$2:$AG$52,8-AE$1/10,FALSE)</f>
        <v>Boston</v>
      </c>
      <c r="AF58" s="20" t="str">
        <f>VLOOKUP($Z58,AF$2:$AG$52,8-AF$1/10,FALSE)</f>
        <v>Chicago</v>
      </c>
      <c r="AG58" s="20" t="str">
        <f t="shared" si="28"/>
        <v>San Francisco</v>
      </c>
    </row>
    <row r="59" spans="1:33">
      <c r="Y59" s="20" t="str">
        <f>VLOOKUP($Z59,Y$2:$Z$52,2,FALSE)</f>
        <v>San Jose</v>
      </c>
      <c r="Z59">
        <f>Z58+1</f>
        <v>4</v>
      </c>
      <c r="AA59" s="20" t="str">
        <f>VLOOKUP($Z59,AA$2:$AG$52,8-AA$1/10,FALSE)</f>
        <v>San Francisco</v>
      </c>
      <c r="AB59" s="20" t="str">
        <f>VLOOKUP($Z59,AB$2:$AG$52,8-AB$1/10,FALSE)</f>
        <v>Columbus</v>
      </c>
      <c r="AC59" s="20" t="str">
        <f>VLOOKUP($Z59,AC$2:$AG$52,8-AC$1/10,FALSE)</f>
        <v>New York</v>
      </c>
      <c r="AD59" s="20" t="str">
        <f>VLOOKUP($Z59,AD$2:$AG$52,8-AD$1/10,FALSE)</f>
        <v>South Florida</v>
      </c>
      <c r="AE59" s="20" t="str">
        <f>VLOOKUP($Z59,AE$2:$AG$52,8-AE$1/10,FALSE)</f>
        <v>Chicago</v>
      </c>
      <c r="AF59" s="20" t="str">
        <f>VLOOKUP($Z59,AF$2:$AG$52,8-AF$1/10,FALSE)</f>
        <v>Boston</v>
      </c>
      <c r="AG59" s="20" t="str">
        <f t="shared" si="28"/>
        <v>San Jose</v>
      </c>
    </row>
    <row r="60" spans="1:33">
      <c r="Y60" s="20" t="str">
        <f>VLOOKUP($Z60,Y$2:$Z$52,2,FALSE)</f>
        <v>Phoenix</v>
      </c>
      <c r="Z60" s="20">
        <f t="shared" ref="Z60:Z105" si="29">Z59+1</f>
        <v>5</v>
      </c>
      <c r="AA60" s="20" t="str">
        <f>VLOOKUP($Z60,AA$2:$AG$52,8-AA$1/10,FALSE)</f>
        <v>Los Angeles</v>
      </c>
      <c r="AB60" s="20" t="str">
        <f>VLOOKUP($Z60,AB$2:$AG$52,8-AB$1/10,FALSE)</f>
        <v>Los Angeles</v>
      </c>
      <c r="AC60" s="20" t="str">
        <f>VLOOKUP($Z60,AC$2:$AG$52,8-AC$1/10,FALSE)</f>
        <v>South Florida</v>
      </c>
      <c r="AD60" s="20" t="str">
        <f>VLOOKUP($Z60,AD$2:$AG$52,8-AD$1/10,FALSE)</f>
        <v>San Francisco</v>
      </c>
      <c r="AE60" s="20" t="str">
        <f>VLOOKUP($Z60,AE$2:$AG$52,8-AE$1/10,FALSE)</f>
        <v>Dallas-Fort Worth</v>
      </c>
      <c r="AF60" s="20" t="str">
        <f>VLOOKUP($Z60,AF$2:$AG$52,8-AF$1/10,FALSE)</f>
        <v>Dallas-Fort Worth</v>
      </c>
      <c r="AG60" s="20" t="str">
        <f t="shared" si="28"/>
        <v>Phoenix</v>
      </c>
    </row>
    <row r="61" spans="1:33">
      <c r="Y61" s="20" t="str">
        <f>VLOOKUP($Z61,Y$2:$Z$52,2,FALSE)</f>
        <v>Washington</v>
      </c>
      <c r="Z61" s="20">
        <f t="shared" si="29"/>
        <v>6</v>
      </c>
      <c r="AA61" s="20" t="str">
        <f>VLOOKUP($Z61,AA$2:$AG$52,8-AA$1/10,FALSE)</f>
        <v>Columbus</v>
      </c>
      <c r="AB61" s="20" t="str">
        <f>VLOOKUP($Z61,AB$2:$AG$52,8-AB$1/10,FALSE)</f>
        <v>Salt Lake City</v>
      </c>
      <c r="AC61" s="20" t="str">
        <f>VLOOKUP($Z61,AC$2:$AG$52,8-AC$1/10,FALSE)</f>
        <v>Washington</v>
      </c>
      <c r="AD61" s="20" t="str">
        <f>VLOOKUP($Z61,AD$2:$AG$52,8-AD$1/10,FALSE)</f>
        <v>Philadelphia</v>
      </c>
      <c r="AE61" s="20" t="str">
        <f>VLOOKUP($Z61,AE$2:$AG$52,8-AE$1/10,FALSE)</f>
        <v>Philadelphia</v>
      </c>
      <c r="AF61" s="20" t="str">
        <f>VLOOKUP($Z61,AF$2:$AG$52,8-AF$1/10,FALSE)</f>
        <v>Philadelphia</v>
      </c>
      <c r="AG61" s="20" t="str">
        <f t="shared" si="28"/>
        <v>Washington</v>
      </c>
    </row>
    <row r="62" spans="1:33">
      <c r="Y62" s="20" t="str">
        <f>VLOOKUP($Z62,Y$2:$Z$52,2,FALSE)</f>
        <v>South Florida</v>
      </c>
      <c r="Z62" s="20">
        <f t="shared" si="29"/>
        <v>7</v>
      </c>
      <c r="AA62" s="20" t="str">
        <f>VLOOKUP($Z62,AA$2:$AG$52,8-AA$1/10,FALSE)</f>
        <v>New York</v>
      </c>
      <c r="AB62" s="20" t="str">
        <f>VLOOKUP($Z62,AB$2:$AG$52,8-AB$1/10,FALSE)</f>
        <v>Raleigh</v>
      </c>
      <c r="AC62" s="20" t="str">
        <f>VLOOKUP($Z62,AC$2:$AG$52,8-AC$1/10,FALSE)</f>
        <v>Denver</v>
      </c>
      <c r="AD62" s="20" t="str">
        <f>VLOOKUP($Z62,AD$2:$AG$52,8-AD$1/10,FALSE)</f>
        <v>Houston</v>
      </c>
      <c r="AE62" s="20" t="str">
        <f>VLOOKUP($Z62,AE$2:$AG$52,8-AE$1/10,FALSE)</f>
        <v>Washington</v>
      </c>
      <c r="AF62" s="20" t="str">
        <f>VLOOKUP($Z62,AF$2:$AG$52,8-AF$1/10,FALSE)</f>
        <v>Washington</v>
      </c>
      <c r="AG62" s="20" t="str">
        <f t="shared" si="28"/>
        <v>South Florida</v>
      </c>
    </row>
    <row r="63" spans="1:33">
      <c r="Y63" s="20" t="str">
        <f>VLOOKUP($Z63,Y$2:$Z$52,2,FALSE)</f>
        <v>Philadelphia</v>
      </c>
      <c r="Z63" s="20">
        <f t="shared" si="29"/>
        <v>8</v>
      </c>
      <c r="AA63" s="20" t="str">
        <f>VLOOKUP($Z63,AA$2:$AG$52,8-AA$1/10,FALSE)</f>
        <v>Las Vegas</v>
      </c>
      <c r="AB63" s="20" t="str">
        <f>VLOOKUP($Z63,AB$2:$AG$52,8-AB$1/10,FALSE)</f>
        <v>Inland Empire</v>
      </c>
      <c r="AC63" s="20" t="str">
        <f>VLOOKUP($Z63,AC$2:$AG$52,8-AC$1/10,FALSE)</f>
        <v>Baltimore</v>
      </c>
      <c r="AD63" s="20" t="str">
        <f>VLOOKUP($Z63,AD$2:$AG$52,8-AD$1/10,FALSE)</f>
        <v>Dallas-Fort Worth</v>
      </c>
      <c r="AE63" s="20" t="str">
        <f>VLOOKUP($Z63,AE$2:$AG$52,8-AE$1/10,FALSE)</f>
        <v>Houston</v>
      </c>
      <c r="AF63" s="20" t="str">
        <f>VLOOKUP($Z63,AF$2:$AG$52,8-AF$1/10,FALSE)</f>
        <v>Houston</v>
      </c>
      <c r="AG63" s="20" t="str">
        <f t="shared" si="28"/>
        <v>Philadelphia</v>
      </c>
    </row>
    <row r="64" spans="1:33">
      <c r="Y64" s="20" t="str">
        <f>VLOOKUP($Z64,Y$2:$Z$52,2,FALSE)</f>
        <v>Chicago</v>
      </c>
      <c r="Z64" s="20">
        <f t="shared" si="29"/>
        <v>9</v>
      </c>
      <c r="AA64" s="20" t="str">
        <f>VLOOKUP($Z64,AA$2:$AG$52,8-AA$1/10,FALSE)</f>
        <v>Honolulu</v>
      </c>
      <c r="AB64" s="20" t="str">
        <f>VLOOKUP($Z64,AB$2:$AG$52,8-AB$1/10,FALSE)</f>
        <v>Milwaukee</v>
      </c>
      <c r="AC64" s="20" t="str">
        <f>VLOOKUP($Z64,AC$2:$AG$52,8-AC$1/10,FALSE)</f>
        <v>Minneapolis-St.Paul</v>
      </c>
      <c r="AD64" s="20" t="str">
        <f>VLOOKUP($Z64,AD$2:$AG$52,8-AD$1/10,FALSE)</f>
        <v>Boston</v>
      </c>
      <c r="AE64" s="20" t="str">
        <f>VLOOKUP($Z64,AE$2:$AG$52,8-AE$1/10,FALSE)</f>
        <v>Atlanta</v>
      </c>
      <c r="AF64" s="20" t="str">
        <f>VLOOKUP($Z64,AF$2:$AG$52,8-AF$1/10,FALSE)</f>
        <v>Atlanta</v>
      </c>
      <c r="AG64" s="20" t="str">
        <f t="shared" si="28"/>
        <v>Chicago</v>
      </c>
    </row>
    <row r="65" spans="25:33">
      <c r="Y65" s="20" t="str">
        <f>VLOOKUP($Z65,Y$2:$Z$52,2,FALSE)</f>
        <v>Salt Lake City</v>
      </c>
      <c r="Z65" s="20">
        <f t="shared" si="29"/>
        <v>10</v>
      </c>
      <c r="AA65" s="20" t="str">
        <f>VLOOKUP($Z65,AA$2:$AG$52,8-AA$1/10,FALSE)</f>
        <v>Milwaukee</v>
      </c>
      <c r="AB65" s="20" t="str">
        <f>VLOOKUP($Z65,AB$2:$AG$52,8-AB$1/10,FALSE)</f>
        <v>Phoenix</v>
      </c>
      <c r="AC65" s="20" t="str">
        <f>VLOOKUP($Z65,AC$2:$AG$52,8-AC$1/10,FALSE)</f>
        <v>Inland Empire</v>
      </c>
      <c r="AD65" s="20" t="str">
        <f>VLOOKUP($Z65,AD$2:$AG$52,8-AD$1/10,FALSE)</f>
        <v>Chicago</v>
      </c>
      <c r="AE65" s="20" t="str">
        <f>VLOOKUP($Z65,AE$2:$AG$52,8-AE$1/10,FALSE)</f>
        <v>South Florida</v>
      </c>
      <c r="AF65" s="20" t="str">
        <f>VLOOKUP($Z65,AF$2:$AG$52,8-AF$1/10,FALSE)</f>
        <v>South Florida</v>
      </c>
      <c r="AG65" s="20" t="str">
        <f t="shared" si="28"/>
        <v>Salt Lake City</v>
      </c>
    </row>
    <row r="66" spans="25:33">
      <c r="Y66" s="20" t="str">
        <f>VLOOKUP($Z66,Y$2:$Z$52,2,FALSE)</f>
        <v>Houston</v>
      </c>
      <c r="Z66" s="20">
        <f t="shared" si="29"/>
        <v>11</v>
      </c>
      <c r="AA66" s="20" t="str">
        <f>VLOOKUP($Z66,AA$2:$AG$52,8-AA$1/10,FALSE)</f>
        <v>Inland Empire</v>
      </c>
      <c r="AB66" s="20" t="str">
        <f>VLOOKUP($Z66,AB$2:$AG$52,8-AB$1/10,FALSE)</f>
        <v>New York</v>
      </c>
      <c r="AC66" s="20" t="str">
        <f>VLOOKUP($Z66,AC$2:$AG$52,8-AC$1/10,FALSE)</f>
        <v>Philadelphia</v>
      </c>
      <c r="AD66" s="20" t="str">
        <f>VLOOKUP($Z66,AD$2:$AG$52,8-AD$1/10,FALSE)</f>
        <v>Minneapolis-St.Paul</v>
      </c>
      <c r="AE66" s="20" t="str">
        <f>VLOOKUP($Z66,AE$2:$AG$52,8-AE$1/10,FALSE)</f>
        <v>San Francisco</v>
      </c>
      <c r="AF66" s="20" t="str">
        <f>VLOOKUP($Z66,AF$2:$AG$52,8-AF$1/10,FALSE)</f>
        <v>San Francisco</v>
      </c>
      <c r="AG66" s="20" t="str">
        <f t="shared" si="28"/>
        <v>Houston</v>
      </c>
    </row>
    <row r="67" spans="25:33">
      <c r="Y67" s="20" t="str">
        <f>VLOOKUP($Z67,Y$2:$Z$52,2,FALSE)</f>
        <v>Boston</v>
      </c>
      <c r="Z67" s="20">
        <f t="shared" si="29"/>
        <v>12</v>
      </c>
      <c r="AA67" s="20" t="str">
        <f>VLOOKUP($Z67,AA$2:$AG$52,8-AA$1/10,FALSE)</f>
        <v>Rochester</v>
      </c>
      <c r="AB67" s="20" t="str">
        <f>VLOOKUP($Z67,AB$2:$AG$52,8-AB$1/10,FALSE)</f>
        <v>Charlotte</v>
      </c>
      <c r="AC67" s="20" t="str">
        <f>VLOOKUP($Z67,AC$2:$AG$52,8-AC$1/10,FALSE)</f>
        <v>Houston</v>
      </c>
      <c r="AD67" s="20" t="str">
        <f>VLOOKUP($Z67,AD$2:$AG$52,8-AD$1/10,FALSE)</f>
        <v>Detroit</v>
      </c>
      <c r="AE67" s="20" t="str">
        <f>VLOOKUP($Z67,AE$2:$AG$52,8-AE$1/10,FALSE)</f>
        <v>Detroit</v>
      </c>
      <c r="AF67" s="20" t="str">
        <f>VLOOKUP($Z67,AF$2:$AG$52,8-AF$1/10,FALSE)</f>
        <v>Detroit</v>
      </c>
      <c r="AG67" s="20" t="str">
        <f t="shared" si="28"/>
        <v>Boston</v>
      </c>
    </row>
    <row r="68" spans="25:33">
      <c r="Y68" s="20" t="str">
        <f>VLOOKUP($Z68,Y$2:$Z$52,2,FALSE)</f>
        <v>Dallas-Fort Worth</v>
      </c>
      <c r="Z68" s="20">
        <f t="shared" si="29"/>
        <v>13</v>
      </c>
      <c r="AA68" s="20" t="str">
        <f>VLOOKUP($Z68,AA$2:$AG$52,8-AA$1/10,FALSE)</f>
        <v>Raleigh</v>
      </c>
      <c r="AB68" s="20" t="str">
        <f>VLOOKUP($Z68,AB$2:$AG$52,8-AB$1/10,FALSE)</f>
        <v>Cleveland</v>
      </c>
      <c r="AC68" s="20" t="str">
        <f>VLOOKUP($Z68,AC$2:$AG$52,8-AC$1/10,FALSE)</f>
        <v>Pittsburgh</v>
      </c>
      <c r="AD68" s="20" t="str">
        <f>VLOOKUP($Z68,AD$2:$AG$52,8-AD$1/10,FALSE)</f>
        <v>Phoenix</v>
      </c>
      <c r="AE68" s="20" t="str">
        <f>VLOOKUP($Z68,AE$2:$AG$52,8-AE$1/10,FALSE)</f>
        <v>Minneapolis-St.Paul</v>
      </c>
      <c r="AF68" s="20" t="str">
        <f>VLOOKUP($Z68,AF$2:$AG$52,8-AF$1/10,FALSE)</f>
        <v>Minneapolis-St.Paul</v>
      </c>
      <c r="AG68" s="20" t="str">
        <f t="shared" si="28"/>
        <v>Dallas-Fort Worth</v>
      </c>
    </row>
    <row r="69" spans="25:33">
      <c r="Y69" s="20" t="str">
        <f>VLOOKUP($Z69,Y$2:$Z$52,2,FALSE)</f>
        <v>Inland Empire</v>
      </c>
      <c r="Z69" s="20">
        <f t="shared" si="29"/>
        <v>14</v>
      </c>
      <c r="AA69" s="20" t="str">
        <f>VLOOKUP($Z69,AA$2:$AG$52,8-AA$1/10,FALSE)</f>
        <v>Cleveland</v>
      </c>
      <c r="AB69" s="20" t="str">
        <f>VLOOKUP($Z69,AB$2:$AG$52,8-AB$1/10,FALSE)</f>
        <v>Austin</v>
      </c>
      <c r="AC69" s="20" t="str">
        <f>VLOOKUP($Z69,AC$2:$AG$52,8-AC$1/10,FALSE)</f>
        <v>Dallas-Fort Worth</v>
      </c>
      <c r="AD69" s="20" t="str">
        <f>VLOOKUP($Z69,AD$2:$AG$52,8-AD$1/10,FALSE)</f>
        <v>Atlanta</v>
      </c>
      <c r="AE69" s="20" t="str">
        <f>VLOOKUP($Z69,AE$2:$AG$52,8-AE$1/10,FALSE)</f>
        <v>Phoenix</v>
      </c>
      <c r="AF69" s="20" t="str">
        <f>VLOOKUP($Z69,AF$2:$AG$52,8-AF$1/10,FALSE)</f>
        <v>Phoenix</v>
      </c>
      <c r="AG69" s="20" t="str">
        <f t="shared" si="28"/>
        <v>Inland Empire</v>
      </c>
    </row>
    <row r="70" spans="25:33">
      <c r="Y70" s="20" t="str">
        <f>VLOOKUP($Z70,Y$2:$Z$52,2,FALSE)</f>
        <v>Las Vegas</v>
      </c>
      <c r="Z70" s="20">
        <f t="shared" si="29"/>
        <v>15</v>
      </c>
      <c r="AA70" s="20" t="str">
        <f>VLOOKUP($Z70,AA$2:$AG$52,8-AA$1/10,FALSE)</f>
        <v>South Florida</v>
      </c>
      <c r="AB70" s="20" t="str">
        <f>VLOOKUP($Z70,AB$2:$AG$52,8-AB$1/10,FALSE)</f>
        <v>Nashville</v>
      </c>
      <c r="AC70" s="20" t="str">
        <f>VLOOKUP($Z70,AC$2:$AG$52,8-AC$1/10,FALSE)</f>
        <v>Boston</v>
      </c>
      <c r="AD70" s="20" t="str">
        <f>VLOOKUP($Z70,AD$2:$AG$52,8-AD$1/10,FALSE)</f>
        <v>St. Louis</v>
      </c>
      <c r="AE70" s="20" t="str">
        <f>VLOOKUP($Z70,AE$2:$AG$52,8-AE$1/10,FALSE)</f>
        <v>Seattle</v>
      </c>
      <c r="AF70" s="20" t="str">
        <f>VLOOKUP($Z70,AF$2:$AG$52,8-AF$1/10,FALSE)</f>
        <v>Seattle</v>
      </c>
      <c r="AG70" s="20" t="str">
        <f t="shared" si="28"/>
        <v>Las Vegas</v>
      </c>
    </row>
    <row r="71" spans="25:33">
      <c r="Y71" s="20" t="str">
        <f>VLOOKUP($Z71,Y$2:$Z$52,2,FALSE)</f>
        <v>Columbus</v>
      </c>
      <c r="Z71" s="20">
        <f t="shared" si="29"/>
        <v>16</v>
      </c>
      <c r="AA71" s="20" t="str">
        <f>VLOOKUP($Z71,AA$2:$AG$52,8-AA$1/10,FALSE)</f>
        <v>Phoenix</v>
      </c>
      <c r="AB71" s="20" t="str">
        <f>VLOOKUP($Z71,AB$2:$AG$52,8-AB$1/10,FALSE)</f>
        <v>South Florida</v>
      </c>
      <c r="AC71" s="20" t="str">
        <f>VLOOKUP($Z71,AC$2:$AG$52,8-AC$1/10,FALSE)</f>
        <v>Cleveland</v>
      </c>
      <c r="AD71" s="20" t="str">
        <f>VLOOKUP($Z71,AD$2:$AG$52,8-AD$1/10,FALSE)</f>
        <v>Seattle</v>
      </c>
      <c r="AE71" s="20" t="str">
        <f>VLOOKUP($Z71,AE$2:$AG$52,8-AE$1/10,FALSE)</f>
        <v>St. Louis</v>
      </c>
      <c r="AF71" s="20" t="str">
        <f>VLOOKUP($Z71,AF$2:$AG$52,8-AF$1/10,FALSE)</f>
        <v>St. Louis</v>
      </c>
      <c r="AG71" s="20" t="str">
        <f t="shared" si="28"/>
        <v>Columbus</v>
      </c>
    </row>
    <row r="72" spans="25:33">
      <c r="Y72" s="20" t="str">
        <f>VLOOKUP($Z72,Y$2:$Z$52,2,FALSE)</f>
        <v>Minneapolis-St.Paul</v>
      </c>
      <c r="Z72" s="20">
        <f t="shared" si="29"/>
        <v>17</v>
      </c>
      <c r="AA72" s="20" t="str">
        <f>VLOOKUP($Z72,AA$2:$AG$52,8-AA$1/10,FALSE)</f>
        <v>Oklahoma City</v>
      </c>
      <c r="AB72" s="20" t="str">
        <f>VLOOKUP($Z72,AB$2:$AG$52,8-AB$1/10,FALSE)</f>
        <v>Grand Rapids</v>
      </c>
      <c r="AC72" s="20" t="str">
        <f>VLOOKUP($Z72,AC$2:$AG$52,8-AC$1/10,FALSE)</f>
        <v>Chicago</v>
      </c>
      <c r="AD72" s="20" t="str">
        <f>VLOOKUP($Z72,AD$2:$AG$52,8-AD$1/10,FALSE)</f>
        <v>San Diego</v>
      </c>
      <c r="AE72" s="20" t="str">
        <f>VLOOKUP($Z72,AE$2:$AG$52,8-AE$1/10,FALSE)</f>
        <v>San Diego</v>
      </c>
      <c r="AF72" s="20" t="str">
        <f>VLOOKUP($Z72,AF$2:$AG$52,8-AF$1/10,FALSE)</f>
        <v>San Diego</v>
      </c>
      <c r="AG72" s="20" t="str">
        <f t="shared" si="28"/>
        <v>Minneapolis-St.Paul</v>
      </c>
    </row>
    <row r="73" spans="25:33">
      <c r="Y73" s="20" t="str">
        <f>VLOOKUP($Z73,Y$2:$Z$52,2,FALSE)</f>
        <v>Cleveland</v>
      </c>
      <c r="Z73" s="20">
        <f t="shared" si="29"/>
        <v>18</v>
      </c>
      <c r="AA73" s="20" t="str">
        <f>VLOOKUP($Z73,AA$2:$AG$52,8-AA$1/10,FALSE)</f>
        <v>Buffalo</v>
      </c>
      <c r="AB73" s="20" t="str">
        <f>VLOOKUP($Z73,AB$2:$AG$52,8-AB$1/10,FALSE)</f>
        <v>San Antonio</v>
      </c>
      <c r="AC73" s="20" t="str">
        <f>VLOOKUP($Z73,AC$2:$AG$52,8-AC$1/10,FALSE)</f>
        <v>Portland</v>
      </c>
      <c r="AD73" s="20" t="str">
        <f>VLOOKUP($Z73,AD$2:$AG$52,8-AD$1/10,FALSE)</f>
        <v>Denver</v>
      </c>
      <c r="AE73" s="20" t="str">
        <f>VLOOKUP($Z73,AE$2:$AG$52,8-AE$1/10,FALSE)</f>
        <v>Denver</v>
      </c>
      <c r="AF73" s="20" t="str">
        <f>VLOOKUP($Z73,AF$2:$AG$52,8-AF$1/10,FALSE)</f>
        <v>Denver</v>
      </c>
      <c r="AG73" s="20" t="str">
        <f t="shared" si="28"/>
        <v>Cleveland</v>
      </c>
    </row>
    <row r="74" spans="25:33">
      <c r="Y74" s="20" t="str">
        <f>VLOOKUP($Z74,Y$2:$Z$52,2,FALSE)</f>
        <v>Denver</v>
      </c>
      <c r="Z74" s="20">
        <f t="shared" si="29"/>
        <v>19</v>
      </c>
      <c r="AA74" s="20" t="str">
        <f>VLOOKUP($Z74,AA$2:$AG$52,8-AA$1/10,FALSE)</f>
        <v>Kansas City</v>
      </c>
      <c r="AB74" s="20" t="str">
        <f>VLOOKUP($Z74,AB$2:$AG$52,8-AB$1/10,FALSE)</f>
        <v>Kansas City</v>
      </c>
      <c r="AC74" s="20" t="str">
        <f>VLOOKUP($Z74,AC$2:$AG$52,8-AC$1/10,FALSE)</f>
        <v>Cincinnati</v>
      </c>
      <c r="AD74" s="20" t="str">
        <f>VLOOKUP($Z74,AD$2:$AG$52,8-AD$1/10,FALSE)</f>
        <v>Baltimore</v>
      </c>
      <c r="AE74" s="20" t="str">
        <f>VLOOKUP($Z74,AE$2:$AG$52,8-AE$1/10,FALSE)</f>
        <v>Baltimore</v>
      </c>
      <c r="AF74" s="20" t="str">
        <f>VLOOKUP($Z74,AF$2:$AG$52,8-AF$1/10,FALSE)</f>
        <v>Baltimore</v>
      </c>
      <c r="AG74" s="20" t="str">
        <f t="shared" si="28"/>
        <v>Denver</v>
      </c>
    </row>
    <row r="75" spans="25:33">
      <c r="Y75" s="20" t="str">
        <f>VLOOKUP($Z75,Y$2:$Z$52,2,FALSE)</f>
        <v>Detroit</v>
      </c>
      <c r="Z75" s="20">
        <f t="shared" si="29"/>
        <v>20</v>
      </c>
      <c r="AA75" s="20" t="str">
        <f>VLOOKUP($Z75,AA$2:$AG$52,8-AA$1/10,FALSE)</f>
        <v>Washington</v>
      </c>
      <c r="AB75" s="20" t="str">
        <f>VLOOKUP($Z75,AB$2:$AG$52,8-AB$1/10,FALSE)</f>
        <v>Washington</v>
      </c>
      <c r="AC75" s="20" t="str">
        <f>VLOOKUP($Z75,AC$2:$AG$52,8-AC$1/10,FALSE)</f>
        <v>Orlando</v>
      </c>
      <c r="AD75" s="20" t="str">
        <f>VLOOKUP($Z75,AD$2:$AG$52,8-AD$1/10,FALSE)</f>
        <v>Inland Empire</v>
      </c>
      <c r="AE75" s="20" t="str">
        <f>VLOOKUP($Z75,AE$2:$AG$52,8-AE$1/10,FALSE)</f>
        <v>Inland Empire</v>
      </c>
      <c r="AF75" s="20" t="str">
        <f>VLOOKUP($Z75,AF$2:$AG$52,8-AF$1/10,FALSE)</f>
        <v>Inland Empire</v>
      </c>
      <c r="AG75" s="20" t="str">
        <f t="shared" si="28"/>
        <v>Detroit</v>
      </c>
    </row>
    <row r="76" spans="25:33">
      <c r="Y76" s="20" t="str">
        <f>VLOOKUP($Z76,Y$2:$Z$52,2,FALSE)</f>
        <v>Milwaukee</v>
      </c>
      <c r="Z76" s="20">
        <f t="shared" si="29"/>
        <v>21</v>
      </c>
      <c r="AA76" s="20" t="str">
        <f>VLOOKUP($Z76,AA$2:$AG$52,8-AA$1/10,FALSE)</f>
        <v>Baltimore</v>
      </c>
      <c r="AB76" s="20" t="str">
        <f>VLOOKUP($Z76,AB$2:$AG$52,8-AB$1/10,FALSE)</f>
        <v>Orlando</v>
      </c>
      <c r="AC76" s="20" t="str">
        <f>VLOOKUP($Z76,AC$2:$AG$52,8-AC$1/10,FALSE)</f>
        <v>San Jose</v>
      </c>
      <c r="AD76" s="20" t="str">
        <f>VLOOKUP($Z76,AD$2:$AG$52,8-AD$1/10,FALSE)</f>
        <v>Pittsburgh</v>
      </c>
      <c r="AE76" s="20" t="str">
        <f>VLOOKUP($Z76,AE$2:$AG$52,8-AE$1/10,FALSE)</f>
        <v>Pittsburgh</v>
      </c>
      <c r="AF76" s="20" t="str">
        <f>VLOOKUP($Z76,AF$2:$AG$52,8-AF$1/10,FALSE)</f>
        <v>Pittsburgh</v>
      </c>
      <c r="AG76" s="20" t="str">
        <f t="shared" si="28"/>
        <v>Milwaukee</v>
      </c>
    </row>
    <row r="77" spans="25:33">
      <c r="Y77" s="20" t="str">
        <f>VLOOKUP($Z77,Y$2:$Z$52,2,FALSE)</f>
        <v>Baltimore</v>
      </c>
      <c r="Z77" s="20">
        <f t="shared" si="29"/>
        <v>22</v>
      </c>
      <c r="AA77" s="20" t="str">
        <f>VLOOKUP($Z77,AA$2:$AG$52,8-AA$1/10,FALSE)</f>
        <v>Nashville</v>
      </c>
      <c r="AB77" s="20" t="str">
        <f>VLOOKUP($Z77,AB$2:$AG$52,8-AB$1/10,FALSE)</f>
        <v>Denver</v>
      </c>
      <c r="AC77" s="20" t="str">
        <f>VLOOKUP($Z77,AC$2:$AG$52,8-AC$1/10,FALSE)</f>
        <v>Kansas City</v>
      </c>
      <c r="AD77" s="20" t="str">
        <f>VLOOKUP($Z77,AD$2:$AG$52,8-AD$1/10,FALSE)</f>
        <v>Tampa Bay</v>
      </c>
      <c r="AE77" s="20" t="str">
        <f>VLOOKUP($Z77,AE$2:$AG$52,8-AE$1/10,FALSE)</f>
        <v>Tampa Bay</v>
      </c>
      <c r="AF77" s="20" t="str">
        <f>VLOOKUP($Z77,AF$2:$AG$52,8-AF$1/10,FALSE)</f>
        <v>Tampa Bay</v>
      </c>
      <c r="AG77" s="20" t="str">
        <f t="shared" si="28"/>
        <v>Baltimore</v>
      </c>
    </row>
    <row r="78" spans="25:33">
      <c r="Y78" s="20" t="str">
        <f>VLOOKUP($Z78,Y$2:$Z$52,2,FALSE)</f>
        <v>Raleigh</v>
      </c>
      <c r="Z78" s="20">
        <f t="shared" si="29"/>
        <v>23</v>
      </c>
      <c r="AA78" s="20" t="str">
        <f>VLOOKUP($Z78,AA$2:$AG$52,8-AA$1/10,FALSE)</f>
        <v>New Orleans</v>
      </c>
      <c r="AB78" s="20" t="str">
        <f>VLOOKUP($Z78,AB$2:$AG$52,8-AB$1/10,FALSE)</f>
        <v>Memphis</v>
      </c>
      <c r="AC78" s="20" t="str">
        <f>VLOOKUP($Z78,AC$2:$AG$52,8-AC$1/10,FALSE)</f>
        <v>Detroit</v>
      </c>
      <c r="AD78" s="20" t="str">
        <f>VLOOKUP($Z78,AD$2:$AG$52,8-AD$1/10,FALSE)</f>
        <v>Cleveland</v>
      </c>
      <c r="AE78" s="20" t="str">
        <f>VLOOKUP($Z78,AE$2:$AG$52,8-AE$1/10,FALSE)</f>
        <v>Cleveland</v>
      </c>
      <c r="AF78" s="20" t="str">
        <f>VLOOKUP($Z78,AF$2:$AG$52,8-AF$1/10,FALSE)</f>
        <v>Cleveland</v>
      </c>
      <c r="AG78" s="20" t="str">
        <f t="shared" si="28"/>
        <v>Raleigh</v>
      </c>
    </row>
    <row r="79" spans="25:33">
      <c r="Y79" s="20" t="str">
        <f>VLOOKUP($Z79,Y$2:$Z$52,2,FALSE)</f>
        <v>Pittsburgh</v>
      </c>
      <c r="Z79" s="20">
        <f t="shared" si="29"/>
        <v>24</v>
      </c>
      <c r="AA79" s="20" t="str">
        <f>VLOOKUP($Z79,AA$2:$AG$52,8-AA$1/10,FALSE)</f>
        <v>Portland</v>
      </c>
      <c r="AB79" s="20" t="str">
        <f>VLOOKUP($Z79,AB$2:$AG$52,8-AB$1/10,FALSE)</f>
        <v>Oklahoma City</v>
      </c>
      <c r="AC79" s="20" t="str">
        <f>VLOOKUP($Z79,AC$2:$AG$52,8-AC$1/10,FALSE)</f>
        <v>St. Louis</v>
      </c>
      <c r="AD79" s="20" t="str">
        <f>VLOOKUP($Z79,AD$2:$AG$52,8-AD$1/10,FALSE)</f>
        <v>Portland</v>
      </c>
      <c r="AE79" s="20" t="str">
        <f>VLOOKUP($Z79,AE$2:$AG$52,8-AE$1/10,FALSE)</f>
        <v>Portland</v>
      </c>
      <c r="AF79" s="20" t="str">
        <f>VLOOKUP($Z79,AF$2:$AG$52,8-AF$1/10,FALSE)</f>
        <v>Portland</v>
      </c>
      <c r="AG79" s="20" t="str">
        <f t="shared" si="28"/>
        <v>Pittsburgh</v>
      </c>
    </row>
    <row r="80" spans="25:33">
      <c r="Y80" s="20" t="str">
        <f>VLOOKUP($Z80,Y$2:$Z$52,2,FALSE)</f>
        <v>Kansas City</v>
      </c>
      <c r="Z80" s="20">
        <f t="shared" si="29"/>
        <v>25</v>
      </c>
      <c r="AA80" s="20" t="str">
        <f>VLOOKUP($Z80,AA$2:$AG$52,8-AA$1/10,FALSE)</f>
        <v>San Diego</v>
      </c>
      <c r="AB80" s="20" t="str">
        <f>VLOOKUP($Z80,AB$2:$AG$52,8-AB$1/10,FALSE)</f>
        <v>Cincinnati</v>
      </c>
      <c r="AC80" s="20" t="str">
        <f>VLOOKUP($Z80,AC$2:$AG$52,8-AC$1/10,FALSE)</f>
        <v>Tampa Bay</v>
      </c>
      <c r="AD80" s="20" t="str">
        <f>VLOOKUP($Z80,AD$2:$AG$52,8-AD$1/10,FALSE)</f>
        <v>Cincinnati</v>
      </c>
      <c r="AE80" s="20" t="str">
        <f>VLOOKUP($Z80,AE$2:$AG$52,8-AE$1/10,FALSE)</f>
        <v>Cincinnati</v>
      </c>
      <c r="AF80" s="20" t="str">
        <f>VLOOKUP($Z80,AF$2:$AG$52,8-AF$1/10,FALSE)</f>
        <v>Cincinnati</v>
      </c>
      <c r="AG80" s="20" t="str">
        <f t="shared" si="28"/>
        <v>Kansas City</v>
      </c>
    </row>
    <row r="81" spans="25:33">
      <c r="Y81" s="20" t="str">
        <f>VLOOKUP($Z81,Y$2:$Z$52,2,FALSE)</f>
        <v>Orlando</v>
      </c>
      <c r="Z81" s="20">
        <f t="shared" si="29"/>
        <v>26</v>
      </c>
      <c r="AA81" s="20" t="str">
        <f>VLOOKUP($Z81,AA$2:$AG$52,8-AA$1/10,FALSE)</f>
        <v>Philadelphia</v>
      </c>
      <c r="AB81" s="20" t="str">
        <f>VLOOKUP($Z81,AB$2:$AG$52,8-AB$1/10,FALSE)</f>
        <v>Minneapolis-St.Paul</v>
      </c>
      <c r="AC81" s="20" t="str">
        <f>VLOOKUP($Z81,AC$2:$AG$52,8-AC$1/10,FALSE)</f>
        <v>San Diego</v>
      </c>
      <c r="AD81" s="20" t="str">
        <f>VLOOKUP($Z81,AD$2:$AG$52,8-AD$1/10,FALSE)</f>
        <v>Orlando</v>
      </c>
      <c r="AE81" s="20" t="str">
        <f>VLOOKUP($Z81,AE$2:$AG$52,8-AE$1/10,FALSE)</f>
        <v>Orlando</v>
      </c>
      <c r="AF81" s="20" t="str">
        <f>VLOOKUP($Z81,AF$2:$AG$52,8-AF$1/10,FALSE)</f>
        <v>Orlando</v>
      </c>
      <c r="AG81" s="20" t="str">
        <f t="shared" si="28"/>
        <v>Orlando</v>
      </c>
    </row>
    <row r="82" spans="25:33">
      <c r="Y82" s="20" t="str">
        <f>VLOOKUP($Z82,Y$2:$Z$52,2,FALSE)</f>
        <v>Cincinnati</v>
      </c>
      <c r="Z82" s="20">
        <f t="shared" si="29"/>
        <v>27</v>
      </c>
      <c r="AA82" s="20" t="str">
        <f>VLOOKUP($Z82,AA$2:$AG$52,8-AA$1/10,FALSE)</f>
        <v>Pittsburgh</v>
      </c>
      <c r="AB82" s="20" t="str">
        <f>VLOOKUP($Z82,AB$2:$AG$52,8-AB$1/10,FALSE)</f>
        <v>Buffalo</v>
      </c>
      <c r="AC82" s="20" t="str">
        <f>VLOOKUP($Z82,AC$2:$AG$52,8-AC$1/10,FALSE)</f>
        <v>Las Vegas</v>
      </c>
      <c r="AD82" s="20" t="str">
        <f>VLOOKUP($Z82,AD$2:$AG$52,8-AD$1/10,FALSE)</f>
        <v>San Jose</v>
      </c>
      <c r="AE82" s="20" t="str">
        <f>VLOOKUP($Z82,AE$2:$AG$52,8-AE$1/10,FALSE)</f>
        <v>San Jose</v>
      </c>
      <c r="AF82" s="20" t="str">
        <f>VLOOKUP($Z82,AF$2:$AG$52,8-AF$1/10,FALSE)</f>
        <v>San Jose</v>
      </c>
      <c r="AG82" s="20" t="str">
        <f t="shared" si="28"/>
        <v>Cincinnati</v>
      </c>
    </row>
    <row r="83" spans="25:33">
      <c r="Y83" s="20" t="str">
        <f>VLOOKUP($Z83,Y$2:$Z$52,2,FALSE)</f>
        <v>Portland</v>
      </c>
      <c r="Z83" s="20">
        <f t="shared" si="29"/>
        <v>28</v>
      </c>
      <c r="AA83" s="20" t="str">
        <f>VLOOKUP($Z83,AA$2:$AG$52,8-AA$1/10,FALSE)</f>
        <v>Minneapolis-St.Paul</v>
      </c>
      <c r="AB83" s="20" t="str">
        <f>VLOOKUP($Z83,AB$2:$AG$52,8-AB$1/10,FALSE)</f>
        <v>Baltimore</v>
      </c>
      <c r="AC83" s="20" t="str">
        <f>VLOOKUP($Z83,AC$2:$AG$52,8-AC$1/10,FALSE)</f>
        <v>Charlotte</v>
      </c>
      <c r="AD83" s="20" t="str">
        <f>VLOOKUP($Z83,AD$2:$AG$52,8-AD$1/10,FALSE)</f>
        <v>Kansas City</v>
      </c>
      <c r="AE83" s="20" t="str">
        <f>VLOOKUP($Z83,AE$2:$AG$52,8-AE$1/10,FALSE)</f>
        <v>Kansas City</v>
      </c>
      <c r="AF83" s="20" t="str">
        <f>VLOOKUP($Z83,AF$2:$AG$52,8-AF$1/10,FALSE)</f>
        <v>Kansas City</v>
      </c>
      <c r="AG83" s="20" t="str">
        <f t="shared" si="28"/>
        <v>Portland</v>
      </c>
    </row>
    <row r="84" spans="25:33">
      <c r="Y84" s="20" t="str">
        <f>VLOOKUP($Z84,Y$2:$Z$52,2,FALSE)</f>
        <v>Charlotte</v>
      </c>
      <c r="Z84" s="20">
        <f t="shared" si="29"/>
        <v>29</v>
      </c>
      <c r="AA84" s="20" t="str">
        <f>VLOOKUP($Z84,AA$2:$AG$52,8-AA$1/10,FALSE)</f>
        <v>Cincinnati</v>
      </c>
      <c r="AB84" s="20" t="str">
        <f>VLOOKUP($Z84,AB$2:$AG$52,8-AB$1/10,FALSE)</f>
        <v>New Orleans</v>
      </c>
      <c r="AC84" s="20" t="str">
        <f>VLOOKUP($Z84,AC$2:$AG$52,8-AC$1/10,FALSE)</f>
        <v>Indianapolis</v>
      </c>
      <c r="AD84" s="20" t="str">
        <f>VLOOKUP($Z84,AD$2:$AG$52,8-AD$1/10,FALSE)</f>
        <v>Las Vegas</v>
      </c>
      <c r="AE84" s="20" t="str">
        <f>VLOOKUP($Z84,AE$2:$AG$52,8-AE$1/10,FALSE)</f>
        <v>Las Vegas</v>
      </c>
      <c r="AF84" s="20" t="str">
        <f>VLOOKUP($Z84,AF$2:$AG$52,8-AF$1/10,FALSE)</f>
        <v>Las Vegas</v>
      </c>
      <c r="AG84" s="20" t="str">
        <f t="shared" si="28"/>
        <v>Charlotte</v>
      </c>
    </row>
    <row r="85" spans="25:33">
      <c r="Y85" s="20" t="str">
        <f>VLOOKUP($Z85,Y$2:$Z$52,2,FALSE)</f>
        <v>St. Louis</v>
      </c>
      <c r="Z85" s="20">
        <f t="shared" si="29"/>
        <v>30</v>
      </c>
      <c r="AA85" s="20" t="str">
        <f>VLOOKUP($Z85,AA$2:$AG$52,8-AA$1/10,FALSE)</f>
        <v>Hartford</v>
      </c>
      <c r="AB85" s="20" t="str">
        <f>VLOOKUP($Z85,AB$2:$AG$52,8-AB$1/10,FALSE)</f>
        <v>Philadelphia</v>
      </c>
      <c r="AC85" s="20" t="str">
        <f>VLOOKUP($Z85,AC$2:$AG$52,8-AC$1/10,FALSE)</f>
        <v>Milwaukee</v>
      </c>
      <c r="AD85" s="20" t="str">
        <f>VLOOKUP($Z85,AD$2:$AG$52,8-AD$1/10,FALSE)</f>
        <v>Charlotte</v>
      </c>
      <c r="AE85" s="20" t="str">
        <f>VLOOKUP($Z85,AE$2:$AG$52,8-AE$1/10,FALSE)</f>
        <v>Charlotte</v>
      </c>
      <c r="AF85" s="20" t="str">
        <f>VLOOKUP($Z85,AF$2:$AG$52,8-AF$1/10,FALSE)</f>
        <v>Charlotte</v>
      </c>
      <c r="AG85" s="20" t="str">
        <f t="shared" si="28"/>
        <v>St. Louis</v>
      </c>
    </row>
    <row r="86" spans="25:33">
      <c r="Y86" s="20" t="str">
        <f>VLOOKUP($Z86,Y$2:$Z$52,2,FALSE)</f>
        <v>San Diego</v>
      </c>
      <c r="Z86" s="20">
        <f t="shared" si="29"/>
        <v>31</v>
      </c>
      <c r="AA86" s="20" t="str">
        <f>VLOOKUP($Z86,AA$2:$AG$52,8-AA$1/10,FALSE)</f>
        <v>Orlando</v>
      </c>
      <c r="AB86" s="20" t="str">
        <f>VLOOKUP($Z86,AB$2:$AG$52,8-AB$1/10,FALSE)</f>
        <v>Rochester</v>
      </c>
      <c r="AC86" s="20" t="str">
        <f>VLOOKUP($Z86,AC$2:$AG$52,8-AC$1/10,FALSE)</f>
        <v>Columbus</v>
      </c>
      <c r="AD86" s="20" t="str">
        <f>VLOOKUP($Z86,AD$2:$AG$52,8-AD$1/10,FALSE)</f>
        <v>Indianapolis</v>
      </c>
      <c r="AE86" s="20" t="str">
        <f>VLOOKUP($Z86,AE$2:$AG$52,8-AE$1/10,FALSE)</f>
        <v>Indianapolis</v>
      </c>
      <c r="AF86" s="20" t="str">
        <f>VLOOKUP($Z86,AF$2:$AG$52,8-AF$1/10,FALSE)</f>
        <v>Indianapolis</v>
      </c>
      <c r="AG86" s="20" t="str">
        <f t="shared" si="28"/>
        <v>San Diego</v>
      </c>
    </row>
    <row r="87" spans="25:33">
      <c r="Y87" s="20" t="str">
        <f>VLOOKUP($Z87,Y$2:$Z$52,2,FALSE)</f>
        <v>Grand Rapids</v>
      </c>
      <c r="Z87" s="20">
        <f t="shared" si="29"/>
        <v>32</v>
      </c>
      <c r="AA87" s="20" t="str">
        <f>VLOOKUP($Z87,AA$2:$AG$52,8-AA$1/10,FALSE)</f>
        <v>Memphis</v>
      </c>
      <c r="AB87" s="20" t="str">
        <f>VLOOKUP($Z87,AB$2:$AG$52,8-AB$1/10,FALSE)</f>
        <v>Portland</v>
      </c>
      <c r="AC87" s="20" t="str">
        <f>VLOOKUP($Z87,AC$2:$AG$52,8-AC$1/10,FALSE)</f>
        <v>San Antonio</v>
      </c>
      <c r="AD87" s="20" t="str">
        <f>VLOOKUP($Z87,AD$2:$AG$52,8-AD$1/10,FALSE)</f>
        <v>Milwaukee</v>
      </c>
      <c r="AE87" s="20" t="str">
        <f>VLOOKUP($Z87,AE$2:$AG$52,8-AE$1/10,FALSE)</f>
        <v>Milwaukee</v>
      </c>
      <c r="AF87" s="20" t="str">
        <f>VLOOKUP($Z87,AF$2:$AG$52,8-AF$1/10,FALSE)</f>
        <v>Milwaukee</v>
      </c>
      <c r="AG87" s="20" t="str">
        <f t="shared" si="28"/>
        <v>Grand Rapids</v>
      </c>
    </row>
    <row r="88" spans="25:33">
      <c r="Y88" s="20" t="str">
        <f>VLOOKUP($Z88,Y$2:$Z$52,2,FALSE)</f>
        <v>Nashville</v>
      </c>
      <c r="Z88" s="20">
        <f t="shared" si="29"/>
        <v>33</v>
      </c>
      <c r="AA88" s="20" t="str">
        <f>VLOOKUP($Z88,AA$2:$AG$52,8-AA$1/10,FALSE)</f>
        <v>Denver</v>
      </c>
      <c r="AB88" s="20" t="str">
        <f>VLOOKUP($Z88,AB$2:$AG$52,8-AB$1/10,FALSE)</f>
        <v>Houston</v>
      </c>
      <c r="AC88" s="20" t="str">
        <f>VLOOKUP($Z88,AC$2:$AG$52,8-AC$1/10,FALSE)</f>
        <v>Nashville</v>
      </c>
      <c r="AD88" s="20" t="str">
        <f>VLOOKUP($Z88,AD$2:$AG$52,8-AD$1/10,FALSE)</f>
        <v>Columbus</v>
      </c>
      <c r="AE88" s="20" t="str">
        <f>VLOOKUP($Z88,AE$2:$AG$52,8-AE$1/10,FALSE)</f>
        <v>Columbus</v>
      </c>
      <c r="AF88" s="20" t="str">
        <f>VLOOKUP($Z88,AF$2:$AG$52,8-AF$1/10,FALSE)</f>
        <v>Columbus</v>
      </c>
      <c r="AG88" s="20" t="str">
        <f t="shared" si="28"/>
        <v>Nashville</v>
      </c>
    </row>
    <row r="89" spans="25:33">
      <c r="Y89" s="20" t="str">
        <f>VLOOKUP($Z89,Y$2:$Z$52,2,FALSE)</f>
        <v>Atlanta</v>
      </c>
      <c r="Z89" s="20">
        <f t="shared" si="29"/>
        <v>34</v>
      </c>
      <c r="AA89" s="20" t="str">
        <f>VLOOKUP($Z89,AA$2:$AG$52,8-AA$1/10,FALSE)</f>
        <v>Boston</v>
      </c>
      <c r="AB89" s="20" t="str">
        <f>VLOOKUP($Z89,AB$2:$AG$52,8-AB$1/10,FALSE)</f>
        <v>Pittsburgh</v>
      </c>
      <c r="AC89" s="20" t="str">
        <f>VLOOKUP($Z89,AC$2:$AG$52,8-AC$1/10,FALSE)</f>
        <v>Salt Lake City</v>
      </c>
      <c r="AD89" s="20" t="str">
        <f>VLOOKUP($Z89,AD$2:$AG$52,8-AD$1/10,FALSE)</f>
        <v>San Antonio</v>
      </c>
      <c r="AE89" s="20" t="str">
        <f>VLOOKUP($Z89,AE$2:$AG$52,8-AE$1/10,FALSE)</f>
        <v>San Antonio</v>
      </c>
      <c r="AF89" s="20" t="str">
        <f>VLOOKUP($Z89,AF$2:$AG$52,8-AF$1/10,FALSE)</f>
        <v>San Antonio</v>
      </c>
      <c r="AG89" s="20" t="str">
        <f t="shared" si="28"/>
        <v>Atlanta</v>
      </c>
    </row>
    <row r="90" spans="25:33">
      <c r="Y90" s="20" t="str">
        <f>VLOOKUP($Z90,Y$2:$Z$52,2,FALSE)</f>
        <v>San Antonio</v>
      </c>
      <c r="Z90" s="20">
        <f t="shared" si="29"/>
        <v>35</v>
      </c>
      <c r="AA90" s="20" t="str">
        <f>VLOOKUP($Z90,AA$2:$AG$52,8-AA$1/10,FALSE)</f>
        <v>Hampton Roads</v>
      </c>
      <c r="AB90" s="20" t="str">
        <f>VLOOKUP($Z90,AB$2:$AG$52,8-AB$1/10,FALSE)</f>
        <v>Hartford</v>
      </c>
      <c r="AC90" s="20" t="str">
        <f>VLOOKUP($Z90,AC$2:$AG$52,8-AC$1/10,FALSE)</f>
        <v>Atlanta</v>
      </c>
      <c r="AD90" s="20" t="str">
        <f>VLOOKUP($Z90,AD$2:$AG$52,8-AD$1/10,FALSE)</f>
        <v>Nashville</v>
      </c>
      <c r="AE90" s="20" t="str">
        <f>VLOOKUP($Z90,AE$2:$AG$52,8-AE$1/10,FALSE)</f>
        <v>Nashville</v>
      </c>
      <c r="AF90" s="20" t="str">
        <f>VLOOKUP($Z90,AF$2:$AG$52,8-AF$1/10,FALSE)</f>
        <v>Nashville</v>
      </c>
      <c r="AG90" s="20" t="str">
        <f t="shared" si="28"/>
        <v>San Antonio</v>
      </c>
    </row>
    <row r="91" spans="25:33">
      <c r="Y91" s="20" t="str">
        <f>VLOOKUP($Z91,Y$2:$Z$52,2,FALSE)</f>
        <v>Austin</v>
      </c>
      <c r="Z91" s="20">
        <f t="shared" si="29"/>
        <v>36</v>
      </c>
      <c r="AA91" s="20" t="str">
        <f>VLOOKUP($Z91,AA$2:$AG$52,8-AA$1/10,FALSE)</f>
        <v>Detroit</v>
      </c>
      <c r="AB91" s="20" t="str">
        <f>VLOOKUP($Z91,AB$2:$AG$52,8-AB$1/10,FALSE)</f>
        <v>Dallas-Fort Worth</v>
      </c>
      <c r="AC91" s="20" t="str">
        <f>VLOOKUP($Z91,AC$2:$AG$52,8-AC$1/10,FALSE)</f>
        <v>Sacramento</v>
      </c>
      <c r="AD91" s="20" t="str">
        <f>VLOOKUP($Z91,AD$2:$AG$52,8-AD$1/10,FALSE)</f>
        <v>Salt Lake City</v>
      </c>
      <c r="AE91" s="20" t="str">
        <f>VLOOKUP($Z91,AE$2:$AG$52,8-AE$1/10,FALSE)</f>
        <v>Salt Lake City</v>
      </c>
      <c r="AF91" s="20" t="str">
        <f>VLOOKUP($Z91,AF$2:$AG$52,8-AF$1/10,FALSE)</f>
        <v>Salt Lake City</v>
      </c>
      <c r="AG91" s="20" t="str">
        <f t="shared" si="28"/>
        <v>Austin</v>
      </c>
    </row>
    <row r="92" spans="25:33">
      <c r="Y92" s="20" t="str">
        <f>VLOOKUP($Z92,Y$2:$Z$52,2,FALSE)</f>
        <v>Tampa Bay</v>
      </c>
      <c r="Z92" s="20">
        <f t="shared" si="29"/>
        <v>37</v>
      </c>
      <c r="AA92" s="20" t="str">
        <f>VLOOKUP($Z92,AA$2:$AG$52,8-AA$1/10,FALSE)</f>
        <v>San Antonio</v>
      </c>
      <c r="AB92" s="20" t="str">
        <f>VLOOKUP($Z92,AB$2:$AG$52,8-AB$1/10,FALSE)</f>
        <v>Louisville</v>
      </c>
      <c r="AC92" s="20" t="str">
        <f>VLOOKUP($Z92,AC$2:$AG$52,8-AC$1/10,FALSE)</f>
        <v>Raleigh</v>
      </c>
      <c r="AD92" s="20" t="str">
        <f>VLOOKUP($Z92,AD$2:$AG$52,8-AD$1/10,FALSE)</f>
        <v>Sacramento</v>
      </c>
      <c r="AE92" s="20" t="str">
        <f>VLOOKUP($Z92,AE$2:$AG$52,8-AE$1/10,FALSE)</f>
        <v>Sacramento</v>
      </c>
      <c r="AF92" s="20" t="str">
        <f>VLOOKUP($Z92,AF$2:$AG$52,8-AF$1/10,FALSE)</f>
        <v>Sacramento</v>
      </c>
      <c r="AG92" s="20" t="str">
        <f t="shared" si="28"/>
        <v>Tampa Bay</v>
      </c>
    </row>
    <row r="93" spans="25:33">
      <c r="Y93" s="20" t="str">
        <f>VLOOKUP($Z93,Y$2:$Z$52,2,FALSE)</f>
        <v>Seattle</v>
      </c>
      <c r="Z93" s="20">
        <f t="shared" si="29"/>
        <v>38</v>
      </c>
      <c r="AA93" s="20" t="str">
        <f>VLOOKUP($Z93,AA$2:$AG$52,8-AA$1/10,FALSE)</f>
        <v>Providence</v>
      </c>
      <c r="AB93" s="20" t="str">
        <f>VLOOKUP($Z93,AB$2:$AG$52,8-AB$1/10,FALSE)</f>
        <v>Jacksonville</v>
      </c>
      <c r="AC93" s="20" t="str">
        <f>VLOOKUP($Z93,AC$2:$AG$52,8-AC$1/10,FALSE)</f>
        <v>Seattle</v>
      </c>
      <c r="AD93" s="20" t="str">
        <f>VLOOKUP($Z93,AD$2:$AG$52,8-AD$1/10,FALSE)</f>
        <v>Raleigh</v>
      </c>
      <c r="AE93" s="20" t="str">
        <f>VLOOKUP($Z93,AE$2:$AG$52,8-AE$1/10,FALSE)</f>
        <v>Raleigh</v>
      </c>
      <c r="AF93" s="20" t="str">
        <f>VLOOKUP($Z93,AF$2:$AG$52,8-AF$1/10,FALSE)</f>
        <v>Raleigh</v>
      </c>
      <c r="AG93" s="20" t="str">
        <f t="shared" si="28"/>
        <v>Seattle</v>
      </c>
    </row>
    <row r="94" spans="25:33">
      <c r="Y94" s="20" t="str">
        <f>VLOOKUP($Z94,Y$2:$Z$52,2,FALSE)</f>
        <v>Sacramento</v>
      </c>
      <c r="Z94" s="20">
        <f t="shared" si="29"/>
        <v>39</v>
      </c>
      <c r="AA94" s="20" t="str">
        <f>VLOOKUP($Z94,AA$2:$AG$52,8-AA$1/10,FALSE)</f>
        <v>Austin</v>
      </c>
      <c r="AB94" s="20" t="str">
        <f>VLOOKUP($Z94,AB$2:$AG$52,8-AB$1/10,FALSE)</f>
        <v>Sacramento</v>
      </c>
      <c r="AC94" s="20" t="str">
        <f>VLOOKUP($Z94,AC$2:$AG$52,8-AC$1/10,FALSE)</f>
        <v>Austin</v>
      </c>
      <c r="AD94" s="20" t="str">
        <f>VLOOKUP($Z94,AD$2:$AG$52,8-AD$1/10,FALSE)</f>
        <v>Austin</v>
      </c>
      <c r="AE94" s="20" t="str">
        <f>VLOOKUP($Z94,AE$2:$AG$52,8-AE$1/10,FALSE)</f>
        <v>Austin</v>
      </c>
      <c r="AF94" s="20" t="str">
        <f>VLOOKUP($Z94,AF$2:$AG$52,8-AF$1/10,FALSE)</f>
        <v>Austin</v>
      </c>
      <c r="AG94" s="20" t="str">
        <f t="shared" si="28"/>
        <v>Sacramento</v>
      </c>
    </row>
    <row r="95" spans="25:33">
      <c r="Y95" s="20" t="str">
        <f>VLOOKUP($Z95,Y$2:$Z$52,2,FALSE)</f>
        <v>Indianapolis</v>
      </c>
      <c r="Z95" s="20">
        <f t="shared" si="29"/>
        <v>40</v>
      </c>
      <c r="AA95" s="20" t="str">
        <f>VLOOKUP($Z95,AA$2:$AG$52,8-AA$1/10,FALSE)</f>
        <v>Chicago</v>
      </c>
      <c r="AB95" s="20" t="str">
        <f>VLOOKUP($Z95,AB$2:$AG$52,8-AB$1/10,FALSE)</f>
        <v>Boston</v>
      </c>
      <c r="AC95" s="20" t="str">
        <f>VLOOKUP($Z95,AC$2:$AG$52,8-AC$1/10,FALSE)</f>
        <v>Hampton Roads</v>
      </c>
      <c r="AD95" s="20" t="str">
        <f>VLOOKUP($Z95,AD$2:$AG$52,8-AD$1/10,FALSE)</f>
        <v>Hampton Roads</v>
      </c>
      <c r="AE95" s="20" t="str">
        <f>VLOOKUP($Z95,AE$2:$AG$52,8-AE$1/10,FALSE)</f>
        <v>Hampton Roads</v>
      </c>
      <c r="AF95" s="20" t="str">
        <f>VLOOKUP($Z95,AF$2:$AG$52,8-AF$1/10,FALSE)</f>
        <v>Hampton Roads</v>
      </c>
      <c r="AG95" s="20" t="str">
        <f t="shared" si="28"/>
        <v>Indianapolis</v>
      </c>
    </row>
    <row r="96" spans="25:33">
      <c r="Y96" s="20" t="str">
        <f>VLOOKUP($Z96,Y$2:$Z$52,2,FALSE)</f>
        <v>Memphis</v>
      </c>
      <c r="Z96" s="20">
        <f t="shared" si="29"/>
        <v>41</v>
      </c>
      <c r="AA96" s="20" t="str">
        <f>VLOOKUP($Z96,AA$2:$AG$52,8-AA$1/10,FALSE)</f>
        <v>Louisville</v>
      </c>
      <c r="AB96" s="20" t="str">
        <f>VLOOKUP($Z96,AB$2:$AG$52,8-AB$1/10,FALSE)</f>
        <v>Chicago</v>
      </c>
      <c r="AC96" s="20" t="str">
        <f>VLOOKUP($Z96,AC$2:$AG$52,8-AC$1/10,FALSE)</f>
        <v>Providence</v>
      </c>
      <c r="AD96" s="20" t="str">
        <f>VLOOKUP($Z96,AD$2:$AG$52,8-AD$1/10,FALSE)</f>
        <v>Providence</v>
      </c>
      <c r="AE96" s="20" t="str">
        <f>VLOOKUP($Z96,AE$2:$AG$52,8-AE$1/10,FALSE)</f>
        <v>Providence</v>
      </c>
      <c r="AF96" s="20" t="str">
        <f>VLOOKUP($Z96,AF$2:$AG$52,8-AF$1/10,FALSE)</f>
        <v>Providence</v>
      </c>
      <c r="AG96" s="20" t="str">
        <f t="shared" si="28"/>
        <v>Memphis</v>
      </c>
    </row>
    <row r="97" spans="25:33">
      <c r="Y97" s="20" t="str">
        <f>VLOOKUP($Z97,Y$2:$Z$52,2,FALSE)</f>
        <v>Oklahoma City</v>
      </c>
      <c r="Z97" s="20">
        <f t="shared" si="29"/>
        <v>42</v>
      </c>
      <c r="AA97" s="20" t="str">
        <f>VLOOKUP($Z97,AA$2:$AG$52,8-AA$1/10,FALSE)</f>
        <v>St. Louis</v>
      </c>
      <c r="AB97" s="20" t="str">
        <f>VLOOKUP($Z97,AB$2:$AG$52,8-AB$1/10,FALSE)</f>
        <v>Providence</v>
      </c>
      <c r="AC97" s="20" t="str">
        <f>VLOOKUP($Z97,AC$2:$AG$52,8-AC$1/10,FALSE)</f>
        <v>Hartford</v>
      </c>
      <c r="AD97" s="20" t="str">
        <f>VLOOKUP($Z97,AD$2:$AG$52,8-AD$1/10,FALSE)</f>
        <v>Hartford</v>
      </c>
      <c r="AE97" s="20" t="str">
        <f>VLOOKUP($Z97,AE$2:$AG$52,8-AE$1/10,FALSE)</f>
        <v>Hartford</v>
      </c>
      <c r="AF97" s="20" t="str">
        <f>VLOOKUP($Z97,AF$2:$AG$52,8-AF$1/10,FALSE)</f>
        <v>Hartford</v>
      </c>
      <c r="AG97" s="20" t="str">
        <f t="shared" si="28"/>
        <v>Oklahoma City</v>
      </c>
    </row>
    <row r="98" spans="25:33">
      <c r="Y98" s="20" t="str">
        <f>VLOOKUP($Z98,Y$2:$Z$52,2,FALSE)</f>
        <v>Hartford</v>
      </c>
      <c r="Z98" s="20">
        <f t="shared" si="29"/>
        <v>43</v>
      </c>
      <c r="AA98" s="20" t="str">
        <f>VLOOKUP($Z98,AA$2:$AG$52,8-AA$1/10,FALSE)</f>
        <v>Houston</v>
      </c>
      <c r="AB98" s="20" t="str">
        <f>VLOOKUP($Z98,AB$2:$AG$52,8-AB$1/10,FALSE)</f>
        <v>Detroit</v>
      </c>
      <c r="AC98" s="20" t="str">
        <f>VLOOKUP($Z98,AC$2:$AG$52,8-AC$1/10,FALSE)</f>
        <v>Louisville</v>
      </c>
      <c r="AD98" s="20" t="str">
        <f>VLOOKUP($Z98,AD$2:$AG$52,8-AD$1/10,FALSE)</f>
        <v>Louisville</v>
      </c>
      <c r="AE98" s="20" t="str">
        <f>VLOOKUP($Z98,AE$2:$AG$52,8-AE$1/10,FALSE)</f>
        <v>Louisville</v>
      </c>
      <c r="AF98" s="20" t="str">
        <f>VLOOKUP($Z98,AF$2:$AG$52,8-AF$1/10,FALSE)</f>
        <v>Louisville</v>
      </c>
      <c r="AG98" s="20" t="str">
        <f t="shared" si="28"/>
        <v>Hartford</v>
      </c>
    </row>
    <row r="99" spans="25:33">
      <c r="Y99" s="20" t="str">
        <f>VLOOKUP($Z99,Y$2:$Z$52,2,FALSE)</f>
        <v>Providence</v>
      </c>
      <c r="Z99" s="20">
        <f t="shared" si="29"/>
        <v>44</v>
      </c>
      <c r="AA99" s="20" t="str">
        <f>VLOOKUP($Z99,AA$2:$AG$52,8-AA$1/10,FALSE)</f>
        <v>Sacramento</v>
      </c>
      <c r="AB99" s="20" t="str">
        <f>VLOOKUP($Z99,AB$2:$AG$52,8-AB$1/10,FALSE)</f>
        <v>St. Louis</v>
      </c>
      <c r="AC99" s="20" t="str">
        <f>VLOOKUP($Z99,AC$2:$AG$52,8-AC$1/10,FALSE)</f>
        <v>Memphis</v>
      </c>
      <c r="AD99" s="20" t="str">
        <f>VLOOKUP($Z99,AD$2:$AG$52,8-AD$1/10,FALSE)</f>
        <v>Memphis</v>
      </c>
      <c r="AE99" s="20" t="str">
        <f>VLOOKUP($Z99,AE$2:$AG$52,8-AE$1/10,FALSE)</f>
        <v>Memphis</v>
      </c>
      <c r="AF99" s="20" t="str">
        <f>VLOOKUP($Z99,AF$2:$AG$52,8-AF$1/10,FALSE)</f>
        <v>Memphis</v>
      </c>
      <c r="AG99" s="20" t="str">
        <f t="shared" si="28"/>
        <v>Providence</v>
      </c>
    </row>
    <row r="100" spans="25:33">
      <c r="Y100" s="20" t="str">
        <f>VLOOKUP($Z100,Y$2:$Z$52,2,FALSE)</f>
        <v>Rochester</v>
      </c>
      <c r="Z100" s="20">
        <f t="shared" si="29"/>
        <v>45</v>
      </c>
      <c r="AA100" s="20" t="str">
        <f>VLOOKUP($Z100,AA$2:$AG$52,8-AA$1/10,FALSE)</f>
        <v>Jacksonville</v>
      </c>
      <c r="AB100" s="20" t="str">
        <f>VLOOKUP($Z100,AB$2:$AG$52,8-AB$1/10,FALSE)</f>
        <v>San Diego</v>
      </c>
      <c r="AC100" s="20" t="str">
        <f>VLOOKUP($Z100,AC$2:$AG$52,8-AC$1/10,FALSE)</f>
        <v>Jacksonville</v>
      </c>
      <c r="AD100" s="20" t="str">
        <f>VLOOKUP($Z100,AD$2:$AG$52,8-AD$1/10,FALSE)</f>
        <v>Jacksonville</v>
      </c>
      <c r="AE100" s="20" t="str">
        <f>VLOOKUP($Z100,AE$2:$AG$52,8-AE$1/10,FALSE)</f>
        <v>Jacksonville</v>
      </c>
      <c r="AF100" s="20" t="str">
        <f>VLOOKUP($Z100,AF$2:$AG$52,8-AF$1/10,FALSE)</f>
        <v>Jacksonville</v>
      </c>
      <c r="AG100" s="20" t="str">
        <f t="shared" si="28"/>
        <v>Rochester</v>
      </c>
    </row>
    <row r="101" spans="25:33">
      <c r="Y101" s="20" t="str">
        <f>VLOOKUP($Z101,Y$2:$Z$52,2,FALSE)</f>
        <v>Buffalo</v>
      </c>
      <c r="Z101" s="20">
        <f t="shared" si="29"/>
        <v>46</v>
      </c>
      <c r="AA101" s="20" t="str">
        <f>VLOOKUP($Z101,AA$2:$AG$52,8-AA$1/10,FALSE)</f>
        <v>Dallas-Fort Worth</v>
      </c>
      <c r="AB101" s="20" t="str">
        <f>VLOOKUP($Z101,AB$2:$AG$52,8-AB$1/10,FALSE)</f>
        <v>Tampa Bay</v>
      </c>
      <c r="AC101" s="20" t="str">
        <f>VLOOKUP($Z101,AC$2:$AG$52,8-AC$1/10,FALSE)</f>
        <v>Grand Rapids</v>
      </c>
      <c r="AD101" s="20" t="str">
        <f>VLOOKUP($Z101,AD$2:$AG$52,8-AD$1/10,FALSE)</f>
        <v>Grand Rapids</v>
      </c>
      <c r="AE101" s="20" t="str">
        <f>VLOOKUP($Z101,AE$2:$AG$52,8-AE$1/10,FALSE)</f>
        <v>Grand Rapids</v>
      </c>
      <c r="AF101" s="20" t="str">
        <f>VLOOKUP($Z101,AF$2:$AG$52,8-AF$1/10,FALSE)</f>
        <v>Grand Rapids</v>
      </c>
      <c r="AG101" s="20" t="str">
        <f t="shared" si="28"/>
        <v>Buffalo</v>
      </c>
    </row>
    <row r="102" spans="25:33">
      <c r="Y102" s="20" t="str">
        <f>VLOOKUP($Z102,Y$2:$Z$52,2,FALSE)</f>
        <v>Hampton Roads</v>
      </c>
      <c r="Z102" s="20">
        <f t="shared" si="29"/>
        <v>47</v>
      </c>
      <c r="AA102" s="20" t="str">
        <f>VLOOKUP($Z102,AA$2:$AG$52,8-AA$1/10,FALSE)</f>
        <v>Charlotte</v>
      </c>
      <c r="AB102" s="20" t="str">
        <f>VLOOKUP($Z102,AB$2:$AG$52,8-AB$1/10,FALSE)</f>
        <v>Hampton Roads</v>
      </c>
      <c r="AC102" s="20" t="str">
        <f>VLOOKUP($Z102,AC$2:$AG$52,8-AC$1/10,FALSE)</f>
        <v>Oklahoma City</v>
      </c>
      <c r="AD102" s="20" t="str">
        <f>VLOOKUP($Z102,AD$2:$AG$52,8-AD$1/10,FALSE)</f>
        <v>Oklahoma City</v>
      </c>
      <c r="AE102" s="20" t="str">
        <f>VLOOKUP($Z102,AE$2:$AG$52,8-AE$1/10,FALSE)</f>
        <v>Oklahoma City</v>
      </c>
      <c r="AF102" s="20" t="str">
        <f>VLOOKUP($Z102,AF$2:$AG$52,8-AF$1/10,FALSE)</f>
        <v>Oklahoma City</v>
      </c>
      <c r="AG102" s="20" t="str">
        <f t="shared" si="28"/>
        <v>Hampton Roads</v>
      </c>
    </row>
    <row r="103" spans="25:33">
      <c r="Y103" s="20" t="str">
        <f>VLOOKUP($Z103,Y$2:$Z$52,2,FALSE)</f>
        <v>New Orleans</v>
      </c>
      <c r="Z103" s="20">
        <f t="shared" si="29"/>
        <v>48</v>
      </c>
      <c r="AA103" s="20" t="str">
        <f>VLOOKUP($Z103,AA$2:$AG$52,8-AA$1/10,FALSE)</f>
        <v>Tampa Bay</v>
      </c>
      <c r="AB103" s="20" t="str">
        <f>VLOOKUP($Z103,AB$2:$AG$52,8-AB$1/10,FALSE)</f>
        <v>Honolulu</v>
      </c>
      <c r="AC103" s="20" t="str">
        <f>VLOOKUP($Z103,AC$2:$AG$52,8-AC$1/10,FALSE)</f>
        <v>Buffalo</v>
      </c>
      <c r="AD103" s="20" t="str">
        <f>VLOOKUP($Z103,AD$2:$AG$52,8-AD$1/10,FALSE)</f>
        <v>Buffalo</v>
      </c>
      <c r="AE103" s="20" t="str">
        <f>VLOOKUP($Z103,AE$2:$AG$52,8-AE$1/10,FALSE)</f>
        <v>Buffalo</v>
      </c>
      <c r="AF103" s="20" t="str">
        <f>VLOOKUP($Z103,AF$2:$AG$52,8-AF$1/10,FALSE)</f>
        <v>Buffalo</v>
      </c>
      <c r="AG103" s="20" t="str">
        <f t="shared" si="28"/>
        <v>New Orleans</v>
      </c>
    </row>
    <row r="104" spans="25:33">
      <c r="Y104" s="20" t="str">
        <f>VLOOKUP($Z104,Y$2:$Z$52,2,FALSE)</f>
        <v>Louisville</v>
      </c>
      <c r="Z104" s="20">
        <f t="shared" si="29"/>
        <v>49</v>
      </c>
      <c r="AA104" s="20" t="str">
        <f>VLOOKUP($Z104,AA$2:$AG$52,8-AA$1/10,FALSE)</f>
        <v>Seattle</v>
      </c>
      <c r="AB104" s="20" t="str">
        <f>VLOOKUP($Z104,AB$2:$AG$52,8-AB$1/10,FALSE)</f>
        <v>Indianapolis</v>
      </c>
      <c r="AC104" s="20" t="str">
        <f>VLOOKUP($Z104,AC$2:$AG$52,8-AC$1/10,FALSE)</f>
        <v>New Orleans</v>
      </c>
      <c r="AD104" s="20" t="str">
        <f>VLOOKUP($Z104,AD$2:$AG$52,8-AD$1/10,FALSE)</f>
        <v>New Orleans</v>
      </c>
      <c r="AE104" s="20" t="str">
        <f>VLOOKUP($Z104,AE$2:$AG$52,8-AE$1/10,FALSE)</f>
        <v>New Orleans</v>
      </c>
      <c r="AF104" s="20" t="str">
        <f>VLOOKUP($Z104,AF$2:$AG$52,8-AF$1/10,FALSE)</f>
        <v>New Orleans</v>
      </c>
      <c r="AG104" s="20" t="str">
        <f t="shared" si="28"/>
        <v>Louisville</v>
      </c>
    </row>
    <row r="105" spans="25:33">
      <c r="Y105" s="20" t="str">
        <f>VLOOKUP($Z105,Y$2:$Z$52,2,FALSE)</f>
        <v>Jacksonville</v>
      </c>
      <c r="Z105" s="20">
        <f t="shared" si="29"/>
        <v>50</v>
      </c>
      <c r="AA105" s="20" t="str">
        <f>VLOOKUP($Z105,AA$2:$AG$52,8-AA$1/10,FALSE)</f>
        <v>Indianapolis</v>
      </c>
      <c r="AB105" s="20" t="str">
        <f>VLOOKUP($Z105,AB$2:$AG$52,8-AB$1/10,FALSE)</f>
        <v>Atlanta</v>
      </c>
      <c r="AC105" s="20" t="str">
        <f>VLOOKUP($Z105,AC$2:$AG$52,8-AC$1/10,FALSE)</f>
        <v>Rochester</v>
      </c>
      <c r="AD105" s="20" t="str">
        <f>VLOOKUP($Z105,AD$2:$AG$52,8-AD$1/10,FALSE)</f>
        <v>Rochester</v>
      </c>
      <c r="AE105" s="20" t="str">
        <f>VLOOKUP($Z105,AE$2:$AG$52,8-AE$1/10,FALSE)</f>
        <v>Rochester</v>
      </c>
      <c r="AF105" s="20" t="str">
        <f>VLOOKUP($Z105,AF$2:$AG$52,8-AF$1/10,FALSE)</f>
        <v>Rochester</v>
      </c>
      <c r="AG105" s="20" t="str">
        <f t="shared" si="28"/>
        <v>Jacksonville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topLeftCell="A14" workbookViewId="0">
      <selection activeCell="J53" sqref="J53"/>
    </sheetView>
  </sheetViews>
  <sheetFormatPr baseColWidth="10" defaultColWidth="8.83203125" defaultRowHeight="14" x14ac:dyDescent="0"/>
  <cols>
    <col min="1" max="1" width="19.1640625" bestFit="1" customWidth="1"/>
    <col min="2" max="8" width="5.5" bestFit="1" customWidth="1"/>
    <col min="9" max="10" width="7.6640625" bestFit="1" customWidth="1"/>
  </cols>
  <sheetData>
    <row r="1" spans="1:10" ht="15" thickBot="1">
      <c r="A1" s="41"/>
      <c r="B1" s="58" t="s">
        <v>172</v>
      </c>
      <c r="C1" s="59"/>
      <c r="D1" s="59"/>
      <c r="E1" s="59"/>
      <c r="F1" s="59"/>
      <c r="G1" s="59"/>
      <c r="H1" s="59"/>
      <c r="I1" s="59"/>
      <c r="J1" s="60"/>
    </row>
    <row r="2" spans="1:10" ht="15" thickBot="1">
      <c r="A2" s="42"/>
      <c r="B2" s="43">
        <v>10</v>
      </c>
      <c r="C2" s="44">
        <v>20</v>
      </c>
      <c r="D2" s="44">
        <v>30</v>
      </c>
      <c r="E2" s="44">
        <v>40</v>
      </c>
      <c r="F2" s="44">
        <v>50</v>
      </c>
      <c r="G2" s="44">
        <v>60</v>
      </c>
      <c r="H2" s="44">
        <v>70</v>
      </c>
      <c r="I2" s="44">
        <v>80</v>
      </c>
      <c r="J2" s="45">
        <v>90</v>
      </c>
    </row>
    <row r="3" spans="1:10">
      <c r="A3" s="46" t="s">
        <v>26</v>
      </c>
      <c r="B3" s="52">
        <f>'[1]2010'!K$24</f>
        <v>1.3810679080102386</v>
      </c>
      <c r="C3" s="53">
        <f>'[1]2010'!L$24</f>
        <v>1.3087124907830403</v>
      </c>
      <c r="D3" s="53">
        <f>'[1]2010'!M$24</f>
        <v>1.2678601947095567</v>
      </c>
      <c r="E3" s="53">
        <f>'[1]2010'!N$24</f>
        <v>1.2411800167011908</v>
      </c>
      <c r="F3" s="53">
        <f>'[1]2010'!O$24</f>
        <v>1.2210426501549614</v>
      </c>
      <c r="G3" s="53">
        <f>'[1]2010'!P$24</f>
        <v>1.2084405776911233</v>
      </c>
      <c r="H3" s="53">
        <f>'[1]2010'!Q$24</f>
        <v>1.1994894097934046</v>
      </c>
      <c r="I3" s="53">
        <f>'[1]2010'!R$24</f>
        <v>1.1933849385737794</v>
      </c>
      <c r="J3" s="37">
        <f>'[1]2010'!S$24</f>
        <v>1.1877771935320718</v>
      </c>
    </row>
    <row r="4" spans="1:10">
      <c r="A4" s="47" t="s">
        <v>27</v>
      </c>
      <c r="B4" s="54">
        <f>'[2]2010'!K$24</f>
        <v>1.4404458654112589</v>
      </c>
      <c r="C4" s="50">
        <f>'[2]2010'!L$24</f>
        <v>1.3723222910878397</v>
      </c>
      <c r="D4" s="50">
        <f>'[2]2010'!M$24</f>
        <v>1.3315156958904781</v>
      </c>
      <c r="E4" s="50">
        <f>'[2]2010'!N$24</f>
        <v>1.3069706181282645</v>
      </c>
      <c r="F4" s="50">
        <f>'[2]2010'!O$24</f>
        <v>1.2879992795041273</v>
      </c>
      <c r="G4" s="50">
        <f>'[2]2010'!P$24</f>
        <v>1.2747371883868555</v>
      </c>
      <c r="H4" s="50">
        <f>'[2]2010'!Q$24</f>
        <v>1.2686558801685661</v>
      </c>
      <c r="I4" s="50">
        <f>'[2]2010'!R$24</f>
        <v>1.2630063192455665</v>
      </c>
      <c r="J4" s="38">
        <f>'[2]2010'!S$24</f>
        <v>1.2582890434326388</v>
      </c>
    </row>
    <row r="5" spans="1:10">
      <c r="A5" s="47" t="s">
        <v>28</v>
      </c>
      <c r="B5" s="55">
        <f>'[3]2010'!K$24</f>
        <v>1.3822949804670155</v>
      </c>
      <c r="C5" s="51">
        <f>'[3]2010'!L$24</f>
        <v>1.3092658889264803</v>
      </c>
      <c r="D5" s="51">
        <f>'[3]2010'!M$24</f>
        <v>1.2716628995034032</v>
      </c>
      <c r="E5" s="51">
        <f>'[3]2010'!N$24</f>
        <v>1.2476796419595966</v>
      </c>
      <c r="F5" s="51">
        <f>'[3]2010'!O$24</f>
        <v>1.2338763577562017</v>
      </c>
      <c r="G5" s="51">
        <f>'[3]2010'!P$24</f>
        <v>1.2261163596071283</v>
      </c>
      <c r="H5" s="51">
        <f>'[3]2010'!Q$24</f>
        <v>1.2246097283275779</v>
      </c>
      <c r="I5" s="51">
        <f>'[3]2010'!R$24</f>
        <v>1.2268115098360695</v>
      </c>
      <c r="J5" s="39">
        <f>'[3]2010'!S$24</f>
        <v>1.2337415965111269</v>
      </c>
    </row>
    <row r="6" spans="1:10">
      <c r="A6" s="47" t="s">
        <v>29</v>
      </c>
      <c r="B6" s="54">
        <f>'[4]2010'!K$24</f>
        <v>1.3221707933341669</v>
      </c>
      <c r="C6" s="50">
        <f>'[4]2010'!L$24</f>
        <v>1.2579493722607327</v>
      </c>
      <c r="D6" s="50">
        <f>'[4]2010'!M$24</f>
        <v>1.225852846145757</v>
      </c>
      <c r="E6" s="50">
        <f>'[4]2010'!N$24</f>
        <v>1.2078231024802963</v>
      </c>
      <c r="F6" s="50">
        <f>'[4]2010'!O$24</f>
        <v>1.1956866082763671</v>
      </c>
      <c r="G6" s="50">
        <f>'[4]2010'!P$24</f>
        <v>1.1905717622441363</v>
      </c>
      <c r="H6" s="50">
        <f>'[4]2010'!Q$24</f>
        <v>1.1860014644783186</v>
      </c>
      <c r="I6" s="50">
        <f>'[4]2010'!R$24</f>
        <v>1.1822577092208564</v>
      </c>
      <c r="J6" s="38">
        <f>'[4]2010'!S$24</f>
        <v>1.1792959449191527</v>
      </c>
    </row>
    <row r="7" spans="1:10">
      <c r="A7" s="47" t="s">
        <v>30</v>
      </c>
      <c r="B7" s="54">
        <f>'[5]2010'!K$24</f>
        <v>1.2726128167623416</v>
      </c>
      <c r="C7" s="50">
        <f>'[5]2010'!L$24</f>
        <v>1.2242186729132589</v>
      </c>
      <c r="D7" s="50">
        <f>'[5]2010'!M$24</f>
        <v>1.2021720891550782</v>
      </c>
      <c r="E7" s="50">
        <f>'[5]2010'!N$24</f>
        <v>1.1895929057749248</v>
      </c>
      <c r="F7" s="50">
        <f>'[5]2010'!O$24</f>
        <v>1.1803913897988716</v>
      </c>
      <c r="G7" s="50">
        <f>'[5]2010'!P$24</f>
        <v>1.1734589731007847</v>
      </c>
      <c r="H7" s="50">
        <f>'[5]2010'!Q$24</f>
        <v>1.1689289949876671</v>
      </c>
      <c r="I7" s="50">
        <f>'[5]2010'!R$24</f>
        <v>1.1659230811658463</v>
      </c>
      <c r="J7" s="38">
        <f>'[5]2010'!S$24</f>
        <v>1.1646573299473928</v>
      </c>
    </row>
    <row r="8" spans="1:10">
      <c r="A8" s="47" t="s">
        <v>31</v>
      </c>
      <c r="B8" s="55">
        <f>'[6]2010'!K$24</f>
        <v>1.3548292070349812</v>
      </c>
      <c r="C8" s="51">
        <f>'[6]2010'!L$24</f>
        <v>1.2718268758603823</v>
      </c>
      <c r="D8" s="51">
        <f>'[6]2010'!M$24</f>
        <v>1.2406030547023881</v>
      </c>
      <c r="E8" s="51">
        <f>'[6]2010'!N$24</f>
        <v>1.2259980336163547</v>
      </c>
      <c r="F8" s="51">
        <f>'[6]2010'!O$24</f>
        <v>1.219339743976918</v>
      </c>
      <c r="G8" s="51">
        <f>'[6]2010'!P$24</f>
        <v>1.2204535484710273</v>
      </c>
      <c r="H8" s="51">
        <f>'[6]2010'!Q$24</f>
        <v>1.2189910044278438</v>
      </c>
      <c r="I8" s="51">
        <f>'[6]2010'!R$24</f>
        <v>1.2188102793904707</v>
      </c>
      <c r="J8" s="39">
        <f>'[6]2010'!S$24</f>
        <v>1.2184606076717244</v>
      </c>
    </row>
    <row r="9" spans="1:10">
      <c r="A9" s="47" t="s">
        <v>32</v>
      </c>
      <c r="B9" s="55">
        <f>'[7]2010'!K$24</f>
        <v>1.3236002256090809</v>
      </c>
      <c r="C9" s="51">
        <f>'[7]2010'!L$24</f>
        <v>1.2622043331825756</v>
      </c>
      <c r="D9" s="51">
        <f>'[7]2010'!M$24</f>
        <v>1.237014203266307</v>
      </c>
      <c r="E9" s="51">
        <f>'[7]2010'!N$24</f>
        <v>1.2158976337091789</v>
      </c>
      <c r="F9" s="51">
        <f>'[7]2010'!O$24</f>
        <v>1.2018060236875545</v>
      </c>
      <c r="G9" s="51">
        <f>'[7]2010'!P$24</f>
        <v>1.1904326141515926</v>
      </c>
      <c r="H9" s="51">
        <f>'[7]2010'!Q$24</f>
        <v>1.1823958559597361</v>
      </c>
      <c r="I9" s="51">
        <f>'[7]2010'!R$24</f>
        <v>1.1765397413486474</v>
      </c>
      <c r="J9" s="39">
        <f>'[7]2010'!S$24</f>
        <v>1.1715001469840343</v>
      </c>
    </row>
    <row r="10" spans="1:10">
      <c r="A10" s="47" t="s">
        <v>33</v>
      </c>
      <c r="B10" s="55">
        <f>'[8]2010'!K$24</f>
        <v>1.4101242469920043</v>
      </c>
      <c r="C10" s="51">
        <f>'[8]2010'!L$24</f>
        <v>1.3346635676863023</v>
      </c>
      <c r="D10" s="51">
        <f>'[8]2010'!M$24</f>
        <v>1.3006549921101749</v>
      </c>
      <c r="E10" s="51">
        <f>'[8]2010'!N$24</f>
        <v>1.2806447263853369</v>
      </c>
      <c r="F10" s="51">
        <f>'[8]2010'!O$24</f>
        <v>1.2719049532677678</v>
      </c>
      <c r="G10" s="51">
        <f>'[8]2010'!P$24</f>
        <v>1.2662934799155141</v>
      </c>
      <c r="H10" s="51">
        <f>'[8]2010'!Q$24</f>
        <v>1.2682519023005123</v>
      </c>
      <c r="I10" s="51">
        <f>'[8]2010'!R$24</f>
        <v>1.2721393245922437</v>
      </c>
      <c r="J10" s="39">
        <f>'[8]2010'!S$24</f>
        <v>1.2779855759070877</v>
      </c>
    </row>
    <row r="11" spans="1:10">
      <c r="A11" s="47" t="s">
        <v>34</v>
      </c>
      <c r="B11" s="55">
        <f>'[9]2010'!K$24</f>
        <v>1.2785144324718047</v>
      </c>
      <c r="C11" s="51">
        <f>'[9]2010'!L$24</f>
        <v>1.2210242271152514</v>
      </c>
      <c r="D11" s="51">
        <f>'[9]2010'!M$24</f>
        <v>1.1941029193577641</v>
      </c>
      <c r="E11" s="51">
        <f>'[9]2010'!N$24</f>
        <v>1.1762375387586297</v>
      </c>
      <c r="F11" s="51">
        <f>'[9]2010'!O$24</f>
        <v>1.1657850372312006</v>
      </c>
      <c r="G11" s="51">
        <f>'[9]2010'!P$24</f>
        <v>1.1590296676460083</v>
      </c>
      <c r="H11" s="51">
        <f>'[9]2010'!Q$24</f>
        <v>1.1538473690936333</v>
      </c>
      <c r="I11" s="51">
        <f>'[9]2010'!R$24</f>
        <v>1.1513174285753958</v>
      </c>
      <c r="J11" s="39">
        <f>'[9]2010'!S$24</f>
        <v>1.1498564950576229</v>
      </c>
    </row>
    <row r="12" spans="1:10">
      <c r="A12" s="47" t="s">
        <v>35</v>
      </c>
      <c r="B12" s="55">
        <f>'[10]2010'!K$24</f>
        <v>1.3249637252937287</v>
      </c>
      <c r="C12" s="51">
        <f>'[10]2010'!L$24</f>
        <v>1.247954909153181</v>
      </c>
      <c r="D12" s="51">
        <f>'[10]2010'!M$24</f>
        <v>1.2132024431612698</v>
      </c>
      <c r="E12" s="51">
        <f>'[10]2010'!N$24</f>
        <v>1.1959404878863944</v>
      </c>
      <c r="F12" s="51">
        <f>'[10]2010'!O$24</f>
        <v>1.184989187914482</v>
      </c>
      <c r="G12" s="51">
        <f>'[10]2010'!P$24</f>
        <v>1.1775894338342325</v>
      </c>
      <c r="H12" s="51">
        <f>'[10]2010'!Q$24</f>
        <v>1.1724940871079761</v>
      </c>
      <c r="I12" s="51">
        <f>'[10]2010'!R$24</f>
        <v>1.1687761854315619</v>
      </c>
      <c r="J12" s="39">
        <f>'[10]2010'!S$24</f>
        <v>1.1666680790044779</v>
      </c>
    </row>
    <row r="13" spans="1:10">
      <c r="A13" s="47" t="s">
        <v>62</v>
      </c>
      <c r="B13" s="55">
        <f>'[11]2010'!K$24</f>
        <v>1.3824701219183075</v>
      </c>
      <c r="C13" s="51">
        <f>'[11]2010'!L$24</f>
        <v>1.3241222203723044</v>
      </c>
      <c r="D13" s="51">
        <f>'[11]2010'!M$24</f>
        <v>1.2867507208792124</v>
      </c>
      <c r="E13" s="51">
        <f>'[11]2010'!N$24</f>
        <v>1.2625860685913481</v>
      </c>
      <c r="F13" s="51">
        <f>'[11]2010'!O$24</f>
        <v>1.2464302544174806</v>
      </c>
      <c r="G13" s="51">
        <f>'[11]2010'!P$24</f>
        <v>1.2313593343456124</v>
      </c>
      <c r="H13" s="51">
        <f>'[11]2010'!Q$24</f>
        <v>1.2194440762579295</v>
      </c>
      <c r="I13" s="51">
        <f>'[11]2010'!R$24</f>
        <v>1.2096246171132026</v>
      </c>
      <c r="J13" s="39">
        <f>'[11]2010'!S$24</f>
        <v>1.2015060407013247</v>
      </c>
    </row>
    <row r="14" spans="1:10">
      <c r="A14" s="47" t="s">
        <v>36</v>
      </c>
      <c r="B14" s="55">
        <f>'[12]2010'!K$24</f>
        <v>1.3957008737903487</v>
      </c>
      <c r="C14" s="51">
        <f>'[12]2010'!L$24</f>
        <v>1.382383812463321</v>
      </c>
      <c r="D14" s="51">
        <f>'[12]2010'!M$24</f>
        <v>1.3693023353302707</v>
      </c>
      <c r="E14" s="51">
        <f>'[12]2010'!N$24</f>
        <v>1.3585032737296159</v>
      </c>
      <c r="F14" s="51">
        <f>'[12]2010'!O$24</f>
        <v>1.3458448279862103</v>
      </c>
      <c r="G14" s="51">
        <f>'[12]2010'!P$24</f>
        <v>1.338527756308961</v>
      </c>
      <c r="H14" s="51">
        <f>'[12]2010'!Q$24</f>
        <v>1.3325880714466081</v>
      </c>
      <c r="I14" s="51">
        <f>'[12]2010'!R$24</f>
        <v>1.3292653370679421</v>
      </c>
      <c r="J14" s="39">
        <f>'[12]2010'!S$24</f>
        <v>1.3276510683394664</v>
      </c>
    </row>
    <row r="15" spans="1:10">
      <c r="A15" s="47" t="s">
        <v>37</v>
      </c>
      <c r="B15" s="55">
        <f>'[13]2010'!K$24</f>
        <v>1.3026208565751525</v>
      </c>
      <c r="C15" s="51">
        <f>'[13]2010'!L$24</f>
        <v>1.2461037288193979</v>
      </c>
      <c r="D15" s="51">
        <f>'[13]2010'!M$24</f>
        <v>1.2213340937624941</v>
      </c>
      <c r="E15" s="51">
        <f>'[13]2010'!N$24</f>
        <v>1.2059623625482374</v>
      </c>
      <c r="F15" s="51">
        <f>'[13]2010'!O$24</f>
        <v>1.1960712699174072</v>
      </c>
      <c r="G15" s="51">
        <f>'[13]2010'!P$24</f>
        <v>1.1893966318471174</v>
      </c>
      <c r="H15" s="51">
        <f>'[13]2010'!Q$24</f>
        <v>1.1843590512748781</v>
      </c>
      <c r="I15" s="51">
        <f>'[13]2010'!R$24</f>
        <v>1.1812733520638485</v>
      </c>
      <c r="J15" s="39">
        <f>'[13]2010'!S$24</f>
        <v>1.1793589097336392</v>
      </c>
    </row>
    <row r="16" spans="1:10">
      <c r="A16" s="47" t="s">
        <v>80</v>
      </c>
      <c r="B16" s="54">
        <f>'[14]2010'!K$24</f>
        <v>1.3210528558171648</v>
      </c>
      <c r="C16" s="50">
        <f>'[14]2010'!L$24</f>
        <v>1.276401235569196</v>
      </c>
      <c r="D16" s="50">
        <f>'[14]2010'!M$24</f>
        <v>1.2534629398347654</v>
      </c>
      <c r="E16" s="50">
        <f>'[14]2010'!N$24</f>
        <v>1.2427824351070944</v>
      </c>
      <c r="F16" s="50">
        <f>'[14]2010'!O$24</f>
        <v>1.2372127864425393</v>
      </c>
      <c r="G16" s="50">
        <f>'[14]2010'!P$24</f>
        <v>1.2335421845251597</v>
      </c>
      <c r="H16" s="50">
        <f>'[14]2010'!Q$24</f>
        <v>1.2332093689133028</v>
      </c>
      <c r="I16" s="50">
        <f>'[14]2010'!R$24</f>
        <v>1.2343026815133216</v>
      </c>
      <c r="J16" s="38">
        <f>'[14]2010'!S$24</f>
        <v>1.2368611790095092</v>
      </c>
    </row>
    <row r="17" spans="1:10">
      <c r="A17" s="47" t="s">
        <v>58</v>
      </c>
      <c r="B17" s="55">
        <f>'[15]2010'!K$24</f>
        <v>1.4040824100816749</v>
      </c>
      <c r="C17" s="51">
        <f>'[15]2010'!L$24</f>
        <v>1.3392188111212502</v>
      </c>
      <c r="D17" s="51">
        <f>'[15]2010'!M$24</f>
        <v>1.3109661328414999</v>
      </c>
      <c r="E17" s="51">
        <f>'[15]2010'!N$24</f>
        <v>1.3015601427125245</v>
      </c>
      <c r="F17" s="51">
        <f>'[15]2010'!O$24</f>
        <v>1.3069173513439627</v>
      </c>
      <c r="G17" s="51">
        <f>'[15]2010'!P$24</f>
        <v>1.3154823264242705</v>
      </c>
      <c r="H17" s="51">
        <f>'[15]2010'!Q$24</f>
        <v>1.3238381040403082</v>
      </c>
      <c r="I17" s="51">
        <f>'[15]2010'!R$24</f>
        <v>1.3331220930334835</v>
      </c>
      <c r="J17" s="39">
        <f>'[15]2010'!S$24</f>
        <v>1.3441760531206133</v>
      </c>
    </row>
    <row r="18" spans="1:10">
      <c r="A18" s="47" t="s">
        <v>38</v>
      </c>
      <c r="B18" s="55">
        <f>'[16]2010'!K$24</f>
        <v>1.3288885485099737</v>
      </c>
      <c r="C18" s="51">
        <f>'[16]2010'!L$24</f>
        <v>1.2718012066329836</v>
      </c>
      <c r="D18" s="51">
        <f>'[16]2010'!M$24</f>
        <v>1.2482031115877554</v>
      </c>
      <c r="E18" s="51">
        <f>'[16]2010'!N$24</f>
        <v>1.2343532827288761</v>
      </c>
      <c r="F18" s="51">
        <f>'[16]2010'!O$24</f>
        <v>1.2269265395465623</v>
      </c>
      <c r="G18" s="51">
        <f>'[16]2010'!P$24</f>
        <v>1.2229075630591091</v>
      </c>
      <c r="H18" s="51">
        <f>'[16]2010'!Q$24</f>
        <v>1.2212395547829722</v>
      </c>
      <c r="I18" s="51">
        <f>'[16]2010'!R$24</f>
        <v>1.2209157982173557</v>
      </c>
      <c r="J18" s="39">
        <f>'[16]2010'!S$24</f>
        <v>1.2211596606105135</v>
      </c>
    </row>
    <row r="19" spans="1:10">
      <c r="A19" s="47" t="s">
        <v>81</v>
      </c>
      <c r="B19" s="55">
        <f>'[17]2010'!K$24</f>
        <v>1.4170125027894218</v>
      </c>
      <c r="C19" s="51">
        <f>'[17]2010'!L$24</f>
        <v>1.4172580385913462</v>
      </c>
      <c r="D19" s="51">
        <f>'[17]2010'!M$24</f>
        <v>1.4345819636227921</v>
      </c>
      <c r="E19" s="51">
        <f>'[17]2010'!N$24</f>
        <v>1.4322616900458065</v>
      </c>
      <c r="F19" s="51">
        <f>'[17]2010'!O$24</f>
        <v>1.4435399462955427</v>
      </c>
      <c r="G19" s="51">
        <f>'[17]2010'!P$24</f>
        <v>1.4453004287893763</v>
      </c>
      <c r="H19" s="48">
        <f>'[17]2010'!Q$24</f>
        <v>1.4457945737747382</v>
      </c>
      <c r="I19" s="48">
        <f>'[17]2000'!R$24</f>
        <v>1.4620608998697906</v>
      </c>
      <c r="J19" s="39">
        <f>'[17]2000'!S$24</f>
        <v>1.4625638767711695</v>
      </c>
    </row>
    <row r="20" spans="1:10">
      <c r="A20" s="47" t="s">
        <v>39</v>
      </c>
      <c r="B20" s="55">
        <f>'[18]2010'!K$24</f>
        <v>1.4112669682919152</v>
      </c>
      <c r="C20" s="51">
        <f>'[18]2010'!L$24</f>
        <v>1.3398457759675975</v>
      </c>
      <c r="D20" s="51">
        <f>'[18]2010'!M$24</f>
        <v>1.3068171566560105</v>
      </c>
      <c r="E20" s="51">
        <f>'[18]2010'!N$24</f>
        <v>1.2834405439564254</v>
      </c>
      <c r="F20" s="51">
        <f>'[18]2010'!O$24</f>
        <v>1.2654610127146704</v>
      </c>
      <c r="G20" s="51">
        <f>'[18]2010'!P$24</f>
        <v>1.2531681942574937</v>
      </c>
      <c r="H20" s="51">
        <f>'[18]2010'!Q$24</f>
        <v>1.244523848534959</v>
      </c>
      <c r="I20" s="51">
        <f>'[18]2010'!R$24</f>
        <v>1.2376203077049825</v>
      </c>
      <c r="J20" s="39">
        <f>'[18]2010'!S$24</f>
        <v>1.2321501144350759</v>
      </c>
    </row>
    <row r="21" spans="1:10">
      <c r="A21" s="47" t="s">
        <v>40</v>
      </c>
      <c r="B21" s="55">
        <f>'[19]2010'!K$24</f>
        <v>1.3307390130691796</v>
      </c>
      <c r="C21" s="51">
        <f>'[19]2010'!L$24</f>
        <v>1.271809639354645</v>
      </c>
      <c r="D21" s="51">
        <f>'[19]2010'!M$24</f>
        <v>1.2377454480083434</v>
      </c>
      <c r="E21" s="51">
        <f>'[19]2010'!N$24</f>
        <v>1.217214506898558</v>
      </c>
      <c r="F21" s="51">
        <f>'[19]2010'!O$24</f>
        <v>1.2032297568764418</v>
      </c>
      <c r="G21" s="51">
        <f>'[19]2010'!P$24</f>
        <v>1.1942370623952343</v>
      </c>
      <c r="H21" s="51">
        <f>'[19]2010'!Q$24</f>
        <v>1.1881337656936146</v>
      </c>
      <c r="I21" s="51">
        <f>'[19]2010'!R$24</f>
        <v>1.1835544609982929</v>
      </c>
      <c r="J21" s="39">
        <f>'[19]2010'!S$24</f>
        <v>1.1802346118410132</v>
      </c>
    </row>
    <row r="22" spans="1:10">
      <c r="A22" s="47" t="s">
        <v>85</v>
      </c>
      <c r="B22" s="55">
        <f>'[20]2010'!K$24</f>
        <v>1.3734377415845354</v>
      </c>
      <c r="C22" s="51">
        <f>'[20]2010'!L$24</f>
        <v>1.3661627731164396</v>
      </c>
      <c r="D22" s="51">
        <f>'[20]2010'!M$24</f>
        <v>1.3623371102112816</v>
      </c>
      <c r="E22" s="51">
        <f>'[20]2010'!N$24</f>
        <v>1.35986028467875</v>
      </c>
      <c r="F22" s="51">
        <f>'[20]2010'!O$24</f>
        <v>1.3524307658097707</v>
      </c>
      <c r="G22" s="51">
        <f>'[20]2010'!P$24</f>
        <v>1.3458390291766396</v>
      </c>
      <c r="H22" s="51">
        <f>'[20]2010'!Q$24</f>
        <v>1.340855665082751</v>
      </c>
      <c r="I22" s="51">
        <f>'[20]2010'!R$24</f>
        <v>1.3360729352383633</v>
      </c>
      <c r="J22" s="39">
        <f>'[20]2010'!S$24</f>
        <v>1.330115441516819</v>
      </c>
    </row>
    <row r="23" spans="1:10">
      <c r="A23" s="47" t="s">
        <v>41</v>
      </c>
      <c r="B23" s="55">
        <f>'[21]2010'!K$24</f>
        <v>1.3923352643282094</v>
      </c>
      <c r="C23" s="51">
        <f>'[21]2010'!L$24</f>
        <v>1.3647991426543529</v>
      </c>
      <c r="D23" s="51">
        <f>'[21]2010'!M$24</f>
        <v>1.3385303871253407</v>
      </c>
      <c r="E23" s="51">
        <f>'[21]2010'!N$24</f>
        <v>1.3181635459497134</v>
      </c>
      <c r="F23" s="51">
        <f>'[21]2010'!O$24</f>
        <v>1.3025038256942751</v>
      </c>
      <c r="G23" s="51">
        <f>'[21]2010'!P$24</f>
        <v>1.2915527198385739</v>
      </c>
      <c r="H23" s="51">
        <f>'[21]2010'!Q$24</f>
        <v>1.2868751983865299</v>
      </c>
      <c r="I23" s="51">
        <f>'[21]2010'!R$24</f>
        <v>1.2841484821523987</v>
      </c>
      <c r="J23" s="39">
        <f>'[21]2010'!S$24</f>
        <v>1.2812723689433594</v>
      </c>
    </row>
    <row r="24" spans="1:10">
      <c r="A24" s="47" t="s">
        <v>75</v>
      </c>
      <c r="B24" s="55">
        <f>'[22]2010'!K$24</f>
        <v>1.3476779649684636</v>
      </c>
      <c r="C24" s="51">
        <f>'[22]2010'!L$24</f>
        <v>1.2987080429934756</v>
      </c>
      <c r="D24" s="51">
        <f>'[22]2010'!M$24</f>
        <v>1.2759958465633252</v>
      </c>
      <c r="E24" s="51">
        <f>'[22]2010'!N$24</f>
        <v>1.2592053557284943</v>
      </c>
      <c r="F24" s="51">
        <f>'[22]2010'!O$24</f>
        <v>1.2489204814532937</v>
      </c>
      <c r="G24" s="51">
        <f>'[22]2010'!P$24</f>
        <v>1.2416589206724986</v>
      </c>
      <c r="H24" s="51">
        <f>'[22]2010'!Q$24</f>
        <v>1.2339380343866972</v>
      </c>
      <c r="I24" s="51">
        <f>'[22]2010'!R$24</f>
        <v>1.2277932150007076</v>
      </c>
      <c r="J24" s="39">
        <f>'[22]2010'!S$24</f>
        <v>1.2226839970421781</v>
      </c>
    </row>
    <row r="25" spans="1:10">
      <c r="A25" s="47" t="s">
        <v>63</v>
      </c>
      <c r="B25" s="55">
        <f>'[23]2010'!K$24</f>
        <v>1.3286382614132926</v>
      </c>
      <c r="C25" s="51">
        <f>'[23]2010'!L$24</f>
        <v>1.3223049937334725</v>
      </c>
      <c r="D25" s="51">
        <f>'[23]2010'!M$24</f>
        <v>1.3201192530937347</v>
      </c>
      <c r="E25" s="51">
        <f>'[23]2010'!N$24</f>
        <v>1.3200789561058746</v>
      </c>
      <c r="F25" s="51">
        <f>'[23]2010'!O$24</f>
        <v>1.3166391133124675</v>
      </c>
      <c r="G25" s="51">
        <f>'[23]2010'!P$24</f>
        <v>1.3134289998384046</v>
      </c>
      <c r="H25" s="51">
        <f>'[23]2010'!Q$24</f>
        <v>1.3118575590900703</v>
      </c>
      <c r="I25" s="51">
        <f>'[23]2010'!R$24</f>
        <v>1.3133868922800092</v>
      </c>
      <c r="J25" s="39">
        <f>'[23]2010'!S$24</f>
        <v>1.3159071047354585</v>
      </c>
    </row>
    <row r="26" spans="1:10">
      <c r="A26" s="47" t="s">
        <v>64</v>
      </c>
      <c r="B26" s="55">
        <f>'[24]2010'!K$24</f>
        <v>1.3492227990003094</v>
      </c>
      <c r="C26" s="51">
        <f>'[24]2010'!L$24</f>
        <v>1.2809084236066279</v>
      </c>
      <c r="D26" s="51">
        <f>'[24]2010'!M$24</f>
        <v>1.2573733592111536</v>
      </c>
      <c r="E26" s="51">
        <f>'[24]2010'!N$24</f>
        <v>1.2436425461187828</v>
      </c>
      <c r="F26" s="51">
        <f>'[24]2010'!O$24</f>
        <v>1.2373045629983925</v>
      </c>
      <c r="G26" s="51">
        <f>'[24]2010'!P$24</f>
        <v>1.234819235892737</v>
      </c>
      <c r="H26" s="51">
        <f>'[24]2010'!Q$24</f>
        <v>1.2372388226799365</v>
      </c>
      <c r="I26" s="51">
        <f>'[24]2010'!R$24</f>
        <v>1.2425894448042694</v>
      </c>
      <c r="J26" s="39">
        <f>'[24]2010'!S$24</f>
        <v>1.2534168829186265</v>
      </c>
    </row>
    <row r="27" spans="1:10">
      <c r="A27" s="47" t="s">
        <v>42</v>
      </c>
      <c r="B27" s="55">
        <f>'[25]2010'!K$24</f>
        <v>1.415233679267091</v>
      </c>
      <c r="C27" s="51">
        <f>'[25]2010'!L$24</f>
        <v>1.3522400482999783</v>
      </c>
      <c r="D27" s="51">
        <f>'[25]2010'!M$24</f>
        <v>1.3257298869873992</v>
      </c>
      <c r="E27" s="51">
        <f>'[25]2010'!N$24</f>
        <v>1.3143591509138175</v>
      </c>
      <c r="F27" s="51">
        <f>'[25]2010'!O$24</f>
        <v>1.3072061245298374</v>
      </c>
      <c r="G27" s="51">
        <f>'[25]2010'!P$24</f>
        <v>1.3030928137601026</v>
      </c>
      <c r="H27" s="51">
        <f>'[25]2010'!Q$24</f>
        <v>1.3035823978090557</v>
      </c>
      <c r="I27" s="51">
        <f>'[25]2010'!R$24</f>
        <v>1.3108224413438658</v>
      </c>
      <c r="J27" s="39">
        <f>'[25]2010'!S$24</f>
        <v>1.3216362304730513</v>
      </c>
    </row>
    <row r="28" spans="1:10">
      <c r="A28" s="47" t="s">
        <v>43</v>
      </c>
      <c r="B28" s="55">
        <f>'[26]2010'!K$24</f>
        <v>1.3836709660756512</v>
      </c>
      <c r="C28" s="51">
        <f>'[26]2010'!L$24</f>
        <v>1.3247813076937356</v>
      </c>
      <c r="D28" s="51">
        <f>'[26]2010'!M$24</f>
        <v>1.2910194406980002</v>
      </c>
      <c r="E28" s="51">
        <f>'[26]2010'!N$24</f>
        <v>1.2669879637731756</v>
      </c>
      <c r="F28" s="51">
        <f>'[26]2010'!O$24</f>
        <v>1.2518208107538271</v>
      </c>
      <c r="G28" s="51">
        <f>'[26]2010'!P$24</f>
        <v>1.2434385553193854</v>
      </c>
      <c r="H28" s="51">
        <f>'[26]2010'!Q$24</f>
        <v>1.2390192666572288</v>
      </c>
      <c r="I28" s="51">
        <f>'[26]2010'!R$24</f>
        <v>1.2370359335006367</v>
      </c>
      <c r="J28" s="39">
        <f>'[26]2010'!S$24</f>
        <v>1.2355569211642343</v>
      </c>
    </row>
    <row r="29" spans="1:10">
      <c r="A29" s="47" t="s">
        <v>44</v>
      </c>
      <c r="B29" s="55">
        <f>'[27]2010'!K$24</f>
        <v>1.2592779729384731</v>
      </c>
      <c r="C29" s="51">
        <f>'[27]2010'!L$24</f>
        <v>1.2090730434913919</v>
      </c>
      <c r="D29" s="51">
        <f>'[27]2010'!M$24</f>
        <v>1.1867090038683803</v>
      </c>
      <c r="E29" s="51">
        <f>'[27]2010'!N$24</f>
        <v>1.1751798551073691</v>
      </c>
      <c r="F29" s="51">
        <f>'[27]2010'!O$24</f>
        <v>1.1682466585186182</v>
      </c>
      <c r="G29" s="51">
        <f>'[27]2010'!P$24</f>
        <v>1.1641474476052645</v>
      </c>
      <c r="H29" s="51">
        <f>'[27]2010'!Q$24</f>
        <v>1.1632682250826336</v>
      </c>
      <c r="I29" s="51">
        <f>'[27]2010'!R$24</f>
        <v>1.1639337982848545</v>
      </c>
      <c r="J29" s="39">
        <f>'[27]2010'!S$24</f>
        <v>1.1642077478462736</v>
      </c>
    </row>
    <row r="30" spans="1:10">
      <c r="A30" s="47" t="s">
        <v>45</v>
      </c>
      <c r="B30" s="55">
        <f>'[28]2010'!K$24</f>
        <v>1.367956699688347</v>
      </c>
      <c r="C30" s="51">
        <f>'[28]2010'!L$24</f>
        <v>1.3031870861864812</v>
      </c>
      <c r="D30" s="51">
        <f>'[28]2010'!M$24</f>
        <v>1.2701199260392533</v>
      </c>
      <c r="E30" s="51">
        <f>'[28]2010'!N$24</f>
        <v>1.2488143236567024</v>
      </c>
      <c r="F30" s="51">
        <f>'[28]2010'!O$24</f>
        <v>1.2342826281339614</v>
      </c>
      <c r="G30" s="51">
        <f>'[28]2010'!P$24</f>
        <v>1.2240781563469771</v>
      </c>
      <c r="H30" s="51">
        <f>'[28]2010'!Q$24</f>
        <v>1.2154627812004615</v>
      </c>
      <c r="I30" s="51">
        <f>'[28]2010'!R$24</f>
        <v>1.2097168280185802</v>
      </c>
      <c r="J30" s="39">
        <f>'[28]2010'!S$24</f>
        <v>1.2049005979112202</v>
      </c>
    </row>
    <row r="31" spans="1:10">
      <c r="A31" s="47" t="s">
        <v>46</v>
      </c>
      <c r="B31" s="55">
        <f>'[29]2010'!K$24</f>
        <v>1.4297597712771255</v>
      </c>
      <c r="C31" s="51">
        <f>'[29]2010'!L$24</f>
        <v>1.359871384808002</v>
      </c>
      <c r="D31" s="51">
        <f>'[29]2010'!M$24</f>
        <v>1.3223570330949683</v>
      </c>
      <c r="E31" s="51">
        <f>'[29]2010'!N$24</f>
        <v>1.2979029443773333</v>
      </c>
      <c r="F31" s="51">
        <f>'[29]2010'!O$24</f>
        <v>1.2809747773730242</v>
      </c>
      <c r="G31" s="51">
        <f>'[29]2010'!P$24</f>
        <v>1.2671990831726268</v>
      </c>
      <c r="H31" s="51">
        <f>'[29]2010'!Q$24</f>
        <v>1.2561544008741909</v>
      </c>
      <c r="I31" s="51">
        <f>'[29]2010'!R$24</f>
        <v>1.2471312517026993</v>
      </c>
      <c r="J31" s="39">
        <f>'[29]2010'!S$24</f>
        <v>1.2404771540001511</v>
      </c>
    </row>
    <row r="32" spans="1:10">
      <c r="A32" s="47" t="s">
        <v>47</v>
      </c>
      <c r="B32" s="55">
        <f>'[30]2010'!K$24</f>
        <v>1.4163225470795091</v>
      </c>
      <c r="C32" s="51">
        <f>'[30]2010'!L$24</f>
        <v>1.3838875737878413</v>
      </c>
      <c r="D32" s="51">
        <f>'[30]2010'!M$24</f>
        <v>1.3489148947289156</v>
      </c>
      <c r="E32" s="51">
        <f>'[30]2010'!N$24</f>
        <v>1.3389833968635285</v>
      </c>
      <c r="F32" s="51">
        <f>'[30]2010'!O$24</f>
        <v>1.3343557809401991</v>
      </c>
      <c r="G32" s="51">
        <f>'[30]2010'!P$24</f>
        <v>1.3385224152730324</v>
      </c>
      <c r="H32" s="51">
        <f>'[30]2010'!Q$24</f>
        <v>1.3505891851756389</v>
      </c>
      <c r="I32" s="51">
        <f>'[30]2010'!R$24</f>
        <v>1.3695515239576628</v>
      </c>
      <c r="J32" s="39">
        <f>'[30]2010'!S$24</f>
        <v>1.3966039300244457</v>
      </c>
    </row>
    <row r="33" spans="1:10">
      <c r="A33" s="47" t="s">
        <v>65</v>
      </c>
      <c r="B33" s="55">
        <f>'[31]2010'!K$24</f>
        <v>1.3157627494011674</v>
      </c>
      <c r="C33" s="51">
        <f>'[31]2010'!L$24</f>
        <v>1.2629348483479246</v>
      </c>
      <c r="D33" s="51">
        <f>'[31]2010'!M$24</f>
        <v>1.2364276854478877</v>
      </c>
      <c r="E33" s="51">
        <f>'[31]2010'!N$24</f>
        <v>1.222552045843428</v>
      </c>
      <c r="F33" s="51">
        <f>'[31]2010'!O$24</f>
        <v>1.2136941168258051</v>
      </c>
      <c r="G33" s="51">
        <f>'[31]2010'!P$24</f>
        <v>1.208396652771828</v>
      </c>
      <c r="H33" s="51">
        <f>'[31]2010'!Q$24</f>
        <v>1.2059143520027411</v>
      </c>
      <c r="I33" s="51">
        <f>'[31]2010'!R$24</f>
        <v>1.2046254703094295</v>
      </c>
      <c r="J33" s="39">
        <f>'[31]2010'!S$24</f>
        <v>1.2044434075797017</v>
      </c>
    </row>
    <row r="34" spans="1:10">
      <c r="A34" s="47" t="s">
        <v>66</v>
      </c>
      <c r="B34" s="55">
        <f>'[32]2010'!K$24</f>
        <v>1.3330075580666654</v>
      </c>
      <c r="C34" s="51">
        <f>'[32]2010'!L$24</f>
        <v>1.302577181329865</v>
      </c>
      <c r="D34" s="51">
        <f>'[32]2010'!M$24</f>
        <v>1.2782037611934325</v>
      </c>
      <c r="E34" s="51">
        <f>'[32]2010'!N$24</f>
        <v>1.2586490530021517</v>
      </c>
      <c r="F34" s="51">
        <f>'[32]2010'!O$24</f>
        <v>1.243847517949237</v>
      </c>
      <c r="G34" s="51">
        <f>'[32]2010'!P$24</f>
        <v>1.2344875734787604</v>
      </c>
      <c r="H34" s="51">
        <f>'[32]2010'!Q$24</f>
        <v>1.227948305822975</v>
      </c>
      <c r="I34" s="51">
        <f>'[32]2010'!R$24</f>
        <v>1.2226100071300814</v>
      </c>
      <c r="J34" s="39">
        <f>'[32]2010'!S$24</f>
        <v>1.2192662129771015</v>
      </c>
    </row>
    <row r="35" spans="1:10">
      <c r="A35" s="47" t="s">
        <v>48</v>
      </c>
      <c r="B35" s="55">
        <f>'[33]2010'!K$24</f>
        <v>1.4073453796667255</v>
      </c>
      <c r="C35" s="51">
        <f>'[33]2010'!L$24</f>
        <v>1.368037812411222</v>
      </c>
      <c r="D35" s="51">
        <f>'[33]2010'!M$24</f>
        <v>1.3529409382116724</v>
      </c>
      <c r="E35" s="51">
        <f>'[33]2010'!N$24</f>
        <v>1.3357222696848219</v>
      </c>
      <c r="F35" s="51">
        <f>'[33]2010'!O$24</f>
        <v>1.3227647345428062</v>
      </c>
      <c r="G35" s="51">
        <f>'[33]2010'!P$24</f>
        <v>1.3109961293844155</v>
      </c>
      <c r="H35" s="51">
        <f>'[33]2010'!Q$24</f>
        <v>1.3015389438384548</v>
      </c>
      <c r="I35" s="51">
        <f>'[33]2010'!R$24</f>
        <v>1.2938955646318264</v>
      </c>
      <c r="J35" s="39">
        <f>'[33]2010'!S$24</f>
        <v>1.2873404494690579</v>
      </c>
    </row>
    <row r="36" spans="1:10">
      <c r="A36" s="47" t="s">
        <v>67</v>
      </c>
      <c r="B36" s="55">
        <f>'[34]2010'!K$24</f>
        <v>1.2908066509637137</v>
      </c>
      <c r="C36" s="51">
        <f>'[34]2010'!L$24</f>
        <v>1.221294302281372</v>
      </c>
      <c r="D36" s="51">
        <f>'[34]2010'!M$24</f>
        <v>1.20124627478735</v>
      </c>
      <c r="E36" s="51">
        <f>'[34]2010'!N$24</f>
        <v>1.1855169545716866</v>
      </c>
      <c r="F36" s="51">
        <f>'[34]2010'!O$24</f>
        <v>1.1733077141049333</v>
      </c>
      <c r="G36" s="51">
        <f>'[34]2010'!P$24</f>
        <v>1.1653283208068956</v>
      </c>
      <c r="H36" s="51">
        <f>'[34]2010'!Q$24</f>
        <v>1.1592931878775155</v>
      </c>
      <c r="I36" s="51">
        <f>'[34]2010'!R$24</f>
        <v>1.153822612145486</v>
      </c>
      <c r="J36" s="39">
        <f>'[34]2010'!S$24</f>
        <v>1.1493697375302219</v>
      </c>
    </row>
    <row r="37" spans="1:10">
      <c r="A37" s="47" t="s">
        <v>49</v>
      </c>
      <c r="B37" s="55">
        <f>'[35]2010'!K$24</f>
        <v>1.3444279137541839</v>
      </c>
      <c r="C37" s="51">
        <f>'[35]2010'!L$24</f>
        <v>1.3330034239016018</v>
      </c>
      <c r="D37" s="51">
        <f>'[35]2010'!M$24</f>
        <v>1.3052617006945595</v>
      </c>
      <c r="E37" s="51">
        <f>'[35]2010'!N$24</f>
        <v>1.2881022315645838</v>
      </c>
      <c r="F37" s="51">
        <f>'[35]2010'!O$24</f>
        <v>1.2802850434359947</v>
      </c>
      <c r="G37" s="51">
        <f>'[35]2010'!P$24</f>
        <v>1.2712116017778166</v>
      </c>
      <c r="H37" s="51">
        <f>'[35]2010'!Q$24</f>
        <v>1.2658272140371463</v>
      </c>
      <c r="I37" s="51">
        <f>'[35]2010'!R$24</f>
        <v>1.2585556789471462</v>
      </c>
      <c r="J37" s="39">
        <f>'[35]2010'!S$24</f>
        <v>1.2523532277965723</v>
      </c>
    </row>
    <row r="38" spans="1:10">
      <c r="A38" s="47" t="s">
        <v>50</v>
      </c>
      <c r="B38" s="55">
        <f>'[36]2010'!K$24</f>
        <v>1.4115605231076185</v>
      </c>
      <c r="C38" s="51">
        <f>'[36]2010'!L$24</f>
        <v>1.3399770609126298</v>
      </c>
      <c r="D38" s="51">
        <f>'[36]2010'!M$24</f>
        <v>1.3051406812780726</v>
      </c>
      <c r="E38" s="51">
        <f>'[36]2010'!N$24</f>
        <v>1.2817943808930483</v>
      </c>
      <c r="F38" s="51">
        <f>'[36]2010'!O$24</f>
        <v>1.2648153813211274</v>
      </c>
      <c r="G38" s="51">
        <f>'[36]2010'!P$24</f>
        <v>1.2535936164248203</v>
      </c>
      <c r="H38" s="51">
        <f>'[36]2010'!Q$24</f>
        <v>1.2454120748006281</v>
      </c>
      <c r="I38" s="51">
        <f>'[36]2010'!R$24</f>
        <v>1.238920592591702</v>
      </c>
      <c r="J38" s="39">
        <f>'[36]2010'!S$24</f>
        <v>1.2344561116309156</v>
      </c>
    </row>
    <row r="39" spans="1:10">
      <c r="A39" s="47" t="s">
        <v>51</v>
      </c>
      <c r="B39" s="55">
        <f>'[37]2010'!K$24</f>
        <v>1.5301276739734433</v>
      </c>
      <c r="C39" s="51">
        <f>'[37]2010'!L$24</f>
        <v>1.4913588455422746</v>
      </c>
      <c r="D39" s="51">
        <f>'[37]2010'!M$24</f>
        <v>1.4731281162210448</v>
      </c>
      <c r="E39" s="51">
        <f>'[37]2010'!N$24</f>
        <v>1.4562699715471381</v>
      </c>
      <c r="F39" s="51">
        <f>'[37]2010'!O$24</f>
        <v>1.4407046826983154</v>
      </c>
      <c r="G39" s="51">
        <f>'[37]2010'!P$24</f>
        <v>1.4297790976947944</v>
      </c>
      <c r="H39" s="51">
        <f>'[37]2010'!Q$24</f>
        <v>1.4261614774445286</v>
      </c>
      <c r="I39" s="51">
        <f>'[37]2010'!R$24</f>
        <v>1.4293416108501145</v>
      </c>
      <c r="J39" s="39">
        <f>'[37]2010'!S$24</f>
        <v>1.4320189723752634</v>
      </c>
    </row>
    <row r="40" spans="1:10">
      <c r="A40" s="47" t="s">
        <v>52</v>
      </c>
      <c r="B40" s="55">
        <f>'[38]2010'!K$24</f>
        <v>1.3413795461632436</v>
      </c>
      <c r="C40" s="51">
        <f>'[38]2010'!L$24</f>
        <v>1.2792927288201636</v>
      </c>
      <c r="D40" s="51">
        <f>'[38]2010'!M$24</f>
        <v>1.2492145533947989</v>
      </c>
      <c r="E40" s="51">
        <f>'[38]2010'!N$24</f>
        <v>1.2359886141697098</v>
      </c>
      <c r="F40" s="51">
        <f>'[38]2010'!O$24</f>
        <v>1.2335825315465978</v>
      </c>
      <c r="G40" s="51">
        <f>'[38]2010'!P$24</f>
        <v>1.2346713669311957</v>
      </c>
      <c r="H40" s="51">
        <f>'[38]2010'!Q$24</f>
        <v>1.2378648301781199</v>
      </c>
      <c r="I40" s="51">
        <f>'[38]2010'!R$24</f>
        <v>1.2391867314568445</v>
      </c>
      <c r="J40" s="39">
        <f>'[38]2010'!S$24</f>
        <v>1.2398242295003903</v>
      </c>
    </row>
    <row r="41" spans="1:10">
      <c r="A41" s="47" t="s">
        <v>53</v>
      </c>
      <c r="B41" s="54">
        <f>'[39]2010'!K$24</f>
        <v>1.3599560158886321</v>
      </c>
      <c r="C41" s="50">
        <f>'[39]2010'!L$24</f>
        <v>1.2841673699040268</v>
      </c>
      <c r="D41" s="50">
        <f>'[39]2010'!M$24</f>
        <v>1.2442193027437145</v>
      </c>
      <c r="E41" s="50">
        <f>'[39]2010'!N$24</f>
        <v>1.2214655452556848</v>
      </c>
      <c r="F41" s="50">
        <f>'[39]2010'!O$24</f>
        <v>1.205287459552572</v>
      </c>
      <c r="G41" s="50">
        <f>'[39]2010'!P$24</f>
        <v>1.1953550018287182</v>
      </c>
      <c r="H41" s="50">
        <f>'[39]2010'!Q$24</f>
        <v>1.1908050726732355</v>
      </c>
      <c r="I41" s="50">
        <f>'[39]2010'!R$24</f>
        <v>1.188697239807107</v>
      </c>
      <c r="J41" s="38">
        <f>'[39]2010'!S$24</f>
        <v>1.1881349038874762</v>
      </c>
    </row>
    <row r="42" spans="1:10">
      <c r="A42" s="47" t="s">
        <v>161</v>
      </c>
      <c r="B42" s="54">
        <f>'[40]2010'!K$24</f>
        <v>1.3054372101690606</v>
      </c>
      <c r="C42" s="50">
        <f>'[40]2010'!L$24</f>
        <v>1.2619074783498458</v>
      </c>
      <c r="D42" s="50">
        <f>'[40]2010'!M$24</f>
        <v>1.235017216450139</v>
      </c>
      <c r="E42" s="50">
        <f>'[40]2010'!N$24</f>
        <v>1.2194277529157018</v>
      </c>
      <c r="F42" s="50">
        <f>'[40]2010'!O$24</f>
        <v>1.2093921289472145</v>
      </c>
      <c r="G42" s="50">
        <f>'[40]2010'!P$24</f>
        <v>1.2027779213679537</v>
      </c>
      <c r="H42" s="50">
        <f>'[40]2010'!Q$24</f>
        <v>1.1983418382894222</v>
      </c>
      <c r="I42" s="50">
        <f>'[40]2010'!R$24</f>
        <v>1.1972716138765835</v>
      </c>
      <c r="J42" s="38">
        <f>'[40]2010'!S$24</f>
        <v>1.1976784755170091</v>
      </c>
    </row>
    <row r="43" spans="1:10">
      <c r="A43" s="47" t="s">
        <v>54</v>
      </c>
      <c r="B43" s="55">
        <f>'[41]2010'!K$24</f>
        <v>1.4338792967235054</v>
      </c>
      <c r="C43" s="51">
        <f>'[41]2010'!L$24</f>
        <v>1.4013492588209344</v>
      </c>
      <c r="D43" s="51">
        <f>'[41]2010'!M$24</f>
        <v>1.4014419587257636</v>
      </c>
      <c r="E43" s="51">
        <f>'[41]2010'!N$24</f>
        <v>1.400056122836252</v>
      </c>
      <c r="F43" s="51">
        <f>'[41]2010'!O$24</f>
        <v>1.3967920476447633</v>
      </c>
      <c r="G43" s="51">
        <f>'[41]2010'!P$24</f>
        <v>1.3967267442968094</v>
      </c>
      <c r="H43" s="51">
        <f>'[41]2010'!Q$24</f>
        <v>1.3968698866346807</v>
      </c>
      <c r="I43" s="51">
        <f>'[41]2010'!R$24</f>
        <v>1.3968817478060891</v>
      </c>
      <c r="J43" s="39">
        <f>'[41]2010'!S$24</f>
        <v>1.3982014018055617</v>
      </c>
    </row>
    <row r="44" spans="1:10">
      <c r="A44" s="47" t="s">
        <v>55</v>
      </c>
      <c r="B44" s="55">
        <f>'[42]2010'!K$24</f>
        <v>1.3973954385618328</v>
      </c>
      <c r="C44" s="51">
        <f>'[42]2010'!L$24</f>
        <v>1.3751662227690009</v>
      </c>
      <c r="D44" s="51">
        <f>'[42]2010'!M$24</f>
        <v>1.37473562290319</v>
      </c>
      <c r="E44" s="51">
        <f>'[42]2010'!N$24</f>
        <v>1.3815334547515212</v>
      </c>
      <c r="F44" s="51">
        <f>'[42]2010'!O$24</f>
        <v>1.3850097173055014</v>
      </c>
      <c r="G44" s="51">
        <f>'[42]2010'!P$24</f>
        <v>1.3899925563291859</v>
      </c>
      <c r="H44" s="51">
        <f>'[42]2010'!Q$24</f>
        <v>1.3925352790776591</v>
      </c>
      <c r="I44" s="51">
        <f>'[42]2010'!R$24</f>
        <v>1.3909277673330938</v>
      </c>
      <c r="J44" s="39">
        <f>'[42]2010'!S$24</f>
        <v>1.3874547008609153</v>
      </c>
    </row>
    <row r="45" spans="1:10">
      <c r="A45" s="47" t="s">
        <v>68</v>
      </c>
      <c r="B45" s="55">
        <f>'[43]2010'!K$24</f>
        <v>1.4317823771593792</v>
      </c>
      <c r="C45" s="51">
        <f>'[43]2010'!L$24</f>
        <v>1.3730841421652697</v>
      </c>
      <c r="D45" s="51">
        <f>'[43]2010'!M$24</f>
        <v>1.3398515854253352</v>
      </c>
      <c r="E45" s="51">
        <f>'[43]2010'!N$24</f>
        <v>1.3117239067101567</v>
      </c>
      <c r="F45" s="51">
        <f>'[43]2010'!O$24</f>
        <v>1.2913153607253793</v>
      </c>
      <c r="G45" s="51">
        <f>'[43]2010'!P$24</f>
        <v>1.2757965860482567</v>
      </c>
      <c r="H45" s="51">
        <f>'[43]2010'!Q$24</f>
        <v>1.2642616847774233</v>
      </c>
      <c r="I45" s="51">
        <f>'[43]2010'!R$24</f>
        <v>1.2555532060267511</v>
      </c>
      <c r="J45" s="39">
        <f>'[43]2010'!S$24</f>
        <v>1.2491587964112882</v>
      </c>
    </row>
    <row r="46" spans="1:10">
      <c r="A46" s="47" t="s">
        <v>69</v>
      </c>
      <c r="B46" s="55">
        <f>'[44]2010'!K$24</f>
        <v>1.4519495177769537</v>
      </c>
      <c r="C46" s="51">
        <f>'[44]2010'!L$24</f>
        <v>1.4206259686722074</v>
      </c>
      <c r="D46" s="51">
        <f>'[44]2010'!M$24</f>
        <v>1.4062579681100151</v>
      </c>
      <c r="E46" s="51">
        <f>'[44]2010'!N$24</f>
        <v>1.4002313458230131</v>
      </c>
      <c r="F46" s="51">
        <f>'[44]2010'!O$24</f>
        <v>1.3933131344330476</v>
      </c>
      <c r="G46" s="51">
        <f>'[44]2010'!P$24</f>
        <v>1.3922798957924276</v>
      </c>
      <c r="H46" s="51">
        <f>'[44]2010'!Q$24</f>
        <v>1.3884116405651341</v>
      </c>
      <c r="I46" s="51">
        <f>'[44]2010'!R$24</f>
        <v>1.3873822171543784</v>
      </c>
      <c r="J46" s="39">
        <f>'[44]2010'!S$24</f>
        <v>1.3874839144677951</v>
      </c>
    </row>
    <row r="47" spans="1:10">
      <c r="A47" s="47" t="s">
        <v>70</v>
      </c>
      <c r="B47" s="55">
        <f>'[45]2010'!K$24</f>
        <v>1.4529772069649314</v>
      </c>
      <c r="C47" s="51">
        <f>'[45]2010'!L$24</f>
        <v>1.4357618484653247</v>
      </c>
      <c r="D47" s="51">
        <f>'[45]2010'!M$24</f>
        <v>1.424503733426794</v>
      </c>
      <c r="E47" s="51">
        <f>'[45]2010'!N$24</f>
        <v>1.4139365512475086</v>
      </c>
      <c r="F47" s="51">
        <f>'[45]2010'!O$24</f>
        <v>1.4012673218427656</v>
      </c>
      <c r="G47" s="51">
        <f>'[45]2010'!P$24</f>
        <v>1.3884703455577154</v>
      </c>
      <c r="H47" s="51">
        <f>'[45]2010'!Q$24</f>
        <v>1.3809694805902639</v>
      </c>
      <c r="I47" s="51">
        <f>'[45]2010'!R$24</f>
        <v>1.3779719461955984</v>
      </c>
      <c r="J47" s="39">
        <f>'[45]2010'!S$24</f>
        <v>1.3798353964556946</v>
      </c>
    </row>
    <row r="48" spans="1:10">
      <c r="A48" s="47" t="s">
        <v>86</v>
      </c>
      <c r="B48" s="55">
        <f>'[46]2010'!K$24</f>
        <v>1.3990667972183513</v>
      </c>
      <c r="C48" s="51">
        <f>'[46]2010'!L$24</f>
        <v>1.4014055067960625</v>
      </c>
      <c r="D48" s="51">
        <f>'[46]2010'!M$24</f>
        <v>1.3973659459287573</v>
      </c>
      <c r="E48" s="51">
        <f>'[46]2010'!N$24</f>
        <v>1.4014142336739903</v>
      </c>
      <c r="F48" s="51">
        <f>'[46]2010'!O$24</f>
        <v>1.4030034944504302</v>
      </c>
      <c r="G48" s="51">
        <f>'[46]2010'!P$24</f>
        <v>1.4006797245444369</v>
      </c>
      <c r="H48" s="51">
        <f>'[46]2010'!Q$24</f>
        <v>1.3907196655034559</v>
      </c>
      <c r="I48" s="51">
        <f>'[46]2010'!R$24</f>
        <v>1.3695757394795991</v>
      </c>
      <c r="J48" s="39">
        <f>'[46]2010'!S$24</f>
        <v>1.3538688331181019</v>
      </c>
    </row>
    <row r="49" spans="1:10">
      <c r="A49" s="47" t="s">
        <v>56</v>
      </c>
      <c r="B49" s="55">
        <f>'[47]2010'!K$24</f>
        <v>1.4725838457083096</v>
      </c>
      <c r="C49" s="51">
        <f>'[47]2010'!L$24</f>
        <v>1.4789578076803838</v>
      </c>
      <c r="D49" s="51">
        <f>'[47]2010'!M$24</f>
        <v>1.4529281790243918</v>
      </c>
      <c r="E49" s="51">
        <f>'[47]2010'!N$24</f>
        <v>1.4364536820651199</v>
      </c>
      <c r="F49" s="51">
        <f>'[47]2010'!O$24</f>
        <v>1.4185698685624268</v>
      </c>
      <c r="G49" s="51">
        <f>'[47]2010'!P$24</f>
        <v>1.4052977562776781</v>
      </c>
      <c r="H49" s="51">
        <f>'[47]2010'!Q$24</f>
        <v>1.3981914201363681</v>
      </c>
      <c r="I49" s="51">
        <f>'[47]2010'!R$24</f>
        <v>1.3911691748531416</v>
      </c>
      <c r="J49" s="39">
        <f>'[47]2010'!S$24</f>
        <v>1.3877189496448212</v>
      </c>
    </row>
    <row r="50" spans="1:10">
      <c r="A50" s="47" t="s">
        <v>76</v>
      </c>
      <c r="B50" s="54">
        <f>'[48]2010'!K$24</f>
        <v>1.336871859668785</v>
      </c>
      <c r="C50" s="50">
        <f>'[48]2010'!L$24</f>
        <v>1.2828613575676235</v>
      </c>
      <c r="D50" s="50">
        <f>'[48]2010'!M$24</f>
        <v>1.2629261489074812</v>
      </c>
      <c r="E50" s="50">
        <f>'[48]2010'!N$24</f>
        <v>1.2494539986202935</v>
      </c>
      <c r="F50" s="50">
        <f>'[48]2010'!O$24</f>
        <v>1.2404318709255826</v>
      </c>
      <c r="G50" s="50">
        <f>'[48]2010'!P$24</f>
        <v>1.2361288587570294</v>
      </c>
      <c r="H50" s="50">
        <f>'[48]2010'!Q$24</f>
        <v>1.2330872661002497</v>
      </c>
      <c r="I50" s="50">
        <f>'[48]2010'!R$24</f>
        <v>1.2273165367301029</v>
      </c>
      <c r="J50" s="38">
        <f>'[48]2010'!S$24</f>
        <v>1.2208577984067597</v>
      </c>
    </row>
    <row r="51" spans="1:10">
      <c r="A51" s="47" t="s">
        <v>57</v>
      </c>
      <c r="B51" s="55">
        <f>'[49]2010'!K$24</f>
        <v>1.443560196227148</v>
      </c>
      <c r="C51" s="51">
        <f>'[49]2010'!L$24</f>
        <v>1.399372508003506</v>
      </c>
      <c r="D51" s="51">
        <f>'[49]2010'!M$24</f>
        <v>1.3725412244961106</v>
      </c>
      <c r="E51" s="51">
        <f>'[49]2010'!N$24</f>
        <v>1.3484888260380745</v>
      </c>
      <c r="F51" s="51">
        <f>'[49]2010'!O$24</f>
        <v>1.3285645889956852</v>
      </c>
      <c r="G51" s="51">
        <f>'[49]2010'!P$24</f>
        <v>1.3133949871020121</v>
      </c>
      <c r="H51" s="51">
        <f>'[49]2010'!Q$24</f>
        <v>1.3009918403315728</v>
      </c>
      <c r="I51" s="51">
        <f>'[49]2010'!R$24</f>
        <v>1.2932002637774029</v>
      </c>
      <c r="J51" s="39">
        <f>'[49]2010'!S$24</f>
        <v>1.286841212715055</v>
      </c>
    </row>
    <row r="52" spans="1:10">
      <c r="A52" s="47" t="s">
        <v>71</v>
      </c>
      <c r="B52" s="55">
        <f>'[50]2010'!K$24</f>
        <v>1.3634427948695305</v>
      </c>
      <c r="C52" s="51">
        <f>'[50]2010'!L$24</f>
        <v>1.3116335868847857</v>
      </c>
      <c r="D52" s="51">
        <f>'[50]2010'!M$24</f>
        <v>1.288975134924683</v>
      </c>
      <c r="E52" s="51">
        <f>'[50]2010'!N$24</f>
        <v>1.2770054812680482</v>
      </c>
      <c r="F52" s="51">
        <f>'[50]2010'!O$24</f>
        <v>1.270428052024559</v>
      </c>
      <c r="G52" s="51">
        <f>'[50]2010'!P$24</f>
        <v>1.264854950694025</v>
      </c>
      <c r="H52" s="51">
        <f>'[50]2010'!Q$24</f>
        <v>1.2632713910422415</v>
      </c>
      <c r="I52" s="51">
        <f>'[50]2010'!R$24</f>
        <v>1.261409388199902</v>
      </c>
      <c r="J52" s="39">
        <f>'[50]2010'!S$24</f>
        <v>1.2582428496249867</v>
      </c>
    </row>
    <row r="53" spans="1:10" ht="15" thickBot="1">
      <c r="A53" s="49" t="s">
        <v>59</v>
      </c>
      <c r="B53" s="56">
        <f>'[51]2010'!K$24</f>
        <v>1.4280755763678319</v>
      </c>
      <c r="C53" s="57">
        <f>'[51]2010'!L$24</f>
        <v>1.3586072661967159</v>
      </c>
      <c r="D53" s="57">
        <f>'[51]2010'!M$24</f>
        <v>1.3128038200118335</v>
      </c>
      <c r="E53" s="57">
        <f>'[51]2010'!N$24</f>
        <v>1.2903552897310631</v>
      </c>
      <c r="F53" s="57">
        <f>'[51]2010'!O$24</f>
        <v>1.2769936789718903</v>
      </c>
      <c r="G53" s="57">
        <f>'[51]2010'!P$24</f>
        <v>1.271908405391577</v>
      </c>
      <c r="H53" s="57">
        <f>'[51]2010'!Q$24</f>
        <v>1.2676619008406249</v>
      </c>
      <c r="I53" s="57">
        <f>'[51]2010'!R$24</f>
        <v>1.2644910226602037</v>
      </c>
      <c r="J53" s="40">
        <f>'[51]2010'!S$24</f>
        <v>1.2618164588235785</v>
      </c>
    </row>
  </sheetData>
  <mergeCells count="1">
    <mergeCell ref="B1:J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1990</vt:lpstr>
      <vt:lpstr>1995</vt:lpstr>
      <vt:lpstr>2001</vt:lpstr>
      <vt:lpstr>2010-10</vt:lpstr>
      <vt:lpstr>2010-20</vt:lpstr>
      <vt:lpstr>2010-30</vt:lpstr>
      <vt:lpstr>2010-40</vt:lpstr>
      <vt:lpstr>2010-50</vt:lpstr>
      <vt:lpstr>2010-60</vt:lpstr>
      <vt:lpstr>2010-70</vt:lpstr>
      <vt:lpstr>2010-80</vt:lpstr>
      <vt:lpstr>2010-90</vt:lpstr>
      <vt:lpstr>Summary-2010</vt:lpstr>
      <vt:lpstr>Interval Circuities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2013-02-22T20:00:19Z</dcterms:modified>
</cp:coreProperties>
</file>